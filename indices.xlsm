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97" i="4" l="1"/>
  <c r="L496" i="4"/>
  <c r="L495" i="4"/>
  <c r="L494" i="4"/>
  <c r="L493" i="4"/>
  <c r="L492" i="4"/>
  <c r="L491" i="4"/>
  <c r="L489" i="4"/>
  <c r="L476" i="4"/>
  <c r="L488" i="4"/>
  <c r="L481" i="4"/>
  <c r="L485" i="4"/>
  <c r="L478" i="4"/>
  <c r="L479" i="4"/>
  <c r="L471" i="4"/>
  <c r="L472" i="4"/>
  <c r="L487" i="4"/>
  <c r="L468" i="4"/>
  <c r="L483" i="4"/>
  <c r="L470" i="4"/>
  <c r="L463" i="4"/>
  <c r="L480" i="4"/>
  <c r="L486" i="4"/>
  <c r="L482" i="4"/>
  <c r="L473" i="4"/>
  <c r="L490" i="4"/>
  <c r="L477" i="4"/>
  <c r="L453" i="4"/>
  <c r="L475" i="4"/>
  <c r="L466" i="4"/>
  <c r="L467" i="4"/>
  <c r="L469" i="4"/>
  <c r="L386" i="4"/>
  <c r="L454" i="4"/>
  <c r="L464" i="4"/>
  <c r="L455" i="4"/>
  <c r="L458" i="4"/>
  <c r="L462" i="4"/>
  <c r="L465" i="4"/>
  <c r="L445" i="4"/>
  <c r="L461" i="4"/>
  <c r="L451" i="4"/>
  <c r="L446" i="4"/>
  <c r="L442" i="4"/>
  <c r="L459" i="4"/>
  <c r="L397" i="4"/>
  <c r="L382" i="4"/>
  <c r="L448" i="4"/>
  <c r="L452" i="4"/>
  <c r="L444" i="4"/>
  <c r="L443" i="4"/>
  <c r="L484" i="4"/>
  <c r="L436" i="4"/>
  <c r="L457" i="4"/>
  <c r="L435" i="4"/>
  <c r="L393" i="4"/>
  <c r="L432" i="4"/>
  <c r="L399" i="4"/>
  <c r="L474" i="4"/>
  <c r="L447" i="4"/>
  <c r="L438" i="4"/>
  <c r="L411" i="4"/>
  <c r="L450" i="4"/>
  <c r="L405" i="4"/>
  <c r="L456" i="4"/>
  <c r="L439" i="4"/>
  <c r="L440" i="4"/>
  <c r="L437" i="4"/>
  <c r="L426" i="4"/>
  <c r="L333" i="4"/>
  <c r="L383" i="4"/>
  <c r="L429" i="4"/>
  <c r="L434" i="4"/>
  <c r="L423" i="4"/>
  <c r="L392" i="4"/>
  <c r="L408" i="4"/>
  <c r="L433" i="4"/>
  <c r="L413" i="4"/>
  <c r="L414" i="4"/>
  <c r="L376" i="4"/>
  <c r="L419" i="4"/>
  <c r="L420" i="4"/>
  <c r="L441" i="4"/>
  <c r="L428" i="4"/>
  <c r="L425" i="4"/>
  <c r="L417" i="4"/>
  <c r="L390" i="4"/>
  <c r="L421" i="4"/>
  <c r="L418" i="4"/>
  <c r="L395" i="4"/>
  <c r="L388" i="4"/>
  <c r="L406" i="4"/>
  <c r="L431" i="4"/>
  <c r="L379" i="4"/>
  <c r="L385" i="4"/>
  <c r="L347" i="4"/>
  <c r="L424" i="4"/>
  <c r="L422" i="4"/>
  <c r="L430" i="4"/>
  <c r="L412" i="4"/>
  <c r="L415" i="4"/>
  <c r="L394" i="4"/>
  <c r="L358" i="4"/>
  <c r="L404" i="4"/>
  <c r="L355" i="4"/>
  <c r="L407" i="4"/>
  <c r="L401" i="4"/>
  <c r="L274" i="4"/>
  <c r="L400" i="4"/>
  <c r="L375" i="4"/>
  <c r="L398" i="4"/>
  <c r="L361" i="4"/>
  <c r="L351" i="4"/>
  <c r="L365" i="4"/>
  <c r="L377" i="4"/>
  <c r="L410" i="4"/>
  <c r="L403" i="4"/>
  <c r="L389" i="4"/>
  <c r="L449" i="4"/>
  <c r="L371" i="4"/>
  <c r="L359" i="4"/>
  <c r="L427" i="4"/>
  <c r="L369" i="4"/>
  <c r="L374" i="4"/>
  <c r="L387" i="4"/>
  <c r="L332" i="4"/>
  <c r="L378" i="4"/>
  <c r="L402" i="4"/>
  <c r="L380" i="4"/>
  <c r="L320" i="4"/>
  <c r="L356" i="4"/>
  <c r="L352" i="4"/>
  <c r="L363" i="4"/>
  <c r="L302" i="4"/>
  <c r="L409" i="4"/>
  <c r="L381" i="4"/>
  <c r="L360" i="4"/>
  <c r="L348" i="4"/>
  <c r="L276" i="4"/>
  <c r="L373" i="4"/>
  <c r="L349" i="4"/>
  <c r="L364" i="4"/>
  <c r="L337" i="4"/>
  <c r="L350" i="4"/>
  <c r="L366" i="4"/>
  <c r="L353" i="4"/>
  <c r="L290" i="4"/>
  <c r="L372" i="4"/>
  <c r="L368" i="4"/>
  <c r="L345" i="4"/>
  <c r="L318" i="4"/>
  <c r="L354" i="4"/>
  <c r="L325" i="4"/>
  <c r="L331" i="4"/>
  <c r="L316" i="4"/>
  <c r="L317" i="4"/>
  <c r="L343" i="4"/>
  <c r="L362" i="4"/>
  <c r="L341" i="4"/>
  <c r="L416" i="4"/>
  <c r="L305" i="4"/>
  <c r="L338" i="4"/>
  <c r="L306" i="4"/>
  <c r="L314" i="4"/>
  <c r="L460" i="4"/>
  <c r="L324" i="4"/>
  <c r="L263" i="4"/>
  <c r="L224" i="4"/>
  <c r="L311" i="4"/>
  <c r="L307" i="4"/>
  <c r="L344" i="4"/>
  <c r="L304" i="4"/>
  <c r="L312" i="4"/>
  <c r="L206" i="4"/>
  <c r="L342" i="4"/>
  <c r="L328" i="4"/>
  <c r="L339" i="4"/>
  <c r="L336" i="4"/>
  <c r="L335" i="4"/>
  <c r="L396" i="4"/>
  <c r="L319" i="4"/>
  <c r="L287" i="4"/>
  <c r="L323" i="4"/>
  <c r="L391" i="4"/>
  <c r="L293" i="4"/>
  <c r="L296" i="4"/>
  <c r="L261" i="4"/>
  <c r="L357" i="4"/>
  <c r="L297" i="4"/>
  <c r="L268" i="4"/>
  <c r="L313" i="4"/>
  <c r="L300" i="4"/>
  <c r="L267" i="4"/>
  <c r="L308" i="4"/>
  <c r="L289" i="4"/>
  <c r="L329" i="4"/>
  <c r="L326" i="4"/>
  <c r="L322" i="4"/>
  <c r="L292" i="4"/>
  <c r="L309" i="4"/>
  <c r="L275" i="4"/>
  <c r="L270" i="4"/>
  <c r="L370" i="4"/>
  <c r="L367" i="4"/>
  <c r="L334" i="4"/>
  <c r="L254" i="4"/>
  <c r="L134" i="4"/>
  <c r="L273" i="4"/>
  <c r="L277" i="4"/>
  <c r="L340" i="4"/>
  <c r="L294" i="4"/>
  <c r="L310" i="4"/>
  <c r="L252" i="4"/>
  <c r="L330" i="4"/>
  <c r="L327" i="4"/>
  <c r="L315" i="4"/>
  <c r="L272" i="4"/>
  <c r="L225" i="4"/>
  <c r="L269" i="4"/>
  <c r="L295" i="4"/>
  <c r="L283" i="4"/>
  <c r="L239" i="4"/>
  <c r="L279" i="4"/>
  <c r="L291" i="4"/>
  <c r="L286" i="4"/>
  <c r="L298" i="4"/>
  <c r="L301" i="4"/>
  <c r="L299" i="4"/>
  <c r="L233" i="4"/>
  <c r="L285" i="4"/>
  <c r="L303" i="4"/>
  <c r="L256" i="4"/>
  <c r="L346" i="4"/>
  <c r="L257" i="4"/>
  <c r="L235" i="4"/>
  <c r="L280" i="4"/>
  <c r="L217" i="4"/>
  <c r="L281" i="4"/>
  <c r="L284" i="4"/>
  <c r="L282" i="4"/>
  <c r="L232" i="4"/>
  <c r="L266" i="4"/>
  <c r="L253" i="4"/>
  <c r="L241" i="4"/>
  <c r="L278" i="4"/>
  <c r="L384" i="4"/>
  <c r="L264" i="4"/>
  <c r="L207" i="4"/>
  <c r="L250" i="4"/>
  <c r="L288" i="4"/>
  <c r="L240" i="4"/>
  <c r="L248" i="4"/>
  <c r="L321" i="4"/>
  <c r="L271" i="4"/>
  <c r="L245" i="4"/>
  <c r="L262" i="4"/>
  <c r="L255" i="4"/>
  <c r="L260" i="4"/>
  <c r="L244" i="4"/>
  <c r="L180" i="4"/>
  <c r="L220" i="4"/>
  <c r="L234" i="4"/>
  <c r="L238" i="4"/>
  <c r="L219" i="4"/>
  <c r="L222" i="4"/>
  <c r="L265" i="4"/>
  <c r="L243" i="4"/>
  <c r="L251" i="4"/>
  <c r="L236" i="4"/>
  <c r="L247" i="4"/>
  <c r="L188" i="4"/>
  <c r="L202" i="4"/>
  <c r="L196" i="4"/>
  <c r="L191" i="4"/>
  <c r="L168" i="4"/>
  <c r="L227" i="4"/>
  <c r="L162" i="4"/>
  <c r="L231" i="4"/>
  <c r="L237" i="4"/>
  <c r="L176" i="4"/>
  <c r="L226" i="4"/>
  <c r="L214" i="4"/>
  <c r="L242" i="4"/>
  <c r="L218" i="4"/>
  <c r="L211" i="4"/>
  <c r="L228" i="4"/>
  <c r="L204" i="4"/>
  <c r="L208" i="4"/>
  <c r="L203" i="4"/>
  <c r="L198" i="4"/>
  <c r="L223" i="4"/>
  <c r="L229" i="4"/>
  <c r="L209" i="4"/>
  <c r="L110" i="4"/>
  <c r="L216" i="4"/>
  <c r="L210" i="4"/>
  <c r="L171" i="4"/>
  <c r="L177" i="4"/>
  <c r="L197" i="4"/>
  <c r="L212" i="4"/>
  <c r="L195" i="4"/>
  <c r="L161" i="4"/>
  <c r="L194" i="4"/>
  <c r="L249" i="4"/>
  <c r="L205" i="4"/>
  <c r="L150" i="4"/>
  <c r="L158" i="4"/>
  <c r="L179" i="4"/>
  <c r="L182" i="4"/>
  <c r="L166" i="4"/>
  <c r="L193" i="4"/>
  <c r="L200" i="4"/>
  <c r="L170" i="4"/>
  <c r="L258" i="4"/>
  <c r="L215" i="4"/>
  <c r="L172" i="4"/>
  <c r="L213" i="4"/>
  <c r="L181" i="4"/>
  <c r="L199" i="4"/>
  <c r="L178" i="4"/>
  <c r="L190" i="4"/>
  <c r="L187" i="4"/>
  <c r="L186" i="4"/>
  <c r="L185" i="4"/>
  <c r="L184" i="4"/>
  <c r="L147" i="4"/>
  <c r="L192" i="4"/>
  <c r="L175" i="4"/>
  <c r="L135" i="4"/>
  <c r="L160" i="4"/>
  <c r="L174" i="4"/>
  <c r="L230" i="4"/>
  <c r="L259" i="4"/>
  <c r="L143" i="4"/>
  <c r="L201" i="4"/>
  <c r="L131" i="4"/>
  <c r="L155" i="4"/>
  <c r="L189" i="4"/>
  <c r="L119" i="4"/>
  <c r="L163" i="4"/>
  <c r="L139" i="4"/>
  <c r="L103" i="4"/>
  <c r="L140" i="4"/>
  <c r="L126" i="4"/>
  <c r="L153" i="4"/>
  <c r="L156" i="4"/>
  <c r="L149" i="4"/>
  <c r="L246" i="4"/>
  <c r="L148" i="4"/>
  <c r="L115" i="4"/>
  <c r="L183" i="4"/>
  <c r="L113" i="4"/>
  <c r="L91" i="4"/>
  <c r="L127" i="4"/>
  <c r="L169" i="4"/>
  <c r="L142" i="4"/>
  <c r="L173" i="4"/>
  <c r="L154" i="4"/>
  <c r="L146" i="4"/>
  <c r="L159" i="4"/>
  <c r="L123" i="4"/>
  <c r="L111" i="4"/>
  <c r="L167" i="4"/>
  <c r="L152" i="4"/>
  <c r="L137" i="4"/>
  <c r="L118" i="4"/>
  <c r="L128" i="4"/>
  <c r="L129" i="4"/>
  <c r="L138" i="4"/>
  <c r="L124" i="4"/>
  <c r="L221" i="4"/>
  <c r="L144" i="4"/>
  <c r="L165" i="4"/>
  <c r="L132" i="4"/>
  <c r="L23" i="4"/>
  <c r="L133" i="4"/>
  <c r="L136" i="4"/>
  <c r="L80" i="4"/>
  <c r="L88" i="4"/>
  <c r="L104" i="4"/>
  <c r="L164" i="4"/>
  <c r="L141" i="4"/>
  <c r="L48" i="4"/>
  <c r="L78" i="4"/>
  <c r="L122" i="4"/>
  <c r="L114" i="4"/>
  <c r="L102" i="4"/>
  <c r="L107" i="4"/>
  <c r="L112" i="4"/>
  <c r="L99" i="4"/>
  <c r="L116" i="4"/>
  <c r="L95" i="4"/>
  <c r="L76" i="4"/>
  <c r="L157" i="4"/>
  <c r="L98" i="4"/>
  <c r="L81" i="4"/>
  <c r="L97" i="4"/>
  <c r="L62" i="4"/>
  <c r="L90" i="4"/>
  <c r="L101" i="4"/>
  <c r="L125" i="4"/>
  <c r="L84" i="4"/>
  <c r="L121" i="4"/>
  <c r="L106" i="4"/>
  <c r="L117" i="4"/>
  <c r="L92" i="4"/>
  <c r="L64" i="4"/>
  <c r="L130" i="4"/>
  <c r="L73" i="4"/>
  <c r="L100" i="4"/>
  <c r="L58" i="4"/>
  <c r="L108" i="4"/>
  <c r="L60" i="4"/>
  <c r="L87" i="4"/>
  <c r="L120" i="4"/>
  <c r="L74" i="4"/>
  <c r="L53" i="4"/>
  <c r="L75" i="4"/>
  <c r="L151" i="4"/>
  <c r="L10" i="4"/>
  <c r="L51" i="4"/>
  <c r="L67" i="4"/>
  <c r="L96" i="4"/>
  <c r="L77" i="4"/>
  <c r="L82" i="4"/>
  <c r="L145" i="4"/>
  <c r="L89" i="4"/>
  <c r="L61" i="4"/>
  <c r="L45" i="4"/>
  <c r="L94" i="4"/>
  <c r="L65" i="4"/>
  <c r="L70" i="4"/>
  <c r="L68" i="4"/>
  <c r="L83" i="4"/>
  <c r="L57" i="4"/>
  <c r="L79" i="4"/>
  <c r="L85" i="4"/>
  <c r="L105" i="4"/>
  <c r="L69" i="4"/>
  <c r="L41" i="4"/>
  <c r="L86" i="4"/>
  <c r="L42" i="4"/>
  <c r="L93" i="4"/>
  <c r="L71" i="4"/>
  <c r="L49" i="4"/>
  <c r="L56" i="4"/>
  <c r="L31" i="4"/>
  <c r="L55" i="4"/>
  <c r="L63" i="4"/>
  <c r="L46" i="4"/>
  <c r="L109" i="4"/>
  <c r="L50" i="4"/>
  <c r="L59" i="4"/>
  <c r="L52" i="4"/>
  <c r="L47" i="4"/>
  <c r="L38" i="4"/>
  <c r="L54" i="4"/>
  <c r="L39" i="4"/>
  <c r="L44" i="4"/>
  <c r="L35" i="4"/>
  <c r="L40" i="4"/>
  <c r="L25" i="4"/>
  <c r="L33" i="4"/>
  <c r="L36" i="4"/>
  <c r="L21" i="4"/>
  <c r="L43" i="4"/>
  <c r="L30" i="4"/>
  <c r="L32" i="4"/>
  <c r="L20" i="4"/>
  <c r="L34" i="4"/>
  <c r="L26" i="4"/>
  <c r="L37" i="4"/>
  <c r="L27" i="4"/>
  <c r="L72" i="4"/>
  <c r="L28" i="4"/>
  <c r="L66" i="4"/>
  <c r="L24" i="4"/>
  <c r="L17" i="4"/>
  <c r="L18" i="4"/>
  <c r="L13" i="4"/>
  <c r="L29" i="4"/>
  <c r="L12" i="4"/>
  <c r="L22" i="4"/>
  <c r="L16" i="4"/>
  <c r="L15" i="4"/>
  <c r="L19" i="4"/>
  <c r="L7" i="4"/>
  <c r="L14" i="4"/>
  <c r="L11" i="4"/>
  <c r="L9" i="4"/>
  <c r="L8" i="4"/>
  <c r="L6" i="4"/>
  <c r="L4" i="4"/>
  <c r="L5" i="4"/>
  <c r="L3" i="4"/>
  <c r="L2" i="4"/>
  <c r="O2" i="4" l="1"/>
  <c r="L78" i="2"/>
  <c r="L48" i="2"/>
  <c r="L99" i="2"/>
  <c r="L63" i="2"/>
  <c r="L30" i="2"/>
  <c r="L29" i="2"/>
  <c r="L52" i="2"/>
  <c r="L101" i="2"/>
  <c r="L69" i="2"/>
  <c r="L95" i="2"/>
  <c r="L55" i="2"/>
  <c r="L23" i="2"/>
  <c r="L32" i="2"/>
  <c r="L89" i="2"/>
  <c r="L77" i="2"/>
  <c r="L83" i="2"/>
  <c r="L14" i="2"/>
  <c r="L80" i="2"/>
  <c r="L34" i="2"/>
  <c r="L98" i="2"/>
  <c r="L97" i="2"/>
  <c r="L100" i="2"/>
  <c r="L71" i="2"/>
  <c r="L6" i="2"/>
  <c r="L76" i="2"/>
  <c r="L93" i="2"/>
  <c r="L2" i="2"/>
  <c r="L66" i="2"/>
  <c r="L82" i="2"/>
  <c r="L37" i="2"/>
  <c r="L90" i="2"/>
  <c r="L67" i="2"/>
  <c r="L38" i="2"/>
  <c r="L22" i="2"/>
  <c r="L56" i="2"/>
  <c r="L92" i="2"/>
  <c r="L59" i="2"/>
  <c r="L50" i="2"/>
  <c r="L25" i="2"/>
  <c r="L72" i="2"/>
  <c r="L62" i="2"/>
  <c r="L11" i="2"/>
  <c r="L24" i="2"/>
  <c r="L74" i="2"/>
  <c r="L70" i="2"/>
  <c r="L28" i="2"/>
  <c r="L57" i="2"/>
  <c r="L5" i="2"/>
  <c r="L58" i="2"/>
  <c r="L3" i="2"/>
  <c r="L84" i="2"/>
  <c r="L73" i="2"/>
  <c r="L96" i="2"/>
  <c r="L54" i="2"/>
  <c r="L13" i="2"/>
  <c r="L21" i="2"/>
  <c r="L87" i="2"/>
  <c r="L75" i="2"/>
  <c r="L26" i="2"/>
  <c r="L46" i="2"/>
  <c r="L20" i="2"/>
  <c r="L19" i="2"/>
  <c r="L8" i="2"/>
  <c r="L9" i="2"/>
  <c r="L31" i="2"/>
  <c r="L64" i="2"/>
  <c r="L45" i="2"/>
  <c r="L33" i="2"/>
  <c r="L35" i="2"/>
  <c r="L81" i="2"/>
  <c r="L53" i="2"/>
  <c r="L47" i="2"/>
  <c r="L60" i="2"/>
  <c r="L79" i="2"/>
  <c r="L49" i="2"/>
  <c r="L16" i="2"/>
  <c r="L40" i="2"/>
  <c r="L94" i="2"/>
  <c r="L86" i="2"/>
  <c r="L44" i="2"/>
  <c r="L12" i="2"/>
  <c r="L42" i="2"/>
  <c r="L10" i="2"/>
  <c r="L15" i="2"/>
  <c r="L61" i="2"/>
  <c r="L39" i="2"/>
  <c r="L85" i="2"/>
  <c r="L36" i="2"/>
  <c r="L43" i="2"/>
  <c r="L91" i="2"/>
  <c r="L17" i="2"/>
  <c r="L88" i="2"/>
  <c r="L27" i="2"/>
  <c r="L68" i="2"/>
  <c r="L4" i="2"/>
  <c r="L51" i="2"/>
  <c r="L41" i="2"/>
  <c r="L7" i="2"/>
  <c r="L65" i="2"/>
  <c r="L18" i="2"/>
  <c r="M46" i="4" l="1"/>
  <c r="M91" i="4"/>
  <c r="M480" i="4"/>
  <c r="M15" i="4"/>
  <c r="N15" i="4" s="1"/>
  <c r="M120" i="4"/>
  <c r="N120" i="4" s="1"/>
  <c r="M3" i="4"/>
  <c r="N3" i="4" s="1"/>
  <c r="M17" i="4"/>
  <c r="N17" i="4" s="1"/>
  <c r="M10" i="4"/>
  <c r="N10" i="4" s="1"/>
  <c r="M31" i="4"/>
  <c r="M13" i="4"/>
  <c r="M11" i="4"/>
  <c r="M484" i="4"/>
  <c r="M66" i="4"/>
  <c r="M458" i="4"/>
  <c r="N458" i="4" s="1"/>
  <c r="M419" i="4"/>
  <c r="N419" i="4" s="1"/>
  <c r="M43" i="4"/>
  <c r="N43" i="4" s="1"/>
  <c r="M180" i="4"/>
  <c r="M45" i="4"/>
  <c r="M81" i="4"/>
  <c r="N81" i="4" s="1"/>
  <c r="M14" i="4"/>
  <c r="N14" i="4" s="1"/>
  <c r="M464" i="4"/>
  <c r="N464" i="4" s="1"/>
  <c r="M487" i="4"/>
  <c r="M276" i="4"/>
  <c r="N276" i="4" s="1"/>
  <c r="M117" i="4"/>
  <c r="N117" i="4" s="1"/>
  <c r="M253" i="4"/>
  <c r="M269" i="4"/>
  <c r="M174" i="4"/>
  <c r="M334" i="4"/>
  <c r="M424" i="4"/>
  <c r="M488" i="4"/>
  <c r="N488" i="4" s="1"/>
  <c r="M196" i="4"/>
  <c r="N196" i="4" s="1"/>
  <c r="M153" i="4"/>
  <c r="N153" i="4" s="1"/>
  <c r="M198" i="4"/>
  <c r="M65" i="4"/>
  <c r="M71" i="4"/>
  <c r="N71" i="4" s="1"/>
  <c r="M363" i="4"/>
  <c r="N363" i="4" s="1"/>
  <c r="M133" i="4"/>
  <c r="M23" i="4"/>
  <c r="N23" i="4" s="1"/>
  <c r="M156" i="4"/>
  <c r="N156" i="4" s="1"/>
  <c r="M417" i="4"/>
  <c r="N417" i="4" s="1"/>
  <c r="M169" i="4"/>
  <c r="M20" i="4"/>
  <c r="M262" i="4"/>
  <c r="M166" i="4"/>
  <c r="N166" i="4" s="1"/>
  <c r="M26" i="4"/>
  <c r="N26" i="4" s="1"/>
  <c r="M7" i="4"/>
  <c r="N7" i="4" s="1"/>
  <c r="M50" i="4"/>
  <c r="N50" i="4" s="1"/>
  <c r="M61" i="4"/>
  <c r="N61" i="4" s="1"/>
  <c r="M84" i="4"/>
  <c r="M283" i="4"/>
  <c r="M19" i="4"/>
  <c r="N19" i="4" s="1"/>
  <c r="M219" i="4"/>
  <c r="M455" i="4"/>
  <c r="N455" i="4" s="1"/>
  <c r="M449" i="4"/>
  <c r="N449" i="4" s="1"/>
  <c r="M181" i="4"/>
  <c r="N181" i="4" s="1"/>
  <c r="M377" i="4"/>
  <c r="N377" i="4" s="1"/>
  <c r="M118" i="4"/>
  <c r="M176" i="4"/>
  <c r="M35" i="4"/>
  <c r="N35" i="4" s="1"/>
  <c r="M55" i="4"/>
  <c r="N55" i="4" s="1"/>
  <c r="M41" i="4"/>
  <c r="N41" i="4" s="1"/>
  <c r="M340" i="4"/>
  <c r="N340" i="4" s="1"/>
  <c r="M375" i="4"/>
  <c r="N375" i="4" s="1"/>
  <c r="M475" i="4"/>
  <c r="N475" i="4" s="1"/>
  <c r="M18" i="4"/>
  <c r="M52" i="4"/>
  <c r="M246" i="4"/>
  <c r="N246" i="4" s="1"/>
  <c r="M299" i="4"/>
  <c r="N299" i="4" s="1"/>
  <c r="M306" i="4"/>
  <c r="N306" i="4" s="1"/>
  <c r="M28" i="4"/>
  <c r="N28" i="4" s="1"/>
  <c r="M429" i="4"/>
  <c r="N429" i="4" s="1"/>
  <c r="M374" i="4"/>
  <c r="N374" i="4" s="1"/>
  <c r="M310" i="4"/>
  <c r="M303" i="4"/>
  <c r="M412" i="4"/>
  <c r="N412" i="4" s="1"/>
  <c r="M389" i="4"/>
  <c r="N389" i="4" s="1"/>
  <c r="M361" i="4"/>
  <c r="N361" i="4" s="1"/>
  <c r="M8" i="4"/>
  <c r="N8" i="4" s="1"/>
  <c r="M209" i="4"/>
  <c r="N209" i="4" s="1"/>
  <c r="M106" i="4"/>
  <c r="N106" i="4" s="1"/>
  <c r="M433" i="4"/>
  <c r="M241" i="4"/>
  <c r="M205" i="4"/>
  <c r="N205" i="4" s="1"/>
  <c r="M200" i="4"/>
  <c r="N200" i="4" s="1"/>
  <c r="M438" i="4"/>
  <c r="N438" i="4" s="1"/>
  <c r="M402" i="4"/>
  <c r="N402" i="4" s="1"/>
  <c r="M83" i="4"/>
  <c r="N83" i="4" s="1"/>
  <c r="M380" i="4"/>
  <c r="N380" i="4" s="1"/>
  <c r="M16" i="4"/>
  <c r="M278" i="4"/>
  <c r="M368" i="4"/>
  <c r="N368" i="4" s="1"/>
  <c r="M365" i="4"/>
  <c r="N365" i="4" s="1"/>
  <c r="M256" i="4"/>
  <c r="N256" i="4" s="1"/>
  <c r="M356" i="4"/>
  <c r="N356" i="4" s="1"/>
  <c r="M142" i="4"/>
  <c r="N142" i="4" s="1"/>
  <c r="M302" i="4"/>
  <c r="N302" i="4" s="1"/>
  <c r="M137" i="4"/>
  <c r="M94" i="4"/>
  <c r="M148" i="4"/>
  <c r="N148" i="4" s="1"/>
  <c r="M403" i="4"/>
  <c r="N403" i="4" s="1"/>
  <c r="M138" i="4"/>
  <c r="N138" i="4" s="1"/>
  <c r="M116" i="4"/>
  <c r="N116" i="4" s="1"/>
  <c r="M237" i="4"/>
  <c r="N237" i="4" s="1"/>
  <c r="M342" i="4"/>
  <c r="N342" i="4" s="1"/>
  <c r="M222" i="4"/>
  <c r="M244" i="4"/>
  <c r="N244" i="4" s="1"/>
  <c r="M48" i="4"/>
  <c r="N48" i="4" s="1"/>
  <c r="M128" i="4"/>
  <c r="M379" i="4"/>
  <c r="N379" i="4" s="1"/>
  <c r="M87" i="4"/>
  <c r="N87" i="4" s="1"/>
  <c r="M5" i="4"/>
  <c r="N5" i="4" s="1"/>
  <c r="M287" i="4"/>
  <c r="N287" i="4" s="1"/>
  <c r="M164" i="4"/>
  <c r="M295" i="4"/>
  <c r="M130" i="4"/>
  <c r="N130" i="4" s="1"/>
  <c r="M112" i="4"/>
  <c r="N112" i="4" s="1"/>
  <c r="M384" i="4"/>
  <c r="N384" i="4" s="1"/>
  <c r="M124" i="4"/>
  <c r="N124" i="4" s="1"/>
  <c r="M357" i="4"/>
  <c r="N357" i="4" s="1"/>
  <c r="M60" i="4"/>
  <c r="N60" i="4" s="1"/>
  <c r="M123" i="4"/>
  <c r="M387" i="4"/>
  <c r="N387" i="4" s="1"/>
  <c r="M320" i="4"/>
  <c r="N320" i="4" s="1"/>
  <c r="M189" i="4"/>
  <c r="N189" i="4" s="1"/>
  <c r="M159" i="4"/>
  <c r="N159" i="4" s="1"/>
  <c r="M72" i="4"/>
  <c r="N72" i="4" s="1"/>
  <c r="M104" i="4"/>
  <c r="N104" i="4" s="1"/>
  <c r="M129" i="4"/>
  <c r="N129" i="4" s="1"/>
  <c r="M245" i="4"/>
  <c r="M392" i="4"/>
  <c r="N392" i="4" s="1"/>
  <c r="M154" i="4"/>
  <c r="N154" i="4" s="1"/>
  <c r="M416" i="4"/>
  <c r="N416" i="4" s="1"/>
  <c r="M491" i="4"/>
  <c r="N491" i="4" s="1"/>
  <c r="M57" i="4"/>
  <c r="N57" i="4" s="1"/>
  <c r="M188" i="4"/>
  <c r="N188" i="4" s="1"/>
  <c r="M86" i="4"/>
  <c r="N86" i="4" s="1"/>
  <c r="M208" i="4"/>
  <c r="M157" i="4"/>
  <c r="M184" i="4"/>
  <c r="N184" i="4" s="1"/>
  <c r="M12" i="4"/>
  <c r="N12" i="4" s="1"/>
  <c r="M359" i="4"/>
  <c r="N359" i="4" s="1"/>
  <c r="M62" i="4"/>
  <c r="N62" i="4" s="1"/>
  <c r="M141" i="4"/>
  <c r="N141" i="4" s="1"/>
  <c r="M140" i="4"/>
  <c r="N140" i="4" s="1"/>
  <c r="M185" i="4"/>
  <c r="M224" i="4"/>
  <c r="M172" i="4"/>
  <c r="N172" i="4" s="1"/>
  <c r="M422" i="4"/>
  <c r="N422" i="4" s="1"/>
  <c r="M225" i="4"/>
  <c r="N225" i="4" s="1"/>
  <c r="M186" i="4"/>
  <c r="N186" i="4" s="1"/>
  <c r="M238" i="4"/>
  <c r="N238" i="4" s="1"/>
  <c r="M197" i="4"/>
  <c r="N197" i="4" s="1"/>
  <c r="M147" i="4"/>
  <c r="M236" i="4"/>
  <c r="N236" i="4" s="1"/>
  <c r="M243" i="4"/>
  <c r="N243" i="4" s="1"/>
  <c r="M190" i="4"/>
  <c r="N190" i="4" s="1"/>
  <c r="M203" i="4"/>
  <c r="N203" i="4" s="1"/>
  <c r="M271" i="4"/>
  <c r="N271" i="4" s="1"/>
  <c r="M297" i="4"/>
  <c r="N297" i="4" s="1"/>
  <c r="M38" i="4"/>
  <c r="N38" i="4" s="1"/>
  <c r="M33" i="4"/>
  <c r="M425" i="4"/>
  <c r="N425" i="4" s="1"/>
  <c r="M125" i="4"/>
  <c r="N125" i="4" s="1"/>
  <c r="M30" i="4"/>
  <c r="N30" i="4" s="1"/>
  <c r="M346" i="4"/>
  <c r="N346" i="4" s="1"/>
  <c r="M211" i="4"/>
  <c r="N211" i="4" s="1"/>
  <c r="M199" i="4"/>
  <c r="N199" i="4" s="1"/>
  <c r="M388" i="4"/>
  <c r="N388" i="4" s="1"/>
  <c r="M328" i="4"/>
  <c r="M250" i="4"/>
  <c r="M440" i="4"/>
  <c r="N440" i="4" s="1"/>
  <c r="M168" i="4"/>
  <c r="N168" i="4" s="1"/>
  <c r="M195" i="4"/>
  <c r="N195" i="4" s="1"/>
  <c r="M167" i="4"/>
  <c r="N167" i="4" s="1"/>
  <c r="M114" i="4"/>
  <c r="N114" i="4" s="1"/>
  <c r="M477" i="4"/>
  <c r="N477" i="4" s="1"/>
  <c r="M226" i="4"/>
  <c r="M218" i="4"/>
  <c r="M101" i="4"/>
  <c r="N101" i="4" s="1"/>
  <c r="M162" i="4"/>
  <c r="N162" i="4" s="1"/>
  <c r="M344" i="4"/>
  <c r="N344" i="4" s="1"/>
  <c r="M248" i="4"/>
  <c r="N248" i="4" s="1"/>
  <c r="M331" i="4"/>
  <c r="N331" i="4" s="1"/>
  <c r="M135" i="4"/>
  <c r="N135" i="4" s="1"/>
  <c r="M352" i="4"/>
  <c r="M370" i="4"/>
  <c r="N370" i="4" s="1"/>
  <c r="M327" i="4"/>
  <c r="N327" i="4" s="1"/>
  <c r="M454" i="4"/>
  <c r="N454" i="4" s="1"/>
  <c r="M155" i="4"/>
  <c r="N155" i="4" s="1"/>
  <c r="M75" i="4"/>
  <c r="N75" i="4" s="1"/>
  <c r="M207" i="4"/>
  <c r="N207" i="4" s="1"/>
  <c r="M293" i="4"/>
  <c r="N293" i="4" s="1"/>
  <c r="M251" i="4"/>
  <c r="M187" i="4"/>
  <c r="M255" i="4"/>
  <c r="N255" i="4" s="1"/>
  <c r="M229" i="4"/>
  <c r="N229" i="4" s="1"/>
  <c r="M351" i="4"/>
  <c r="N351" i="4" s="1"/>
  <c r="M240" i="4"/>
  <c r="N240" i="4" s="1"/>
  <c r="M110" i="4"/>
  <c r="N110" i="4" s="1"/>
  <c r="M469" i="4"/>
  <c r="N469" i="4" s="1"/>
  <c r="M315" i="4"/>
  <c r="M158" i="4"/>
  <c r="M265" i="4"/>
  <c r="N265" i="4" s="1"/>
  <c r="M322" i="4"/>
  <c r="N322" i="4" s="1"/>
  <c r="M242" i="4"/>
  <c r="N242" i="4" s="1"/>
  <c r="M323" i="4"/>
  <c r="N323" i="4" s="1"/>
  <c r="M88" i="4"/>
  <c r="N88" i="4" s="1"/>
  <c r="M332" i="4"/>
  <c r="N332" i="4" s="1"/>
  <c r="M266" i="4"/>
  <c r="M308" i="4"/>
  <c r="N308" i="4" s="1"/>
  <c r="M108" i="4"/>
  <c r="N108" i="4" s="1"/>
  <c r="M426" i="4"/>
  <c r="N426" i="4" s="1"/>
  <c r="M173" i="4"/>
  <c r="N173" i="4" s="1"/>
  <c r="M143" i="4"/>
  <c r="N143" i="4" s="1"/>
  <c r="M393" i="4"/>
  <c r="N393" i="4" s="1"/>
  <c r="M67" i="4"/>
  <c r="N67" i="4" s="1"/>
  <c r="M482" i="4"/>
  <c r="M273" i="4"/>
  <c r="M145" i="4"/>
  <c r="N145" i="4" s="1"/>
  <c r="M63" i="4"/>
  <c r="N63" i="4" s="1"/>
  <c r="M413" i="4"/>
  <c r="N413" i="4" s="1"/>
  <c r="M459" i="4"/>
  <c r="N459" i="4" s="1"/>
  <c r="M183" i="4"/>
  <c r="N183" i="4" s="1"/>
  <c r="M428" i="4"/>
  <c r="N428" i="4" s="1"/>
  <c r="M354" i="4"/>
  <c r="M474" i="4"/>
  <c r="M442" i="4"/>
  <c r="N442" i="4" s="1"/>
  <c r="M492" i="4"/>
  <c r="N492" i="4" s="1"/>
  <c r="M27" i="4"/>
  <c r="N27" i="4" s="1"/>
  <c r="M21" i="4"/>
  <c r="N21" i="4" s="1"/>
  <c r="M34" i="4"/>
  <c r="N34" i="4" s="1"/>
  <c r="M96" i="4"/>
  <c r="N96" i="4" s="1"/>
  <c r="M77" i="4"/>
  <c r="M82" i="4"/>
  <c r="N82" i="4" s="1"/>
  <c r="M493" i="4"/>
  <c r="N493" i="4" s="1"/>
  <c r="M321" i="4"/>
  <c r="N321" i="4" s="1"/>
  <c r="M247" i="4"/>
  <c r="N247" i="4" s="1"/>
  <c r="M121" i="4"/>
  <c r="N121" i="4" s="1"/>
  <c r="M391" i="4"/>
  <c r="N391" i="4" s="1"/>
  <c r="M289" i="4"/>
  <c r="N289" i="4" s="1"/>
  <c r="M394" i="4"/>
  <c r="M99" i="4"/>
  <c r="N99" i="4" s="1"/>
  <c r="M223" i="4"/>
  <c r="N223" i="4" s="1"/>
  <c r="M76" i="4"/>
  <c r="M25" i="4"/>
  <c r="N25" i="4" s="1"/>
  <c r="M427" i="4"/>
  <c r="N427" i="4" s="1"/>
  <c r="M89" i="4"/>
  <c r="N89" i="4" s="1"/>
  <c r="M260" i="4"/>
  <c r="N260" i="4" s="1"/>
  <c r="M443" i="4"/>
  <c r="M150" i="4"/>
  <c r="N150" i="4" s="1"/>
  <c r="M324" i="4"/>
  <c r="N324" i="4" s="1"/>
  <c r="M232" i="4"/>
  <c r="N232" i="4" s="1"/>
  <c r="M420" i="4"/>
  <c r="N420" i="4" s="1"/>
  <c r="M353" i="4"/>
  <c r="N353" i="4" s="1"/>
  <c r="M294" i="4"/>
  <c r="N294" i="4" s="1"/>
  <c r="M47" i="4"/>
  <c r="N47" i="4" s="1"/>
  <c r="M372" i="4"/>
  <c r="M100" i="4"/>
  <c r="N100" i="4" s="1"/>
  <c r="M386" i="4"/>
  <c r="M296" i="4"/>
  <c r="N296" i="4" s="1"/>
  <c r="M463" i="4"/>
  <c r="N463" i="4" s="1"/>
  <c r="M93" i="4"/>
  <c r="N93" i="4" s="1"/>
  <c r="M113" i="4"/>
  <c r="N113" i="4" s="1"/>
  <c r="M79" i="4"/>
  <c r="N79" i="4" s="1"/>
  <c r="M291" i="4"/>
  <c r="M115" i="4"/>
  <c r="M252" i="4"/>
  <c r="N252" i="4" s="1"/>
  <c r="M312" i="4"/>
  <c r="N312" i="4" s="1"/>
  <c r="M423" i="4"/>
  <c r="N423" i="4" s="1"/>
  <c r="M74" i="4"/>
  <c r="N74" i="4" s="1"/>
  <c r="M343" i="4"/>
  <c r="N343" i="4" s="1"/>
  <c r="M329" i="4"/>
  <c r="N329" i="4" s="1"/>
  <c r="M193" i="4"/>
  <c r="M160" i="4"/>
  <c r="N160" i="4" s="1"/>
  <c r="M366" i="4"/>
  <c r="N366" i="4" s="1"/>
  <c r="M109" i="4"/>
  <c r="N109" i="4" s="1"/>
  <c r="M2" i="4"/>
  <c r="N2" i="4" s="1"/>
  <c r="M376" i="4"/>
  <c r="N376" i="4" s="1"/>
  <c r="M214" i="4"/>
  <c r="N214" i="4" s="1"/>
  <c r="M213" i="4"/>
  <c r="N213" i="4" s="1"/>
  <c r="M59" i="4"/>
  <c r="M494" i="4"/>
  <c r="N494" i="4" s="1"/>
  <c r="M311" i="4"/>
  <c r="N311" i="4" s="1"/>
  <c r="M382" i="4"/>
  <c r="N382" i="4" s="1"/>
  <c r="M221" i="4"/>
  <c r="N221" i="4" s="1"/>
  <c r="M279" i="4"/>
  <c r="N279" i="4" s="1"/>
  <c r="M37" i="4"/>
  <c r="N37" i="4" s="1"/>
  <c r="M270" i="4"/>
  <c r="N270" i="4" s="1"/>
  <c r="M319" i="4"/>
  <c r="M430" i="4"/>
  <c r="N430" i="4" s="1"/>
  <c r="M290" i="4"/>
  <c r="N290" i="4" s="1"/>
  <c r="M364" i="4"/>
  <c r="N364" i="4" s="1"/>
  <c r="M468" i="4"/>
  <c r="N468" i="4" s="1"/>
  <c r="M330" i="4"/>
  <c r="N330" i="4" s="1"/>
  <c r="M490" i="4"/>
  <c r="N490" i="4" s="1"/>
  <c r="M228" i="4"/>
  <c r="N228" i="4" s="1"/>
  <c r="M216" i="4"/>
  <c r="M336" i="4"/>
  <c r="M122" i="4"/>
  <c r="N122" i="4" s="1"/>
  <c r="M202" i="4"/>
  <c r="N202" i="4" s="1"/>
  <c r="M348" i="4"/>
  <c r="N348" i="4" s="1"/>
  <c r="M466" i="4"/>
  <c r="N466" i="4" s="1"/>
  <c r="M335" i="4"/>
  <c r="N335" i="4" s="1"/>
  <c r="M414" i="4"/>
  <c r="N414" i="4" s="1"/>
  <c r="M281" i="4"/>
  <c r="M275" i="4"/>
  <c r="N275" i="4" s="1"/>
  <c r="M274" i="4"/>
  <c r="N274" i="4" s="1"/>
  <c r="M457" i="4"/>
  <c r="N457" i="4" s="1"/>
  <c r="M292" i="4"/>
  <c r="N292" i="4" s="1"/>
  <c r="M78" i="4"/>
  <c r="N78" i="4" s="1"/>
  <c r="M39" i="4"/>
  <c r="N39" i="4" s="1"/>
  <c r="M56" i="4"/>
  <c r="N56" i="4" s="1"/>
  <c r="M497" i="4"/>
  <c r="N497" i="4" s="1"/>
  <c r="M390" i="4"/>
  <c r="N390" i="4" s="1"/>
  <c r="M58" i="4"/>
  <c r="N58" i="4" s="1"/>
  <c r="M280" i="4"/>
  <c r="N280" i="4" s="1"/>
  <c r="M456" i="4"/>
  <c r="N456" i="4" s="1"/>
  <c r="M175" i="4"/>
  <c r="N175" i="4" s="1"/>
  <c r="M465" i="4"/>
  <c r="N465" i="4" s="1"/>
  <c r="M210" i="4"/>
  <c r="N210" i="4" s="1"/>
  <c r="M68" i="4"/>
  <c r="M383" i="4"/>
  <c r="N383" i="4" s="1"/>
  <c r="M301" i="4"/>
  <c r="N301" i="4" s="1"/>
  <c r="M161" i="4"/>
  <c r="N161" i="4" s="1"/>
  <c r="M360" i="4"/>
  <c r="N360" i="4" s="1"/>
  <c r="M479" i="4"/>
  <c r="N479" i="4" s="1"/>
  <c r="M178" i="4"/>
  <c r="N178" i="4" s="1"/>
  <c r="M97" i="4"/>
  <c r="N97" i="4" s="1"/>
  <c r="M410" i="4"/>
  <c r="M371" i="4"/>
  <c r="M105" i="4"/>
  <c r="N105" i="4" s="1"/>
  <c r="M467" i="4"/>
  <c r="N467" i="4" s="1"/>
  <c r="M90" i="4"/>
  <c r="N90" i="4" s="1"/>
  <c r="M111" i="4"/>
  <c r="N111" i="4" s="1"/>
  <c r="M69" i="4"/>
  <c r="N69" i="4" s="1"/>
  <c r="M217" i="4"/>
  <c r="N217" i="4" s="1"/>
  <c r="M314" i="4"/>
  <c r="M22" i="4"/>
  <c r="M325" i="4"/>
  <c r="M318" i="4"/>
  <c r="N318" i="4" s="1"/>
  <c r="M406" i="4"/>
  <c r="N406" i="4" s="1"/>
  <c r="M461" i="4"/>
  <c r="N461" i="4" s="1"/>
  <c r="M471" i="4"/>
  <c r="N471" i="4" s="1"/>
  <c r="M385" i="4"/>
  <c r="N385" i="4" s="1"/>
  <c r="M182" i="4"/>
  <c r="M126" i="4"/>
  <c r="N126" i="4" s="1"/>
  <c r="M445" i="4"/>
  <c r="N445" i="4" s="1"/>
  <c r="M220" i="4"/>
  <c r="N220" i="4" s="1"/>
  <c r="M434" i="4"/>
  <c r="N434" i="4" s="1"/>
  <c r="M163" i="4"/>
  <c r="N163" i="4" s="1"/>
  <c r="M339" i="4"/>
  <c r="N339" i="4" s="1"/>
  <c r="M136" i="4"/>
  <c r="N136" i="4" s="1"/>
  <c r="M254" i="4"/>
  <c r="M85" i="4"/>
  <c r="N85" i="4" s="1"/>
  <c r="M397" i="4"/>
  <c r="M431" i="4"/>
  <c r="N431" i="4" s="1"/>
  <c r="M284" i="4"/>
  <c r="N284" i="4" s="1"/>
  <c r="M119" i="4"/>
  <c r="N119" i="4" s="1"/>
  <c r="M460" i="4"/>
  <c r="N460" i="4" s="1"/>
  <c r="M170" i="4"/>
  <c r="N170" i="4" s="1"/>
  <c r="M277" i="4"/>
  <c r="M350" i="4"/>
  <c r="N350" i="4" s="1"/>
  <c r="M378" i="4"/>
  <c r="N378" i="4" s="1"/>
  <c r="M261" i="4"/>
  <c r="N261" i="4" s="1"/>
  <c r="M102" i="4"/>
  <c r="N102" i="4" s="1"/>
  <c r="M298" i="4"/>
  <c r="N298" i="4" s="1"/>
  <c r="M239" i="4"/>
  <c r="N239" i="4" s="1"/>
  <c r="M326" i="4"/>
  <c r="N326" i="4" s="1"/>
  <c r="M309" i="4"/>
  <c r="M215" i="4"/>
  <c r="N215" i="4" s="1"/>
  <c r="M304" i="4"/>
  <c r="N304" i="4" s="1"/>
  <c r="M411" i="4"/>
  <c r="N411" i="4" s="1"/>
  <c r="M230" i="4"/>
  <c r="N230" i="4" s="1"/>
  <c r="M171" i="4"/>
  <c r="N171" i="4" s="1"/>
  <c r="M267" i="4"/>
  <c r="N267" i="4" s="1"/>
  <c r="M421" i="4"/>
  <c r="N421" i="4" s="1"/>
  <c r="M362" i="4"/>
  <c r="M345" i="4"/>
  <c r="M446" i="4"/>
  <c r="N446" i="4" s="1"/>
  <c r="M452" i="4"/>
  <c r="N452" i="4" s="1"/>
  <c r="M144" i="4"/>
  <c r="N144" i="4" s="1"/>
  <c r="M405" i="4"/>
  <c r="N405" i="4" s="1"/>
  <c r="M249" i="4"/>
  <c r="N249" i="4" s="1"/>
  <c r="M206" i="4"/>
  <c r="N206" i="4" s="1"/>
  <c r="M300" i="4"/>
  <c r="M272" i="4"/>
  <c r="M227" i="4"/>
  <c r="N227" i="4" s="1"/>
  <c r="M53" i="4"/>
  <c r="N53" i="4" s="1"/>
  <c r="M24" i="4"/>
  <c r="N24" i="4" s="1"/>
  <c r="M409" i="4"/>
  <c r="N409" i="4" s="1"/>
  <c r="M132" i="4"/>
  <c r="N132" i="4" s="1"/>
  <c r="M98" i="4"/>
  <c r="N98" i="4" s="1"/>
  <c r="M44" i="4"/>
  <c r="M450" i="4"/>
  <c r="N450" i="4" s="1"/>
  <c r="M201" i="4"/>
  <c r="M341" i="4"/>
  <c r="N341" i="4" s="1"/>
  <c r="M381" i="4"/>
  <c r="N381" i="4" s="1"/>
  <c r="M418" i="4"/>
  <c r="N418" i="4" s="1"/>
  <c r="M146" i="4"/>
  <c r="N146" i="4" s="1"/>
  <c r="M338" i="4"/>
  <c r="N338" i="4" s="1"/>
  <c r="M103" i="4"/>
  <c r="M400" i="4"/>
  <c r="N400" i="4" s="1"/>
  <c r="M192" i="4"/>
  <c r="N192" i="4" s="1"/>
  <c r="M204" i="4"/>
  <c r="N204" i="4" s="1"/>
  <c r="M473" i="4"/>
  <c r="N473" i="4" s="1"/>
  <c r="M131" i="4"/>
  <c r="N131" i="4" s="1"/>
  <c r="M367" i="4"/>
  <c r="N367" i="4" s="1"/>
  <c r="M436" i="4"/>
  <c r="N436" i="4" s="1"/>
  <c r="M231" i="4"/>
  <c r="M444" i="4"/>
  <c r="N444" i="4" s="1"/>
  <c r="M4" i="4"/>
  <c r="N4" i="4" s="1"/>
  <c r="M337" i="4"/>
  <c r="N337" i="4" s="1"/>
  <c r="M257" i="4"/>
  <c r="N257" i="4" s="1"/>
  <c r="M151" i="4"/>
  <c r="N151" i="4" s="1"/>
  <c r="M396" i="4"/>
  <c r="N396" i="4" s="1"/>
  <c r="M70" i="4"/>
  <c r="N70" i="4" s="1"/>
  <c r="M462" i="4"/>
  <c r="M282" i="4"/>
  <c r="N282" i="4" s="1"/>
  <c r="M92" i="4"/>
  <c r="N92" i="4" s="1"/>
  <c r="M481" i="4"/>
  <c r="N481" i="4" s="1"/>
  <c r="M453" i="4"/>
  <c r="N453" i="4" s="1"/>
  <c r="M49" i="4"/>
  <c r="N49" i="4" s="1"/>
  <c r="M40" i="4"/>
  <c r="N40" i="4" s="1"/>
  <c r="M358" i="4"/>
  <c r="N358" i="4" s="1"/>
  <c r="M435" i="4"/>
  <c r="M32" i="4"/>
  <c r="N32" i="4" s="1"/>
  <c r="M259" i="4"/>
  <c r="N259" i="4" s="1"/>
  <c r="M407" i="4"/>
  <c r="N407" i="4" s="1"/>
  <c r="M165" i="4"/>
  <c r="N165" i="4" s="1"/>
  <c r="M36" i="4"/>
  <c r="N36" i="4" s="1"/>
  <c r="M286" i="4"/>
  <c r="N286" i="4" s="1"/>
  <c r="M478" i="4"/>
  <c r="N478" i="4" s="1"/>
  <c r="M333" i="4"/>
  <c r="M258" i="4"/>
  <c r="M285" i="4"/>
  <c r="N285" i="4" s="1"/>
  <c r="M42" i="4"/>
  <c r="N42" i="4" s="1"/>
  <c r="M212" i="4"/>
  <c r="N212" i="4" s="1"/>
  <c r="M317" i="4"/>
  <c r="N317" i="4" s="1"/>
  <c r="M73" i="4"/>
  <c r="N73" i="4" s="1"/>
  <c r="M127" i="4"/>
  <c r="N127" i="4" s="1"/>
  <c r="M448" i="4"/>
  <c r="M485" i="4"/>
  <c r="N485" i="4" s="1"/>
  <c r="M355" i="4"/>
  <c r="N355" i="4" s="1"/>
  <c r="M194" i="4"/>
  <c r="N194" i="4" s="1"/>
  <c r="M483" i="4"/>
  <c r="N483" i="4" s="1"/>
  <c r="M268" i="4"/>
  <c r="N268" i="4" s="1"/>
  <c r="M51" i="4"/>
  <c r="N51" i="4" s="1"/>
  <c r="M439" i="4"/>
  <c r="N439" i="4" s="1"/>
  <c r="M316" i="4"/>
  <c r="M29" i="4"/>
  <c r="N29" i="4" s="1"/>
  <c r="M437" i="4"/>
  <c r="N437" i="4" s="1"/>
  <c r="M408" i="4"/>
  <c r="N408" i="4" s="1"/>
  <c r="M80" i="4"/>
  <c r="N80" i="4" s="1"/>
  <c r="M401" i="4"/>
  <c r="N401" i="4" s="1"/>
  <c r="M134" i="4"/>
  <c r="N134" i="4" s="1"/>
  <c r="M152" i="4"/>
  <c r="N152" i="4" s="1"/>
  <c r="M149" i="4"/>
  <c r="M313" i="4"/>
  <c r="N313" i="4" s="1"/>
  <c r="M179" i="4"/>
  <c r="M235" i="4"/>
  <c r="N235" i="4" s="1"/>
  <c r="M399" i="4"/>
  <c r="N399" i="4" s="1"/>
  <c r="M139" i="4"/>
  <c r="N139" i="4" s="1"/>
  <c r="M95" i="4"/>
  <c r="N95" i="4" s="1"/>
  <c r="M107" i="4"/>
  <c r="N107" i="4" s="1"/>
  <c r="M495" i="4"/>
  <c r="M451" i="4"/>
  <c r="M54" i="4"/>
  <c r="N54" i="4" s="1"/>
  <c r="M476" i="4"/>
  <c r="N476" i="4" s="1"/>
  <c r="M470" i="4"/>
  <c r="N470" i="4" s="1"/>
  <c r="M263" i="4"/>
  <c r="N263" i="4" s="1"/>
  <c r="M288" i="4"/>
  <c r="N288" i="4" s="1"/>
  <c r="M395" i="4"/>
  <c r="N395" i="4" s="1"/>
  <c r="M415" i="4"/>
  <c r="M6" i="4"/>
  <c r="N6" i="4" s="1"/>
  <c r="M9" i="4"/>
  <c r="N9" i="4" s="1"/>
  <c r="M447" i="4"/>
  <c r="N447" i="4" s="1"/>
  <c r="M307" i="4"/>
  <c r="N307" i="4" s="1"/>
  <c r="M305" i="4"/>
  <c r="N305" i="4" s="1"/>
  <c r="M369" i="4"/>
  <c r="N369" i="4" s="1"/>
  <c r="M486" i="4"/>
  <c r="N486" i="4" s="1"/>
  <c r="M233" i="4"/>
  <c r="M404" i="4"/>
  <c r="M234" i="4"/>
  <c r="N234" i="4" s="1"/>
  <c r="M398" i="4"/>
  <c r="N398" i="4" s="1"/>
  <c r="M191" i="4"/>
  <c r="N191" i="4" s="1"/>
  <c r="M432" i="4"/>
  <c r="N432" i="4" s="1"/>
  <c r="M349" i="4"/>
  <c r="N349" i="4" s="1"/>
  <c r="M496" i="4"/>
  <c r="N496" i="4" s="1"/>
  <c r="M373" i="4"/>
  <c r="M264" i="4"/>
  <c r="M177" i="4"/>
  <c r="N177" i="4" s="1"/>
  <c r="M472" i="4"/>
  <c r="N472" i="4" s="1"/>
  <c r="M347" i="4"/>
  <c r="N347" i="4" s="1"/>
  <c r="M489" i="4"/>
  <c r="N489" i="4" s="1"/>
  <c r="M64" i="4"/>
  <c r="N64" i="4" s="1"/>
  <c r="M441" i="4"/>
  <c r="N441" i="4" s="1"/>
  <c r="N31" i="4"/>
  <c r="N13" i="4"/>
  <c r="N11" i="4"/>
  <c r="N484" i="4"/>
  <c r="N66" i="4"/>
  <c r="N180" i="4"/>
  <c r="N45" i="4"/>
  <c r="N487" i="4"/>
  <c r="N253" i="4"/>
  <c r="N269" i="4"/>
  <c r="N174" i="4"/>
  <c r="N334" i="4"/>
  <c r="N424" i="4"/>
  <c r="N198" i="4"/>
  <c r="N65" i="4"/>
  <c r="N133" i="4"/>
  <c r="N169" i="4"/>
  <c r="N20" i="4"/>
  <c r="N262" i="4"/>
  <c r="N84" i="4"/>
  <c r="N283" i="4"/>
  <c r="N219" i="4"/>
  <c r="N118" i="4"/>
  <c r="N176" i="4"/>
  <c r="N18" i="4"/>
  <c r="N52" i="4"/>
  <c r="N310" i="4"/>
  <c r="N303" i="4"/>
  <c r="N433" i="4"/>
  <c r="N241" i="4"/>
  <c r="N16" i="4"/>
  <c r="N278" i="4"/>
  <c r="N137" i="4"/>
  <c r="N94" i="4"/>
  <c r="N222" i="4"/>
  <c r="N128" i="4"/>
  <c r="N164" i="4"/>
  <c r="N295" i="4"/>
  <c r="N123" i="4"/>
  <c r="N245" i="4"/>
  <c r="N208" i="4"/>
  <c r="N157" i="4"/>
  <c r="N185" i="4"/>
  <c r="N224" i="4"/>
  <c r="N147" i="4"/>
  <c r="N33" i="4"/>
  <c r="N328" i="4"/>
  <c r="N250" i="4"/>
  <c r="N226" i="4"/>
  <c r="N218" i="4"/>
  <c r="N352" i="4"/>
  <c r="N251" i="4"/>
  <c r="N187" i="4"/>
  <c r="N315" i="4"/>
  <c r="N158" i="4"/>
  <c r="N266" i="4"/>
  <c r="N482" i="4"/>
  <c r="N273" i="4"/>
  <c r="N354" i="4"/>
  <c r="N474" i="4"/>
  <c r="N77" i="4"/>
  <c r="N394" i="4"/>
  <c r="N76" i="4"/>
  <c r="N443" i="4"/>
  <c r="N372" i="4"/>
  <c r="N386" i="4"/>
  <c r="N291" i="4"/>
  <c r="N115" i="4"/>
  <c r="N193" i="4"/>
  <c r="N59" i="4"/>
  <c r="N319" i="4"/>
  <c r="N216" i="4"/>
  <c r="N336" i="4"/>
  <c r="N281" i="4"/>
  <c r="N68" i="4"/>
  <c r="N410" i="4"/>
  <c r="N371" i="4"/>
  <c r="N314" i="4"/>
  <c r="N22" i="4"/>
  <c r="N325" i="4"/>
  <c r="N182" i="4"/>
  <c r="N254" i="4"/>
  <c r="N397" i="4"/>
  <c r="N277" i="4"/>
  <c r="N309" i="4"/>
  <c r="N362" i="4"/>
  <c r="N345" i="4"/>
  <c r="N300" i="4"/>
  <c r="N272" i="4"/>
  <c r="N44" i="4"/>
  <c r="N201" i="4"/>
  <c r="N103" i="4"/>
  <c r="N231" i="4"/>
  <c r="N462" i="4"/>
  <c r="N435" i="4"/>
  <c r="N333" i="4"/>
  <c r="N258" i="4"/>
  <c r="N448" i="4"/>
  <c r="N316" i="4"/>
  <c r="N149" i="4"/>
  <c r="N179" i="4"/>
  <c r="N495" i="4"/>
  <c r="N451" i="4"/>
  <c r="N415" i="4"/>
  <c r="N233" i="4"/>
  <c r="N404" i="4"/>
  <c r="N373" i="4"/>
  <c r="N264" i="4"/>
  <c r="N46" i="4"/>
  <c r="N91" i="4"/>
  <c r="N480" i="4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M46" i="2"/>
  <c r="M25" i="2"/>
  <c r="M88" i="2"/>
  <c r="M8" i="2"/>
  <c r="M20" i="2"/>
  <c r="M16" i="2"/>
  <c r="M44" i="2"/>
  <c r="M43" i="2"/>
  <c r="M39" i="2"/>
  <c r="M18" i="2"/>
  <c r="M59" i="2"/>
  <c r="M36" i="2"/>
  <c r="M53" i="2"/>
  <c r="M5" i="2"/>
  <c r="M31" i="2"/>
  <c r="M63" i="2"/>
  <c r="M42" i="2"/>
  <c r="M41" i="2"/>
  <c r="M26" i="2"/>
  <c r="M21" i="2"/>
  <c r="M57" i="2"/>
  <c r="M35" i="2"/>
  <c r="M79" i="2"/>
  <c r="M37" i="2"/>
  <c r="M17" i="2"/>
  <c r="M68" i="2"/>
  <c r="M40" i="2"/>
  <c r="M54" i="2"/>
  <c r="M4" i="2"/>
  <c r="M69" i="2"/>
  <c r="M27" i="2"/>
  <c r="M67" i="2"/>
  <c r="M7" i="2"/>
  <c r="M23" i="2"/>
  <c r="M84" i="2"/>
  <c r="M38" i="2"/>
  <c r="M97" i="2"/>
  <c r="M51" i="2"/>
  <c r="M49" i="2"/>
  <c r="M62" i="2"/>
  <c r="M86" i="2"/>
  <c r="M48" i="2"/>
  <c r="M61" i="2"/>
  <c r="M2" i="2"/>
  <c r="M74" i="2"/>
  <c r="M83" i="2"/>
  <c r="M72" i="2"/>
  <c r="M56" i="2"/>
  <c r="M55" i="2"/>
  <c r="M45" i="2"/>
  <c r="M3" i="2"/>
  <c r="M11" i="2"/>
  <c r="M65" i="2"/>
  <c r="M32" i="2"/>
  <c r="M29" i="2"/>
  <c r="M100" i="2"/>
  <c r="M58" i="2"/>
  <c r="M14" i="2"/>
  <c r="M71" i="2"/>
  <c r="M64" i="2"/>
  <c r="M50" i="2"/>
  <c r="M73" i="2"/>
  <c r="M22" i="2"/>
  <c r="M15" i="2"/>
  <c r="M76" i="2"/>
  <c r="M33" i="2"/>
  <c r="M10" i="2"/>
  <c r="M47" i="2"/>
  <c r="M34" i="2"/>
  <c r="M24" i="2"/>
  <c r="M12" i="2"/>
  <c r="M19" i="2"/>
  <c r="M77" i="2"/>
  <c r="M92" i="2"/>
  <c r="M82" i="2"/>
  <c r="M90" i="2"/>
  <c r="M52" i="2"/>
  <c r="M81" i="2"/>
  <c r="M60" i="2"/>
  <c r="M6" i="2"/>
  <c r="M96" i="2"/>
  <c r="M80" i="2"/>
  <c r="M28" i="2"/>
  <c r="M66" i="2"/>
  <c r="M70" i="2"/>
  <c r="M13" i="2"/>
  <c r="M30" i="2"/>
  <c r="M87" i="2"/>
  <c r="M9" i="2"/>
  <c r="M91" i="2"/>
  <c r="M98" i="2"/>
  <c r="M101" i="2"/>
  <c r="M89" i="2"/>
  <c r="M93" i="2"/>
  <c r="M94" i="2"/>
  <c r="M99" i="2"/>
  <c r="M85" i="2"/>
  <c r="M75" i="2"/>
  <c r="M95" i="2"/>
  <c r="M78" i="2"/>
  <c r="O3" i="4" l="1"/>
  <c r="O46" i="4"/>
  <c r="O120" i="4"/>
  <c r="O15" i="4"/>
  <c r="O441" i="4"/>
  <c r="O480" i="4"/>
  <c r="O91" i="4"/>
  <c r="O19" i="4"/>
  <c r="O451" i="4"/>
  <c r="O43" i="4"/>
  <c r="O133" i="4"/>
  <c r="O455" i="4"/>
  <c r="O486" i="4"/>
  <c r="O76" i="4"/>
  <c r="O77" i="4"/>
  <c r="O147" i="4"/>
  <c r="O253" i="4"/>
  <c r="O235" i="4"/>
  <c r="O13" i="4"/>
  <c r="O289" i="4"/>
  <c r="O328" i="4"/>
  <c r="O186" i="4"/>
  <c r="O335" i="4"/>
  <c r="O460" i="4"/>
  <c r="O84" i="4"/>
  <c r="O344" i="4"/>
  <c r="O363" i="4"/>
  <c r="O275" i="4"/>
  <c r="O264" i="4"/>
  <c r="O156" i="4"/>
  <c r="O270" i="4"/>
  <c r="O424" i="4"/>
  <c r="O185" i="4"/>
  <c r="O99" i="4"/>
  <c r="O88" i="4"/>
  <c r="O454" i="4"/>
  <c r="O280" i="4"/>
  <c r="O219" i="4"/>
  <c r="O444" i="4"/>
  <c r="O408" i="4"/>
  <c r="O278" i="4"/>
  <c r="O140" i="4"/>
  <c r="O29" i="4"/>
  <c r="O61" i="4"/>
  <c r="O267" i="4"/>
  <c r="O21" i="4"/>
  <c r="O223" i="4"/>
  <c r="O493" i="4"/>
  <c r="O417" i="4"/>
  <c r="O210" i="4"/>
  <c r="O251" i="4"/>
  <c r="O394" i="4"/>
  <c r="O202" i="4"/>
  <c r="O436" i="4"/>
  <c r="O117" i="4"/>
  <c r="O104" i="4"/>
  <c r="O205" i="4"/>
  <c r="O149" i="4"/>
  <c r="O138" i="4"/>
  <c r="O189" i="4"/>
  <c r="O244" i="4"/>
  <c r="O301" i="4"/>
  <c r="O174" i="4"/>
  <c r="O115" i="4"/>
  <c r="O196" i="4"/>
  <c r="O178" i="4"/>
  <c r="O281" i="4"/>
  <c r="O150" i="4"/>
  <c r="O226" i="4"/>
  <c r="O469" i="4"/>
  <c r="O412" i="4"/>
  <c r="O248" i="4"/>
  <c r="O47" i="4"/>
  <c r="O449" i="4"/>
  <c r="O70" i="4"/>
  <c r="O470" i="4"/>
  <c r="O92" i="4"/>
  <c r="O390" i="4"/>
  <c r="O487" i="4"/>
  <c r="O283" i="4"/>
  <c r="O461" i="4"/>
  <c r="O272" i="4"/>
  <c r="O380" i="4"/>
  <c r="O172" i="4"/>
  <c r="O146" i="4"/>
  <c r="O483" i="4"/>
  <c r="O339" i="4"/>
  <c r="O49" i="4"/>
  <c r="O67" i="4"/>
  <c r="O181" i="4"/>
  <c r="O42" i="4"/>
  <c r="O33" i="4"/>
  <c r="O430" i="4"/>
  <c r="O320" i="4"/>
  <c r="O44" i="4"/>
  <c r="O256" i="4"/>
  <c r="O261" i="4"/>
  <c r="O464" i="4"/>
  <c r="O227" i="4"/>
  <c r="O445" i="4"/>
  <c r="O276" i="4"/>
  <c r="O145" i="4"/>
  <c r="O252" i="4"/>
  <c r="O260" i="4"/>
  <c r="O82" i="4"/>
  <c r="O195" i="4"/>
  <c r="O247" i="4"/>
  <c r="O116" i="4"/>
  <c r="O168" i="4"/>
  <c r="O485" i="4"/>
  <c r="O222" i="4"/>
  <c r="O83" i="4"/>
  <c r="O374" i="4"/>
  <c r="O81" i="4"/>
  <c r="O123" i="4"/>
  <c r="O55" i="4"/>
  <c r="O353" i="4"/>
  <c r="O141" i="4"/>
  <c r="O51" i="4"/>
  <c r="O220" i="4"/>
  <c r="O279" i="4"/>
  <c r="O229" i="4"/>
  <c r="O69" i="4"/>
  <c r="O103" i="4"/>
  <c r="O421" i="4"/>
  <c r="O359" i="4"/>
  <c r="O114" i="4"/>
  <c r="O471" i="4"/>
  <c r="O198" i="4"/>
  <c r="O130" i="4"/>
  <c r="O351" i="4"/>
  <c r="O362" i="4"/>
  <c r="O87" i="4"/>
  <c r="O315" i="4"/>
  <c r="O53" i="4"/>
  <c r="O230" i="4"/>
  <c r="O90" i="4"/>
  <c r="O101" i="4"/>
  <c r="O155" i="4"/>
  <c r="O398" i="4"/>
  <c r="O221" i="4"/>
  <c r="O330" i="4"/>
  <c r="O410" i="4"/>
  <c r="O68" i="4"/>
  <c r="O311" i="4"/>
  <c r="O137" i="4"/>
  <c r="O50" i="4"/>
  <c r="O254" i="4"/>
  <c r="O324" i="4"/>
  <c r="O411" i="4"/>
  <c r="O292" i="4"/>
  <c r="O10" i="4"/>
  <c r="O79" i="4"/>
  <c r="O274" i="4"/>
  <c r="O26" i="4"/>
  <c r="O375" i="4"/>
  <c r="O467" i="4"/>
  <c r="O397" i="4"/>
  <c r="O420" i="4"/>
  <c r="O57" i="4"/>
  <c r="O232" i="4"/>
  <c r="O318" i="4"/>
  <c r="O381" i="4"/>
  <c r="O80" i="4"/>
  <c r="O439" i="4"/>
  <c r="O208" i="4"/>
  <c r="O126" i="4"/>
  <c r="O18" i="4"/>
  <c r="O199" i="4"/>
  <c r="O48" i="4"/>
  <c r="O153" i="4"/>
  <c r="O350" i="4"/>
  <c r="O60" i="4"/>
  <c r="O319" i="4"/>
  <c r="O262" i="4"/>
  <c r="O192" i="4"/>
  <c r="O370" i="4"/>
  <c r="O468" i="4"/>
  <c r="O383" i="4"/>
  <c r="O479" i="4"/>
  <c r="O405" i="4"/>
  <c r="O12" i="4"/>
  <c r="O45" i="4"/>
  <c r="O197" i="4"/>
  <c r="O322" i="4"/>
  <c r="O271" i="4"/>
  <c r="O135" i="4"/>
  <c r="O290" i="4"/>
  <c r="O378" i="4"/>
  <c r="O112" i="4"/>
  <c r="O250" i="4"/>
  <c r="O171" i="4"/>
  <c r="O302" i="4"/>
  <c r="O309" i="4"/>
  <c r="O151" i="4"/>
  <c r="O206" i="4"/>
  <c r="O482" i="4"/>
  <c r="O440" i="4"/>
  <c r="O95" i="4"/>
  <c r="O233" i="4"/>
  <c r="O159" i="4"/>
  <c r="O144" i="4"/>
  <c r="O201" i="4"/>
  <c r="O218" i="4"/>
  <c r="O237" i="4"/>
  <c r="O255" i="4"/>
  <c r="O406" i="4"/>
  <c r="O466" i="4"/>
  <c r="O303" i="4"/>
  <c r="O154" i="4"/>
  <c r="O365" i="4"/>
  <c r="O102" i="4"/>
  <c r="O8" i="4"/>
  <c r="O182" i="4"/>
  <c r="O35" i="4"/>
  <c r="O121" i="4"/>
  <c r="O214" i="4"/>
  <c r="O491" i="4"/>
  <c r="O268" i="4"/>
  <c r="O41" i="4"/>
  <c r="O385" i="4"/>
  <c r="O368" i="4"/>
  <c r="O443" i="4"/>
  <c r="O243" i="4"/>
  <c r="O291" i="4"/>
  <c r="O477" i="4"/>
  <c r="O295" i="4"/>
  <c r="O494" i="4"/>
  <c r="O284" i="4"/>
  <c r="O128" i="4"/>
  <c r="O242" i="4"/>
  <c r="O258" i="4"/>
  <c r="O62" i="4"/>
  <c r="O98" i="4"/>
  <c r="O193" i="4"/>
  <c r="O203" i="4"/>
  <c r="O65" i="4"/>
  <c r="O495" i="4"/>
  <c r="O148" i="4"/>
  <c r="O142" i="4"/>
  <c r="O298" i="4"/>
  <c r="O366" i="4"/>
  <c r="O129" i="4"/>
  <c r="O414" i="4"/>
  <c r="O355" i="4"/>
  <c r="O30" i="4"/>
  <c r="O343" i="4"/>
  <c r="O372" i="4"/>
  <c r="O66" i="4"/>
  <c r="O209" i="4"/>
  <c r="O39" i="4"/>
  <c r="O24" i="4"/>
  <c r="O323" i="4"/>
  <c r="O86" i="4"/>
  <c r="O97" i="4"/>
  <c r="O167" i="4"/>
  <c r="O136" i="4"/>
  <c r="O325" i="4"/>
  <c r="O110" i="4"/>
  <c r="O228" i="4"/>
  <c r="O265" i="4"/>
  <c r="O459" i="4"/>
  <c r="O465" i="4"/>
  <c r="O386" i="4"/>
  <c r="O341" i="4"/>
  <c r="O111" i="4"/>
  <c r="O361" i="4"/>
  <c r="O266" i="4"/>
  <c r="O245" i="4"/>
  <c r="O446" i="4"/>
  <c r="O158" i="4"/>
  <c r="O240" i="4"/>
  <c r="O75" i="4"/>
  <c r="O217" i="4"/>
  <c r="O358" i="4"/>
  <c r="O453" i="4"/>
  <c r="O134" i="4"/>
  <c r="O173" i="4"/>
  <c r="O334" i="4"/>
  <c r="O400" i="4"/>
  <c r="O458" i="4"/>
  <c r="O238" i="4"/>
  <c r="O282" i="4"/>
  <c r="O164" i="4"/>
  <c r="O403" i="4"/>
  <c r="O457" i="4"/>
  <c r="O216" i="4"/>
  <c r="O213" i="4"/>
  <c r="O269" i="4"/>
  <c r="O166" i="4"/>
  <c r="O496" i="4"/>
  <c r="O58" i="4"/>
  <c r="O416" i="4"/>
  <c r="O478" i="4"/>
  <c r="O23" i="4"/>
  <c r="O399" i="4"/>
  <c r="O125" i="4"/>
  <c r="O40" i="4"/>
  <c r="O165" i="4"/>
  <c r="O308" i="4"/>
  <c r="O297" i="4"/>
  <c r="O72" i="4"/>
  <c r="O204" i="4"/>
  <c r="O59" i="4"/>
  <c r="O492" i="4"/>
  <c r="O285" i="4"/>
  <c r="O184" i="4"/>
  <c r="O389" i="4"/>
  <c r="O180" i="4"/>
  <c r="O124" i="4"/>
  <c r="O305" i="4"/>
  <c r="O85" i="4"/>
  <c r="O377" i="4"/>
  <c r="O379" i="4"/>
  <c r="O432" i="4"/>
  <c r="O188" i="4"/>
  <c r="O382" i="4"/>
  <c r="O348" i="4"/>
  <c r="O52" i="4"/>
  <c r="O294" i="4"/>
  <c r="O437" i="4"/>
  <c r="O342" i="4"/>
  <c r="O20" i="4"/>
  <c r="O170" i="4"/>
  <c r="O354" i="4"/>
  <c r="O360" i="4"/>
  <c r="O376" i="4"/>
  <c r="O333" i="4"/>
  <c r="O132" i="4"/>
  <c r="O345" i="4"/>
  <c r="O426" i="4"/>
  <c r="O93" i="4"/>
  <c r="O160" i="4"/>
  <c r="O476" i="4"/>
  <c r="O422" i="4"/>
  <c r="O293" i="4"/>
  <c r="O419" i="4"/>
  <c r="O212" i="4"/>
  <c r="O489" i="4"/>
  <c r="O200" i="4"/>
  <c r="O106" i="4"/>
  <c r="O463" i="4"/>
  <c r="O387" i="4"/>
  <c r="O395" i="4"/>
  <c r="O161" i="4"/>
  <c r="O388" i="4"/>
  <c r="O296" i="4"/>
  <c r="O175" i="4"/>
  <c r="O236" i="4"/>
  <c r="O273" i="4"/>
  <c r="O413" i="4"/>
  <c r="O462" i="4"/>
  <c r="O118" i="4"/>
  <c r="O447" i="4"/>
  <c r="O427" i="4"/>
  <c r="O234" i="4"/>
  <c r="O314" i="4"/>
  <c r="O162" i="4"/>
  <c r="O356" i="4"/>
  <c r="O336" i="4"/>
  <c r="O326" i="4"/>
  <c r="O316" i="4"/>
  <c r="O481" i="4"/>
  <c r="O371" i="4"/>
  <c r="O428" i="4"/>
  <c r="O215" i="4"/>
  <c r="O391" i="4"/>
  <c r="O409" i="4"/>
  <c r="O56" i="4"/>
  <c r="O373" i="4"/>
  <c r="O94" i="4"/>
  <c r="O331" i="4"/>
  <c r="O25" i="4"/>
  <c r="O277" i="4"/>
  <c r="O299" i="4"/>
  <c r="O7" i="4"/>
  <c r="O452" i="4"/>
  <c r="O231" i="4"/>
  <c r="O286" i="4"/>
  <c r="O31" i="4"/>
  <c r="O122" i="4"/>
  <c r="O5" i="4"/>
  <c r="O127" i="4"/>
  <c r="O9" i="4"/>
  <c r="O224" i="4"/>
  <c r="O119" i="4"/>
  <c r="O143" i="4"/>
  <c r="O28" i="4"/>
  <c r="O37" i="4"/>
  <c r="O4" i="4"/>
  <c r="O190" i="4"/>
  <c r="O321" i="4"/>
  <c r="O113" i="4"/>
  <c r="O357" i="4"/>
  <c r="O194" i="4"/>
  <c r="O346" i="4"/>
  <c r="O332" i="4"/>
  <c r="O100" i="4"/>
  <c r="O36" i="4"/>
  <c r="O337" i="4"/>
  <c r="O312" i="4"/>
  <c r="O163" i="4"/>
  <c r="O63" i="4"/>
  <c r="O157" i="4"/>
  <c r="O392" i="4"/>
  <c r="O38" i="4"/>
  <c r="O27" i="4"/>
  <c r="O497" i="4"/>
  <c r="O16" i="4"/>
  <c r="O152" i="4"/>
  <c r="O425" i="4"/>
  <c r="O96" i="4"/>
  <c r="O396" i="4"/>
  <c r="O34" i="4"/>
  <c r="O429" i="4"/>
  <c r="O179" i="4"/>
  <c r="O108" i="4"/>
  <c r="O473" i="4"/>
  <c r="O71" i="4"/>
  <c r="O490" i="4"/>
  <c r="O105" i="4"/>
  <c r="O402" i="4"/>
  <c r="O131" i="4"/>
  <c r="O407" i="4"/>
  <c r="O369" i="4"/>
  <c r="O225" i="4"/>
  <c r="O434" i="4"/>
  <c r="O11" i="4"/>
  <c r="O263" i="4"/>
  <c r="O338" i="4"/>
  <c r="O73" i="4"/>
  <c r="O176" i="4"/>
  <c r="O401" i="4"/>
  <c r="O109" i="4"/>
  <c r="O304" i="4"/>
  <c r="O239" i="4"/>
  <c r="O456" i="4"/>
  <c r="O423" i="4"/>
  <c r="O310" i="4"/>
  <c r="O329" i="4"/>
  <c r="O22" i="4"/>
  <c r="O259" i="4"/>
  <c r="O89" i="4"/>
  <c r="O450" i="4"/>
  <c r="O249" i="4"/>
  <c r="O448" i="4"/>
  <c r="O183" i="4"/>
  <c r="O431" i="4"/>
  <c r="O74" i="4"/>
  <c r="O472" i="4"/>
  <c r="O340" i="4"/>
  <c r="O367" i="4"/>
  <c r="O78" i="4"/>
  <c r="O313" i="4"/>
  <c r="O317" i="4"/>
  <c r="O442" i="4"/>
  <c r="O207" i="4"/>
  <c r="O418" i="4"/>
  <c r="O364" i="4"/>
  <c r="O484" i="4"/>
  <c r="O433" i="4"/>
  <c r="O64" i="4"/>
  <c r="O307" i="4"/>
  <c r="O257" i="4"/>
  <c r="O384" i="4"/>
  <c r="O177" i="4"/>
  <c r="O300" i="4"/>
  <c r="O32" i="4"/>
  <c r="O435" i="4"/>
  <c r="O54" i="4"/>
  <c r="O211" i="4"/>
  <c r="O107" i="4"/>
  <c r="O241" i="4"/>
  <c r="O327" i="4"/>
  <c r="O6" i="4"/>
  <c r="O475" i="4"/>
  <c r="O14" i="4"/>
  <c r="O306" i="4"/>
  <c r="O169" i="4"/>
  <c r="O404" i="4"/>
  <c r="O349" i="4"/>
  <c r="O352" i="4"/>
  <c r="O191" i="4"/>
  <c r="O246" i="4"/>
  <c r="O415" i="4"/>
  <c r="O17" i="4"/>
  <c r="O438" i="4"/>
  <c r="O187" i="4"/>
  <c r="O287" i="4"/>
  <c r="O488" i="4"/>
  <c r="O288" i="4"/>
  <c r="O347" i="4"/>
  <c r="O139" i="4"/>
  <c r="O393" i="4"/>
  <c r="O474" i="4"/>
</calcChain>
</file>

<file path=xl/sharedStrings.xml><?xml version="1.0" encoding="utf-8"?>
<sst xmlns="http://schemas.openxmlformats.org/spreadsheetml/2006/main" count="2154" uniqueCount="1587">
  <si>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</si>
  <si>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</si>
  <si>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</si>
  <si>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</si>
  <si>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</si>
  <si>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</si>
  <si>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</si>
  <si>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</si>
  <si>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</si>
  <si>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</si>
  <si>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</si>
  <si>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</si>
  <si>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</si>
  <si>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</si>
  <si>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</si>
  <si>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</si>
  <si>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</si>
  <si>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</si>
  <si>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</si>
  <si>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</si>
  <si>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</si>
  <si>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</si>
  <si>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</si>
  <si>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</si>
  <si>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</si>
  <si>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</si>
  <si>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</si>
  <si>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</si>
  <si>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</si>
  <si>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</si>
  <si>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</si>
  <si>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</si>
  <si>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</si>
  <si>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</si>
  <si>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</si>
  <si>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</si>
  <si>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</si>
  <si>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</si>
  <si>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</si>
  <si>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</si>
  <si>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</si>
  <si>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</si>
  <si>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</si>
  <si>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</si>
  <si>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</si>
  <si>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</si>
  <si>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</si>
  <si>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</si>
  <si>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</si>
  <si>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</si>
  <si>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</si>
  <si>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</si>
  <si>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</si>
  <si>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</si>
  <si>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</si>
  <si>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</si>
  <si>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</si>
  <si>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</si>
  <si>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</si>
  <si>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</si>
  <si>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</si>
  <si>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</si>
  <si>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</si>
  <si>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</si>
  <si>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</si>
  <si>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</si>
  <si>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</si>
  <si>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</si>
  <si>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</si>
  <si>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</si>
  <si>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</si>
  <si>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</si>
  <si>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</si>
  <si>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</si>
  <si>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</si>
  <si>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</si>
  <si>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</si>
  <si>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</si>
  <si>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</si>
  <si>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</si>
  <si>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</si>
  <si>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</si>
  <si>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</si>
  <si>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</si>
  <si>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</si>
  <si>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</si>
  <si>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</si>
  <si>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</si>
  <si>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</si>
  <si>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</si>
  <si>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</si>
  <si>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</si>
  <si>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</si>
  <si>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</si>
  <si>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</si>
  <si>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</si>
  <si>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</si>
  <si>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</si>
  <si>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</si>
  <si>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</si>
  <si>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</si>
  <si>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</si>
  <si>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</si>
  <si>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</si>
  <si>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</si>
  <si>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</si>
  <si>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</si>
  <si>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</si>
  <si>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</si>
  <si>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</si>
  <si>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</si>
  <si>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</si>
  <si>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</si>
  <si>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</si>
  <si>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</si>
  <si>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</si>
  <si>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</si>
  <si>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</si>
  <si>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"AbbVie Inc. Common Stock"</t>
  </si>
  <si>
    <t>"Abbott Laboratories Common Stoc"</t>
  </si>
  <si>
    <t>"American International Group, I"</t>
  </si>
  <si>
    <t>"Allstate Corporation (The) Comm"</t>
  </si>
  <si>
    <t>"Amgen Inc."</t>
  </si>
  <si>
    <t>"Amazon.com, Inc."</t>
  </si>
  <si>
    <t>N/A</t>
  </si>
  <si>
    <t>"Apache Corporation Common Stock"</t>
  </si>
  <si>
    <t>"Anadarko Petroleum Corporation "</t>
  </si>
  <si>
    <t>"American Express Company Common"</t>
  </si>
  <si>
    <t>"Boeing Company (The) Common Sto"</t>
  </si>
  <si>
    <t>"Baxter International Inc. Commo"</t>
  </si>
  <si>
    <t>"Bank of New York Mellon Corpora"</t>
  </si>
  <si>
    <t>"Bristol-Myers Squibb Company Co"</t>
  </si>
  <si>
    <t>"Caterpillar, Inc. Common Stock"</t>
  </si>
  <si>
    <t>"Colgate-Palmolive Company Commo"</t>
  </si>
  <si>
    <t>"Comcast Corporation"</t>
  </si>
  <si>
    <t>"ConocoPhillips Common Stock"</t>
  </si>
  <si>
    <t>"Costco Wholesale Corporation"</t>
  </si>
  <si>
    <t>"Cisco Systems, Inc."</t>
  </si>
  <si>
    <t>"CVS Health Corporation Common S"</t>
  </si>
  <si>
    <t>"Chevron Corporation Common Stoc"</t>
  </si>
  <si>
    <t>"E.I. du Pont de Nemours and Com"</t>
  </si>
  <si>
    <t>"Walt Disney Company (The) Commo"</t>
  </si>
  <si>
    <t>"Dow Chemical Company (The) Comm"</t>
  </si>
  <si>
    <t>"Devon Energy Corporation Common"</t>
  </si>
  <si>
    <t>"eBay Inc."</t>
  </si>
  <si>
    <t>"Emerson Electric Company Common"</t>
  </si>
  <si>
    <t>"Exelon Corporation Common Stock"</t>
  </si>
  <si>
    <t>"Ford Motor Company Common Stock"</t>
  </si>
  <si>
    <t>"Facebook, Inc."</t>
  </si>
  <si>
    <t>"Freeport-McMoRan, Inc. Common S"</t>
  </si>
  <si>
    <t>"FedEx Corporation Common Stock"</t>
  </si>
  <si>
    <t>"Twenty-First Century Fox, Inc."</t>
  </si>
  <si>
    <t>"General Dynamics Corporation Co"</t>
  </si>
  <si>
    <t>"General Electric Company Common"</t>
  </si>
  <si>
    <t>"Gilead Sciences, Inc."</t>
  </si>
  <si>
    <t>"General Motors Company Common S"</t>
  </si>
  <si>
    <t>"Halliburton Company Common Stoc"</t>
  </si>
  <si>
    <t>"Home Depot, Inc. (The) Common S"</t>
  </si>
  <si>
    <t>"Honeywell International Inc. Co"</t>
  </si>
  <si>
    <t>"International Business Machines"</t>
  </si>
  <si>
    <t>"Intel Corporation"</t>
  </si>
  <si>
    <t>"Johnson &amp; Johnson Common Stock"</t>
  </si>
  <si>
    <t>"Coca-Cola Company (The) Common "</t>
  </si>
  <si>
    <t>"Eli Lilly and Company Common St"</t>
  </si>
  <si>
    <t>"Lockheed Martin Corporation Com"</t>
  </si>
  <si>
    <t>"Lowe's Companies, Inc. Common S"</t>
  </si>
  <si>
    <t>"Mastercard Incorporated Common "</t>
  </si>
  <si>
    <t>"McDonald's Corporation Common S"</t>
  </si>
  <si>
    <t>"Mondelez International, Inc."</t>
  </si>
  <si>
    <t>"Medtronic plc. Ordinary Shares"</t>
  </si>
  <si>
    <t>"MetLife, Inc. Common Stock"</t>
  </si>
  <si>
    <t>"3M Company Common Stock"</t>
  </si>
  <si>
    <t>"Altria Group, Inc."</t>
  </si>
  <si>
    <t>"Monsanto Company Common Stock"</t>
  </si>
  <si>
    <t>"Merck &amp; Company, Inc. Common St"</t>
  </si>
  <si>
    <t>"Microsoft Corporation"</t>
  </si>
  <si>
    <t>"Nike, Inc. Common Stock"</t>
  </si>
  <si>
    <t>"National Oilwell Varco, Inc. Co"</t>
  </si>
  <si>
    <t>"Norfolk Southern Corporation Co"</t>
  </si>
  <si>
    <t>"Oracle Corporation Common Stock"</t>
  </si>
  <si>
    <t>"Occidental Petroleum Corporatio"</t>
  </si>
  <si>
    <t>"Pepsico, Inc. Common Stock"</t>
  </si>
  <si>
    <t>"Pfizer, Inc. Common Stock"</t>
  </si>
  <si>
    <t>"Procter &amp; Gamble Company (The) "</t>
  </si>
  <si>
    <t>"Philip Morris International Inc"</t>
  </si>
  <si>
    <t>"QUALCOMM Incorporated"</t>
  </si>
  <si>
    <t>"Raytheon Company Common Stock"</t>
  </si>
  <si>
    <t>"Starbucks Corporation"</t>
  </si>
  <si>
    <t>"Schlumberger N.V. Common Stock"</t>
  </si>
  <si>
    <t>"Southern Company (The) Common S"</t>
  </si>
  <si>
    <t>"Simon Property Group, Inc. Comm"</t>
  </si>
  <si>
    <t>"AT&amp;T Inc."</t>
  </si>
  <si>
    <t>"Target Corporation Common Stock"</t>
  </si>
  <si>
    <t>"Time Warner Inc. New Common Sto"</t>
  </si>
  <si>
    <t>"Texas Instruments Incorporated"</t>
  </si>
  <si>
    <t>"UnitedHealth Group Incorporated"</t>
  </si>
  <si>
    <t>"Union Pacific Corporation Commo"</t>
  </si>
  <si>
    <t>"United Parcel Service, Inc. Com"</t>
  </si>
  <si>
    <t>"U.S. Bancorp Common Stock"</t>
  </si>
  <si>
    <t>"United Technologies Corporation"</t>
  </si>
  <si>
    <t>"Visa Inc."</t>
  </si>
  <si>
    <t>"Verizon Communications Inc. Com"</t>
  </si>
  <si>
    <t>"Wal-Mart Stores, Inc. Common St"</t>
  </si>
  <si>
    <t>"Exxon Mobil Corporation Common "</t>
  </si>
  <si>
    <t>BRK-B</t>
  </si>
  <si>
    <t>"Berkshire Hathaway Inc. New Com"</t>
  </si>
  <si>
    <t>TRV</t>
  </si>
  <si>
    <t>"The Travelers Companies, Inc. C"</t>
  </si>
  <si>
    <t>YAHOO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</si>
  <si>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</si>
  <si>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</si>
  <si>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</si>
  <si>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</si>
  <si>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</si>
  <si>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</si>
  <si>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</si>
  <si>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</si>
  <si>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</si>
  <si>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</si>
  <si>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</si>
  <si>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</si>
  <si>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</si>
  <si>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</si>
  <si>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</si>
  <si>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</si>
  <si>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</si>
  <si>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</si>
  <si>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</si>
  <si>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</si>
  <si>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</si>
  <si>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</si>
  <si>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</si>
  <si>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</si>
  <si>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</si>
  <si>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</si>
  <si>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</si>
  <si>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</si>
  <si>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</si>
  <si>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</si>
  <si>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</si>
  <si>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</si>
  <si>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</si>
  <si>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</si>
  <si>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</si>
  <si>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</si>
  <si>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</si>
  <si>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</si>
  <si>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</si>
  <si>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</si>
  <si>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</si>
  <si>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</si>
  <si>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</si>
  <si>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</si>
  <si>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</si>
  <si>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</si>
  <si>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</si>
  <si>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</si>
  <si>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</si>
  <si>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</si>
  <si>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</si>
  <si>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</si>
  <si>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</si>
  <si>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</si>
  <si>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</si>
  <si>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</si>
  <si>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</si>
  <si>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</si>
  <si>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</si>
  <si>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</si>
  <si>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</si>
  <si>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</si>
  <si>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</si>
  <si>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</si>
  <si>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</si>
  <si>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</si>
  <si>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</si>
  <si>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</si>
  <si>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</si>
  <si>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</si>
  <si>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</si>
  <si>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</si>
  <si>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</si>
  <si>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</si>
  <si>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</si>
  <si>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</si>
  <si>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</si>
  <si>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</si>
  <si>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</si>
  <si>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</si>
  <si>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</si>
  <si>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</si>
  <si>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</si>
  <si>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</si>
  <si>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</si>
  <si>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</si>
  <si>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</si>
  <si>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</si>
  <si>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</si>
  <si>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</si>
  <si>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</si>
  <si>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</si>
  <si>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</si>
  <si>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</si>
  <si>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</si>
  <si>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</si>
  <si>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</si>
  <si>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</si>
  <si>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</si>
  <si>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</si>
  <si>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</si>
  <si>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</si>
  <si>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</si>
  <si>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</si>
  <si>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</si>
  <si>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</si>
  <si>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</si>
  <si>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</si>
  <si>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</si>
  <si>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</si>
  <si>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</si>
  <si>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</si>
  <si>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</si>
  <si>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</si>
  <si>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</si>
  <si>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</si>
  <si>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</si>
  <si>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</si>
  <si>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</si>
  <si>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</si>
  <si>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</si>
  <si>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</si>
  <si>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</si>
  <si>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</si>
  <si>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</si>
  <si>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</si>
  <si>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</si>
  <si>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</si>
  <si>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</si>
  <si>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</si>
  <si>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</si>
  <si>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</si>
  <si>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</si>
  <si>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</si>
  <si>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</si>
  <si>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</si>
  <si>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</si>
  <si>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</si>
  <si>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</si>
  <si>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</si>
  <si>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</si>
  <si>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</si>
  <si>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</si>
  <si>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</si>
  <si>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</si>
  <si>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</si>
  <si>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</si>
  <si>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</si>
  <si>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</si>
  <si>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</si>
  <si>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</si>
  <si>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</si>
  <si>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</si>
  <si>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</si>
  <si>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</si>
  <si>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</si>
  <si>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</si>
  <si>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</si>
  <si>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</si>
  <si>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</si>
  <si>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</si>
  <si>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</si>
  <si>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</si>
  <si>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</si>
  <si>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</si>
  <si>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</si>
  <si>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</si>
  <si>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</si>
  <si>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</si>
  <si>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</si>
  <si>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</si>
  <si>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</si>
  <si>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</si>
  <si>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</si>
  <si>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</si>
  <si>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</si>
  <si>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</si>
  <si>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</si>
  <si>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</si>
  <si>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</si>
  <si>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</si>
  <si>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</si>
  <si>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</si>
  <si>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</si>
  <si>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</si>
  <si>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</si>
  <si>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</si>
  <si>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</si>
  <si>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</si>
  <si>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</si>
  <si>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</si>
  <si>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</si>
  <si>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</si>
  <si>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</si>
  <si>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</si>
  <si>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</si>
  <si>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</si>
  <si>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</si>
  <si>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</si>
  <si>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</si>
  <si>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</si>
  <si>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</si>
  <si>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</si>
  <si>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</si>
  <si>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</si>
  <si>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</si>
  <si>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</si>
  <si>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</si>
  <si>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</si>
  <si>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</si>
  <si>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</si>
  <si>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</si>
  <si>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</si>
  <si>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</si>
  <si>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</si>
  <si>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</si>
  <si>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</si>
  <si>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</si>
  <si>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</si>
  <si>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</si>
  <si>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</si>
  <si>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</si>
  <si>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</si>
  <si>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</si>
  <si>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</si>
  <si>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</si>
  <si>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</si>
  <si>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</si>
  <si>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</si>
  <si>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</si>
  <si>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</si>
  <si>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</si>
  <si>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</si>
  <si>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</si>
  <si>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</si>
  <si>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</si>
  <si>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</si>
  <si>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</si>
  <si>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</si>
  <si>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</si>
  <si>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</si>
  <si>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</si>
  <si>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</si>
  <si>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</si>
  <si>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</si>
  <si>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</si>
  <si>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</si>
  <si>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</si>
  <si>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</si>
  <si>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</si>
  <si>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</si>
  <si>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</si>
  <si>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</si>
  <si>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</si>
  <si>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</si>
  <si>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</si>
  <si>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</si>
  <si>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</si>
  <si>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</si>
  <si>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</si>
  <si>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</si>
  <si>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</si>
  <si>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</si>
  <si>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</si>
  <si>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</si>
  <si>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</si>
  <si>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</si>
  <si>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</si>
  <si>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</si>
  <si>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</si>
  <si>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PH</t>
  </si>
  <si>
    <t>PDCO</t>
  </si>
  <si>
    <t>PAYX</t>
  </si>
  <si>
    <t>PNR</t>
  </si>
  <si>
    <t>PBCT</t>
  </si>
  <si>
    <t>PKI</t>
  </si>
  <si>
    <t>PRGO</t>
  </si>
  <si>
    <t>PCG</t>
  </si>
  <si>
    <t>PSX</t>
  </si>
  <si>
    <t>PNW</t>
  </si>
  <si>
    <t>PXD</t>
  </si>
  <si>
    <t>PBI</t>
  </si>
  <si>
    <t>PNC</t>
  </si>
  <si>
    <t>RL</t>
  </si>
  <si>
    <t>PPG</t>
  </si>
  <si>
    <t>PPL</t>
  </si>
  <si>
    <t>PX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</si>
  <si>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</si>
  <si>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</si>
  <si>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</si>
  <si>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</si>
  <si>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</si>
  <si>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</si>
  <si>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</si>
  <si>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</si>
  <si>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</si>
  <si>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</si>
  <si>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</si>
  <si>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</si>
  <si>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</si>
  <si>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</si>
  <si>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</si>
  <si>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</si>
  <si>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</si>
  <si>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</si>
  <si>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</si>
  <si>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</si>
  <si>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</si>
  <si>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</si>
  <si>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</si>
  <si>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</si>
  <si>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</si>
  <si>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</si>
  <si>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</si>
  <si>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</si>
  <si>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</si>
  <si>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</si>
  <si>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</si>
  <si>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</si>
  <si>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</si>
  <si>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</si>
  <si>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</si>
  <si>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</si>
  <si>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</si>
  <si>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</si>
  <si>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</si>
  <si>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</si>
  <si>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</si>
  <si>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</si>
  <si>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</si>
  <si>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</si>
  <si>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</si>
  <si>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</si>
  <si>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</si>
  <si>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</si>
  <si>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</si>
  <si>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</si>
  <si>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</si>
  <si>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</si>
  <si>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</si>
  <si>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</si>
  <si>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</si>
  <si>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</si>
  <si>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</si>
  <si>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</si>
  <si>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</si>
  <si>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</si>
  <si>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</si>
  <si>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</si>
  <si>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</si>
  <si>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</si>
  <si>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</si>
  <si>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</si>
  <si>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</si>
  <si>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</si>
  <si>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</si>
  <si>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</si>
  <si>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</si>
  <si>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</si>
  <si>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</si>
  <si>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</si>
  <si>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</si>
  <si>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</si>
  <si>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</si>
  <si>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</si>
  <si>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</si>
  <si>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</si>
  <si>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</si>
  <si>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</si>
  <si>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</si>
  <si>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</si>
  <si>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</si>
  <si>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</si>
  <si>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</si>
  <si>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</si>
  <si>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</si>
  <si>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</si>
  <si>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</si>
  <si>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</si>
  <si>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</si>
  <si>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</si>
  <si>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</si>
  <si>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</si>
  <si>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</si>
  <si>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</si>
  <si>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</si>
  <si>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</si>
  <si>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</si>
  <si>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</si>
  <si>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</si>
  <si>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</si>
  <si>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</si>
  <si>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</si>
  <si>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</si>
  <si>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</si>
  <si>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"Adobe Systems Incorporated"</t>
  </si>
  <si>
    <t>"The AES Corporation Common Stoc"</t>
  </si>
  <si>
    <t>"Aetna Inc. Common Stock"</t>
  </si>
  <si>
    <t>"AFLAC Incorporated Common Stock"</t>
  </si>
  <si>
    <t>"Affiliated Managers Group, Inc."</t>
  </si>
  <si>
    <t>"Agilent Technologies, Inc. Comm"</t>
  </si>
  <si>
    <t>"Air Products and Chemicals, Inc"</t>
  </si>
  <si>
    <t>"Akamai Technologies, Inc."</t>
  </si>
  <si>
    <t>"Allergan plc Ordinary Shares"</t>
  </si>
  <si>
    <t>"Alexion Pharmaceuticals, Inc."</t>
  </si>
  <si>
    <t>"Allegheny Technologies Incorpor"</t>
  </si>
  <si>
    <t>"Allegion plc Ordinary Shares"</t>
  </si>
  <si>
    <t>"Alliance Data Systems Corporati"</t>
  </si>
  <si>
    <t>"Altera Corporation"</t>
  </si>
  <si>
    <t>"Ameren Corporation Common Stock"</t>
  </si>
  <si>
    <t>"American Airlines Group, Inc."</t>
  </si>
  <si>
    <t>"American Electric Power Company"</t>
  </si>
  <si>
    <t>"American Tower Corporation (REI"</t>
  </si>
  <si>
    <t>"Ameriprise Financial, Inc. Comm"</t>
  </si>
  <si>
    <t>"AmerisourceBergen Corporation C"</t>
  </si>
  <si>
    <t>"AMETEK, Inc."</t>
  </si>
  <si>
    <t>"Amphenol Corporation Common Sto"</t>
  </si>
  <si>
    <t>"Analog Devices, Inc."</t>
  </si>
  <si>
    <t>"Aon plc Class A Ordinary Shares"</t>
  </si>
  <si>
    <t>"Apartment Investment and Manage"</t>
  </si>
  <si>
    <t>"Applied Materials, Inc."</t>
  </si>
  <si>
    <t>"Archer-Daniels-Midland Company "</t>
  </si>
  <si>
    <t>"Assurant, Inc. Common Stock"</t>
  </si>
  <si>
    <t>"Autodesk, Inc."</t>
  </si>
  <si>
    <t>"Automatic Data Processing, Inc."</t>
  </si>
  <si>
    <t>"AutoNation, Inc. Common Stock"</t>
  </si>
  <si>
    <t>"AutoZone, Inc. Common Stock"</t>
  </si>
  <si>
    <t>"AvalonBay Communities, Inc. Com"</t>
  </si>
  <si>
    <t>"Avery Dennison Corporation Comm"</t>
  </si>
  <si>
    <t>"Baker Hughes Incorporated Commo"</t>
  </si>
  <si>
    <t>"Ball Corporation Common Stock"</t>
  </si>
  <si>
    <t>"C.R. Bard, Inc. Common Stock"</t>
  </si>
  <si>
    <t>"BB&amp;T Corporation Common Stock"</t>
  </si>
  <si>
    <t>"Becton, Dickinson and Company C"</t>
  </si>
  <si>
    <t>"Bed Bath &amp; Beyond Inc."</t>
  </si>
  <si>
    <t>"Best Buy Co., Inc. Common Stock"</t>
  </si>
  <si>
    <t>"BlackRock, Inc. Common Stock"</t>
  </si>
  <si>
    <t>"H&amp;R Block, Inc. Common Stock"</t>
  </si>
  <si>
    <t>"BorgWarner Inc. Common Stock"</t>
  </si>
  <si>
    <t>"Boston Properties, Inc. Common "</t>
  </si>
  <si>
    <t>"Boston Scientific Corporation C"</t>
  </si>
  <si>
    <t>"Brown Forman Inc Class B Common"</t>
  </si>
  <si>
    <t>"C.H. Robinson Worldwide, Inc."</t>
  </si>
  <si>
    <t>"CA Inc."</t>
  </si>
  <si>
    <t>"Cablevision Systems Corporation"</t>
  </si>
  <si>
    <t>"Cabot Oil &amp; Gas Corporation Com"</t>
  </si>
  <si>
    <t>"Cameron International Corporati"</t>
  </si>
  <si>
    <t>"Campbell Soup Company Common St"</t>
  </si>
  <si>
    <t>"Cardinal Health, Inc. Common St"</t>
  </si>
  <si>
    <t>"Henry Schein, Inc."</t>
  </si>
  <si>
    <t>"CarMax Inc"</t>
  </si>
  <si>
    <t>"Carnival Corporation Common Sto"</t>
  </si>
  <si>
    <t>"CBRE Group Inc Common Stock Cla"</t>
  </si>
  <si>
    <t>"CBS Corporation Class B Common "</t>
  </si>
  <si>
    <t>"Celgene Corporation"</t>
  </si>
  <si>
    <t>"CenterPoint Energy, Inc (Holdin"</t>
  </si>
  <si>
    <t>"CenturyLink, Inc. Common Stock"</t>
  </si>
  <si>
    <t>"Cerner Corporation"</t>
  </si>
  <si>
    <t>"CF Industries Holdings, Inc. Co"</t>
  </si>
  <si>
    <t>"Charles Schwab Corporation (The"</t>
  </si>
  <si>
    <t>"Chesapeake Energy Corporation C"</t>
  </si>
  <si>
    <t>"Chipotle Mexican Grill, Inc. Co"</t>
  </si>
  <si>
    <t>"Cigna Corporation Common Stock"</t>
  </si>
  <si>
    <t>"Cimarex Energy Co Common Stock"</t>
  </si>
  <si>
    <t>"Cincinnati Financial Corporatio"</t>
  </si>
  <si>
    <t>"Cintas Corporation"</t>
  </si>
  <si>
    <t>"Citrix Systems, Inc."</t>
  </si>
  <si>
    <t>"Clorox Company (The) Common Sto"</t>
  </si>
  <si>
    <t>"CME Group Inc."</t>
  </si>
  <si>
    <t>"CMS Energy Corporation Common S"</t>
  </si>
  <si>
    <t>"Coach, Inc. Common Stock"</t>
  </si>
  <si>
    <t>"Cognizant Technology Solutions "</t>
  </si>
  <si>
    <t>"Comerica Incorporated Common St"</t>
  </si>
  <si>
    <t>"Computer Sciences Corporation C"</t>
  </si>
  <si>
    <t>"CONSOL Energy Inc. Common Stock"</t>
  </si>
  <si>
    <t>"Consolidated Edison, Inc. Commo"</t>
  </si>
  <si>
    <t>"Constellation Brands, Inc. Comm"</t>
  </si>
  <si>
    <t>"Corning Incorporated Common Sto"</t>
  </si>
  <si>
    <t>"Crown Castle International Corp"</t>
  </si>
  <si>
    <t>"Cummins Inc. Common Stock"</t>
  </si>
  <si>
    <t>"D.R. Horton, Inc. Common Stock"</t>
  </si>
  <si>
    <t>"Danaher Corporation Common Stoc"</t>
  </si>
  <si>
    <t>"Darden Restaurants, Inc. Common"</t>
  </si>
  <si>
    <t>"Deere &amp; Company Common Stock"</t>
  </si>
  <si>
    <t>"Delphi Automotive plc Ordinary "</t>
  </si>
  <si>
    <t>"Delta Air Lines, Inc. Common St"</t>
  </si>
  <si>
    <t>"Diamond Offshore Drilling, Inc."</t>
  </si>
  <si>
    <t>"Discover Financial Services Com"</t>
  </si>
  <si>
    <t>"Dollar General Corporation Comm"</t>
  </si>
  <si>
    <t>"Dollar Tree, Inc."</t>
  </si>
  <si>
    <t>"Dominion Resources, Inc. Common"</t>
  </si>
  <si>
    <t>"Dover Corporation Common Stock"</t>
  </si>
  <si>
    <t>"Dr Pepper Snapple Group, Inc Dr"</t>
  </si>
  <si>
    <t>"DTE Energy Company Common Stock"</t>
  </si>
  <si>
    <t>"Duke Energy Corporation (Holdin"</t>
  </si>
  <si>
    <t>"Dun &amp; Bradstreet Corporation (T"</t>
  </si>
  <si>
    <t>"E*TRADE Financial Corporation"</t>
  </si>
  <si>
    <t>"Eastman Chemical Company Common"</t>
  </si>
  <si>
    <t>"Eaton Corporation, PLC Ordinary"</t>
  </si>
  <si>
    <t>"Ecolab Inc. Common Stock"</t>
  </si>
  <si>
    <t>"Edison International Common Sto"</t>
  </si>
  <si>
    <t>"Edwards Lifesciences Corporatio"</t>
  </si>
  <si>
    <t>"Electronic Arts Inc."</t>
  </si>
  <si>
    <t>"Ensco plc Class A Ordinary Shar"</t>
  </si>
  <si>
    <t>"Entergy Corporation Common Stoc"</t>
  </si>
  <si>
    <t>"EOG Resources, Inc. Common Stoc"</t>
  </si>
  <si>
    <t>"EQT Corporation Common Stock"</t>
  </si>
  <si>
    <t>"Equifax, Inc. Common Stock"</t>
  </si>
  <si>
    <t>"Equinix, Inc."</t>
  </si>
  <si>
    <t>"Equity Residential Common Share"</t>
  </si>
  <si>
    <t>"Essex Property Trust, Inc. Comm"</t>
  </si>
  <si>
    <t>"Estee Lauder Companies, Inc. (T"</t>
  </si>
  <si>
    <t>"Eversource Energy (D/B/A) Commo"</t>
  </si>
  <si>
    <t>"Expedia, Inc."</t>
  </si>
  <si>
    <t>"Expeditors International of Was"</t>
  </si>
  <si>
    <t>"Express Scripts Holding Company"</t>
  </si>
  <si>
    <t>"F5 Networks, Inc."</t>
  </si>
  <si>
    <t>"Family Dollar Stores, Inc. Comm"</t>
  </si>
  <si>
    <t>"Fastenal Company"</t>
  </si>
  <si>
    <t>"Fidelity National Information S"</t>
  </si>
  <si>
    <t>"Fifth Third Bancorp"</t>
  </si>
  <si>
    <t>"First Solar, Inc."</t>
  </si>
  <si>
    <t>"FirstEnergy Corporation Common "</t>
  </si>
  <si>
    <t>"Fiserv, Inc."</t>
  </si>
  <si>
    <t>"FLIR Systems, Inc."</t>
  </si>
  <si>
    <t>"Flowserve Corporation Common St"</t>
  </si>
  <si>
    <t>"Fluor Corporation Common Stock"</t>
  </si>
  <si>
    <t>"FMC Corporation Common Stock"</t>
  </si>
  <si>
    <t>"Fossil Group, Inc."</t>
  </si>
  <si>
    <t>"Franklin Resources, Inc. Common"</t>
  </si>
  <si>
    <t>"Frontier Communications Corpora"</t>
  </si>
  <si>
    <t>"Gamestop Corporation Common Sto"</t>
  </si>
  <si>
    <t>"Gannett Co., Inc. Common Stock"</t>
  </si>
  <si>
    <t>"Gap, Inc. (The) Common Stock"</t>
  </si>
  <si>
    <t>"Garmin Ltd."</t>
  </si>
  <si>
    <t>"General Growth Properties, Inc."</t>
  </si>
  <si>
    <t>"General Mills, Inc. Common Stoc"</t>
  </si>
  <si>
    <t>"Genuine Parts Company Common St"</t>
  </si>
  <si>
    <t>"Genworth Financial Inc Common S"</t>
  </si>
  <si>
    <t>"The Goodyear Tire &amp; Rubber Comp"</t>
  </si>
  <si>
    <t>"W.W. Grainger, Inc. Common Stoc"</t>
  </si>
  <si>
    <t>"Hanesbrands Inc. Common Stock"</t>
  </si>
  <si>
    <t>"Harley-Davidson, Inc. Common St"</t>
  </si>
  <si>
    <t>"Harman International Industries"</t>
  </si>
  <si>
    <t>"Harris Corporation Common Stock"</t>
  </si>
  <si>
    <t>"Hartford Financial Services Gro"</t>
  </si>
  <si>
    <t>"Hasbro, Inc."</t>
  </si>
  <si>
    <t>"HCA Holdings, Inc. Common Stock"</t>
  </si>
  <si>
    <t>"HCP, Inc. Common Stock"</t>
  </si>
  <si>
    <t>"Helmerich &amp; Payne, Inc. Common "</t>
  </si>
  <si>
    <t>"Hess Corporation Common Stock"</t>
  </si>
  <si>
    <t>"Hormel Foods Corporation Common"</t>
  </si>
  <si>
    <t>"Host Hotels &amp; Resorts, Inc. Com"</t>
  </si>
  <si>
    <t>"Hudson City Bancorp, Inc."</t>
  </si>
  <si>
    <t>"Humana Inc. Common Stock"</t>
  </si>
  <si>
    <t>"Huntington Bancshares Incorpora"</t>
  </si>
  <si>
    <t>"Illinois Tool Works Inc. Common"</t>
  </si>
  <si>
    <t>"Ingersoll-Rand plc (Ireland)"</t>
  </si>
  <si>
    <t>"Integrys Energy Group, Inc. Com"</t>
  </si>
  <si>
    <t>"Intercontinental Exchange Inc. "</t>
  </si>
  <si>
    <t>"International Paper Company Com"</t>
  </si>
  <si>
    <t>"Interpublic Group of Companies,"</t>
  </si>
  <si>
    <t>"Internationa Flavors &amp; Fragranc"</t>
  </si>
  <si>
    <t>"Intuit Inc."</t>
  </si>
  <si>
    <t>"Intuitive Surgical, Inc."</t>
  </si>
  <si>
    <t>"Invesco Ltd Common Stock"</t>
  </si>
  <si>
    <t>"Iron Mountain Incorporated (Del"</t>
  </si>
  <si>
    <t>"Jacobs Engineering Group Inc. C"</t>
  </si>
  <si>
    <t>"Joy Global Inc. Common Stock"</t>
  </si>
  <si>
    <t>"Juniper Networks, Inc. Common S"</t>
  </si>
  <si>
    <t>"Kansas City Southern Common Sto"</t>
  </si>
  <si>
    <t>"Kellogg Company Common Stock"</t>
  </si>
  <si>
    <t>"KeyCorp Common Stock"</t>
  </si>
  <si>
    <t>"Keurig Green Mountain, Inc."</t>
  </si>
  <si>
    <t>"Kimberly-Clark Corporation Comm"</t>
  </si>
  <si>
    <t>"Kimco Realty Corporation Common"</t>
  </si>
  <si>
    <t>"Kinder Morgan, Inc. Common Stoc"</t>
  </si>
  <si>
    <t>"KLA-Tencor Corporation"</t>
  </si>
  <si>
    <t>"Kohl's Corporation Common Stock"</t>
  </si>
  <si>
    <t>"Kroger Company (The) Common Sto"</t>
  </si>
  <si>
    <t>"L Brands, Inc."</t>
  </si>
  <si>
    <t>"Laboratory Corporation of Ameri"</t>
  </si>
  <si>
    <t>"Lam Research Corporation"</t>
  </si>
  <si>
    <t>"Legg Mason, Inc. Common Stock"</t>
  </si>
  <si>
    <t>"Leggett &amp; Platt, Incorporated C"</t>
  </si>
  <si>
    <t>"Lennar Corporation Class A Comm"</t>
  </si>
  <si>
    <t>"Level 3 Communications, Inc. Co"</t>
  </si>
  <si>
    <t>"Leucadia National Corporation C"</t>
  </si>
  <si>
    <t>"Lincoln National Corporation Co"</t>
  </si>
  <si>
    <t>"Linear Technology Corporation"</t>
  </si>
  <si>
    <t>"Loews Corporation Common Stock"</t>
  </si>
  <si>
    <t>"LyondellBasell Industries NV Or"</t>
  </si>
  <si>
    <t>"M&amp;T Bank Corporation Common Sto"</t>
  </si>
  <si>
    <t>"Macerich Company (The) Common S"</t>
  </si>
  <si>
    <t>"Macy's Inc Common Stock"</t>
  </si>
  <si>
    <t>"Mallinckrodt plc Ordinary Share"</t>
  </si>
  <si>
    <t>"Marathon Oil Corporation Common"</t>
  </si>
  <si>
    <t>"Marathon Petroleum Corporation "</t>
  </si>
  <si>
    <t>"Marsh &amp; McLennan Companies, Inc"</t>
  </si>
  <si>
    <t>"Martin Marietta Materials, Inc."</t>
  </si>
  <si>
    <t>"Masco Corporation Common Stock"</t>
  </si>
  <si>
    <t>"Mattel, Inc."</t>
  </si>
  <si>
    <t>"McCormick &amp; Company, Incorporat"</t>
  </si>
  <si>
    <t>"McKesson Corporation Common Sto"</t>
  </si>
  <si>
    <t>"Mead Johnson Nutrition Company "</t>
  </si>
  <si>
    <t>"Meadwestvaco Corporation Common"</t>
  </si>
  <si>
    <t>"Michael Kors Holdings Limited O"</t>
  </si>
  <si>
    <t>"Microchip Technology Incorporat"</t>
  </si>
  <si>
    <t>"Micron Technology, Inc."</t>
  </si>
  <si>
    <t>"Mohawk Industries, Inc. Common "</t>
  </si>
  <si>
    <t>"Molson Coors Brewing Company Cl"</t>
  </si>
  <si>
    <t>"Monster Beverage Corporation"</t>
  </si>
  <si>
    <t>"Moody's Corporation Common Stoc"</t>
  </si>
  <si>
    <t>"Mosaic Company (The) Common Sto"</t>
  </si>
  <si>
    <t>"Motorola Solutions, Inc. Common"</t>
  </si>
  <si>
    <t>"Murphy Oil Corporation Common S"</t>
  </si>
  <si>
    <t>"Navient Corporation"</t>
  </si>
  <si>
    <t>"NetApp, Inc."</t>
  </si>
  <si>
    <t>"Netflix, Inc."</t>
  </si>
  <si>
    <t>"Newfield Exploration Company Co"</t>
  </si>
  <si>
    <t>"Newmont Mining Corporation"</t>
  </si>
  <si>
    <t>"News Corporation"</t>
  </si>
  <si>
    <t>"NextEra Energy, Inc. Common Sto"</t>
  </si>
  <si>
    <t>"NiSource Inc Common Stock"</t>
  </si>
  <si>
    <t>"Noble Corporation Ordinary Shar"</t>
  </si>
  <si>
    <t>"Noble Energy Inc. Common Stock"</t>
  </si>
  <si>
    <t>"Nordstrom, Inc. Common Stock"</t>
  </si>
  <si>
    <t>"Northern Trust Corporation"</t>
  </si>
  <si>
    <t>"Northrop Grumman Corporation Co"</t>
  </si>
  <si>
    <t>"NRG Energy, Inc. Common Stock"</t>
  </si>
  <si>
    <t>"Nucor Corporation Common Stock"</t>
  </si>
  <si>
    <t>"NVIDIA Corporation"</t>
  </si>
  <si>
    <t>"O'Reilly Automotive, Inc."</t>
  </si>
  <si>
    <t>"Omnicom Group Inc. Common Stock"</t>
  </si>
  <si>
    <t>"ONEOK, Inc. Common Stock"</t>
  </si>
  <si>
    <t>"Owens-Illinois, Inc. Common Sto"</t>
  </si>
  <si>
    <t>"PACCAR Inc."</t>
  </si>
  <si>
    <t>"Parker-Hannifin Corporation Com"</t>
  </si>
  <si>
    <t>"Patterson Companies, Inc."</t>
  </si>
  <si>
    <t>"Paychex, Inc."</t>
  </si>
  <si>
    <t>"Pentair plc. Ordinary Share"</t>
  </si>
  <si>
    <t>"People's United Financial, Inc."</t>
  </si>
  <si>
    <t>"PerkinElmer, Inc. Common Stock"</t>
  </si>
  <si>
    <t>"Perrigo Company plc Ordinary Sh"</t>
  </si>
  <si>
    <t>"Pacific Gas &amp; Electric Co. Comm"</t>
  </si>
  <si>
    <t>"Phillips 66 Common Stock"</t>
  </si>
  <si>
    <t>"Pinnacle West Capital Corporati"</t>
  </si>
  <si>
    <t>"Pioneer Natural Resources Compa"</t>
  </si>
  <si>
    <t>"Pitney Bowes Inc. Common Stock"</t>
  </si>
  <si>
    <t>"PNC Financial Services Group, I"</t>
  </si>
  <si>
    <t>"Ralph Lauren Corporation Common"</t>
  </si>
  <si>
    <t>"PPG Industries, Inc. Common Sto"</t>
  </si>
  <si>
    <t>"Praxair, Inc. Common Stock"</t>
  </si>
  <si>
    <t>"Principal Financial Group Inc C"</t>
  </si>
  <si>
    <t>"Progressive Corporation (The) C"</t>
  </si>
  <si>
    <t>"ProLogis, Inc. Common Stock"</t>
  </si>
  <si>
    <t>"Prudential Financial, Inc. Comm"</t>
  </si>
  <si>
    <t>"Public Service Enterprise Group"</t>
  </si>
  <si>
    <t>"Public Storage Common Stock"</t>
  </si>
  <si>
    <t>"PulteGroup, Inc. Common Stock"</t>
  </si>
  <si>
    <t>"PVH Corp. Common Stock"</t>
  </si>
  <si>
    <t>"QEP Resources, Inc. Common Stoc"</t>
  </si>
  <si>
    <t>"Quanta Services, Inc. Common St"</t>
  </si>
  <si>
    <t>"Quest Diagnostics Incorporated "</t>
  </si>
  <si>
    <t>"Range Resources Corporation Com"</t>
  </si>
  <si>
    <t>"Realty Income Corporation Commo"</t>
  </si>
  <si>
    <t>"Red Hat, Inc. Common Stock"</t>
  </si>
  <si>
    <t>"Regeneron Pharmaceuticals, Inc."</t>
  </si>
  <si>
    <t>"Regions Financial Corporation C"</t>
  </si>
  <si>
    <t>"Republic Services, Inc. Common "</t>
  </si>
  <si>
    <t>"Reynolds American Inc Common St"</t>
  </si>
  <si>
    <t>"Robert Half International Inc. "</t>
  </si>
  <si>
    <t>"Rockwell Automation, Inc. Commo"</t>
  </si>
  <si>
    <t>"Rockwell Collins, Inc. Common S"</t>
  </si>
  <si>
    <t>"Roper Technologies, Inc. Common"</t>
  </si>
  <si>
    <t>"Ross Stores, Inc."</t>
  </si>
  <si>
    <t>"Royal Caribbean Cruises Ltd. Co"</t>
  </si>
  <si>
    <t>"Ryder System, Inc. Common Stock"</t>
  </si>
  <si>
    <t>"Salesforce.com Inc Common Stock"</t>
  </si>
  <si>
    <t>"SanDisk Corporation"</t>
  </si>
  <si>
    <t>"SCANA Corporation Common Stock"</t>
  </si>
  <si>
    <t>"Scripps Networks Interactive, I"</t>
  </si>
  <si>
    <t>"Sealed Air Corporation Common S"</t>
  </si>
  <si>
    <t>"Sempra Energy Common Stock"</t>
  </si>
  <si>
    <t>"Sherwin-Williams Company (The) "</t>
  </si>
  <si>
    <t>"Sigma-Aldrich Corporation"</t>
  </si>
  <si>
    <t>"Skyworks Solutions, Inc."</t>
  </si>
  <si>
    <t>"SL Green Realty Corporation Com"</t>
  </si>
  <si>
    <t>"J.M. Smucker Company (The) New "</t>
  </si>
  <si>
    <t>"Snap-On Incorporated Common Sto"</t>
  </si>
  <si>
    <t>"Southwest Airlines Company Comm"</t>
  </si>
  <si>
    <t>"Southwestern Energy Company Com"</t>
  </si>
  <si>
    <t>"Spectra Energy Corp Common Stoc"</t>
  </si>
  <si>
    <t>"Stanley Black &amp; Decker, Inc. Co"</t>
  </si>
  <si>
    <t>"Staples, Inc."</t>
  </si>
  <si>
    <t>"Starwood Hotels &amp; Resorts World"</t>
  </si>
  <si>
    <t>"State Street Corporation Common"</t>
  </si>
  <si>
    <t>"Stericycle, Inc."</t>
  </si>
  <si>
    <t>"Stryker Corporation Common Stoc"</t>
  </si>
  <si>
    <t>"SunTrust Banks, Inc. Common Sto"</t>
  </si>
  <si>
    <t>"Symantec Corporation"</t>
  </si>
  <si>
    <t>"Sysco Corporation Common Stock"</t>
  </si>
  <si>
    <t>"T. Rowe Price Group, Inc."</t>
  </si>
  <si>
    <t>"TE Connectivity Ltd. New Switze"</t>
  </si>
  <si>
    <t>"Tenet Healthcare Corporation Co"</t>
  </si>
  <si>
    <t>"Teradata Corporation Common Sto"</t>
  </si>
  <si>
    <t>"Tesoro Corporation Common Stock"</t>
  </si>
  <si>
    <t>"Textron Inc. Common Stock"</t>
  </si>
  <si>
    <t>"The Hershey Company Common Stoc"</t>
  </si>
  <si>
    <t>"Thermo Fisher Scientific Inc Co"</t>
  </si>
  <si>
    <t>"Tiffany &amp; Co. Common Stock"</t>
  </si>
  <si>
    <t>"TJX Companies, Inc. (The) Commo"</t>
  </si>
  <si>
    <t>"Torchmark Corporation Common St"</t>
  </si>
  <si>
    <t>"Total System Services, Inc. Com"</t>
  </si>
  <si>
    <t>"Tractor Supply Company"</t>
  </si>
  <si>
    <t>"Transocean Ltd (Switzerland) Co"</t>
  </si>
  <si>
    <t>"TripAdvisor, Inc."</t>
  </si>
  <si>
    <t>"Tyson Foods, Inc. Common Stock"</t>
  </si>
  <si>
    <t>"United Rentals, Inc. Common Sto"</t>
  </si>
  <si>
    <t>"Universal Health Services, Inc."</t>
  </si>
  <si>
    <t>"Unum Group Common Stock"</t>
  </si>
  <si>
    <t>"Urban Outfitters, Inc."</t>
  </si>
  <si>
    <t>"V.F. Corporation Common Stock"</t>
  </si>
  <si>
    <t>"Valero Energy Corporation Commo"</t>
  </si>
  <si>
    <t>"Varian Medical Systems, Inc. Co"</t>
  </si>
  <si>
    <t>"Ventas, Inc. Common Stock"</t>
  </si>
  <si>
    <t>"VeriSign, Inc."</t>
  </si>
  <si>
    <t>"Vertex Pharmaceuticals Incorpor"</t>
  </si>
  <si>
    <t>"Vornado Realty Trust Common Sto"</t>
  </si>
  <si>
    <t>"Vulcan Materials Company (Holdi"</t>
  </si>
  <si>
    <t>"Waste Management, Inc. Common S"</t>
  </si>
  <si>
    <t>"Waters Corporation Common Stock"</t>
  </si>
  <si>
    <t>"Anthem, Inc. Common Stock"</t>
  </si>
  <si>
    <t>"Western Digital Corporation"</t>
  </si>
  <si>
    <t>"Western Union Company (The) Com"</t>
  </si>
  <si>
    <t>"Weyerhaeuser Company Common Sto"</t>
  </si>
  <si>
    <t>"Whirlpool Corporation Common St"</t>
  </si>
  <si>
    <t>"Whole Foods Market, Inc."</t>
  </si>
  <si>
    <t>"Williams Companies, Inc. (The) "</t>
  </si>
  <si>
    <t>"WEC Energy Group, Inc. Common S"</t>
  </si>
  <si>
    <t>"Wyndham Worldwide Corp Common  "</t>
  </si>
  <si>
    <t>"Wynn Resorts, Limited"</t>
  </si>
  <si>
    <t>"Xcel Energy Inc. Common Stock"</t>
  </si>
  <si>
    <t>"Xerox Corporation Common Stock"</t>
  </si>
  <si>
    <t>"Xilinx, Inc."</t>
  </si>
  <si>
    <t>"Xylem Inc. Common Stock New"</t>
  </si>
  <si>
    <t>"Yahoo! Inc."</t>
  </si>
  <si>
    <t>"Yum! Brands, Inc."</t>
  </si>
  <si>
    <t>"Zimmer Holdings, Inc. Common St"</t>
  </si>
  <si>
    <t>"Zions Bancorporation"</t>
  </si>
  <si>
    <t>"Zoetis Inc. Class A Common Stoc"</t>
  </si>
  <si>
    <t>"Alphabet Inc."</t>
  </si>
  <si>
    <t>"Walgreens Boots Alliance, Inc."</t>
  </si>
  <si>
    <t>"Biogen Inc."</t>
  </si>
  <si>
    <t>"Accenture plc Class A Ordinary "</t>
  </si>
  <si>
    <t>"HP Inc. Common Stock"</t>
  </si>
  <si>
    <t>Target</t>
  </si>
  <si>
    <t>Column1</t>
  </si>
  <si>
    <t>"Mylan N.V."</t>
  </si>
  <si>
    <t>210.90B</t>
  </si>
  <si>
    <t>"XL Group Ltd."</t>
  </si>
  <si>
    <t>"ADT Corporation"</t>
  </si>
  <si>
    <t>326.44B</t>
  </si>
  <si>
    <t>34.26B</t>
  </si>
  <si>
    <t>160.14B</t>
  </si>
  <si>
    <t>243.74B</t>
  </si>
  <si>
    <t>"D/B/A Chubb Limited New Common "</t>
  </si>
  <si>
    <t>"DaVita Inc. Common Stock"</t>
  </si>
  <si>
    <t>"Newell Brands Inc. Common Stock"</t>
  </si>
  <si>
    <t>72.14B</t>
  </si>
  <si>
    <t>130.11B</t>
  </si>
  <si>
    <t>235.38B</t>
  </si>
  <si>
    <t>152.50B</t>
  </si>
  <si>
    <t>"Welltower Inc. Common Stock"</t>
  </si>
  <si>
    <t>61.28B</t>
  </si>
  <si>
    <t>60.22B</t>
  </si>
  <si>
    <t>215.55B</t>
  </si>
  <si>
    <t>"Time Warner Cable Inc"</t>
  </si>
  <si>
    <t>98.84B</t>
  </si>
  <si>
    <t>"Nielsen N.V. Ordinary Shares"</t>
  </si>
  <si>
    <t>"TECO Energy, Inc."</t>
  </si>
  <si>
    <t>"AGL Resources, Inc."</t>
  </si>
  <si>
    <t>166.99B</t>
  </si>
  <si>
    <t>97.34B</t>
  </si>
  <si>
    <t>89.49B</t>
  </si>
  <si>
    <t>"DENTSPLY SIRONA Inc."</t>
  </si>
  <si>
    <t>"Coca-Cola European Partners plc"</t>
  </si>
  <si>
    <t>449.39B</t>
  </si>
  <si>
    <t>193.52B</t>
  </si>
  <si>
    <t>109.28B</t>
  </si>
  <si>
    <t>"Airgas, Inc."</t>
  </si>
  <si>
    <t>362.50B</t>
  </si>
  <si>
    <t>151.74B</t>
  </si>
  <si>
    <t>580.50B</t>
  </si>
  <si>
    <t>"McGraw Hill Financial, Inc."</t>
  </si>
  <si>
    <t>"Nasdaq, Inc."</t>
  </si>
  <si>
    <t>47.73B</t>
  </si>
  <si>
    <t>25.17B</t>
  </si>
  <si>
    <t>188.44B</t>
  </si>
  <si>
    <t>280.40B</t>
  </si>
  <si>
    <t>"Marriott International"</t>
  </si>
  <si>
    <t>174.15B</t>
  </si>
  <si>
    <t>81.82B</t>
  </si>
  <si>
    <t>"CSX Corporation"</t>
  </si>
  <si>
    <t>"Qorvo, Inc."</t>
  </si>
  <si>
    <t>170.69B</t>
  </si>
  <si>
    <t>190.41B</t>
  </si>
  <si>
    <t>Yahoo</t>
  </si>
  <si>
    <t>Column2</t>
  </si>
  <si>
    <t>CP/MA2002</t>
  </si>
  <si>
    <t>224.26B</t>
  </si>
  <si>
    <t>99.15B</t>
  </si>
  <si>
    <t>52.95B</t>
  </si>
  <si>
    <t>97.14B</t>
  </si>
  <si>
    <t>41.40B</t>
  </si>
  <si>
    <t>102.20B</t>
  </si>
  <si>
    <t>84.56B</t>
  </si>
  <si>
    <t>167.37B</t>
  </si>
  <si>
    <t>49.23B</t>
  </si>
  <si>
    <t>18.74B</t>
  </si>
  <si>
    <t>179.46B</t>
  </si>
  <si>
    <t>63.93B</t>
  </si>
  <si>
    <t>32.68B</t>
  </si>
  <si>
    <t>82.75B</t>
  </si>
  <si>
    <t>376.31B</t>
  </si>
  <si>
    <t>36.75B</t>
  </si>
  <si>
    <t>62.83B</t>
  </si>
  <si>
    <t>85.10B</t>
  </si>
  <si>
    <t>218.67B</t>
  </si>
  <si>
    <t>78.07B</t>
  </si>
  <si>
    <t>71.18B</t>
  </si>
  <si>
    <t>97.19B</t>
  </si>
  <si>
    <t>60.12B</t>
  </si>
  <si>
    <t>91.53B</t>
  </si>
  <si>
    <t>48.31B</t>
  </si>
  <si>
    <t>282.20B</t>
  </si>
  <si>
    <t>223.17B</t>
  </si>
  <si>
    <t>118.87B</t>
  </si>
  <si>
    <t>164.77B</t>
  </si>
  <si>
    <t>261.91B</t>
  </si>
  <si>
    <t>154.80B</t>
  </si>
  <si>
    <t>89.19B</t>
  </si>
  <si>
    <t>73.19B</t>
  </si>
  <si>
    <t>69.56B</t>
  </si>
  <si>
    <t>27.44B</t>
  </si>
  <si>
    <t>73.50B</t>
  </si>
  <si>
    <t>56.83B</t>
  </si>
  <si>
    <t>141.68B</t>
  </si>
  <si>
    <t>159.25B</t>
  </si>
  <si>
    <t>214.20B</t>
  </si>
  <si>
    <t>132.38B</t>
  </si>
  <si>
    <t>150.78B</t>
  </si>
  <si>
    <t>14.70B</t>
  </si>
  <si>
    <t>281.00B</t>
  </si>
  <si>
    <t>315.34B</t>
  </si>
  <si>
    <t>197.40B</t>
  </si>
  <si>
    <t>101.34B</t>
  </si>
  <si>
    <t>44.98B</t>
  </si>
  <si>
    <t>50.78B</t>
  </si>
  <si>
    <t>68.63B</t>
  </si>
  <si>
    <t>55.29B</t>
  </si>
  <si>
    <t>114.19B</t>
  </si>
  <si>
    <t>58.67B</t>
  </si>
  <si>
    <t>91.38B</t>
  </si>
  <si>
    <t>101.57B</t>
  </si>
  <si>
    <t>65.51B</t>
  </si>
  <si>
    <t>54.18B</t>
  </si>
  <si>
    <t>24.14B</t>
  </si>
  <si>
    <t>169.58B</t>
  </si>
  <si>
    <t>271.18M</t>
  </si>
  <si>
    <t>226.39B</t>
  </si>
  <si>
    <t>545.57B</t>
  </si>
  <si>
    <t>"EMC Corporation"</t>
  </si>
  <si>
    <t>74.60B</t>
  </si>
  <si>
    <t>158.93B</t>
  </si>
  <si>
    <t>183.34B</t>
  </si>
  <si>
    <t>107.61B</t>
  </si>
  <si>
    <t>625.27B</t>
  </si>
  <si>
    <t>88.91B</t>
  </si>
  <si>
    <t>42.02B</t>
  </si>
  <si>
    <t>50.47B</t>
  </si>
  <si>
    <t>65.17B</t>
  </si>
  <si>
    <t>98.54B</t>
  </si>
  <si>
    <t>47.47B</t>
  </si>
  <si>
    <t>55.32B</t>
  </si>
  <si>
    <t>110.37B</t>
  </si>
  <si>
    <t>492.02B</t>
  </si>
  <si>
    <t>101.17B</t>
  </si>
  <si>
    <t>311.73B</t>
  </si>
  <si>
    <t>174.09B</t>
  </si>
  <si>
    <t>46.29B</t>
  </si>
  <si>
    <t>68.51B</t>
  </si>
  <si>
    <t>340.12B</t>
  </si>
  <si>
    <t>53.06B</t>
  </si>
  <si>
    <t>87.12B</t>
  </si>
  <si>
    <t>31.95B</t>
  </si>
  <si>
    <t>154.01B</t>
  </si>
  <si>
    <t>164.85B</t>
  </si>
  <si>
    <t>175.67B</t>
  </si>
  <si>
    <t>39.98B</t>
  </si>
  <si>
    <t>74.83B</t>
  </si>
  <si>
    <t>237.78B</t>
  </si>
  <si>
    <t>25.94B</t>
  </si>
  <si>
    <t>366.54B</t>
  </si>
  <si>
    <t>63.34B</t>
  </si>
  <si>
    <t>99.32B</t>
  </si>
  <si>
    <t>80.76B</t>
  </si>
  <si>
    <t>33.81B</t>
  </si>
  <si>
    <t>24.53B</t>
  </si>
  <si>
    <t>"Under Armour, Inc. Class C Comm"</t>
  </si>
  <si>
    <t>"Broadcom Limited - Ordinary Sha"</t>
  </si>
  <si>
    <t>"Endo International plc - Ordina"</t>
  </si>
  <si>
    <t>10.46B</t>
  </si>
  <si>
    <t>"Alcoa Corporation Common Stock "</t>
  </si>
  <si>
    <t>"** SEE&lt;AVGO&gt;"</t>
  </si>
  <si>
    <t>"DTE Energy Company 2016 Corpora"</t>
  </si>
  <si>
    <t>"** SEE&lt;KHC&gt;"</t>
  </si>
  <si>
    <t>20.98B</t>
  </si>
  <si>
    <t>"The Priceline Group Inc."</t>
  </si>
  <si>
    <t>"Viacom Inc. - Class B"</t>
  </si>
  <si>
    <t>"Discovery Communications, Inc. "</t>
  </si>
  <si>
    <t>"Seagate Technology PLC - Ordina"</t>
  </si>
  <si>
    <t>"Johnson Controls International "</t>
  </si>
  <si>
    <t>10.74B</t>
  </si>
  <si>
    <t>"JOHNSON CONTROLS INTERNATIONAL "</t>
  </si>
  <si>
    <t>"ConAgra Brands, Inc. Common Sto"</t>
  </si>
  <si>
    <t>"PPL Corporation Common Stock"</t>
  </si>
  <si>
    <t>7.71B</t>
  </si>
  <si>
    <t>17.43B</t>
  </si>
  <si>
    <t>9.99B</t>
  </si>
  <si>
    <t>8.80B</t>
  </si>
  <si>
    <t>14.14B</t>
  </si>
  <si>
    <t>15.36B</t>
  </si>
  <si>
    <t>7.15B</t>
  </si>
  <si>
    <t>9.02B</t>
  </si>
  <si>
    <t>3.70B</t>
  </si>
  <si>
    <t>8.45B</t>
  </si>
  <si>
    <t>12.62B</t>
  </si>
  <si>
    <t>9.98B</t>
  </si>
  <si>
    <t>10.13B</t>
  </si>
  <si>
    <t>11.71B</t>
  </si>
  <si>
    <t>49.50B</t>
  </si>
  <si>
    <t>9.28B</t>
  </si>
  <si>
    <t>7.87B</t>
  </si>
  <si>
    <t>24.20B</t>
  </si>
  <si>
    <t>6.93B</t>
  </si>
  <si>
    <t>22.27B</t>
  </si>
  <si>
    <t>23.73B</t>
  </si>
  <si>
    <t>"L3 Technologies, Inc. Common St"</t>
  </si>
  <si>
    <t>9.36B</t>
  </si>
  <si>
    <t>68.88B</t>
  </si>
  <si>
    <t>9.14B</t>
  </si>
  <si>
    <t>7.55B</t>
  </si>
  <si>
    <t>30.05B</t>
  </si>
  <si>
    <t>22.06B</t>
  </si>
  <si>
    <t>2.78B</t>
  </si>
  <si>
    <t>5.97B</t>
  </si>
  <si>
    <t>10.95B</t>
  </si>
  <si>
    <t>7.02B</t>
  </si>
  <si>
    <t>8.33B</t>
  </si>
  <si>
    <t>17.94B</t>
  </si>
  <si>
    <t>10.48B</t>
  </si>
  <si>
    <t>10.03B</t>
  </si>
  <si>
    <t>24.30B</t>
  </si>
  <si>
    <t>33.52B</t>
  </si>
  <si>
    <t>20.42B</t>
  </si>
  <si>
    <t>5.66B</t>
  </si>
  <si>
    <t>20.08B</t>
  </si>
  <si>
    <t>18.07B</t>
  </si>
  <si>
    <t>55.75B</t>
  </si>
  <si>
    <t>24.84B</t>
  </si>
  <si>
    <t>2.75B</t>
  </si>
  <si>
    <t>7.04B</t>
  </si>
  <si>
    <t>4.88B</t>
  </si>
  <si>
    <t>4.60B</t>
  </si>
  <si>
    <t>9.08B</t>
  </si>
  <si>
    <t>3.05B</t>
  </si>
  <si>
    <t>1.80B</t>
  </si>
  <si>
    <t>4.09B</t>
  </si>
  <si>
    <t>11.02B</t>
  </si>
  <si>
    <t>2.40B</t>
  </si>
  <si>
    <t>1.19B</t>
  </si>
  <si>
    <t>17.54B</t>
  </si>
  <si>
    <t>7.31B</t>
  </si>
  <si>
    <t>14.64B</t>
  </si>
  <si>
    <t>7.36B</t>
  </si>
  <si>
    <t>10.76B</t>
  </si>
  <si>
    <t>6.96B</t>
  </si>
  <si>
    <t>1.13B</t>
  </si>
  <si>
    <t>7.74B</t>
  </si>
  <si>
    <t>16.36B</t>
  </si>
  <si>
    <t>13.82B</t>
  </si>
  <si>
    <t>10.86B</t>
  </si>
  <si>
    <t>8.42B</t>
  </si>
  <si>
    <t>21.45B</t>
  </si>
  <si>
    <t>33.98B</t>
  </si>
  <si>
    <t>17.61B</t>
  </si>
  <si>
    <t>10.04B</t>
  </si>
  <si>
    <t>19.84B</t>
  </si>
  <si>
    <t>10.69B</t>
  </si>
  <si>
    <t>23.40B</t>
  </si>
  <si>
    <t>22.12B</t>
  </si>
  <si>
    <t>9.38B</t>
  </si>
  <si>
    <t>21.92B</t>
  </si>
  <si>
    <t>102.96B</t>
  </si>
  <si>
    <t>18.60B</t>
  </si>
  <si>
    <t>3.89B</t>
  </si>
  <si>
    <t>57.99B</t>
  </si>
  <si>
    <t>29.18B</t>
  </si>
  <si>
    <t>25.34B</t>
  </si>
  <si>
    <t>10.93B</t>
  </si>
  <si>
    <t>9.46B</t>
  </si>
  <si>
    <t>3.61B</t>
  </si>
  <si>
    <t>10.29B</t>
  </si>
  <si>
    <t>9.90B</t>
  </si>
  <si>
    <t>19.61B</t>
  </si>
  <si>
    <t>29.42B</t>
  </si>
  <si>
    <t>14.07B</t>
  </si>
  <si>
    <t>13.97B</t>
  </si>
  <si>
    <t>60.40B</t>
  </si>
  <si>
    <t>7.26B</t>
  </si>
  <si>
    <t>12.79B</t>
  </si>
  <si>
    <t>44.36B</t>
  </si>
  <si>
    <t>36.20B</t>
  </si>
  <si>
    <t>29.31B</t>
  </si>
  <si>
    <t>41.62B</t>
  </si>
  <si>
    <t>11.58B</t>
  </si>
  <si>
    <t>17.32B</t>
  </si>
  <si>
    <t>93.55B</t>
  </si>
  <si>
    <t>86.98B</t>
  </si>
  <si>
    <t>10.27B</t>
  </si>
  <si>
    <t>146.71B</t>
  </si>
  <si>
    <t>15.44B</t>
  </si>
  <si>
    <t>206.46B</t>
  </si>
  <si>
    <t>11.76B</t>
  </si>
  <si>
    <t>10.56B</t>
  </si>
  <si>
    <t>22.23B</t>
  </si>
  <si>
    <t>82.27B</t>
  </si>
  <si>
    <t>19.31B</t>
  </si>
  <si>
    <t>12.75B</t>
  </si>
  <si>
    <t>52.42B</t>
  </si>
  <si>
    <t>6.84B</t>
  </si>
  <si>
    <t>9.21B</t>
  </si>
  <si>
    <t>38.01B</t>
  </si>
  <si>
    <t>15.55B</t>
  </si>
  <si>
    <t>20.18B</t>
  </si>
  <si>
    <t>6.38B</t>
  </si>
  <si>
    <t>9.65B</t>
  </si>
  <si>
    <t>1.89B</t>
  </si>
  <si>
    <t>11.40B</t>
  </si>
  <si>
    <t>37.80B</t>
  </si>
  <si>
    <t>178.21B</t>
  </si>
  <si>
    <t>148.07B</t>
  </si>
  <si>
    <t>80.39B</t>
  </si>
  <si>
    <t>15.63B</t>
  </si>
  <si>
    <t>48.08B</t>
  </si>
  <si>
    <t>6.26B</t>
  </si>
  <si>
    <t>12.93B</t>
  </si>
  <si>
    <t>12.44B</t>
  </si>
  <si>
    <t>10.38B</t>
  </si>
  <si>
    <t>26.14B</t>
  </si>
  <si>
    <t>192.79B</t>
  </si>
  <si>
    <t>4.51B</t>
  </si>
  <si>
    <t>25.65B</t>
  </si>
  <si>
    <t>310.55B</t>
  </si>
  <si>
    <t>53.28B</t>
  </si>
  <si>
    <t>8.25B</t>
  </si>
  <si>
    <t>6.32B</t>
  </si>
  <si>
    <t>55.73B</t>
  </si>
  <si>
    <t>6.44B</t>
  </si>
  <si>
    <t>7.52B</t>
  </si>
  <si>
    <t>2.92B</t>
  </si>
  <si>
    <t>13.23B</t>
  </si>
  <si>
    <t>19.18B</t>
  </si>
  <si>
    <t>62.42B</t>
  </si>
  <si>
    <t>56.69B</t>
  </si>
  <si>
    <t>61.06B</t>
  </si>
  <si>
    <t>28.60B</t>
  </si>
  <si>
    <t>9.87B</t>
  </si>
  <si>
    <t>36.00B</t>
  </si>
  <si>
    <t>19.88B</t>
  </si>
  <si>
    <t>228.79B</t>
  </si>
  <si>
    <t>356.16B</t>
  </si>
  <si>
    <t>44.24B</t>
  </si>
  <si>
    <t>18.46B</t>
  </si>
  <si>
    <t>30.93B</t>
  </si>
  <si>
    <t>12.63B</t>
  </si>
  <si>
    <t>24.01B</t>
  </si>
  <si>
    <t>16.66B</t>
  </si>
  <si>
    <t>115.06B</t>
  </si>
  <si>
    <t>20.86B</t>
  </si>
  <si>
    <t>151.09B</t>
  </si>
  <si>
    <t>88.02B</t>
  </si>
  <si>
    <t>31.03B</t>
  </si>
  <si>
    <t>9.51B</t>
  </si>
  <si>
    <t>8.40B</t>
  </si>
  <si>
    <t>2.49B</t>
  </si>
  <si>
    <t>22.61B</t>
  </si>
  <si>
    <t>163.56B</t>
  </si>
  <si>
    <t>99.37B</t>
  </si>
  <si>
    <t>15.96B</t>
  </si>
  <si>
    <t>23.38B</t>
  </si>
  <si>
    <t>23.17B</t>
  </si>
  <si>
    <t>25.45B</t>
  </si>
  <si>
    <t>49.21B</t>
  </si>
  <si>
    <t>4.30B</t>
  </si>
  <si>
    <t>33.50B</t>
  </si>
  <si>
    <t>40.15B</t>
  </si>
  <si>
    <t>11.81B</t>
  </si>
  <si>
    <t>23.45B</t>
  </si>
  <si>
    <t>13.11B</t>
  </si>
  <si>
    <t>59.57B</t>
  </si>
  <si>
    <t>1.86B</t>
  </si>
  <si>
    <t>25.74B</t>
  </si>
  <si>
    <t>25.15B</t>
  </si>
  <si>
    <t>34.52B</t>
  </si>
  <si>
    <t>18.08B</t>
  </si>
  <si>
    <t>3.25B</t>
  </si>
  <si>
    <t>47.50B</t>
  </si>
  <si>
    <t>14.84B</t>
  </si>
  <si>
    <t>81.24B</t>
  </si>
  <si>
    <t>26.19B</t>
  </si>
  <si>
    <t>11.13B</t>
  </si>
  <si>
    <t>52.97B</t>
  </si>
  <si>
    <t>22.04B</t>
  </si>
  <si>
    <t>36.58B</t>
  </si>
  <si>
    <t>24.18B</t>
  </si>
  <si>
    <t>71.65B</t>
  </si>
  <si>
    <t>25.88B</t>
  </si>
  <si>
    <t>9.81B</t>
  </si>
  <si>
    <t>25.12B</t>
  </si>
  <si>
    <t>13.61B</t>
  </si>
  <si>
    <t>8.57B</t>
  </si>
  <si>
    <t>27.79B</t>
  </si>
  <si>
    <t>21.18B</t>
  </si>
  <si>
    <t>13.64B</t>
  </si>
  <si>
    <t>35.06B</t>
  </si>
  <si>
    <t>107.36B</t>
  </si>
  <si>
    <t>254.54B</t>
  </si>
  <si>
    <t>8.41B</t>
  </si>
  <si>
    <t>214.92B</t>
  </si>
  <si>
    <t>"St. Jude Medical, Inc. Common S"</t>
  </si>
  <si>
    <t>191.51B</t>
  </si>
  <si>
    <t>75.51B</t>
  </si>
  <si>
    <t>17.99B</t>
  </si>
  <si>
    <t>49.12B</t>
  </si>
  <si>
    <t>34.49B</t>
  </si>
  <si>
    <t>172.40B</t>
  </si>
  <si>
    <t>268.51B</t>
  </si>
  <si>
    <t>23.70B</t>
  </si>
  <si>
    <t>88.21B</t>
  </si>
  <si>
    <t>4.19B</t>
  </si>
  <si>
    <t>11.73B</t>
  </si>
  <si>
    <t>29.48B</t>
  </si>
  <si>
    <t>9.16B</t>
  </si>
  <si>
    <t>61.15B</t>
  </si>
  <si>
    <t>40.91B</t>
  </si>
  <si>
    <t>22.41B</t>
  </si>
  <si>
    <t>69.81B</t>
  </si>
  <si>
    <t>26.09B</t>
  </si>
  <si>
    <t>22.13B</t>
  </si>
  <si>
    <t>14.97B</t>
  </si>
  <si>
    <t>34.25B</t>
  </si>
  <si>
    <t>55.70B</t>
  </si>
  <si>
    <t>4.79B</t>
  </si>
  <si>
    <t>10.42B</t>
  </si>
  <si>
    <t>100.32B</t>
  </si>
  <si>
    <t>165.18B</t>
  </si>
  <si>
    <t>101.53B</t>
  </si>
  <si>
    <t>136.66B</t>
  </si>
  <si>
    <t>43.00B</t>
  </si>
  <si>
    <t>89.79B</t>
  </si>
  <si>
    <t>31.39B</t>
  </si>
  <si>
    <t>17.66B</t>
  </si>
  <si>
    <t>7.97B</t>
  </si>
  <si>
    <t>17.29B</t>
  </si>
  <si>
    <t>33.05B</t>
  </si>
  <si>
    <t>43.25B</t>
  </si>
  <si>
    <t>31.98B</t>
  </si>
  <si>
    <t>9.33B</t>
  </si>
  <si>
    <t>18.43B</t>
  </si>
  <si>
    <t>6.60B</t>
  </si>
  <si>
    <t>47.62B</t>
  </si>
  <si>
    <t>43.14B</t>
  </si>
  <si>
    <t>12.47B</t>
  </si>
  <si>
    <t>62.21B</t>
  </si>
  <si>
    <t>40.12B</t>
  </si>
  <si>
    <t>175.06B</t>
  </si>
  <si>
    <t>17.18B</t>
  </si>
  <si>
    <t>83.92B</t>
  </si>
  <si>
    <t>12.06B</t>
  </si>
  <si>
    <t>43.43B</t>
  </si>
  <si>
    <t>11.96B</t>
  </si>
  <si>
    <t>19.99B</t>
  </si>
  <si>
    <t>31.87B</t>
  </si>
  <si>
    <t>32.54B</t>
  </si>
  <si>
    <t>91.23B</t>
  </si>
  <si>
    <t>366.15B</t>
  </si>
  <si>
    <t>29.87B</t>
  </si>
  <si>
    <t>5.96B</t>
  </si>
  <si>
    <t>7.35B</t>
  </si>
  <si>
    <t>17.03B</t>
  </si>
  <si>
    <t>120.31B</t>
  </si>
  <si>
    <t>161.78B</t>
  </si>
  <si>
    <t>9.61B</t>
  </si>
  <si>
    <t>12.48B</t>
  </si>
  <si>
    <t>30.79B</t>
  </si>
  <si>
    <t>5.48B</t>
  </si>
  <si>
    <t>30.68B</t>
  </si>
  <si>
    <t>17.02B</t>
  </si>
  <si>
    <t>92.87B</t>
  </si>
  <si>
    <t>15.32B</t>
  </si>
  <si>
    <t>19.30B</t>
  </si>
  <si>
    <t>7.79B</t>
  </si>
  <si>
    <t>14.68B</t>
  </si>
  <si>
    <t>554.85B</t>
  </si>
  <si>
    <t>570.81B</t>
  </si>
  <si>
    <t>26.65B</t>
  </si>
  <si>
    <t>63.49B</t>
  </si>
  <si>
    <t>27.45B</t>
  </si>
  <si>
    <t>54.87B</t>
  </si>
  <si>
    <t>6.56B</t>
  </si>
  <si>
    <t>45.59B</t>
  </si>
  <si>
    <t>3.13B</t>
  </si>
  <si>
    <t>29.43B</t>
  </si>
  <si>
    <t>29.44B</t>
  </si>
  <si>
    <t>50.15B</t>
  </si>
  <si>
    <t>384.09B</t>
  </si>
  <si>
    <t>23.78B</t>
  </si>
  <si>
    <t>37.81B</t>
  </si>
  <si>
    <t>26.01B</t>
  </si>
  <si>
    <t>18.89B</t>
  </si>
  <si>
    <t>19.14B</t>
  </si>
  <si>
    <t>14.76B</t>
  </si>
  <si>
    <t>76.24B</t>
  </si>
  <si>
    <t>14.50B</t>
  </si>
  <si>
    <t>13.56B</t>
  </si>
  <si>
    <t>21.16B</t>
  </si>
  <si>
    <t>5.22B</t>
  </si>
  <si>
    <t>10.17B</t>
  </si>
  <si>
    <t>64.34B</t>
  </si>
  <si>
    <t>13.94B</t>
  </si>
  <si>
    <t>13.10B</t>
  </si>
  <si>
    <t>263.39M</t>
  </si>
  <si>
    <t>87.33B</t>
  </si>
  <si>
    <t>16.39B</t>
  </si>
  <si>
    <t>18.16B</t>
  </si>
  <si>
    <t>23.58B</t>
  </si>
  <si>
    <t>15.35B</t>
  </si>
  <si>
    <t>83.71B</t>
  </si>
  <si>
    <t>15.51B</t>
  </si>
  <si>
    <t>74.71B</t>
  </si>
  <si>
    <t>12.45B</t>
  </si>
  <si>
    <t>9.82B</t>
  </si>
  <si>
    <t>487.83B</t>
  </si>
  <si>
    <t>11.03B</t>
  </si>
  <si>
    <t>13.67B</t>
  </si>
  <si>
    <t>8.43B</t>
  </si>
  <si>
    <t>119.81B</t>
  </si>
  <si>
    <t>10.16B</t>
  </si>
  <si>
    <t>19.50B</t>
  </si>
  <si>
    <t>176.04B</t>
  </si>
  <si>
    <t>39.59B</t>
  </si>
  <si>
    <t>24.85B</t>
  </si>
  <si>
    <t>24.22B</t>
  </si>
  <si>
    <t>10.02B</t>
  </si>
  <si>
    <t>29.55B</t>
  </si>
  <si>
    <t>639.88B</t>
  </si>
  <si>
    <t>55.34B</t>
  </si>
  <si>
    <t>88.97B</t>
  </si>
  <si>
    <t>4.72B</t>
  </si>
  <si>
    <t>18.25B</t>
  </si>
  <si>
    <t>218.23B</t>
  </si>
  <si>
    <t>13.32B</t>
  </si>
  <si>
    <t>21.22B</t>
  </si>
  <si>
    <t>27.28B</t>
  </si>
  <si>
    <t>68.35B</t>
  </si>
  <si>
    <t>3.99B</t>
  </si>
  <si>
    <t>23.10B</t>
  </si>
  <si>
    <t>38.70B</t>
  </si>
  <si>
    <t>14.46B</t>
  </si>
  <si>
    <t>14.45B</t>
  </si>
  <si>
    <t>29.90B</t>
  </si>
  <si>
    <t>12.28B</t>
  </si>
  <si>
    <t>14.82B</t>
  </si>
  <si>
    <t>9.12B</t>
  </si>
  <si>
    <t>37.04B</t>
  </si>
  <si>
    <t>20.32B</t>
  </si>
  <si>
    <t>171.34B</t>
  </si>
  <si>
    <t>10.15B</t>
  </si>
  <si>
    <t>153.90B</t>
  </si>
  <si>
    <t>11.26B</t>
  </si>
  <si>
    <t>16.61B</t>
  </si>
  <si>
    <t>37.17B</t>
  </si>
  <si>
    <t>8.78B</t>
  </si>
  <si>
    <t>46.68B</t>
  </si>
  <si>
    <t>22.08B</t>
  </si>
  <si>
    <t>14.65B</t>
  </si>
  <si>
    <t>11.91B</t>
  </si>
  <si>
    <t>276.24B</t>
  </si>
  <si>
    <t>14.92B</t>
  </si>
  <si>
    <t>21.20B</t>
  </si>
  <si>
    <t>74.11B</t>
  </si>
  <si>
    <t>19.42B</t>
  </si>
  <si>
    <t>39.68B</t>
  </si>
  <si>
    <t>5.13B</t>
  </si>
  <si>
    <t>22.46B</t>
  </si>
  <si>
    <t>10.43B</t>
  </si>
  <si>
    <t>46.58B</t>
  </si>
  <si>
    <t>60.80B</t>
  </si>
  <si>
    <t>54.19B</t>
  </si>
  <si>
    <t>17.87B</t>
  </si>
  <si>
    <t>98.46B</t>
  </si>
  <si>
    <t>32.95B</t>
  </si>
  <si>
    <t>9.88B</t>
  </si>
  <si>
    <t>86.89B</t>
  </si>
  <si>
    <t>8.49B</t>
  </si>
  <si>
    <t>62.86B</t>
  </si>
  <si>
    <t>16.75B</t>
  </si>
  <si>
    <t>9.57B</t>
  </si>
  <si>
    <t>56.42B</t>
  </si>
  <si>
    <t>10.96B</t>
  </si>
  <si>
    <t>29.98B</t>
  </si>
  <si>
    <t>23.14B</t>
  </si>
  <si>
    <t>4.84B</t>
  </si>
  <si>
    <t>18.02B</t>
  </si>
  <si>
    <t>59.72B</t>
  </si>
  <si>
    <t>18.29B</t>
  </si>
  <si>
    <t>48.80B</t>
  </si>
  <si>
    <t>19.01B</t>
  </si>
  <si>
    <t>33.16B</t>
  </si>
  <si>
    <t>36.77B</t>
  </si>
  <si>
    <t>8.44B</t>
  </si>
  <si>
    <t>6.52B</t>
  </si>
  <si>
    <t>30.48B</t>
  </si>
  <si>
    <t>36.43B</t>
  </si>
  <si>
    <t>"TechnipFMC plc Ordinary Share"</t>
  </si>
  <si>
    <t>4.07B</t>
  </si>
  <si>
    <t>39.14B</t>
  </si>
  <si>
    <t>8.07B</t>
  </si>
  <si>
    <t>27.69B</t>
  </si>
  <si>
    <t>5.08B</t>
  </si>
  <si>
    <t>43.77B</t>
  </si>
  <si>
    <t>13.33B</t>
  </si>
  <si>
    <t>5.77B</t>
  </si>
  <si>
    <t>155.56B</t>
  </si>
  <si>
    <t>33.82B</t>
  </si>
  <si>
    <t>11.98B</t>
  </si>
  <si>
    <t>26.94B</t>
  </si>
  <si>
    <t>18.18B</t>
  </si>
  <si>
    <t>10.45B</t>
  </si>
  <si>
    <t>298.76B</t>
  </si>
  <si>
    <t>45.40B</t>
  </si>
  <si>
    <t>5.24B</t>
  </si>
  <si>
    <t>36.97B</t>
  </si>
  <si>
    <t>6.24B</t>
  </si>
  <si>
    <t>31.45B</t>
  </si>
  <si>
    <t>24.87B</t>
  </si>
  <si>
    <t>19.06B</t>
  </si>
  <si>
    <t>56.91B</t>
  </si>
  <si>
    <t>21.12B</t>
  </si>
  <si>
    <t>19.87B</t>
  </si>
  <si>
    <t>59.56B</t>
  </si>
  <si>
    <t>41.52B</t>
  </si>
  <si>
    <t>54.76B</t>
  </si>
  <si>
    <t>20.73B</t>
  </si>
  <si>
    <t>3.41B</t>
  </si>
  <si>
    <t>14.23B</t>
  </si>
  <si>
    <t>78.88B</t>
  </si>
  <si>
    <t>15.30B</t>
  </si>
  <si>
    <t>96.32B</t>
  </si>
  <si>
    <t>19.28B</t>
  </si>
  <si>
    <t>11.74B</t>
  </si>
  <si>
    <t>238.09B</t>
  </si>
  <si>
    <t>17.28B</t>
  </si>
  <si>
    <t>5.60B</t>
  </si>
  <si>
    <t>8.65B</t>
  </si>
  <si>
    <t>56.06B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</si>
</sst>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scheme val="minor"/>
    </font>
    <font>
      <sz val="12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2" fontId="6" fillId="0" borderId="0" xfId="1" applyNumberFormat="1" applyAlignment="1">
      <alignment horizontal="right"/>
    </xf>
    <xf numFmtId="2" fontId="9" fillId="0" borderId="0" xfId="0" applyNumberFormat="1" applyFont="1" applyAlignment="1">
      <alignment horizontal="right"/>
    </xf>
    <xf numFmtId="2" fontId="10" fillId="0" borderId="0" xfId="1" applyNumberFormat="1" applyFont="1" applyAlignment="1">
      <alignment horizontal="right"/>
    </xf>
    <xf numFmtId="2" fontId="7" fillId="2" borderId="2" xfId="0" applyNumberFormat="1" applyFont="1" applyFill="1" applyBorder="1" applyAlignment="1">
      <alignment horizontal="left" vertical="center"/>
    </xf>
    <xf numFmtId="10" fontId="7" fillId="2" borderId="2" xfId="2" applyNumberFormat="1" applyFont="1" applyFill="1" applyBorder="1" applyAlignment="1">
      <alignment vertical="center"/>
    </xf>
    <xf numFmtId="10" fontId="0" fillId="0" borderId="0" xfId="2" applyNumberFormat="1" applyFont="1" applyAlignment="1">
      <alignment horizontal="right"/>
    </xf>
    <xf numFmtId="10" fontId="2" fillId="0" borderId="0" xfId="2" applyNumberFormat="1" applyFont="1" applyAlignment="1">
      <alignment horizontal="right"/>
    </xf>
  </cellXfs>
  <cellStyles count="3">
    <cellStyle name="Hyperlink" xfId="1" builtinId="8"/>
    <cellStyle name="Normal" xfId="0" builtinId="0"/>
    <cellStyle name="Percent" xfId="2" builtinId="5"/>
  </cellStyles>
  <dxfs count="42">
    <dxf>
      <numFmt numFmtId="14" formatCode="0.00%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552450</xdr:colOff>
      <xdr:row>1</xdr:row>
      <xdr:rowOff>0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M101" totalsRowShown="0" headerRowDxfId="41" dataDxfId="40">
  <autoFilter ref="A1:M101"/>
  <sortState ref="A2:M101">
    <sortCondition ref="M1:M101"/>
  </sortState>
  <tableColumns count="13">
    <tableColumn id="1" name="Ticker" dataDxfId="39"/>
    <tableColumn id="2" name="Company Name" dataDxfId="38"/>
    <tableColumn id="3" name="LatestPrice" dataDxfId="37"/>
    <tableColumn id="4" name="DaysLow" dataDxfId="36"/>
    <tableColumn id="5" name="DaysHigh" dataDxfId="35"/>
    <tableColumn id="6" name="PreviousClose" dataDxfId="34"/>
    <tableColumn id="7" name="%Change" dataDxfId="33"/>
    <tableColumn id="8" name="MarketCap" dataDxfId="32"/>
    <tableColumn id="9" name="DivYield" dataDxfId="31"/>
    <tableColumn id="10" name="P/E" dataDxfId="30"/>
    <tableColumn id="11" name="MA200" dataDxfId="29"/>
    <tableColumn id="12" name="YAHOO" dataDxfId="28">
      <calculatedColumnFormula>HYPERLINK("http://finance.yahoo.com/q?s=" &amp; A2, "Link")</calculatedColumnFormula>
    </tableColumn>
    <tableColumn id="13" name="CP/MA2002" dataDxfId="27">
      <calculatedColumnFormula>C2/K2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6">
  <autoFilter ref="A1:L31"/>
  <sortState ref="A2:K31">
    <sortCondition ref="G1:G31"/>
  </sortState>
  <tableColumns count="12">
    <tableColumn id="1" name="Ticker" dataDxfId="25"/>
    <tableColumn id="2" name="Company Name"/>
    <tableColumn id="3" name="LatestPrice" dataDxfId="24"/>
    <tableColumn id="4" name="DaysLow" dataDxfId="23"/>
    <tableColumn id="5" name="DaysHigh" dataDxfId="22"/>
    <tableColumn id="6" name="PreviousClose" dataDxfId="21"/>
    <tableColumn id="7" name="%Change" dataDxfId="20"/>
    <tableColumn id="8" name="MarketCap" dataDxfId="19"/>
    <tableColumn id="9" name="DivYield" dataDxfId="18"/>
    <tableColumn id="10" name="P/E" dataDxfId="17"/>
    <tableColumn id="11" name="MA200" dataDxfId="16"/>
    <tableColumn id="12" name="YAHOO" dataDxfId="15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O497" totalsRowShown="0" headerRowDxfId="14">
  <autoFilter ref="A1:O497"/>
  <sortState ref="A2:O497">
    <sortCondition ref="O1:O497"/>
  </sortState>
  <tableColumns count="15">
    <tableColumn id="1" name="Ticker" dataDxfId="13"/>
    <tableColumn id="2" name="Company Name"/>
    <tableColumn id="3" name="LatestPrice" dataDxfId="12"/>
    <tableColumn id="4" name="DaysLow" dataDxfId="11"/>
    <tableColumn id="5" name="DaysHigh" dataDxfId="10"/>
    <tableColumn id="6" name="PreviousClose" dataDxfId="9"/>
    <tableColumn id="7" name="%Change" dataDxfId="8"/>
    <tableColumn id="8" name="MarketCap" dataDxfId="7"/>
    <tableColumn id="9" name="DivYield" dataDxfId="6"/>
    <tableColumn id="10" name="P/E" dataDxfId="5"/>
    <tableColumn id="11" name="MA200" dataDxfId="4"/>
    <tableColumn id="13" name="Yahoo" dataDxfId="3"/>
    <tableColumn id="14" name="Target" dataDxfId="2">
      <calculatedColumnFormula>K2*0.9</calculatedColumnFormula>
    </tableColumn>
    <tableColumn id="12" name="Column1" dataDxfId="1">
      <calculatedColumnFormula>IF(M2&gt;C2, "Buy", "")</calculatedColumnFormula>
    </tableColumn>
    <tableColumn id="15" name="Column2" dataDxfId="0" dataCellStyle="Percent">
      <calculatedColumnFormula>C2/K2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workbookViewId="0">
      <selection activeCell="M1" sqref="M1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3" width="16.42578125" style="7" customWidth="1"/>
    <col min="14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208</v>
      </c>
      <c r="M1" s="31" t="s">
        <v>1018</v>
      </c>
    </row>
    <row r="2" spans="1:14" ht="20.100000000000001" customHeight="1" x14ac:dyDescent="0.25">
      <c r="A2" s="10" t="s">
        <v>61</v>
      </c>
      <c r="B2" s="11" t="s">
        <v>169</v>
      </c>
      <c r="C2" s="8">
        <v>71.77</v>
      </c>
      <c r="D2" s="8">
        <v>71.69</v>
      </c>
      <c r="E2" s="8">
        <v>72.290000000000006</v>
      </c>
      <c r="F2" s="8">
        <v>71.95</v>
      </c>
      <c r="G2" s="14">
        <v>-2.5017373175817486E-3</v>
      </c>
      <c r="H2" s="8" t="s">
        <v>1091</v>
      </c>
      <c r="I2" s="8">
        <v>2.39</v>
      </c>
      <c r="J2" s="8">
        <v>23.9</v>
      </c>
      <c r="K2" s="8">
        <v>83.44</v>
      </c>
      <c r="L2" s="26" t="str">
        <f t="shared" ref="L2:L33" si="0">HYPERLINK("http://finance.yahoo.com/q?s=" &amp; A2, "Link")</f>
        <v>Link</v>
      </c>
      <c r="M2" s="29">
        <f t="shared" ref="M2:M33" si="1">C2/K2</f>
        <v>0.86013902205177373</v>
      </c>
    </row>
    <row r="3" spans="1:14" ht="20.100000000000001" customHeight="1" x14ac:dyDescent="0.25">
      <c r="A3" s="10" t="s">
        <v>83</v>
      </c>
      <c r="B3" s="11" t="s">
        <v>190</v>
      </c>
      <c r="C3" s="8">
        <v>175.96</v>
      </c>
      <c r="D3" s="8">
        <v>175.29</v>
      </c>
      <c r="E3" s="8">
        <v>176.36</v>
      </c>
      <c r="F3" s="8">
        <v>175.95</v>
      </c>
      <c r="G3" s="14">
        <v>5.6834327934182025E-5</v>
      </c>
      <c r="H3" s="8" t="s">
        <v>1069</v>
      </c>
      <c r="I3" s="8">
        <v>3.75</v>
      </c>
      <c r="J3" s="8">
        <v>29.97</v>
      </c>
      <c r="K3" s="8">
        <v>202.75</v>
      </c>
      <c r="L3" s="26" t="str">
        <f t="shared" si="0"/>
        <v>Link</v>
      </c>
      <c r="M3" s="29">
        <f t="shared" si="1"/>
        <v>0.86786683107274976</v>
      </c>
    </row>
    <row r="4" spans="1:14" ht="20.100000000000001" customHeight="1" x14ac:dyDescent="0.25">
      <c r="A4" s="10" t="s">
        <v>25</v>
      </c>
      <c r="B4" s="11" t="s">
        <v>138</v>
      </c>
      <c r="C4" s="8">
        <v>79.290000000000006</v>
      </c>
      <c r="D4" s="8">
        <v>78.900000000000006</v>
      </c>
      <c r="E4" s="8">
        <v>79.72</v>
      </c>
      <c r="F4" s="8">
        <v>79.14</v>
      </c>
      <c r="G4" s="14">
        <v>1.8953752843063644E-3</v>
      </c>
      <c r="H4" s="8" t="s">
        <v>1025</v>
      </c>
      <c r="I4" s="8">
        <v>2.5299999999999998</v>
      </c>
      <c r="J4" s="8">
        <v>16.989999999999998</v>
      </c>
      <c r="K4" s="8">
        <v>88.9</v>
      </c>
      <c r="L4" s="26" t="str">
        <f t="shared" si="0"/>
        <v>Link</v>
      </c>
      <c r="M4" s="29">
        <f t="shared" si="1"/>
        <v>0.89190101237345332</v>
      </c>
    </row>
    <row r="5" spans="1:14" ht="20.100000000000001" customHeight="1" x14ac:dyDescent="0.25">
      <c r="A5" s="10" t="s">
        <v>19</v>
      </c>
      <c r="B5" s="11" t="s">
        <v>133</v>
      </c>
      <c r="C5" s="8">
        <v>66.010000000000005</v>
      </c>
      <c r="D5" s="8">
        <v>65.819999999999993</v>
      </c>
      <c r="E5" s="8">
        <v>66.42</v>
      </c>
      <c r="F5" s="8">
        <v>66.27</v>
      </c>
      <c r="G5" s="14">
        <v>-3.9233438961821477E-3</v>
      </c>
      <c r="H5" s="8" t="s">
        <v>1071</v>
      </c>
      <c r="I5" s="8">
        <v>2.35</v>
      </c>
      <c r="J5" s="8">
        <v>43.17</v>
      </c>
      <c r="K5" s="8">
        <v>71.489999999999995</v>
      </c>
      <c r="L5" s="26" t="str">
        <f t="shared" si="0"/>
        <v>Link</v>
      </c>
      <c r="M5" s="29">
        <f t="shared" si="1"/>
        <v>0.92334592250664438</v>
      </c>
    </row>
    <row r="6" spans="1:14" ht="20.100000000000001" customHeight="1" x14ac:dyDescent="0.25">
      <c r="A6" s="10" t="s">
        <v>6</v>
      </c>
      <c r="B6" s="11" t="s">
        <v>122</v>
      </c>
      <c r="C6" s="8">
        <v>148.36000000000001</v>
      </c>
      <c r="D6" s="8">
        <v>147.77000000000001</v>
      </c>
      <c r="E6" s="8">
        <v>150.11000000000001</v>
      </c>
      <c r="F6" s="8">
        <v>147.55000000000001</v>
      </c>
      <c r="G6" s="14">
        <v>5.4896645205015403E-3</v>
      </c>
      <c r="H6" s="8" t="s">
        <v>1094</v>
      </c>
      <c r="I6" s="8">
        <v>3.12</v>
      </c>
      <c r="J6" s="8">
        <v>14.85</v>
      </c>
      <c r="K6" s="8">
        <v>159.19</v>
      </c>
      <c r="L6" s="26" t="str">
        <f t="shared" si="0"/>
        <v>Link</v>
      </c>
      <c r="M6" s="29">
        <f t="shared" si="1"/>
        <v>0.93196808844776691</v>
      </c>
    </row>
    <row r="7" spans="1:14" ht="20.100000000000001" customHeight="1" x14ac:dyDescent="0.25">
      <c r="A7" s="10" t="s">
        <v>42</v>
      </c>
      <c r="B7" s="11" t="s">
        <v>154</v>
      </c>
      <c r="C7" s="8">
        <v>73.73</v>
      </c>
      <c r="D7" s="8">
        <v>73.510000000000005</v>
      </c>
      <c r="E7" s="8">
        <v>74.8</v>
      </c>
      <c r="F7" s="8">
        <v>73.64</v>
      </c>
      <c r="G7" s="14">
        <v>1.2221618685497476E-3</v>
      </c>
      <c r="H7" s="8" t="s">
        <v>1022</v>
      </c>
      <c r="I7" s="8">
        <v>2.5499999999999998</v>
      </c>
      <c r="J7" s="8">
        <v>6.82</v>
      </c>
      <c r="K7" s="8">
        <v>78.66</v>
      </c>
      <c r="L7" s="26" t="str">
        <f t="shared" si="0"/>
        <v>Link</v>
      </c>
      <c r="M7" s="29">
        <f t="shared" si="1"/>
        <v>0.93732519705059758</v>
      </c>
    </row>
    <row r="8" spans="1:14" ht="20.100000000000001" customHeight="1" x14ac:dyDescent="0.25">
      <c r="A8" s="10" t="s">
        <v>77</v>
      </c>
      <c r="B8" s="11" t="s">
        <v>184</v>
      </c>
      <c r="C8" s="8">
        <v>91.33</v>
      </c>
      <c r="D8" s="8">
        <v>91.09</v>
      </c>
      <c r="E8" s="8">
        <v>91.79</v>
      </c>
      <c r="F8" s="8">
        <v>91.58</v>
      </c>
      <c r="G8" s="14">
        <v>-2.7298536798427606E-3</v>
      </c>
      <c r="H8" s="8" t="s">
        <v>1056</v>
      </c>
      <c r="I8" s="8">
        <v>4.54</v>
      </c>
      <c r="J8" s="8">
        <v>21.85</v>
      </c>
      <c r="K8" s="8">
        <v>97.09</v>
      </c>
      <c r="L8" s="26" t="str">
        <f t="shared" si="0"/>
        <v>Link</v>
      </c>
      <c r="M8" s="29">
        <f t="shared" si="1"/>
        <v>0.94067360181275106</v>
      </c>
    </row>
    <row r="9" spans="1:14" ht="20.100000000000001" customHeight="1" x14ac:dyDescent="0.25">
      <c r="A9" s="10" t="s">
        <v>2</v>
      </c>
      <c r="B9" s="11" t="s">
        <v>119</v>
      </c>
      <c r="C9" s="8">
        <v>38.6</v>
      </c>
      <c r="D9" s="8">
        <v>38.47</v>
      </c>
      <c r="E9" s="8">
        <v>38.94</v>
      </c>
      <c r="F9" s="8">
        <v>38.42</v>
      </c>
      <c r="G9" s="14">
        <v>4.6850598646538183E-3</v>
      </c>
      <c r="H9" s="8" t="s">
        <v>1055</v>
      </c>
      <c r="I9" s="8">
        <v>2.76</v>
      </c>
      <c r="J9" s="8">
        <v>42.14</v>
      </c>
      <c r="K9" s="8">
        <v>40.950000000000003</v>
      </c>
      <c r="L9" s="26" t="str">
        <f t="shared" si="0"/>
        <v>Link</v>
      </c>
      <c r="M9" s="29">
        <f t="shared" si="1"/>
        <v>0.94261294261294259</v>
      </c>
    </row>
    <row r="10" spans="1:14" ht="20.100000000000001" customHeight="1" x14ac:dyDescent="0.25">
      <c r="A10" s="10" t="s">
        <v>69</v>
      </c>
      <c r="B10" s="11" t="s">
        <v>176</v>
      </c>
      <c r="C10" s="8">
        <v>51.29</v>
      </c>
      <c r="D10" s="8">
        <v>51.2</v>
      </c>
      <c r="E10" s="8">
        <v>52.25</v>
      </c>
      <c r="F10" s="8">
        <v>51.91</v>
      </c>
      <c r="G10" s="14">
        <v>-1.1943748795993017E-2</v>
      </c>
      <c r="H10" s="8" t="s">
        <v>1036</v>
      </c>
      <c r="I10" s="8">
        <v>1.39</v>
      </c>
      <c r="J10" s="8">
        <v>22.61</v>
      </c>
      <c r="K10" s="8">
        <v>54</v>
      </c>
      <c r="L10" s="26" t="str">
        <f t="shared" si="0"/>
        <v>Link</v>
      </c>
      <c r="M10" s="29">
        <f t="shared" si="1"/>
        <v>0.94981481481481478</v>
      </c>
    </row>
    <row r="11" spans="1:14" ht="20.100000000000001" customHeight="1" x14ac:dyDescent="0.25">
      <c r="A11" s="10" t="s">
        <v>13</v>
      </c>
      <c r="B11" s="11" t="s">
        <v>129</v>
      </c>
      <c r="C11" s="8">
        <v>44.38</v>
      </c>
      <c r="D11" s="8">
        <v>44.22</v>
      </c>
      <c r="E11" s="8">
        <v>44.51</v>
      </c>
      <c r="F11" s="8">
        <v>44.22</v>
      </c>
      <c r="G11" s="14">
        <v>3.6182722749887766E-3</v>
      </c>
      <c r="H11" s="8" t="s">
        <v>1076</v>
      </c>
      <c r="I11" s="8">
        <v>1.18</v>
      </c>
      <c r="J11" s="8">
        <v>4.97</v>
      </c>
      <c r="K11" s="8">
        <v>46.48</v>
      </c>
      <c r="L11" s="26" t="str">
        <f t="shared" si="0"/>
        <v>Link</v>
      </c>
      <c r="M11" s="29">
        <f t="shared" si="1"/>
        <v>0.95481927710843384</v>
      </c>
    </row>
    <row r="12" spans="1:14" ht="20.100000000000001" customHeight="1" x14ac:dyDescent="0.25">
      <c r="A12" s="10" t="s">
        <v>55</v>
      </c>
      <c r="B12" s="11" t="s">
        <v>163</v>
      </c>
      <c r="C12" s="8">
        <v>73.81</v>
      </c>
      <c r="D12" s="8">
        <v>73.680000000000007</v>
      </c>
      <c r="E12" s="8">
        <v>74.459999999999994</v>
      </c>
      <c r="F12" s="8">
        <v>73.790000000000006</v>
      </c>
      <c r="G12" s="14">
        <v>2.7103943623791866E-4</v>
      </c>
      <c r="H12" s="8" t="s">
        <v>1038</v>
      </c>
      <c r="I12" s="8">
        <v>2.82</v>
      </c>
      <c r="J12" s="8">
        <v>32.11</v>
      </c>
      <c r="K12" s="8">
        <v>77.040000000000006</v>
      </c>
      <c r="L12" s="26" t="str">
        <f t="shared" si="0"/>
        <v>Link</v>
      </c>
      <c r="M12" s="29">
        <f t="shared" si="1"/>
        <v>0.95807372793354095</v>
      </c>
    </row>
    <row r="13" spans="1:14" ht="20.100000000000001" customHeight="1" x14ac:dyDescent="0.25">
      <c r="A13" s="10" t="s">
        <v>75</v>
      </c>
      <c r="B13" s="11" t="s">
        <v>182</v>
      </c>
      <c r="C13" s="8">
        <v>32.53</v>
      </c>
      <c r="D13" s="8">
        <v>32.479999999999997</v>
      </c>
      <c r="E13" s="8">
        <v>32.72</v>
      </c>
      <c r="F13" s="8">
        <v>32.479999999999997</v>
      </c>
      <c r="G13" s="14">
        <v>1.5394088669952054E-3</v>
      </c>
      <c r="H13" s="8" t="s">
        <v>1064</v>
      </c>
      <c r="I13" s="8">
        <v>3.94</v>
      </c>
      <c r="J13" s="8">
        <v>32.659999999999997</v>
      </c>
      <c r="K13" s="8">
        <v>33.89</v>
      </c>
      <c r="L13" s="26" t="str">
        <f t="shared" si="0"/>
        <v>Link</v>
      </c>
      <c r="M13" s="29">
        <f t="shared" si="1"/>
        <v>0.95987016819120685</v>
      </c>
    </row>
    <row r="14" spans="1:14" ht="20.100000000000001" customHeight="1" x14ac:dyDescent="0.25">
      <c r="A14" s="10" t="s">
        <v>36</v>
      </c>
      <c r="B14" s="11" t="s">
        <v>148</v>
      </c>
      <c r="C14" s="8">
        <v>118.01</v>
      </c>
      <c r="D14" s="8">
        <v>116.86</v>
      </c>
      <c r="E14" s="8">
        <v>118.68</v>
      </c>
      <c r="F14" s="8">
        <v>117.27</v>
      </c>
      <c r="G14" s="14">
        <v>6.3102242687815219E-3</v>
      </c>
      <c r="H14" s="8" t="s">
        <v>1101</v>
      </c>
      <c r="I14" s="8" t="s">
        <v>124</v>
      </c>
      <c r="J14" s="8">
        <v>45.49</v>
      </c>
      <c r="K14" s="8">
        <v>122.53</v>
      </c>
      <c r="L14" s="26" t="str">
        <f t="shared" si="0"/>
        <v>Link</v>
      </c>
      <c r="M14" s="29">
        <f t="shared" si="1"/>
        <v>0.96311107483881497</v>
      </c>
    </row>
    <row r="15" spans="1:14" ht="20.100000000000001" customHeight="1" x14ac:dyDescent="0.25">
      <c r="A15" s="10" t="s">
        <v>57</v>
      </c>
      <c r="B15" s="11" t="s">
        <v>165</v>
      </c>
      <c r="C15" s="8">
        <v>72.23</v>
      </c>
      <c r="D15" s="8">
        <v>71.959999999999994</v>
      </c>
      <c r="E15" s="8">
        <v>72.75</v>
      </c>
      <c r="F15" s="8">
        <v>72.3</v>
      </c>
      <c r="G15" s="14">
        <v>-9.681881051174714E-4</v>
      </c>
      <c r="H15" s="8" t="s">
        <v>1035</v>
      </c>
      <c r="I15" s="8">
        <v>1.94</v>
      </c>
      <c r="J15" s="8">
        <v>26.52</v>
      </c>
      <c r="K15" s="8">
        <v>74.849999999999994</v>
      </c>
      <c r="L15" s="26" t="str">
        <f t="shared" si="0"/>
        <v>Link</v>
      </c>
      <c r="M15" s="29">
        <f t="shared" si="1"/>
        <v>0.96499665998664008</v>
      </c>
      <c r="N15" s="23"/>
    </row>
    <row r="16" spans="1:14" ht="20.100000000000001" customHeight="1" x14ac:dyDescent="0.25">
      <c r="A16" s="10" t="s">
        <v>82</v>
      </c>
      <c r="B16" s="11" t="s">
        <v>189</v>
      </c>
      <c r="C16" s="8">
        <v>49.3</v>
      </c>
      <c r="D16" s="8">
        <v>49.09</v>
      </c>
      <c r="E16" s="8">
        <v>49.46</v>
      </c>
      <c r="F16" s="8">
        <v>49.33</v>
      </c>
      <c r="G16" s="14">
        <v>-6.0814919927024407E-4</v>
      </c>
      <c r="H16" s="8" t="s">
        <v>1043</v>
      </c>
      <c r="I16" s="8">
        <v>4.54</v>
      </c>
      <c r="J16" s="8">
        <v>18.510000000000002</v>
      </c>
      <c r="K16" s="8">
        <v>51.01</v>
      </c>
      <c r="L16" s="26" t="str">
        <f t="shared" si="0"/>
        <v>Link</v>
      </c>
      <c r="M16" s="29">
        <f t="shared" si="1"/>
        <v>0.96647716134091355</v>
      </c>
    </row>
    <row r="17" spans="1:13" ht="20.100000000000001" customHeight="1" x14ac:dyDescent="0.25">
      <c r="A17" s="10" t="s">
        <v>54</v>
      </c>
      <c r="B17" s="11" t="s">
        <v>162</v>
      </c>
      <c r="C17" s="8">
        <v>41.61</v>
      </c>
      <c r="D17" s="8">
        <v>41.54</v>
      </c>
      <c r="E17" s="8">
        <v>41.76</v>
      </c>
      <c r="F17" s="8">
        <v>41.6</v>
      </c>
      <c r="G17" s="14">
        <v>2.4038461538456756E-4</v>
      </c>
      <c r="H17" s="8" t="s">
        <v>1029</v>
      </c>
      <c r="I17" s="8">
        <v>3.37</v>
      </c>
      <c r="J17" s="8">
        <v>25.23</v>
      </c>
      <c r="K17" s="8">
        <v>43.05</v>
      </c>
      <c r="L17" s="26" t="str">
        <f t="shared" si="0"/>
        <v>Link</v>
      </c>
      <c r="M17" s="29">
        <f t="shared" si="1"/>
        <v>0.96655052264808372</v>
      </c>
    </row>
    <row r="18" spans="1:13" ht="20.100000000000001" customHeight="1" x14ac:dyDescent="0.25">
      <c r="A18" s="10" t="s">
        <v>16</v>
      </c>
      <c r="B18" s="11" t="s">
        <v>131</v>
      </c>
      <c r="C18" s="8">
        <v>59.33</v>
      </c>
      <c r="D18" s="8">
        <v>59.29</v>
      </c>
      <c r="E18" s="8">
        <v>59.75</v>
      </c>
      <c r="F18" s="8">
        <v>59.61</v>
      </c>
      <c r="G18" s="14">
        <v>-4.6971984566348121E-3</v>
      </c>
      <c r="H18" s="8" t="s">
        <v>1020</v>
      </c>
      <c r="I18" s="8">
        <v>2.62</v>
      </c>
      <c r="J18" s="8">
        <v>29.68</v>
      </c>
      <c r="K18" s="8">
        <v>61.13</v>
      </c>
      <c r="L18" s="26" t="str">
        <f t="shared" si="0"/>
        <v>Link</v>
      </c>
      <c r="M18" s="29">
        <f t="shared" si="1"/>
        <v>0.97055455586455086</v>
      </c>
    </row>
    <row r="19" spans="1:13" ht="20.100000000000001" customHeight="1" x14ac:dyDescent="0.25">
      <c r="A19" s="10" t="s">
        <v>72</v>
      </c>
      <c r="B19" s="11" t="s">
        <v>179</v>
      </c>
      <c r="C19" s="8">
        <v>38.82</v>
      </c>
      <c r="D19" s="8">
        <v>38.76</v>
      </c>
      <c r="E19" s="8">
        <v>39.04</v>
      </c>
      <c r="F19" s="8">
        <v>38.78</v>
      </c>
      <c r="G19" s="14">
        <v>1.0314595152140058E-3</v>
      </c>
      <c r="H19" s="8" t="s">
        <v>1057</v>
      </c>
      <c r="I19" s="8">
        <v>1.55</v>
      </c>
      <c r="J19" s="8">
        <v>18.53</v>
      </c>
      <c r="K19" s="8">
        <v>39.9</v>
      </c>
      <c r="L19" s="26" t="str">
        <f t="shared" si="0"/>
        <v>Link</v>
      </c>
      <c r="M19" s="29">
        <f t="shared" si="1"/>
        <v>0.97293233082706776</v>
      </c>
    </row>
    <row r="20" spans="1:13" ht="20.100000000000001" customHeight="1" x14ac:dyDescent="0.25">
      <c r="A20" s="10" t="s">
        <v>97</v>
      </c>
      <c r="B20" s="11" t="s">
        <v>202</v>
      </c>
      <c r="C20" s="8">
        <v>69.7</v>
      </c>
      <c r="D20" s="8">
        <v>69.25</v>
      </c>
      <c r="E20" s="8">
        <v>69.819999999999993</v>
      </c>
      <c r="F20" s="8">
        <v>69.540000000000006</v>
      </c>
      <c r="G20" s="14">
        <v>2.3008340523439255E-3</v>
      </c>
      <c r="H20" s="8" t="s">
        <v>1058</v>
      </c>
      <c r="I20" s="8">
        <v>2.88</v>
      </c>
      <c r="J20" s="8">
        <v>15.12</v>
      </c>
      <c r="K20" s="8">
        <v>71.48</v>
      </c>
      <c r="L20" s="26" t="str">
        <f t="shared" si="0"/>
        <v>Link</v>
      </c>
      <c r="M20" s="29">
        <f t="shared" si="1"/>
        <v>0.97509792949076668</v>
      </c>
    </row>
    <row r="21" spans="1:13" ht="20.100000000000001" customHeight="1" x14ac:dyDescent="0.25">
      <c r="A21" s="10" t="s">
        <v>52</v>
      </c>
      <c r="B21" s="11" t="s">
        <v>161</v>
      </c>
      <c r="C21" s="8">
        <v>115.91</v>
      </c>
      <c r="D21" s="8">
        <v>115.38</v>
      </c>
      <c r="E21" s="8">
        <v>116</v>
      </c>
      <c r="F21" s="8">
        <v>115.96</v>
      </c>
      <c r="G21" s="14">
        <v>-4.3118316660915109E-4</v>
      </c>
      <c r="H21" s="8" t="s">
        <v>1063</v>
      </c>
      <c r="I21" s="8">
        <v>2.76</v>
      </c>
      <c r="J21" s="8">
        <v>20.350000000000001</v>
      </c>
      <c r="K21" s="8">
        <v>118.34</v>
      </c>
      <c r="L21" s="26" t="str">
        <f t="shared" si="0"/>
        <v>Link</v>
      </c>
      <c r="M21" s="29">
        <f t="shared" si="1"/>
        <v>0.97946594558053057</v>
      </c>
    </row>
    <row r="22" spans="1:13" ht="20.100000000000001" customHeight="1" x14ac:dyDescent="0.25">
      <c r="A22" s="10" t="s">
        <v>93</v>
      </c>
      <c r="B22" s="11" t="s">
        <v>200</v>
      </c>
      <c r="C22" s="8">
        <v>78.349999999999994</v>
      </c>
      <c r="D22" s="8">
        <v>78.23</v>
      </c>
      <c r="E22" s="8">
        <v>78.849999999999994</v>
      </c>
      <c r="F22" s="8">
        <v>78.150000000000006</v>
      </c>
      <c r="G22" s="14">
        <v>2.5591810620599949E-3</v>
      </c>
      <c r="H22" s="8" t="s">
        <v>1084</v>
      </c>
      <c r="I22" s="8">
        <v>0.84</v>
      </c>
      <c r="J22" s="8">
        <v>30.96</v>
      </c>
      <c r="K22" s="8">
        <v>79.959999999999994</v>
      </c>
      <c r="L22" s="26" t="str">
        <f t="shared" si="0"/>
        <v>Link</v>
      </c>
      <c r="M22" s="29">
        <f t="shared" si="1"/>
        <v>0.97986493246623307</v>
      </c>
    </row>
    <row r="23" spans="1:13" ht="20.100000000000001" customHeight="1" x14ac:dyDescent="0.25">
      <c r="A23" s="10" t="s">
        <v>66</v>
      </c>
      <c r="B23" s="11" t="s">
        <v>174</v>
      </c>
      <c r="C23" s="8">
        <v>59.79</v>
      </c>
      <c r="D23" s="8">
        <v>59.56</v>
      </c>
      <c r="E23" s="8">
        <v>60.14</v>
      </c>
      <c r="F23" s="8">
        <v>59.56</v>
      </c>
      <c r="G23" s="14">
        <v>3.8616521155137151E-3</v>
      </c>
      <c r="H23" s="8" t="s">
        <v>1106</v>
      </c>
      <c r="I23" s="8">
        <v>3.16</v>
      </c>
      <c r="J23" s="8">
        <v>30.54</v>
      </c>
      <c r="K23" s="8">
        <v>60.77</v>
      </c>
      <c r="L23" s="26" t="str">
        <f t="shared" si="0"/>
        <v>Link</v>
      </c>
      <c r="M23" s="29">
        <f t="shared" si="1"/>
        <v>0.98387362185288785</v>
      </c>
    </row>
    <row r="24" spans="1:13" ht="20.100000000000001" customHeight="1" x14ac:dyDescent="0.25">
      <c r="A24" s="10" t="s">
        <v>73</v>
      </c>
      <c r="B24" s="11" t="s">
        <v>180</v>
      </c>
      <c r="C24" s="8">
        <v>72.349999999999994</v>
      </c>
      <c r="D24" s="8">
        <v>71.81</v>
      </c>
      <c r="E24" s="8">
        <v>72.540000000000006</v>
      </c>
      <c r="F24" s="8">
        <v>72.11</v>
      </c>
      <c r="G24" s="14">
        <v>3.3282485092219509E-3</v>
      </c>
      <c r="H24" s="8" t="s">
        <v>1069</v>
      </c>
      <c r="I24" s="8">
        <v>4.22</v>
      </c>
      <c r="J24" s="8" t="s">
        <v>124</v>
      </c>
      <c r="K24" s="8">
        <v>73.319999999999993</v>
      </c>
      <c r="L24" s="26" t="str">
        <f t="shared" si="0"/>
        <v>Link</v>
      </c>
      <c r="M24" s="29">
        <f t="shared" si="1"/>
        <v>0.98677032187670488</v>
      </c>
    </row>
    <row r="25" spans="1:13" ht="20.100000000000001" customHeight="1" x14ac:dyDescent="0.25">
      <c r="A25" s="10" t="s">
        <v>76</v>
      </c>
      <c r="B25" s="11" t="s">
        <v>183</v>
      </c>
      <c r="C25" s="8">
        <v>84.6</v>
      </c>
      <c r="D25" s="8">
        <v>84.42</v>
      </c>
      <c r="E25" s="8">
        <v>84.94</v>
      </c>
      <c r="F25" s="8">
        <v>84.96</v>
      </c>
      <c r="G25" s="14">
        <v>-4.2372881355932143E-3</v>
      </c>
      <c r="H25" s="8" t="s">
        <v>1079</v>
      </c>
      <c r="I25" s="8">
        <v>3.15</v>
      </c>
      <c r="J25" s="8">
        <v>22.57</v>
      </c>
      <c r="K25" s="8">
        <v>85.72</v>
      </c>
      <c r="L25" s="26" t="str">
        <f t="shared" si="0"/>
        <v>Link</v>
      </c>
      <c r="M25" s="29">
        <f t="shared" si="1"/>
        <v>0.98693420438637414</v>
      </c>
    </row>
    <row r="26" spans="1:13" ht="20.100000000000001" customHeight="1" x14ac:dyDescent="0.25">
      <c r="A26" s="10" t="s">
        <v>74</v>
      </c>
      <c r="B26" s="11" t="s">
        <v>181</v>
      </c>
      <c r="C26" s="8">
        <v>105.13</v>
      </c>
      <c r="D26" s="8">
        <v>104.99</v>
      </c>
      <c r="E26" s="8">
        <v>105.32</v>
      </c>
      <c r="F26" s="8">
        <v>105.09</v>
      </c>
      <c r="G26" s="14">
        <v>3.8062612998374763E-4</v>
      </c>
      <c r="H26" s="8" t="s">
        <v>1060</v>
      </c>
      <c r="I26" s="8">
        <v>2.86</v>
      </c>
      <c r="J26" s="8">
        <v>23.06</v>
      </c>
      <c r="K26" s="8">
        <v>105.92</v>
      </c>
      <c r="L26" s="26" t="str">
        <f t="shared" si="0"/>
        <v>Link</v>
      </c>
      <c r="M26" s="29">
        <f t="shared" si="1"/>
        <v>0.99254154078549839</v>
      </c>
    </row>
    <row r="27" spans="1:13" ht="20.100000000000001" customHeight="1" x14ac:dyDescent="0.25">
      <c r="A27" s="10" t="s">
        <v>35</v>
      </c>
      <c r="B27" s="11" t="s">
        <v>147</v>
      </c>
      <c r="C27" s="8">
        <v>12.39</v>
      </c>
      <c r="D27" s="8">
        <v>12.36</v>
      </c>
      <c r="E27" s="8">
        <v>12.51</v>
      </c>
      <c r="F27" s="8">
        <v>12.46</v>
      </c>
      <c r="G27" s="14">
        <v>-5.61797752808991E-3</v>
      </c>
      <c r="H27" s="8" t="s">
        <v>1027</v>
      </c>
      <c r="I27" s="8">
        <v>4.82</v>
      </c>
      <c r="J27" s="8">
        <v>6.85</v>
      </c>
      <c r="K27" s="8">
        <v>12.46</v>
      </c>
      <c r="L27" s="26" t="str">
        <f t="shared" si="0"/>
        <v>Link</v>
      </c>
      <c r="M27" s="29">
        <f t="shared" si="1"/>
        <v>0.9943820224719101</v>
      </c>
    </row>
    <row r="28" spans="1:13" ht="20.100000000000001" customHeight="1" x14ac:dyDescent="0.25">
      <c r="A28" s="10" t="s">
        <v>1</v>
      </c>
      <c r="B28" s="11" t="s">
        <v>118</v>
      </c>
      <c r="C28" s="8">
        <v>62.5</v>
      </c>
      <c r="D28" s="8">
        <v>62.41</v>
      </c>
      <c r="E28" s="8">
        <v>63.01</v>
      </c>
      <c r="F28" s="8">
        <v>62.34</v>
      </c>
      <c r="G28" s="14">
        <v>2.5665704202758517E-3</v>
      </c>
      <c r="H28" s="8" t="s">
        <v>1073</v>
      </c>
      <c r="I28" s="8">
        <v>4.1100000000000003</v>
      </c>
      <c r="J28" s="8">
        <v>16.899999999999999</v>
      </c>
      <c r="K28" s="8">
        <v>62.63</v>
      </c>
      <c r="L28" s="26" t="str">
        <f t="shared" si="0"/>
        <v>Link</v>
      </c>
      <c r="M28" s="29">
        <f t="shared" si="1"/>
        <v>0.99792431741976684</v>
      </c>
    </row>
    <row r="29" spans="1:13" ht="20.100000000000001" customHeight="1" x14ac:dyDescent="0.25">
      <c r="A29" s="10" t="s">
        <v>7</v>
      </c>
      <c r="B29" s="11" t="s">
        <v>123</v>
      </c>
      <c r="C29" s="8">
        <v>771.4</v>
      </c>
      <c r="D29" s="8">
        <v>761.2</v>
      </c>
      <c r="E29" s="8">
        <v>774.65</v>
      </c>
      <c r="F29" s="8">
        <v>760.59</v>
      </c>
      <c r="G29" s="14">
        <v>1.4212650705373388E-2</v>
      </c>
      <c r="H29" s="8" t="s">
        <v>1112</v>
      </c>
      <c r="I29" s="8" t="s">
        <v>124</v>
      </c>
      <c r="J29" s="8">
        <v>176.72</v>
      </c>
      <c r="K29" s="8">
        <v>767.12</v>
      </c>
      <c r="L29" s="26" t="str">
        <f t="shared" si="0"/>
        <v>Link</v>
      </c>
      <c r="M29" s="29">
        <f t="shared" si="1"/>
        <v>1.0055793096256127</v>
      </c>
    </row>
    <row r="30" spans="1:13" ht="20.100000000000001" customHeight="1" x14ac:dyDescent="0.25">
      <c r="A30" s="10" t="s">
        <v>14</v>
      </c>
      <c r="B30" s="11" t="s">
        <v>962</v>
      </c>
      <c r="C30" s="8">
        <v>291.12</v>
      </c>
      <c r="D30" s="8">
        <v>290.75</v>
      </c>
      <c r="E30" s="8">
        <v>296.38</v>
      </c>
      <c r="F30" s="8">
        <v>287.52999999999997</v>
      </c>
      <c r="G30" s="14">
        <v>1.2485653670921406E-2</v>
      </c>
      <c r="H30" s="8" t="s">
        <v>1113</v>
      </c>
      <c r="I30" s="8" t="s">
        <v>124</v>
      </c>
      <c r="J30" s="8">
        <v>16.46</v>
      </c>
      <c r="K30" s="8">
        <v>289.32</v>
      </c>
      <c r="L30" s="26" t="str">
        <f t="shared" si="0"/>
        <v>Link</v>
      </c>
      <c r="M30" s="29">
        <f t="shared" si="1"/>
        <v>1.0062214848610536</v>
      </c>
    </row>
    <row r="31" spans="1:13" ht="20.100000000000001" customHeight="1" x14ac:dyDescent="0.25">
      <c r="A31" s="10" t="s">
        <v>56</v>
      </c>
      <c r="B31" s="11" t="s">
        <v>164</v>
      </c>
      <c r="C31" s="8">
        <v>250.86</v>
      </c>
      <c r="D31" s="8">
        <v>250.2</v>
      </c>
      <c r="E31" s="8">
        <v>251.75</v>
      </c>
      <c r="F31" s="8">
        <v>249.59</v>
      </c>
      <c r="G31" s="14">
        <v>5.0883448856124452E-3</v>
      </c>
      <c r="H31" s="8" t="s">
        <v>1054</v>
      </c>
      <c r="I31" s="8">
        <v>2.92</v>
      </c>
      <c r="J31" s="8">
        <v>14.67</v>
      </c>
      <c r="K31" s="8">
        <v>248.82</v>
      </c>
      <c r="L31" s="26" t="str">
        <f t="shared" si="0"/>
        <v>Link</v>
      </c>
      <c r="M31" s="29">
        <f t="shared" si="1"/>
        <v>1.0081986978538704</v>
      </c>
    </row>
    <row r="32" spans="1:13" ht="20.100000000000001" customHeight="1" x14ac:dyDescent="0.25">
      <c r="A32" s="10" t="s">
        <v>24</v>
      </c>
      <c r="B32" s="11" t="s">
        <v>137</v>
      </c>
      <c r="C32" s="8">
        <v>30.68</v>
      </c>
      <c r="D32" s="8">
        <v>30.6</v>
      </c>
      <c r="E32" s="8">
        <v>30.82</v>
      </c>
      <c r="F32" s="8">
        <v>30.53</v>
      </c>
      <c r="G32" s="14">
        <v>4.9132001310186234E-3</v>
      </c>
      <c r="H32" s="8" t="s">
        <v>1105</v>
      </c>
      <c r="I32" s="8">
        <v>3.41</v>
      </c>
      <c r="J32" s="8">
        <v>14.68</v>
      </c>
      <c r="K32" s="8">
        <v>30.38</v>
      </c>
      <c r="L32" s="26" t="str">
        <f t="shared" si="0"/>
        <v>Link</v>
      </c>
      <c r="M32" s="29">
        <f t="shared" si="1"/>
        <v>1.0098749177090192</v>
      </c>
    </row>
    <row r="33" spans="1:13" ht="20.100000000000001" customHeight="1" x14ac:dyDescent="0.25">
      <c r="A33" s="10" t="s">
        <v>3</v>
      </c>
      <c r="B33" s="11" t="s">
        <v>963</v>
      </c>
      <c r="C33" s="8">
        <v>117.55</v>
      </c>
      <c r="D33" s="8">
        <v>117.21</v>
      </c>
      <c r="E33" s="8">
        <v>118.48</v>
      </c>
      <c r="F33" s="8">
        <v>117.48</v>
      </c>
      <c r="G33" s="14">
        <v>5.9584610146402091E-4</v>
      </c>
      <c r="H33" s="8" t="s">
        <v>1051</v>
      </c>
      <c r="I33" s="8">
        <v>2.06</v>
      </c>
      <c r="J33" s="8">
        <v>17.39</v>
      </c>
      <c r="K33" s="8">
        <v>116.28</v>
      </c>
      <c r="L33" s="26" t="str">
        <f t="shared" si="0"/>
        <v>Link</v>
      </c>
      <c r="M33" s="29">
        <f t="shared" si="1"/>
        <v>1.0109219126246989</v>
      </c>
    </row>
    <row r="34" spans="1:13" ht="20.100000000000001" customHeight="1" x14ac:dyDescent="0.25">
      <c r="A34" s="10" t="s">
        <v>65</v>
      </c>
      <c r="B34" s="11" t="s">
        <v>173</v>
      </c>
      <c r="C34" s="8">
        <v>105.69</v>
      </c>
      <c r="D34" s="8">
        <v>105.04</v>
      </c>
      <c r="E34" s="8">
        <v>105.79</v>
      </c>
      <c r="F34" s="8">
        <v>105.26</v>
      </c>
      <c r="G34" s="14">
        <v>4.0851225536765396E-3</v>
      </c>
      <c r="H34" s="8" t="s">
        <v>1099</v>
      </c>
      <c r="I34" s="8">
        <v>2.0499999999999998</v>
      </c>
      <c r="J34" s="8">
        <v>35.369999999999997</v>
      </c>
      <c r="K34" s="8">
        <v>104.05</v>
      </c>
      <c r="L34" s="26" t="str">
        <f t="shared" ref="L34:L65" si="2">HYPERLINK("http://finance.yahoo.com/q?s=" &amp; A34, "Link")</f>
        <v>Link</v>
      </c>
      <c r="M34" s="29">
        <f t="shared" ref="M34:M65" si="3">C34/K34</f>
        <v>1.0157616530514175</v>
      </c>
    </row>
    <row r="35" spans="1:13" ht="20.100000000000001" customHeight="1" x14ac:dyDescent="0.25">
      <c r="A35" s="10" t="s">
        <v>48</v>
      </c>
      <c r="B35" s="11" t="s">
        <v>158</v>
      </c>
      <c r="C35" s="8">
        <v>117.03</v>
      </c>
      <c r="D35" s="8">
        <v>116.8</v>
      </c>
      <c r="E35" s="8">
        <v>117.55</v>
      </c>
      <c r="F35" s="8">
        <v>116.99</v>
      </c>
      <c r="G35" s="14">
        <v>3.419095649201321E-4</v>
      </c>
      <c r="H35" s="8" t="s">
        <v>1050</v>
      </c>
      <c r="I35" s="8">
        <v>2.27</v>
      </c>
      <c r="J35" s="8">
        <v>18.309999999999999</v>
      </c>
      <c r="K35" s="8">
        <v>114.54</v>
      </c>
      <c r="L35" s="26" t="str">
        <f t="shared" si="2"/>
        <v>Link</v>
      </c>
      <c r="M35" s="29">
        <f t="shared" si="3"/>
        <v>1.0217391304347825</v>
      </c>
    </row>
    <row r="36" spans="1:13" ht="20.100000000000001" customHeight="1" x14ac:dyDescent="0.25">
      <c r="A36" s="10" t="s">
        <v>80</v>
      </c>
      <c r="B36" s="11" t="s">
        <v>187</v>
      </c>
      <c r="C36" s="8">
        <v>56.86</v>
      </c>
      <c r="D36" s="8">
        <v>56.81</v>
      </c>
      <c r="E36" s="8">
        <v>57.39</v>
      </c>
      <c r="F36" s="8">
        <v>57.01</v>
      </c>
      <c r="G36" s="14">
        <v>-2.6311173478336886E-3</v>
      </c>
      <c r="H36" s="8" t="s">
        <v>1032</v>
      </c>
      <c r="I36" s="8">
        <v>1.75</v>
      </c>
      <c r="J36" s="8">
        <v>29.93</v>
      </c>
      <c r="K36" s="8">
        <v>55.62</v>
      </c>
      <c r="L36" s="26" t="str">
        <f t="shared" si="2"/>
        <v>Link</v>
      </c>
      <c r="M36" s="29">
        <f t="shared" si="3"/>
        <v>1.0222941387989932</v>
      </c>
    </row>
    <row r="37" spans="1:13" ht="20.100000000000001" customHeight="1" x14ac:dyDescent="0.25">
      <c r="A37" s="10" t="s">
        <v>79</v>
      </c>
      <c r="B37" s="11" t="s">
        <v>186</v>
      </c>
      <c r="C37" s="8">
        <v>143.08000000000001</v>
      </c>
      <c r="D37" s="8">
        <v>142.66</v>
      </c>
      <c r="E37" s="8">
        <v>144.19999999999999</v>
      </c>
      <c r="F37" s="8">
        <v>143.30000000000001</v>
      </c>
      <c r="G37" s="14">
        <v>-1.5352407536636348E-3</v>
      </c>
      <c r="H37" s="8" t="s">
        <v>1088</v>
      </c>
      <c r="I37" s="8">
        <v>2.04</v>
      </c>
      <c r="J37" s="8">
        <v>19.11</v>
      </c>
      <c r="K37" s="8">
        <v>139.84</v>
      </c>
      <c r="L37" s="26" t="str">
        <f t="shared" si="2"/>
        <v>Link</v>
      </c>
      <c r="M37" s="29">
        <f t="shared" si="3"/>
        <v>1.0231693363844394</v>
      </c>
    </row>
    <row r="38" spans="1:13" ht="20.100000000000001" customHeight="1" x14ac:dyDescent="0.25">
      <c r="A38" s="10" t="s">
        <v>63</v>
      </c>
      <c r="B38" s="11" t="s">
        <v>171</v>
      </c>
      <c r="C38" s="8">
        <v>178.92</v>
      </c>
      <c r="D38" s="8">
        <v>178.57</v>
      </c>
      <c r="E38" s="8">
        <v>179.2</v>
      </c>
      <c r="F38" s="8">
        <v>178.75</v>
      </c>
      <c r="G38" s="14">
        <v>9.5104895104888105E-4</v>
      </c>
      <c r="H38" s="8" t="s">
        <v>1085</v>
      </c>
      <c r="I38" s="8">
        <v>2.48</v>
      </c>
      <c r="J38" s="8">
        <v>22.56</v>
      </c>
      <c r="K38" s="8">
        <v>174.82</v>
      </c>
      <c r="L38" s="26" t="str">
        <f t="shared" si="2"/>
        <v>Link</v>
      </c>
      <c r="M38" s="29">
        <f t="shared" si="3"/>
        <v>1.0234526941997484</v>
      </c>
    </row>
    <row r="39" spans="1:13" ht="20.100000000000001" customHeight="1" x14ac:dyDescent="0.25">
      <c r="A39" s="10" t="s">
        <v>98</v>
      </c>
      <c r="B39" s="11" t="s">
        <v>203</v>
      </c>
      <c r="C39" s="8">
        <v>90.75</v>
      </c>
      <c r="D39" s="8">
        <v>90.58</v>
      </c>
      <c r="E39" s="8">
        <v>91.11</v>
      </c>
      <c r="F39" s="8">
        <v>90.71</v>
      </c>
      <c r="G39" s="14">
        <v>4.4096571491573428E-4</v>
      </c>
      <c r="H39" s="8" t="s">
        <v>1033</v>
      </c>
      <c r="I39" s="8">
        <v>3.31</v>
      </c>
      <c r="J39" s="8">
        <v>42.49</v>
      </c>
      <c r="K39" s="8">
        <v>88.35</v>
      </c>
      <c r="L39" s="26" t="str">
        <f t="shared" si="2"/>
        <v>Link</v>
      </c>
      <c r="M39" s="29">
        <f t="shared" si="3"/>
        <v>1.0271646859083192</v>
      </c>
    </row>
    <row r="40" spans="1:13" ht="20.100000000000001" customHeight="1" x14ac:dyDescent="0.25">
      <c r="A40" s="10" t="s">
        <v>95</v>
      </c>
      <c r="B40" s="11" t="s">
        <v>961</v>
      </c>
      <c r="C40" s="8">
        <v>84.49</v>
      </c>
      <c r="D40" s="8">
        <v>84.21</v>
      </c>
      <c r="E40" s="8">
        <v>85.29</v>
      </c>
      <c r="F40" s="8">
        <v>84.28</v>
      </c>
      <c r="G40" s="14">
        <v>2.4916943521593941E-3</v>
      </c>
      <c r="H40" s="8" t="s">
        <v>1042</v>
      </c>
      <c r="I40" s="8">
        <v>1.78</v>
      </c>
      <c r="J40" s="8">
        <v>22.12</v>
      </c>
      <c r="K40" s="8">
        <v>82.08</v>
      </c>
      <c r="L40" s="26" t="str">
        <f t="shared" si="2"/>
        <v>Link</v>
      </c>
      <c r="M40" s="29">
        <f t="shared" si="3"/>
        <v>1.0293615984405458</v>
      </c>
    </row>
    <row r="41" spans="1:13" ht="20.100000000000001" customHeight="1" x14ac:dyDescent="0.25">
      <c r="A41" s="10" t="s">
        <v>85</v>
      </c>
      <c r="B41" s="11" t="s">
        <v>192</v>
      </c>
      <c r="C41" s="8">
        <v>73.7</v>
      </c>
      <c r="D41" s="8">
        <v>73.56</v>
      </c>
      <c r="E41" s="8">
        <v>74.23</v>
      </c>
      <c r="F41" s="8">
        <v>73.5</v>
      </c>
      <c r="G41" s="14">
        <v>2.7210884353741885E-3</v>
      </c>
      <c r="H41" s="8" t="s">
        <v>1023</v>
      </c>
      <c r="I41" s="8">
        <v>3.27</v>
      </c>
      <c r="J41" s="8">
        <v>13.11</v>
      </c>
      <c r="K41" s="8">
        <v>71.540000000000006</v>
      </c>
      <c r="L41" s="26" t="str">
        <f t="shared" si="2"/>
        <v>Link</v>
      </c>
      <c r="M41" s="29">
        <f t="shared" si="3"/>
        <v>1.0301928990774392</v>
      </c>
    </row>
    <row r="42" spans="1:13" ht="20.100000000000001" customHeight="1" x14ac:dyDescent="0.25">
      <c r="A42" s="10" t="s">
        <v>94</v>
      </c>
      <c r="B42" s="11" t="s">
        <v>201</v>
      </c>
      <c r="C42" s="8">
        <v>53.64</v>
      </c>
      <c r="D42" s="8">
        <v>53.44</v>
      </c>
      <c r="E42" s="8">
        <v>53.83</v>
      </c>
      <c r="F42" s="8">
        <v>53.68</v>
      </c>
      <c r="G42" s="14">
        <v>-7.4515648286138506E-4</v>
      </c>
      <c r="H42" s="8" t="s">
        <v>1037</v>
      </c>
      <c r="I42" s="8">
        <v>4.3</v>
      </c>
      <c r="J42" s="8">
        <v>15.63</v>
      </c>
      <c r="K42" s="8">
        <v>52.02</v>
      </c>
      <c r="L42" s="26" t="str">
        <f t="shared" si="2"/>
        <v>Link</v>
      </c>
      <c r="M42" s="29">
        <f t="shared" si="3"/>
        <v>1.0311418685121108</v>
      </c>
    </row>
    <row r="43" spans="1:13" ht="20.100000000000001" customHeight="1" x14ac:dyDescent="0.25">
      <c r="A43" s="10" t="s">
        <v>34</v>
      </c>
      <c r="B43" s="11" t="s">
        <v>146</v>
      </c>
      <c r="C43" s="8">
        <v>35.4</v>
      </c>
      <c r="D43" s="8">
        <v>35.119999999999997</v>
      </c>
      <c r="E43" s="8">
        <v>35.57</v>
      </c>
      <c r="F43" s="8">
        <v>35.299999999999997</v>
      </c>
      <c r="G43" s="14">
        <v>2.8328611898017402E-3</v>
      </c>
      <c r="H43" s="8" t="s">
        <v>1031</v>
      </c>
      <c r="I43" s="8">
        <v>3.6</v>
      </c>
      <c r="J43" s="8">
        <v>26.54</v>
      </c>
      <c r="K43" s="8">
        <v>34.270000000000003</v>
      </c>
      <c r="L43" s="26" t="str">
        <f t="shared" si="2"/>
        <v>Link</v>
      </c>
      <c r="M43" s="29">
        <f t="shared" si="3"/>
        <v>1.0329734461628244</v>
      </c>
    </row>
    <row r="44" spans="1:13" ht="20.100000000000001" customHeight="1" x14ac:dyDescent="0.25">
      <c r="A44" s="10" t="s">
        <v>23</v>
      </c>
      <c r="B44" s="11" t="s">
        <v>136</v>
      </c>
      <c r="C44" s="8">
        <v>162.05000000000001</v>
      </c>
      <c r="D44" s="8">
        <v>161.80000000000001</v>
      </c>
      <c r="E44" s="8">
        <v>162.76</v>
      </c>
      <c r="F44" s="8">
        <v>162.08000000000001</v>
      </c>
      <c r="G44" s="14">
        <v>-1.8509378084897047E-4</v>
      </c>
      <c r="H44" s="8" t="s">
        <v>1039</v>
      </c>
      <c r="I44" s="8">
        <v>1.1100000000000001</v>
      </c>
      <c r="J44" s="8">
        <v>29.57</v>
      </c>
      <c r="K44" s="8">
        <v>156.85</v>
      </c>
      <c r="L44" s="26" t="str">
        <f t="shared" si="2"/>
        <v>Link</v>
      </c>
      <c r="M44" s="29">
        <f t="shared" si="3"/>
        <v>1.0331526936563598</v>
      </c>
    </row>
    <row r="45" spans="1:13" ht="20.100000000000001" customHeight="1" x14ac:dyDescent="0.25">
      <c r="A45" s="10" t="s">
        <v>60</v>
      </c>
      <c r="B45" s="11" t="s">
        <v>168</v>
      </c>
      <c r="C45" s="8">
        <v>45.04</v>
      </c>
      <c r="D45" s="8">
        <v>44.93</v>
      </c>
      <c r="E45" s="8">
        <v>45.29</v>
      </c>
      <c r="F45" s="8">
        <v>45.01</v>
      </c>
      <c r="G45" s="14">
        <v>6.6651855143304013E-4</v>
      </c>
      <c r="H45" s="8" t="s">
        <v>1052</v>
      </c>
      <c r="I45" s="8">
        <v>1.69</v>
      </c>
      <c r="J45" s="8">
        <v>85.95</v>
      </c>
      <c r="K45" s="8">
        <v>43.51</v>
      </c>
      <c r="L45" s="26" t="str">
        <f t="shared" si="2"/>
        <v>Link</v>
      </c>
      <c r="M45" s="29">
        <f t="shared" si="3"/>
        <v>1.0351643300390716</v>
      </c>
    </row>
    <row r="46" spans="1:13" ht="20.100000000000001" customHeight="1" x14ac:dyDescent="0.25">
      <c r="A46" s="10" t="s">
        <v>64</v>
      </c>
      <c r="B46" s="11" t="s">
        <v>172</v>
      </c>
      <c r="C46" s="8">
        <v>67.819999999999993</v>
      </c>
      <c r="D46" s="8">
        <v>67.61</v>
      </c>
      <c r="E46" s="8">
        <v>68</v>
      </c>
      <c r="F46" s="8">
        <v>67.72</v>
      </c>
      <c r="G46" s="14">
        <v>1.4766686355580968E-3</v>
      </c>
      <c r="H46" s="8" t="s">
        <v>1059</v>
      </c>
      <c r="I46" s="8">
        <v>3.6</v>
      </c>
      <c r="J46" s="8">
        <v>25.5</v>
      </c>
      <c r="K46" s="8">
        <v>65.48</v>
      </c>
      <c r="L46" s="26" t="str">
        <f t="shared" si="2"/>
        <v>Link</v>
      </c>
      <c r="M46" s="29">
        <f t="shared" si="3"/>
        <v>1.0357361026267562</v>
      </c>
    </row>
    <row r="47" spans="1:13" ht="20.100000000000001" customHeight="1" x14ac:dyDescent="0.25">
      <c r="A47" s="10" t="s">
        <v>47</v>
      </c>
      <c r="B47" s="11" t="s">
        <v>157</v>
      </c>
      <c r="C47" s="8">
        <v>135.26</v>
      </c>
      <c r="D47" s="8">
        <v>134.71</v>
      </c>
      <c r="E47" s="8">
        <v>135.72</v>
      </c>
      <c r="F47" s="8">
        <v>135.05000000000001</v>
      </c>
      <c r="G47" s="14">
        <v>1.5549796371712664E-3</v>
      </c>
      <c r="H47" s="8" t="s">
        <v>1047</v>
      </c>
      <c r="I47" s="8">
        <v>2.04</v>
      </c>
      <c r="J47" s="8">
        <v>21.96</v>
      </c>
      <c r="K47" s="8">
        <v>130.54</v>
      </c>
      <c r="L47" s="26" t="str">
        <f t="shared" si="2"/>
        <v>Link</v>
      </c>
      <c r="M47" s="29">
        <f t="shared" si="3"/>
        <v>1.0361574996169756</v>
      </c>
    </row>
    <row r="48" spans="1:13" ht="20.100000000000001" customHeight="1" x14ac:dyDescent="0.25">
      <c r="A48" s="10" t="s">
        <v>31</v>
      </c>
      <c r="B48" s="11" t="s">
        <v>144</v>
      </c>
      <c r="C48" s="8">
        <v>30.24</v>
      </c>
      <c r="D48" s="8">
        <v>29.81</v>
      </c>
      <c r="E48" s="8">
        <v>30.37</v>
      </c>
      <c r="F48" s="8">
        <v>29.79</v>
      </c>
      <c r="G48" s="14">
        <v>1.5105740181268859E-2</v>
      </c>
      <c r="H48" s="8" t="s">
        <v>1116</v>
      </c>
      <c r="I48" s="8" t="s">
        <v>124</v>
      </c>
      <c r="J48" s="8">
        <v>19.420000000000002</v>
      </c>
      <c r="K48" s="8">
        <v>29.1</v>
      </c>
      <c r="L48" s="26" t="str">
        <f t="shared" si="2"/>
        <v>Link</v>
      </c>
      <c r="M48" s="29">
        <f t="shared" si="3"/>
        <v>1.0391752577319586</v>
      </c>
    </row>
    <row r="49" spans="1:13" ht="20.100000000000001" customHeight="1" x14ac:dyDescent="0.25">
      <c r="A49" s="10" t="s">
        <v>41</v>
      </c>
      <c r="B49" s="11" t="s">
        <v>153</v>
      </c>
      <c r="C49" s="8">
        <v>31.9</v>
      </c>
      <c r="D49" s="8">
        <v>31.85</v>
      </c>
      <c r="E49" s="8">
        <v>32.04</v>
      </c>
      <c r="F49" s="8">
        <v>31.88</v>
      </c>
      <c r="G49" s="14">
        <v>6.2735257214553241E-4</v>
      </c>
      <c r="H49" s="8" t="s">
        <v>1044</v>
      </c>
      <c r="I49" s="8">
        <v>3.01</v>
      </c>
      <c r="J49" s="8">
        <v>27.43</v>
      </c>
      <c r="K49" s="8">
        <v>30.66</v>
      </c>
      <c r="L49" s="26" t="str">
        <f t="shared" si="2"/>
        <v>Link</v>
      </c>
      <c r="M49" s="29">
        <f t="shared" si="3"/>
        <v>1.0404435746901499</v>
      </c>
    </row>
    <row r="50" spans="1:13" ht="20.100000000000001" customHeight="1" x14ac:dyDescent="0.25">
      <c r="A50" s="10" t="s">
        <v>44</v>
      </c>
      <c r="B50" s="11" t="s">
        <v>960</v>
      </c>
      <c r="C50" s="8">
        <v>791.55</v>
      </c>
      <c r="D50" s="8">
        <v>787.66</v>
      </c>
      <c r="E50" s="8">
        <v>797.86</v>
      </c>
      <c r="F50" s="8">
        <v>789.91</v>
      </c>
      <c r="G50" s="14">
        <v>2.0761858945955699E-3</v>
      </c>
      <c r="H50" s="8" t="s">
        <v>1080</v>
      </c>
      <c r="I50" s="8" t="s">
        <v>124</v>
      </c>
      <c r="J50" s="8">
        <v>28.97</v>
      </c>
      <c r="K50" s="8">
        <v>760.24</v>
      </c>
      <c r="L50" s="26" t="str">
        <f t="shared" si="2"/>
        <v>Link</v>
      </c>
      <c r="M50" s="29">
        <f t="shared" si="3"/>
        <v>1.0411843628327895</v>
      </c>
    </row>
    <row r="51" spans="1:13" ht="20.100000000000001" customHeight="1" x14ac:dyDescent="0.25">
      <c r="A51" s="10" t="s">
        <v>59</v>
      </c>
      <c r="B51" s="11" t="s">
        <v>167</v>
      </c>
      <c r="C51" s="8">
        <v>123.07</v>
      </c>
      <c r="D51" s="8">
        <v>122.97</v>
      </c>
      <c r="E51" s="8">
        <v>123.65</v>
      </c>
      <c r="F51" s="8">
        <v>123.14</v>
      </c>
      <c r="G51" s="14">
        <v>-5.6845866493428123E-4</v>
      </c>
      <c r="H51" s="8" t="s">
        <v>1024</v>
      </c>
      <c r="I51" s="8">
        <v>3.05</v>
      </c>
      <c r="J51" s="8">
        <v>23.12</v>
      </c>
      <c r="K51" s="8">
        <v>118.19</v>
      </c>
      <c r="L51" s="26" t="str">
        <f t="shared" si="2"/>
        <v>Link</v>
      </c>
      <c r="M51" s="29">
        <f t="shared" si="3"/>
        <v>1.0412894491919791</v>
      </c>
    </row>
    <row r="52" spans="1:13" ht="20.100000000000001" customHeight="1" x14ac:dyDescent="0.25">
      <c r="A52" s="10" t="s">
        <v>49</v>
      </c>
      <c r="B52" s="11" t="s">
        <v>964</v>
      </c>
      <c r="C52" s="8">
        <v>15.21</v>
      </c>
      <c r="D52" s="8">
        <v>15.13</v>
      </c>
      <c r="E52" s="8">
        <v>15.24</v>
      </c>
      <c r="F52" s="8">
        <v>15.1</v>
      </c>
      <c r="G52" s="14">
        <v>7.28476821192061E-3</v>
      </c>
      <c r="H52" s="8" t="s">
        <v>1111</v>
      </c>
      <c r="I52" s="8">
        <v>3.52</v>
      </c>
      <c r="J52" s="8">
        <v>10.62</v>
      </c>
      <c r="K52" s="8">
        <v>14.46</v>
      </c>
      <c r="L52" s="26" t="str">
        <f t="shared" si="2"/>
        <v>Link</v>
      </c>
      <c r="M52" s="29">
        <f t="shared" si="3"/>
        <v>1.0518672199170125</v>
      </c>
    </row>
    <row r="53" spans="1:13" ht="20.100000000000001" customHeight="1" x14ac:dyDescent="0.25">
      <c r="A53" s="10" t="s">
        <v>84</v>
      </c>
      <c r="B53" s="11" t="s">
        <v>191</v>
      </c>
      <c r="C53" s="8">
        <v>42.65</v>
      </c>
      <c r="D53" s="8">
        <v>42.52</v>
      </c>
      <c r="E53" s="8">
        <v>42.84</v>
      </c>
      <c r="F53" s="8">
        <v>42.73</v>
      </c>
      <c r="G53" s="14">
        <v>-1.8722209220687644E-3</v>
      </c>
      <c r="H53" s="8" t="s">
        <v>1048</v>
      </c>
      <c r="I53" s="8">
        <v>4.59</v>
      </c>
      <c r="J53" s="8">
        <v>18.14</v>
      </c>
      <c r="K53" s="8">
        <v>40.479999999999997</v>
      </c>
      <c r="L53" s="26" t="str">
        <f t="shared" si="2"/>
        <v>Link</v>
      </c>
      <c r="M53" s="30">
        <f t="shared" si="3"/>
        <v>1.0536067193675889</v>
      </c>
    </row>
    <row r="54" spans="1:13" ht="20.100000000000001" customHeight="1" x14ac:dyDescent="0.25">
      <c r="A54" s="10" t="s">
        <v>90</v>
      </c>
      <c r="B54" s="11" t="s">
        <v>197</v>
      </c>
      <c r="C54" s="8">
        <v>116.13</v>
      </c>
      <c r="D54" s="8">
        <v>116.07</v>
      </c>
      <c r="E54" s="8">
        <v>116.78</v>
      </c>
      <c r="F54" s="8">
        <v>115.97</v>
      </c>
      <c r="G54" s="14">
        <v>1.3796671552987548E-3</v>
      </c>
      <c r="H54" s="8" t="s">
        <v>1065</v>
      </c>
      <c r="I54" s="8">
        <v>2.69</v>
      </c>
      <c r="J54" s="8">
        <v>20.69</v>
      </c>
      <c r="K54" s="8">
        <v>110.07</v>
      </c>
      <c r="L54" s="26" t="str">
        <f t="shared" si="2"/>
        <v>Link</v>
      </c>
      <c r="M54" s="29">
        <f t="shared" si="3"/>
        <v>1.0550558735350233</v>
      </c>
    </row>
    <row r="55" spans="1:13" ht="20.100000000000001" customHeight="1" x14ac:dyDescent="0.25">
      <c r="A55" s="10" t="s">
        <v>51</v>
      </c>
      <c r="B55" s="11" t="s">
        <v>160</v>
      </c>
      <c r="C55" s="8">
        <v>37.07</v>
      </c>
      <c r="D55" s="8">
        <v>36.909999999999997</v>
      </c>
      <c r="E55" s="8">
        <v>37.33</v>
      </c>
      <c r="F55" s="8">
        <v>36.97</v>
      </c>
      <c r="G55" s="14">
        <v>2.7048958615093705E-3</v>
      </c>
      <c r="H55" s="8" t="s">
        <v>1107</v>
      </c>
      <c r="I55" s="8">
        <v>2.81</v>
      </c>
      <c r="J55" s="8">
        <v>17.399999999999999</v>
      </c>
      <c r="K55" s="8">
        <v>35.11</v>
      </c>
      <c r="L55" s="26" t="str">
        <f t="shared" si="2"/>
        <v>Link</v>
      </c>
      <c r="M55" s="29">
        <f t="shared" si="3"/>
        <v>1.0558245514098548</v>
      </c>
    </row>
    <row r="56" spans="1:13" ht="20.100000000000001" customHeight="1" x14ac:dyDescent="0.25">
      <c r="A56" s="10" t="s">
        <v>50</v>
      </c>
      <c r="B56" s="11" t="s">
        <v>159</v>
      </c>
      <c r="C56" s="8">
        <v>167.14</v>
      </c>
      <c r="D56" s="8">
        <v>166.85</v>
      </c>
      <c r="E56" s="8">
        <v>167.98</v>
      </c>
      <c r="F56" s="8">
        <v>166.71</v>
      </c>
      <c r="G56" s="14">
        <v>2.5793293743625362E-3</v>
      </c>
      <c r="H56" s="8" t="s">
        <v>1083</v>
      </c>
      <c r="I56" s="8">
        <v>3.36</v>
      </c>
      <c r="J56" s="8">
        <v>13.62</v>
      </c>
      <c r="K56" s="8">
        <v>157.82</v>
      </c>
      <c r="L56" s="26" t="str">
        <f t="shared" si="2"/>
        <v>Link</v>
      </c>
      <c r="M56" s="29">
        <f t="shared" si="3"/>
        <v>1.059054619186415</v>
      </c>
    </row>
    <row r="57" spans="1:13" ht="20.100000000000001" customHeight="1" x14ac:dyDescent="0.25">
      <c r="A57" s="10" t="s">
        <v>92</v>
      </c>
      <c r="B57" s="11" t="s">
        <v>199</v>
      </c>
      <c r="C57" s="8">
        <v>110.98</v>
      </c>
      <c r="D57" s="8">
        <v>110.5</v>
      </c>
      <c r="E57" s="8">
        <v>111.13</v>
      </c>
      <c r="F57" s="8">
        <v>110.65</v>
      </c>
      <c r="G57" s="14">
        <v>2.9823768639855243E-3</v>
      </c>
      <c r="H57" s="8" t="s">
        <v>1072</v>
      </c>
      <c r="I57" s="8">
        <v>2.39</v>
      </c>
      <c r="J57" s="8">
        <v>12.68</v>
      </c>
      <c r="K57" s="8">
        <v>104.65</v>
      </c>
      <c r="L57" s="26" t="str">
        <f t="shared" si="2"/>
        <v>Link</v>
      </c>
      <c r="M57" s="29">
        <f t="shared" si="3"/>
        <v>1.0604873387482083</v>
      </c>
    </row>
    <row r="58" spans="1:13" ht="20.100000000000001" customHeight="1" x14ac:dyDescent="0.25">
      <c r="A58" s="10" t="s">
        <v>58</v>
      </c>
      <c r="B58" s="11" t="s">
        <v>166</v>
      </c>
      <c r="C58" s="8">
        <v>104.8</v>
      </c>
      <c r="D58" s="8">
        <v>104.7</v>
      </c>
      <c r="E58" s="8">
        <v>105.64</v>
      </c>
      <c r="F58" s="8">
        <v>104.71</v>
      </c>
      <c r="G58" s="14">
        <v>8.5951676057686392E-4</v>
      </c>
      <c r="H58" s="8" t="s">
        <v>1070</v>
      </c>
      <c r="I58" s="8">
        <v>0.84</v>
      </c>
      <c r="J58" s="8">
        <v>28.97</v>
      </c>
      <c r="K58" s="8">
        <v>98.79</v>
      </c>
      <c r="L58" s="26" t="str">
        <f t="shared" si="2"/>
        <v>Link</v>
      </c>
      <c r="M58" s="29">
        <f t="shared" si="3"/>
        <v>1.0608361170158922</v>
      </c>
    </row>
    <row r="59" spans="1:13" ht="20.100000000000001" customHeight="1" x14ac:dyDescent="0.25">
      <c r="A59" s="10" t="s">
        <v>32</v>
      </c>
      <c r="B59" s="11" t="s">
        <v>1081</v>
      </c>
      <c r="C59" s="8">
        <v>29.05</v>
      </c>
      <c r="D59" s="8" t="s">
        <v>124</v>
      </c>
      <c r="E59" s="8" t="s">
        <v>124</v>
      </c>
      <c r="F59" s="8">
        <v>29.05</v>
      </c>
      <c r="G59" s="14">
        <v>0</v>
      </c>
      <c r="H59" s="8" t="s">
        <v>124</v>
      </c>
      <c r="I59" s="8">
        <v>0</v>
      </c>
      <c r="J59" s="8" t="s">
        <v>124</v>
      </c>
      <c r="K59" s="8">
        <v>27.28</v>
      </c>
      <c r="L59" s="26" t="str">
        <f t="shared" si="2"/>
        <v>Link</v>
      </c>
      <c r="M59" s="29">
        <f t="shared" si="3"/>
        <v>1.0648826979472141</v>
      </c>
    </row>
    <row r="60" spans="1:13" ht="20.100000000000001" customHeight="1" x14ac:dyDescent="0.25">
      <c r="A60" s="10" t="s">
        <v>81</v>
      </c>
      <c r="B60" s="11" t="s">
        <v>188</v>
      </c>
      <c r="C60" s="8">
        <v>85.44</v>
      </c>
      <c r="D60" s="8">
        <v>85.23</v>
      </c>
      <c r="E60" s="8">
        <v>85.95</v>
      </c>
      <c r="F60" s="8">
        <v>85.51</v>
      </c>
      <c r="G60" s="14">
        <v>-8.1861770553160319E-4</v>
      </c>
      <c r="H60" s="8" t="s">
        <v>1046</v>
      </c>
      <c r="I60" s="8">
        <v>2.38</v>
      </c>
      <c r="J60" s="8" t="s">
        <v>124</v>
      </c>
      <c r="K60" s="8">
        <v>80.209999999999994</v>
      </c>
      <c r="L60" s="26" t="str">
        <f t="shared" si="2"/>
        <v>Link</v>
      </c>
      <c r="M60" s="29">
        <f t="shared" si="3"/>
        <v>1.0652038399202095</v>
      </c>
    </row>
    <row r="61" spans="1:13" ht="20.100000000000001" customHeight="1" x14ac:dyDescent="0.25">
      <c r="A61" s="10" t="s">
        <v>33</v>
      </c>
      <c r="B61" s="11" t="s">
        <v>145</v>
      </c>
      <c r="C61" s="8">
        <v>57.17</v>
      </c>
      <c r="D61" s="8">
        <v>56.75</v>
      </c>
      <c r="E61" s="8">
        <v>57.2</v>
      </c>
      <c r="F61" s="8">
        <v>56.8</v>
      </c>
      <c r="G61" s="14">
        <v>6.5140845070423342E-3</v>
      </c>
      <c r="H61" s="8" t="s">
        <v>1034</v>
      </c>
      <c r="I61" s="8">
        <v>3.38</v>
      </c>
      <c r="J61" s="8">
        <v>22.69</v>
      </c>
      <c r="K61" s="8">
        <v>53.42</v>
      </c>
      <c r="L61" s="26" t="str">
        <f t="shared" si="2"/>
        <v>Link</v>
      </c>
      <c r="M61" s="29">
        <f t="shared" si="3"/>
        <v>1.0701984275552228</v>
      </c>
    </row>
    <row r="62" spans="1:13" ht="20.100000000000001" customHeight="1" x14ac:dyDescent="0.25">
      <c r="A62" s="10" t="s">
        <v>20</v>
      </c>
      <c r="B62" s="11" t="s">
        <v>134</v>
      </c>
      <c r="C62" s="8">
        <v>70.87</v>
      </c>
      <c r="D62" s="8">
        <v>70.5</v>
      </c>
      <c r="E62" s="8">
        <v>71.319999999999993</v>
      </c>
      <c r="F62" s="8">
        <v>70.650000000000006</v>
      </c>
      <c r="G62" s="14">
        <v>3.113941967445136E-3</v>
      </c>
      <c r="H62" s="8" t="s">
        <v>1077</v>
      </c>
      <c r="I62" s="8">
        <v>1.56</v>
      </c>
      <c r="J62" s="8">
        <v>20.79</v>
      </c>
      <c r="K62" s="8">
        <v>66.09</v>
      </c>
      <c r="L62" s="26" t="str">
        <f t="shared" si="2"/>
        <v>Link</v>
      </c>
      <c r="M62" s="29">
        <f t="shared" si="3"/>
        <v>1.0723256165834469</v>
      </c>
    </row>
    <row r="63" spans="1:13" ht="20.100000000000001" customHeight="1" x14ac:dyDescent="0.25">
      <c r="A63" s="10" t="s">
        <v>78</v>
      </c>
      <c r="B63" s="11" t="s">
        <v>185</v>
      </c>
      <c r="C63" s="8">
        <v>67.25</v>
      </c>
      <c r="D63" s="8">
        <v>67.06</v>
      </c>
      <c r="E63" s="8">
        <v>67.569999999999993</v>
      </c>
      <c r="F63" s="8">
        <v>66.86</v>
      </c>
      <c r="G63" s="14">
        <v>5.8330840562369219E-3</v>
      </c>
      <c r="H63" s="8" t="s">
        <v>1114</v>
      </c>
      <c r="I63" s="8">
        <v>3.17</v>
      </c>
      <c r="J63" s="8">
        <v>17.649999999999999</v>
      </c>
      <c r="K63" s="8">
        <v>62.59</v>
      </c>
      <c r="L63" s="26" t="str">
        <f t="shared" si="2"/>
        <v>Link</v>
      </c>
      <c r="M63" s="29">
        <f t="shared" si="3"/>
        <v>1.0744527879853012</v>
      </c>
    </row>
    <row r="64" spans="1:13" ht="20.100000000000001" customHeight="1" x14ac:dyDescent="0.25">
      <c r="A64" s="10" t="s">
        <v>5</v>
      </c>
      <c r="B64" s="11" t="s">
        <v>121</v>
      </c>
      <c r="C64" s="8">
        <v>74.510000000000005</v>
      </c>
      <c r="D64" s="8">
        <v>74.31</v>
      </c>
      <c r="E64" s="8">
        <v>74.650000000000006</v>
      </c>
      <c r="F64" s="8">
        <v>74.58</v>
      </c>
      <c r="G64" s="14">
        <v>-9.3858943416456398E-4</v>
      </c>
      <c r="H64" s="8" t="s">
        <v>1053</v>
      </c>
      <c r="I64" s="8">
        <v>1.77</v>
      </c>
      <c r="J64" s="8">
        <v>20.18</v>
      </c>
      <c r="K64" s="8">
        <v>69.19</v>
      </c>
      <c r="L64" s="26" t="str">
        <f t="shared" si="2"/>
        <v>Link</v>
      </c>
      <c r="M64" s="29">
        <f t="shared" si="3"/>
        <v>1.0768897239485475</v>
      </c>
    </row>
    <row r="65" spans="1:13" ht="20.100000000000001" customHeight="1" x14ac:dyDescent="0.25">
      <c r="A65" s="10" t="s">
        <v>39</v>
      </c>
      <c r="B65" s="11" t="s">
        <v>151</v>
      </c>
      <c r="C65" s="8">
        <v>28.54</v>
      </c>
      <c r="D65" s="8">
        <v>28.32</v>
      </c>
      <c r="E65" s="8">
        <v>28.65</v>
      </c>
      <c r="F65" s="8">
        <v>28.38</v>
      </c>
      <c r="G65" s="14">
        <v>5.6377730796335502E-3</v>
      </c>
      <c r="H65" s="8" t="s">
        <v>1021</v>
      </c>
      <c r="I65" s="8">
        <v>1.27</v>
      </c>
      <c r="J65" s="8">
        <v>18.86</v>
      </c>
      <c r="K65" s="8">
        <v>26.45</v>
      </c>
      <c r="L65" s="26" t="str">
        <f t="shared" si="2"/>
        <v>Link</v>
      </c>
      <c r="M65" s="29">
        <f t="shared" si="3"/>
        <v>1.0790170132325141</v>
      </c>
    </row>
    <row r="66" spans="1:13" ht="20.100000000000001" customHeight="1" x14ac:dyDescent="0.25">
      <c r="A66" s="10" t="s">
        <v>27</v>
      </c>
      <c r="B66" s="11" t="s">
        <v>140</v>
      </c>
      <c r="C66" s="8">
        <v>74.959999999999994</v>
      </c>
      <c r="D66" s="8">
        <v>74.89</v>
      </c>
      <c r="E66" s="8">
        <v>75.34</v>
      </c>
      <c r="F66" s="8">
        <v>74.930000000000007</v>
      </c>
      <c r="G66" s="14">
        <v>4.0037368210312191E-4</v>
      </c>
      <c r="H66" s="8" t="s">
        <v>1090</v>
      </c>
      <c r="I66" s="8">
        <v>2.0299999999999998</v>
      </c>
      <c r="J66" s="8">
        <v>33.17</v>
      </c>
      <c r="K66" s="8">
        <v>68.97</v>
      </c>
      <c r="L66" s="26" t="str">
        <f t="shared" ref="L66:L101" si="4">HYPERLINK("http://finance.yahoo.com/q?s=" &amp; A66, "Link")</f>
        <v>Link</v>
      </c>
      <c r="M66" s="29">
        <f t="shared" ref="M66:M101" si="5">C66/K66</f>
        <v>1.0868493547919384</v>
      </c>
    </row>
    <row r="67" spans="1:13" ht="20.100000000000001" customHeight="1" x14ac:dyDescent="0.25">
      <c r="A67" s="10" t="s">
        <v>0</v>
      </c>
      <c r="B67" s="11" t="s">
        <v>117</v>
      </c>
      <c r="C67" s="8">
        <v>117.26</v>
      </c>
      <c r="D67" s="8">
        <v>116.49</v>
      </c>
      <c r="E67" s="8">
        <v>117.8</v>
      </c>
      <c r="F67" s="8">
        <v>116.52</v>
      </c>
      <c r="G67" s="14">
        <v>6.3508410573292918E-3</v>
      </c>
      <c r="H67" s="8" t="s">
        <v>1086</v>
      </c>
      <c r="I67" s="8">
        <v>1.96</v>
      </c>
      <c r="J67" s="8">
        <v>14.11</v>
      </c>
      <c r="K67" s="8">
        <v>107.7</v>
      </c>
      <c r="L67" s="26" t="str">
        <f t="shared" si="4"/>
        <v>Link</v>
      </c>
      <c r="M67" s="29">
        <f t="shared" si="5"/>
        <v>1.0887650882079851</v>
      </c>
    </row>
    <row r="68" spans="1:13" ht="20.100000000000001" customHeight="1" x14ac:dyDescent="0.25">
      <c r="A68" s="10" t="s">
        <v>28</v>
      </c>
      <c r="B68" s="11" t="s">
        <v>141</v>
      </c>
      <c r="C68" s="8">
        <v>105.17</v>
      </c>
      <c r="D68" s="8">
        <v>104.78</v>
      </c>
      <c r="E68" s="8">
        <v>105.56</v>
      </c>
      <c r="F68" s="8">
        <v>105.15</v>
      </c>
      <c r="G68" s="14">
        <v>1.9020446980500257E-4</v>
      </c>
      <c r="H68" s="8" t="s">
        <v>1026</v>
      </c>
      <c r="I68" s="8">
        <v>1.48</v>
      </c>
      <c r="J68" s="8">
        <v>18.350000000000001</v>
      </c>
      <c r="K68" s="8">
        <v>96.55</v>
      </c>
      <c r="L68" s="26" t="str">
        <f t="shared" si="4"/>
        <v>Link</v>
      </c>
      <c r="M68" s="29">
        <f t="shared" si="5"/>
        <v>1.0892801657172451</v>
      </c>
    </row>
    <row r="69" spans="1:13" ht="20.100000000000001" customHeight="1" x14ac:dyDescent="0.25">
      <c r="A69" s="10" t="s">
        <v>87</v>
      </c>
      <c r="B69" s="11" t="s">
        <v>194</v>
      </c>
      <c r="C69" s="8">
        <v>74.87</v>
      </c>
      <c r="D69" s="8">
        <v>74.16</v>
      </c>
      <c r="E69" s="8">
        <v>75.150000000000006</v>
      </c>
      <c r="F69" s="8">
        <v>74.38</v>
      </c>
      <c r="G69" s="14">
        <v>6.5877924173166052E-3</v>
      </c>
      <c r="H69" s="8" t="s">
        <v>1109</v>
      </c>
      <c r="I69" s="8">
        <v>2.69</v>
      </c>
      <c r="J69" s="8">
        <v>23.77</v>
      </c>
      <c r="K69" s="8">
        <v>68.599999999999994</v>
      </c>
      <c r="L69" s="26" t="str">
        <f t="shared" si="4"/>
        <v>Link</v>
      </c>
      <c r="M69" s="29">
        <f t="shared" si="5"/>
        <v>1.0913994169096211</v>
      </c>
    </row>
    <row r="70" spans="1:13" ht="20.100000000000001" customHeight="1" x14ac:dyDescent="0.25">
      <c r="A70" s="10" t="s">
        <v>29</v>
      </c>
      <c r="B70" s="11" t="s">
        <v>142</v>
      </c>
      <c r="C70" s="8">
        <v>58.42</v>
      </c>
      <c r="D70" s="8">
        <v>58.38</v>
      </c>
      <c r="E70" s="8">
        <v>58.9</v>
      </c>
      <c r="F70" s="8">
        <v>58.43</v>
      </c>
      <c r="G70" s="14">
        <v>-1.711449597809004E-4</v>
      </c>
      <c r="H70" s="8" t="s">
        <v>1074</v>
      </c>
      <c r="I70" s="8">
        <v>3.15</v>
      </c>
      <c r="J70" s="8">
        <v>9.1</v>
      </c>
      <c r="K70" s="8">
        <v>53.49</v>
      </c>
      <c r="L70" s="26" t="str">
        <f t="shared" si="4"/>
        <v>Link</v>
      </c>
      <c r="M70" s="29">
        <f t="shared" si="5"/>
        <v>1.0921667601420826</v>
      </c>
    </row>
    <row r="71" spans="1:13" ht="20.100000000000001" customHeight="1" x14ac:dyDescent="0.25">
      <c r="A71" s="10" t="s">
        <v>68</v>
      </c>
      <c r="B71" s="11" t="s">
        <v>175</v>
      </c>
      <c r="C71" s="8">
        <v>63.28</v>
      </c>
      <c r="D71" s="8">
        <v>63.21</v>
      </c>
      <c r="E71" s="8">
        <v>64.069999999999993</v>
      </c>
      <c r="F71" s="8">
        <v>63.24</v>
      </c>
      <c r="G71" s="14">
        <v>6.3251106894369297E-4</v>
      </c>
      <c r="H71" s="8" t="s">
        <v>1095</v>
      </c>
      <c r="I71" s="8">
        <v>2.4700000000000002</v>
      </c>
      <c r="J71" s="8">
        <v>30.31</v>
      </c>
      <c r="K71" s="8">
        <v>57.17</v>
      </c>
      <c r="L71" s="26" t="str">
        <f t="shared" si="4"/>
        <v>Link</v>
      </c>
      <c r="M71" s="29">
        <f t="shared" si="5"/>
        <v>1.1068742347384992</v>
      </c>
    </row>
    <row r="72" spans="1:13" ht="20.100000000000001" customHeight="1" x14ac:dyDescent="0.25">
      <c r="A72" s="10" t="s">
        <v>204</v>
      </c>
      <c r="B72" s="11" t="s">
        <v>205</v>
      </c>
      <c r="C72" s="8">
        <v>164.95</v>
      </c>
      <c r="D72" s="8">
        <v>164.78</v>
      </c>
      <c r="E72" s="8">
        <v>165.82</v>
      </c>
      <c r="F72" s="8">
        <v>165.32</v>
      </c>
      <c r="G72" s="14">
        <v>-2.2380837164287719E-3</v>
      </c>
      <c r="H72" s="8" t="s">
        <v>1078</v>
      </c>
      <c r="I72" s="8" t="s">
        <v>124</v>
      </c>
      <c r="J72" s="8">
        <v>17.47</v>
      </c>
      <c r="K72" s="8">
        <v>148.63999999999999</v>
      </c>
      <c r="L72" s="26" t="str">
        <f t="shared" si="4"/>
        <v>Link</v>
      </c>
      <c r="M72" s="29">
        <f t="shared" si="5"/>
        <v>1.1097282023681379</v>
      </c>
    </row>
    <row r="73" spans="1:13" ht="20.100000000000001" customHeight="1" x14ac:dyDescent="0.25">
      <c r="A73" s="10" t="s">
        <v>38</v>
      </c>
      <c r="B73" s="11" t="s">
        <v>150</v>
      </c>
      <c r="C73" s="8">
        <v>190.55</v>
      </c>
      <c r="D73" s="8">
        <v>190.51</v>
      </c>
      <c r="E73" s="8">
        <v>192.53</v>
      </c>
      <c r="F73" s="8">
        <v>191.86</v>
      </c>
      <c r="G73" s="14">
        <v>-6.8278953403523518E-3</v>
      </c>
      <c r="H73" s="8" t="s">
        <v>1067</v>
      </c>
      <c r="I73" s="8">
        <v>0.83</v>
      </c>
      <c r="J73" s="8">
        <v>28</v>
      </c>
      <c r="K73" s="8">
        <v>171.18</v>
      </c>
      <c r="L73" s="26" t="str">
        <f t="shared" si="4"/>
        <v>Link</v>
      </c>
      <c r="M73" s="29">
        <f t="shared" si="5"/>
        <v>1.1131557424932819</v>
      </c>
    </row>
    <row r="74" spans="1:13" ht="20.100000000000001" customHeight="1" x14ac:dyDescent="0.25">
      <c r="A74" s="10" t="s">
        <v>43</v>
      </c>
      <c r="B74" s="11" t="s">
        <v>155</v>
      </c>
      <c r="C74" s="8">
        <v>35.54</v>
      </c>
      <c r="D74" s="8">
        <v>35.5</v>
      </c>
      <c r="E74" s="8">
        <v>35.93</v>
      </c>
      <c r="F74" s="8">
        <v>35.69</v>
      </c>
      <c r="G74" s="14">
        <v>-4.2028579434014732E-3</v>
      </c>
      <c r="H74" s="8" t="s">
        <v>1075</v>
      </c>
      <c r="I74" s="8">
        <v>4.26</v>
      </c>
      <c r="J74" s="8">
        <v>4.0599999999999996</v>
      </c>
      <c r="K74" s="8">
        <v>31.9</v>
      </c>
      <c r="L74" s="26" t="str">
        <f t="shared" si="4"/>
        <v>Link</v>
      </c>
      <c r="M74" s="29">
        <f t="shared" si="5"/>
        <v>1.1141065830721004</v>
      </c>
    </row>
    <row r="75" spans="1:13" ht="20.100000000000001" customHeight="1" x14ac:dyDescent="0.25">
      <c r="A75" s="10" t="s">
        <v>70</v>
      </c>
      <c r="B75" s="11" t="s">
        <v>177</v>
      </c>
      <c r="C75" s="8">
        <v>38.92</v>
      </c>
      <c r="D75" s="8">
        <v>38.4</v>
      </c>
      <c r="E75" s="8">
        <v>39.119999999999997</v>
      </c>
      <c r="F75" s="8">
        <v>38.380000000000003</v>
      </c>
      <c r="G75" s="14">
        <v>1.4069828035435099E-2</v>
      </c>
      <c r="H75" s="8" t="s">
        <v>1061</v>
      </c>
      <c r="I75" s="8">
        <v>0.52</v>
      </c>
      <c r="J75" s="8" t="s">
        <v>124</v>
      </c>
      <c r="K75" s="8">
        <v>34.86</v>
      </c>
      <c r="L75" s="26" t="str">
        <f t="shared" si="4"/>
        <v>Link</v>
      </c>
      <c r="M75" s="29">
        <f t="shared" si="5"/>
        <v>1.1164658634538154</v>
      </c>
    </row>
    <row r="76" spans="1:13" ht="20.100000000000001" customHeight="1" x14ac:dyDescent="0.25">
      <c r="A76" s="10" t="s">
        <v>18</v>
      </c>
      <c r="B76" s="11" t="s">
        <v>132</v>
      </c>
      <c r="C76" s="8">
        <v>94.55</v>
      </c>
      <c r="D76" s="8">
        <v>94.1</v>
      </c>
      <c r="E76" s="8">
        <v>94.8</v>
      </c>
      <c r="F76" s="8">
        <v>94.32</v>
      </c>
      <c r="G76" s="14">
        <v>2.4385072094996181E-3</v>
      </c>
      <c r="H76" s="8" t="s">
        <v>1093</v>
      </c>
      <c r="I76" s="8">
        <v>3.27</v>
      </c>
      <c r="J76" s="8">
        <v>91.97</v>
      </c>
      <c r="K76" s="8">
        <v>84.61</v>
      </c>
      <c r="L76" s="26" t="str">
        <f t="shared" si="4"/>
        <v>Link</v>
      </c>
      <c r="M76" s="29">
        <f t="shared" si="5"/>
        <v>1.1174802032856637</v>
      </c>
    </row>
    <row r="77" spans="1:13" ht="20.100000000000001" customHeight="1" x14ac:dyDescent="0.25">
      <c r="A77" s="10" t="s">
        <v>89</v>
      </c>
      <c r="B77" s="11" t="s">
        <v>196</v>
      </c>
      <c r="C77" s="8">
        <v>105.71</v>
      </c>
      <c r="D77" s="8">
        <v>105.21</v>
      </c>
      <c r="E77" s="8">
        <v>105.93</v>
      </c>
      <c r="F77" s="8">
        <v>105.18</v>
      </c>
      <c r="G77" s="14">
        <v>5.0389807948277897E-3</v>
      </c>
      <c r="H77" s="8" t="s">
        <v>1103</v>
      </c>
      <c r="I77" s="8">
        <v>2.2999999999999998</v>
      </c>
      <c r="J77" s="8">
        <v>21.18</v>
      </c>
      <c r="K77" s="8">
        <v>94.56</v>
      </c>
      <c r="L77" s="26" t="str">
        <f t="shared" si="4"/>
        <v>Link</v>
      </c>
      <c r="M77" s="29">
        <f t="shared" si="5"/>
        <v>1.1179145516074449</v>
      </c>
    </row>
    <row r="78" spans="1:13" ht="20.100000000000001" customHeight="1" x14ac:dyDescent="0.25">
      <c r="A78" s="10" t="s">
        <v>30</v>
      </c>
      <c r="B78" s="11" t="s">
        <v>143</v>
      </c>
      <c r="C78" s="8">
        <v>46.84</v>
      </c>
      <c r="D78" s="8">
        <v>46.61</v>
      </c>
      <c r="E78" s="8">
        <v>47.03</v>
      </c>
      <c r="F78" s="8">
        <v>46.54</v>
      </c>
      <c r="G78" s="14">
        <v>6.4460678985819569E-3</v>
      </c>
      <c r="H78" s="8" t="s">
        <v>1117</v>
      </c>
      <c r="I78" s="8">
        <v>0.52</v>
      </c>
      <c r="J78" s="8" t="s">
        <v>124</v>
      </c>
      <c r="K78" s="8">
        <v>41.5</v>
      </c>
      <c r="L78" s="26" t="str">
        <f t="shared" si="4"/>
        <v>Link</v>
      </c>
      <c r="M78" s="29">
        <f t="shared" si="5"/>
        <v>1.1286746987951808</v>
      </c>
    </row>
    <row r="79" spans="1:13" ht="20.100000000000001" customHeight="1" x14ac:dyDescent="0.25">
      <c r="A79" s="10" t="s">
        <v>26</v>
      </c>
      <c r="B79" s="11" t="s">
        <v>139</v>
      </c>
      <c r="C79" s="8">
        <v>118.22</v>
      </c>
      <c r="D79" s="8">
        <v>118.11</v>
      </c>
      <c r="E79" s="8">
        <v>118.9</v>
      </c>
      <c r="F79" s="8">
        <v>118.42</v>
      </c>
      <c r="G79" s="14">
        <v>-1.688903901368036E-3</v>
      </c>
      <c r="H79" s="8" t="s">
        <v>1045</v>
      </c>
      <c r="I79" s="8">
        <v>3.65</v>
      </c>
      <c r="J79" s="8" t="s">
        <v>124</v>
      </c>
      <c r="K79" s="8">
        <v>104.73</v>
      </c>
      <c r="L79" s="26" t="str">
        <f t="shared" si="4"/>
        <v>Link</v>
      </c>
      <c r="M79" s="29">
        <f t="shared" si="5"/>
        <v>1.1288074095292657</v>
      </c>
    </row>
    <row r="80" spans="1:13" ht="20.100000000000001" customHeight="1" x14ac:dyDescent="0.25">
      <c r="A80" s="10" t="s">
        <v>4</v>
      </c>
      <c r="B80" s="11" t="s">
        <v>120</v>
      </c>
      <c r="C80" s="8">
        <v>66.7</v>
      </c>
      <c r="D80" s="8">
        <v>66.42</v>
      </c>
      <c r="E80" s="8">
        <v>66.92</v>
      </c>
      <c r="F80" s="8">
        <v>66.41</v>
      </c>
      <c r="G80" s="14">
        <v>4.3668122270743301E-3</v>
      </c>
      <c r="H80" s="8" t="s">
        <v>1100</v>
      </c>
      <c r="I80" s="8">
        <v>1.93</v>
      </c>
      <c r="J80" s="8">
        <v>217.26</v>
      </c>
      <c r="K80" s="8">
        <v>58.96</v>
      </c>
      <c r="L80" s="26" t="str">
        <f t="shared" si="4"/>
        <v>Link</v>
      </c>
      <c r="M80" s="29">
        <f t="shared" si="5"/>
        <v>1.1312754409769334</v>
      </c>
    </row>
    <row r="81" spans="1:13" ht="20.100000000000001" customHeight="1" x14ac:dyDescent="0.25">
      <c r="A81" s="10" t="s">
        <v>88</v>
      </c>
      <c r="B81" s="11" t="s">
        <v>195</v>
      </c>
      <c r="C81" s="8">
        <v>162.63999999999999</v>
      </c>
      <c r="D81" s="8">
        <v>162.44999999999999</v>
      </c>
      <c r="E81" s="8">
        <v>163.96</v>
      </c>
      <c r="F81" s="8">
        <v>163.03</v>
      </c>
      <c r="G81" s="14">
        <v>-2.3921977550145053E-3</v>
      </c>
      <c r="H81" s="8" t="s">
        <v>1049</v>
      </c>
      <c r="I81" s="8">
        <v>1.53</v>
      </c>
      <c r="J81" s="8">
        <v>24.02</v>
      </c>
      <c r="K81" s="8">
        <v>143.44</v>
      </c>
      <c r="L81" s="26" t="str">
        <f t="shared" si="4"/>
        <v>Link</v>
      </c>
      <c r="M81" s="29">
        <f t="shared" si="5"/>
        <v>1.1338538761851644</v>
      </c>
    </row>
    <row r="82" spans="1:13" ht="20.100000000000001" customHeight="1" x14ac:dyDescent="0.25">
      <c r="A82" s="10" t="s">
        <v>15</v>
      </c>
      <c r="B82" s="11" t="s">
        <v>130</v>
      </c>
      <c r="C82" s="8">
        <v>47.73</v>
      </c>
      <c r="D82" s="8">
        <v>47.5</v>
      </c>
      <c r="E82" s="8">
        <v>47.86</v>
      </c>
      <c r="F82" s="8">
        <v>47.58</v>
      </c>
      <c r="G82" s="14">
        <v>3.1525851197982046E-3</v>
      </c>
      <c r="H82" s="8" t="s">
        <v>1089</v>
      </c>
      <c r="I82" s="8">
        <v>1.6</v>
      </c>
      <c r="J82" s="8">
        <v>16.149999999999999</v>
      </c>
      <c r="K82" s="8">
        <v>42.03</v>
      </c>
      <c r="L82" s="26" t="str">
        <f t="shared" si="4"/>
        <v>Link</v>
      </c>
      <c r="M82" s="29">
        <f t="shared" si="5"/>
        <v>1.1356174161313346</v>
      </c>
    </row>
    <row r="83" spans="1:13" ht="20.100000000000001" customHeight="1" x14ac:dyDescent="0.25">
      <c r="A83" s="10" t="s">
        <v>40</v>
      </c>
      <c r="B83" s="11" t="s">
        <v>152</v>
      </c>
      <c r="C83" s="8">
        <v>174.58</v>
      </c>
      <c r="D83" s="8">
        <v>173.97</v>
      </c>
      <c r="E83" s="8">
        <v>176.36</v>
      </c>
      <c r="F83" s="8">
        <v>175.25</v>
      </c>
      <c r="G83" s="14">
        <v>-3.823109843081241E-3</v>
      </c>
      <c r="H83" s="8" t="s">
        <v>1102</v>
      </c>
      <c r="I83" s="8">
        <v>1.73</v>
      </c>
      <c r="J83" s="8">
        <v>18.68</v>
      </c>
      <c r="K83" s="8">
        <v>153.57</v>
      </c>
      <c r="L83" s="26" t="str">
        <f t="shared" si="4"/>
        <v>Link</v>
      </c>
      <c r="M83" s="29">
        <f t="shared" si="5"/>
        <v>1.1368105749820929</v>
      </c>
    </row>
    <row r="84" spans="1:13" ht="20.100000000000001" customHeight="1" x14ac:dyDescent="0.25">
      <c r="A84" s="10" t="s">
        <v>10</v>
      </c>
      <c r="B84" s="11" t="s">
        <v>127</v>
      </c>
      <c r="C84" s="8">
        <v>74.98</v>
      </c>
      <c r="D84" s="8">
        <v>74.790000000000006</v>
      </c>
      <c r="E84" s="8">
        <v>75.11</v>
      </c>
      <c r="F84" s="8">
        <v>74.97</v>
      </c>
      <c r="G84" s="14">
        <v>1.3338668800860499E-4</v>
      </c>
      <c r="H84" s="8" t="s">
        <v>1068</v>
      </c>
      <c r="I84" s="8">
        <v>1.71</v>
      </c>
      <c r="J84" s="8">
        <v>13.32</v>
      </c>
      <c r="K84" s="8">
        <v>65.92</v>
      </c>
      <c r="L84" s="26" t="str">
        <f t="shared" si="4"/>
        <v>Link</v>
      </c>
      <c r="M84" s="29">
        <f t="shared" si="5"/>
        <v>1.1374393203883495</v>
      </c>
    </row>
    <row r="85" spans="1:13" ht="20.100000000000001" customHeight="1" x14ac:dyDescent="0.25">
      <c r="A85" s="10" t="s">
        <v>8</v>
      </c>
      <c r="B85" s="11" t="s">
        <v>125</v>
      </c>
      <c r="C85" s="8">
        <v>66.34</v>
      </c>
      <c r="D85" s="8">
        <v>66.03</v>
      </c>
      <c r="E85" s="8">
        <v>66.94</v>
      </c>
      <c r="F85" s="8">
        <v>66.400000000000006</v>
      </c>
      <c r="G85" s="14">
        <v>-9.0361445783135948E-4</v>
      </c>
      <c r="H85" s="8" t="s">
        <v>1006</v>
      </c>
      <c r="I85" s="8">
        <v>1.51</v>
      </c>
      <c r="J85" s="8" t="s">
        <v>124</v>
      </c>
      <c r="K85" s="8">
        <v>58.17</v>
      </c>
      <c r="L85" s="26" t="str">
        <f t="shared" si="4"/>
        <v>Link</v>
      </c>
      <c r="M85" s="29">
        <f t="shared" si="5"/>
        <v>1.1404504039883101</v>
      </c>
    </row>
    <row r="86" spans="1:13" ht="20.100000000000001" customHeight="1" x14ac:dyDescent="0.25">
      <c r="A86" s="10" t="s">
        <v>11</v>
      </c>
      <c r="B86" s="11" t="s">
        <v>128</v>
      </c>
      <c r="C86" s="8">
        <v>157.47999999999999</v>
      </c>
      <c r="D86" s="8">
        <v>156.91</v>
      </c>
      <c r="E86" s="8">
        <v>158.47999999999999</v>
      </c>
      <c r="F86" s="8">
        <v>157.81</v>
      </c>
      <c r="G86" s="14">
        <v>-2.0911222355998512E-3</v>
      </c>
      <c r="H86" s="8" t="s">
        <v>1040</v>
      </c>
      <c r="I86" s="8">
        <v>3.6</v>
      </c>
      <c r="J86" s="8">
        <v>24.06</v>
      </c>
      <c r="K86" s="8">
        <v>137.19999999999999</v>
      </c>
      <c r="L86" s="26" t="str">
        <f t="shared" si="4"/>
        <v>Link</v>
      </c>
      <c r="M86" s="29">
        <f t="shared" si="5"/>
        <v>1.1478134110787173</v>
      </c>
    </row>
    <row r="87" spans="1:13" ht="20.100000000000001" customHeight="1" x14ac:dyDescent="0.25">
      <c r="A87" s="10" t="s">
        <v>96</v>
      </c>
      <c r="B87" s="11" t="s">
        <v>116</v>
      </c>
      <c r="C87" s="8">
        <v>55.95</v>
      </c>
      <c r="D87" s="8">
        <v>55.84</v>
      </c>
      <c r="E87" s="8">
        <v>56.1</v>
      </c>
      <c r="F87" s="8">
        <v>55.96</v>
      </c>
      <c r="G87" s="14">
        <v>-1.7869907076479647E-4</v>
      </c>
      <c r="H87" s="8" t="s">
        <v>1062</v>
      </c>
      <c r="I87" s="8">
        <v>2.72</v>
      </c>
      <c r="J87" s="8">
        <v>13.88</v>
      </c>
      <c r="K87" s="8">
        <v>48.67</v>
      </c>
      <c r="L87" s="26" t="str">
        <f t="shared" si="4"/>
        <v>Link</v>
      </c>
      <c r="M87" s="29">
        <f t="shared" si="5"/>
        <v>1.1495787959728785</v>
      </c>
    </row>
    <row r="88" spans="1:13" ht="20.100000000000001" customHeight="1" x14ac:dyDescent="0.25">
      <c r="A88" s="10" t="s">
        <v>37</v>
      </c>
      <c r="B88" s="11" t="s">
        <v>149</v>
      </c>
      <c r="C88" s="8">
        <v>13.76</v>
      </c>
      <c r="D88" s="8">
        <v>13.72</v>
      </c>
      <c r="E88" s="8">
        <v>14.12</v>
      </c>
      <c r="F88" s="8">
        <v>13.81</v>
      </c>
      <c r="G88" s="14">
        <v>-3.6205648081101163E-3</v>
      </c>
      <c r="H88" s="8" t="s">
        <v>1028</v>
      </c>
      <c r="I88" s="8">
        <v>0</v>
      </c>
      <c r="J88" s="8" t="s">
        <v>124</v>
      </c>
      <c r="K88" s="8">
        <v>11.95</v>
      </c>
      <c r="L88" s="26" t="str">
        <f t="shared" si="4"/>
        <v>Link</v>
      </c>
      <c r="M88" s="29">
        <f t="shared" si="5"/>
        <v>1.1514644351464436</v>
      </c>
    </row>
    <row r="89" spans="1:13" ht="20.100000000000001" customHeight="1" x14ac:dyDescent="0.25">
      <c r="A89" s="10" t="s">
        <v>71</v>
      </c>
      <c r="B89" s="11" t="s">
        <v>178</v>
      </c>
      <c r="C89" s="8">
        <v>109.45</v>
      </c>
      <c r="D89" s="8">
        <v>109.32</v>
      </c>
      <c r="E89" s="8">
        <v>109.87</v>
      </c>
      <c r="F89" s="8">
        <v>109.28</v>
      </c>
      <c r="G89" s="14">
        <v>1.5556368960468678E-3</v>
      </c>
      <c r="H89" s="8" t="s">
        <v>1104</v>
      </c>
      <c r="I89" s="8">
        <v>2.16</v>
      </c>
      <c r="J89" s="8">
        <v>20.27</v>
      </c>
      <c r="K89" s="8">
        <v>94.11</v>
      </c>
      <c r="L89" s="26" t="str">
        <f t="shared" si="4"/>
        <v>Link</v>
      </c>
      <c r="M89" s="29">
        <f t="shared" si="5"/>
        <v>1.1630007438104346</v>
      </c>
    </row>
    <row r="90" spans="1:13" ht="20.100000000000001" customHeight="1" x14ac:dyDescent="0.25">
      <c r="A90" s="10" t="s">
        <v>91</v>
      </c>
      <c r="B90" s="11" t="s">
        <v>198</v>
      </c>
      <c r="C90" s="8">
        <v>52.31</v>
      </c>
      <c r="D90" s="8">
        <v>52.2</v>
      </c>
      <c r="E90" s="8">
        <v>52.39</v>
      </c>
      <c r="F90" s="8">
        <v>52.2</v>
      </c>
      <c r="G90" s="14">
        <v>2.107279693486579E-3</v>
      </c>
      <c r="H90" s="8" t="s">
        <v>1087</v>
      </c>
      <c r="I90" s="8">
        <v>2.15</v>
      </c>
      <c r="J90" s="8">
        <v>16.2</v>
      </c>
      <c r="K90" s="8">
        <v>44.31</v>
      </c>
      <c r="L90" s="26" t="str">
        <f t="shared" si="4"/>
        <v>Link</v>
      </c>
      <c r="M90" s="29">
        <f t="shared" si="5"/>
        <v>1.1805461521101333</v>
      </c>
    </row>
    <row r="91" spans="1:13" ht="20.100000000000001" customHeight="1" x14ac:dyDescent="0.25">
      <c r="A91" s="10" t="s">
        <v>22</v>
      </c>
      <c r="B91" s="11" t="s">
        <v>135</v>
      </c>
      <c r="C91" s="8">
        <v>51.6</v>
      </c>
      <c r="D91" s="8">
        <v>51.35</v>
      </c>
      <c r="E91" s="8">
        <v>51.94</v>
      </c>
      <c r="F91" s="8">
        <v>51.37</v>
      </c>
      <c r="G91" s="14">
        <v>4.4773213938096943E-3</v>
      </c>
      <c r="H91" s="8" t="s">
        <v>1030</v>
      </c>
      <c r="I91" s="8">
        <v>1.95</v>
      </c>
      <c r="J91" s="8" t="s">
        <v>124</v>
      </c>
      <c r="K91" s="8">
        <v>43.68</v>
      </c>
      <c r="L91" s="26" t="str">
        <f t="shared" si="4"/>
        <v>Link</v>
      </c>
      <c r="M91" s="29">
        <f t="shared" si="5"/>
        <v>1.1813186813186813</v>
      </c>
    </row>
    <row r="92" spans="1:13" ht="20.100000000000001" customHeight="1" x14ac:dyDescent="0.25">
      <c r="A92" s="10" t="s">
        <v>86</v>
      </c>
      <c r="B92" s="11" t="s">
        <v>193</v>
      </c>
      <c r="C92" s="8">
        <v>96.74</v>
      </c>
      <c r="D92" s="8">
        <v>96.18</v>
      </c>
      <c r="E92" s="8">
        <v>96.88</v>
      </c>
      <c r="F92" s="8">
        <v>96.41</v>
      </c>
      <c r="G92" s="14">
        <v>3.4228814438336096E-3</v>
      </c>
      <c r="H92" s="8" t="s">
        <v>1082</v>
      </c>
      <c r="I92" s="8">
        <v>1.67</v>
      </c>
      <c r="J92" s="8">
        <v>17.21</v>
      </c>
      <c r="K92" s="8">
        <v>81.77</v>
      </c>
      <c r="L92" s="26" t="str">
        <f t="shared" si="4"/>
        <v>Link</v>
      </c>
      <c r="M92" s="29">
        <f t="shared" si="5"/>
        <v>1.1830744771921242</v>
      </c>
    </row>
    <row r="93" spans="1:13" ht="20.100000000000001" customHeight="1" x14ac:dyDescent="0.25">
      <c r="A93" s="10" t="s">
        <v>46</v>
      </c>
      <c r="B93" s="11" t="s">
        <v>156</v>
      </c>
      <c r="C93" s="8">
        <v>54.91</v>
      </c>
      <c r="D93" s="8">
        <v>54.7</v>
      </c>
      <c r="E93" s="8">
        <v>55.54</v>
      </c>
      <c r="F93" s="8">
        <v>54.84</v>
      </c>
      <c r="G93" s="14">
        <v>1.2764405543397735E-3</v>
      </c>
      <c r="H93" s="8" t="s">
        <v>1092</v>
      </c>
      <c r="I93" s="8">
        <v>1.31</v>
      </c>
      <c r="J93" s="8" t="s">
        <v>124</v>
      </c>
      <c r="K93" s="8">
        <v>46.22</v>
      </c>
      <c r="L93" s="26" t="str">
        <f t="shared" si="4"/>
        <v>Link</v>
      </c>
      <c r="M93" s="29">
        <f t="shared" si="5"/>
        <v>1.1880138468195587</v>
      </c>
    </row>
    <row r="94" spans="1:13" ht="20.100000000000001" customHeight="1" x14ac:dyDescent="0.25">
      <c r="A94" s="10" t="s">
        <v>62</v>
      </c>
      <c r="B94" s="11" t="s">
        <v>170</v>
      </c>
      <c r="C94" s="8">
        <v>54.7</v>
      </c>
      <c r="D94" s="8">
        <v>54.44</v>
      </c>
      <c r="E94" s="8">
        <v>54.96</v>
      </c>
      <c r="F94" s="8">
        <v>54.43</v>
      </c>
      <c r="G94" s="14">
        <v>4.9604997244167394E-3</v>
      </c>
      <c r="H94" s="8" t="s">
        <v>1041</v>
      </c>
      <c r="I94" s="8">
        <v>2.94</v>
      </c>
      <c r="J94" s="8">
        <v>16.8</v>
      </c>
      <c r="K94" s="8">
        <v>45.94</v>
      </c>
      <c r="L94" s="26" t="str">
        <f t="shared" si="4"/>
        <v>Link</v>
      </c>
      <c r="M94" s="29">
        <f t="shared" si="5"/>
        <v>1.1906835002176754</v>
      </c>
    </row>
    <row r="95" spans="1:13" ht="20.100000000000001" customHeight="1" x14ac:dyDescent="0.25">
      <c r="A95" s="10" t="s">
        <v>9</v>
      </c>
      <c r="B95" s="11" t="s">
        <v>126</v>
      </c>
      <c r="C95" s="8">
        <v>71.540000000000006</v>
      </c>
      <c r="D95" s="8">
        <v>71.2</v>
      </c>
      <c r="E95" s="8">
        <v>72.14</v>
      </c>
      <c r="F95" s="8">
        <v>71.25</v>
      </c>
      <c r="G95" s="14">
        <v>4.0701754385965789E-3</v>
      </c>
      <c r="H95" s="8" t="s">
        <v>1108</v>
      </c>
      <c r="I95" s="8">
        <v>0.28000000000000003</v>
      </c>
      <c r="J95" s="8" t="s">
        <v>124</v>
      </c>
      <c r="K95" s="8">
        <v>59.2</v>
      </c>
      <c r="L95" s="26" t="str">
        <f t="shared" si="4"/>
        <v>Link</v>
      </c>
      <c r="M95" s="29">
        <f t="shared" si="5"/>
        <v>1.208445945945946</v>
      </c>
    </row>
    <row r="96" spans="1:13" ht="20.100000000000001" customHeight="1" x14ac:dyDescent="0.25">
      <c r="A96" s="10" t="s">
        <v>21</v>
      </c>
      <c r="B96" s="11" t="s">
        <v>112</v>
      </c>
      <c r="C96" s="8">
        <v>89.76</v>
      </c>
      <c r="D96" s="8">
        <v>89.65</v>
      </c>
      <c r="E96" s="8">
        <v>90.23</v>
      </c>
      <c r="F96" s="8">
        <v>89.68</v>
      </c>
      <c r="G96" s="14">
        <v>8.9206066012486945E-4</v>
      </c>
      <c r="H96" s="8" t="s">
        <v>1066</v>
      </c>
      <c r="I96" s="8">
        <v>1.78</v>
      </c>
      <c r="J96" s="8">
        <v>12.83</v>
      </c>
      <c r="K96" s="8">
        <v>73.03</v>
      </c>
      <c r="L96" s="26" t="str">
        <f t="shared" si="4"/>
        <v>Link</v>
      </c>
      <c r="M96" s="29">
        <f t="shared" si="5"/>
        <v>1.2290839381076271</v>
      </c>
    </row>
    <row r="97" spans="1:13" ht="20.100000000000001" customHeight="1" x14ac:dyDescent="0.25">
      <c r="A97" s="10" t="s">
        <v>53</v>
      </c>
      <c r="B97" s="11" t="s">
        <v>114</v>
      </c>
      <c r="C97" s="8">
        <v>87.13</v>
      </c>
      <c r="D97" s="8">
        <v>86.75</v>
      </c>
      <c r="E97" s="8">
        <v>87.16</v>
      </c>
      <c r="F97" s="8">
        <v>87.05</v>
      </c>
      <c r="G97" s="14">
        <v>9.190120620332946E-4</v>
      </c>
      <c r="H97" s="8" t="s">
        <v>1097</v>
      </c>
      <c r="I97" s="8">
        <v>2.21</v>
      </c>
      <c r="J97" s="8">
        <v>15.03</v>
      </c>
      <c r="K97" s="8">
        <v>69.180000000000007</v>
      </c>
      <c r="L97" s="26" t="str">
        <f t="shared" si="4"/>
        <v>Link</v>
      </c>
      <c r="M97" s="29">
        <f t="shared" si="5"/>
        <v>1.2594680543509682</v>
      </c>
    </row>
    <row r="98" spans="1:13" ht="20.100000000000001" customHeight="1" x14ac:dyDescent="0.25">
      <c r="A98" s="10" t="s">
        <v>17</v>
      </c>
      <c r="B98" s="11" t="s">
        <v>111</v>
      </c>
      <c r="C98" s="8">
        <v>61.09</v>
      </c>
      <c r="D98" s="8">
        <v>60.85</v>
      </c>
      <c r="E98" s="8">
        <v>61.3</v>
      </c>
      <c r="F98" s="8">
        <v>60.99</v>
      </c>
      <c r="G98" s="14">
        <v>1.6396130513199117E-3</v>
      </c>
      <c r="H98" s="8" t="s">
        <v>1098</v>
      </c>
      <c r="I98" s="8">
        <v>1.05</v>
      </c>
      <c r="J98" s="8">
        <v>13.29</v>
      </c>
      <c r="K98" s="8">
        <v>48.5</v>
      </c>
      <c r="L98" s="26" t="str">
        <f t="shared" si="4"/>
        <v>Link</v>
      </c>
      <c r="M98" s="29">
        <f t="shared" si="5"/>
        <v>1.2595876288659795</v>
      </c>
    </row>
    <row r="99" spans="1:13" ht="20.100000000000001" customHeight="1" x14ac:dyDescent="0.25">
      <c r="A99" s="10" t="s">
        <v>67</v>
      </c>
      <c r="B99" s="11" t="s">
        <v>115</v>
      </c>
      <c r="C99" s="8">
        <v>43.12</v>
      </c>
      <c r="D99" s="8">
        <v>42.95</v>
      </c>
      <c r="E99" s="8">
        <v>43.27</v>
      </c>
      <c r="F99" s="8">
        <v>43.06</v>
      </c>
      <c r="G99" s="14">
        <v>1.3934045517880903E-3</v>
      </c>
      <c r="H99" s="8" t="s">
        <v>1115</v>
      </c>
      <c r="I99" s="8">
        <v>1.86</v>
      </c>
      <c r="J99" s="8">
        <v>17.329999999999998</v>
      </c>
      <c r="K99" s="8">
        <v>32.49</v>
      </c>
      <c r="L99" s="26" t="str">
        <f t="shared" si="4"/>
        <v>Link</v>
      </c>
      <c r="M99" s="29">
        <f t="shared" si="5"/>
        <v>1.3271775931055707</v>
      </c>
    </row>
    <row r="100" spans="1:13" ht="20.100000000000001" customHeight="1" x14ac:dyDescent="0.25">
      <c r="A100" s="10" t="s">
        <v>45</v>
      </c>
      <c r="B100" s="11" t="s">
        <v>113</v>
      </c>
      <c r="C100" s="8">
        <v>241.56</v>
      </c>
      <c r="D100" s="8">
        <v>240.4</v>
      </c>
      <c r="E100" s="8">
        <v>242.59</v>
      </c>
      <c r="F100" s="8">
        <v>240.97</v>
      </c>
      <c r="G100" s="14">
        <v>2.4484375648421105E-3</v>
      </c>
      <c r="H100" s="8" t="s">
        <v>1096</v>
      </c>
      <c r="I100" s="8">
        <v>1.08</v>
      </c>
      <c r="J100" s="8">
        <v>19.39</v>
      </c>
      <c r="K100" s="8">
        <v>176.58</v>
      </c>
      <c r="L100" s="26" t="str">
        <f t="shared" si="4"/>
        <v>Link</v>
      </c>
      <c r="M100" s="29">
        <f t="shared" si="5"/>
        <v>1.3679918450560651</v>
      </c>
    </row>
    <row r="101" spans="1:13" ht="20.100000000000001" customHeight="1" x14ac:dyDescent="0.25">
      <c r="A101" s="10" t="s">
        <v>12</v>
      </c>
      <c r="B101" s="11" t="s">
        <v>110</v>
      </c>
      <c r="C101" s="8">
        <v>22.61</v>
      </c>
      <c r="D101" s="8">
        <v>22.54</v>
      </c>
      <c r="E101" s="8">
        <v>22.74</v>
      </c>
      <c r="F101" s="8">
        <v>22.6</v>
      </c>
      <c r="G101" s="14">
        <v>4.4247787610610665E-4</v>
      </c>
      <c r="H101" s="8" t="s">
        <v>1110</v>
      </c>
      <c r="I101" s="8">
        <v>1.33</v>
      </c>
      <c r="J101" s="8">
        <v>16.54</v>
      </c>
      <c r="K101" s="8">
        <v>16.46</v>
      </c>
      <c r="L101" s="26" t="str">
        <f t="shared" si="4"/>
        <v>Link</v>
      </c>
      <c r="M101" s="29">
        <f t="shared" si="5"/>
        <v>1.3736330498177398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workbookViewId="0">
      <selection activeCell="N14" sqref="N14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208</v>
      </c>
    </row>
    <row r="2" spans="1:12" ht="20.100000000000001" customHeight="1" x14ac:dyDescent="0.25">
      <c r="A2" s="21" t="s">
        <v>0</v>
      </c>
      <c r="B2" t="s">
        <v>117</v>
      </c>
      <c r="C2" s="15">
        <v>107.73</v>
      </c>
      <c r="D2" s="15">
        <v>106.82</v>
      </c>
      <c r="E2" s="15">
        <v>108</v>
      </c>
      <c r="F2" s="15">
        <v>106.73</v>
      </c>
      <c r="G2" s="16">
        <v>9.3694368968424997E-3</v>
      </c>
      <c r="H2" s="15" t="s">
        <v>1002</v>
      </c>
      <c r="I2" s="15">
        <v>2.14</v>
      </c>
      <c r="J2" s="15">
        <v>12.56</v>
      </c>
      <c r="K2" s="15">
        <v>101.29</v>
      </c>
      <c r="L2" s="27" t="str">
        <f t="shared" ref="L2:L31" si="0"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175</v>
      </c>
      <c r="C3" s="15">
        <v>57.67</v>
      </c>
      <c r="D3" s="15">
        <v>57.42</v>
      </c>
      <c r="E3" s="15">
        <v>58.19</v>
      </c>
      <c r="F3" s="15">
        <v>57.59</v>
      </c>
      <c r="G3" s="16">
        <v>1.3891300573015853E-3</v>
      </c>
      <c r="H3" s="15" t="s">
        <v>996</v>
      </c>
      <c r="I3" s="15">
        <v>2.5</v>
      </c>
      <c r="J3" s="15">
        <v>27.46</v>
      </c>
      <c r="K3" s="15">
        <v>53.46</v>
      </c>
      <c r="L3" s="27" t="str">
        <f t="shared" si="0"/>
        <v>Link</v>
      </c>
    </row>
    <row r="4" spans="1:12" ht="20.100000000000001" customHeight="1" x14ac:dyDescent="0.25">
      <c r="A4" s="21" t="s">
        <v>69</v>
      </c>
      <c r="B4" t="s">
        <v>176</v>
      </c>
      <c r="C4" s="15">
        <v>58.02</v>
      </c>
      <c r="D4" s="15">
        <v>57.99</v>
      </c>
      <c r="E4" s="15">
        <v>59.18</v>
      </c>
      <c r="F4" s="15">
        <v>58.54</v>
      </c>
      <c r="G4" s="16">
        <v>-8.8828151691150679E-3</v>
      </c>
      <c r="H4" s="15" t="s">
        <v>992</v>
      </c>
      <c r="I4" s="15">
        <v>1.0900000000000001</v>
      </c>
      <c r="J4" s="15">
        <v>26.86</v>
      </c>
      <c r="K4" s="15">
        <v>57.92</v>
      </c>
      <c r="L4" s="27" t="str">
        <f t="shared" si="0"/>
        <v>Link</v>
      </c>
    </row>
    <row r="5" spans="1:12" ht="20.100000000000001" customHeight="1" x14ac:dyDescent="0.25">
      <c r="A5" s="21" t="s">
        <v>45</v>
      </c>
      <c r="B5" t="s">
        <v>113</v>
      </c>
      <c r="C5" s="15">
        <v>169.18</v>
      </c>
      <c r="D5" s="15">
        <v>167.9</v>
      </c>
      <c r="E5" s="15">
        <v>169.74</v>
      </c>
      <c r="F5" s="15">
        <v>168.51</v>
      </c>
      <c r="G5" s="16">
        <v>3.9760251617115654E-3</v>
      </c>
      <c r="H5" s="15" t="s">
        <v>978</v>
      </c>
      <c r="I5" s="15">
        <v>1.54</v>
      </c>
      <c r="J5" s="15">
        <v>16.04</v>
      </c>
      <c r="K5" s="15">
        <v>156.66999999999999</v>
      </c>
      <c r="L5" s="27" t="str">
        <f t="shared" si="0"/>
        <v>Link</v>
      </c>
    </row>
    <row r="6" spans="1:12" ht="20.100000000000001" customHeight="1" x14ac:dyDescent="0.25">
      <c r="A6" s="21" t="s">
        <v>26</v>
      </c>
      <c r="B6" t="s">
        <v>139</v>
      </c>
      <c r="C6" s="15">
        <v>100.93</v>
      </c>
      <c r="D6" s="15">
        <v>100.26</v>
      </c>
      <c r="E6" s="15">
        <v>101.46</v>
      </c>
      <c r="F6" s="15">
        <v>100.21</v>
      </c>
      <c r="G6" s="16">
        <v>7.1849116854606635E-3</v>
      </c>
      <c r="H6" s="15" t="s">
        <v>1015</v>
      </c>
      <c r="I6" s="15">
        <v>4.2699999999999996</v>
      </c>
      <c r="J6" s="15" t="s">
        <v>124</v>
      </c>
      <c r="K6" s="15">
        <v>99.1</v>
      </c>
      <c r="L6" s="27" t="str">
        <f t="shared" si="0"/>
        <v>Link</v>
      </c>
    </row>
    <row r="7" spans="1:12" ht="20.100000000000001" customHeight="1" x14ac:dyDescent="0.25">
      <c r="A7" s="21" t="s">
        <v>11</v>
      </c>
      <c r="B7" t="s">
        <v>128</v>
      </c>
      <c r="C7" s="15">
        <v>131.16</v>
      </c>
      <c r="D7" s="15">
        <v>130.58000000000001</v>
      </c>
      <c r="E7" s="15">
        <v>131.96</v>
      </c>
      <c r="F7" s="15">
        <v>129.9</v>
      </c>
      <c r="G7" s="16">
        <v>9.6997690531177121E-3</v>
      </c>
      <c r="H7" s="15" t="s">
        <v>1011</v>
      </c>
      <c r="I7" s="15">
        <v>3.36</v>
      </c>
      <c r="J7" s="15">
        <v>23.61</v>
      </c>
      <c r="K7" s="15">
        <v>129.5</v>
      </c>
      <c r="L7" s="27" t="str">
        <f t="shared" si="0"/>
        <v>Link</v>
      </c>
    </row>
    <row r="8" spans="1:12" ht="20.100000000000001" customHeight="1" x14ac:dyDescent="0.25">
      <c r="A8" s="21" t="s">
        <v>93</v>
      </c>
      <c r="B8" t="s">
        <v>200</v>
      </c>
      <c r="C8" s="15">
        <v>82</v>
      </c>
      <c r="D8" s="15">
        <v>81.5</v>
      </c>
      <c r="E8" s="15">
        <v>82.14</v>
      </c>
      <c r="F8" s="15">
        <v>81.3</v>
      </c>
      <c r="G8" s="16">
        <v>8.6100861008610446E-3</v>
      </c>
      <c r="H8" s="15" t="s">
        <v>997</v>
      </c>
      <c r="I8" s="15">
        <v>0.69</v>
      </c>
      <c r="J8" s="15">
        <v>34.85</v>
      </c>
      <c r="K8" s="15">
        <v>77.319999999999993</v>
      </c>
      <c r="L8" s="27" t="str">
        <f t="shared" si="0"/>
        <v>Link</v>
      </c>
    </row>
    <row r="9" spans="1:12" ht="20.100000000000001" customHeight="1" x14ac:dyDescent="0.25">
      <c r="A9" s="21" t="s">
        <v>47</v>
      </c>
      <c r="B9" t="s">
        <v>157</v>
      </c>
      <c r="C9" s="15">
        <v>135.15</v>
      </c>
      <c r="D9" s="15">
        <v>134.55000000000001</v>
      </c>
      <c r="E9" s="15">
        <v>135.88</v>
      </c>
      <c r="F9" s="15">
        <v>134.22999999999999</v>
      </c>
      <c r="G9" s="16">
        <v>6.8539074722492434E-3</v>
      </c>
      <c r="H9" s="15" t="s">
        <v>991</v>
      </c>
      <c r="I9" s="15">
        <v>2.06</v>
      </c>
      <c r="J9" s="15">
        <v>22.88</v>
      </c>
      <c r="K9" s="15">
        <v>132.13</v>
      </c>
      <c r="L9" s="27" t="str">
        <f t="shared" si="0"/>
        <v>Link</v>
      </c>
    </row>
    <row r="10" spans="1:12" ht="20.100000000000001" customHeight="1" x14ac:dyDescent="0.25">
      <c r="A10" s="21" t="s">
        <v>53</v>
      </c>
      <c r="B10" t="s">
        <v>114</v>
      </c>
      <c r="C10" s="15">
        <v>67.489999999999995</v>
      </c>
      <c r="D10" s="15">
        <v>66.98</v>
      </c>
      <c r="E10" s="15">
        <v>67.569999999999993</v>
      </c>
      <c r="F10" s="15">
        <v>67.209999999999994</v>
      </c>
      <c r="G10" s="16">
        <v>4.1660467192382259E-3</v>
      </c>
      <c r="H10" s="15" t="s">
        <v>974</v>
      </c>
      <c r="I10" s="15">
        <v>2.86</v>
      </c>
      <c r="J10" s="15">
        <v>11.44</v>
      </c>
      <c r="K10" s="15">
        <v>62.32</v>
      </c>
      <c r="L10" s="27" t="str">
        <f t="shared" si="0"/>
        <v>Link</v>
      </c>
    </row>
    <row r="11" spans="1:12" ht="20.100000000000001" customHeight="1" x14ac:dyDescent="0.25">
      <c r="A11" s="21" t="s">
        <v>51</v>
      </c>
      <c r="B11" t="s">
        <v>160</v>
      </c>
      <c r="C11" s="15">
        <v>36.08</v>
      </c>
      <c r="D11" s="15">
        <v>35.950000000000003</v>
      </c>
      <c r="E11" s="15">
        <v>36.33</v>
      </c>
      <c r="F11" s="15">
        <v>36.020000000000003</v>
      </c>
      <c r="G11" s="16">
        <v>1.6657412548582778E-3</v>
      </c>
      <c r="H11" s="15" t="s">
        <v>1014</v>
      </c>
      <c r="I11" s="15">
        <v>2.89</v>
      </c>
      <c r="J11" s="15">
        <v>17.5</v>
      </c>
      <c r="K11" s="15">
        <v>32.31</v>
      </c>
      <c r="L11" s="27" t="str">
        <f t="shared" si="0"/>
        <v>Link</v>
      </c>
    </row>
    <row r="12" spans="1:12" ht="20.100000000000001" customHeight="1" x14ac:dyDescent="0.25">
      <c r="A12" s="21" t="s">
        <v>98</v>
      </c>
      <c r="B12" t="s">
        <v>203</v>
      </c>
      <c r="C12" s="15">
        <v>87.42</v>
      </c>
      <c r="D12" s="15">
        <v>86.93</v>
      </c>
      <c r="E12" s="15">
        <v>87.58</v>
      </c>
      <c r="F12" s="15">
        <v>86.84</v>
      </c>
      <c r="G12" s="16">
        <v>6.6789497927222281E-3</v>
      </c>
      <c r="H12" s="15" t="s">
        <v>1000</v>
      </c>
      <c r="I12" s="15">
        <v>3.45</v>
      </c>
      <c r="J12" s="15">
        <v>34.72</v>
      </c>
      <c r="K12" s="15">
        <v>87.68</v>
      </c>
      <c r="L12" s="27" t="str">
        <f t="shared" si="0"/>
        <v>Link</v>
      </c>
    </row>
    <row r="13" spans="1:12" ht="20.100000000000001" customHeight="1" x14ac:dyDescent="0.25">
      <c r="A13" s="21" t="s">
        <v>92</v>
      </c>
      <c r="B13" t="s">
        <v>199</v>
      </c>
      <c r="C13" s="15">
        <v>106.93</v>
      </c>
      <c r="D13" s="15">
        <v>106.48</v>
      </c>
      <c r="E13" s="15">
        <v>107.72</v>
      </c>
      <c r="F13" s="15">
        <v>106.72</v>
      </c>
      <c r="G13" s="16">
        <v>1.9677661169416037E-3</v>
      </c>
      <c r="H13" s="15" t="s">
        <v>993</v>
      </c>
      <c r="I13" s="15">
        <v>2.4700000000000002</v>
      </c>
      <c r="J13" s="15">
        <v>12.61</v>
      </c>
      <c r="K13" s="15">
        <v>101.95</v>
      </c>
      <c r="L13" s="27" t="str">
        <f t="shared" si="0"/>
        <v>Link</v>
      </c>
    </row>
    <row r="14" spans="1:12" ht="20.100000000000001" customHeight="1" x14ac:dyDescent="0.25">
      <c r="A14" s="21" t="s">
        <v>88</v>
      </c>
      <c r="B14" t="s">
        <v>195</v>
      </c>
      <c r="C14" s="15">
        <v>136.61000000000001</v>
      </c>
      <c r="D14" s="15">
        <v>135.76</v>
      </c>
      <c r="E14" s="15">
        <v>136.78</v>
      </c>
      <c r="F14" s="15">
        <v>135.74</v>
      </c>
      <c r="G14" s="16">
        <v>6.4093119198467986E-3</v>
      </c>
      <c r="H14" s="15" t="s">
        <v>979</v>
      </c>
      <c r="I14" s="15">
        <v>1.84</v>
      </c>
      <c r="J14" s="15">
        <v>21.38</v>
      </c>
      <c r="K14" s="15">
        <v>133.54</v>
      </c>
      <c r="L14" s="27" t="str">
        <f t="shared" si="0"/>
        <v>Link</v>
      </c>
    </row>
    <row r="15" spans="1:12" ht="20.100000000000001" customHeight="1" x14ac:dyDescent="0.25">
      <c r="A15" s="21" t="s">
        <v>75</v>
      </c>
      <c r="B15" t="s">
        <v>182</v>
      </c>
      <c r="C15" s="15">
        <v>34.770000000000003</v>
      </c>
      <c r="D15" s="15">
        <v>34.61</v>
      </c>
      <c r="E15" s="15">
        <v>34.840000000000003</v>
      </c>
      <c r="F15" s="15">
        <v>34.68</v>
      </c>
      <c r="G15" s="16">
        <v>2.5951557093426589E-3</v>
      </c>
      <c r="H15" s="15" t="s">
        <v>968</v>
      </c>
      <c r="I15" s="15">
        <v>3.46</v>
      </c>
      <c r="J15" s="15">
        <v>30.82</v>
      </c>
      <c r="K15" s="15">
        <v>33.450000000000003</v>
      </c>
      <c r="L15" s="27" t="str">
        <f t="shared" si="0"/>
        <v>Link</v>
      </c>
    </row>
    <row r="16" spans="1:12" ht="20.100000000000001" customHeight="1" x14ac:dyDescent="0.25">
      <c r="A16" s="21" t="s">
        <v>76</v>
      </c>
      <c r="B16" t="s">
        <v>183</v>
      </c>
      <c r="C16" s="15">
        <v>88.2</v>
      </c>
      <c r="D16" s="15">
        <v>88.04</v>
      </c>
      <c r="E16" s="15">
        <v>88.87</v>
      </c>
      <c r="F16" s="15">
        <v>88.31</v>
      </c>
      <c r="G16" s="16">
        <v>-1.2456120484656259E-3</v>
      </c>
      <c r="H16" s="15" t="s">
        <v>980</v>
      </c>
      <c r="I16" s="15">
        <v>3.03</v>
      </c>
      <c r="J16" s="15">
        <v>23.88</v>
      </c>
      <c r="K16" s="15">
        <v>83.47</v>
      </c>
      <c r="L16" s="27" t="str">
        <f t="shared" si="0"/>
        <v>Link</v>
      </c>
    </row>
    <row r="17" spans="1:12" ht="20.100000000000001" customHeight="1" x14ac:dyDescent="0.25">
      <c r="A17" s="21" t="s">
        <v>97</v>
      </c>
      <c r="B17" t="s">
        <v>202</v>
      </c>
      <c r="C17" s="15">
        <v>72.5</v>
      </c>
      <c r="D17" s="15">
        <v>72.42</v>
      </c>
      <c r="E17" s="15">
        <v>73.19</v>
      </c>
      <c r="F17" s="15">
        <v>72.84</v>
      </c>
      <c r="G17" s="16">
        <v>-4.667764964305373E-3</v>
      </c>
      <c r="H17" s="15" t="s">
        <v>1019</v>
      </c>
      <c r="I17" s="15">
        <v>2.75</v>
      </c>
      <c r="J17" s="15">
        <v>15.61</v>
      </c>
      <c r="K17" s="15">
        <v>70.09</v>
      </c>
      <c r="L17" s="27" t="str">
        <f t="shared" si="0"/>
        <v>Link</v>
      </c>
    </row>
    <row r="18" spans="1:12" ht="20.100000000000001" customHeight="1" x14ac:dyDescent="0.25">
      <c r="A18" s="21" t="s">
        <v>59</v>
      </c>
      <c r="B18" t="s">
        <v>167</v>
      </c>
      <c r="C18" s="15">
        <v>115.83</v>
      </c>
      <c r="D18" s="15">
        <v>115.69</v>
      </c>
      <c r="E18" s="15">
        <v>116.11</v>
      </c>
      <c r="F18" s="15">
        <v>115.4</v>
      </c>
      <c r="G18" s="16">
        <v>3.7261698440207332E-3</v>
      </c>
      <c r="H18" s="15" t="s">
        <v>987</v>
      </c>
      <c r="I18" s="15">
        <v>3.08</v>
      </c>
      <c r="J18" s="15">
        <v>22.12</v>
      </c>
      <c r="K18" s="15">
        <v>122.34</v>
      </c>
      <c r="L18" s="27" t="str">
        <f t="shared" si="0"/>
        <v>Link</v>
      </c>
    </row>
    <row r="19" spans="1:12" ht="20.100000000000001" customHeight="1" x14ac:dyDescent="0.25">
      <c r="A19" s="21" t="s">
        <v>206</v>
      </c>
      <c r="B19" t="s">
        <v>207</v>
      </c>
      <c r="C19" s="15">
        <v>118.84</v>
      </c>
      <c r="D19" s="15">
        <v>118.06</v>
      </c>
      <c r="E19" s="15">
        <v>119.32</v>
      </c>
      <c r="F19" s="15">
        <v>118.35</v>
      </c>
      <c r="G19" s="16">
        <v>4.1402619349388183E-3</v>
      </c>
      <c r="H19" s="15" t="s">
        <v>972</v>
      </c>
      <c r="I19" s="15">
        <v>2.2599999999999998</v>
      </c>
      <c r="J19" s="15">
        <v>11.44</v>
      </c>
      <c r="K19" s="15">
        <v>114.37</v>
      </c>
      <c r="L19" s="27" t="str">
        <f t="shared" si="0"/>
        <v>Link</v>
      </c>
    </row>
    <row r="20" spans="1:12" ht="20.100000000000001" customHeight="1" x14ac:dyDescent="0.25">
      <c r="A20" s="21" t="s">
        <v>52</v>
      </c>
      <c r="B20" t="s">
        <v>161</v>
      </c>
      <c r="C20" s="15">
        <v>119.32</v>
      </c>
      <c r="D20" s="15">
        <v>118.9</v>
      </c>
      <c r="E20" s="15">
        <v>119.81</v>
      </c>
      <c r="F20" s="15">
        <v>119.08</v>
      </c>
      <c r="G20" s="16">
        <v>2.0154517971111429E-3</v>
      </c>
      <c r="H20" s="15" t="s">
        <v>971</v>
      </c>
      <c r="I20" s="15">
        <v>2.69</v>
      </c>
      <c r="J20" s="15">
        <v>22.24</v>
      </c>
      <c r="K20" s="15">
        <v>114.84</v>
      </c>
      <c r="L20" s="27" t="str">
        <f t="shared" si="0"/>
        <v>Link</v>
      </c>
    </row>
    <row r="21" spans="1:12" ht="20.100000000000001" customHeight="1" x14ac:dyDescent="0.25">
      <c r="A21" s="21" t="s">
        <v>54</v>
      </c>
      <c r="B21" t="s">
        <v>162</v>
      </c>
      <c r="C21" s="15">
        <v>43.66</v>
      </c>
      <c r="D21" s="15">
        <v>43.47</v>
      </c>
      <c r="E21" s="15">
        <v>43.83</v>
      </c>
      <c r="F21" s="15">
        <v>43.35</v>
      </c>
      <c r="G21" s="16">
        <v>7.1510957324105E-3</v>
      </c>
      <c r="H21" s="15" t="s">
        <v>1007</v>
      </c>
      <c r="I21" s="15">
        <v>3.23</v>
      </c>
      <c r="J21" s="15">
        <v>25.12</v>
      </c>
      <c r="K21" s="15">
        <v>44.8</v>
      </c>
      <c r="L21" s="27" t="str">
        <f t="shared" si="0"/>
        <v>Link</v>
      </c>
    </row>
    <row r="22" spans="1:12" ht="20.100000000000001" customHeight="1" x14ac:dyDescent="0.25">
      <c r="A22" s="21" t="s">
        <v>50</v>
      </c>
      <c r="B22" t="s">
        <v>159</v>
      </c>
      <c r="C22" s="15">
        <v>159.55000000000001</v>
      </c>
      <c r="D22" s="15">
        <v>159.15</v>
      </c>
      <c r="E22" s="15">
        <v>160.57</v>
      </c>
      <c r="F22" s="15">
        <v>159.54</v>
      </c>
      <c r="G22" s="16">
        <v>6.2680205591195479E-5</v>
      </c>
      <c r="H22" s="15" t="s">
        <v>981</v>
      </c>
      <c r="I22" s="15">
        <v>3.51</v>
      </c>
      <c r="J22" s="15">
        <v>12.97</v>
      </c>
      <c r="K22" s="15">
        <v>150.62</v>
      </c>
      <c r="L22" s="27" t="str">
        <f t="shared" si="0"/>
        <v>Link</v>
      </c>
    </row>
    <row r="23" spans="1:12" ht="20.100000000000001" customHeight="1" x14ac:dyDescent="0.25">
      <c r="A23" s="21" t="s">
        <v>41</v>
      </c>
      <c r="B23" t="s">
        <v>153</v>
      </c>
      <c r="C23" s="15">
        <v>31.29</v>
      </c>
      <c r="D23" s="15">
        <v>31.23</v>
      </c>
      <c r="E23" s="15">
        <v>31.45</v>
      </c>
      <c r="F23" s="15">
        <v>31.2</v>
      </c>
      <c r="G23" s="16">
        <v>2.88461538461538E-3</v>
      </c>
      <c r="H23" s="15" t="s">
        <v>1008</v>
      </c>
      <c r="I23" s="15">
        <v>2.95</v>
      </c>
      <c r="J23" s="15">
        <v>26.43</v>
      </c>
      <c r="K23" s="15">
        <v>30.76</v>
      </c>
      <c r="L23" s="27" t="str">
        <f t="shared" si="0"/>
        <v>Link</v>
      </c>
    </row>
    <row r="24" spans="1:12" ht="20.100000000000001" customHeight="1" x14ac:dyDescent="0.25">
      <c r="A24" s="21" t="s">
        <v>10</v>
      </c>
      <c r="B24" t="s">
        <v>127</v>
      </c>
      <c r="C24" s="15">
        <v>65.19</v>
      </c>
      <c r="D24" s="15">
        <v>64.86</v>
      </c>
      <c r="E24" s="15">
        <v>65.67</v>
      </c>
      <c r="F24" s="15">
        <v>64.86</v>
      </c>
      <c r="G24" s="16">
        <v>5.0878815911193078E-3</v>
      </c>
      <c r="H24" s="15" t="s">
        <v>984</v>
      </c>
      <c r="I24" s="15">
        <v>1.79</v>
      </c>
      <c r="J24" s="15">
        <v>11.53</v>
      </c>
      <c r="K24" s="15">
        <v>62.41</v>
      </c>
      <c r="L24" s="27" t="str">
        <f t="shared" si="0"/>
        <v>Link</v>
      </c>
    </row>
    <row r="25" spans="1:12" ht="20.100000000000001" customHeight="1" x14ac:dyDescent="0.25">
      <c r="A25" s="21" t="s">
        <v>24</v>
      </c>
      <c r="B25" t="s">
        <v>137</v>
      </c>
      <c r="C25" s="15">
        <v>31.83</v>
      </c>
      <c r="D25" s="15">
        <v>31.65</v>
      </c>
      <c r="E25" s="15">
        <v>31.95</v>
      </c>
      <c r="F25" s="15">
        <v>31.58</v>
      </c>
      <c r="G25" s="16">
        <v>7.9164027865737813E-3</v>
      </c>
      <c r="H25" s="15" t="s">
        <v>973</v>
      </c>
      <c r="I25" s="15">
        <v>3.29</v>
      </c>
      <c r="J25" s="15">
        <v>15.09</v>
      </c>
      <c r="K25" s="15">
        <v>28.67</v>
      </c>
      <c r="L25" s="27" t="str">
        <f t="shared" si="0"/>
        <v>Link</v>
      </c>
    </row>
    <row r="26" spans="1:12" ht="20.100000000000001" customHeight="1" x14ac:dyDescent="0.25">
      <c r="A26" s="21" t="s">
        <v>66</v>
      </c>
      <c r="B26" t="s">
        <v>174</v>
      </c>
      <c r="C26" s="15">
        <v>62.98</v>
      </c>
      <c r="D26" s="15">
        <v>62.59</v>
      </c>
      <c r="E26" s="15">
        <v>63.27</v>
      </c>
      <c r="F26" s="15">
        <v>62.9</v>
      </c>
      <c r="G26" s="16">
        <v>1.27186009538948E-3</v>
      </c>
      <c r="H26" s="15" t="s">
        <v>1010</v>
      </c>
      <c r="I26" s="15">
        <v>2.93</v>
      </c>
      <c r="J26" s="15">
        <v>34.549999999999997</v>
      </c>
      <c r="K26" s="15">
        <v>56.5</v>
      </c>
      <c r="L26" s="27" t="str">
        <f t="shared" si="0"/>
        <v>Link</v>
      </c>
    </row>
    <row r="27" spans="1:12" ht="20.100000000000001" customHeight="1" x14ac:dyDescent="0.25">
      <c r="A27" s="21" t="s">
        <v>18</v>
      </c>
      <c r="B27" t="s">
        <v>132</v>
      </c>
      <c r="C27" s="15">
        <v>81.69</v>
      </c>
      <c r="D27" s="15">
        <v>81.47</v>
      </c>
      <c r="E27" s="15">
        <v>82.36</v>
      </c>
      <c r="F27" s="15">
        <v>81.45</v>
      </c>
      <c r="G27" s="16">
        <v>2.9465930018415577E-3</v>
      </c>
      <c r="H27" s="15" t="s">
        <v>1005</v>
      </c>
      <c r="I27" s="15">
        <v>3.78</v>
      </c>
      <c r="J27" s="15">
        <v>54.46</v>
      </c>
      <c r="K27" s="15">
        <v>76.16</v>
      </c>
      <c r="L27" s="27" t="str">
        <f t="shared" si="0"/>
        <v>Link</v>
      </c>
    </row>
    <row r="28" spans="1:12" ht="20.100000000000001" customHeight="1" x14ac:dyDescent="0.25">
      <c r="A28" s="21" t="s">
        <v>94</v>
      </c>
      <c r="B28" t="s">
        <v>201</v>
      </c>
      <c r="C28" s="15">
        <v>52.88</v>
      </c>
      <c r="D28" s="15">
        <v>52.52</v>
      </c>
      <c r="E28" s="15">
        <v>53.14</v>
      </c>
      <c r="F28" s="15">
        <v>52.56</v>
      </c>
      <c r="G28" s="16">
        <v>6.0882800608828055E-3</v>
      </c>
      <c r="H28" s="15" t="s">
        <v>985</v>
      </c>
      <c r="I28" s="15">
        <v>4.3</v>
      </c>
      <c r="J28" s="15">
        <v>14.94</v>
      </c>
      <c r="K28" s="15">
        <v>52.72</v>
      </c>
      <c r="L28" s="27" t="str">
        <f t="shared" si="0"/>
        <v>Link</v>
      </c>
    </row>
    <row r="29" spans="1:12" ht="20.100000000000001" customHeight="1" x14ac:dyDescent="0.25">
      <c r="A29" s="21" t="s">
        <v>28</v>
      </c>
      <c r="B29" t="s">
        <v>141</v>
      </c>
      <c r="C29" s="15">
        <v>94.42</v>
      </c>
      <c r="D29" s="15">
        <v>94.13</v>
      </c>
      <c r="E29" s="15">
        <v>94.96</v>
      </c>
      <c r="F29" s="15">
        <v>94.26</v>
      </c>
      <c r="G29" s="16">
        <v>1.6974326331423359E-3</v>
      </c>
      <c r="H29" s="15" t="s">
        <v>1001</v>
      </c>
      <c r="I29" s="15">
        <v>1.51</v>
      </c>
      <c r="J29" s="15">
        <v>16.97</v>
      </c>
      <c r="K29" s="15">
        <v>98.43</v>
      </c>
      <c r="L29" s="27" t="str">
        <f t="shared" si="0"/>
        <v>Link</v>
      </c>
    </row>
    <row r="30" spans="1:12" ht="20.100000000000001" customHeight="1" x14ac:dyDescent="0.25">
      <c r="A30" s="21" t="s">
        <v>63</v>
      </c>
      <c r="B30" t="s">
        <v>171</v>
      </c>
      <c r="C30" s="15">
        <v>180.81</v>
      </c>
      <c r="D30" s="15">
        <v>180.09</v>
      </c>
      <c r="E30" s="15">
        <v>181.49</v>
      </c>
      <c r="F30" s="15">
        <v>179.98</v>
      </c>
      <c r="G30" s="16">
        <v>4.6116235137238165E-3</v>
      </c>
      <c r="H30" s="15" t="s">
        <v>998</v>
      </c>
      <c r="I30" s="15">
        <v>2.4700000000000002</v>
      </c>
      <c r="J30" s="15">
        <v>23.08</v>
      </c>
      <c r="K30" s="15">
        <v>170.23</v>
      </c>
      <c r="L30" s="27" t="str">
        <f t="shared" si="0"/>
        <v>Link</v>
      </c>
    </row>
    <row r="31" spans="1:12" ht="20.100000000000001" customHeight="1" x14ac:dyDescent="0.25">
      <c r="A31" s="21" t="s">
        <v>27</v>
      </c>
      <c r="B31" t="s">
        <v>140</v>
      </c>
      <c r="C31" s="15">
        <v>70.09</v>
      </c>
      <c r="D31" s="15">
        <v>69.63</v>
      </c>
      <c r="E31" s="15">
        <v>70.61</v>
      </c>
      <c r="F31" s="15">
        <v>69.73</v>
      </c>
      <c r="G31" s="16">
        <v>5.1627706869353139E-3</v>
      </c>
      <c r="H31" s="15" t="s">
        <v>983</v>
      </c>
      <c r="I31" s="15">
        <v>2.1800000000000002</v>
      </c>
      <c r="J31" s="15">
        <v>27.88</v>
      </c>
      <c r="K31" s="15">
        <v>65.72</v>
      </c>
      <c r="L31" s="27" t="str">
        <f t="shared" si="0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97"/>
  <sheetViews>
    <sheetView tabSelected="1" workbookViewId="0">
      <pane ySplit="1" topLeftCell="A35" activePane="bottomLeft" state="frozen"/>
      <selection pane="bottomLeft" activeCell="M2" sqref="M2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6.85546875" style="2" bestFit="1" customWidth="1"/>
    <col min="13" max="13" width="10.140625" style="2" customWidth="1"/>
    <col min="14" max="14" width="10.140625" style="2" bestFit="1" customWidth="1"/>
    <col min="15" max="15" width="10.140625" style="34" customWidth="1"/>
    <col min="16" max="16384" width="9.140625" style="7"/>
  </cols>
  <sheetData>
    <row r="1" spans="1:15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19" t="s">
        <v>1016</v>
      </c>
      <c r="M1" s="19" t="s">
        <v>965</v>
      </c>
      <c r="N1" s="19" t="s">
        <v>966</v>
      </c>
      <c r="O1" s="32" t="s">
        <v>1017</v>
      </c>
    </row>
    <row r="2" spans="1:15" ht="20.100000000000001" customHeight="1" x14ac:dyDescent="0.25">
      <c r="A2" s="21" t="s">
        <v>449</v>
      </c>
      <c r="B2" t="s">
        <v>820</v>
      </c>
      <c r="C2" s="15">
        <v>43.51</v>
      </c>
      <c r="D2" s="15">
        <v>43.16</v>
      </c>
      <c r="E2" s="15">
        <v>43.85</v>
      </c>
      <c r="F2" s="15">
        <v>43.35</v>
      </c>
      <c r="G2" s="16">
        <v>3.690888119953785E-3</v>
      </c>
      <c r="H2" s="15" t="s">
        <v>1179</v>
      </c>
      <c r="I2" s="15" t="s">
        <v>124</v>
      </c>
      <c r="J2" s="15">
        <v>39.06</v>
      </c>
      <c r="K2" s="15">
        <v>112.21</v>
      </c>
      <c r="L2" s="28" t="str">
        <f>HYPERLINK("http://finance.yahoo.com/q?s=" &amp; A2, "Link")</f>
        <v>Link</v>
      </c>
      <c r="M2" s="15">
        <f>K2*0.9</f>
        <v>100.98899999999999</v>
      </c>
      <c r="N2" s="15" t="str">
        <f>IF(M2&gt;C2, "Buy", "")</f>
        <v>Buy</v>
      </c>
      <c r="O2" s="33">
        <f>C2/K2</f>
        <v>0.38775510204081631</v>
      </c>
    </row>
    <row r="3" spans="1:15" ht="20.100000000000001" customHeight="1" x14ac:dyDescent="0.25">
      <c r="A3" s="21" t="s">
        <v>332</v>
      </c>
      <c r="B3" t="s">
        <v>1120</v>
      </c>
      <c r="C3" s="15">
        <v>12.34</v>
      </c>
      <c r="D3" s="15">
        <v>12.26</v>
      </c>
      <c r="E3" s="15">
        <v>12.7</v>
      </c>
      <c r="F3" s="15">
        <v>12.9</v>
      </c>
      <c r="G3" s="16">
        <v>-4.3410852713178329E-2</v>
      </c>
      <c r="H3" s="15" t="s">
        <v>1180</v>
      </c>
      <c r="I3" s="15" t="s">
        <v>124</v>
      </c>
      <c r="J3" s="15" t="s">
        <v>124</v>
      </c>
      <c r="K3" s="15">
        <v>18.399999999999999</v>
      </c>
      <c r="L3" s="28" t="str">
        <f>HYPERLINK("http://finance.yahoo.com/q?s=" &amp; A3, "Link")</f>
        <v>Link</v>
      </c>
      <c r="M3" s="15">
        <f>K3*0.9</f>
        <v>16.559999999999999</v>
      </c>
      <c r="N3" s="15" t="str">
        <f>IF(M3&gt;C3, "Buy", "")</f>
        <v>Buy</v>
      </c>
      <c r="O3" s="33">
        <f>C3/K3</f>
        <v>0.67065217391304355</v>
      </c>
    </row>
    <row r="4" spans="1:15" ht="20.100000000000001" customHeight="1" x14ac:dyDescent="0.25">
      <c r="A4" s="21" t="s">
        <v>431</v>
      </c>
      <c r="B4" t="s">
        <v>804</v>
      </c>
      <c r="C4" s="15">
        <v>46.08</v>
      </c>
      <c r="D4" s="15">
        <v>45.78</v>
      </c>
      <c r="E4" s="15">
        <v>48.53</v>
      </c>
      <c r="F4" s="15">
        <v>48.12</v>
      </c>
      <c r="G4" s="16">
        <v>-4.2394014962593499E-2</v>
      </c>
      <c r="H4" s="15" t="s">
        <v>1182</v>
      </c>
      <c r="I4" s="15" t="s">
        <v>124</v>
      </c>
      <c r="J4" s="15">
        <v>7.98</v>
      </c>
      <c r="K4" s="15">
        <v>64.67</v>
      </c>
      <c r="L4" s="28" t="str">
        <f>HYPERLINK("http://finance.yahoo.com/q?s=" &amp; A4, "Link")</f>
        <v>Link</v>
      </c>
      <c r="M4" s="15">
        <f>K4*0.9</f>
        <v>58.203000000000003</v>
      </c>
      <c r="N4" s="15" t="str">
        <f>IF(M4&gt;C4, "Buy", "")</f>
        <v>Buy</v>
      </c>
      <c r="O4" s="33">
        <f>C4/K4</f>
        <v>0.71254059069120146</v>
      </c>
    </row>
    <row r="5" spans="1:15" ht="20.100000000000001" customHeight="1" x14ac:dyDescent="0.25">
      <c r="A5" s="21" t="s">
        <v>595</v>
      </c>
      <c r="B5" t="s">
        <v>952</v>
      </c>
      <c r="C5" s="15">
        <v>6.94</v>
      </c>
      <c r="D5" s="15">
        <v>6.89</v>
      </c>
      <c r="E5" s="15">
        <v>6.98</v>
      </c>
      <c r="F5" s="15">
        <v>6.94</v>
      </c>
      <c r="G5" s="16">
        <v>0</v>
      </c>
      <c r="H5" s="15" t="s">
        <v>1181</v>
      </c>
      <c r="I5" s="15">
        <v>4.42</v>
      </c>
      <c r="J5" s="15">
        <v>11.64</v>
      </c>
      <c r="K5" s="15">
        <v>9.4499999999999993</v>
      </c>
      <c r="L5" s="28" t="str">
        <f>HYPERLINK("http://finance.yahoo.com/q?s=" &amp; A5, "Link")</f>
        <v>Link</v>
      </c>
      <c r="M5" s="15">
        <f>K5*0.9</f>
        <v>8.504999999999999</v>
      </c>
      <c r="N5" s="15" t="str">
        <f>IF(M5&gt;C5, "Buy", "")</f>
        <v>Buy</v>
      </c>
      <c r="O5" s="33">
        <f>C5/K5</f>
        <v>0.73439153439153448</v>
      </c>
    </row>
    <row r="6" spans="1:15" ht="20.100000000000001" customHeight="1" x14ac:dyDescent="0.25">
      <c r="A6" s="21" t="s">
        <v>537</v>
      </c>
      <c r="B6" t="s">
        <v>900</v>
      </c>
      <c r="C6" s="15">
        <v>9.41</v>
      </c>
      <c r="D6" s="15">
        <v>9.34</v>
      </c>
      <c r="E6" s="15">
        <v>9.58</v>
      </c>
      <c r="F6" s="15">
        <v>9.51</v>
      </c>
      <c r="G6" s="16">
        <v>-1.0515247108307008E-2</v>
      </c>
      <c r="H6" s="15" t="s">
        <v>1183</v>
      </c>
      <c r="I6" s="15">
        <v>0</v>
      </c>
      <c r="J6" s="15" t="s">
        <v>124</v>
      </c>
      <c r="K6" s="15">
        <v>12.51</v>
      </c>
      <c r="L6" s="28" t="str">
        <f>HYPERLINK("http://finance.yahoo.com/q?s=" &amp; A6, "Link")</f>
        <v>Link</v>
      </c>
      <c r="M6" s="15">
        <f>K6*0.9</f>
        <v>11.259</v>
      </c>
      <c r="N6" s="15" t="str">
        <f>IF(M6&gt;C6, "Buy", "")</f>
        <v>Buy</v>
      </c>
      <c r="O6" s="33">
        <f>C6/K6</f>
        <v>0.75219824140687452</v>
      </c>
    </row>
    <row r="7" spans="1:15" ht="20.100000000000001" customHeight="1" x14ac:dyDescent="0.25">
      <c r="A7" s="21" t="s">
        <v>568</v>
      </c>
      <c r="B7" t="s">
        <v>1118</v>
      </c>
      <c r="C7" s="15">
        <v>25.16</v>
      </c>
      <c r="D7" s="15">
        <v>24.9</v>
      </c>
      <c r="E7" s="15">
        <v>25.54</v>
      </c>
      <c r="F7" s="15">
        <v>25.26</v>
      </c>
      <c r="G7" s="16">
        <v>-3.9588281868567464E-3</v>
      </c>
      <c r="H7" s="15" t="s">
        <v>1188</v>
      </c>
      <c r="I7" s="15" t="s">
        <v>124</v>
      </c>
      <c r="J7" s="15">
        <v>55.91</v>
      </c>
      <c r="K7" s="15">
        <v>31.66</v>
      </c>
      <c r="L7" s="28" t="str">
        <f>HYPERLINK("http://finance.yahoo.com/q?s=" &amp; A7, "Link")</f>
        <v>Link</v>
      </c>
      <c r="M7" s="15">
        <f>K7*0.9</f>
        <v>28.494</v>
      </c>
      <c r="N7" s="15" t="str">
        <f>IF(M7&gt;C7, "Buy", "")</f>
        <v>Buy</v>
      </c>
      <c r="O7" s="33">
        <f>C7/K7</f>
        <v>0.79469361970941255</v>
      </c>
    </row>
    <row r="8" spans="1:15" ht="20.100000000000001" customHeight="1" x14ac:dyDescent="0.25">
      <c r="A8" s="21" t="s">
        <v>430</v>
      </c>
      <c r="B8" t="s">
        <v>803</v>
      </c>
      <c r="C8" s="15">
        <v>29.7</v>
      </c>
      <c r="D8" s="15">
        <v>29.46</v>
      </c>
      <c r="E8" s="15">
        <v>29.85</v>
      </c>
      <c r="F8" s="15">
        <v>29.45</v>
      </c>
      <c r="G8" s="16">
        <v>8.4889643463497456E-3</v>
      </c>
      <c r="H8" s="15" t="s">
        <v>1184</v>
      </c>
      <c r="I8" s="15">
        <v>5.08</v>
      </c>
      <c r="J8" s="15">
        <v>13.52</v>
      </c>
      <c r="K8" s="15">
        <v>37.07</v>
      </c>
      <c r="L8" s="28" t="str">
        <f>HYPERLINK("http://finance.yahoo.com/q?s=" &amp; A8, "Link")</f>
        <v>Link</v>
      </c>
      <c r="M8" s="15">
        <f>K8*0.9</f>
        <v>33.363</v>
      </c>
      <c r="N8" s="15" t="str">
        <f>IF(M8&gt;C8, "Buy", "")</f>
        <v>Buy</v>
      </c>
      <c r="O8" s="33">
        <f>C8/K8</f>
        <v>0.80118694362017806</v>
      </c>
    </row>
    <row r="9" spans="1:15" ht="20.100000000000001" customHeight="1" x14ac:dyDescent="0.25">
      <c r="A9" s="21" t="s">
        <v>572</v>
      </c>
      <c r="B9" t="s">
        <v>930</v>
      </c>
      <c r="C9" s="15">
        <v>26.26</v>
      </c>
      <c r="D9" s="15">
        <v>26.08</v>
      </c>
      <c r="E9" s="15">
        <v>26.52</v>
      </c>
      <c r="F9" s="15">
        <v>26.19</v>
      </c>
      <c r="G9" s="16">
        <v>2.6727758686521681E-3</v>
      </c>
      <c r="H9" s="15" t="s">
        <v>1185</v>
      </c>
      <c r="I9" s="15" t="s">
        <v>124</v>
      </c>
      <c r="J9" s="15">
        <v>13.65</v>
      </c>
      <c r="K9" s="15">
        <v>32.729999999999997</v>
      </c>
      <c r="L9" s="28" t="str">
        <f>HYPERLINK("http://finance.yahoo.com/q?s=" &amp; A9, "Link")</f>
        <v>Link</v>
      </c>
      <c r="M9" s="15">
        <f>K9*0.9</f>
        <v>29.456999999999997</v>
      </c>
      <c r="N9" s="15" t="str">
        <f>IF(M9&gt;C9, "Buy", "")</f>
        <v>Buy</v>
      </c>
      <c r="O9" s="33">
        <f>C9/K9</f>
        <v>0.80232202871982905</v>
      </c>
    </row>
    <row r="10" spans="1:15" ht="20.100000000000001" customHeight="1" x14ac:dyDescent="0.25">
      <c r="A10" s="21" t="s">
        <v>16</v>
      </c>
      <c r="B10" t="s">
        <v>131</v>
      </c>
      <c r="C10" s="15">
        <v>49.23</v>
      </c>
      <c r="D10" s="15">
        <v>48.92</v>
      </c>
      <c r="E10" s="15">
        <v>50.69</v>
      </c>
      <c r="F10" s="15">
        <v>55.49</v>
      </c>
      <c r="G10" s="16">
        <v>-0.11281311948098766</v>
      </c>
      <c r="H10" s="15" t="s">
        <v>1246</v>
      </c>
      <c r="I10" s="15">
        <v>2.78</v>
      </c>
      <c r="J10" s="15">
        <v>24.63</v>
      </c>
      <c r="K10" s="15">
        <v>59.73</v>
      </c>
      <c r="L10" s="28" t="str">
        <f>HYPERLINK("http://finance.yahoo.com/q?s=" &amp; A10, "Link")</f>
        <v>Link</v>
      </c>
      <c r="M10" s="15">
        <f>K10*0.9</f>
        <v>53.756999999999998</v>
      </c>
      <c r="N10" s="15" t="str">
        <f>IF(M10&gt;C10, "Buy", "")</f>
        <v>Buy</v>
      </c>
      <c r="O10" s="33">
        <f>C10/K10</f>
        <v>0.82420894023103963</v>
      </c>
    </row>
    <row r="11" spans="1:15" ht="20.100000000000001" customHeight="1" x14ac:dyDescent="0.25">
      <c r="A11" s="21" t="s">
        <v>552</v>
      </c>
      <c r="B11" t="s">
        <v>913</v>
      </c>
      <c r="C11" s="15">
        <v>18.100000000000001</v>
      </c>
      <c r="D11" s="15">
        <v>17.95</v>
      </c>
      <c r="E11" s="15">
        <v>18.27</v>
      </c>
      <c r="F11" s="15">
        <v>18.05</v>
      </c>
      <c r="G11" s="16">
        <v>2.7700831024931143E-3</v>
      </c>
      <c r="H11" s="15" t="s">
        <v>1186</v>
      </c>
      <c r="I11" s="15">
        <v>0</v>
      </c>
      <c r="J11" s="15" t="s">
        <v>124</v>
      </c>
      <c r="K11" s="15">
        <v>21.81</v>
      </c>
      <c r="L11" s="28" t="str">
        <f>HYPERLINK("http://finance.yahoo.com/q?s=" &amp; A11, "Link")</f>
        <v>Link</v>
      </c>
      <c r="M11" s="15">
        <f>K11*0.9</f>
        <v>19.628999999999998</v>
      </c>
      <c r="N11" s="15" t="str">
        <f>IF(M11&gt;C11, "Buy", "")</f>
        <v>Buy</v>
      </c>
      <c r="O11" s="33">
        <f>C11/K11</f>
        <v>0.82989454378725369</v>
      </c>
    </row>
    <row r="12" spans="1:15" ht="20.100000000000001" customHeight="1" x14ac:dyDescent="0.25">
      <c r="A12" s="21" t="s">
        <v>464</v>
      </c>
      <c r="B12" t="s">
        <v>988</v>
      </c>
      <c r="C12" s="15">
        <v>40.950000000000003</v>
      </c>
      <c r="D12" s="15">
        <v>40.880000000000003</v>
      </c>
      <c r="E12" s="15">
        <v>41.79</v>
      </c>
      <c r="F12" s="15">
        <v>41.45</v>
      </c>
      <c r="G12" s="16">
        <v>-1.2062726176115802E-2</v>
      </c>
      <c r="H12" s="15" t="s">
        <v>1193</v>
      </c>
      <c r="I12" s="15">
        <v>3.03</v>
      </c>
      <c r="J12" s="15">
        <v>25.17</v>
      </c>
      <c r="K12" s="15">
        <v>49.15</v>
      </c>
      <c r="L12" s="28" t="str">
        <f>HYPERLINK("http://finance.yahoo.com/q?s=" &amp; A12, "Link")</f>
        <v>Link</v>
      </c>
      <c r="M12" s="15">
        <f>K12*0.9</f>
        <v>44.234999999999999</v>
      </c>
      <c r="N12" s="15" t="str">
        <f>IF(M12&gt;C12, "Buy", "")</f>
        <v>Buy</v>
      </c>
      <c r="O12" s="33">
        <f>C12/K12</f>
        <v>0.83316378433367255</v>
      </c>
    </row>
    <row r="13" spans="1:15" ht="20.100000000000001" customHeight="1" x14ac:dyDescent="0.25">
      <c r="A13" s="21" t="s">
        <v>485</v>
      </c>
      <c r="B13" t="s">
        <v>852</v>
      </c>
      <c r="C13" s="15">
        <v>75.06</v>
      </c>
      <c r="D13" s="15">
        <v>74.77</v>
      </c>
      <c r="E13" s="15">
        <v>77.28</v>
      </c>
      <c r="F13" s="15">
        <v>76.47</v>
      </c>
      <c r="G13" s="16">
        <v>-1.8438603373872063E-2</v>
      </c>
      <c r="H13" s="15" t="s">
        <v>1195</v>
      </c>
      <c r="I13" s="15">
        <v>0.77</v>
      </c>
      <c r="J13" s="15" t="s">
        <v>124</v>
      </c>
      <c r="K13" s="15">
        <v>89.06</v>
      </c>
      <c r="L13" s="28" t="str">
        <f>HYPERLINK("http://finance.yahoo.com/q?s=" &amp; A13, "Link")</f>
        <v>Link</v>
      </c>
      <c r="M13" s="15">
        <f>K13*0.9</f>
        <v>80.154000000000011</v>
      </c>
      <c r="N13" s="15" t="str">
        <f>IF(M13&gt;C13, "Buy", "")</f>
        <v>Buy</v>
      </c>
      <c r="O13" s="33">
        <f>C13/K13</f>
        <v>0.84280260498540305</v>
      </c>
    </row>
    <row r="14" spans="1:15" ht="20.100000000000001" customHeight="1" x14ac:dyDescent="0.25">
      <c r="A14" s="21" t="s">
        <v>361</v>
      </c>
      <c r="B14" t="s">
        <v>739</v>
      </c>
      <c r="C14" s="15">
        <v>3.49</v>
      </c>
      <c r="D14" s="15">
        <v>3.41</v>
      </c>
      <c r="E14" s="15">
        <v>3.53</v>
      </c>
      <c r="F14" s="15">
        <v>3.48</v>
      </c>
      <c r="G14" s="16">
        <v>2.8735632183908709E-3</v>
      </c>
      <c r="H14" s="15" t="s">
        <v>1187</v>
      </c>
      <c r="I14" s="15">
        <v>12.03</v>
      </c>
      <c r="J14" s="15" t="s">
        <v>124</v>
      </c>
      <c r="K14" s="15">
        <v>4.1399999999999997</v>
      </c>
      <c r="L14" s="28" t="str">
        <f>HYPERLINK("http://finance.yahoo.com/q?s=" &amp; A14, "Link")</f>
        <v>Link</v>
      </c>
      <c r="M14" s="15">
        <f>K14*0.9</f>
        <v>3.726</v>
      </c>
      <c r="N14" s="15" t="str">
        <f>IF(M14&gt;C14, "Buy", "")</f>
        <v>Buy</v>
      </c>
      <c r="O14" s="33">
        <f>C14/K14</f>
        <v>0.84299516908212568</v>
      </c>
    </row>
    <row r="15" spans="1:15" ht="20.100000000000001" customHeight="1" x14ac:dyDescent="0.25">
      <c r="A15" s="21" t="s">
        <v>359</v>
      </c>
      <c r="B15" t="s">
        <v>737</v>
      </c>
      <c r="C15" s="15">
        <v>24.82</v>
      </c>
      <c r="D15" s="15">
        <v>24.62</v>
      </c>
      <c r="E15" s="15">
        <v>25.18</v>
      </c>
      <c r="F15" s="15">
        <v>24.56</v>
      </c>
      <c r="G15" s="16">
        <v>1.0586319218241106E-2</v>
      </c>
      <c r="H15" s="15" t="s">
        <v>1190</v>
      </c>
      <c r="I15" s="15" t="s">
        <v>124</v>
      </c>
      <c r="J15" s="15">
        <v>12.08</v>
      </c>
      <c r="K15" s="15">
        <v>29.39</v>
      </c>
      <c r="L15" s="28" t="str">
        <f>HYPERLINK("http://finance.yahoo.com/q?s=" &amp; A15, "Link")</f>
        <v>Link</v>
      </c>
      <c r="M15" s="15">
        <f>K15*0.9</f>
        <v>26.451000000000001</v>
      </c>
      <c r="N15" s="15" t="str">
        <f>IF(M15&gt;C15, "Buy", "")</f>
        <v>Buy</v>
      </c>
      <c r="O15" s="33">
        <f>C15/K15</f>
        <v>0.84450493365090162</v>
      </c>
    </row>
    <row r="16" spans="1:15" ht="20.100000000000001" customHeight="1" x14ac:dyDescent="0.25">
      <c r="A16" s="21" t="s">
        <v>415</v>
      </c>
      <c r="B16" t="s">
        <v>789</v>
      </c>
      <c r="C16" s="15">
        <v>61.34</v>
      </c>
      <c r="D16" s="15">
        <v>60.77</v>
      </c>
      <c r="E16" s="15">
        <v>61.58</v>
      </c>
      <c r="F16" s="15">
        <v>60.92</v>
      </c>
      <c r="G16" s="16">
        <v>6.8942875902823653E-3</v>
      </c>
      <c r="H16" s="15" t="s">
        <v>1191</v>
      </c>
      <c r="I16" s="15">
        <v>3.91</v>
      </c>
      <c r="J16" s="15">
        <v>15.44</v>
      </c>
      <c r="K16" s="15">
        <v>70.930000000000007</v>
      </c>
      <c r="L16" s="28" t="str">
        <f>HYPERLINK("http://finance.yahoo.com/q?s=" &amp; A16, "Link")</f>
        <v>Link</v>
      </c>
      <c r="M16" s="15">
        <f>K16*0.9</f>
        <v>63.83700000000001</v>
      </c>
      <c r="N16" s="15" t="str">
        <f>IF(M16&gt;C16, "Buy", "")</f>
        <v>Buy</v>
      </c>
      <c r="O16" s="33">
        <f>C16/K16</f>
        <v>0.86479627802058368</v>
      </c>
    </row>
    <row r="17" spans="1:15" ht="20.100000000000001" customHeight="1" x14ac:dyDescent="0.25">
      <c r="A17" s="21" t="s">
        <v>363</v>
      </c>
      <c r="B17" t="s">
        <v>741</v>
      </c>
      <c r="C17" s="15">
        <v>9.7200000000000006</v>
      </c>
      <c r="D17" s="15">
        <v>9.51</v>
      </c>
      <c r="E17" s="15">
        <v>9.74</v>
      </c>
      <c r="F17" s="15">
        <v>9.5500000000000007</v>
      </c>
      <c r="G17" s="16">
        <v>1.7801047120418838E-2</v>
      </c>
      <c r="H17" s="15" t="s">
        <v>1197</v>
      </c>
      <c r="I17" s="15">
        <v>6.58</v>
      </c>
      <c r="J17" s="15">
        <v>29.19</v>
      </c>
      <c r="K17" s="15">
        <v>11.09</v>
      </c>
      <c r="L17" s="28" t="str">
        <f>HYPERLINK("http://finance.yahoo.com/q?s=" &amp; A17, "Link")</f>
        <v>Link</v>
      </c>
      <c r="M17" s="15">
        <f>K17*0.9</f>
        <v>9.9809999999999999</v>
      </c>
      <c r="N17" s="15" t="str">
        <f>IF(M17&gt;C17, "Buy", "")</f>
        <v>Buy</v>
      </c>
      <c r="O17" s="33">
        <f>C17/K17</f>
        <v>0.8764652840396755</v>
      </c>
    </row>
    <row r="18" spans="1:15" ht="20.100000000000001" customHeight="1" x14ac:dyDescent="0.25">
      <c r="A18" s="21" t="s">
        <v>444</v>
      </c>
      <c r="B18" t="s">
        <v>815</v>
      </c>
      <c r="C18" s="15">
        <v>42.46</v>
      </c>
      <c r="D18" s="15">
        <v>41.65</v>
      </c>
      <c r="E18" s="15">
        <v>42.61</v>
      </c>
      <c r="F18" s="15">
        <v>42.03</v>
      </c>
      <c r="G18" s="16">
        <v>1.0230787532714721E-2</v>
      </c>
      <c r="H18" s="15" t="s">
        <v>1196</v>
      </c>
      <c r="I18" s="15" t="s">
        <v>124</v>
      </c>
      <c r="J18" s="15">
        <v>9.68</v>
      </c>
      <c r="K18" s="15">
        <v>48.28</v>
      </c>
      <c r="L18" s="28" t="str">
        <f>HYPERLINK("http://finance.yahoo.com/q?s=" &amp; A18, "Link")</f>
        <v>Link</v>
      </c>
      <c r="M18" s="15">
        <f>K18*0.9</f>
        <v>43.452000000000005</v>
      </c>
      <c r="N18" s="15" t="str">
        <f>IF(M18&gt;C18, "Buy", "")</f>
        <v>Buy</v>
      </c>
      <c r="O18" s="33">
        <f>C18/K18</f>
        <v>0.87945318972659481</v>
      </c>
    </row>
    <row r="19" spans="1:15" ht="20.100000000000001" customHeight="1" x14ac:dyDescent="0.25">
      <c r="A19" s="21" t="s">
        <v>362</v>
      </c>
      <c r="B19" t="s">
        <v>740</v>
      </c>
      <c r="C19" s="15">
        <v>23.58</v>
      </c>
      <c r="D19" s="15">
        <v>23.33</v>
      </c>
      <c r="E19" s="15">
        <v>23.63</v>
      </c>
      <c r="F19" s="15">
        <v>23.31</v>
      </c>
      <c r="G19" s="16">
        <v>1.1583011583011565E-2</v>
      </c>
      <c r="H19" s="15" t="s">
        <v>1189</v>
      </c>
      <c r="I19" s="15">
        <v>6.28</v>
      </c>
      <c r="J19" s="15">
        <v>6.27</v>
      </c>
      <c r="K19" s="15">
        <v>26.78</v>
      </c>
      <c r="L19" s="28" t="str">
        <f>HYPERLINK("http://finance.yahoo.com/q?s=" &amp; A19, "Link")</f>
        <v>Link</v>
      </c>
      <c r="M19" s="15">
        <f>K19*0.9</f>
        <v>24.102</v>
      </c>
      <c r="N19" s="15" t="str">
        <f>IF(M19&gt;C19, "Buy", "")</f>
        <v>Buy</v>
      </c>
      <c r="O19" s="33">
        <f>C19/K19</f>
        <v>0.88050784167289009</v>
      </c>
    </row>
    <row r="20" spans="1:15" ht="20.100000000000001" customHeight="1" x14ac:dyDescent="0.25">
      <c r="A20" s="21" t="s">
        <v>565</v>
      </c>
      <c r="B20" t="s">
        <v>925</v>
      </c>
      <c r="C20" s="15">
        <v>51.85</v>
      </c>
      <c r="D20" s="15">
        <v>51.26</v>
      </c>
      <c r="E20" s="15">
        <v>52.92</v>
      </c>
      <c r="F20" s="15">
        <v>52.16</v>
      </c>
      <c r="G20" s="16">
        <v>-5.9432515337422389E-3</v>
      </c>
      <c r="H20" s="15" t="s">
        <v>1161</v>
      </c>
      <c r="I20" s="15" t="s">
        <v>124</v>
      </c>
      <c r="J20" s="15">
        <v>62.32</v>
      </c>
      <c r="K20" s="15">
        <v>58.84</v>
      </c>
      <c r="L20" s="28" t="str">
        <f>HYPERLINK("http://finance.yahoo.com/q?s=" &amp; A20, "Link")</f>
        <v>Link</v>
      </c>
      <c r="M20" s="15">
        <f>K20*0.9</f>
        <v>52.956000000000003</v>
      </c>
      <c r="N20" s="15" t="str">
        <f>IF(M20&gt;C20, "Buy", "")</f>
        <v>Buy</v>
      </c>
      <c r="O20" s="33">
        <f>C20/K20</f>
        <v>0.88120326308633579</v>
      </c>
    </row>
    <row r="21" spans="1:15" ht="20.100000000000001" customHeight="1" x14ac:dyDescent="0.25">
      <c r="A21" s="21" t="s">
        <v>409</v>
      </c>
      <c r="B21" t="s">
        <v>784</v>
      </c>
      <c r="C21" s="15">
        <v>25.15</v>
      </c>
      <c r="D21" s="15">
        <v>24.89</v>
      </c>
      <c r="E21" s="15">
        <v>25.19</v>
      </c>
      <c r="F21" s="15">
        <v>24.98</v>
      </c>
      <c r="G21" s="16">
        <v>6.8054443554843138E-3</v>
      </c>
      <c r="H21" s="15" t="s">
        <v>1208</v>
      </c>
      <c r="I21" s="15">
        <v>4.29</v>
      </c>
      <c r="J21" s="15">
        <v>16.87</v>
      </c>
      <c r="K21" s="15">
        <v>28.29</v>
      </c>
      <c r="L21" s="28" t="str">
        <f>HYPERLINK("http://finance.yahoo.com/q?s=" &amp; A21, "Link")</f>
        <v>Link</v>
      </c>
      <c r="M21" s="15">
        <f>K21*0.9</f>
        <v>25.460999999999999</v>
      </c>
      <c r="N21" s="15" t="str">
        <f>IF(M21&gt;C21, "Buy", "")</f>
        <v>Buy</v>
      </c>
      <c r="O21" s="33">
        <f>C21/K21</f>
        <v>0.88900671615411808</v>
      </c>
    </row>
    <row r="22" spans="1:15" ht="20.100000000000001" customHeight="1" x14ac:dyDescent="0.25">
      <c r="A22" s="21" t="s">
        <v>492</v>
      </c>
      <c r="B22" t="s">
        <v>859</v>
      </c>
      <c r="C22" s="15">
        <v>88.9</v>
      </c>
      <c r="D22" s="15">
        <v>87.71</v>
      </c>
      <c r="E22" s="15">
        <v>89.46</v>
      </c>
      <c r="F22" s="15">
        <v>88.2</v>
      </c>
      <c r="G22" s="16">
        <v>7.936507936507969E-3</v>
      </c>
      <c r="H22" s="15" t="s">
        <v>1192</v>
      </c>
      <c r="I22" s="15">
        <v>2.25</v>
      </c>
      <c r="J22" s="15">
        <v>38.19</v>
      </c>
      <c r="K22" s="15">
        <v>99.91</v>
      </c>
      <c r="L22" s="28" t="str">
        <f>HYPERLINK("http://finance.yahoo.com/q?s=" &amp; A22, "Link")</f>
        <v>Link</v>
      </c>
      <c r="M22" s="15">
        <f>K22*0.9</f>
        <v>89.918999999999997</v>
      </c>
      <c r="N22" s="15" t="str">
        <f>IF(M22&gt;C22, "Buy", "")</f>
        <v>Buy</v>
      </c>
      <c r="O22" s="33">
        <f>C22/K22</f>
        <v>0.88980082073866484</v>
      </c>
    </row>
    <row r="23" spans="1:15" ht="20.100000000000001" customHeight="1" x14ac:dyDescent="0.25">
      <c r="A23" s="21" t="s">
        <v>85</v>
      </c>
      <c r="B23" t="s">
        <v>192</v>
      </c>
      <c r="C23" s="15">
        <v>64.099999999999994</v>
      </c>
      <c r="D23" s="15">
        <v>63.78</v>
      </c>
      <c r="E23" s="15">
        <v>65.41</v>
      </c>
      <c r="F23" s="15">
        <v>65.39</v>
      </c>
      <c r="G23" s="16">
        <v>-1.972778712341346E-2</v>
      </c>
      <c r="H23" s="15" t="s">
        <v>1288</v>
      </c>
      <c r="I23" s="15">
        <v>3.59</v>
      </c>
      <c r="J23" s="15">
        <v>11.41</v>
      </c>
      <c r="K23" s="15">
        <v>71.97</v>
      </c>
      <c r="L23" s="28" t="str">
        <f>HYPERLINK("http://finance.yahoo.com/q?s=" &amp; A23, "Link")</f>
        <v>Link</v>
      </c>
      <c r="M23" s="15">
        <f>K23*0.9</f>
        <v>64.772999999999996</v>
      </c>
      <c r="N23" s="15" t="str">
        <f>IF(M23&gt;C23, "Buy", "")</f>
        <v>Buy</v>
      </c>
      <c r="O23" s="33">
        <f>C23/K23</f>
        <v>0.89064888147839372</v>
      </c>
    </row>
    <row r="24" spans="1:15" ht="20.100000000000001" customHeight="1" x14ac:dyDescent="0.25">
      <c r="A24" s="21" t="s">
        <v>468</v>
      </c>
      <c r="B24" t="s">
        <v>835</v>
      </c>
      <c r="C24" s="15">
        <v>44.64</v>
      </c>
      <c r="D24" s="15">
        <v>42.97</v>
      </c>
      <c r="E24" s="15">
        <v>44.77</v>
      </c>
      <c r="F24" s="15">
        <v>42.93</v>
      </c>
      <c r="G24" s="16">
        <v>3.9832285115304004E-2</v>
      </c>
      <c r="H24" s="15" t="s">
        <v>1198</v>
      </c>
      <c r="I24" s="15">
        <v>3.32</v>
      </c>
      <c r="J24" s="15">
        <v>23.76</v>
      </c>
      <c r="K24" s="15">
        <v>50.04</v>
      </c>
      <c r="L24" s="28" t="str">
        <f>HYPERLINK("http://finance.yahoo.com/q?s=" &amp; A24, "Link")</f>
        <v>Link</v>
      </c>
      <c r="M24" s="15">
        <f>K24*0.9</f>
        <v>45.036000000000001</v>
      </c>
      <c r="N24" s="15" t="str">
        <f>IF(M24&gt;C24, "Buy", "")</f>
        <v>Buy</v>
      </c>
      <c r="O24" s="33">
        <f>C24/K24</f>
        <v>0.8920863309352518</v>
      </c>
    </row>
    <row r="25" spans="1:15" ht="20.100000000000001" customHeight="1" x14ac:dyDescent="0.25">
      <c r="A25" s="21" t="s">
        <v>412</v>
      </c>
      <c r="B25" t="s">
        <v>787</v>
      </c>
      <c r="C25" s="15">
        <v>40.53</v>
      </c>
      <c r="D25" s="15">
        <v>40.08</v>
      </c>
      <c r="E25" s="15">
        <v>40.92</v>
      </c>
      <c r="F25" s="15">
        <v>40.229999999999997</v>
      </c>
      <c r="G25" s="16">
        <v>7.4571215510813894E-3</v>
      </c>
      <c r="H25" s="15" t="s">
        <v>1142</v>
      </c>
      <c r="I25" s="15">
        <v>4.93</v>
      </c>
      <c r="J25" s="15">
        <v>12.33</v>
      </c>
      <c r="K25" s="15">
        <v>45.34</v>
      </c>
      <c r="L25" s="28" t="str">
        <f>HYPERLINK("http://finance.yahoo.com/q?s=" &amp; A25, "Link")</f>
        <v>Link</v>
      </c>
      <c r="M25" s="15">
        <f>K25*0.9</f>
        <v>40.806000000000004</v>
      </c>
      <c r="N25" s="15" t="str">
        <f>IF(M25&gt;C25, "Buy", "")</f>
        <v>Buy</v>
      </c>
      <c r="O25" s="33">
        <f>C25/K25</f>
        <v>0.89391265990295543</v>
      </c>
    </row>
    <row r="26" spans="1:15" ht="20.100000000000001" customHeight="1" x14ac:dyDescent="0.25">
      <c r="A26" s="21" t="s">
        <v>573</v>
      </c>
      <c r="B26" t="s">
        <v>931</v>
      </c>
      <c r="C26" s="15">
        <v>51.85</v>
      </c>
      <c r="D26" s="15">
        <v>51.56</v>
      </c>
      <c r="E26" s="15">
        <v>52.09</v>
      </c>
      <c r="F26" s="15">
        <v>51.49</v>
      </c>
      <c r="G26" s="16">
        <v>6.991648863857048E-3</v>
      </c>
      <c r="H26" s="15" t="s">
        <v>1203</v>
      </c>
      <c r="I26" s="15">
        <v>3.3</v>
      </c>
      <c r="J26" s="15">
        <v>19.68</v>
      </c>
      <c r="K26" s="15">
        <v>57.92</v>
      </c>
      <c r="L26" s="28" t="str">
        <f>HYPERLINK("http://finance.yahoo.com/q?s=" &amp; A26, "Link")</f>
        <v>Link</v>
      </c>
      <c r="M26" s="15">
        <f>K26*0.9</f>
        <v>52.128</v>
      </c>
      <c r="N26" s="15" t="str">
        <f>IF(M26&gt;C26, "Buy", "")</f>
        <v>Buy</v>
      </c>
      <c r="O26" s="33">
        <f>C26/K26</f>
        <v>0.89520027624309395</v>
      </c>
    </row>
    <row r="27" spans="1:15" ht="20.100000000000001" customHeight="1" x14ac:dyDescent="0.25">
      <c r="A27" s="21" t="s">
        <v>336</v>
      </c>
      <c r="B27" t="s">
        <v>715</v>
      </c>
      <c r="C27" s="15">
        <v>62.86</v>
      </c>
      <c r="D27" s="15">
        <v>61.84</v>
      </c>
      <c r="E27" s="15">
        <v>63.29</v>
      </c>
      <c r="F27" s="15">
        <v>62.49</v>
      </c>
      <c r="G27" s="16">
        <v>5.920947351576211E-3</v>
      </c>
      <c r="H27" s="15" t="s">
        <v>1201</v>
      </c>
      <c r="I27" s="15">
        <v>0.19</v>
      </c>
      <c r="J27" s="15" t="s">
        <v>124</v>
      </c>
      <c r="K27" s="15">
        <v>70.180000000000007</v>
      </c>
      <c r="L27" s="28" t="str">
        <f>HYPERLINK("http://finance.yahoo.com/q?s=" &amp; A27, "Link")</f>
        <v>Link</v>
      </c>
      <c r="M27" s="15">
        <f>K27*0.9</f>
        <v>63.162000000000006</v>
      </c>
      <c r="N27" s="15" t="str">
        <f>IF(M27&gt;C27, "Buy", "")</f>
        <v>Buy</v>
      </c>
      <c r="O27" s="33">
        <f>C27/K27</f>
        <v>0.89569677970931882</v>
      </c>
    </row>
    <row r="28" spans="1:15" ht="20.100000000000001" customHeight="1" x14ac:dyDescent="0.25">
      <c r="A28" s="21" t="s">
        <v>373</v>
      </c>
      <c r="B28" t="s">
        <v>750</v>
      </c>
      <c r="C28" s="15">
        <v>22.37</v>
      </c>
      <c r="D28" s="15">
        <v>22</v>
      </c>
      <c r="E28" s="15">
        <v>22.38</v>
      </c>
      <c r="F28" s="15">
        <v>22.08</v>
      </c>
      <c r="G28" s="16">
        <v>1.3134057971014615E-2</v>
      </c>
      <c r="H28" s="15" t="s">
        <v>1145</v>
      </c>
      <c r="I28" s="15">
        <v>1.97</v>
      </c>
      <c r="J28" s="15">
        <v>17.3</v>
      </c>
      <c r="K28" s="15">
        <v>24.96</v>
      </c>
      <c r="L28" s="28" t="str">
        <f>HYPERLINK("http://finance.yahoo.com/q?s=" &amp; A28, "Link")</f>
        <v>Link</v>
      </c>
      <c r="M28" s="15">
        <f>K28*0.9</f>
        <v>22.464000000000002</v>
      </c>
      <c r="N28" s="15" t="str">
        <f>IF(M28&gt;C28, "Buy", "")</f>
        <v>Buy</v>
      </c>
      <c r="O28" s="33">
        <f>C28/K28</f>
        <v>0.89623397435897434</v>
      </c>
    </row>
    <row r="29" spans="1:15" ht="20.100000000000001" customHeight="1" x14ac:dyDescent="0.25">
      <c r="A29" s="21" t="s">
        <v>504</v>
      </c>
      <c r="B29" t="s">
        <v>869</v>
      </c>
      <c r="C29" s="15">
        <v>92.82</v>
      </c>
      <c r="D29" s="15">
        <v>91.42</v>
      </c>
      <c r="E29" s="15">
        <v>93.21</v>
      </c>
      <c r="F29" s="15">
        <v>91.57</v>
      </c>
      <c r="G29" s="16">
        <v>1.3650758982199411E-2</v>
      </c>
      <c r="H29" s="15" t="s">
        <v>1194</v>
      </c>
      <c r="I29" s="15">
        <v>0.16</v>
      </c>
      <c r="J29" s="15">
        <v>12.99</v>
      </c>
      <c r="K29" s="15">
        <v>103.25</v>
      </c>
      <c r="L29" s="28" t="str">
        <f>HYPERLINK("http://finance.yahoo.com/q?s=" &amp; A29, "Link")</f>
        <v>Link</v>
      </c>
      <c r="M29" s="15">
        <f>K29*0.9</f>
        <v>92.924999999999997</v>
      </c>
      <c r="N29" s="15" t="str">
        <f>IF(M29&gt;C29, "Buy", "")</f>
        <v>Buy</v>
      </c>
      <c r="O29" s="33">
        <f>C29/K29</f>
        <v>0.89898305084745755</v>
      </c>
    </row>
    <row r="30" spans="1:15" ht="20.100000000000001" customHeight="1" x14ac:dyDescent="0.25">
      <c r="A30" s="21" t="s">
        <v>429</v>
      </c>
      <c r="B30" t="s">
        <v>802</v>
      </c>
      <c r="C30" s="15">
        <v>69.88</v>
      </c>
      <c r="D30" s="15">
        <v>68.52</v>
      </c>
      <c r="E30" s="15">
        <v>69.98</v>
      </c>
      <c r="F30" s="15">
        <v>69.2</v>
      </c>
      <c r="G30" s="16">
        <v>9.8265895953756153E-3</v>
      </c>
      <c r="H30" s="15" t="s">
        <v>1206</v>
      </c>
      <c r="I30" s="15">
        <v>4.0599999999999996</v>
      </c>
      <c r="J30" s="15">
        <v>11.71</v>
      </c>
      <c r="K30" s="15">
        <v>77.69</v>
      </c>
      <c r="L30" s="28" t="str">
        <f>HYPERLINK("http://finance.yahoo.com/q?s=" &amp; A30, "Link")</f>
        <v>Link</v>
      </c>
      <c r="M30" s="15">
        <f>K30*0.9</f>
        <v>69.921000000000006</v>
      </c>
      <c r="N30" s="15" t="str">
        <f>IF(M30&gt;C30, "Buy", "")</f>
        <v>Buy</v>
      </c>
      <c r="O30" s="33">
        <f>C30/K30</f>
        <v>0.89947226155232329</v>
      </c>
    </row>
    <row r="31" spans="1:15" ht="20.100000000000001" customHeight="1" x14ac:dyDescent="0.25">
      <c r="A31" s="21" t="s">
        <v>317</v>
      </c>
      <c r="B31" t="s">
        <v>697</v>
      </c>
      <c r="C31" s="15">
        <v>71</v>
      </c>
      <c r="D31" s="15">
        <v>69.87</v>
      </c>
      <c r="E31" s="15">
        <v>71.459999999999994</v>
      </c>
      <c r="F31" s="15">
        <v>71.010000000000005</v>
      </c>
      <c r="G31" s="16">
        <v>-1.4082523588234214E-4</v>
      </c>
      <c r="H31" s="15" t="s">
        <v>1224</v>
      </c>
      <c r="I31" s="15">
        <v>1.41</v>
      </c>
      <c r="J31" s="15">
        <v>16.649999999999999</v>
      </c>
      <c r="K31" s="15">
        <v>78.91</v>
      </c>
      <c r="L31" s="28" t="str">
        <f>HYPERLINK("http://finance.yahoo.com/q?s=" &amp; A31, "Link")</f>
        <v>Link</v>
      </c>
      <c r="M31" s="15">
        <f>K31*0.9</f>
        <v>71.019000000000005</v>
      </c>
      <c r="N31" s="15" t="str">
        <f>IF(M31&gt;C31, "Buy", "")</f>
        <v>Buy</v>
      </c>
      <c r="O31" s="33">
        <f>C31/K31</f>
        <v>0.8997592193638323</v>
      </c>
    </row>
    <row r="32" spans="1:15" ht="20.100000000000001" customHeight="1" x14ac:dyDescent="0.25">
      <c r="A32" s="21" t="s">
        <v>277</v>
      </c>
      <c r="B32" t="s">
        <v>666</v>
      </c>
      <c r="C32" s="15">
        <v>51.87</v>
      </c>
      <c r="D32" s="15">
        <v>50.83</v>
      </c>
      <c r="E32" s="15">
        <v>51.96</v>
      </c>
      <c r="F32" s="15">
        <v>51.64</v>
      </c>
      <c r="G32" s="16">
        <v>4.4539116963593509E-3</v>
      </c>
      <c r="H32" s="15" t="s">
        <v>1205</v>
      </c>
      <c r="I32" s="15" t="s">
        <v>124</v>
      </c>
      <c r="J32" s="15">
        <v>27.43</v>
      </c>
      <c r="K32" s="15">
        <v>57.38</v>
      </c>
      <c r="L32" s="28" t="str">
        <f>HYPERLINK("http://finance.yahoo.com/q?s=" &amp; A32, "Link")</f>
        <v>Link</v>
      </c>
      <c r="M32" s="15">
        <f>K32*0.9</f>
        <v>51.642000000000003</v>
      </c>
      <c r="N32" s="15" t="str">
        <f>IF(M32&gt;C32, "Buy", "")</f>
        <v/>
      </c>
      <c r="O32" s="33">
        <f>C32/K32</f>
        <v>0.90397350993377479</v>
      </c>
    </row>
    <row r="33" spans="1:15" ht="20.100000000000001" customHeight="1" x14ac:dyDescent="0.25">
      <c r="A33" s="21" t="s">
        <v>366</v>
      </c>
      <c r="B33" t="s">
        <v>744</v>
      </c>
      <c r="C33" s="15">
        <v>24.99</v>
      </c>
      <c r="D33" s="15">
        <v>24.35</v>
      </c>
      <c r="E33" s="15">
        <v>25</v>
      </c>
      <c r="F33" s="15">
        <v>24.63</v>
      </c>
      <c r="G33" s="16">
        <v>1.4616321559074276E-2</v>
      </c>
      <c r="H33" s="15" t="s">
        <v>1210</v>
      </c>
      <c r="I33" s="15">
        <v>3.52</v>
      </c>
      <c r="J33" s="15">
        <v>19.37</v>
      </c>
      <c r="K33" s="15">
        <v>27.61</v>
      </c>
      <c r="L33" s="28" t="str">
        <f>HYPERLINK("http://finance.yahoo.com/q?s=" &amp; A33, "Link")</f>
        <v>Link</v>
      </c>
      <c r="M33" s="15">
        <f>K33*0.9</f>
        <v>24.849</v>
      </c>
      <c r="N33" s="15" t="str">
        <f>IF(M33&gt;C33, "Buy", "")</f>
        <v/>
      </c>
      <c r="O33" s="33">
        <f>C33/K33</f>
        <v>0.90510684534588914</v>
      </c>
    </row>
    <row r="34" spans="1:15" ht="20.100000000000001" customHeight="1" x14ac:dyDescent="0.25">
      <c r="A34" s="21" t="s">
        <v>441</v>
      </c>
      <c r="B34" t="s">
        <v>812</v>
      </c>
      <c r="C34" s="15">
        <v>150.28</v>
      </c>
      <c r="D34" s="15">
        <v>147.5</v>
      </c>
      <c r="E34" s="15">
        <v>151.82</v>
      </c>
      <c r="F34" s="15">
        <v>147.29</v>
      </c>
      <c r="G34" s="16">
        <v>2.0300088261253374E-2</v>
      </c>
      <c r="H34" s="15" t="s">
        <v>1204</v>
      </c>
      <c r="I34" s="15">
        <v>0.75</v>
      </c>
      <c r="J34" s="15">
        <v>18.010000000000002</v>
      </c>
      <c r="K34" s="15">
        <v>165.91</v>
      </c>
      <c r="L34" s="28" t="str">
        <f>HYPERLINK("http://finance.yahoo.com/q?s=" &amp; A34, "Link")</f>
        <v>Link</v>
      </c>
      <c r="M34" s="15">
        <f>K34*0.9</f>
        <v>149.31899999999999</v>
      </c>
      <c r="N34" s="15" t="str">
        <f>IF(M34&gt;C34, "Buy", "")</f>
        <v/>
      </c>
      <c r="O34" s="33">
        <f>C34/K34</f>
        <v>0.9057922970285095</v>
      </c>
    </row>
    <row r="35" spans="1:15" ht="20.100000000000001" customHeight="1" x14ac:dyDescent="0.25">
      <c r="A35" s="21" t="s">
        <v>318</v>
      </c>
      <c r="B35" t="s">
        <v>698</v>
      </c>
      <c r="C35" s="15">
        <v>76.56</v>
      </c>
      <c r="D35" s="15">
        <v>75.599999999999994</v>
      </c>
      <c r="E35" s="15">
        <v>77.040000000000006</v>
      </c>
      <c r="F35" s="15">
        <v>76.260000000000005</v>
      </c>
      <c r="G35" s="16">
        <v>3.9339103068449666E-3</v>
      </c>
      <c r="H35" s="15" t="s">
        <v>1177</v>
      </c>
      <c r="I35" s="15" t="s">
        <v>124</v>
      </c>
      <c r="J35" s="15">
        <v>22.51</v>
      </c>
      <c r="K35" s="15">
        <v>84.49</v>
      </c>
      <c r="L35" s="28" t="str">
        <f>HYPERLINK("http://finance.yahoo.com/q?s=" &amp; A35, "Link")</f>
        <v>Link</v>
      </c>
      <c r="M35" s="15">
        <f>K35*0.9</f>
        <v>76.040999999999997</v>
      </c>
      <c r="N35" s="15" t="str">
        <f>IF(M35&gt;C35, "Buy", "")</f>
        <v/>
      </c>
      <c r="O35" s="33">
        <f>C35/K35</f>
        <v>0.90614273878565521</v>
      </c>
    </row>
    <row r="36" spans="1:15" ht="20.100000000000001" customHeight="1" x14ac:dyDescent="0.25">
      <c r="A36" s="21" t="s">
        <v>566</v>
      </c>
      <c r="B36" t="s">
        <v>926</v>
      </c>
      <c r="C36" s="15">
        <v>62.57</v>
      </c>
      <c r="D36" s="15">
        <v>61.87</v>
      </c>
      <c r="E36" s="15">
        <v>63.08</v>
      </c>
      <c r="F36" s="15">
        <v>62.34</v>
      </c>
      <c r="G36" s="16">
        <v>3.6894449791465651E-3</v>
      </c>
      <c r="H36" s="15" t="s">
        <v>1209</v>
      </c>
      <c r="I36" s="15">
        <v>1.44</v>
      </c>
      <c r="J36" s="15">
        <v>13.81</v>
      </c>
      <c r="K36" s="15">
        <v>69.010000000000005</v>
      </c>
      <c r="L36" s="28" t="str">
        <f>HYPERLINK("http://finance.yahoo.com/q?s=" &amp; A36, "Link")</f>
        <v>Link</v>
      </c>
      <c r="M36" s="15">
        <f>K36*0.9</f>
        <v>62.109000000000009</v>
      </c>
      <c r="N36" s="15" t="str">
        <f>IF(M36&gt;C36, "Buy", "")</f>
        <v/>
      </c>
      <c r="O36" s="33">
        <f>C36/K36</f>
        <v>0.90668019127662647</v>
      </c>
    </row>
    <row r="37" spans="1:15" ht="20.100000000000001" customHeight="1" x14ac:dyDescent="0.25">
      <c r="A37" s="21" t="s">
        <v>509</v>
      </c>
      <c r="B37" t="s">
        <v>873</v>
      </c>
      <c r="C37" s="15">
        <v>34.54</v>
      </c>
      <c r="D37" s="15">
        <v>34.299999999999997</v>
      </c>
      <c r="E37" s="15">
        <v>34.909999999999997</v>
      </c>
      <c r="F37" s="15">
        <v>34.47</v>
      </c>
      <c r="G37" s="16">
        <v>2.030751378009872E-3</v>
      </c>
      <c r="H37" s="15" t="s">
        <v>1202</v>
      </c>
      <c r="I37" s="15">
        <v>0.23</v>
      </c>
      <c r="J37" s="15" t="s">
        <v>124</v>
      </c>
      <c r="K37" s="15">
        <v>37.96</v>
      </c>
      <c r="L37" s="28" t="str">
        <f>HYPERLINK("http://finance.yahoo.com/q?s=" &amp; A37, "Link")</f>
        <v>Link</v>
      </c>
      <c r="M37" s="15">
        <f>K37*0.9</f>
        <v>34.164000000000001</v>
      </c>
      <c r="N37" s="15" t="str">
        <f>IF(M37&gt;C37, "Buy", "")</f>
        <v/>
      </c>
      <c r="O37" s="33">
        <f>C37/K37</f>
        <v>0.90990516332982085</v>
      </c>
    </row>
    <row r="38" spans="1:15" ht="20.100000000000001" customHeight="1" x14ac:dyDescent="0.25">
      <c r="A38" s="21" t="s">
        <v>480</v>
      </c>
      <c r="B38" t="s">
        <v>847</v>
      </c>
      <c r="C38" s="15">
        <v>40.840000000000003</v>
      </c>
      <c r="D38" s="15">
        <v>40.549999999999997</v>
      </c>
      <c r="E38" s="15">
        <v>40.93</v>
      </c>
      <c r="F38" s="15">
        <v>40.69</v>
      </c>
      <c r="G38" s="16">
        <v>3.6864094372082989E-3</v>
      </c>
      <c r="H38" s="15" t="s">
        <v>1215</v>
      </c>
      <c r="I38" s="15">
        <v>2.33</v>
      </c>
      <c r="J38" s="15">
        <v>18.96</v>
      </c>
      <c r="K38" s="15">
        <v>44.87</v>
      </c>
      <c r="L38" s="28" t="str">
        <f>HYPERLINK("http://finance.yahoo.com/q?s=" &amp; A38, "Link")</f>
        <v>Link</v>
      </c>
      <c r="M38" s="15">
        <f>K38*0.9</f>
        <v>40.382999999999996</v>
      </c>
      <c r="N38" s="15" t="str">
        <f>IF(M38&gt;C38, "Buy", "")</f>
        <v/>
      </c>
      <c r="O38" s="33">
        <f>C38/K38</f>
        <v>0.91018497882772464</v>
      </c>
    </row>
    <row r="39" spans="1:15" ht="20.100000000000001" customHeight="1" x14ac:dyDescent="0.25">
      <c r="A39" s="21" t="s">
        <v>61</v>
      </c>
      <c r="B39" t="s">
        <v>169</v>
      </c>
      <c r="C39" s="15">
        <v>74.989999999999995</v>
      </c>
      <c r="D39" s="15">
        <v>74.72</v>
      </c>
      <c r="E39" s="15">
        <v>75.680000000000007</v>
      </c>
      <c r="F39" s="15">
        <v>75.3</v>
      </c>
      <c r="G39" s="16">
        <v>-4.1168658698539484E-3</v>
      </c>
      <c r="H39" s="15" t="s">
        <v>1213</v>
      </c>
      <c r="I39" s="15">
        <v>2.29</v>
      </c>
      <c r="J39" s="15">
        <v>24.97</v>
      </c>
      <c r="K39" s="15">
        <v>82.31</v>
      </c>
      <c r="L39" s="28" t="str">
        <f>HYPERLINK("http://finance.yahoo.com/q?s=" &amp; A39, "Link")</f>
        <v>Link</v>
      </c>
      <c r="M39" s="15">
        <f>K39*0.9</f>
        <v>74.079000000000008</v>
      </c>
      <c r="N39" s="15" t="str">
        <f>IF(M39&gt;C39, "Buy", "")</f>
        <v/>
      </c>
      <c r="O39" s="33">
        <f>C39/K39</f>
        <v>0.91106791398372</v>
      </c>
    </row>
    <row r="40" spans="1:15" ht="20.100000000000001" customHeight="1" x14ac:dyDescent="0.25">
      <c r="A40" s="21" t="s">
        <v>395</v>
      </c>
      <c r="B40" t="s">
        <v>771</v>
      </c>
      <c r="C40" s="15">
        <v>118.13</v>
      </c>
      <c r="D40" s="15">
        <v>117.59</v>
      </c>
      <c r="E40" s="15">
        <v>119.44</v>
      </c>
      <c r="F40" s="15">
        <v>117.51</v>
      </c>
      <c r="G40" s="16">
        <v>5.2761467109181375E-3</v>
      </c>
      <c r="H40" s="15" t="s">
        <v>1211</v>
      </c>
      <c r="I40" s="15">
        <v>2.17</v>
      </c>
      <c r="J40" s="15">
        <v>23.5</v>
      </c>
      <c r="K40" s="15">
        <v>129.41999999999999</v>
      </c>
      <c r="L40" s="28" t="str">
        <f>HYPERLINK("http://finance.yahoo.com/q?s=" &amp; A40, "Link")</f>
        <v>Link</v>
      </c>
      <c r="M40" s="15">
        <f>K40*0.9</f>
        <v>116.47799999999999</v>
      </c>
      <c r="N40" s="15" t="str">
        <f>IF(M40&gt;C40, "Buy", "")</f>
        <v/>
      </c>
      <c r="O40" s="33">
        <f>C40/K40</f>
        <v>0.91276464225003873</v>
      </c>
    </row>
    <row r="41" spans="1:15" ht="20.100000000000001" customHeight="1" x14ac:dyDescent="0.25">
      <c r="A41" s="21" t="s">
        <v>352</v>
      </c>
      <c r="B41" t="s">
        <v>731</v>
      </c>
      <c r="C41" s="15">
        <v>30.04</v>
      </c>
      <c r="D41" s="15">
        <v>29.91</v>
      </c>
      <c r="E41" s="15">
        <v>30.52</v>
      </c>
      <c r="F41" s="15">
        <v>30.31</v>
      </c>
      <c r="G41" s="16">
        <v>-8.9079511712306034E-3</v>
      </c>
      <c r="H41" s="15" t="s">
        <v>1230</v>
      </c>
      <c r="I41" s="15">
        <v>4.79</v>
      </c>
      <c r="J41" s="15" t="s">
        <v>124</v>
      </c>
      <c r="K41" s="15">
        <v>32.89</v>
      </c>
      <c r="L41" s="28" t="str">
        <f>HYPERLINK("http://finance.yahoo.com/q?s=" &amp; A41, "Link")</f>
        <v>Link</v>
      </c>
      <c r="M41" s="15">
        <f>K41*0.9</f>
        <v>29.601000000000003</v>
      </c>
      <c r="N41" s="15" t="str">
        <f>IF(M41&gt;C41, "Buy", "")</f>
        <v/>
      </c>
      <c r="O41" s="33">
        <f>C41/K41</f>
        <v>0.91334752204317415</v>
      </c>
    </row>
    <row r="42" spans="1:15" ht="20.100000000000001" customHeight="1" x14ac:dyDescent="0.25">
      <c r="A42" s="21" t="s">
        <v>330</v>
      </c>
      <c r="B42" t="s">
        <v>710</v>
      </c>
      <c r="C42" s="15">
        <v>95.51</v>
      </c>
      <c r="D42" s="15">
        <v>95.02</v>
      </c>
      <c r="E42" s="15">
        <v>96.93</v>
      </c>
      <c r="F42" s="15">
        <v>96.29</v>
      </c>
      <c r="G42" s="16">
        <v>-8.1005296500155886E-3</v>
      </c>
      <c r="H42" s="15" t="s">
        <v>1174</v>
      </c>
      <c r="I42" s="15" t="s">
        <v>124</v>
      </c>
      <c r="J42" s="15">
        <v>37.75</v>
      </c>
      <c r="K42" s="15">
        <v>104.48</v>
      </c>
      <c r="L42" s="28" t="str">
        <f>HYPERLINK("http://finance.yahoo.com/q?s=" &amp; A42, "Link")</f>
        <v>Link</v>
      </c>
      <c r="M42" s="15">
        <f>K42*0.9</f>
        <v>94.032000000000011</v>
      </c>
      <c r="N42" s="15" t="str">
        <f>IF(M42&gt;C42, "Buy", "")</f>
        <v/>
      </c>
      <c r="O42" s="33">
        <f>C42/K42</f>
        <v>0.91414624808575806</v>
      </c>
    </row>
    <row r="43" spans="1:15" ht="20.100000000000001" customHeight="1" x14ac:dyDescent="0.25">
      <c r="A43" s="21" t="s">
        <v>454</v>
      </c>
      <c r="B43" t="s">
        <v>967</v>
      </c>
      <c r="C43" s="15">
        <v>37.07</v>
      </c>
      <c r="D43" s="15">
        <v>36.799999999999997</v>
      </c>
      <c r="E43" s="15">
        <v>37.35</v>
      </c>
      <c r="F43" s="15">
        <v>36.950000000000003</v>
      </c>
      <c r="G43" s="16">
        <v>3.2476319350472917E-3</v>
      </c>
      <c r="H43" s="15" t="s">
        <v>1207</v>
      </c>
      <c r="I43" s="15">
        <v>0</v>
      </c>
      <c r="J43" s="15">
        <v>74.290000000000006</v>
      </c>
      <c r="K43" s="15">
        <v>40.549999999999997</v>
      </c>
      <c r="L43" s="28" t="str">
        <f>HYPERLINK("http://finance.yahoo.com/q?s=" &amp; A43, "Link")</f>
        <v>Link</v>
      </c>
      <c r="M43" s="15">
        <f>K43*0.9</f>
        <v>36.494999999999997</v>
      </c>
      <c r="N43" s="15" t="str">
        <f>IF(M43&gt;C43, "Buy", "")</f>
        <v/>
      </c>
      <c r="O43" s="33">
        <f>C43/K43</f>
        <v>0.91418002466091253</v>
      </c>
    </row>
    <row r="44" spans="1:15" ht="20.100000000000001" customHeight="1" x14ac:dyDescent="0.25">
      <c r="A44" s="21" t="s">
        <v>576</v>
      </c>
      <c r="B44" t="s">
        <v>934</v>
      </c>
      <c r="C44" s="15">
        <v>61.9</v>
      </c>
      <c r="D44" s="15">
        <v>61.24</v>
      </c>
      <c r="E44" s="15">
        <v>62.11</v>
      </c>
      <c r="F44" s="15">
        <v>61.3</v>
      </c>
      <c r="G44" s="16">
        <v>9.7879282218597298E-3</v>
      </c>
      <c r="H44" s="15" t="s">
        <v>1212</v>
      </c>
      <c r="I44" s="15">
        <v>4.9800000000000004</v>
      </c>
      <c r="J44" s="15">
        <v>37.49</v>
      </c>
      <c r="K44" s="15">
        <v>67.7</v>
      </c>
      <c r="L44" s="28" t="str">
        <f>HYPERLINK("http://finance.yahoo.com/q?s=" &amp; A44, "Link")</f>
        <v>Link</v>
      </c>
      <c r="M44" s="15">
        <f>K44*0.9</f>
        <v>60.930000000000007</v>
      </c>
      <c r="N44" s="15" t="str">
        <f>IF(M44&gt;C44, "Buy", "")</f>
        <v/>
      </c>
      <c r="O44" s="33">
        <f>C44/K44</f>
        <v>0.91432791728212692</v>
      </c>
    </row>
    <row r="45" spans="1:15" ht="20.100000000000001" customHeight="1" x14ac:dyDescent="0.25">
      <c r="A45" s="21" t="s">
        <v>42</v>
      </c>
      <c r="B45" t="s">
        <v>154</v>
      </c>
      <c r="C45" s="15">
        <v>71.010000000000005</v>
      </c>
      <c r="D45" s="15">
        <v>70.58</v>
      </c>
      <c r="E45" s="15">
        <v>72</v>
      </c>
      <c r="F45" s="15">
        <v>71.569999999999993</v>
      </c>
      <c r="G45" s="16">
        <v>-7.8245074751989389E-3</v>
      </c>
      <c r="H45" s="15" t="s">
        <v>1237</v>
      </c>
      <c r="I45" s="15">
        <v>2.61</v>
      </c>
      <c r="J45" s="15">
        <v>6.57</v>
      </c>
      <c r="K45" s="15">
        <v>77.430000000000007</v>
      </c>
      <c r="L45" s="28" t="str">
        <f>HYPERLINK("http://finance.yahoo.com/q?s=" &amp; A45, "Link")</f>
        <v>Link</v>
      </c>
      <c r="M45" s="15">
        <f>K45*0.9</f>
        <v>69.687000000000012</v>
      </c>
      <c r="N45" s="15" t="str">
        <f>IF(M45&gt;C45, "Buy", "")</f>
        <v/>
      </c>
      <c r="O45" s="33">
        <f>C45/K45</f>
        <v>0.91708640061991475</v>
      </c>
    </row>
    <row r="46" spans="1:15" ht="20.100000000000001" customHeight="1" x14ac:dyDescent="0.25">
      <c r="A46" s="21" t="s">
        <v>351</v>
      </c>
      <c r="B46" t="s">
        <v>730</v>
      </c>
      <c r="C46" s="15">
        <v>34.75</v>
      </c>
      <c r="D46" s="15">
        <v>34.51</v>
      </c>
      <c r="E46" s="15">
        <v>35.24</v>
      </c>
      <c r="F46" s="15">
        <v>34.42</v>
      </c>
      <c r="G46" s="16">
        <v>9.5874491574665394E-3</v>
      </c>
      <c r="H46" s="15" t="s">
        <v>1221</v>
      </c>
      <c r="I46" s="15" t="s">
        <v>124</v>
      </c>
      <c r="J46" s="15">
        <v>7.1</v>
      </c>
      <c r="K46" s="15">
        <v>37.840000000000003</v>
      </c>
      <c r="L46" s="28" t="str">
        <f>HYPERLINK("http://finance.yahoo.com/q?s=" &amp; A46, "Link")</f>
        <v>Link</v>
      </c>
      <c r="M46" s="15">
        <f>K46*0.9</f>
        <v>34.056000000000004</v>
      </c>
      <c r="N46" s="15" t="str">
        <f>IF(M46&gt;C46, "Buy", "")</f>
        <v/>
      </c>
      <c r="O46" s="33">
        <f>C46/K46</f>
        <v>0.91834038054968281</v>
      </c>
    </row>
    <row r="47" spans="1:15" ht="20.100000000000001" customHeight="1" x14ac:dyDescent="0.25">
      <c r="A47" s="21" t="s">
        <v>83</v>
      </c>
      <c r="B47" t="s">
        <v>190</v>
      </c>
      <c r="C47" s="15">
        <v>184.53</v>
      </c>
      <c r="D47" s="15">
        <v>181.1</v>
      </c>
      <c r="E47" s="15">
        <v>185.04</v>
      </c>
      <c r="F47" s="15">
        <v>182.92</v>
      </c>
      <c r="G47" s="16">
        <v>8.80166192871208E-3</v>
      </c>
      <c r="H47" s="15" t="s">
        <v>1216</v>
      </c>
      <c r="I47" s="15">
        <v>3.58</v>
      </c>
      <c r="J47" s="15">
        <v>31.43</v>
      </c>
      <c r="K47" s="15">
        <v>200.56</v>
      </c>
      <c r="L47" s="28" t="str">
        <f>HYPERLINK("http://finance.yahoo.com/q?s=" &amp; A47, "Link")</f>
        <v>Link</v>
      </c>
      <c r="M47" s="15">
        <f>K47*0.9</f>
        <v>180.50400000000002</v>
      </c>
      <c r="N47" s="15" t="str">
        <f>IF(M47&gt;C47, "Buy", "")</f>
        <v/>
      </c>
      <c r="O47" s="33">
        <f>C47/K47</f>
        <v>0.92007379337854012</v>
      </c>
    </row>
    <row r="48" spans="1:15" ht="20.100000000000001" customHeight="1" x14ac:dyDescent="0.25">
      <c r="A48" s="21" t="s">
        <v>490</v>
      </c>
      <c r="B48" t="s">
        <v>857</v>
      </c>
      <c r="C48" s="15">
        <v>15.72</v>
      </c>
      <c r="D48" s="15">
        <v>15.59</v>
      </c>
      <c r="E48" s="15">
        <v>15.78</v>
      </c>
      <c r="F48" s="15">
        <v>15.67</v>
      </c>
      <c r="G48" s="16">
        <v>3.1908104658583732E-3</v>
      </c>
      <c r="H48" s="15" t="s">
        <v>1280</v>
      </c>
      <c r="I48" s="15">
        <v>4.63</v>
      </c>
      <c r="J48" s="15">
        <v>11.44</v>
      </c>
      <c r="K48" s="15">
        <v>17.079999999999998</v>
      </c>
      <c r="L48" s="28" t="str">
        <f>HYPERLINK("http://finance.yahoo.com/q?s=" &amp; A48, "Link")</f>
        <v>Link</v>
      </c>
      <c r="M48" s="15">
        <f>K48*0.9</f>
        <v>15.371999999999998</v>
      </c>
      <c r="N48" s="15" t="str">
        <f>IF(M48&gt;C48, "Buy", "")</f>
        <v/>
      </c>
      <c r="O48" s="33">
        <f>C48/K48</f>
        <v>0.9203747072599533</v>
      </c>
    </row>
    <row r="49" spans="1:15" ht="20.100000000000001" customHeight="1" x14ac:dyDescent="0.25">
      <c r="A49" s="21" t="s">
        <v>380</v>
      </c>
      <c r="B49" t="s">
        <v>757</v>
      </c>
      <c r="C49" s="15">
        <v>30.07</v>
      </c>
      <c r="D49" s="15">
        <v>29.87</v>
      </c>
      <c r="E49" s="15">
        <v>30.15</v>
      </c>
      <c r="F49" s="15">
        <v>29.96</v>
      </c>
      <c r="G49" s="16">
        <v>3.6715620827770168E-3</v>
      </c>
      <c r="H49" s="15" t="s">
        <v>1226</v>
      </c>
      <c r="I49" s="15">
        <v>4.92</v>
      </c>
      <c r="J49" s="15" t="s">
        <v>124</v>
      </c>
      <c r="K49" s="15">
        <v>32.590000000000003</v>
      </c>
      <c r="L49" s="28" t="str">
        <f>HYPERLINK("http://finance.yahoo.com/q?s=" &amp; A49, "Link")</f>
        <v>Link</v>
      </c>
      <c r="M49" s="15">
        <f>K49*0.9</f>
        <v>29.331000000000003</v>
      </c>
      <c r="N49" s="15" t="str">
        <f>IF(M49&gt;C49, "Buy", "")</f>
        <v/>
      </c>
      <c r="O49" s="33">
        <f>C49/K49</f>
        <v>0.92267566738263262</v>
      </c>
    </row>
    <row r="50" spans="1:15" ht="20.100000000000001" customHeight="1" x14ac:dyDescent="0.25">
      <c r="A50" s="21" t="s">
        <v>570</v>
      </c>
      <c r="B50" t="s">
        <v>928</v>
      </c>
      <c r="C50" s="15">
        <v>112.75</v>
      </c>
      <c r="D50" s="15">
        <v>111.78</v>
      </c>
      <c r="E50" s="15">
        <v>112.96</v>
      </c>
      <c r="F50" s="15">
        <v>111.75</v>
      </c>
      <c r="G50" s="16">
        <v>8.948545861297539E-3</v>
      </c>
      <c r="H50" s="15" t="s">
        <v>1219</v>
      </c>
      <c r="I50" s="15">
        <v>0.35</v>
      </c>
      <c r="J50" s="15">
        <v>15.88</v>
      </c>
      <c r="K50" s="15">
        <v>122.02</v>
      </c>
      <c r="L50" s="28" t="str">
        <f>HYPERLINK("http://finance.yahoo.com/q?s=" &amp; A50, "Link")</f>
        <v>Link</v>
      </c>
      <c r="M50" s="15">
        <f>K50*0.9</f>
        <v>109.818</v>
      </c>
      <c r="N50" s="15" t="str">
        <f>IF(M50&gt;C50, "Buy", "")</f>
        <v/>
      </c>
      <c r="O50" s="33">
        <f>C50/K50</f>
        <v>0.92402884772988036</v>
      </c>
    </row>
    <row r="51" spans="1:15" ht="20.100000000000001" customHeight="1" x14ac:dyDescent="0.25">
      <c r="A51" s="21" t="s">
        <v>459</v>
      </c>
      <c r="B51" t="s">
        <v>977</v>
      </c>
      <c r="C51" s="15">
        <v>46.08</v>
      </c>
      <c r="D51" s="15">
        <v>45.88</v>
      </c>
      <c r="E51" s="15">
        <v>46.72</v>
      </c>
      <c r="F51" s="15">
        <v>45.97</v>
      </c>
      <c r="G51" s="16">
        <v>2.3928649118990521E-3</v>
      </c>
      <c r="H51" s="15" t="s">
        <v>1245</v>
      </c>
      <c r="I51" s="15">
        <v>1.65</v>
      </c>
      <c r="J51" s="15">
        <v>44.91</v>
      </c>
      <c r="K51" s="15">
        <v>49.8</v>
      </c>
      <c r="L51" s="28" t="str">
        <f>HYPERLINK("http://finance.yahoo.com/q?s=" &amp; A51, "Link")</f>
        <v>Link</v>
      </c>
      <c r="M51" s="15">
        <f>K51*0.9</f>
        <v>44.82</v>
      </c>
      <c r="N51" s="15" t="str">
        <f>IF(M51&gt;C51, "Buy", "")</f>
        <v/>
      </c>
      <c r="O51" s="33">
        <f>C51/K51</f>
        <v>0.92530120481927713</v>
      </c>
    </row>
    <row r="52" spans="1:15" ht="20.100000000000001" customHeight="1" x14ac:dyDescent="0.25">
      <c r="A52" s="21" t="s">
        <v>341</v>
      </c>
      <c r="B52" t="s">
        <v>720</v>
      </c>
      <c r="C52" s="15">
        <v>79.63</v>
      </c>
      <c r="D52" s="15">
        <v>78.709999999999994</v>
      </c>
      <c r="E52" s="15">
        <v>79.790000000000006</v>
      </c>
      <c r="F52" s="15">
        <v>78.89</v>
      </c>
      <c r="G52" s="16">
        <v>9.3801495753580294E-3</v>
      </c>
      <c r="H52" s="15" t="s">
        <v>1217</v>
      </c>
      <c r="I52" s="15">
        <v>1.71</v>
      </c>
      <c r="J52" s="15">
        <v>27.19</v>
      </c>
      <c r="K52" s="15">
        <v>85.83</v>
      </c>
      <c r="L52" s="28" t="str">
        <f>HYPERLINK("http://finance.yahoo.com/q?s=" &amp; A52, "Link")</f>
        <v>Link</v>
      </c>
      <c r="M52" s="15">
        <f>K52*0.9</f>
        <v>77.247</v>
      </c>
      <c r="N52" s="15" t="str">
        <f>IF(M52&gt;C52, "Buy", "")</f>
        <v/>
      </c>
      <c r="O52" s="33">
        <f>C52/K52</f>
        <v>0.92776418501689384</v>
      </c>
    </row>
    <row r="53" spans="1:15" ht="20.100000000000001" customHeight="1" x14ac:dyDescent="0.25">
      <c r="A53" s="21" t="s">
        <v>337</v>
      </c>
      <c r="B53" t="s">
        <v>716</v>
      </c>
      <c r="C53" s="15">
        <v>118.08</v>
      </c>
      <c r="D53" s="15">
        <v>116.69</v>
      </c>
      <c r="E53" s="15">
        <v>120.09</v>
      </c>
      <c r="F53" s="15">
        <v>120.18</v>
      </c>
      <c r="G53" s="16">
        <v>-1.7473789316026032E-2</v>
      </c>
      <c r="H53" s="15" t="s">
        <v>1140</v>
      </c>
      <c r="I53" s="15">
        <v>1.1200000000000001</v>
      </c>
      <c r="J53" s="15">
        <v>29.89</v>
      </c>
      <c r="K53" s="15">
        <v>126.92</v>
      </c>
      <c r="L53" s="28" t="str">
        <f>HYPERLINK("http://finance.yahoo.com/q?s=" &amp; A53, "Link")</f>
        <v>Link</v>
      </c>
      <c r="M53" s="15">
        <f>K53*0.9</f>
        <v>114.22800000000001</v>
      </c>
      <c r="N53" s="15" t="str">
        <f>IF(M53&gt;C53, "Buy", "")</f>
        <v/>
      </c>
      <c r="O53" s="33">
        <f>C53/K53</f>
        <v>0.93034982666246457</v>
      </c>
    </row>
    <row r="54" spans="1:15" ht="20.100000000000001" customHeight="1" x14ac:dyDescent="0.25">
      <c r="A54" s="21" t="s">
        <v>461</v>
      </c>
      <c r="B54" t="s">
        <v>829</v>
      </c>
      <c r="C54" s="15">
        <v>35.04</v>
      </c>
      <c r="D54" s="15">
        <v>34.74</v>
      </c>
      <c r="E54" s="15">
        <v>35.39</v>
      </c>
      <c r="F54" s="15">
        <v>34.93</v>
      </c>
      <c r="G54" s="16">
        <v>3.1491554537646559E-3</v>
      </c>
      <c r="H54" s="15" t="s">
        <v>1214</v>
      </c>
      <c r="I54" s="15">
        <v>0.35</v>
      </c>
      <c r="J54" s="15" t="s">
        <v>124</v>
      </c>
      <c r="K54" s="15">
        <v>37.659999999999997</v>
      </c>
      <c r="L54" s="28" t="str">
        <f>HYPERLINK("http://finance.yahoo.com/q?s=" &amp; A54, "Link")</f>
        <v>Link</v>
      </c>
      <c r="M54" s="15">
        <f>K54*0.9</f>
        <v>33.893999999999998</v>
      </c>
      <c r="N54" s="15" t="str">
        <f>IF(M54&gt;C54, "Buy", "")</f>
        <v/>
      </c>
      <c r="O54" s="33">
        <f>C54/K54</f>
        <v>0.93043016463090822</v>
      </c>
    </row>
    <row r="55" spans="1:15" ht="20.100000000000001" customHeight="1" x14ac:dyDescent="0.25">
      <c r="A55" s="21" t="s">
        <v>291</v>
      </c>
      <c r="B55" t="s">
        <v>679</v>
      </c>
      <c r="C55" s="15">
        <v>35.31</v>
      </c>
      <c r="D55" s="15">
        <v>34.71</v>
      </c>
      <c r="E55" s="15">
        <v>35.340000000000003</v>
      </c>
      <c r="F55" s="15">
        <v>35.1</v>
      </c>
      <c r="G55" s="16">
        <v>5.9829059829060068E-3</v>
      </c>
      <c r="H55" s="15" t="s">
        <v>1223</v>
      </c>
      <c r="I55" s="15">
        <v>3.82</v>
      </c>
      <c r="J55" s="15">
        <v>20.53</v>
      </c>
      <c r="K55" s="15">
        <v>37.93</v>
      </c>
      <c r="L55" s="28" t="str">
        <f>HYPERLINK("http://finance.yahoo.com/q?s=" &amp; A55, "Link")</f>
        <v>Link</v>
      </c>
      <c r="M55" s="15">
        <f>K55*0.9</f>
        <v>34.137</v>
      </c>
      <c r="N55" s="15" t="str">
        <f>IF(M55&gt;C55, "Buy", "")</f>
        <v/>
      </c>
      <c r="O55" s="33">
        <f>C55/K55</f>
        <v>0.93092538887424214</v>
      </c>
    </row>
    <row r="56" spans="1:15" ht="20.100000000000001" customHeight="1" x14ac:dyDescent="0.25">
      <c r="A56" s="21" t="s">
        <v>299</v>
      </c>
      <c r="B56" t="s">
        <v>685</v>
      </c>
      <c r="C56" s="15">
        <v>150.08000000000001</v>
      </c>
      <c r="D56" s="15">
        <v>148.32</v>
      </c>
      <c r="E56" s="15">
        <v>150.34</v>
      </c>
      <c r="F56" s="15">
        <v>149.59</v>
      </c>
      <c r="G56" s="16">
        <v>3.2756200280768038E-3</v>
      </c>
      <c r="H56" s="15" t="s">
        <v>1225</v>
      </c>
      <c r="I56" s="15">
        <v>1.07</v>
      </c>
      <c r="J56" s="15">
        <v>23.23</v>
      </c>
      <c r="K56" s="15">
        <v>161.12</v>
      </c>
      <c r="L56" s="28" t="str">
        <f>HYPERLINK("http://finance.yahoo.com/q?s=" &amp; A56, "Link")</f>
        <v>Link</v>
      </c>
      <c r="M56" s="15">
        <f>K56*0.9</f>
        <v>145.00800000000001</v>
      </c>
      <c r="N56" s="15" t="str">
        <f>IF(M56&gt;C56, "Buy", "")</f>
        <v/>
      </c>
      <c r="O56" s="33">
        <f>C56/K56</f>
        <v>0.93147964250248272</v>
      </c>
    </row>
    <row r="57" spans="1:15" ht="20.100000000000001" customHeight="1" x14ac:dyDescent="0.25">
      <c r="A57" s="21" t="s">
        <v>253</v>
      </c>
      <c r="B57" t="s">
        <v>643</v>
      </c>
      <c r="C57" s="15">
        <v>40.68</v>
      </c>
      <c r="D57" s="15">
        <v>40.53</v>
      </c>
      <c r="E57" s="15">
        <v>41.24</v>
      </c>
      <c r="F57" s="15">
        <v>40.89</v>
      </c>
      <c r="G57" s="16">
        <v>-5.1357300073367777E-3</v>
      </c>
      <c r="H57" s="15" t="s">
        <v>1165</v>
      </c>
      <c r="I57" s="15">
        <v>1.23</v>
      </c>
      <c r="J57" s="15">
        <v>8.64</v>
      </c>
      <c r="K57" s="15">
        <v>43.66</v>
      </c>
      <c r="L57" s="28" t="str">
        <f>HYPERLINK("http://finance.yahoo.com/q?s=" &amp; A57, "Link")</f>
        <v>Link</v>
      </c>
      <c r="M57" s="15">
        <f>K57*0.9</f>
        <v>39.293999999999997</v>
      </c>
      <c r="N57" s="15" t="str">
        <f>IF(M57&gt;C57, "Buy", "")</f>
        <v/>
      </c>
      <c r="O57" s="33">
        <f>C57/K57</f>
        <v>0.93174530462666061</v>
      </c>
    </row>
    <row r="58" spans="1:15" ht="20.100000000000001" customHeight="1" x14ac:dyDescent="0.25">
      <c r="A58" s="21" t="s">
        <v>578</v>
      </c>
      <c r="B58" t="s">
        <v>936</v>
      </c>
      <c r="C58" s="15">
        <v>81.37</v>
      </c>
      <c r="D58" s="15">
        <v>80.89</v>
      </c>
      <c r="E58" s="15">
        <v>82.46</v>
      </c>
      <c r="F58" s="15">
        <v>80.91</v>
      </c>
      <c r="G58" s="16">
        <v>5.6853293783216902E-3</v>
      </c>
      <c r="H58" s="15" t="s">
        <v>1254</v>
      </c>
      <c r="I58" s="15" t="s">
        <v>124</v>
      </c>
      <c r="J58" s="15" t="s">
        <v>124</v>
      </c>
      <c r="K58" s="15">
        <v>87.31</v>
      </c>
      <c r="L58" s="28" t="str">
        <f>HYPERLINK("http://finance.yahoo.com/q?s=" &amp; A58, "Link")</f>
        <v>Link</v>
      </c>
      <c r="M58" s="15">
        <f>K58*0.9</f>
        <v>78.579000000000008</v>
      </c>
      <c r="N58" s="15" t="str">
        <f>IF(M58&gt;C58, "Buy", "")</f>
        <v/>
      </c>
      <c r="O58" s="33">
        <f>C58/K58</f>
        <v>0.93196655595006306</v>
      </c>
    </row>
    <row r="59" spans="1:15" ht="20.100000000000001" customHeight="1" x14ac:dyDescent="0.25">
      <c r="A59" s="21" t="s">
        <v>405</v>
      </c>
      <c r="B59" t="s">
        <v>780</v>
      </c>
      <c r="C59" s="15">
        <v>72.209999999999994</v>
      </c>
      <c r="D59" s="15">
        <v>71.77</v>
      </c>
      <c r="E59" s="15">
        <v>72.650000000000006</v>
      </c>
      <c r="F59" s="15">
        <v>71.78</v>
      </c>
      <c r="G59" s="16">
        <v>5.990526609083207E-3</v>
      </c>
      <c r="H59" s="15" t="s">
        <v>1218</v>
      </c>
      <c r="I59" s="15">
        <v>2.88</v>
      </c>
      <c r="J59" s="15">
        <v>36.340000000000003</v>
      </c>
      <c r="K59" s="15">
        <v>77.47</v>
      </c>
      <c r="L59" s="28" t="str">
        <f>HYPERLINK("http://finance.yahoo.com/q?s=" &amp; A59, "Link")</f>
        <v>Link</v>
      </c>
      <c r="M59" s="15">
        <f>K59*0.9</f>
        <v>69.722999999999999</v>
      </c>
      <c r="N59" s="15" t="str">
        <f>IF(M59&gt;C59, "Buy", "")</f>
        <v/>
      </c>
      <c r="O59" s="33">
        <f>C59/K59</f>
        <v>0.93210274945140048</v>
      </c>
    </row>
    <row r="60" spans="1:15" ht="20.100000000000001" customHeight="1" x14ac:dyDescent="0.25">
      <c r="A60" s="21" t="s">
        <v>512</v>
      </c>
      <c r="B60" t="s">
        <v>876</v>
      </c>
      <c r="C60" s="15">
        <v>362.56</v>
      </c>
      <c r="D60" s="15">
        <v>362.07</v>
      </c>
      <c r="E60" s="15">
        <v>369.75</v>
      </c>
      <c r="F60" s="15">
        <v>363.41</v>
      </c>
      <c r="G60" s="16">
        <v>-2.3389560001101308E-3</v>
      </c>
      <c r="H60" s="15" t="s">
        <v>1252</v>
      </c>
      <c r="I60" s="15" t="s">
        <v>124</v>
      </c>
      <c r="J60" s="15">
        <v>52.87</v>
      </c>
      <c r="K60" s="15">
        <v>388.86</v>
      </c>
      <c r="L60" s="28" t="str">
        <f>HYPERLINK("http://finance.yahoo.com/q?s=" &amp; A60, "Link")</f>
        <v>Link</v>
      </c>
      <c r="M60" s="15">
        <f>K60*0.9</f>
        <v>349.97400000000005</v>
      </c>
      <c r="N60" s="15" t="str">
        <f>IF(M60&gt;C60, "Buy", "")</f>
        <v/>
      </c>
      <c r="O60" s="33">
        <f>C60/K60</f>
        <v>0.93236640436146678</v>
      </c>
    </row>
    <row r="61" spans="1:15" ht="20.100000000000001" customHeight="1" x14ac:dyDescent="0.25">
      <c r="A61" s="21" t="s">
        <v>25</v>
      </c>
      <c r="B61" t="s">
        <v>138</v>
      </c>
      <c r="C61" s="15">
        <v>81.56</v>
      </c>
      <c r="D61" s="15">
        <v>81.31</v>
      </c>
      <c r="E61" s="15">
        <v>83.43</v>
      </c>
      <c r="F61" s="15">
        <v>82.7</v>
      </c>
      <c r="G61" s="16">
        <v>-1.378476420798066E-2</v>
      </c>
      <c r="H61" s="15" t="s">
        <v>1238</v>
      </c>
      <c r="I61" s="15">
        <v>2.39</v>
      </c>
      <c r="J61" s="15">
        <v>17.48</v>
      </c>
      <c r="K61" s="15">
        <v>87.47</v>
      </c>
      <c r="L61" s="28" t="str">
        <f>HYPERLINK("http://finance.yahoo.com/q?s=" &amp; A61, "Link")</f>
        <v>Link</v>
      </c>
      <c r="M61" s="15">
        <f>K61*0.9</f>
        <v>78.722999999999999</v>
      </c>
      <c r="N61" s="15" t="str">
        <f>IF(M61&gt;C61, "Buy", "")</f>
        <v/>
      </c>
      <c r="O61" s="33">
        <f>C61/K61</f>
        <v>0.93243397736366762</v>
      </c>
    </row>
    <row r="62" spans="1:15" ht="20.100000000000001" customHeight="1" x14ac:dyDescent="0.25">
      <c r="A62" s="21" t="s">
        <v>311</v>
      </c>
      <c r="B62" t="s">
        <v>994</v>
      </c>
      <c r="C62" s="15">
        <v>56.01</v>
      </c>
      <c r="D62" s="15">
        <v>55</v>
      </c>
      <c r="E62" s="15">
        <v>56.03</v>
      </c>
      <c r="F62" s="15">
        <v>55.67</v>
      </c>
      <c r="G62" s="16">
        <v>6.1074187174420024E-3</v>
      </c>
      <c r="H62" s="15" t="s">
        <v>1266</v>
      </c>
      <c r="I62" s="15">
        <v>0.55000000000000004</v>
      </c>
      <c r="J62" s="15">
        <v>29.26</v>
      </c>
      <c r="K62" s="15">
        <v>60.01</v>
      </c>
      <c r="L62" s="28" t="str">
        <f>HYPERLINK("http://finance.yahoo.com/q?s=" &amp; A62, "Link")</f>
        <v>Link</v>
      </c>
      <c r="M62" s="15">
        <f>K62*0.9</f>
        <v>54.009</v>
      </c>
      <c r="N62" s="15" t="str">
        <f>IF(M62&gt;C62, "Buy", "")</f>
        <v/>
      </c>
      <c r="O62" s="33">
        <f>C62/K62</f>
        <v>0.93334444259290117</v>
      </c>
    </row>
    <row r="63" spans="1:15" ht="20.100000000000001" customHeight="1" x14ac:dyDescent="0.25">
      <c r="A63" s="21" t="s">
        <v>265</v>
      </c>
      <c r="B63" t="s">
        <v>654</v>
      </c>
      <c r="C63" s="15">
        <v>22.13</v>
      </c>
      <c r="D63" s="15">
        <v>22.06</v>
      </c>
      <c r="E63" s="15">
        <v>22.73</v>
      </c>
      <c r="F63" s="15">
        <v>22.48</v>
      </c>
      <c r="G63" s="16">
        <v>-1.5569395017793657E-2</v>
      </c>
      <c r="H63" s="15" t="s">
        <v>1222</v>
      </c>
      <c r="I63" s="15">
        <v>0.37</v>
      </c>
      <c r="J63" s="15" t="s">
        <v>124</v>
      </c>
      <c r="K63" s="15">
        <v>23.71</v>
      </c>
      <c r="L63" s="28" t="str">
        <f>HYPERLINK("http://finance.yahoo.com/q?s=" &amp; A63, "Link")</f>
        <v>Link</v>
      </c>
      <c r="M63" s="15">
        <f>K63*0.9</f>
        <v>21.339000000000002</v>
      </c>
      <c r="N63" s="15" t="str">
        <f>IF(M63&gt;C63, "Buy", "")</f>
        <v/>
      </c>
      <c r="O63" s="33">
        <f>C63/K63</f>
        <v>0.93336145086461397</v>
      </c>
    </row>
    <row r="64" spans="1:15" ht="20.100000000000001" customHeight="1" x14ac:dyDescent="0.25">
      <c r="A64" s="21" t="s">
        <v>369</v>
      </c>
      <c r="B64" t="s">
        <v>747</v>
      </c>
      <c r="C64" s="15">
        <v>3.8</v>
      </c>
      <c r="D64" s="15">
        <v>3.75</v>
      </c>
      <c r="E64" s="15">
        <v>3.87</v>
      </c>
      <c r="F64" s="15">
        <v>3.84</v>
      </c>
      <c r="G64" s="16">
        <v>-1.0416666666666676E-2</v>
      </c>
      <c r="H64" s="15" t="s">
        <v>1257</v>
      </c>
      <c r="I64" s="15">
        <v>0</v>
      </c>
      <c r="J64" s="15" t="s">
        <v>124</v>
      </c>
      <c r="K64" s="15">
        <v>4.07</v>
      </c>
      <c r="L64" s="28" t="str">
        <f>HYPERLINK("http://finance.yahoo.com/q?s=" &amp; A64, "Link")</f>
        <v>Link</v>
      </c>
      <c r="M64" s="15">
        <f>K64*0.9</f>
        <v>3.6630000000000003</v>
      </c>
      <c r="N64" s="15" t="str">
        <f>IF(M64&gt;C64, "Buy", "")</f>
        <v/>
      </c>
      <c r="O64" s="33">
        <f>C64/K64</f>
        <v>0.9336609336609335</v>
      </c>
    </row>
    <row r="65" spans="1:15" ht="20.100000000000001" customHeight="1" x14ac:dyDescent="0.25">
      <c r="A65" s="21" t="s">
        <v>391</v>
      </c>
      <c r="B65" t="s">
        <v>767</v>
      </c>
      <c r="C65" s="15">
        <v>69.66</v>
      </c>
      <c r="D65" s="15" t="s">
        <v>124</v>
      </c>
      <c r="E65" s="15" t="s">
        <v>124</v>
      </c>
      <c r="F65" s="15">
        <v>69.66</v>
      </c>
      <c r="G65" s="16">
        <v>0</v>
      </c>
      <c r="H65" s="15" t="s">
        <v>124</v>
      </c>
      <c r="I65" s="15" t="s">
        <v>124</v>
      </c>
      <c r="J65" s="15" t="s">
        <v>124</v>
      </c>
      <c r="K65" s="15">
        <v>74.45</v>
      </c>
      <c r="L65" s="28" t="str">
        <f>HYPERLINK("http://finance.yahoo.com/q?s=" &amp; A65, "Link")</f>
        <v>Link</v>
      </c>
      <c r="M65" s="15">
        <f>K65*0.9</f>
        <v>67.00500000000001</v>
      </c>
      <c r="N65" s="15" t="str">
        <f>IF(M65&gt;C65, "Buy", "")</f>
        <v/>
      </c>
      <c r="O65" s="33">
        <f>C65/K65</f>
        <v>0.93566151779717921</v>
      </c>
    </row>
    <row r="66" spans="1:15" ht="20.100000000000001" customHeight="1" x14ac:dyDescent="0.25">
      <c r="A66" s="21" t="s">
        <v>292</v>
      </c>
      <c r="B66" t="s">
        <v>995</v>
      </c>
      <c r="C66" s="15">
        <v>34.03</v>
      </c>
      <c r="D66" s="15">
        <v>33.69</v>
      </c>
      <c r="E66" s="15">
        <v>34.11</v>
      </c>
      <c r="F66" s="15">
        <v>33.86</v>
      </c>
      <c r="G66" s="16">
        <v>5.0206733608978652E-3</v>
      </c>
      <c r="H66" s="15" t="s">
        <v>1199</v>
      </c>
      <c r="I66" s="15">
        <v>3.42</v>
      </c>
      <c r="J66" s="15">
        <v>25.15</v>
      </c>
      <c r="K66" s="15">
        <v>36.35</v>
      </c>
      <c r="L66" s="28" t="str">
        <f>HYPERLINK("http://finance.yahoo.com/q?s=" &amp; A66, "Link")</f>
        <v>Link</v>
      </c>
      <c r="M66" s="15">
        <f>K66*0.9</f>
        <v>32.715000000000003</v>
      </c>
      <c r="N66" s="15" t="str">
        <f>IF(M66&gt;C66, "Buy", "")</f>
        <v/>
      </c>
      <c r="O66" s="33">
        <f>C66/K66</f>
        <v>0.93617606602475933</v>
      </c>
    </row>
    <row r="67" spans="1:15" ht="20.100000000000001" customHeight="1" x14ac:dyDescent="0.25">
      <c r="A67" s="21" t="s">
        <v>304</v>
      </c>
      <c r="B67" t="s">
        <v>689</v>
      </c>
      <c r="C67" s="15">
        <v>28.31</v>
      </c>
      <c r="D67" s="15">
        <v>28.03</v>
      </c>
      <c r="E67" s="15">
        <v>28.38</v>
      </c>
      <c r="F67" s="15">
        <v>28.01</v>
      </c>
      <c r="G67" s="16">
        <v>1.0710460549803539E-2</v>
      </c>
      <c r="H67" s="15" t="s">
        <v>1244</v>
      </c>
      <c r="I67" s="15">
        <v>1.41</v>
      </c>
      <c r="J67" s="15">
        <v>12</v>
      </c>
      <c r="K67" s="15">
        <v>30.22</v>
      </c>
      <c r="L67" s="28" t="str">
        <f>HYPERLINK("http://finance.yahoo.com/q?s=" &amp; A67, "Link")</f>
        <v>Link</v>
      </c>
      <c r="M67" s="15">
        <f>K67*0.9</f>
        <v>27.198</v>
      </c>
      <c r="N67" s="15" t="str">
        <f>IF(M67&gt;C67, "Buy", "")</f>
        <v/>
      </c>
      <c r="O67" s="33">
        <f>C67/K67</f>
        <v>0.93679682329583058</v>
      </c>
    </row>
    <row r="68" spans="1:15" ht="20.100000000000001" customHeight="1" x14ac:dyDescent="0.25">
      <c r="A68" s="21" t="s">
        <v>381</v>
      </c>
      <c r="B68" t="s">
        <v>982</v>
      </c>
      <c r="C68" s="15">
        <v>66.760000000000005</v>
      </c>
      <c r="D68" s="15">
        <v>65.81</v>
      </c>
      <c r="E68" s="15">
        <v>66.8</v>
      </c>
      <c r="F68" s="15">
        <v>66.400000000000006</v>
      </c>
      <c r="G68" s="16">
        <v>5.4216867469879431E-3</v>
      </c>
      <c r="H68" s="15" t="s">
        <v>1153</v>
      </c>
      <c r="I68" s="15">
        <v>5.15</v>
      </c>
      <c r="J68" s="15">
        <v>29.45</v>
      </c>
      <c r="K68" s="15">
        <v>71.25</v>
      </c>
      <c r="L68" s="28" t="str">
        <f>HYPERLINK("http://finance.yahoo.com/q?s=" &amp; A68, "Link")</f>
        <v>Link</v>
      </c>
      <c r="M68" s="15">
        <f>K68*0.9</f>
        <v>64.125</v>
      </c>
      <c r="N68" s="15" t="str">
        <f>IF(M68&gt;C68, "Buy", "")</f>
        <v/>
      </c>
      <c r="O68" s="33">
        <f>C68/K68</f>
        <v>0.93698245614035092</v>
      </c>
    </row>
    <row r="69" spans="1:15" ht="20.100000000000001" customHeight="1" x14ac:dyDescent="0.25">
      <c r="A69" s="21" t="s">
        <v>230</v>
      </c>
      <c r="B69" t="s">
        <v>621</v>
      </c>
      <c r="C69" s="15">
        <v>104.2</v>
      </c>
      <c r="D69" s="15">
        <v>103.97</v>
      </c>
      <c r="E69" s="15">
        <v>105.42</v>
      </c>
      <c r="F69" s="15">
        <v>104.44</v>
      </c>
      <c r="G69" s="16">
        <v>-2.2979701263883081E-3</v>
      </c>
      <c r="H69" s="15" t="s">
        <v>1231</v>
      </c>
      <c r="I69" s="15">
        <v>2.23</v>
      </c>
      <c r="J69" s="15">
        <v>52.15</v>
      </c>
      <c r="K69" s="15">
        <v>111.1</v>
      </c>
      <c r="L69" s="28" t="str">
        <f>HYPERLINK("http://finance.yahoo.com/q?s=" &amp; A69, "Link")</f>
        <v>Link</v>
      </c>
      <c r="M69" s="15">
        <f>K69*0.9</f>
        <v>99.99</v>
      </c>
      <c r="N69" s="15" t="str">
        <f>IF(M69&gt;C69, "Buy", "")</f>
        <v/>
      </c>
      <c r="O69" s="33">
        <f>C69/K69</f>
        <v>0.93789378937893797</v>
      </c>
    </row>
    <row r="70" spans="1:15" ht="20.100000000000001" customHeight="1" x14ac:dyDescent="0.25">
      <c r="A70" s="21" t="s">
        <v>285</v>
      </c>
      <c r="B70" t="s">
        <v>673</v>
      </c>
      <c r="C70" s="15">
        <v>70.27</v>
      </c>
      <c r="D70" s="15">
        <v>69.7</v>
      </c>
      <c r="E70" s="15">
        <v>70.599999999999994</v>
      </c>
      <c r="F70" s="15">
        <v>69.89</v>
      </c>
      <c r="G70" s="16">
        <v>5.4371154671626195E-3</v>
      </c>
      <c r="H70" s="15" t="s">
        <v>1235</v>
      </c>
      <c r="I70" s="15">
        <v>2.73</v>
      </c>
      <c r="J70" s="15">
        <v>18.059999999999999</v>
      </c>
      <c r="K70" s="15">
        <v>74.89</v>
      </c>
      <c r="L70" s="28" t="str">
        <f>HYPERLINK("http://finance.yahoo.com/q?s=" &amp; A70, "Link")</f>
        <v>Link</v>
      </c>
      <c r="M70" s="15">
        <f>K70*0.9</f>
        <v>67.400999999999996</v>
      </c>
      <c r="N70" s="15" t="str">
        <f>IF(M70&gt;C70, "Buy", "")</f>
        <v/>
      </c>
      <c r="O70" s="33">
        <f>C70/K70</f>
        <v>0.93830952063025763</v>
      </c>
    </row>
    <row r="71" spans="1:15" ht="20.100000000000001" customHeight="1" x14ac:dyDescent="0.25">
      <c r="A71" s="21" t="s">
        <v>276</v>
      </c>
      <c r="B71" t="s">
        <v>665</v>
      </c>
      <c r="C71" s="15">
        <v>25.56</v>
      </c>
      <c r="D71" s="15">
        <v>25.52</v>
      </c>
      <c r="E71" s="15">
        <v>25.82</v>
      </c>
      <c r="F71" s="15">
        <v>25.5</v>
      </c>
      <c r="G71" s="16">
        <v>2.3529411764705382E-3</v>
      </c>
      <c r="H71" s="15" t="s">
        <v>1227</v>
      </c>
      <c r="I71" s="15">
        <v>8.4499999999999993</v>
      </c>
      <c r="J71" s="15">
        <v>15.06</v>
      </c>
      <c r="K71" s="15">
        <v>27.21</v>
      </c>
      <c r="L71" s="28" t="str">
        <f>HYPERLINK("http://finance.yahoo.com/q?s=" &amp; A71, "Link")</f>
        <v>Link</v>
      </c>
      <c r="M71" s="15">
        <f>K71*0.9</f>
        <v>24.489000000000001</v>
      </c>
      <c r="N71" s="15" t="str">
        <f>IF(M71&gt;C71, "Buy", "")</f>
        <v/>
      </c>
      <c r="O71" s="33">
        <f>C71/K71</f>
        <v>0.93936052921719948</v>
      </c>
    </row>
    <row r="72" spans="1:15" ht="20.100000000000001" customHeight="1" x14ac:dyDescent="0.25">
      <c r="A72" s="21" t="s">
        <v>442</v>
      </c>
      <c r="B72" t="s">
        <v>813</v>
      </c>
      <c r="C72" s="15">
        <v>74.84</v>
      </c>
      <c r="D72" s="15">
        <v>74.06</v>
      </c>
      <c r="E72" s="15">
        <v>75.55</v>
      </c>
      <c r="F72" s="15">
        <v>74.849999999999994</v>
      </c>
      <c r="G72" s="16">
        <v>-1.336005344020161E-4</v>
      </c>
      <c r="H72" s="15" t="s">
        <v>1200</v>
      </c>
      <c r="I72" s="15">
        <v>2.2000000000000002</v>
      </c>
      <c r="J72" s="15">
        <v>27.81</v>
      </c>
      <c r="K72" s="15">
        <v>79.569999999999993</v>
      </c>
      <c r="L72" s="28" t="str">
        <f>HYPERLINK("http://finance.yahoo.com/q?s=" &amp; A72, "Link")</f>
        <v>Link</v>
      </c>
      <c r="M72" s="15">
        <f>K72*0.9</f>
        <v>71.613</v>
      </c>
      <c r="N72" s="15" t="str">
        <f>IF(M72&gt;C72, "Buy", "")</f>
        <v/>
      </c>
      <c r="O72" s="33">
        <f>C72/K72</f>
        <v>0.94055548573583025</v>
      </c>
    </row>
    <row r="73" spans="1:15" ht="20.100000000000001" customHeight="1" x14ac:dyDescent="0.25">
      <c r="A73" s="21" t="s">
        <v>462</v>
      </c>
      <c r="B73" t="s">
        <v>830</v>
      </c>
      <c r="C73" s="15">
        <v>11.97</v>
      </c>
      <c r="D73" s="15">
        <v>11.93</v>
      </c>
      <c r="E73" s="15">
        <v>12.12</v>
      </c>
      <c r="F73" s="15">
        <v>12.04</v>
      </c>
      <c r="G73" s="16">
        <v>-5.8139534883719698E-3</v>
      </c>
      <c r="H73" s="15" t="s">
        <v>1196</v>
      </c>
      <c r="I73" s="15">
        <v>1.67</v>
      </c>
      <c r="J73" s="15" t="s">
        <v>124</v>
      </c>
      <c r="K73" s="15">
        <v>12.72</v>
      </c>
      <c r="L73" s="28" t="str">
        <f>HYPERLINK("http://finance.yahoo.com/q?s=" &amp; A73, "Link")</f>
        <v>Link</v>
      </c>
      <c r="M73" s="15">
        <f>K73*0.9</f>
        <v>11.448</v>
      </c>
      <c r="N73" s="15" t="str">
        <f>IF(M73&gt;C73, "Buy", "")</f>
        <v/>
      </c>
      <c r="O73" s="33">
        <f>C73/K73</f>
        <v>0.94103773584905659</v>
      </c>
    </row>
    <row r="74" spans="1:15" ht="20.100000000000001" customHeight="1" x14ac:dyDescent="0.25">
      <c r="A74" s="21" t="s">
        <v>73</v>
      </c>
      <c r="B74" t="s">
        <v>180</v>
      </c>
      <c r="C74" s="15">
        <v>68.59</v>
      </c>
      <c r="D74" s="15">
        <v>68.27</v>
      </c>
      <c r="E74" s="15">
        <v>69.400000000000006</v>
      </c>
      <c r="F74" s="15">
        <v>68.73</v>
      </c>
      <c r="G74" s="16">
        <v>-2.0369562054415912E-3</v>
      </c>
      <c r="H74" s="15" t="s">
        <v>1249</v>
      </c>
      <c r="I74" s="15">
        <v>4.43</v>
      </c>
      <c r="J74" s="15" t="s">
        <v>124</v>
      </c>
      <c r="K74" s="15">
        <v>72.83</v>
      </c>
      <c r="L74" s="28" t="str">
        <f>HYPERLINK("http://finance.yahoo.com/q?s=" &amp; A74, "Link")</f>
        <v>Link</v>
      </c>
      <c r="M74" s="15">
        <f>K74*0.9</f>
        <v>65.546999999999997</v>
      </c>
      <c r="N74" s="15" t="str">
        <f>IF(M74&gt;C74, "Buy", "")</f>
        <v/>
      </c>
      <c r="O74" s="33">
        <f>C74/K74</f>
        <v>0.94178223259645755</v>
      </c>
    </row>
    <row r="75" spans="1:15" ht="20.100000000000001" customHeight="1" x14ac:dyDescent="0.25">
      <c r="A75" s="21" t="s">
        <v>334</v>
      </c>
      <c r="B75" t="s">
        <v>713</v>
      </c>
      <c r="C75" s="15">
        <v>71.17</v>
      </c>
      <c r="D75" s="15">
        <v>70.52</v>
      </c>
      <c r="E75" s="15">
        <v>71.5</v>
      </c>
      <c r="F75" s="15">
        <v>71.08</v>
      </c>
      <c r="G75" s="16">
        <v>1.2661789532921134E-3</v>
      </c>
      <c r="H75" s="15" t="s">
        <v>1248</v>
      </c>
      <c r="I75" s="15">
        <v>4.8899999999999997</v>
      </c>
      <c r="J75" s="15">
        <v>9.94</v>
      </c>
      <c r="K75" s="15">
        <v>75.52</v>
      </c>
      <c r="L75" s="28" t="str">
        <f>HYPERLINK("http://finance.yahoo.com/q?s=" &amp; A75, "Link")</f>
        <v>Link</v>
      </c>
      <c r="M75" s="15">
        <f>K75*0.9</f>
        <v>67.968000000000004</v>
      </c>
      <c r="N75" s="15" t="str">
        <f>IF(M75&gt;C75, "Buy", "")</f>
        <v/>
      </c>
      <c r="O75" s="33">
        <f>C75/K75</f>
        <v>0.94239936440677974</v>
      </c>
    </row>
    <row r="76" spans="1:15" ht="20.100000000000001" customHeight="1" x14ac:dyDescent="0.25">
      <c r="A76" s="21" t="s">
        <v>75</v>
      </c>
      <c r="B76" t="s">
        <v>182</v>
      </c>
      <c r="C76" s="15">
        <v>31.77</v>
      </c>
      <c r="D76" s="15">
        <v>31.66</v>
      </c>
      <c r="E76" s="15">
        <v>32.119999999999997</v>
      </c>
      <c r="F76" s="15">
        <v>31.7</v>
      </c>
      <c r="G76" s="16">
        <v>2.2082018927444885E-3</v>
      </c>
      <c r="H76" s="15" t="s">
        <v>1270</v>
      </c>
      <c r="I76" s="15">
        <v>4.03</v>
      </c>
      <c r="J76" s="15">
        <v>31.9</v>
      </c>
      <c r="K76" s="15">
        <v>33.71</v>
      </c>
      <c r="L76" s="28" t="str">
        <f>HYPERLINK("http://finance.yahoo.com/q?s=" &amp; A76, "Link")</f>
        <v>Link</v>
      </c>
      <c r="M76" s="15">
        <f>K76*0.9</f>
        <v>30.339000000000002</v>
      </c>
      <c r="N76" s="15" t="str">
        <f>IF(M76&gt;C76, "Buy", "")</f>
        <v/>
      </c>
      <c r="O76" s="33">
        <f>C76/K76</f>
        <v>0.94245031148027292</v>
      </c>
    </row>
    <row r="77" spans="1:15" ht="20.100000000000001" customHeight="1" x14ac:dyDescent="0.25">
      <c r="A77" s="21" t="s">
        <v>97</v>
      </c>
      <c r="B77" t="s">
        <v>202</v>
      </c>
      <c r="C77" s="15">
        <v>67.180000000000007</v>
      </c>
      <c r="D77" s="15">
        <v>67.02</v>
      </c>
      <c r="E77" s="15">
        <v>67.83</v>
      </c>
      <c r="F77" s="15">
        <v>67.62</v>
      </c>
      <c r="G77" s="16">
        <v>-6.5069506063294546E-3</v>
      </c>
      <c r="H77" s="15" t="s">
        <v>1242</v>
      </c>
      <c r="I77" s="15">
        <v>2.98</v>
      </c>
      <c r="J77" s="15">
        <v>14.57</v>
      </c>
      <c r="K77" s="15">
        <v>71.239999999999995</v>
      </c>
      <c r="L77" s="28" t="str">
        <f>HYPERLINK("http://finance.yahoo.com/q?s=" &amp; A77, "Link")</f>
        <v>Link</v>
      </c>
      <c r="M77" s="15">
        <f>K77*0.9</f>
        <v>64.116</v>
      </c>
      <c r="N77" s="15" t="str">
        <f>IF(M77&gt;C77, "Buy", "")</f>
        <v/>
      </c>
      <c r="O77" s="33">
        <f>C77/K77</f>
        <v>0.94300954519932634</v>
      </c>
    </row>
    <row r="78" spans="1:15" ht="20.100000000000001" customHeight="1" x14ac:dyDescent="0.25">
      <c r="A78" s="21" t="s">
        <v>211</v>
      </c>
      <c r="B78" t="s">
        <v>605</v>
      </c>
      <c r="C78" s="15">
        <v>11.41</v>
      </c>
      <c r="D78" s="15">
        <v>11.35</v>
      </c>
      <c r="E78" s="15">
        <v>11.84</v>
      </c>
      <c r="F78" s="15">
        <v>11.73</v>
      </c>
      <c r="G78" s="16">
        <v>-2.728047740835467E-2</v>
      </c>
      <c r="H78" s="15" t="s">
        <v>1279</v>
      </c>
      <c r="I78" s="15">
        <v>4.21</v>
      </c>
      <c r="J78" s="15" t="s">
        <v>124</v>
      </c>
      <c r="K78" s="15">
        <v>12.07</v>
      </c>
      <c r="L78" s="28" t="str">
        <f>HYPERLINK("http://finance.yahoo.com/q?s=" &amp; A78, "Link")</f>
        <v>Link</v>
      </c>
      <c r="M78" s="15">
        <f>K78*0.9</f>
        <v>10.863000000000001</v>
      </c>
      <c r="N78" s="15" t="str">
        <f>IF(M78&gt;C78, "Buy", "")</f>
        <v/>
      </c>
      <c r="O78" s="33">
        <f>C78/K78</f>
        <v>0.94531897265948628</v>
      </c>
    </row>
    <row r="79" spans="1:15" ht="20.100000000000001" customHeight="1" x14ac:dyDescent="0.25">
      <c r="A79" s="21" t="s">
        <v>301</v>
      </c>
      <c r="B79" t="s">
        <v>687</v>
      </c>
      <c r="C79" s="15">
        <v>86.82</v>
      </c>
      <c r="D79" s="15">
        <v>86.09</v>
      </c>
      <c r="E79" s="15">
        <v>86.89</v>
      </c>
      <c r="F79" s="15">
        <v>85.8</v>
      </c>
      <c r="G79" s="16">
        <v>1.1888111888111843E-2</v>
      </c>
      <c r="H79" s="15" t="s">
        <v>1233</v>
      </c>
      <c r="I79" s="15">
        <v>4.38</v>
      </c>
      <c r="J79" s="15">
        <v>89.32</v>
      </c>
      <c r="K79" s="15">
        <v>91.71</v>
      </c>
      <c r="L79" s="28" t="str">
        <f>HYPERLINK("http://finance.yahoo.com/q?s=" &amp; A79, "Link")</f>
        <v>Link</v>
      </c>
      <c r="M79" s="15">
        <f>K79*0.9</f>
        <v>82.539000000000001</v>
      </c>
      <c r="N79" s="15" t="str">
        <f>IF(M79&gt;C79, "Buy", "")</f>
        <v/>
      </c>
      <c r="O79" s="33">
        <f>C79/K79</f>
        <v>0.94667975139025184</v>
      </c>
    </row>
    <row r="80" spans="1:15" ht="20.100000000000001" customHeight="1" x14ac:dyDescent="0.25">
      <c r="A80" s="21" t="s">
        <v>14</v>
      </c>
      <c r="B80" t="s">
        <v>962</v>
      </c>
      <c r="C80" s="15">
        <v>280.66000000000003</v>
      </c>
      <c r="D80" s="15">
        <v>279.41000000000003</v>
      </c>
      <c r="E80" s="15">
        <v>282.56</v>
      </c>
      <c r="F80" s="15">
        <v>280.35000000000002</v>
      </c>
      <c r="G80" s="16">
        <v>1.105760656322462E-3</v>
      </c>
      <c r="H80" s="15" t="s">
        <v>1285</v>
      </c>
      <c r="I80" s="15" t="s">
        <v>124</v>
      </c>
      <c r="J80" s="15">
        <v>15.87</v>
      </c>
      <c r="K80" s="15">
        <v>296.11</v>
      </c>
      <c r="L80" s="28" t="str">
        <f>HYPERLINK("http://finance.yahoo.com/q?s=" &amp; A80, "Link")</f>
        <v>Link</v>
      </c>
      <c r="M80" s="15">
        <f>K80*0.9</f>
        <v>266.49900000000002</v>
      </c>
      <c r="N80" s="15" t="str">
        <f>IF(M80&gt;C80, "Buy", "")</f>
        <v/>
      </c>
      <c r="O80" s="33">
        <f>C80/K80</f>
        <v>0.94782344399040896</v>
      </c>
    </row>
    <row r="81" spans="1:15" ht="20.100000000000001" customHeight="1" x14ac:dyDescent="0.25">
      <c r="A81" s="21" t="s">
        <v>307</v>
      </c>
      <c r="B81" t="s">
        <v>976</v>
      </c>
      <c r="C81" s="15">
        <v>63.02</v>
      </c>
      <c r="D81" s="15">
        <v>62.72</v>
      </c>
      <c r="E81" s="15">
        <v>63.42</v>
      </c>
      <c r="F81" s="15">
        <v>62.9</v>
      </c>
      <c r="G81" s="16">
        <v>1.9077901430843331E-3</v>
      </c>
      <c r="H81" s="15" t="s">
        <v>1267</v>
      </c>
      <c r="I81" s="15" t="s">
        <v>124</v>
      </c>
      <c r="J81" s="15">
        <v>18.37</v>
      </c>
      <c r="K81" s="15">
        <v>66.459999999999994</v>
      </c>
      <c r="L81" s="28" t="str">
        <f>HYPERLINK("http://finance.yahoo.com/q?s=" &amp; A81, "Link")</f>
        <v>Link</v>
      </c>
      <c r="M81" s="15">
        <f>K81*0.9</f>
        <v>59.813999999999993</v>
      </c>
      <c r="N81" s="15" t="str">
        <f>IF(M81&gt;C81, "Buy", "")</f>
        <v/>
      </c>
      <c r="O81" s="33">
        <f>C81/K81</f>
        <v>0.94823954258200438</v>
      </c>
    </row>
    <row r="82" spans="1:15" ht="20.100000000000001" customHeight="1" x14ac:dyDescent="0.25">
      <c r="A82" s="21" t="s">
        <v>510</v>
      </c>
      <c r="B82" t="s">
        <v>874</v>
      </c>
      <c r="C82" s="15">
        <v>59.69</v>
      </c>
      <c r="D82" s="15">
        <v>59.2</v>
      </c>
      <c r="E82" s="15">
        <v>59.81</v>
      </c>
      <c r="F82" s="15">
        <v>59.18</v>
      </c>
      <c r="G82" s="16">
        <v>8.6177762757688077E-3</v>
      </c>
      <c r="H82" s="15" t="s">
        <v>1241</v>
      </c>
      <c r="I82" s="15">
        <v>4.2300000000000004</v>
      </c>
      <c r="J82" s="15">
        <v>54.07</v>
      </c>
      <c r="K82" s="15">
        <v>62.93</v>
      </c>
      <c r="L82" s="28" t="str">
        <f>HYPERLINK("http://finance.yahoo.com/q?s=" &amp; A82, "Link")</f>
        <v>Link</v>
      </c>
      <c r="M82" s="15">
        <f>K82*0.9</f>
        <v>56.637</v>
      </c>
      <c r="N82" s="15" t="str">
        <f>IF(M82&gt;C82, "Buy", "")</f>
        <v/>
      </c>
      <c r="O82" s="33">
        <f>C82/K82</f>
        <v>0.94851422215159698</v>
      </c>
    </row>
    <row r="83" spans="1:15" ht="20.100000000000001" customHeight="1" x14ac:dyDescent="0.25">
      <c r="A83" s="21" t="s">
        <v>408</v>
      </c>
      <c r="B83" t="s">
        <v>783</v>
      </c>
      <c r="C83" s="15">
        <v>116.22</v>
      </c>
      <c r="D83" s="15">
        <v>115.5</v>
      </c>
      <c r="E83" s="15">
        <v>117.17</v>
      </c>
      <c r="F83" s="15">
        <v>115.9</v>
      </c>
      <c r="G83" s="16">
        <v>2.7610008628127106E-3</v>
      </c>
      <c r="H83" s="15" t="s">
        <v>1234</v>
      </c>
      <c r="I83" s="15">
        <v>3.16</v>
      </c>
      <c r="J83" s="15">
        <v>21.13</v>
      </c>
      <c r="K83" s="15">
        <v>122.52</v>
      </c>
      <c r="L83" s="28" t="str">
        <f>HYPERLINK("http://finance.yahoo.com/q?s=" &amp; A83, "Link")</f>
        <v>Link</v>
      </c>
      <c r="M83" s="15">
        <f>K83*0.9</f>
        <v>110.268</v>
      </c>
      <c r="N83" s="15" t="str">
        <f>IF(M83&gt;C83, "Buy", "")</f>
        <v/>
      </c>
      <c r="O83" s="33">
        <f>C83/K83</f>
        <v>0.94857982370225269</v>
      </c>
    </row>
    <row r="84" spans="1:15" ht="20.100000000000001" customHeight="1" x14ac:dyDescent="0.25">
      <c r="A84" s="21" t="s">
        <v>221</v>
      </c>
      <c r="B84" t="s">
        <v>612</v>
      </c>
      <c r="C84" s="15">
        <v>214.34</v>
      </c>
      <c r="D84" s="15">
        <v>213.13</v>
      </c>
      <c r="E84" s="15">
        <v>216.07</v>
      </c>
      <c r="F84" s="15">
        <v>214.58</v>
      </c>
      <c r="G84" s="16">
        <v>-1.1184639761394775E-3</v>
      </c>
      <c r="H84" s="15" t="s">
        <v>1262</v>
      </c>
      <c r="I84" s="15">
        <v>1.31</v>
      </c>
      <c r="J84" s="15">
        <v>6.01</v>
      </c>
      <c r="K84" s="15">
        <v>225.48</v>
      </c>
      <c r="L84" s="28" t="str">
        <f>HYPERLINK("http://finance.yahoo.com/q?s=" &amp; A84, "Link")</f>
        <v>Link</v>
      </c>
      <c r="M84" s="15">
        <f>K84*0.9</f>
        <v>202.93199999999999</v>
      </c>
      <c r="N84" s="15" t="str">
        <f>IF(M84&gt;C84, "Buy", "")</f>
        <v/>
      </c>
      <c r="O84" s="33">
        <f>C84/K84</f>
        <v>0.95059428774170662</v>
      </c>
    </row>
    <row r="85" spans="1:15" ht="20.100000000000001" customHeight="1" x14ac:dyDescent="0.25">
      <c r="A85" s="21" t="s">
        <v>367</v>
      </c>
      <c r="B85" t="s">
        <v>745</v>
      </c>
      <c r="C85" s="15">
        <v>62.42</v>
      </c>
      <c r="D85" s="15">
        <v>61.92</v>
      </c>
      <c r="E85" s="15">
        <v>62.72</v>
      </c>
      <c r="F85" s="15">
        <v>61.65</v>
      </c>
      <c r="G85" s="16">
        <v>1.2489862124898672E-2</v>
      </c>
      <c r="H85" s="15" t="s">
        <v>1232</v>
      </c>
      <c r="I85" s="15">
        <v>3.08</v>
      </c>
      <c r="J85" s="15">
        <v>23.31</v>
      </c>
      <c r="K85" s="15">
        <v>65.56</v>
      </c>
      <c r="L85" s="28" t="str">
        <f>HYPERLINK("http://finance.yahoo.com/q?s=" &amp; A85, "Link")</f>
        <v>Link</v>
      </c>
      <c r="M85" s="15">
        <f>K85*0.9</f>
        <v>59.004000000000005</v>
      </c>
      <c r="N85" s="15" t="str">
        <f>IF(M85&gt;C85, "Buy", "")</f>
        <v/>
      </c>
      <c r="O85" s="33">
        <f>C85/K85</f>
        <v>0.95210494203782792</v>
      </c>
    </row>
    <row r="86" spans="1:15" ht="20.100000000000001" customHeight="1" x14ac:dyDescent="0.25">
      <c r="A86" s="21" t="s">
        <v>465</v>
      </c>
      <c r="B86" t="s">
        <v>832</v>
      </c>
      <c r="C86" s="15">
        <v>22.51</v>
      </c>
      <c r="D86" s="15">
        <v>22.35</v>
      </c>
      <c r="E86" s="15">
        <v>22.52</v>
      </c>
      <c r="F86" s="15">
        <v>22.34</v>
      </c>
      <c r="G86" s="16">
        <v>7.6096687555954213E-3</v>
      </c>
      <c r="H86" s="15" t="s">
        <v>1229</v>
      </c>
      <c r="I86" s="15">
        <v>2.82</v>
      </c>
      <c r="J86" s="15">
        <v>23.92</v>
      </c>
      <c r="K86" s="15">
        <v>23.61</v>
      </c>
      <c r="L86" s="28" t="str">
        <f>HYPERLINK("http://finance.yahoo.com/q?s=" &amp; A86, "Link")</f>
        <v>Link</v>
      </c>
      <c r="M86" s="15">
        <f>K86*0.9</f>
        <v>21.248999999999999</v>
      </c>
      <c r="N86" s="15" t="str">
        <f>IF(M86&gt;C86, "Buy", "")</f>
        <v/>
      </c>
      <c r="O86" s="33">
        <f>C86/K86</f>
        <v>0.9534095722151632</v>
      </c>
    </row>
    <row r="87" spans="1:15" ht="20.100000000000001" customHeight="1" x14ac:dyDescent="0.25">
      <c r="A87" s="21" t="s">
        <v>593</v>
      </c>
      <c r="B87" t="s">
        <v>950</v>
      </c>
      <c r="C87" s="15">
        <v>90.82</v>
      </c>
      <c r="D87" s="15">
        <v>90.78</v>
      </c>
      <c r="E87" s="15">
        <v>92.21</v>
      </c>
      <c r="F87" s="15">
        <v>90.93</v>
      </c>
      <c r="G87" s="16">
        <v>-1.2097217639944313E-3</v>
      </c>
      <c r="H87" s="15" t="s">
        <v>1251</v>
      </c>
      <c r="I87" s="15">
        <v>2.2000000000000002</v>
      </c>
      <c r="J87" s="15">
        <v>42.84</v>
      </c>
      <c r="K87" s="15">
        <v>95.25</v>
      </c>
      <c r="L87" s="28" t="str">
        <f>HYPERLINK("http://finance.yahoo.com/q?s=" &amp; A87, "Link")</f>
        <v>Link</v>
      </c>
      <c r="M87" s="15">
        <f>K87*0.9</f>
        <v>85.725000000000009</v>
      </c>
      <c r="N87" s="15" t="str">
        <f>IF(M87&gt;C87, "Buy", "")</f>
        <v/>
      </c>
      <c r="O87" s="33">
        <f>C87/K87</f>
        <v>0.95349081364829391</v>
      </c>
    </row>
    <row r="88" spans="1:15" ht="20.100000000000001" customHeight="1" x14ac:dyDescent="0.25">
      <c r="A88" s="21" t="s">
        <v>557</v>
      </c>
      <c r="B88" t="s">
        <v>918</v>
      </c>
      <c r="C88" s="15">
        <v>143.51</v>
      </c>
      <c r="D88" s="15">
        <v>143.32</v>
      </c>
      <c r="E88" s="15">
        <v>145.13999999999999</v>
      </c>
      <c r="F88" s="15">
        <v>144.32</v>
      </c>
      <c r="G88" s="16">
        <v>-5.6125277161862691E-3</v>
      </c>
      <c r="H88" s="15" t="s">
        <v>1284</v>
      </c>
      <c r="I88" s="15">
        <v>0.42</v>
      </c>
      <c r="J88" s="15">
        <v>28.68</v>
      </c>
      <c r="K88" s="15">
        <v>150.37</v>
      </c>
      <c r="L88" s="28" t="str">
        <f>HYPERLINK("http://finance.yahoo.com/q?s=" &amp; A88, "Link")</f>
        <v>Link</v>
      </c>
      <c r="M88" s="15">
        <f>K88*0.9</f>
        <v>135.333</v>
      </c>
      <c r="N88" s="15" t="str">
        <f>IF(M88&gt;C88, "Buy", "")</f>
        <v/>
      </c>
      <c r="O88" s="33">
        <f>C88/K88</f>
        <v>0.95437919797832005</v>
      </c>
    </row>
    <row r="89" spans="1:15" ht="20.100000000000001" customHeight="1" x14ac:dyDescent="0.25">
      <c r="A89" s="21" t="s">
        <v>438</v>
      </c>
      <c r="B89" t="s">
        <v>810</v>
      </c>
      <c r="C89" s="15">
        <v>30.02</v>
      </c>
      <c r="D89" s="15">
        <v>29.89</v>
      </c>
      <c r="E89" s="15">
        <v>30.46</v>
      </c>
      <c r="F89" s="15">
        <v>30.07</v>
      </c>
      <c r="G89" s="16">
        <v>-1.6627868307283243E-3</v>
      </c>
      <c r="H89" s="15" t="s">
        <v>1239</v>
      </c>
      <c r="I89" s="15">
        <v>4.99</v>
      </c>
      <c r="J89" s="15">
        <v>28.7</v>
      </c>
      <c r="K89" s="15">
        <v>31.42</v>
      </c>
      <c r="L89" s="28" t="str">
        <f>HYPERLINK("http://finance.yahoo.com/q?s=" &amp; A89, "Link")</f>
        <v>Link</v>
      </c>
      <c r="M89" s="15">
        <f>K89*0.9</f>
        <v>28.278000000000002</v>
      </c>
      <c r="N89" s="15" t="str">
        <f>IF(M89&gt;C89, "Buy", "")</f>
        <v/>
      </c>
      <c r="O89" s="33">
        <f>C89/K89</f>
        <v>0.95544239338001269</v>
      </c>
    </row>
    <row r="90" spans="1:15" ht="20.100000000000001" customHeight="1" x14ac:dyDescent="0.25">
      <c r="A90" s="21" t="s">
        <v>224</v>
      </c>
      <c r="B90" t="s">
        <v>615</v>
      </c>
      <c r="C90" s="15">
        <v>65.16</v>
      </c>
      <c r="D90" s="15">
        <v>64.62</v>
      </c>
      <c r="E90" s="15">
        <v>66.540000000000006</v>
      </c>
      <c r="F90" s="15">
        <v>66.58</v>
      </c>
      <c r="G90" s="16">
        <v>-2.1327726043857041E-2</v>
      </c>
      <c r="H90" s="15" t="s">
        <v>1265</v>
      </c>
      <c r="I90" s="15">
        <v>0.74</v>
      </c>
      <c r="J90" s="15">
        <v>27.97</v>
      </c>
      <c r="K90" s="15">
        <v>68.150000000000006</v>
      </c>
      <c r="L90" s="28" t="str">
        <f>HYPERLINK("http://finance.yahoo.com/q?s=" &amp; A90, "Link")</f>
        <v>Link</v>
      </c>
      <c r="M90" s="15">
        <f>K90*0.9</f>
        <v>61.335000000000008</v>
      </c>
      <c r="N90" s="15" t="str">
        <f>IF(M90&gt;C90, "Buy", "")</f>
        <v/>
      </c>
      <c r="O90" s="33">
        <f>C90/K90</f>
        <v>0.9561261922230373</v>
      </c>
    </row>
    <row r="91" spans="1:15" ht="20.100000000000001" customHeight="1" x14ac:dyDescent="0.25">
      <c r="A91" s="21" t="s">
        <v>312</v>
      </c>
      <c r="B91" t="s">
        <v>695</v>
      </c>
      <c r="C91" s="15">
        <v>18.14</v>
      </c>
      <c r="D91" s="15">
        <v>18.11</v>
      </c>
      <c r="E91" s="15">
        <v>18.46</v>
      </c>
      <c r="F91" s="15">
        <v>17.96</v>
      </c>
      <c r="G91" s="16">
        <v>1.0022271714922032E-2</v>
      </c>
      <c r="H91" s="15" t="s">
        <v>1305</v>
      </c>
      <c r="I91" s="15">
        <v>0</v>
      </c>
      <c r="J91" s="15" t="s">
        <v>124</v>
      </c>
      <c r="K91" s="15">
        <v>18.97</v>
      </c>
      <c r="L91" s="28" t="str">
        <f>HYPERLINK("http://finance.yahoo.com/q?s=" &amp; A91, "Link")</f>
        <v>Link</v>
      </c>
      <c r="M91" s="15">
        <f>K91*0.9</f>
        <v>17.073</v>
      </c>
      <c r="N91" s="15" t="str">
        <f>IF(M91&gt;C91, "Buy", "")</f>
        <v/>
      </c>
      <c r="O91" s="33">
        <f>C91/K91</f>
        <v>0.9562467053241962</v>
      </c>
    </row>
    <row r="92" spans="1:15" ht="20.100000000000001" customHeight="1" x14ac:dyDescent="0.25">
      <c r="A92" s="21" t="s">
        <v>583</v>
      </c>
      <c r="B92" t="s">
        <v>940</v>
      </c>
      <c r="C92" s="15">
        <v>141.44</v>
      </c>
      <c r="D92" s="15">
        <v>140.59</v>
      </c>
      <c r="E92" s="15">
        <v>142.27000000000001</v>
      </c>
      <c r="F92" s="15">
        <v>141.74</v>
      </c>
      <c r="G92" s="16">
        <v>-2.1165514321998826E-3</v>
      </c>
      <c r="H92" s="15" t="s">
        <v>1258</v>
      </c>
      <c r="I92" s="15">
        <v>0</v>
      </c>
      <c r="J92" s="15">
        <v>23.19</v>
      </c>
      <c r="K92" s="15">
        <v>147.82</v>
      </c>
      <c r="L92" s="28" t="str">
        <f>HYPERLINK("http://finance.yahoo.com/q?s=" &amp; A92, "Link")</f>
        <v>Link</v>
      </c>
      <c r="M92" s="15">
        <f>K92*0.9</f>
        <v>133.03800000000001</v>
      </c>
      <c r="N92" s="15" t="str">
        <f>IF(M92&gt;C92, "Buy", "")</f>
        <v/>
      </c>
      <c r="O92" s="33">
        <f>C92/K92</f>
        <v>0.95683939926938166</v>
      </c>
    </row>
    <row r="93" spans="1:15" ht="20.100000000000001" customHeight="1" x14ac:dyDescent="0.25">
      <c r="A93" s="21" t="s">
        <v>19</v>
      </c>
      <c r="B93" t="s">
        <v>133</v>
      </c>
      <c r="C93" s="15">
        <v>67.95</v>
      </c>
      <c r="D93" s="15">
        <v>67.31</v>
      </c>
      <c r="E93" s="15">
        <v>68.349999999999994</v>
      </c>
      <c r="F93" s="15">
        <v>67.040000000000006</v>
      </c>
      <c r="G93" s="16">
        <v>1.3573985680190878E-2</v>
      </c>
      <c r="H93" s="15" t="s">
        <v>1228</v>
      </c>
      <c r="I93" s="15">
        <v>2.2999999999999998</v>
      </c>
      <c r="J93" s="15">
        <v>44.44</v>
      </c>
      <c r="K93" s="15">
        <v>70.95</v>
      </c>
      <c r="L93" s="28" t="str">
        <f>HYPERLINK("http://finance.yahoo.com/q?s=" &amp; A93, "Link")</f>
        <v>Link</v>
      </c>
      <c r="M93" s="15">
        <f>K93*0.9</f>
        <v>63.855000000000004</v>
      </c>
      <c r="N93" s="15" t="str">
        <f>IF(M93&gt;C93, "Buy", "")</f>
        <v/>
      </c>
      <c r="O93" s="33">
        <f>C93/K93</f>
        <v>0.95771670190274838</v>
      </c>
    </row>
    <row r="94" spans="1:15" ht="20.100000000000001" customHeight="1" x14ac:dyDescent="0.25">
      <c r="A94" s="21" t="s">
        <v>261</v>
      </c>
      <c r="B94" t="s">
        <v>650</v>
      </c>
      <c r="C94" s="15">
        <v>45.02</v>
      </c>
      <c r="D94" s="15">
        <v>44.61</v>
      </c>
      <c r="E94" s="15">
        <v>45.03</v>
      </c>
      <c r="F94" s="15">
        <v>44.61</v>
      </c>
      <c r="G94" s="16">
        <v>9.1907644026003963E-3</v>
      </c>
      <c r="H94" s="15" t="s">
        <v>1236</v>
      </c>
      <c r="I94" s="15">
        <v>1.62</v>
      </c>
      <c r="J94" s="15">
        <v>17.04</v>
      </c>
      <c r="K94" s="15">
        <v>46.97</v>
      </c>
      <c r="L94" s="28" t="str">
        <f>HYPERLINK("http://finance.yahoo.com/q?s=" &amp; A94, "Link")</f>
        <v>Link</v>
      </c>
      <c r="M94" s="15">
        <f>K94*0.9</f>
        <v>42.273000000000003</v>
      </c>
      <c r="N94" s="15" t="str">
        <f>IF(M94&gt;C94, "Buy", "")</f>
        <v/>
      </c>
      <c r="O94" s="33">
        <f>C94/K94</f>
        <v>0.95848413881200778</v>
      </c>
    </row>
    <row r="95" spans="1:15" ht="20.100000000000001" customHeight="1" x14ac:dyDescent="0.25">
      <c r="A95" s="21" t="s">
        <v>324</v>
      </c>
      <c r="B95" t="s">
        <v>704</v>
      </c>
      <c r="C95" s="15">
        <v>122.74</v>
      </c>
      <c r="D95" s="15">
        <v>121.41</v>
      </c>
      <c r="E95" s="15">
        <v>123.25</v>
      </c>
      <c r="F95" s="15">
        <v>121.31</v>
      </c>
      <c r="G95" s="16">
        <v>1.1787981205176759E-2</v>
      </c>
      <c r="H95" s="15" t="s">
        <v>1271</v>
      </c>
      <c r="I95" s="15">
        <v>1.57</v>
      </c>
      <c r="J95" s="15">
        <v>46.92</v>
      </c>
      <c r="K95" s="15">
        <v>127.96</v>
      </c>
      <c r="L95" s="28" t="str">
        <f>HYPERLINK("http://finance.yahoo.com/q?s=" &amp; A95, "Link")</f>
        <v>Link</v>
      </c>
      <c r="M95" s="15">
        <f>K95*0.9</f>
        <v>115.164</v>
      </c>
      <c r="N95" s="15" t="str">
        <f>IF(M95&gt;C95, "Buy", "")</f>
        <v/>
      </c>
      <c r="O95" s="33">
        <f>C95/K95</f>
        <v>0.95920600187558613</v>
      </c>
    </row>
    <row r="96" spans="1:15" ht="20.100000000000001" customHeight="1" x14ac:dyDescent="0.25">
      <c r="A96" s="21" t="s">
        <v>439</v>
      </c>
      <c r="B96" t="s">
        <v>811</v>
      </c>
      <c r="C96" s="15">
        <v>93.31</v>
      </c>
      <c r="D96" s="15">
        <v>92.84</v>
      </c>
      <c r="E96" s="15">
        <v>93.8</v>
      </c>
      <c r="F96" s="15">
        <v>93.01</v>
      </c>
      <c r="G96" s="16">
        <v>3.2254596279969587E-3</v>
      </c>
      <c r="H96" s="15" t="s">
        <v>1243</v>
      </c>
      <c r="I96" s="15">
        <v>2.0099999999999998</v>
      </c>
      <c r="J96" s="15">
        <v>25.76</v>
      </c>
      <c r="K96" s="15">
        <v>97.11</v>
      </c>
      <c r="L96" s="28" t="str">
        <f>HYPERLINK("http://finance.yahoo.com/q?s=" &amp; A96, "Link")</f>
        <v>Link</v>
      </c>
      <c r="M96" s="15">
        <f>K96*0.9</f>
        <v>87.399000000000001</v>
      </c>
      <c r="N96" s="15" t="str">
        <f>IF(M96&gt;C96, "Buy", "")</f>
        <v/>
      </c>
      <c r="O96" s="33">
        <f>C96/K96</f>
        <v>0.96086911749562354</v>
      </c>
    </row>
    <row r="97" spans="1:15" ht="20.100000000000001" customHeight="1" x14ac:dyDescent="0.25">
      <c r="A97" s="21" t="s">
        <v>448</v>
      </c>
      <c r="B97" t="s">
        <v>819</v>
      </c>
      <c r="C97" s="15">
        <v>97.62</v>
      </c>
      <c r="D97" s="15">
        <v>97.14</v>
      </c>
      <c r="E97" s="15">
        <v>98.14</v>
      </c>
      <c r="F97" s="15">
        <v>97.54</v>
      </c>
      <c r="G97" s="16">
        <v>8.2017633791263368E-4</v>
      </c>
      <c r="H97" s="15" t="s">
        <v>1126</v>
      </c>
      <c r="I97" s="15">
        <v>1.68</v>
      </c>
      <c r="J97" s="15">
        <v>35.24</v>
      </c>
      <c r="K97" s="15">
        <v>101.5</v>
      </c>
      <c r="L97" s="28" t="str">
        <f>HYPERLINK("http://finance.yahoo.com/q?s=" &amp; A97, "Link")</f>
        <v>Link</v>
      </c>
      <c r="M97" s="15">
        <f>K97*0.9</f>
        <v>91.350000000000009</v>
      </c>
      <c r="N97" s="15" t="str">
        <f>IF(M97&gt;C97, "Buy", "")</f>
        <v/>
      </c>
      <c r="O97" s="33">
        <f>C97/K97</f>
        <v>0.96177339901477832</v>
      </c>
    </row>
    <row r="98" spans="1:15" ht="20.100000000000001" customHeight="1" x14ac:dyDescent="0.25">
      <c r="A98" s="21" t="s">
        <v>437</v>
      </c>
      <c r="B98" t="s">
        <v>809</v>
      </c>
      <c r="C98" s="15">
        <v>31.98</v>
      </c>
      <c r="D98" s="15">
        <v>31.7</v>
      </c>
      <c r="E98" s="15">
        <v>32.18</v>
      </c>
      <c r="F98" s="15">
        <v>31.93</v>
      </c>
      <c r="G98" s="16">
        <v>1.5659254619480336E-3</v>
      </c>
      <c r="H98" s="15" t="s">
        <v>1268</v>
      </c>
      <c r="I98" s="15">
        <v>1.25</v>
      </c>
      <c r="J98" s="15">
        <v>23.07</v>
      </c>
      <c r="K98" s="15">
        <v>33.22</v>
      </c>
      <c r="L98" s="28" t="str">
        <f>HYPERLINK("http://finance.yahoo.com/q?s=" &amp; A98, "Link")</f>
        <v>Link</v>
      </c>
      <c r="M98" s="15">
        <f>K98*0.9</f>
        <v>29.898</v>
      </c>
      <c r="N98" s="15" t="str">
        <f>IF(M98&gt;C98, "Buy", "")</f>
        <v/>
      </c>
      <c r="O98" s="33">
        <f>C98/K98</f>
        <v>0.96267308850090316</v>
      </c>
    </row>
    <row r="99" spans="1:15" ht="20.100000000000001" customHeight="1" x14ac:dyDescent="0.25">
      <c r="A99" s="21" t="s">
        <v>52</v>
      </c>
      <c r="B99" t="s">
        <v>161</v>
      </c>
      <c r="C99" s="15">
        <v>114.15</v>
      </c>
      <c r="D99" s="15">
        <v>114.08</v>
      </c>
      <c r="E99" s="15">
        <v>115.03</v>
      </c>
      <c r="F99" s="15">
        <v>114.2</v>
      </c>
      <c r="G99" s="16">
        <v>-4.3782837127843396E-4</v>
      </c>
      <c r="H99" s="15" t="s">
        <v>1273</v>
      </c>
      <c r="I99" s="15">
        <v>2.8</v>
      </c>
      <c r="J99" s="15">
        <v>20.04</v>
      </c>
      <c r="K99" s="15">
        <v>118.28</v>
      </c>
      <c r="L99" s="28" t="str">
        <f>HYPERLINK("http://finance.yahoo.com/q?s=" &amp; A99, "Link")</f>
        <v>Link</v>
      </c>
      <c r="M99" s="15">
        <f>K99*0.9</f>
        <v>106.452</v>
      </c>
      <c r="N99" s="15" t="str">
        <f>IF(M99&gt;C99, "Buy", "")</f>
        <v/>
      </c>
      <c r="O99" s="33">
        <f>C99/K99</f>
        <v>0.9650828542441664</v>
      </c>
    </row>
    <row r="100" spans="1:15" ht="20.100000000000001" customHeight="1" x14ac:dyDescent="0.25">
      <c r="A100" s="21" t="s">
        <v>420</v>
      </c>
      <c r="B100" t="s">
        <v>793</v>
      </c>
      <c r="C100" s="15">
        <v>47.71</v>
      </c>
      <c r="D100" s="15">
        <v>47.54</v>
      </c>
      <c r="E100" s="15">
        <v>47.91</v>
      </c>
      <c r="F100" s="15">
        <v>47.49</v>
      </c>
      <c r="G100" s="16">
        <v>4.6325542219414371E-3</v>
      </c>
      <c r="H100" s="15" t="s">
        <v>1255</v>
      </c>
      <c r="I100" s="15">
        <v>2.85</v>
      </c>
      <c r="J100" s="15">
        <v>17.45</v>
      </c>
      <c r="K100" s="15">
        <v>49.43</v>
      </c>
      <c r="L100" s="28" t="str">
        <f>HYPERLINK("http://finance.yahoo.com/q?s=" &amp; A100, "Link")</f>
        <v>Link</v>
      </c>
      <c r="M100" s="15">
        <f>K100*0.9</f>
        <v>44.487000000000002</v>
      </c>
      <c r="N100" s="15" t="str">
        <f>IF(M100&gt;C100, "Buy", "")</f>
        <v/>
      </c>
      <c r="O100" s="33">
        <f>C100/K100</f>
        <v>0.96520331782318436</v>
      </c>
    </row>
    <row r="101" spans="1:15" ht="20.100000000000001" customHeight="1" x14ac:dyDescent="0.25">
      <c r="A101" s="21" t="s">
        <v>82</v>
      </c>
      <c r="B101" t="s">
        <v>189</v>
      </c>
      <c r="C101" s="15">
        <v>49.06</v>
      </c>
      <c r="D101" s="15">
        <v>48.82</v>
      </c>
      <c r="E101" s="15">
        <v>49.25</v>
      </c>
      <c r="F101" s="15">
        <v>49.05</v>
      </c>
      <c r="G101" s="16">
        <v>2.0387359836911552E-4</v>
      </c>
      <c r="H101" s="15" t="s">
        <v>1264</v>
      </c>
      <c r="I101" s="15">
        <v>4.57</v>
      </c>
      <c r="J101" s="15">
        <v>18.420000000000002</v>
      </c>
      <c r="K101" s="15">
        <v>50.82</v>
      </c>
      <c r="L101" s="28" t="str">
        <f>HYPERLINK("http://finance.yahoo.com/q?s=" &amp; A101, "Link")</f>
        <v>Link</v>
      </c>
      <c r="M101" s="15">
        <f>K101*0.9</f>
        <v>45.738</v>
      </c>
      <c r="N101" s="15" t="str">
        <f>IF(M101&gt;C101, "Buy", "")</f>
        <v/>
      </c>
      <c r="O101" s="33">
        <f>C101/K101</f>
        <v>0.96536796536796543</v>
      </c>
    </row>
    <row r="102" spans="1:15" ht="20.100000000000001" customHeight="1" x14ac:dyDescent="0.25">
      <c r="A102" s="21" t="s">
        <v>503</v>
      </c>
      <c r="B102" t="s">
        <v>868</v>
      </c>
      <c r="C102" s="15">
        <v>19.12</v>
      </c>
      <c r="D102" s="15">
        <v>18.88</v>
      </c>
      <c r="E102" s="15">
        <v>19.149999999999999</v>
      </c>
      <c r="F102" s="15">
        <v>18.940000000000001</v>
      </c>
      <c r="G102" s="16">
        <v>9.5036958817317687E-3</v>
      </c>
      <c r="H102" s="15" t="s">
        <v>1276</v>
      </c>
      <c r="I102" s="15">
        <v>1.88</v>
      </c>
      <c r="J102" s="15">
        <v>12.03</v>
      </c>
      <c r="K102" s="15">
        <v>19.78</v>
      </c>
      <c r="L102" s="28" t="str">
        <f>HYPERLINK("http://finance.yahoo.com/q?s=" &amp; A102, "Link")</f>
        <v>Link</v>
      </c>
      <c r="M102" s="15">
        <f>K102*0.9</f>
        <v>17.802000000000003</v>
      </c>
      <c r="N102" s="15" t="str">
        <f>IF(M102&gt;C102, "Buy", "")</f>
        <v/>
      </c>
      <c r="O102" s="33">
        <f>C102/K102</f>
        <v>0.9666329625884732</v>
      </c>
    </row>
    <row r="103" spans="1:15" ht="20.100000000000001" customHeight="1" x14ac:dyDescent="0.25">
      <c r="A103" s="21" t="s">
        <v>365</v>
      </c>
      <c r="B103" t="s">
        <v>743</v>
      </c>
      <c r="C103" s="15">
        <v>47.87</v>
      </c>
      <c r="D103" s="15">
        <v>47.4</v>
      </c>
      <c r="E103" s="15">
        <v>48.07</v>
      </c>
      <c r="F103" s="15">
        <v>47.61</v>
      </c>
      <c r="G103" s="16">
        <v>5.4610375971434156E-3</v>
      </c>
      <c r="H103" s="15" t="s">
        <v>1143</v>
      </c>
      <c r="I103" s="15">
        <v>4.2699999999999996</v>
      </c>
      <c r="J103" s="15">
        <v>17.87</v>
      </c>
      <c r="K103" s="15">
        <v>49.51</v>
      </c>
      <c r="L103" s="28" t="str">
        <f>HYPERLINK("http://finance.yahoo.com/q?s=" &amp; A103, "Link")</f>
        <v>Link</v>
      </c>
      <c r="M103" s="15">
        <f>K103*0.9</f>
        <v>44.558999999999997</v>
      </c>
      <c r="N103" s="15" t="str">
        <f>IF(M103&gt;C103, "Buy", "")</f>
        <v/>
      </c>
      <c r="O103" s="33">
        <f>C103/K103</f>
        <v>0.96687537871137141</v>
      </c>
    </row>
    <row r="104" spans="1:15" ht="20.100000000000001" customHeight="1" x14ac:dyDescent="0.25">
      <c r="A104" s="21" t="s">
        <v>57</v>
      </c>
      <c r="B104" t="s">
        <v>165</v>
      </c>
      <c r="C104" s="15">
        <v>71.760000000000005</v>
      </c>
      <c r="D104" s="15">
        <v>71.260000000000005</v>
      </c>
      <c r="E104" s="15">
        <v>71.930000000000007</v>
      </c>
      <c r="F104" s="15">
        <v>71.599999999999994</v>
      </c>
      <c r="G104" s="16">
        <v>2.2346368715085311E-3</v>
      </c>
      <c r="H104" s="15" t="s">
        <v>1283</v>
      </c>
      <c r="I104" s="15">
        <v>1.95</v>
      </c>
      <c r="J104" s="15">
        <v>26.34</v>
      </c>
      <c r="K104" s="15">
        <v>74.19</v>
      </c>
      <c r="L104" s="28" t="str">
        <f>HYPERLINK("http://finance.yahoo.com/q?s=" &amp; A104, "Link")</f>
        <v>Link</v>
      </c>
      <c r="M104" s="15">
        <f>K104*0.9</f>
        <v>66.771000000000001</v>
      </c>
      <c r="N104" s="15" t="str">
        <f>IF(M104&gt;C104, "Buy", "")</f>
        <v/>
      </c>
      <c r="O104" s="33">
        <f>C104/K104</f>
        <v>0.96724625960372024</v>
      </c>
    </row>
    <row r="105" spans="1:15" ht="20.100000000000001" customHeight="1" x14ac:dyDescent="0.25">
      <c r="A105" s="21" t="s">
        <v>399</v>
      </c>
      <c r="B105" t="s">
        <v>775</v>
      </c>
      <c r="C105" s="15">
        <v>34.68</v>
      </c>
      <c r="D105" s="15">
        <v>33.840000000000003</v>
      </c>
      <c r="E105" s="15">
        <v>34.72</v>
      </c>
      <c r="F105" s="15">
        <v>33.92</v>
      </c>
      <c r="G105" s="16">
        <v>2.240566037735843E-2</v>
      </c>
      <c r="H105" s="15" t="s">
        <v>1160</v>
      </c>
      <c r="I105" s="15">
        <v>6.34</v>
      </c>
      <c r="J105" s="15">
        <v>131.36000000000001</v>
      </c>
      <c r="K105" s="15">
        <v>35.840000000000003</v>
      </c>
      <c r="L105" s="28" t="str">
        <f>HYPERLINK("http://finance.yahoo.com/q?s=" &amp; A105, "Link")</f>
        <v>Link</v>
      </c>
      <c r="M105" s="15">
        <f>K105*0.9</f>
        <v>32.256000000000007</v>
      </c>
      <c r="N105" s="15" t="str">
        <f>IF(M105&gt;C105, "Buy", "")</f>
        <v/>
      </c>
      <c r="O105" s="33">
        <f>C105/K105</f>
        <v>0.96763392857142849</v>
      </c>
    </row>
    <row r="106" spans="1:15" ht="20.100000000000001" customHeight="1" x14ac:dyDescent="0.25">
      <c r="A106" s="21" t="s">
        <v>54</v>
      </c>
      <c r="B106" t="s">
        <v>162</v>
      </c>
      <c r="C106" s="15">
        <v>41.32</v>
      </c>
      <c r="D106" s="15">
        <v>41.13</v>
      </c>
      <c r="E106" s="15">
        <v>41.44</v>
      </c>
      <c r="F106" s="15">
        <v>41.14</v>
      </c>
      <c r="G106" s="16">
        <v>4.3753038405444757E-3</v>
      </c>
      <c r="H106" s="15" t="s">
        <v>1260</v>
      </c>
      <c r="I106" s="15">
        <v>3.39</v>
      </c>
      <c r="J106" s="15">
        <v>25.06</v>
      </c>
      <c r="K106" s="15">
        <v>42.68</v>
      </c>
      <c r="L106" s="28" t="str">
        <f>HYPERLINK("http://finance.yahoo.com/q?s=" &amp; A106, "Link")</f>
        <v>Link</v>
      </c>
      <c r="M106" s="15">
        <f>K106*0.9</f>
        <v>38.411999999999999</v>
      </c>
      <c r="N106" s="15" t="str">
        <f>IF(M106&gt;C106, "Buy", "")</f>
        <v/>
      </c>
      <c r="O106" s="33">
        <f>C106/K106</f>
        <v>0.96813495782567949</v>
      </c>
    </row>
    <row r="107" spans="1:15" ht="20.100000000000001" customHeight="1" x14ac:dyDescent="0.25">
      <c r="A107" s="21" t="s">
        <v>460</v>
      </c>
      <c r="B107" t="s">
        <v>828</v>
      </c>
      <c r="C107" s="15">
        <v>41.82</v>
      </c>
      <c r="D107" s="15">
        <v>41.64</v>
      </c>
      <c r="E107" s="15">
        <v>42.77</v>
      </c>
      <c r="F107" s="15">
        <v>41.62</v>
      </c>
      <c r="G107" s="16">
        <v>4.8053820278712847E-3</v>
      </c>
      <c r="H107" s="15" t="s">
        <v>1275</v>
      </c>
      <c r="I107" s="15" t="s">
        <v>124</v>
      </c>
      <c r="J107" s="15" t="s">
        <v>124</v>
      </c>
      <c r="K107" s="15">
        <v>43.19</v>
      </c>
      <c r="L107" s="28" t="str">
        <f>HYPERLINK("http://finance.yahoo.com/q?s=" &amp; A107, "Link")</f>
        <v>Link</v>
      </c>
      <c r="M107" s="15">
        <f>K107*0.9</f>
        <v>38.871000000000002</v>
      </c>
      <c r="N107" s="15" t="str">
        <f>IF(M107&gt;C107, "Buy", "")</f>
        <v/>
      </c>
      <c r="O107" s="33">
        <f>C107/K107</f>
        <v>0.96827969437369765</v>
      </c>
    </row>
    <row r="108" spans="1:15" ht="20.100000000000001" customHeight="1" x14ac:dyDescent="0.25">
      <c r="A108" s="21" t="s">
        <v>534</v>
      </c>
      <c r="B108" t="s">
        <v>897</v>
      </c>
      <c r="C108" s="15">
        <v>133.57</v>
      </c>
      <c r="D108" s="15">
        <v>132.80000000000001</v>
      </c>
      <c r="E108" s="15">
        <v>133.9</v>
      </c>
      <c r="F108" s="15">
        <v>132.86000000000001</v>
      </c>
      <c r="G108" s="16">
        <v>5.3439710973956006E-3</v>
      </c>
      <c r="H108" s="15" t="s">
        <v>1253</v>
      </c>
      <c r="I108" s="15">
        <v>2.25</v>
      </c>
      <c r="J108" s="15">
        <v>21.78</v>
      </c>
      <c r="K108" s="15">
        <v>137.93</v>
      </c>
      <c r="L108" s="28" t="str">
        <f>HYPERLINK("http://finance.yahoo.com/q?s=" &amp; A108, "Link")</f>
        <v>Link</v>
      </c>
      <c r="M108" s="15">
        <f>K108*0.9</f>
        <v>124.13700000000001</v>
      </c>
      <c r="N108" s="15" t="str">
        <f>IF(M108&gt;C108, "Buy", "")</f>
        <v/>
      </c>
      <c r="O108" s="33">
        <f>C108/K108</f>
        <v>0.96838976292322188</v>
      </c>
    </row>
    <row r="109" spans="1:15" ht="20.100000000000001" customHeight="1" x14ac:dyDescent="0.25">
      <c r="A109" s="21" t="s">
        <v>404</v>
      </c>
      <c r="B109" t="s">
        <v>779</v>
      </c>
      <c r="C109" s="15">
        <v>87.91</v>
      </c>
      <c r="D109" s="15">
        <v>84.11</v>
      </c>
      <c r="E109" s="15">
        <v>89.09</v>
      </c>
      <c r="F109" s="15">
        <v>84.5</v>
      </c>
      <c r="G109" s="16">
        <v>4.0355029585798778E-2</v>
      </c>
      <c r="H109" s="15" t="s">
        <v>1220</v>
      </c>
      <c r="I109" s="15">
        <v>1.5</v>
      </c>
      <c r="J109" s="15">
        <v>19.84</v>
      </c>
      <c r="K109" s="15">
        <v>90.77</v>
      </c>
      <c r="L109" s="28" t="str">
        <f>HYPERLINK("http://finance.yahoo.com/q?s=" &amp; A109, "Link")</f>
        <v>Link</v>
      </c>
      <c r="M109" s="15">
        <f>K109*0.9</f>
        <v>81.692999999999998</v>
      </c>
      <c r="N109" s="15" t="str">
        <f>IF(M109&gt;C109, "Buy", "")</f>
        <v/>
      </c>
      <c r="O109" s="33">
        <f>C109/K109</f>
        <v>0.96849179244243688</v>
      </c>
    </row>
    <row r="110" spans="1:15" ht="20.100000000000001" customHeight="1" x14ac:dyDescent="0.25">
      <c r="A110" s="21" t="s">
        <v>484</v>
      </c>
      <c r="B110" t="s">
        <v>851</v>
      </c>
      <c r="C110" s="15">
        <v>51.71</v>
      </c>
      <c r="D110" s="15">
        <v>51.63</v>
      </c>
      <c r="E110" s="15">
        <v>52.36</v>
      </c>
      <c r="F110" s="15">
        <v>52.12</v>
      </c>
      <c r="G110" s="16">
        <v>-7.8664620107443701E-3</v>
      </c>
      <c r="H110" s="15" t="s">
        <v>1175</v>
      </c>
      <c r="I110" s="15">
        <v>0.54</v>
      </c>
      <c r="J110" s="15">
        <v>24.07</v>
      </c>
      <c r="K110" s="15">
        <v>53.37</v>
      </c>
      <c r="L110" s="28" t="str">
        <f>HYPERLINK("http://finance.yahoo.com/q?s=" &amp; A110, "Link")</f>
        <v>Link</v>
      </c>
      <c r="M110" s="15">
        <f>K110*0.9</f>
        <v>48.033000000000001</v>
      </c>
      <c r="N110" s="15" t="str">
        <f>IF(M110&gt;C110, "Buy", "")</f>
        <v/>
      </c>
      <c r="O110" s="33">
        <f>C110/K110</f>
        <v>0.96889638373618148</v>
      </c>
    </row>
    <row r="111" spans="1:15" ht="20.100000000000001" customHeight="1" x14ac:dyDescent="0.25">
      <c r="A111" s="21" t="s">
        <v>6</v>
      </c>
      <c r="B111" t="s">
        <v>122</v>
      </c>
      <c r="C111" s="15">
        <v>154.66999999999999</v>
      </c>
      <c r="D111" s="15">
        <v>153.82</v>
      </c>
      <c r="E111" s="15">
        <v>155.35</v>
      </c>
      <c r="F111" s="15">
        <v>153.80000000000001</v>
      </c>
      <c r="G111" s="16">
        <v>5.6566970091025751E-3</v>
      </c>
      <c r="H111" s="15" t="s">
        <v>1298</v>
      </c>
      <c r="I111" s="15">
        <v>2.97</v>
      </c>
      <c r="J111" s="15">
        <v>15.48</v>
      </c>
      <c r="K111" s="15">
        <v>159.52000000000001</v>
      </c>
      <c r="L111" s="28" t="str">
        <f>HYPERLINK("http://finance.yahoo.com/q?s=" &amp; A111, "Link")</f>
        <v>Link</v>
      </c>
      <c r="M111" s="15">
        <f>K111*0.9</f>
        <v>143.56800000000001</v>
      </c>
      <c r="N111" s="15" t="str">
        <f>IF(M111&gt;C111, "Buy", "")</f>
        <v/>
      </c>
      <c r="O111" s="33">
        <f>C111/K111</f>
        <v>0.96959628886659965</v>
      </c>
    </row>
    <row r="112" spans="1:15" ht="20.100000000000001" customHeight="1" x14ac:dyDescent="0.25">
      <c r="A112" s="21" t="s">
        <v>323</v>
      </c>
      <c r="B112" t="s">
        <v>703</v>
      </c>
      <c r="C112" s="15">
        <v>77.33</v>
      </c>
      <c r="D112" s="15">
        <v>76.95</v>
      </c>
      <c r="E112" s="15">
        <v>77.58</v>
      </c>
      <c r="F112" s="15">
        <v>77.12</v>
      </c>
      <c r="G112" s="16">
        <v>2.7230290456430723E-3</v>
      </c>
      <c r="H112" s="15" t="s">
        <v>1274</v>
      </c>
      <c r="I112" s="15">
        <v>4.41</v>
      </c>
      <c r="J112" s="15">
        <v>18.71</v>
      </c>
      <c r="K112" s="15">
        <v>79.680000000000007</v>
      </c>
      <c r="L112" s="28" t="str">
        <f>HYPERLINK("http://finance.yahoo.com/q?s=" &amp; A112, "Link")</f>
        <v>Link</v>
      </c>
      <c r="M112" s="15">
        <f>K112*0.9</f>
        <v>71.712000000000003</v>
      </c>
      <c r="N112" s="15" t="str">
        <f>IF(M112&gt;C112, "Buy", "")</f>
        <v/>
      </c>
      <c r="O112" s="33">
        <f>C112/K112</f>
        <v>0.97050702811244971</v>
      </c>
    </row>
    <row r="113" spans="1:15" ht="20.100000000000001" customHeight="1" x14ac:dyDescent="0.25">
      <c r="A113" s="21" t="s">
        <v>587</v>
      </c>
      <c r="B113" t="s">
        <v>944</v>
      </c>
      <c r="C113" s="15">
        <v>30.23</v>
      </c>
      <c r="D113" s="15">
        <v>29.88</v>
      </c>
      <c r="E113" s="15">
        <v>30.45</v>
      </c>
      <c r="F113" s="15">
        <v>30.21</v>
      </c>
      <c r="G113" s="16">
        <v>6.620324395895257E-4</v>
      </c>
      <c r="H113" s="15" t="s">
        <v>1306</v>
      </c>
      <c r="I113" s="15">
        <v>4.0999999999999996</v>
      </c>
      <c r="J113" s="15">
        <v>39.26</v>
      </c>
      <c r="K113" s="15">
        <v>31.14</v>
      </c>
      <c r="L113" s="28" t="str">
        <f>HYPERLINK("http://finance.yahoo.com/q?s=" &amp; A113, "Link")</f>
        <v>Link</v>
      </c>
      <c r="M113" s="15">
        <f>K113*0.9</f>
        <v>28.026</v>
      </c>
      <c r="N113" s="15" t="str">
        <f>IF(M113&gt;C113, "Buy", "")</f>
        <v/>
      </c>
      <c r="O113" s="33">
        <f>C113/K113</f>
        <v>0.97077713551701994</v>
      </c>
    </row>
    <row r="114" spans="1:15" ht="20.100000000000001" customHeight="1" x14ac:dyDescent="0.25">
      <c r="A114" s="21" t="s">
        <v>463</v>
      </c>
      <c r="B114" t="s">
        <v>831</v>
      </c>
      <c r="C114" s="15">
        <v>119.26</v>
      </c>
      <c r="D114" s="15">
        <v>118.35</v>
      </c>
      <c r="E114" s="15">
        <v>119.63</v>
      </c>
      <c r="F114" s="15">
        <v>119.28</v>
      </c>
      <c r="G114" s="16">
        <v>-1.6767270288393712E-4</v>
      </c>
      <c r="H114" s="15" t="s">
        <v>1277</v>
      </c>
      <c r="I114" s="15">
        <v>2.92</v>
      </c>
      <c r="J114" s="15">
        <v>22.54</v>
      </c>
      <c r="K114" s="15">
        <v>122.67</v>
      </c>
      <c r="L114" s="28" t="str">
        <f>HYPERLINK("http://finance.yahoo.com/q?s=" &amp; A114, "Link")</f>
        <v>Link</v>
      </c>
      <c r="M114" s="15">
        <f>K114*0.9</f>
        <v>110.40300000000001</v>
      </c>
      <c r="N114" s="15" t="str">
        <f>IF(M114&gt;C114, "Buy", "")</f>
        <v/>
      </c>
      <c r="O114" s="33">
        <f>C114/K114</f>
        <v>0.97220184234124074</v>
      </c>
    </row>
    <row r="115" spans="1:15" ht="20.100000000000001" customHeight="1" x14ac:dyDescent="0.25">
      <c r="A115" s="21" t="s">
        <v>1</v>
      </c>
      <c r="B115" t="s">
        <v>118</v>
      </c>
      <c r="C115" s="15">
        <v>61.15</v>
      </c>
      <c r="D115" s="15">
        <v>61.08</v>
      </c>
      <c r="E115" s="15">
        <v>61.77</v>
      </c>
      <c r="F115" s="15">
        <v>61.38</v>
      </c>
      <c r="G115" s="16">
        <v>-3.7471489084392956E-3</v>
      </c>
      <c r="H115" s="15" t="s">
        <v>1308</v>
      </c>
      <c r="I115" s="15">
        <v>4.1900000000000004</v>
      </c>
      <c r="J115" s="15">
        <v>16.53</v>
      </c>
      <c r="K115" s="15">
        <v>62.87</v>
      </c>
      <c r="L115" s="28" t="str">
        <f>HYPERLINK("http://finance.yahoo.com/q?s=" &amp; A115, "Link")</f>
        <v>Link</v>
      </c>
      <c r="M115" s="15">
        <f>K115*0.9</f>
        <v>56.582999999999998</v>
      </c>
      <c r="N115" s="15" t="str">
        <f>IF(M115&gt;C115, "Buy", "")</f>
        <v/>
      </c>
      <c r="O115" s="33">
        <f>C115/K115</f>
        <v>0.97264195959917288</v>
      </c>
    </row>
    <row r="116" spans="1:15" ht="20.100000000000001" customHeight="1" x14ac:dyDescent="0.25">
      <c r="A116" s="21" t="s">
        <v>529</v>
      </c>
      <c r="B116" t="s">
        <v>892</v>
      </c>
      <c r="C116" s="15">
        <v>102.44</v>
      </c>
      <c r="D116" s="15">
        <v>101.6</v>
      </c>
      <c r="E116" s="15">
        <v>102.95</v>
      </c>
      <c r="F116" s="15">
        <v>102.08</v>
      </c>
      <c r="G116" s="16">
        <v>3.5266457680250729E-3</v>
      </c>
      <c r="H116" s="15" t="s">
        <v>1272</v>
      </c>
      <c r="I116" s="15">
        <v>2.95</v>
      </c>
      <c r="J116" s="15">
        <v>19.010000000000002</v>
      </c>
      <c r="K116" s="15">
        <v>105.26</v>
      </c>
      <c r="L116" s="28" t="str">
        <f>HYPERLINK("http://finance.yahoo.com/q?s=" &amp; A116, "Link")</f>
        <v>Link</v>
      </c>
      <c r="M116" s="15">
        <f>K116*0.9</f>
        <v>94.734000000000009</v>
      </c>
      <c r="N116" s="15" t="str">
        <f>IF(M116&gt;C116, "Buy", "")</f>
        <v/>
      </c>
      <c r="O116" s="33">
        <f>C116/K116</f>
        <v>0.9732091962758882</v>
      </c>
    </row>
    <row r="117" spans="1:15" ht="20.100000000000001" customHeight="1" x14ac:dyDescent="0.25">
      <c r="A117" s="21" t="s">
        <v>502</v>
      </c>
      <c r="B117" t="s">
        <v>867</v>
      </c>
      <c r="C117" s="15">
        <v>217.97</v>
      </c>
      <c r="D117" s="15">
        <v>213.66</v>
      </c>
      <c r="E117" s="15">
        <v>218.3</v>
      </c>
      <c r="F117" s="15">
        <v>215.33</v>
      </c>
      <c r="G117" s="16">
        <v>1.2260251706682702E-2</v>
      </c>
      <c r="H117" s="15" t="s">
        <v>1259</v>
      </c>
      <c r="I117" s="15">
        <v>3.67</v>
      </c>
      <c r="J117" s="15">
        <v>33.380000000000003</v>
      </c>
      <c r="K117" s="15">
        <v>223.9</v>
      </c>
      <c r="L117" s="28" t="str">
        <f>HYPERLINK("http://finance.yahoo.com/q?s=" &amp; A117, "Link")</f>
        <v>Link</v>
      </c>
      <c r="M117" s="15">
        <f>K117*0.9</f>
        <v>201.51000000000002</v>
      </c>
      <c r="N117" s="15" t="str">
        <f>IF(M117&gt;C117, "Buy", "")</f>
        <v/>
      </c>
      <c r="O117" s="33">
        <f>C117/K117</f>
        <v>0.97351496203662347</v>
      </c>
    </row>
    <row r="118" spans="1:15" ht="20.100000000000001" customHeight="1" x14ac:dyDescent="0.25">
      <c r="A118" s="21" t="s">
        <v>269</v>
      </c>
      <c r="B118" t="s">
        <v>658</v>
      </c>
      <c r="C118" s="15">
        <v>156.9</v>
      </c>
      <c r="D118" s="15">
        <v>155.97</v>
      </c>
      <c r="E118" s="15">
        <v>158.66999999999999</v>
      </c>
      <c r="F118" s="15">
        <v>157.72999999999999</v>
      </c>
      <c r="G118" s="16">
        <v>-5.262156850313727E-3</v>
      </c>
      <c r="H118" s="15" t="s">
        <v>1295</v>
      </c>
      <c r="I118" s="15" t="s">
        <v>124</v>
      </c>
      <c r="J118" s="15">
        <v>26.05</v>
      </c>
      <c r="K118" s="15">
        <v>161.15</v>
      </c>
      <c r="L118" s="28" t="str">
        <f>HYPERLINK("http://finance.yahoo.com/q?s=" &amp; A118, "Link")</f>
        <v>Link</v>
      </c>
      <c r="M118" s="15">
        <f>K118*0.9</f>
        <v>145.035</v>
      </c>
      <c r="N118" s="15" t="str">
        <f>IF(M118&gt;C118, "Buy", "")</f>
        <v/>
      </c>
      <c r="O118" s="33">
        <f>C118/K118</f>
        <v>0.9736270555383183</v>
      </c>
    </row>
    <row r="119" spans="1:15" ht="20.100000000000001" customHeight="1" x14ac:dyDescent="0.25">
      <c r="A119" s="21" t="s">
        <v>401</v>
      </c>
      <c r="B119" t="s">
        <v>1131</v>
      </c>
      <c r="C119" s="15">
        <v>42.9</v>
      </c>
      <c r="D119" s="15">
        <v>42.51</v>
      </c>
      <c r="E119" s="15">
        <v>43.48</v>
      </c>
      <c r="F119" s="15">
        <v>42.87</v>
      </c>
      <c r="G119" s="16">
        <v>6.9979006298113218E-4</v>
      </c>
      <c r="H119" s="15" t="s">
        <v>1316</v>
      </c>
      <c r="I119" s="15">
        <v>2.61</v>
      </c>
      <c r="J119" s="15" t="s">
        <v>124</v>
      </c>
      <c r="K119" s="15">
        <v>44.06</v>
      </c>
      <c r="L119" s="28" t="str">
        <f>HYPERLINK("http://finance.yahoo.com/q?s=" &amp; A119, "Link")</f>
        <v>Link</v>
      </c>
      <c r="M119" s="15">
        <f>K119*0.9</f>
        <v>39.654000000000003</v>
      </c>
      <c r="N119" s="15" t="str">
        <f>IF(M119&gt;C119, "Buy", "")</f>
        <v/>
      </c>
      <c r="O119" s="33">
        <f>C119/K119</f>
        <v>0.97367226509305482</v>
      </c>
    </row>
    <row r="120" spans="1:15" ht="20.100000000000001" customHeight="1" x14ac:dyDescent="0.25">
      <c r="A120" s="21" t="s">
        <v>544</v>
      </c>
      <c r="B120" t="s">
        <v>906</v>
      </c>
      <c r="C120" s="15">
        <v>80.349999999999994</v>
      </c>
      <c r="D120" s="15">
        <v>79.53</v>
      </c>
      <c r="E120" s="15">
        <v>80.430000000000007</v>
      </c>
      <c r="F120" s="15">
        <v>79.959999999999994</v>
      </c>
      <c r="G120" s="16">
        <v>4.8774387193596877E-3</v>
      </c>
      <c r="H120" s="15" t="s">
        <v>1250</v>
      </c>
      <c r="I120" s="15" t="s">
        <v>124</v>
      </c>
      <c r="J120" s="15">
        <v>29.21</v>
      </c>
      <c r="K120" s="15">
        <v>82.51</v>
      </c>
      <c r="L120" s="28" t="str">
        <f>HYPERLINK("http://finance.yahoo.com/q?s=" &amp; A120, "Link")</f>
        <v>Link</v>
      </c>
      <c r="M120" s="15">
        <f>K120*0.9</f>
        <v>74.259</v>
      </c>
      <c r="N120" s="15" t="str">
        <f>IF(M120&gt;C120, "Buy", "")</f>
        <v/>
      </c>
      <c r="O120" s="33">
        <f>C120/K120</f>
        <v>0.97382135498727418</v>
      </c>
    </row>
    <row r="121" spans="1:15" ht="20.100000000000001" customHeight="1" x14ac:dyDescent="0.25">
      <c r="A121" s="21" t="s">
        <v>74</v>
      </c>
      <c r="B121" t="s">
        <v>181</v>
      </c>
      <c r="C121" s="15">
        <v>103.24</v>
      </c>
      <c r="D121" s="15">
        <v>102.44</v>
      </c>
      <c r="E121" s="15">
        <v>103.32</v>
      </c>
      <c r="F121" s="15">
        <v>102.36</v>
      </c>
      <c r="G121" s="16">
        <v>8.5971082454083178E-3</v>
      </c>
      <c r="H121" s="15" t="s">
        <v>1261</v>
      </c>
      <c r="I121" s="15">
        <v>2.92</v>
      </c>
      <c r="J121" s="15">
        <v>22.65</v>
      </c>
      <c r="K121" s="15">
        <v>106</v>
      </c>
      <c r="L121" s="28" t="str">
        <f>HYPERLINK("http://finance.yahoo.com/q?s=" &amp; A121, "Link")</f>
        <v>Link</v>
      </c>
      <c r="M121" s="15">
        <f>K121*0.9</f>
        <v>95.4</v>
      </c>
      <c r="N121" s="15" t="str">
        <f>IF(M121&gt;C121, "Buy", "")</f>
        <v/>
      </c>
      <c r="O121" s="33">
        <f>C121/K121</f>
        <v>0.97396226415094334</v>
      </c>
    </row>
    <row r="122" spans="1:15" ht="20.100000000000001" customHeight="1" x14ac:dyDescent="0.25">
      <c r="A122" s="21" t="s">
        <v>247</v>
      </c>
      <c r="B122" t="s">
        <v>637</v>
      </c>
      <c r="C122" s="15">
        <v>72.41</v>
      </c>
      <c r="D122" s="15">
        <v>72.05</v>
      </c>
      <c r="E122" s="15">
        <v>73.09</v>
      </c>
      <c r="F122" s="15">
        <v>72.489999999999995</v>
      </c>
      <c r="G122" s="16">
        <v>-1.1036004966202E-3</v>
      </c>
      <c r="H122" s="15" t="s">
        <v>1278</v>
      </c>
      <c r="I122" s="15">
        <v>2.2599999999999998</v>
      </c>
      <c r="J122" s="15">
        <v>20.99</v>
      </c>
      <c r="K122" s="15">
        <v>74.34</v>
      </c>
      <c r="L122" s="28" t="str">
        <f>HYPERLINK("http://finance.yahoo.com/q?s=" &amp; A122, "Link")</f>
        <v>Link</v>
      </c>
      <c r="M122" s="15">
        <f>K122*0.9</f>
        <v>66.906000000000006</v>
      </c>
      <c r="N122" s="15" t="str">
        <f>IF(M122&gt;C122, "Buy", "")</f>
        <v/>
      </c>
      <c r="O122" s="33">
        <f>C122/K122</f>
        <v>0.97403820285176212</v>
      </c>
    </row>
    <row r="123" spans="1:15" ht="20.100000000000001" customHeight="1" x14ac:dyDescent="0.25">
      <c r="A123" s="21" t="s">
        <v>298</v>
      </c>
      <c r="B123" t="s">
        <v>684</v>
      </c>
      <c r="C123" s="15">
        <v>73.08</v>
      </c>
      <c r="D123" s="15">
        <v>72.790000000000006</v>
      </c>
      <c r="E123" s="15">
        <v>73.8</v>
      </c>
      <c r="F123" s="15">
        <v>73.489999999999995</v>
      </c>
      <c r="G123" s="16">
        <v>-5.5789903388215626E-3</v>
      </c>
      <c r="H123" s="15" t="s">
        <v>1155</v>
      </c>
      <c r="I123" s="15">
        <v>3.6</v>
      </c>
      <c r="J123" s="15">
        <v>18</v>
      </c>
      <c r="K123" s="15">
        <v>74.989999999999995</v>
      </c>
      <c r="L123" s="28" t="str">
        <f>HYPERLINK("http://finance.yahoo.com/q?s=" &amp; A123, "Link")</f>
        <v>Link</v>
      </c>
      <c r="M123" s="15">
        <f>K123*0.9</f>
        <v>67.491</v>
      </c>
      <c r="N123" s="15" t="str">
        <f>IF(M123&gt;C123, "Buy", "")</f>
        <v/>
      </c>
      <c r="O123" s="33">
        <f>C123/K123</f>
        <v>0.97452993732497672</v>
      </c>
    </row>
    <row r="124" spans="1:15" ht="20.100000000000001" customHeight="1" x14ac:dyDescent="0.25">
      <c r="A124" s="21" t="s">
        <v>98</v>
      </c>
      <c r="B124" t="s">
        <v>203</v>
      </c>
      <c r="C124" s="15">
        <v>85.89</v>
      </c>
      <c r="D124" s="15">
        <v>85.05</v>
      </c>
      <c r="E124" s="15">
        <v>85.96</v>
      </c>
      <c r="F124" s="15">
        <v>84.73</v>
      </c>
      <c r="G124" s="16">
        <v>1.3690546441638104E-2</v>
      </c>
      <c r="H124" s="15" t="s">
        <v>1291</v>
      </c>
      <c r="I124" s="15">
        <v>3.48</v>
      </c>
      <c r="J124" s="15">
        <v>40.21</v>
      </c>
      <c r="K124" s="15">
        <v>88.13</v>
      </c>
      <c r="L124" s="28" t="str">
        <f>HYPERLINK("http://finance.yahoo.com/q?s=" &amp; A124, "Link")</f>
        <v>Link</v>
      </c>
      <c r="M124" s="15">
        <f>K124*0.9</f>
        <v>79.316999999999993</v>
      </c>
      <c r="N124" s="15" t="str">
        <f>IF(M124&gt;C124, "Buy", "")</f>
        <v/>
      </c>
      <c r="O124" s="33">
        <f>C124/K124</f>
        <v>0.97458300238284357</v>
      </c>
    </row>
    <row r="125" spans="1:15" ht="20.100000000000001" customHeight="1" x14ac:dyDescent="0.25">
      <c r="A125" s="21" t="s">
        <v>288</v>
      </c>
      <c r="B125" t="s">
        <v>676</v>
      </c>
      <c r="C125" s="15">
        <v>121.42</v>
      </c>
      <c r="D125" s="15">
        <v>120.47</v>
      </c>
      <c r="E125" s="15">
        <v>121.91</v>
      </c>
      <c r="F125" s="15">
        <v>120.25</v>
      </c>
      <c r="G125" s="16">
        <v>9.7297297297297431E-3</v>
      </c>
      <c r="H125" s="15" t="s">
        <v>1263</v>
      </c>
      <c r="I125" s="15">
        <v>2.64</v>
      </c>
      <c r="J125" s="15">
        <v>24.44</v>
      </c>
      <c r="K125" s="15">
        <v>124.52</v>
      </c>
      <c r="L125" s="28" t="str">
        <f>HYPERLINK("http://finance.yahoo.com/q?s=" &amp; A125, "Link")</f>
        <v>Link</v>
      </c>
      <c r="M125" s="15">
        <f>K125*0.9</f>
        <v>112.068</v>
      </c>
      <c r="N125" s="15" t="str">
        <f>IF(M125&gt;C125, "Buy", "")</f>
        <v/>
      </c>
      <c r="O125" s="33">
        <f>C125/K125</f>
        <v>0.97510440089945394</v>
      </c>
    </row>
    <row r="126" spans="1:15" ht="20.100000000000001" customHeight="1" x14ac:dyDescent="0.25">
      <c r="A126" s="21" t="s">
        <v>397</v>
      </c>
      <c r="B126" t="s">
        <v>773</v>
      </c>
      <c r="C126" s="15">
        <v>656.75</v>
      </c>
      <c r="D126" s="15">
        <v>654.24</v>
      </c>
      <c r="E126" s="15">
        <v>661.22</v>
      </c>
      <c r="F126" s="15">
        <v>658.06</v>
      </c>
      <c r="G126" s="16">
        <v>-1.99069993617595E-3</v>
      </c>
      <c r="H126" s="15" t="s">
        <v>1312</v>
      </c>
      <c r="I126" s="15" t="s">
        <v>124</v>
      </c>
      <c r="J126" s="15">
        <v>35.42</v>
      </c>
      <c r="K126" s="15">
        <v>673.5</v>
      </c>
      <c r="L126" s="28" t="str">
        <f>HYPERLINK("http://finance.yahoo.com/q?s=" &amp; A126, "Link")</f>
        <v>Link</v>
      </c>
      <c r="M126" s="15">
        <f>K126*0.9</f>
        <v>606.15</v>
      </c>
      <c r="N126" s="15" t="str">
        <f>IF(M126&gt;C126, "Buy", "")</f>
        <v/>
      </c>
      <c r="O126" s="33">
        <f>C126/K126</f>
        <v>0.97512991833704532</v>
      </c>
    </row>
    <row r="127" spans="1:15" ht="20.100000000000001" customHeight="1" x14ac:dyDescent="0.25">
      <c r="A127" s="21" t="s">
        <v>575</v>
      </c>
      <c r="B127" t="s">
        <v>933</v>
      </c>
      <c r="C127" s="15">
        <v>89.92</v>
      </c>
      <c r="D127" s="15">
        <v>89.35</v>
      </c>
      <c r="E127" s="15">
        <v>90</v>
      </c>
      <c r="F127" s="15">
        <v>89.48</v>
      </c>
      <c r="G127" s="16">
        <v>4.9172999552972475E-3</v>
      </c>
      <c r="H127" s="15" t="s">
        <v>1304</v>
      </c>
      <c r="I127" s="15">
        <v>0</v>
      </c>
      <c r="J127" s="15">
        <v>21.46</v>
      </c>
      <c r="K127" s="15">
        <v>92.19</v>
      </c>
      <c r="L127" s="28" t="str">
        <f>HYPERLINK("http://finance.yahoo.com/q?s=" &amp; A127, "Link")</f>
        <v>Link</v>
      </c>
      <c r="M127" s="15">
        <f>K127*0.9</f>
        <v>82.971000000000004</v>
      </c>
      <c r="N127" s="15" t="str">
        <f>IF(M127&gt;C127, "Buy", "")</f>
        <v/>
      </c>
      <c r="O127" s="33">
        <f>C127/K127</f>
        <v>0.97537693893046973</v>
      </c>
    </row>
    <row r="128" spans="1:15" ht="20.100000000000001" customHeight="1" x14ac:dyDescent="0.25">
      <c r="A128" s="21" t="s">
        <v>229</v>
      </c>
      <c r="B128" t="s">
        <v>620</v>
      </c>
      <c r="C128" s="15">
        <v>62.91</v>
      </c>
      <c r="D128" s="15">
        <v>62.49</v>
      </c>
      <c r="E128" s="15">
        <v>63.15</v>
      </c>
      <c r="F128" s="15">
        <v>62.7</v>
      </c>
      <c r="G128" s="16">
        <v>3.349282296650618E-3</v>
      </c>
      <c r="H128" s="15" t="s">
        <v>1294</v>
      </c>
      <c r="I128" s="15">
        <v>3.75</v>
      </c>
      <c r="J128" s="15">
        <v>43.81</v>
      </c>
      <c r="K128" s="15">
        <v>64.48</v>
      </c>
      <c r="L128" s="28" t="str">
        <f>HYPERLINK("http://finance.yahoo.com/q?s=" &amp; A128, "Link")</f>
        <v>Link</v>
      </c>
      <c r="M128" s="15">
        <f>K128*0.9</f>
        <v>58.032000000000004</v>
      </c>
      <c r="N128" s="15" t="str">
        <f>IF(M128&gt;C128, "Buy", "")</f>
        <v/>
      </c>
      <c r="O128" s="33">
        <f>C128/K128</f>
        <v>0.97565136476426784</v>
      </c>
    </row>
    <row r="129" spans="1:15" ht="20.100000000000001" customHeight="1" x14ac:dyDescent="0.25">
      <c r="A129" s="21" t="s">
        <v>591</v>
      </c>
      <c r="B129" t="s">
        <v>948</v>
      </c>
      <c r="C129" s="15">
        <v>58.5</v>
      </c>
      <c r="D129" s="15">
        <v>58.18</v>
      </c>
      <c r="E129" s="15">
        <v>58.8</v>
      </c>
      <c r="F129" s="15">
        <v>58.56</v>
      </c>
      <c r="G129" s="16">
        <v>-1.0245901639344651E-3</v>
      </c>
      <c r="H129" s="15" t="s">
        <v>1293</v>
      </c>
      <c r="I129" s="15">
        <v>3.5</v>
      </c>
      <c r="J129" s="15">
        <v>20.079999999999998</v>
      </c>
      <c r="K129" s="15">
        <v>59.93</v>
      </c>
      <c r="L129" s="28" t="str">
        <f>HYPERLINK("http://finance.yahoo.com/q?s=" &amp; A129, "Link")</f>
        <v>Link</v>
      </c>
      <c r="M129" s="15">
        <f>K129*0.9</f>
        <v>53.936999999999998</v>
      </c>
      <c r="N129" s="15" t="str">
        <f>IF(M129&gt;C129, "Buy", "")</f>
        <v/>
      </c>
      <c r="O129" s="33">
        <f>C129/K129</f>
        <v>0.97613882863340562</v>
      </c>
    </row>
    <row r="130" spans="1:15" ht="20.100000000000001" customHeight="1" x14ac:dyDescent="0.25">
      <c r="A130" s="21" t="s">
        <v>364</v>
      </c>
      <c r="B130" t="s">
        <v>742</v>
      </c>
      <c r="C130" s="15">
        <v>24.2</v>
      </c>
      <c r="D130" s="15">
        <v>23.99</v>
      </c>
      <c r="E130" s="15">
        <v>24.3</v>
      </c>
      <c r="F130" s="15">
        <v>23.87</v>
      </c>
      <c r="G130" s="16">
        <v>1.3824884792626656E-2</v>
      </c>
      <c r="H130" s="15" t="s">
        <v>1256</v>
      </c>
      <c r="I130" s="15">
        <v>3.8</v>
      </c>
      <c r="J130" s="15">
        <v>14.4</v>
      </c>
      <c r="K130" s="15">
        <v>24.77</v>
      </c>
      <c r="L130" s="28" t="str">
        <f>HYPERLINK("http://finance.yahoo.com/q?s=" &amp; A130, "Link")</f>
        <v>Link</v>
      </c>
      <c r="M130" s="15">
        <f>K130*0.9</f>
        <v>22.292999999999999</v>
      </c>
      <c r="N130" s="15" t="str">
        <f>IF(M130&gt;C130, "Buy", "")</f>
        <v/>
      </c>
      <c r="O130" s="33">
        <f>C130/K130</f>
        <v>0.97698829228905937</v>
      </c>
    </row>
    <row r="131" spans="1:15" ht="20.100000000000001" customHeight="1" x14ac:dyDescent="0.25">
      <c r="A131" s="21" t="s">
        <v>249</v>
      </c>
      <c r="B131" t="s">
        <v>639</v>
      </c>
      <c r="C131" s="15">
        <v>74.98</v>
      </c>
      <c r="D131" s="15">
        <v>74.430000000000007</v>
      </c>
      <c r="E131" s="15">
        <v>75.91</v>
      </c>
      <c r="F131" s="15">
        <v>75.61</v>
      </c>
      <c r="G131" s="16">
        <v>-8.332231186350951E-3</v>
      </c>
      <c r="H131" s="15" t="s">
        <v>1319</v>
      </c>
      <c r="I131" s="15">
        <v>0.69</v>
      </c>
      <c r="J131" s="15">
        <v>42.99</v>
      </c>
      <c r="K131" s="15">
        <v>76.739999999999995</v>
      </c>
      <c r="L131" s="28" t="str">
        <f>HYPERLINK("http://finance.yahoo.com/q?s=" &amp; A131, "Link")</f>
        <v>Link</v>
      </c>
      <c r="M131" s="15">
        <f>K131*0.9</f>
        <v>69.066000000000003</v>
      </c>
      <c r="N131" s="15" t="str">
        <f>IF(M131&gt;C131, "Buy", "")</f>
        <v/>
      </c>
      <c r="O131" s="33">
        <f>C131/K131</f>
        <v>0.9770654156893408</v>
      </c>
    </row>
    <row r="132" spans="1:15" ht="20.100000000000001" customHeight="1" x14ac:dyDescent="0.25">
      <c r="A132" s="21" t="s">
        <v>482</v>
      </c>
      <c r="B132" t="s">
        <v>849</v>
      </c>
      <c r="C132" s="15">
        <v>58.8</v>
      </c>
      <c r="D132" s="15">
        <v>58.54</v>
      </c>
      <c r="E132" s="15">
        <v>59.25</v>
      </c>
      <c r="F132" s="15">
        <v>58.93</v>
      </c>
      <c r="G132" s="16">
        <v>-2.2060071270999927E-3</v>
      </c>
      <c r="H132" s="15" t="s">
        <v>1208</v>
      </c>
      <c r="I132" s="15">
        <v>2.35</v>
      </c>
      <c r="J132" s="15" t="s">
        <v>124</v>
      </c>
      <c r="K132" s="15">
        <v>60.18</v>
      </c>
      <c r="L132" s="28" t="str">
        <f>HYPERLINK("http://finance.yahoo.com/q?s=" &amp; A132, "Link")</f>
        <v>Link</v>
      </c>
      <c r="M132" s="15">
        <f>K132*0.9</f>
        <v>54.161999999999999</v>
      </c>
      <c r="N132" s="15" t="str">
        <f>IF(M132&gt;C132, "Buy", "")</f>
        <v/>
      </c>
      <c r="O132" s="33">
        <f>C132/K132</f>
        <v>0.97706879361914256</v>
      </c>
    </row>
    <row r="133" spans="1:15" ht="20.100000000000001" customHeight="1" x14ac:dyDescent="0.25">
      <c r="A133" s="21" t="s">
        <v>563</v>
      </c>
      <c r="B133" t="s">
        <v>923</v>
      </c>
      <c r="C133" s="15">
        <v>75.22</v>
      </c>
      <c r="D133" s="15">
        <v>74.260000000000005</v>
      </c>
      <c r="E133" s="15">
        <v>75.349999999999994</v>
      </c>
      <c r="F133" s="15">
        <v>74.790000000000006</v>
      </c>
      <c r="G133" s="16">
        <v>5.7494317422114262E-3</v>
      </c>
      <c r="H133" s="15" t="s">
        <v>1287</v>
      </c>
      <c r="I133" s="15">
        <v>1.26</v>
      </c>
      <c r="J133" s="15">
        <v>23.87</v>
      </c>
      <c r="K133" s="15">
        <v>76.91</v>
      </c>
      <c r="L133" s="28" t="str">
        <f>HYPERLINK("http://finance.yahoo.com/q?s=" &amp; A133, "Link")</f>
        <v>Link</v>
      </c>
      <c r="M133" s="15">
        <f>K133*0.9</f>
        <v>69.218999999999994</v>
      </c>
      <c r="N133" s="15" t="str">
        <f>IF(M133&gt;C133, "Buy", "")</f>
        <v/>
      </c>
      <c r="O133" s="33">
        <f>C133/K133</f>
        <v>0.97802626446495911</v>
      </c>
    </row>
    <row r="134" spans="1:15" ht="20.100000000000001" customHeight="1" x14ac:dyDescent="0.25">
      <c r="A134" s="21" t="s">
        <v>78</v>
      </c>
      <c r="B134" t="s">
        <v>185</v>
      </c>
      <c r="C134" s="15">
        <v>62.88</v>
      </c>
      <c r="D134" s="15">
        <v>62.62</v>
      </c>
      <c r="E134" s="15">
        <v>65.739999999999995</v>
      </c>
      <c r="F134" s="15">
        <v>64.44</v>
      </c>
      <c r="G134" s="16">
        <v>-2.4208566108007375E-2</v>
      </c>
      <c r="H134" s="15" t="s">
        <v>1419</v>
      </c>
      <c r="I134" s="15">
        <v>3.26</v>
      </c>
      <c r="J134" s="15">
        <v>16.5</v>
      </c>
      <c r="K134" s="15">
        <v>64.19</v>
      </c>
      <c r="L134" s="28" t="str">
        <f>HYPERLINK("http://finance.yahoo.com/q?s=" &amp; A134, "Link")</f>
        <v>Link</v>
      </c>
      <c r="M134" s="15">
        <f>K134*0.9</f>
        <v>57.771000000000001</v>
      </c>
      <c r="N134" s="15" t="str">
        <f>IF(M134&gt;C134, "Buy", "")</f>
        <v/>
      </c>
      <c r="O134" s="33">
        <f>C134/K134</f>
        <v>0.97959183673469397</v>
      </c>
    </row>
    <row r="135" spans="1:15" ht="20.100000000000001" customHeight="1" x14ac:dyDescent="0.25">
      <c r="A135" s="21" t="s">
        <v>525</v>
      </c>
      <c r="B135" t="s">
        <v>889</v>
      </c>
      <c r="C135" s="15">
        <v>70.849999999999994</v>
      </c>
      <c r="D135" s="15">
        <v>70.47</v>
      </c>
      <c r="E135" s="15">
        <v>71.349999999999994</v>
      </c>
      <c r="F135" s="15">
        <v>70.989999999999995</v>
      </c>
      <c r="G135" s="16">
        <v>-1.9721087477109532E-3</v>
      </c>
      <c r="H135" s="15" t="s">
        <v>1148</v>
      </c>
      <c r="I135" s="15">
        <v>3.25</v>
      </c>
      <c r="J135" s="15">
        <v>17.8</v>
      </c>
      <c r="K135" s="15">
        <v>72.260000000000005</v>
      </c>
      <c r="L135" s="28" t="str">
        <f>HYPERLINK("http://finance.yahoo.com/q?s=" &amp; A135, "Link")</f>
        <v>Link</v>
      </c>
      <c r="M135" s="15">
        <f>K135*0.9</f>
        <v>65.034000000000006</v>
      </c>
      <c r="N135" s="15" t="str">
        <f>IF(M135&gt;C135, "Buy", "")</f>
        <v/>
      </c>
      <c r="O135" s="33">
        <f>C135/K135</f>
        <v>0.98048712980902286</v>
      </c>
    </row>
    <row r="136" spans="1:15" ht="20.100000000000001" customHeight="1" x14ac:dyDescent="0.25">
      <c r="A136" s="21" t="s">
        <v>213</v>
      </c>
      <c r="B136" t="s">
        <v>607</v>
      </c>
      <c r="C136" s="15">
        <v>70.08</v>
      </c>
      <c r="D136" s="15">
        <v>69.62</v>
      </c>
      <c r="E136" s="15">
        <v>70.180000000000007</v>
      </c>
      <c r="F136" s="15">
        <v>69.459999999999994</v>
      </c>
      <c r="G136" s="16">
        <v>8.9260005758710712E-3</v>
      </c>
      <c r="H136" s="15" t="s">
        <v>1286</v>
      </c>
      <c r="I136" s="15">
        <v>2.4500000000000002</v>
      </c>
      <c r="J136" s="15">
        <v>11.11</v>
      </c>
      <c r="K136" s="15">
        <v>71.47</v>
      </c>
      <c r="L136" s="28" t="str">
        <f>HYPERLINK("http://finance.yahoo.com/q?s=" &amp; A136, "Link")</f>
        <v>Link</v>
      </c>
      <c r="M136" s="15">
        <f>K136*0.9</f>
        <v>64.323000000000008</v>
      </c>
      <c r="N136" s="15" t="str">
        <f>IF(M136&gt;C136, "Buy", "")</f>
        <v/>
      </c>
      <c r="O136" s="33">
        <f>C136/K136</f>
        <v>0.98055128025745064</v>
      </c>
    </row>
    <row r="137" spans="1:15" ht="20.100000000000001" customHeight="1" x14ac:dyDescent="0.25">
      <c r="A137" s="21" t="s">
        <v>268</v>
      </c>
      <c r="B137" t="s">
        <v>657</v>
      </c>
      <c r="C137" s="15">
        <v>75.03</v>
      </c>
      <c r="D137" s="15">
        <v>74.930000000000007</v>
      </c>
      <c r="E137" s="15">
        <v>75.78</v>
      </c>
      <c r="F137" s="15">
        <v>75.55</v>
      </c>
      <c r="G137" s="16">
        <v>-6.8828590337524295E-3</v>
      </c>
      <c r="H137" s="15" t="s">
        <v>1296</v>
      </c>
      <c r="I137" s="15">
        <v>2.39</v>
      </c>
      <c r="J137" s="15">
        <v>18.16</v>
      </c>
      <c r="K137" s="15">
        <v>76.48</v>
      </c>
      <c r="L137" s="28" t="str">
        <f>HYPERLINK("http://finance.yahoo.com/q?s=" &amp; A137, "Link")</f>
        <v>Link</v>
      </c>
      <c r="M137" s="15">
        <f>K137*0.9</f>
        <v>68.832000000000008</v>
      </c>
      <c r="N137" s="15" t="str">
        <f>IF(M137&gt;C137, "Buy", "")</f>
        <v/>
      </c>
      <c r="O137" s="33">
        <f>C137/K137</f>
        <v>0.98104079497907948</v>
      </c>
    </row>
    <row r="138" spans="1:15" ht="20.100000000000001" customHeight="1" x14ac:dyDescent="0.25">
      <c r="A138" s="21" t="s">
        <v>345</v>
      </c>
      <c r="B138" t="s">
        <v>724</v>
      </c>
      <c r="C138" s="15">
        <v>71.75</v>
      </c>
      <c r="D138" s="15">
        <v>71.63</v>
      </c>
      <c r="E138" s="15">
        <v>72.92</v>
      </c>
      <c r="F138" s="15">
        <v>72.45</v>
      </c>
      <c r="G138" s="16">
        <v>-9.66183574879231E-3</v>
      </c>
      <c r="H138" s="15" t="s">
        <v>1292</v>
      </c>
      <c r="I138" s="15">
        <v>0</v>
      </c>
      <c r="J138" s="15">
        <v>16.13</v>
      </c>
      <c r="K138" s="15">
        <v>73.069999999999993</v>
      </c>
      <c r="L138" s="28" t="str">
        <f>HYPERLINK("http://finance.yahoo.com/q?s=" &amp; A138, "Link")</f>
        <v>Link</v>
      </c>
      <c r="M138" s="15">
        <f>K138*0.9</f>
        <v>65.762999999999991</v>
      </c>
      <c r="N138" s="15" t="str">
        <f>IF(M138&gt;C138, "Buy", "")</f>
        <v/>
      </c>
      <c r="O138" s="33">
        <f>C138/K138</f>
        <v>0.98193513069659244</v>
      </c>
    </row>
    <row r="139" spans="1:15" ht="20.100000000000001" customHeight="1" x14ac:dyDescent="0.25">
      <c r="A139" s="21" t="s">
        <v>506</v>
      </c>
      <c r="B139" t="s">
        <v>870</v>
      </c>
      <c r="C139" s="15">
        <v>17.96</v>
      </c>
      <c r="D139" s="15">
        <v>17.87</v>
      </c>
      <c r="E139" s="15">
        <v>18.399999999999999</v>
      </c>
      <c r="F139" s="15">
        <v>17.850000000000001</v>
      </c>
      <c r="G139" s="16">
        <v>6.1624649859943655E-3</v>
      </c>
      <c r="H139" s="15" t="s">
        <v>1314</v>
      </c>
      <c r="I139" s="15">
        <v>0</v>
      </c>
      <c r="J139" s="15" t="s">
        <v>124</v>
      </c>
      <c r="K139" s="15">
        <v>18.29</v>
      </c>
      <c r="L139" s="28" t="str">
        <f>HYPERLINK("http://finance.yahoo.com/q?s=" &amp; A139, "Link")</f>
        <v>Link</v>
      </c>
      <c r="M139" s="15">
        <f>K139*0.9</f>
        <v>16.460999999999999</v>
      </c>
      <c r="N139" s="15" t="str">
        <f>IF(M139&gt;C139, "Buy", "")</f>
        <v/>
      </c>
      <c r="O139" s="33">
        <f>C139/K139</f>
        <v>0.98195735374521609</v>
      </c>
    </row>
    <row r="140" spans="1:15" ht="20.100000000000001" customHeight="1" x14ac:dyDescent="0.25">
      <c r="A140" s="21" t="s">
        <v>560</v>
      </c>
      <c r="B140" t="s">
        <v>920</v>
      </c>
      <c r="C140" s="15">
        <v>75.489999999999995</v>
      </c>
      <c r="D140" s="15">
        <v>74.59</v>
      </c>
      <c r="E140" s="15">
        <v>75.540000000000006</v>
      </c>
      <c r="F140" s="15">
        <v>75.08</v>
      </c>
      <c r="G140" s="16">
        <v>5.4608417687799227E-3</v>
      </c>
      <c r="H140" s="15" t="s">
        <v>1313</v>
      </c>
      <c r="I140" s="15">
        <v>1.38</v>
      </c>
      <c r="J140" s="15">
        <v>22.11</v>
      </c>
      <c r="K140" s="15">
        <v>76.849999999999994</v>
      </c>
      <c r="L140" s="28" t="str">
        <f>HYPERLINK("http://finance.yahoo.com/q?s=" &amp; A140, "Link")</f>
        <v>Link</v>
      </c>
      <c r="M140" s="15">
        <f>K140*0.9</f>
        <v>69.164999999999992</v>
      </c>
      <c r="N140" s="15" t="str">
        <f>IF(M140&gt;C140, "Buy", "")</f>
        <v/>
      </c>
      <c r="O140" s="33">
        <f>C140/K140</f>
        <v>0.98230318802862715</v>
      </c>
    </row>
    <row r="141" spans="1:15" ht="20.100000000000001" customHeight="1" x14ac:dyDescent="0.25">
      <c r="A141" s="21" t="s">
        <v>511</v>
      </c>
      <c r="B141" t="s">
        <v>875</v>
      </c>
      <c r="C141" s="15">
        <v>74.2</v>
      </c>
      <c r="D141" s="15">
        <v>73.459999999999994</v>
      </c>
      <c r="E141" s="15">
        <v>74.599999999999994</v>
      </c>
      <c r="F141" s="15">
        <v>73.92</v>
      </c>
      <c r="G141" s="16">
        <v>3.7878787878788032E-3</v>
      </c>
      <c r="H141" s="15" t="s">
        <v>1281</v>
      </c>
      <c r="I141" s="15" t="s">
        <v>124</v>
      </c>
      <c r="J141" s="15">
        <v>56.64</v>
      </c>
      <c r="K141" s="15">
        <v>75.489999999999995</v>
      </c>
      <c r="L141" s="28" t="str">
        <f>HYPERLINK("http://finance.yahoo.com/q?s=" &amp; A141, "Link")</f>
        <v>Link</v>
      </c>
      <c r="M141" s="15">
        <f>K141*0.9</f>
        <v>67.941000000000003</v>
      </c>
      <c r="N141" s="15" t="str">
        <f>IF(M141&gt;C141, "Buy", "")</f>
        <v/>
      </c>
      <c r="O141" s="33">
        <f>C141/K141</f>
        <v>0.982911643926348</v>
      </c>
    </row>
    <row r="142" spans="1:15" ht="20.100000000000001" customHeight="1" x14ac:dyDescent="0.25">
      <c r="A142" s="21" t="s">
        <v>601</v>
      </c>
      <c r="B142" t="s">
        <v>957</v>
      </c>
      <c r="C142" s="15">
        <v>113.56</v>
      </c>
      <c r="D142" s="15" t="s">
        <v>124</v>
      </c>
      <c r="E142" s="15" t="s">
        <v>124</v>
      </c>
      <c r="F142" s="15">
        <v>113.56</v>
      </c>
      <c r="G142" s="16">
        <v>0</v>
      </c>
      <c r="H142" s="15" t="s">
        <v>124</v>
      </c>
      <c r="I142" s="15" t="s">
        <v>124</v>
      </c>
      <c r="J142" s="15" t="s">
        <v>124</v>
      </c>
      <c r="K142" s="15">
        <v>115.5</v>
      </c>
      <c r="L142" s="28" t="str">
        <f>HYPERLINK("http://finance.yahoo.com/q?s=" &amp; A142, "Link")</f>
        <v>Link</v>
      </c>
      <c r="M142" s="15">
        <f>K142*0.9</f>
        <v>103.95</v>
      </c>
      <c r="N142" s="15" t="str">
        <f>IF(M142&gt;C142, "Buy", "")</f>
        <v/>
      </c>
      <c r="O142" s="33">
        <f>C142/K142</f>
        <v>0.98320346320346319</v>
      </c>
    </row>
    <row r="143" spans="1:15" ht="20.100000000000001" customHeight="1" x14ac:dyDescent="0.25">
      <c r="A143" s="21" t="s">
        <v>2</v>
      </c>
      <c r="B143" t="s">
        <v>119</v>
      </c>
      <c r="C143" s="15">
        <v>40.46</v>
      </c>
      <c r="D143" s="15">
        <v>40.35</v>
      </c>
      <c r="E143" s="15">
        <v>40.770000000000003</v>
      </c>
      <c r="F143" s="15">
        <v>40.4</v>
      </c>
      <c r="G143" s="16">
        <v>1.4851485148515415E-3</v>
      </c>
      <c r="H143" s="15" t="s">
        <v>1320</v>
      </c>
      <c r="I143" s="15">
        <v>2.62</v>
      </c>
      <c r="J143" s="15">
        <v>44.17</v>
      </c>
      <c r="K143" s="15">
        <v>41.15</v>
      </c>
      <c r="L143" s="28" t="str">
        <f>HYPERLINK("http://finance.yahoo.com/q?s=" &amp; A143, "Link")</f>
        <v>Link</v>
      </c>
      <c r="M143" s="15">
        <f>K143*0.9</f>
        <v>37.034999999999997</v>
      </c>
      <c r="N143" s="15" t="str">
        <f>IF(M143&gt;C143, "Buy", "")</f>
        <v/>
      </c>
      <c r="O143" s="33">
        <f>C143/K143</f>
        <v>0.98323207776427712</v>
      </c>
    </row>
    <row r="144" spans="1:15" ht="20.100000000000001" customHeight="1" x14ac:dyDescent="0.25">
      <c r="A144" s="21" t="s">
        <v>258</v>
      </c>
      <c r="B144" t="s">
        <v>648</v>
      </c>
      <c r="C144" s="15">
        <v>129.25</v>
      </c>
      <c r="D144" s="15">
        <v>128.18</v>
      </c>
      <c r="E144" s="15">
        <v>129.37</v>
      </c>
      <c r="F144" s="15">
        <v>128.44999999999999</v>
      </c>
      <c r="G144" s="16">
        <v>6.2281043207474615E-3</v>
      </c>
      <c r="H144" s="15" t="s">
        <v>1289</v>
      </c>
      <c r="I144" s="15">
        <v>2.3199999999999998</v>
      </c>
      <c r="J144" s="15">
        <v>40.26</v>
      </c>
      <c r="K144" s="15">
        <v>131.44</v>
      </c>
      <c r="L144" s="28" t="str">
        <f>HYPERLINK("http://finance.yahoo.com/q?s=" &amp; A144, "Link")</f>
        <v>Link</v>
      </c>
      <c r="M144" s="15">
        <f>K144*0.9</f>
        <v>118.29600000000001</v>
      </c>
      <c r="N144" s="15" t="str">
        <f>IF(M144&gt;C144, "Buy", "")</f>
        <v/>
      </c>
      <c r="O144" s="33">
        <f>C144/K144</f>
        <v>0.98333840535605599</v>
      </c>
    </row>
    <row r="145" spans="1:15" ht="20.100000000000001" customHeight="1" x14ac:dyDescent="0.25">
      <c r="A145" s="21" t="s">
        <v>77</v>
      </c>
      <c r="B145" t="s">
        <v>184</v>
      </c>
      <c r="C145" s="15">
        <v>94.57</v>
      </c>
      <c r="D145" s="15">
        <v>94.07</v>
      </c>
      <c r="E145" s="15">
        <v>94.68</v>
      </c>
      <c r="F145" s="15">
        <v>93.85</v>
      </c>
      <c r="G145" s="16">
        <v>7.6718167288225775E-3</v>
      </c>
      <c r="H145" s="15" t="s">
        <v>1240</v>
      </c>
      <c r="I145" s="15">
        <v>4.4000000000000004</v>
      </c>
      <c r="J145" s="15">
        <v>22.62</v>
      </c>
      <c r="K145" s="15">
        <v>96.15</v>
      </c>
      <c r="L145" s="28" t="str">
        <f>HYPERLINK("http://finance.yahoo.com/q?s=" &amp; A145, "Link")</f>
        <v>Link</v>
      </c>
      <c r="M145" s="15">
        <f>K145*0.9</f>
        <v>86.535000000000011</v>
      </c>
      <c r="N145" s="15" t="str">
        <f>IF(M145&gt;C145, "Buy", "")</f>
        <v/>
      </c>
      <c r="O145" s="33">
        <f>C145/K145</f>
        <v>0.9835673426937076</v>
      </c>
    </row>
    <row r="146" spans="1:15" ht="20.100000000000001" customHeight="1" x14ac:dyDescent="0.25">
      <c r="A146" s="21" t="s">
        <v>24</v>
      </c>
      <c r="B146" t="s">
        <v>137</v>
      </c>
      <c r="C146" s="15">
        <v>30.1</v>
      </c>
      <c r="D146" s="15">
        <v>30</v>
      </c>
      <c r="E146" s="15">
        <v>30.25</v>
      </c>
      <c r="F146" s="15">
        <v>29.98</v>
      </c>
      <c r="G146" s="16">
        <v>4.0026684456304536E-3</v>
      </c>
      <c r="H146" s="15" t="s">
        <v>1300</v>
      </c>
      <c r="I146" s="15">
        <v>3.46</v>
      </c>
      <c r="J146" s="15">
        <v>14.4</v>
      </c>
      <c r="K146" s="15">
        <v>30.59</v>
      </c>
      <c r="L146" s="28" t="str">
        <f>HYPERLINK("http://finance.yahoo.com/q?s=" &amp; A146, "Link")</f>
        <v>Link</v>
      </c>
      <c r="M146" s="15">
        <f>K146*0.9</f>
        <v>27.530999999999999</v>
      </c>
      <c r="N146" s="15" t="str">
        <f>IF(M146&gt;C146, "Buy", "")</f>
        <v/>
      </c>
      <c r="O146" s="33">
        <f>C146/K146</f>
        <v>0.98398169336384445</v>
      </c>
    </row>
    <row r="147" spans="1:15" ht="20.100000000000001" customHeight="1" x14ac:dyDescent="0.25">
      <c r="A147" s="21" t="s">
        <v>421</v>
      </c>
      <c r="B147" t="s">
        <v>794</v>
      </c>
      <c r="C147" s="15">
        <v>43.85</v>
      </c>
      <c r="D147" s="15">
        <v>43.64</v>
      </c>
      <c r="E147" s="15">
        <v>44.1</v>
      </c>
      <c r="F147" s="15">
        <v>43.73</v>
      </c>
      <c r="G147" s="16">
        <v>2.7441115938715882E-3</v>
      </c>
      <c r="H147" s="15" t="s">
        <v>1138</v>
      </c>
      <c r="I147" s="15">
        <v>0.36</v>
      </c>
      <c r="J147" s="15">
        <v>11.03</v>
      </c>
      <c r="K147" s="15">
        <v>44.52</v>
      </c>
      <c r="L147" s="28" t="str">
        <f>HYPERLINK("http://finance.yahoo.com/q?s=" &amp; A147, "Link")</f>
        <v>Link</v>
      </c>
      <c r="M147" s="15">
        <f>K147*0.9</f>
        <v>40.068000000000005</v>
      </c>
      <c r="N147" s="15" t="str">
        <f>IF(M147&gt;C147, "Buy", "")</f>
        <v/>
      </c>
      <c r="O147" s="33">
        <f>C147/K147</f>
        <v>0.98495058400718771</v>
      </c>
    </row>
    <row r="148" spans="1:15" ht="20.100000000000001" customHeight="1" x14ac:dyDescent="0.25">
      <c r="A148" s="21" t="s">
        <v>443</v>
      </c>
      <c r="B148" t="s">
        <v>814</v>
      </c>
      <c r="C148" s="15">
        <v>48.3</v>
      </c>
      <c r="D148" s="15" t="s">
        <v>124</v>
      </c>
      <c r="E148" s="15" t="s">
        <v>124</v>
      </c>
      <c r="F148" s="15">
        <v>48.3</v>
      </c>
      <c r="G148" s="16">
        <v>0</v>
      </c>
      <c r="H148" s="15" t="s">
        <v>124</v>
      </c>
      <c r="I148" s="15" t="s">
        <v>124</v>
      </c>
      <c r="J148" s="15" t="s">
        <v>124</v>
      </c>
      <c r="K148" s="15">
        <v>49</v>
      </c>
      <c r="L148" s="28" t="str">
        <f>HYPERLINK("http://finance.yahoo.com/q?s=" &amp; A148, "Link")</f>
        <v>Link</v>
      </c>
      <c r="M148" s="15">
        <f>K148*0.9</f>
        <v>44.1</v>
      </c>
      <c r="N148" s="15" t="str">
        <f>IF(M148&gt;C148, "Buy", "")</f>
        <v/>
      </c>
      <c r="O148" s="33">
        <f>C148/K148</f>
        <v>0.98571428571428565</v>
      </c>
    </row>
    <row r="149" spans="1:15" ht="20.100000000000001" customHeight="1" x14ac:dyDescent="0.25">
      <c r="A149" s="21" t="s">
        <v>553</v>
      </c>
      <c r="B149" t="s">
        <v>914</v>
      </c>
      <c r="C149" s="15">
        <v>28.47</v>
      </c>
      <c r="D149" s="15">
        <v>28.35</v>
      </c>
      <c r="E149" s="15">
        <v>28.61</v>
      </c>
      <c r="F149" s="15">
        <v>28.42</v>
      </c>
      <c r="G149" s="16">
        <v>1.7593244194228416E-3</v>
      </c>
      <c r="H149" s="15" t="s">
        <v>1144</v>
      </c>
      <c r="I149" s="15" t="s">
        <v>124</v>
      </c>
      <c r="J149" s="15">
        <v>206.3</v>
      </c>
      <c r="K149" s="15">
        <v>28.87</v>
      </c>
      <c r="L149" s="28" t="str">
        <f>HYPERLINK("http://finance.yahoo.com/q?s=" &amp; A149, "Link")</f>
        <v>Link</v>
      </c>
      <c r="M149" s="15">
        <f>K149*0.9</f>
        <v>25.983000000000001</v>
      </c>
      <c r="N149" s="15" t="str">
        <f>IF(M149&gt;C149, "Buy", "")</f>
        <v/>
      </c>
      <c r="O149" s="33">
        <f>C149/K149</f>
        <v>0.98614478697609964</v>
      </c>
    </row>
    <row r="150" spans="1:15" ht="20.100000000000001" customHeight="1" x14ac:dyDescent="0.25">
      <c r="A150" s="21" t="s">
        <v>474</v>
      </c>
      <c r="B150" t="s">
        <v>841</v>
      </c>
      <c r="C150" s="15">
        <v>274.01</v>
      </c>
      <c r="D150" s="15">
        <v>273.37</v>
      </c>
      <c r="E150" s="15">
        <v>277.41000000000003</v>
      </c>
      <c r="F150" s="15">
        <v>275.05</v>
      </c>
      <c r="G150" s="16">
        <v>-3.7811307035085272E-3</v>
      </c>
      <c r="H150" s="15" t="s">
        <v>1337</v>
      </c>
      <c r="I150" s="15" t="s">
        <v>124</v>
      </c>
      <c r="J150" s="15">
        <v>26.56</v>
      </c>
      <c r="K150" s="15">
        <v>277.83</v>
      </c>
      <c r="L150" s="28" t="str">
        <f>HYPERLINK("http://finance.yahoo.com/q?s=" &amp; A150, "Link")</f>
        <v>Link</v>
      </c>
      <c r="M150" s="15">
        <f>K150*0.9</f>
        <v>250.047</v>
      </c>
      <c r="N150" s="15" t="str">
        <f>IF(M150&gt;C150, "Buy", "")</f>
        <v/>
      </c>
      <c r="O150" s="33">
        <f>C150/K150</f>
        <v>0.98625058489004069</v>
      </c>
    </row>
    <row r="151" spans="1:15" ht="20.100000000000001" customHeight="1" x14ac:dyDescent="0.25">
      <c r="A151" s="21" t="s">
        <v>450</v>
      </c>
      <c r="B151" t="s">
        <v>821</v>
      </c>
      <c r="C151" s="15">
        <v>101.02</v>
      </c>
      <c r="D151" s="15">
        <v>100.13</v>
      </c>
      <c r="E151" s="15">
        <v>101.17</v>
      </c>
      <c r="F151" s="15">
        <v>99.96</v>
      </c>
      <c r="G151" s="16">
        <v>1.0604241696678694E-2</v>
      </c>
      <c r="H151" s="15" t="s">
        <v>1247</v>
      </c>
      <c r="I151" s="15">
        <v>1.53</v>
      </c>
      <c r="J151" s="15">
        <v>21.79</v>
      </c>
      <c r="K151" s="15">
        <v>102.39</v>
      </c>
      <c r="L151" s="28" t="str">
        <f>HYPERLINK("http://finance.yahoo.com/q?s=" &amp; A151, "Link")</f>
        <v>Link</v>
      </c>
      <c r="M151" s="15">
        <f>K151*0.9</f>
        <v>92.150999999999996</v>
      </c>
      <c r="N151" s="15" t="str">
        <f>IF(M151&gt;C151, "Buy", "")</f>
        <v/>
      </c>
      <c r="O151" s="33">
        <f>C151/K151</f>
        <v>0.98661978708858278</v>
      </c>
    </row>
    <row r="152" spans="1:15" ht="20.100000000000001" customHeight="1" x14ac:dyDescent="0.25">
      <c r="A152" s="21" t="s">
        <v>598</v>
      </c>
      <c r="B152" t="s">
        <v>954</v>
      </c>
      <c r="C152" s="15">
        <v>49.06</v>
      </c>
      <c r="D152" s="15">
        <v>48.87</v>
      </c>
      <c r="E152" s="15">
        <v>49.38</v>
      </c>
      <c r="F152" s="15">
        <v>49.05</v>
      </c>
      <c r="G152" s="16">
        <v>2.0387359836911552E-4</v>
      </c>
      <c r="H152" s="15" t="s">
        <v>1139</v>
      </c>
      <c r="I152" s="15">
        <v>1.26</v>
      </c>
      <c r="J152" s="15">
        <v>27.23</v>
      </c>
      <c r="K152" s="15">
        <v>49.7</v>
      </c>
      <c r="L152" s="28" t="str">
        <f>HYPERLINK("http://finance.yahoo.com/q?s=" &amp; A152, "Link")</f>
        <v>Link</v>
      </c>
      <c r="M152" s="15">
        <f>K152*0.9</f>
        <v>44.730000000000004</v>
      </c>
      <c r="N152" s="15" t="str">
        <f>IF(M152&gt;C152, "Buy", "")</f>
        <v/>
      </c>
      <c r="O152" s="33">
        <f>C152/K152</f>
        <v>0.987122736418511</v>
      </c>
    </row>
    <row r="153" spans="1:15" ht="20.100000000000001" customHeight="1" x14ac:dyDescent="0.25">
      <c r="A153" s="21" t="s">
        <v>339</v>
      </c>
      <c r="B153" t="s">
        <v>718</v>
      </c>
      <c r="C153" s="15">
        <v>63.36</v>
      </c>
      <c r="D153" s="15">
        <v>62.84</v>
      </c>
      <c r="E153" s="15">
        <v>63.77</v>
      </c>
      <c r="F153" s="15">
        <v>63</v>
      </c>
      <c r="G153" s="16">
        <v>5.7142857142857056E-3</v>
      </c>
      <c r="H153" s="15" t="s">
        <v>1311</v>
      </c>
      <c r="I153" s="15">
        <v>3.18</v>
      </c>
      <c r="J153" s="15">
        <v>5.52</v>
      </c>
      <c r="K153" s="15">
        <v>64.180000000000007</v>
      </c>
      <c r="L153" s="28" t="str">
        <f>HYPERLINK("http://finance.yahoo.com/q?s=" &amp; A153, "Link")</f>
        <v>Link</v>
      </c>
      <c r="M153" s="15">
        <f>K153*0.9</f>
        <v>57.762000000000008</v>
      </c>
      <c r="N153" s="15" t="str">
        <f>IF(M153&gt;C153, "Buy", "")</f>
        <v/>
      </c>
      <c r="O153" s="33">
        <f>C153/K153</f>
        <v>0.98722343409161717</v>
      </c>
    </row>
    <row r="154" spans="1:15" ht="20.100000000000001" customHeight="1" x14ac:dyDescent="0.25">
      <c r="A154" s="21" t="s">
        <v>69</v>
      </c>
      <c r="B154" t="s">
        <v>176</v>
      </c>
      <c r="C154" s="15">
        <v>53.2</v>
      </c>
      <c r="D154" s="15">
        <v>52.9</v>
      </c>
      <c r="E154" s="15">
        <v>53.35</v>
      </c>
      <c r="F154" s="15">
        <v>52.93</v>
      </c>
      <c r="G154" s="16">
        <v>5.1010768940110167E-3</v>
      </c>
      <c r="H154" s="15" t="s">
        <v>1301</v>
      </c>
      <c r="I154" s="15">
        <v>1.35</v>
      </c>
      <c r="J154" s="15">
        <v>23.46</v>
      </c>
      <c r="K154" s="15">
        <v>53.85</v>
      </c>
      <c r="L154" s="28" t="str">
        <f>HYPERLINK("http://finance.yahoo.com/q?s=" &amp; A154, "Link")</f>
        <v>Link</v>
      </c>
      <c r="M154" s="15">
        <f>K154*0.9</f>
        <v>48.465000000000003</v>
      </c>
      <c r="N154" s="15" t="str">
        <f>IF(M154&gt;C154, "Buy", "")</f>
        <v/>
      </c>
      <c r="O154" s="33">
        <f>C154/K154</f>
        <v>0.9879294336118849</v>
      </c>
    </row>
    <row r="155" spans="1:15" ht="20.100000000000001" customHeight="1" x14ac:dyDescent="0.25">
      <c r="A155" s="21" t="s">
        <v>329</v>
      </c>
      <c r="B155" t="s">
        <v>709</v>
      </c>
      <c r="C155" s="15">
        <v>71.97</v>
      </c>
      <c r="D155" s="15">
        <v>71.569999999999993</v>
      </c>
      <c r="E155" s="15">
        <v>72.31</v>
      </c>
      <c r="F155" s="15">
        <v>71.72</v>
      </c>
      <c r="G155" s="16">
        <v>3.4857780256553265E-3</v>
      </c>
      <c r="H155" s="15" t="s">
        <v>1318</v>
      </c>
      <c r="I155" s="15">
        <v>3.02</v>
      </c>
      <c r="J155" s="15">
        <v>26.69</v>
      </c>
      <c r="K155" s="15">
        <v>72.84</v>
      </c>
      <c r="L155" s="28" t="str">
        <f>HYPERLINK("http://finance.yahoo.com/q?s=" &amp; A155, "Link")</f>
        <v>Link</v>
      </c>
      <c r="M155" s="15">
        <f>K155*0.9</f>
        <v>65.556000000000012</v>
      </c>
      <c r="N155" s="15" t="str">
        <f>IF(M155&gt;C155, "Buy", "")</f>
        <v/>
      </c>
      <c r="O155" s="33">
        <f>C155/K155</f>
        <v>0.98805601317957159</v>
      </c>
    </row>
    <row r="156" spans="1:15" ht="20.100000000000001" customHeight="1" x14ac:dyDescent="0.25">
      <c r="A156" s="21" t="s">
        <v>494</v>
      </c>
      <c r="B156" t="s">
        <v>1135</v>
      </c>
      <c r="C156" s="15">
        <v>34.4</v>
      </c>
      <c r="D156" s="15">
        <v>34.090000000000003</v>
      </c>
      <c r="E156" s="15">
        <v>34.409999999999997</v>
      </c>
      <c r="F156" s="15">
        <v>34.229999999999997</v>
      </c>
      <c r="G156" s="16">
        <v>4.9664037394099242E-3</v>
      </c>
      <c r="H156" s="15" t="s">
        <v>1310</v>
      </c>
      <c r="I156" s="15">
        <v>4.42</v>
      </c>
      <c r="J156" s="15">
        <v>12.78</v>
      </c>
      <c r="K156" s="15">
        <v>34.79</v>
      </c>
      <c r="L156" s="28" t="str">
        <f>HYPERLINK("http://finance.yahoo.com/q?s=" &amp; A156, "Link")</f>
        <v>Link</v>
      </c>
      <c r="M156" s="15">
        <f>K156*0.9</f>
        <v>31.311</v>
      </c>
      <c r="N156" s="15" t="str">
        <f>IF(M156&gt;C156, "Buy", "")</f>
        <v/>
      </c>
      <c r="O156" s="33">
        <f>C156/K156</f>
        <v>0.98878988215004315</v>
      </c>
    </row>
    <row r="157" spans="1:15" ht="20.100000000000001" customHeight="1" x14ac:dyDescent="0.25">
      <c r="A157" s="21" t="s">
        <v>493</v>
      </c>
      <c r="B157" t="s">
        <v>860</v>
      </c>
      <c r="C157" s="15">
        <v>99</v>
      </c>
      <c r="D157" s="15">
        <v>97.87</v>
      </c>
      <c r="E157" s="15">
        <v>99.82</v>
      </c>
      <c r="F157" s="15">
        <v>97.5</v>
      </c>
      <c r="G157" s="16">
        <v>1.5384615384615385E-2</v>
      </c>
      <c r="H157" s="15" t="s">
        <v>1269</v>
      </c>
      <c r="I157" s="15">
        <v>1.65</v>
      </c>
      <c r="J157" s="15">
        <v>30.17</v>
      </c>
      <c r="K157" s="15">
        <v>100.01</v>
      </c>
      <c r="L157" s="28" t="str">
        <f>HYPERLINK("http://finance.yahoo.com/q?s=" &amp; A157, "Link")</f>
        <v>Link</v>
      </c>
      <c r="M157" s="15">
        <f>K157*0.9</f>
        <v>90.009</v>
      </c>
      <c r="N157" s="15" t="str">
        <f>IF(M157&gt;C157, "Buy", "")</f>
        <v/>
      </c>
      <c r="O157" s="33">
        <f>C157/K157</f>
        <v>0.98990100989901009</v>
      </c>
    </row>
    <row r="158" spans="1:15" ht="20.100000000000001" customHeight="1" x14ac:dyDescent="0.25">
      <c r="A158" s="21" t="s">
        <v>3</v>
      </c>
      <c r="B158" t="s">
        <v>963</v>
      </c>
      <c r="C158" s="15">
        <v>115.07</v>
      </c>
      <c r="D158" s="15">
        <v>114.81</v>
      </c>
      <c r="E158" s="15">
        <v>116.25</v>
      </c>
      <c r="F158" s="15">
        <v>115.5</v>
      </c>
      <c r="G158" s="16">
        <v>-3.7229437229437819E-3</v>
      </c>
      <c r="H158" s="15" t="s">
        <v>1336</v>
      </c>
      <c r="I158" s="15">
        <v>2.1</v>
      </c>
      <c r="J158" s="15">
        <v>17.03</v>
      </c>
      <c r="K158" s="15">
        <v>116.15</v>
      </c>
      <c r="L158" s="28" t="str">
        <f>HYPERLINK("http://finance.yahoo.com/q?s=" &amp; A158, "Link")</f>
        <v>Link</v>
      </c>
      <c r="M158" s="15">
        <f>K158*0.9</f>
        <v>104.53500000000001</v>
      </c>
      <c r="N158" s="15" t="str">
        <f>IF(M158&gt;C158, "Buy", "")</f>
        <v/>
      </c>
      <c r="O158" s="33">
        <f>C158/K158</f>
        <v>0.99070167886353844</v>
      </c>
    </row>
    <row r="159" spans="1:15" ht="20.100000000000001" customHeight="1" x14ac:dyDescent="0.25">
      <c r="A159" s="21" t="s">
        <v>594</v>
      </c>
      <c r="B159" t="s">
        <v>951</v>
      </c>
      <c r="C159" s="15">
        <v>41.07</v>
      </c>
      <c r="D159" s="15">
        <v>40.72</v>
      </c>
      <c r="E159" s="15">
        <v>41.14</v>
      </c>
      <c r="F159" s="15">
        <v>40.89</v>
      </c>
      <c r="G159" s="16">
        <v>4.4020542920029278E-3</v>
      </c>
      <c r="H159" s="15" t="s">
        <v>1299</v>
      </c>
      <c r="I159" s="15">
        <v>3.31</v>
      </c>
      <c r="J159" s="15">
        <v>18.93</v>
      </c>
      <c r="K159" s="15">
        <v>41.4</v>
      </c>
      <c r="L159" s="28" t="str">
        <f>HYPERLINK("http://finance.yahoo.com/q?s=" &amp; A159, "Link")</f>
        <v>Link</v>
      </c>
      <c r="M159" s="15">
        <f>K159*0.9</f>
        <v>37.26</v>
      </c>
      <c r="N159" s="15" t="str">
        <f>IF(M159&gt;C159, "Buy", "")</f>
        <v/>
      </c>
      <c r="O159" s="33">
        <f>C159/K159</f>
        <v>0.99202898550724639</v>
      </c>
    </row>
    <row r="160" spans="1:15" ht="20.100000000000001" customHeight="1" x14ac:dyDescent="0.25">
      <c r="A160" s="21" t="s">
        <v>13</v>
      </c>
      <c r="B160" t="s">
        <v>129</v>
      </c>
      <c r="C160" s="15">
        <v>46.23</v>
      </c>
      <c r="D160" s="15">
        <v>46.2</v>
      </c>
      <c r="E160" s="15">
        <v>47.4</v>
      </c>
      <c r="F160" s="15">
        <v>46.57</v>
      </c>
      <c r="G160" s="16">
        <v>-7.3008374490015765E-3</v>
      </c>
      <c r="H160" s="15" t="s">
        <v>1323</v>
      </c>
      <c r="I160" s="15">
        <v>1.1200000000000001</v>
      </c>
      <c r="J160" s="15">
        <v>5.18</v>
      </c>
      <c r="K160" s="15">
        <v>46.6</v>
      </c>
      <c r="L160" s="28" t="str">
        <f>HYPERLINK("http://finance.yahoo.com/q?s=" &amp; A160, "Link")</f>
        <v>Link</v>
      </c>
      <c r="M160" s="15">
        <f>K160*0.9</f>
        <v>41.940000000000005</v>
      </c>
      <c r="N160" s="15" t="str">
        <f>IF(M160&gt;C160, "Buy", "")</f>
        <v/>
      </c>
      <c r="O160" s="33">
        <f>C160/K160</f>
        <v>0.99206008583690974</v>
      </c>
    </row>
    <row r="161" spans="1:15" ht="20.100000000000001" customHeight="1" x14ac:dyDescent="0.25">
      <c r="A161" s="21" t="s">
        <v>263</v>
      </c>
      <c r="B161" t="s">
        <v>652</v>
      </c>
      <c r="C161" s="15">
        <v>32.57</v>
      </c>
      <c r="D161" s="15">
        <v>32.42</v>
      </c>
      <c r="E161" s="15">
        <v>32.770000000000003</v>
      </c>
      <c r="F161" s="15">
        <v>32.549999999999997</v>
      </c>
      <c r="G161" s="16">
        <v>6.1443932411683953E-4</v>
      </c>
      <c r="H161" s="15" t="s">
        <v>1340</v>
      </c>
      <c r="I161" s="15">
        <v>3.13</v>
      </c>
      <c r="J161" s="15">
        <v>16.98</v>
      </c>
      <c r="K161" s="15">
        <v>32.83</v>
      </c>
      <c r="L161" s="28" t="str">
        <f>HYPERLINK("http://finance.yahoo.com/q?s=" &amp; A161, "Link")</f>
        <v>Link</v>
      </c>
      <c r="M161" s="15">
        <f>K161*0.9</f>
        <v>29.547000000000001</v>
      </c>
      <c r="N161" s="15" t="str">
        <f>IF(M161&gt;C161, "Buy", "")</f>
        <v/>
      </c>
      <c r="O161" s="33">
        <f>C161/K161</f>
        <v>0.99208041425525439</v>
      </c>
    </row>
    <row r="162" spans="1:15" ht="20.100000000000001" customHeight="1" x14ac:dyDescent="0.25">
      <c r="A162" s="21" t="s">
        <v>41</v>
      </c>
      <c r="B162" t="s">
        <v>153</v>
      </c>
      <c r="C162" s="15">
        <v>30.53</v>
      </c>
      <c r="D162" s="15">
        <v>30.3</v>
      </c>
      <c r="E162" s="15">
        <v>30.9</v>
      </c>
      <c r="F162" s="15">
        <v>31.21</v>
      </c>
      <c r="G162" s="16">
        <v>-2.1787888497276503E-2</v>
      </c>
      <c r="H162" s="15" t="s">
        <v>1357</v>
      </c>
      <c r="I162" s="15">
        <v>3.14</v>
      </c>
      <c r="J162" s="15">
        <v>34.07</v>
      </c>
      <c r="K162" s="15">
        <v>30.77</v>
      </c>
      <c r="L162" s="28" t="str">
        <f>HYPERLINK("http://finance.yahoo.com/q?s=" &amp; A162, "Link")</f>
        <v>Link</v>
      </c>
      <c r="M162" s="15">
        <f>K162*0.9</f>
        <v>27.693000000000001</v>
      </c>
      <c r="N162" s="15" t="str">
        <f>IF(M162&gt;C162, "Buy", "")</f>
        <v/>
      </c>
      <c r="O162" s="33">
        <f>C162/K162</f>
        <v>0.99220019499512513</v>
      </c>
    </row>
    <row r="163" spans="1:15" ht="20.100000000000001" customHeight="1" x14ac:dyDescent="0.25">
      <c r="A163" s="21" t="s">
        <v>495</v>
      </c>
      <c r="B163" t="s">
        <v>861</v>
      </c>
      <c r="C163" s="15">
        <v>117.39</v>
      </c>
      <c r="D163" s="15">
        <v>115.88</v>
      </c>
      <c r="E163" s="15">
        <v>117.39</v>
      </c>
      <c r="F163" s="15">
        <v>116.1</v>
      </c>
      <c r="G163" s="16">
        <v>1.1111111111111165E-2</v>
      </c>
      <c r="H163" s="15" t="s">
        <v>1315</v>
      </c>
      <c r="I163" s="15">
        <v>2.56</v>
      </c>
      <c r="J163" s="15">
        <v>22.27</v>
      </c>
      <c r="K163" s="15">
        <v>118.3</v>
      </c>
      <c r="L163" s="28" t="str">
        <f>HYPERLINK("http://finance.yahoo.com/q?s=" &amp; A163, "Link")</f>
        <v>Link</v>
      </c>
      <c r="M163" s="15">
        <f>K163*0.9</f>
        <v>106.47</v>
      </c>
      <c r="N163" s="15" t="str">
        <f>IF(M163&gt;C163, "Buy", "")</f>
        <v/>
      </c>
      <c r="O163" s="33">
        <f>C163/K163</f>
        <v>0.99230769230769234</v>
      </c>
    </row>
    <row r="164" spans="1:15" ht="20.100000000000001" customHeight="1" x14ac:dyDescent="0.25">
      <c r="A164" s="21" t="s">
        <v>384</v>
      </c>
      <c r="B164" t="s">
        <v>760</v>
      </c>
      <c r="C164" s="15">
        <v>36.270000000000003</v>
      </c>
      <c r="D164" s="15">
        <v>36.08</v>
      </c>
      <c r="E164" s="15">
        <v>36.74</v>
      </c>
      <c r="F164" s="15">
        <v>36.229999999999997</v>
      </c>
      <c r="G164" s="16">
        <v>1.1040574109855439E-3</v>
      </c>
      <c r="H164" s="15" t="s">
        <v>1282</v>
      </c>
      <c r="I164" s="15">
        <v>1.87</v>
      </c>
      <c r="J164" s="15">
        <v>22.12</v>
      </c>
      <c r="K164" s="15">
        <v>36.54</v>
      </c>
      <c r="L164" s="28" t="str">
        <f>HYPERLINK("http://finance.yahoo.com/q?s=" &amp; A164, "Link")</f>
        <v>Link</v>
      </c>
      <c r="M164" s="15">
        <f>K164*0.9</f>
        <v>32.886000000000003</v>
      </c>
      <c r="N164" s="15" t="str">
        <f>IF(M164&gt;C164, "Buy", "")</f>
        <v/>
      </c>
      <c r="O164" s="33">
        <f>C164/K164</f>
        <v>0.99261083743842371</v>
      </c>
    </row>
    <row r="165" spans="1:15" ht="20.100000000000001" customHeight="1" x14ac:dyDescent="0.25">
      <c r="A165" s="21" t="s">
        <v>533</v>
      </c>
      <c r="B165" t="s">
        <v>896</v>
      </c>
      <c r="C165" s="15">
        <v>108.1</v>
      </c>
      <c r="D165" s="15">
        <v>106.64</v>
      </c>
      <c r="E165" s="15">
        <v>108.13</v>
      </c>
      <c r="F165" s="15">
        <v>107.33</v>
      </c>
      <c r="G165" s="16">
        <v>7.1741358427279984E-3</v>
      </c>
      <c r="H165" s="15" t="s">
        <v>1166</v>
      </c>
      <c r="I165" s="15">
        <v>2.87</v>
      </c>
      <c r="J165" s="15">
        <v>37.15</v>
      </c>
      <c r="K165" s="15">
        <v>108.88</v>
      </c>
      <c r="L165" s="28" t="str">
        <f>HYPERLINK("http://finance.yahoo.com/q?s=" &amp; A165, "Link")</f>
        <v>Link</v>
      </c>
      <c r="M165" s="15">
        <f>K165*0.9</f>
        <v>97.992000000000004</v>
      </c>
      <c r="N165" s="15" t="str">
        <f>IF(M165&gt;C165, "Buy", "")</f>
        <v/>
      </c>
      <c r="O165" s="33">
        <f>C165/K165</f>
        <v>0.99283614988978686</v>
      </c>
    </row>
    <row r="166" spans="1:15" ht="20.100000000000001" customHeight="1" x14ac:dyDescent="0.25">
      <c r="A166" s="21" t="s">
        <v>244</v>
      </c>
      <c r="B166" t="s">
        <v>635</v>
      </c>
      <c r="C166" s="15">
        <v>770.02</v>
      </c>
      <c r="D166" s="15">
        <v>764.21</v>
      </c>
      <c r="E166" s="15">
        <v>775</v>
      </c>
      <c r="F166" s="15">
        <v>769.9</v>
      </c>
      <c r="G166" s="16">
        <v>1.5586439797376874E-4</v>
      </c>
      <c r="H166" s="15" t="s">
        <v>1333</v>
      </c>
      <c r="I166" s="15" t="s">
        <v>124</v>
      </c>
      <c r="J166" s="15">
        <v>18.399999999999999</v>
      </c>
      <c r="K166" s="15">
        <v>775.52</v>
      </c>
      <c r="L166" s="28" t="str">
        <f>HYPERLINK("http://finance.yahoo.com/q?s=" &amp; A166, "Link")</f>
        <v>Link</v>
      </c>
      <c r="M166" s="15">
        <f>K166*0.9</f>
        <v>697.96799999999996</v>
      </c>
      <c r="N166" s="15" t="str">
        <f>IF(M166&gt;C166, "Buy", "")</f>
        <v/>
      </c>
      <c r="O166" s="33">
        <f>C166/K166</f>
        <v>0.99290798432019811</v>
      </c>
    </row>
    <row r="167" spans="1:15" ht="20.100000000000001" customHeight="1" x14ac:dyDescent="0.25">
      <c r="A167" s="21" t="s">
        <v>321</v>
      </c>
      <c r="B167" t="s">
        <v>701</v>
      </c>
      <c r="C167" s="15">
        <v>90.7</v>
      </c>
      <c r="D167" s="15">
        <v>89.92</v>
      </c>
      <c r="E167" s="15">
        <v>90.92</v>
      </c>
      <c r="F167" s="15">
        <v>90.37</v>
      </c>
      <c r="G167" s="16">
        <v>3.6516543100586288E-3</v>
      </c>
      <c r="H167" s="15" t="s">
        <v>1297</v>
      </c>
      <c r="I167" s="15">
        <v>2.34</v>
      </c>
      <c r="J167" s="15">
        <v>19.690000000000001</v>
      </c>
      <c r="K167" s="15">
        <v>91.26</v>
      </c>
      <c r="L167" s="28" t="str">
        <f>HYPERLINK("http://finance.yahoo.com/q?s=" &amp; A167, "Link")</f>
        <v>Link</v>
      </c>
      <c r="M167" s="15">
        <f>K167*0.9</f>
        <v>82.134</v>
      </c>
      <c r="N167" s="15" t="str">
        <f>IF(M167&gt;C167, "Buy", "")</f>
        <v/>
      </c>
      <c r="O167" s="33">
        <f>C167/K167</f>
        <v>0.99386368617137844</v>
      </c>
    </row>
    <row r="168" spans="1:15" ht="20.100000000000001" customHeight="1" x14ac:dyDescent="0.25">
      <c r="A168" s="21" t="s">
        <v>95</v>
      </c>
      <c r="B168" t="s">
        <v>961</v>
      </c>
      <c r="C168" s="15">
        <v>81.72</v>
      </c>
      <c r="D168" s="15">
        <v>81.010000000000005</v>
      </c>
      <c r="E168" s="15">
        <v>84.72</v>
      </c>
      <c r="F168" s="15">
        <v>83.49</v>
      </c>
      <c r="G168" s="16">
        <v>-2.1200143729787953E-2</v>
      </c>
      <c r="H168" s="15" t="s">
        <v>1359</v>
      </c>
      <c r="I168" s="15">
        <v>1.84</v>
      </c>
      <c r="J168" s="15">
        <v>21.62</v>
      </c>
      <c r="K168" s="15">
        <v>82.22</v>
      </c>
      <c r="L168" s="28" t="str">
        <f>HYPERLINK("http://finance.yahoo.com/q?s=" &amp; A168, "Link")</f>
        <v>Link</v>
      </c>
      <c r="M168" s="15">
        <f>K168*0.9</f>
        <v>73.998000000000005</v>
      </c>
      <c r="N168" s="15" t="str">
        <f>IF(M168&gt;C168, "Buy", "")</f>
        <v/>
      </c>
      <c r="O168" s="33">
        <f>C168/K168</f>
        <v>0.99391875456093404</v>
      </c>
    </row>
    <row r="169" spans="1:15" ht="20.100000000000001" customHeight="1" x14ac:dyDescent="0.25">
      <c r="A169" s="21" t="s">
        <v>554</v>
      </c>
      <c r="B169" t="s">
        <v>915</v>
      </c>
      <c r="C169" s="15">
        <v>80.48</v>
      </c>
      <c r="D169" s="15">
        <v>79.819999999999993</v>
      </c>
      <c r="E169" s="15">
        <v>81.540000000000006</v>
      </c>
      <c r="F169" s="15">
        <v>80.56</v>
      </c>
      <c r="G169" s="16">
        <v>-9.9304865938428855E-4</v>
      </c>
      <c r="H169" s="15" t="s">
        <v>1303</v>
      </c>
      <c r="I169" s="15">
        <v>2.73</v>
      </c>
      <c r="J169" s="15">
        <v>13.66</v>
      </c>
      <c r="K169" s="15">
        <v>80.94</v>
      </c>
      <c r="L169" s="28" t="str">
        <f>HYPERLINK("http://finance.yahoo.com/q?s=" &amp; A169, "Link")</f>
        <v>Link</v>
      </c>
      <c r="M169" s="15">
        <f>K169*0.9</f>
        <v>72.846000000000004</v>
      </c>
      <c r="N169" s="15" t="str">
        <f>IF(M169&gt;C169, "Buy", "")</f>
        <v/>
      </c>
      <c r="O169" s="33">
        <f>C169/K169</f>
        <v>0.99431677786014339</v>
      </c>
    </row>
    <row r="170" spans="1:15" ht="20.100000000000001" customHeight="1" x14ac:dyDescent="0.25">
      <c r="A170" s="21" t="s">
        <v>455</v>
      </c>
      <c r="B170" t="s">
        <v>1004</v>
      </c>
      <c r="C170" s="15">
        <v>67.36</v>
      </c>
      <c r="D170" s="15">
        <v>66.84</v>
      </c>
      <c r="E170" s="15">
        <v>67.58</v>
      </c>
      <c r="F170" s="15">
        <v>67.06</v>
      </c>
      <c r="G170" s="16">
        <v>4.473605726215287E-3</v>
      </c>
      <c r="H170" s="15" t="s">
        <v>1331</v>
      </c>
      <c r="I170" s="15">
        <v>1.9</v>
      </c>
      <c r="J170" s="15">
        <v>23.68</v>
      </c>
      <c r="K170" s="15">
        <v>67.739999999999995</v>
      </c>
      <c r="L170" s="28" t="str">
        <f>HYPERLINK("http://finance.yahoo.com/q?s=" &amp; A170, "Link")</f>
        <v>Link</v>
      </c>
      <c r="M170" s="15">
        <f>K170*0.9</f>
        <v>60.965999999999994</v>
      </c>
      <c r="N170" s="15" t="str">
        <f>IF(M170&gt;C170, "Buy", "")</f>
        <v/>
      </c>
      <c r="O170" s="33">
        <f>C170/K170</f>
        <v>0.99439031591378813</v>
      </c>
    </row>
    <row r="171" spans="1:15" ht="20.100000000000001" customHeight="1" x14ac:dyDescent="0.25">
      <c r="A171" s="21" t="s">
        <v>417</v>
      </c>
      <c r="B171" t="s">
        <v>790</v>
      </c>
      <c r="C171" s="15">
        <v>132.4</v>
      </c>
      <c r="D171" s="15">
        <v>131.93</v>
      </c>
      <c r="E171" s="15">
        <v>133.41999999999999</v>
      </c>
      <c r="F171" s="15">
        <v>132.74</v>
      </c>
      <c r="G171" s="16">
        <v>-2.5613982220883185E-3</v>
      </c>
      <c r="H171" s="15" t="s">
        <v>1344</v>
      </c>
      <c r="I171" s="15">
        <v>0</v>
      </c>
      <c r="J171" s="15">
        <v>21</v>
      </c>
      <c r="K171" s="15">
        <v>133.06</v>
      </c>
      <c r="L171" s="28" t="str">
        <f>HYPERLINK("http://finance.yahoo.com/q?s=" &amp; A171, "Link")</f>
        <v>Link</v>
      </c>
      <c r="M171" s="15">
        <f>K171*0.9</f>
        <v>119.754</v>
      </c>
      <c r="N171" s="15" t="str">
        <f>IF(M171&gt;C171, "Buy", "")</f>
        <v/>
      </c>
      <c r="O171" s="33">
        <f>C171/K171</f>
        <v>0.99503983165489251</v>
      </c>
    </row>
    <row r="172" spans="1:15" ht="20.100000000000001" customHeight="1" x14ac:dyDescent="0.25">
      <c r="A172" s="21" t="s">
        <v>55</v>
      </c>
      <c r="B172" t="s">
        <v>163</v>
      </c>
      <c r="C172" s="15">
        <v>76.81</v>
      </c>
      <c r="D172" s="15">
        <v>76.47</v>
      </c>
      <c r="E172" s="15">
        <v>77.41</v>
      </c>
      <c r="F172" s="15">
        <v>76.84</v>
      </c>
      <c r="G172" s="16">
        <v>-3.9042165538783364E-4</v>
      </c>
      <c r="H172" s="15" t="s">
        <v>1329</v>
      </c>
      <c r="I172" s="15">
        <v>2.68</v>
      </c>
      <c r="J172" s="15">
        <v>33.409999999999997</v>
      </c>
      <c r="K172" s="15">
        <v>77.19</v>
      </c>
      <c r="L172" s="28" t="str">
        <f>HYPERLINK("http://finance.yahoo.com/q?s=" &amp; A172, "Link")</f>
        <v>Link</v>
      </c>
      <c r="M172" s="15">
        <f>K172*0.9</f>
        <v>69.471000000000004</v>
      </c>
      <c r="N172" s="15" t="str">
        <f>IF(M172&gt;C172, "Buy", "")</f>
        <v/>
      </c>
      <c r="O172" s="33">
        <f>C172/K172</f>
        <v>0.99507708252364302</v>
      </c>
    </row>
    <row r="173" spans="1:15" ht="20.100000000000001" customHeight="1" x14ac:dyDescent="0.25">
      <c r="A173" s="21" t="s">
        <v>486</v>
      </c>
      <c r="B173" t="s">
        <v>853</v>
      </c>
      <c r="C173" s="15">
        <v>61.36</v>
      </c>
      <c r="D173" s="15">
        <v>60.97</v>
      </c>
      <c r="E173" s="15">
        <v>61.59</v>
      </c>
      <c r="F173" s="15">
        <v>61.1</v>
      </c>
      <c r="G173" s="16">
        <v>4.2553191489361373E-3</v>
      </c>
      <c r="H173" s="15" t="s">
        <v>1302</v>
      </c>
      <c r="I173" s="15">
        <v>3.19</v>
      </c>
      <c r="J173" s="15">
        <v>36.83</v>
      </c>
      <c r="K173" s="15">
        <v>61.66</v>
      </c>
      <c r="L173" s="28" t="str">
        <f>HYPERLINK("http://finance.yahoo.com/q?s=" &amp; A173, "Link")</f>
        <v>Link</v>
      </c>
      <c r="M173" s="15">
        <f>K173*0.9</f>
        <v>55.494</v>
      </c>
      <c r="N173" s="15" t="str">
        <f>IF(M173&gt;C173, "Buy", "")</f>
        <v/>
      </c>
      <c r="O173" s="33">
        <f>C173/K173</f>
        <v>0.99513460914693486</v>
      </c>
    </row>
    <row r="174" spans="1:15" ht="20.100000000000001" customHeight="1" x14ac:dyDescent="0.25">
      <c r="A174" s="21" t="s">
        <v>214</v>
      </c>
      <c r="B174" t="s">
        <v>608</v>
      </c>
      <c r="C174" s="15">
        <v>143.49</v>
      </c>
      <c r="D174" s="15">
        <v>142.1</v>
      </c>
      <c r="E174" s="15">
        <v>143.68</v>
      </c>
      <c r="F174" s="15">
        <v>141.34</v>
      </c>
      <c r="G174" s="16">
        <v>1.5211546625159231E-2</v>
      </c>
      <c r="H174" s="15" t="s">
        <v>1152</v>
      </c>
      <c r="I174" s="15" t="s">
        <v>124</v>
      </c>
      <c r="J174" s="15">
        <v>16.559999999999999</v>
      </c>
      <c r="K174" s="15">
        <v>144.15</v>
      </c>
      <c r="L174" s="28" t="str">
        <f>HYPERLINK("http://finance.yahoo.com/q?s=" &amp; A174, "Link")</f>
        <v>Link</v>
      </c>
      <c r="M174" s="15">
        <f>K174*0.9</f>
        <v>129.73500000000001</v>
      </c>
      <c r="N174" s="15" t="str">
        <f>IF(M174&gt;C174, "Buy", "")</f>
        <v/>
      </c>
      <c r="O174" s="33">
        <f>C174/K174</f>
        <v>0.99542143600416233</v>
      </c>
    </row>
    <row r="175" spans="1:15" ht="20.100000000000001" customHeight="1" x14ac:dyDescent="0.25">
      <c r="A175" s="21" t="s">
        <v>328</v>
      </c>
      <c r="B175" t="s">
        <v>708</v>
      </c>
      <c r="C175" s="15">
        <v>118.4</v>
      </c>
      <c r="D175" s="15">
        <v>117.55</v>
      </c>
      <c r="E175" s="15">
        <v>119.56</v>
      </c>
      <c r="F175" s="15">
        <v>118.85</v>
      </c>
      <c r="G175" s="16">
        <v>-3.786285233487494E-3</v>
      </c>
      <c r="H175" s="15" t="s">
        <v>1324</v>
      </c>
      <c r="I175" s="15">
        <v>1.25</v>
      </c>
      <c r="J175" s="15">
        <v>32.92</v>
      </c>
      <c r="K175" s="15">
        <v>118.83</v>
      </c>
      <c r="L175" s="28" t="str">
        <f>HYPERLINK("http://finance.yahoo.com/q?s=" &amp; A175, "Link")</f>
        <v>Link</v>
      </c>
      <c r="M175" s="15">
        <f>K175*0.9</f>
        <v>106.947</v>
      </c>
      <c r="N175" s="15" t="str">
        <f>IF(M175&gt;C175, "Buy", "")</f>
        <v/>
      </c>
      <c r="O175" s="33">
        <f>C175/K175</f>
        <v>0.99638138517209462</v>
      </c>
    </row>
    <row r="176" spans="1:15" ht="20.100000000000001" customHeight="1" x14ac:dyDescent="0.25">
      <c r="A176" s="21" t="s">
        <v>35</v>
      </c>
      <c r="B176" t="s">
        <v>147</v>
      </c>
      <c r="C176" s="15">
        <v>12.36</v>
      </c>
      <c r="D176" s="15">
        <v>12.31</v>
      </c>
      <c r="E176" s="15">
        <v>12.48</v>
      </c>
      <c r="F176" s="15">
        <v>12.43</v>
      </c>
      <c r="G176" s="16">
        <v>-5.6315366049879551E-3</v>
      </c>
      <c r="H176" s="15" t="s">
        <v>1354</v>
      </c>
      <c r="I176" s="15">
        <v>4.8499999999999996</v>
      </c>
      <c r="J176" s="15">
        <v>6.83</v>
      </c>
      <c r="K176" s="15">
        <v>12.4</v>
      </c>
      <c r="L176" s="28" t="str">
        <f>HYPERLINK("http://finance.yahoo.com/q?s=" &amp; A176, "Link")</f>
        <v>Link</v>
      </c>
      <c r="M176" s="15">
        <f>K176*0.9</f>
        <v>11.16</v>
      </c>
      <c r="N176" s="15" t="str">
        <f>IF(M176&gt;C176, "Buy", "")</f>
        <v/>
      </c>
      <c r="O176" s="33">
        <f>C176/K176</f>
        <v>0.99677419354838703</v>
      </c>
    </row>
    <row r="177" spans="1:15" ht="20.100000000000001" customHeight="1" x14ac:dyDescent="0.25">
      <c r="A177" s="21" t="s">
        <v>590</v>
      </c>
      <c r="B177" t="s">
        <v>947</v>
      </c>
      <c r="C177" s="15">
        <v>28.21</v>
      </c>
      <c r="D177" s="15">
        <v>27.99</v>
      </c>
      <c r="E177" s="15">
        <v>28.59</v>
      </c>
      <c r="F177" s="15">
        <v>28.45</v>
      </c>
      <c r="G177" s="16">
        <v>-8.4358523725834248E-3</v>
      </c>
      <c r="H177" s="15" t="s">
        <v>1343</v>
      </c>
      <c r="I177" s="15">
        <v>2.84</v>
      </c>
      <c r="J177" s="15" t="s">
        <v>124</v>
      </c>
      <c r="K177" s="15">
        <v>28.3</v>
      </c>
      <c r="L177" s="28" t="str">
        <f>HYPERLINK("http://finance.yahoo.com/q?s=" &amp; A177, "Link")</f>
        <v>Link</v>
      </c>
      <c r="M177" s="15">
        <f>K177*0.9</f>
        <v>25.470000000000002</v>
      </c>
      <c r="N177" s="15" t="str">
        <f>IF(M177&gt;C177, "Buy", "")</f>
        <v/>
      </c>
      <c r="O177" s="33">
        <f>C177/K177</f>
        <v>0.99681978798586568</v>
      </c>
    </row>
    <row r="178" spans="1:15" ht="20.100000000000001" customHeight="1" x14ac:dyDescent="0.25">
      <c r="A178" s="21" t="s">
        <v>419</v>
      </c>
      <c r="B178" t="s">
        <v>792</v>
      </c>
      <c r="C178" s="15">
        <v>32.15</v>
      </c>
      <c r="D178" s="15">
        <v>31.69</v>
      </c>
      <c r="E178" s="15">
        <v>32.159999999999997</v>
      </c>
      <c r="F178" s="15">
        <v>31.57</v>
      </c>
      <c r="G178" s="16">
        <v>1.8371872030408562E-2</v>
      </c>
      <c r="H178" s="15" t="s">
        <v>1326</v>
      </c>
      <c r="I178" s="15">
        <v>2.74</v>
      </c>
      <c r="J178" s="15" t="s">
        <v>124</v>
      </c>
      <c r="K178" s="15">
        <v>32.24</v>
      </c>
      <c r="L178" s="28" t="str">
        <f>HYPERLINK("http://finance.yahoo.com/q?s=" &amp; A178, "Link")</f>
        <v>Link</v>
      </c>
      <c r="M178" s="15">
        <f>K178*0.9</f>
        <v>29.016000000000002</v>
      </c>
      <c r="N178" s="15" t="str">
        <f>IF(M178&gt;C178, "Buy", "")</f>
        <v/>
      </c>
      <c r="O178" s="33">
        <f>C178/K178</f>
        <v>0.99720843672456561</v>
      </c>
    </row>
    <row r="179" spans="1:15" ht="20.100000000000001" customHeight="1" x14ac:dyDescent="0.25">
      <c r="A179" s="21" t="s">
        <v>331</v>
      </c>
      <c r="B179" t="s">
        <v>711</v>
      </c>
      <c r="C179" s="15">
        <v>80.12</v>
      </c>
      <c r="D179" s="15">
        <v>78.89</v>
      </c>
      <c r="E179" s="15">
        <v>80.510000000000005</v>
      </c>
      <c r="F179" s="15">
        <v>80.38</v>
      </c>
      <c r="G179" s="16">
        <v>-3.2346354814629377E-3</v>
      </c>
      <c r="H179" s="15" t="s">
        <v>1335</v>
      </c>
      <c r="I179" s="15" t="s">
        <v>124</v>
      </c>
      <c r="J179" s="15">
        <v>20.420000000000002</v>
      </c>
      <c r="K179" s="15">
        <v>80.19</v>
      </c>
      <c r="L179" s="28" t="str">
        <f>HYPERLINK("http://finance.yahoo.com/q?s=" &amp; A179, "Link")</f>
        <v>Link</v>
      </c>
      <c r="M179" s="15">
        <f>K179*0.9</f>
        <v>72.171000000000006</v>
      </c>
      <c r="N179" s="15" t="str">
        <f>IF(M179&gt;C179, "Buy", "")</f>
        <v/>
      </c>
      <c r="O179" s="33">
        <f>C179/K179</f>
        <v>0.99912707320114735</v>
      </c>
    </row>
    <row r="180" spans="1:15" ht="20.100000000000001" customHeight="1" x14ac:dyDescent="0.25">
      <c r="A180" s="21" t="s">
        <v>256</v>
      </c>
      <c r="B180" t="s">
        <v>646</v>
      </c>
      <c r="C180" s="15">
        <v>23.14</v>
      </c>
      <c r="D180" s="15">
        <v>23.05</v>
      </c>
      <c r="E180" s="15">
        <v>23.44</v>
      </c>
      <c r="F180" s="15">
        <v>23.27</v>
      </c>
      <c r="G180" s="16">
        <v>-5.5865921787709074E-3</v>
      </c>
      <c r="H180" s="15" t="s">
        <v>1373</v>
      </c>
      <c r="I180" s="15">
        <v>3.8</v>
      </c>
      <c r="J180" s="15">
        <v>14.86</v>
      </c>
      <c r="K180" s="15">
        <v>23.16</v>
      </c>
      <c r="L180" s="28" t="str">
        <f>HYPERLINK("http://finance.yahoo.com/q?s=" &amp; A180, "Link")</f>
        <v>Link</v>
      </c>
      <c r="M180" s="15">
        <f>K180*0.9</f>
        <v>20.844000000000001</v>
      </c>
      <c r="N180" s="15" t="str">
        <f>IF(M180&gt;C180, "Buy", "")</f>
        <v/>
      </c>
      <c r="O180" s="33">
        <f>C180/K180</f>
        <v>0.99913644214162356</v>
      </c>
    </row>
    <row r="181" spans="1:15" ht="20.100000000000001" customHeight="1" x14ac:dyDescent="0.25">
      <c r="A181" s="21" t="s">
        <v>342</v>
      </c>
      <c r="B181" t="s">
        <v>721</v>
      </c>
      <c r="C181" s="15">
        <v>55</v>
      </c>
      <c r="D181" s="15">
        <v>54.72</v>
      </c>
      <c r="E181" s="15">
        <v>55.45</v>
      </c>
      <c r="F181" s="15">
        <v>55.07</v>
      </c>
      <c r="G181" s="16">
        <v>-1.2711094970038184E-3</v>
      </c>
      <c r="H181" s="15" t="s">
        <v>1137</v>
      </c>
      <c r="I181" s="15">
        <v>3.21</v>
      </c>
      <c r="J181" s="15">
        <v>19.57</v>
      </c>
      <c r="K181" s="15">
        <v>55.04</v>
      </c>
      <c r="L181" s="28" t="str">
        <f>HYPERLINK("http://finance.yahoo.com/q?s=" &amp; A181, "Link")</f>
        <v>Link</v>
      </c>
      <c r="M181" s="15">
        <f>K181*0.9</f>
        <v>49.536000000000001</v>
      </c>
      <c r="N181" s="15" t="str">
        <f>IF(M181&gt;C181, "Buy", "")</f>
        <v/>
      </c>
      <c r="O181" s="33">
        <f>C181/K181</f>
        <v>0.99927325581395354</v>
      </c>
    </row>
    <row r="182" spans="1:15" ht="20.100000000000001" customHeight="1" x14ac:dyDescent="0.25">
      <c r="A182" s="21" t="s">
        <v>252</v>
      </c>
      <c r="B182" t="s">
        <v>642</v>
      </c>
      <c r="C182" s="15">
        <v>172.29</v>
      </c>
      <c r="D182" s="15">
        <v>172.03</v>
      </c>
      <c r="E182" s="15">
        <v>174.34</v>
      </c>
      <c r="F182" s="15">
        <v>173.52</v>
      </c>
      <c r="G182" s="16">
        <v>-7.0885200553251386E-3</v>
      </c>
      <c r="H182" s="15" t="s">
        <v>1334</v>
      </c>
      <c r="I182" s="15">
        <v>1.69</v>
      </c>
      <c r="J182" s="15">
        <v>38.369999999999997</v>
      </c>
      <c r="K182" s="15">
        <v>172.38</v>
      </c>
      <c r="L182" s="28" t="str">
        <f>HYPERLINK("http://finance.yahoo.com/q?s=" &amp; A182, "Link")</f>
        <v>Link</v>
      </c>
      <c r="M182" s="15">
        <f>K182*0.9</f>
        <v>155.142</v>
      </c>
      <c r="N182" s="15" t="str">
        <f>IF(M182&gt;C182, "Buy", "")</f>
        <v/>
      </c>
      <c r="O182" s="33">
        <f>C182/K182</f>
        <v>0.99947789766794293</v>
      </c>
    </row>
    <row r="183" spans="1:15" ht="20.100000000000001" customHeight="1" x14ac:dyDescent="0.25">
      <c r="A183" s="21" t="s">
        <v>72</v>
      </c>
      <c r="B183" t="s">
        <v>179</v>
      </c>
      <c r="C183" s="15">
        <v>39.869999999999997</v>
      </c>
      <c r="D183" s="15">
        <v>39.450000000000003</v>
      </c>
      <c r="E183" s="15">
        <v>40.03</v>
      </c>
      <c r="F183" s="15">
        <v>39.21</v>
      </c>
      <c r="G183" s="16">
        <v>1.6832440703901979E-2</v>
      </c>
      <c r="H183" s="15" t="s">
        <v>1307</v>
      </c>
      <c r="I183" s="15">
        <v>1.53</v>
      </c>
      <c r="J183" s="15">
        <v>19.03</v>
      </c>
      <c r="K183" s="15">
        <v>39.869999999999997</v>
      </c>
      <c r="L183" s="28" t="str">
        <f>HYPERLINK("http://finance.yahoo.com/q?s=" &amp; A183, "Link")</f>
        <v>Link</v>
      </c>
      <c r="M183" s="15">
        <f>K183*0.9</f>
        <v>35.882999999999996</v>
      </c>
      <c r="N183" s="15" t="str">
        <f>IF(M183&gt;C183, "Buy", "")</f>
        <v/>
      </c>
      <c r="O183" s="33">
        <f>C183/K183</f>
        <v>1</v>
      </c>
    </row>
    <row r="184" spans="1:15" ht="20.100000000000001" customHeight="1" x14ac:dyDescent="0.25">
      <c r="A184" s="21" t="s">
        <v>218</v>
      </c>
      <c r="B184" t="s">
        <v>999</v>
      </c>
      <c r="C184" s="15">
        <v>142.94999999999999</v>
      </c>
      <c r="D184" s="15" t="s">
        <v>124</v>
      </c>
      <c r="E184" s="15" t="s">
        <v>124</v>
      </c>
      <c r="F184" s="15">
        <v>142.94999999999999</v>
      </c>
      <c r="G184" s="16">
        <v>0</v>
      </c>
      <c r="H184" s="15" t="s">
        <v>124</v>
      </c>
      <c r="I184" s="15" t="s">
        <v>124</v>
      </c>
      <c r="J184" s="15" t="s">
        <v>124</v>
      </c>
      <c r="K184" s="15">
        <v>142.94999999999999</v>
      </c>
      <c r="L184" s="28" t="str">
        <f>HYPERLINK("http://finance.yahoo.com/q?s=" &amp; A184, "Link")</f>
        <v>Link</v>
      </c>
      <c r="M184" s="15">
        <f>K184*0.9</f>
        <v>128.655</v>
      </c>
      <c r="N184" s="15" t="str">
        <f>IF(M184&gt;C184, "Buy", "")</f>
        <v/>
      </c>
      <c r="O184" s="33">
        <f>C184/K184</f>
        <v>1</v>
      </c>
    </row>
    <row r="185" spans="1:15" ht="20.100000000000001" customHeight="1" x14ac:dyDescent="0.25">
      <c r="A185" s="21" t="s">
        <v>524</v>
      </c>
      <c r="B185" t="s">
        <v>888</v>
      </c>
      <c r="C185" s="15">
        <v>76.180000000000007</v>
      </c>
      <c r="D185" s="15">
        <v>76.069999999999993</v>
      </c>
      <c r="E185" s="15">
        <v>76.709999999999994</v>
      </c>
      <c r="F185" s="15">
        <v>76.180000000000007</v>
      </c>
      <c r="G185" s="16">
        <v>0</v>
      </c>
      <c r="H185" s="15" t="s">
        <v>124</v>
      </c>
      <c r="I185" s="15" t="s">
        <v>124</v>
      </c>
      <c r="J185" s="15" t="s">
        <v>124</v>
      </c>
      <c r="K185" s="15">
        <v>76.180000000000007</v>
      </c>
      <c r="L185" s="28" t="str">
        <f>HYPERLINK("http://finance.yahoo.com/q?s=" &amp; A185, "Link")</f>
        <v>Link</v>
      </c>
      <c r="M185" s="15">
        <f>K185*0.9</f>
        <v>68.562000000000012</v>
      </c>
      <c r="N185" s="15" t="str">
        <f>IF(M185&gt;C185, "Buy", "")</f>
        <v/>
      </c>
      <c r="O185" s="33">
        <f>C185/K185</f>
        <v>1</v>
      </c>
    </row>
    <row r="186" spans="1:15" ht="20.100000000000001" customHeight="1" x14ac:dyDescent="0.25">
      <c r="A186" s="21" t="s">
        <v>210</v>
      </c>
      <c r="B186" t="s">
        <v>970</v>
      </c>
      <c r="C186" s="15">
        <v>41.98</v>
      </c>
      <c r="D186" s="15" t="s">
        <v>124</v>
      </c>
      <c r="E186" s="15" t="s">
        <v>124</v>
      </c>
      <c r="F186" s="15">
        <v>41.98</v>
      </c>
      <c r="G186" s="16">
        <v>0</v>
      </c>
      <c r="H186" s="15" t="s">
        <v>124</v>
      </c>
      <c r="I186" s="15" t="s">
        <v>124</v>
      </c>
      <c r="J186" s="15" t="s">
        <v>124</v>
      </c>
      <c r="K186" s="15">
        <v>41.98</v>
      </c>
      <c r="L186" s="28" t="str">
        <f>HYPERLINK("http://finance.yahoo.com/q?s=" &amp; A186, "Link")</f>
        <v>Link</v>
      </c>
      <c r="M186" s="15">
        <f>K186*0.9</f>
        <v>37.781999999999996</v>
      </c>
      <c r="N186" s="15" t="str">
        <f>IF(M186&gt;C186, "Buy", "")</f>
        <v/>
      </c>
      <c r="O186" s="33">
        <f>C186/K186</f>
        <v>1</v>
      </c>
    </row>
    <row r="187" spans="1:15" ht="20.100000000000001" customHeight="1" x14ac:dyDescent="0.25">
      <c r="A187" s="21" t="s">
        <v>264</v>
      </c>
      <c r="B187" t="s">
        <v>653</v>
      </c>
      <c r="C187" s="15">
        <v>34.869999999999997</v>
      </c>
      <c r="D187" s="15" t="s">
        <v>124</v>
      </c>
      <c r="E187" s="15" t="s">
        <v>124</v>
      </c>
      <c r="F187" s="15">
        <v>34.869999999999997</v>
      </c>
      <c r="G187" s="16">
        <v>0</v>
      </c>
      <c r="H187" s="15" t="s">
        <v>124</v>
      </c>
      <c r="I187" s="15" t="s">
        <v>124</v>
      </c>
      <c r="J187" s="15" t="s">
        <v>124</v>
      </c>
      <c r="K187" s="15">
        <v>34.869999999999997</v>
      </c>
      <c r="L187" s="28" t="str">
        <f>HYPERLINK("http://finance.yahoo.com/q?s=" &amp; A187, "Link")</f>
        <v>Link</v>
      </c>
      <c r="M187" s="15">
        <f>K187*0.9</f>
        <v>31.382999999999999</v>
      </c>
      <c r="N187" s="15" t="str">
        <f>IF(M187&gt;C187, "Buy", "")</f>
        <v/>
      </c>
      <c r="O187" s="33">
        <f>C187/K187</f>
        <v>1</v>
      </c>
    </row>
    <row r="188" spans="1:15" ht="20.100000000000001" customHeight="1" x14ac:dyDescent="0.25">
      <c r="A188" s="21" t="s">
        <v>394</v>
      </c>
      <c r="B188" t="s">
        <v>770</v>
      </c>
      <c r="C188" s="15">
        <v>23.08</v>
      </c>
      <c r="D188" s="15">
        <v>23.06</v>
      </c>
      <c r="E188" s="15">
        <v>23.26</v>
      </c>
      <c r="F188" s="15">
        <v>23.05</v>
      </c>
      <c r="G188" s="16">
        <v>1.3015184381777692E-3</v>
      </c>
      <c r="H188" s="15" t="s">
        <v>1363</v>
      </c>
      <c r="I188" s="15">
        <v>2.5499999999999998</v>
      </c>
      <c r="J188" s="15">
        <v>17.260000000000002</v>
      </c>
      <c r="K188" s="15">
        <v>23.08</v>
      </c>
      <c r="L188" s="28" t="str">
        <f>HYPERLINK("http://finance.yahoo.com/q?s=" &amp; A188, "Link")</f>
        <v>Link</v>
      </c>
      <c r="M188" s="15">
        <f>K188*0.9</f>
        <v>20.771999999999998</v>
      </c>
      <c r="N188" s="15" t="str">
        <f>IF(M188&gt;C188, "Buy", "")</f>
        <v/>
      </c>
      <c r="O188" s="33">
        <f>C188/K188</f>
        <v>1</v>
      </c>
    </row>
    <row r="189" spans="1:15" ht="20.100000000000001" customHeight="1" x14ac:dyDescent="0.25">
      <c r="A189" s="21" t="s">
        <v>290</v>
      </c>
      <c r="B189" t="s">
        <v>678</v>
      </c>
      <c r="C189" s="15">
        <v>42.33</v>
      </c>
      <c r="D189" s="15">
        <v>42.03</v>
      </c>
      <c r="E189" s="15">
        <v>42.38</v>
      </c>
      <c r="F189" s="15">
        <v>42.13</v>
      </c>
      <c r="G189" s="16">
        <v>4.7472110135294496E-3</v>
      </c>
      <c r="H189" s="15" t="s">
        <v>1317</v>
      </c>
      <c r="I189" s="15">
        <v>3.14</v>
      </c>
      <c r="J189" s="15">
        <v>20.34</v>
      </c>
      <c r="K189" s="15">
        <v>42.32</v>
      </c>
      <c r="L189" s="28" t="str">
        <f>HYPERLINK("http://finance.yahoo.com/q?s=" &amp; A189, "Link")</f>
        <v>Link</v>
      </c>
      <c r="M189" s="15">
        <f>K189*0.9</f>
        <v>38.088000000000001</v>
      </c>
      <c r="N189" s="15" t="str">
        <f>IF(M189&gt;C189, "Buy", "")</f>
        <v/>
      </c>
      <c r="O189" s="33">
        <f>C189/K189</f>
        <v>1.0002362948960302</v>
      </c>
    </row>
    <row r="190" spans="1:15" ht="20.100000000000001" customHeight="1" x14ac:dyDescent="0.25">
      <c r="A190" s="21" t="s">
        <v>542</v>
      </c>
      <c r="B190" t="s">
        <v>904</v>
      </c>
      <c r="C190" s="15">
        <v>77.05</v>
      </c>
      <c r="D190" s="15" t="s">
        <v>124</v>
      </c>
      <c r="E190" s="15" t="s">
        <v>124</v>
      </c>
      <c r="F190" s="15">
        <v>77.05</v>
      </c>
      <c r="G190" s="16">
        <v>0</v>
      </c>
      <c r="H190" s="15" t="s">
        <v>124</v>
      </c>
      <c r="I190" s="15">
        <v>0</v>
      </c>
      <c r="J190" s="15" t="s">
        <v>124</v>
      </c>
      <c r="K190" s="15">
        <v>77.03</v>
      </c>
      <c r="L190" s="28" t="str">
        <f>HYPERLINK("http://finance.yahoo.com/q?s=" &amp; A190, "Link")</f>
        <v>Link</v>
      </c>
      <c r="M190" s="15">
        <f>K190*0.9</f>
        <v>69.326999999999998</v>
      </c>
      <c r="N190" s="15" t="str">
        <f>IF(M190&gt;C190, "Buy", "")</f>
        <v/>
      </c>
      <c r="O190" s="33">
        <f>C190/K190</f>
        <v>1.0002596391016487</v>
      </c>
    </row>
    <row r="191" spans="1:15" ht="20.100000000000001" customHeight="1" x14ac:dyDescent="0.25">
      <c r="A191" s="21" t="s">
        <v>297</v>
      </c>
      <c r="B191" t="s">
        <v>683</v>
      </c>
      <c r="C191" s="15">
        <v>18.28</v>
      </c>
      <c r="D191" s="15">
        <v>18.13</v>
      </c>
      <c r="E191" s="15">
        <v>18.52</v>
      </c>
      <c r="F191" s="15">
        <v>18.329999999999998</v>
      </c>
      <c r="G191" s="16">
        <v>-2.7277686852153391E-3</v>
      </c>
      <c r="H191" s="15" t="s">
        <v>1360</v>
      </c>
      <c r="I191" s="15">
        <v>1.54</v>
      </c>
      <c r="J191" s="15" t="s">
        <v>124</v>
      </c>
      <c r="K191" s="15">
        <v>18.27</v>
      </c>
      <c r="L191" s="28" t="str">
        <f>HYPERLINK("http://finance.yahoo.com/q?s=" &amp; A191, "Link")</f>
        <v>Link</v>
      </c>
      <c r="M191" s="15">
        <f>K191*0.9</f>
        <v>16.443000000000001</v>
      </c>
      <c r="N191" s="15" t="str">
        <f>IF(M191&gt;C191, "Buy", "")</f>
        <v/>
      </c>
      <c r="O191" s="33">
        <f>C191/K191</f>
        <v>1.0005473453749316</v>
      </c>
    </row>
    <row r="192" spans="1:15" ht="20.100000000000001" customHeight="1" x14ac:dyDescent="0.25">
      <c r="A192" s="21" t="s">
        <v>540</v>
      </c>
      <c r="B192" t="s">
        <v>902</v>
      </c>
      <c r="C192" s="15">
        <v>119.99</v>
      </c>
      <c r="D192" s="15">
        <v>119.5</v>
      </c>
      <c r="E192" s="15">
        <v>120.63</v>
      </c>
      <c r="F192" s="15">
        <v>119.66</v>
      </c>
      <c r="G192" s="16">
        <v>2.757813805783038E-3</v>
      </c>
      <c r="H192" s="15" t="s">
        <v>1325</v>
      </c>
      <c r="I192" s="15">
        <v>1.93</v>
      </c>
      <c r="J192" s="15">
        <v>18.25</v>
      </c>
      <c r="K192" s="15">
        <v>119.55</v>
      </c>
      <c r="L192" s="28" t="str">
        <f>HYPERLINK("http://finance.yahoo.com/q?s=" &amp; A192, "Link")</f>
        <v>Link</v>
      </c>
      <c r="M192" s="15">
        <f>K192*0.9</f>
        <v>107.595</v>
      </c>
      <c r="N192" s="15" t="str">
        <f>IF(M192&gt;C192, "Buy", "")</f>
        <v/>
      </c>
      <c r="O192" s="33">
        <f>C192/K192</f>
        <v>1.0036804684232539</v>
      </c>
    </row>
    <row r="193" spans="1:15" ht="20.100000000000001" customHeight="1" x14ac:dyDescent="0.25">
      <c r="A193" s="21" t="s">
        <v>313</v>
      </c>
      <c r="B193" t="s">
        <v>1124</v>
      </c>
      <c r="C193" s="15">
        <v>52.32</v>
      </c>
      <c r="D193" s="15">
        <v>52.21</v>
      </c>
      <c r="E193" s="15">
        <v>52.71</v>
      </c>
      <c r="F193" s="15">
        <v>52.47</v>
      </c>
      <c r="G193" s="16">
        <v>-2.8587764436820771E-3</v>
      </c>
      <c r="H193" s="15" t="s">
        <v>124</v>
      </c>
      <c r="I193" s="15" t="s">
        <v>124</v>
      </c>
      <c r="J193" s="15" t="s">
        <v>124</v>
      </c>
      <c r="K193" s="15">
        <v>52.12</v>
      </c>
      <c r="L193" s="28" t="str">
        <f>HYPERLINK("http://finance.yahoo.com/q?s=" &amp; A193, "Link")</f>
        <v>Link</v>
      </c>
      <c r="M193" s="15">
        <f>K193*0.9</f>
        <v>46.908000000000001</v>
      </c>
      <c r="N193" s="15" t="str">
        <f>IF(M193&gt;C193, "Buy", "")</f>
        <v/>
      </c>
      <c r="O193" s="33">
        <f>C193/K193</f>
        <v>1.0038372985418267</v>
      </c>
    </row>
    <row r="194" spans="1:15" ht="20.100000000000001" customHeight="1" x14ac:dyDescent="0.25">
      <c r="A194" s="21" t="s">
        <v>49</v>
      </c>
      <c r="B194" t="s">
        <v>964</v>
      </c>
      <c r="C194" s="15">
        <v>14.73</v>
      </c>
      <c r="D194" s="15">
        <v>14.6</v>
      </c>
      <c r="E194" s="15">
        <v>14.99</v>
      </c>
      <c r="F194" s="15">
        <v>14.86</v>
      </c>
      <c r="G194" s="16">
        <v>-8.7483176312246978E-3</v>
      </c>
      <c r="H194" s="15" t="s">
        <v>1339</v>
      </c>
      <c r="I194" s="15">
        <v>3.6</v>
      </c>
      <c r="J194" s="15">
        <v>10.29</v>
      </c>
      <c r="K194" s="15">
        <v>14.65</v>
      </c>
      <c r="L194" s="28" t="str">
        <f>HYPERLINK("http://finance.yahoo.com/q?s=" &amp; A194, "Link")</f>
        <v>Link</v>
      </c>
      <c r="M194" s="15">
        <f>K194*0.9</f>
        <v>13.185</v>
      </c>
      <c r="N194" s="15" t="str">
        <f>IF(M194&gt;C194, "Buy", "")</f>
        <v/>
      </c>
      <c r="O194" s="33">
        <f>C194/K194</f>
        <v>1.0054607508532423</v>
      </c>
    </row>
    <row r="195" spans="1:15" ht="20.100000000000001" customHeight="1" x14ac:dyDescent="0.25">
      <c r="A195" s="21" t="s">
        <v>488</v>
      </c>
      <c r="B195" t="s">
        <v>855</v>
      </c>
      <c r="C195" s="15">
        <v>77.02</v>
      </c>
      <c r="D195" s="15">
        <v>76.64</v>
      </c>
      <c r="E195" s="15">
        <v>77.709999999999994</v>
      </c>
      <c r="F195" s="15">
        <v>77.05</v>
      </c>
      <c r="G195" s="16">
        <v>-3.8935756002597195E-4</v>
      </c>
      <c r="H195" s="15" t="s">
        <v>1341</v>
      </c>
      <c r="I195" s="15">
        <v>3.4</v>
      </c>
      <c r="J195" s="15">
        <v>20.04</v>
      </c>
      <c r="K195" s="15">
        <v>76.58</v>
      </c>
      <c r="L195" s="28" t="str">
        <f>HYPERLINK("http://finance.yahoo.com/q?s=" &amp; A195, "Link")</f>
        <v>Link</v>
      </c>
      <c r="M195" s="15">
        <f>K195*0.9</f>
        <v>68.921999999999997</v>
      </c>
      <c r="N195" s="15" t="str">
        <f>IF(M195&gt;C195, "Buy", "")</f>
        <v/>
      </c>
      <c r="O195" s="33">
        <f>C195/K195</f>
        <v>1.0057456254896839</v>
      </c>
    </row>
    <row r="196" spans="1:15" ht="20.100000000000001" customHeight="1" x14ac:dyDescent="0.25">
      <c r="A196" s="21" t="s">
        <v>281</v>
      </c>
      <c r="B196" t="s">
        <v>670</v>
      </c>
      <c r="C196" s="15">
        <v>405.2</v>
      </c>
      <c r="D196" s="15">
        <v>404.81</v>
      </c>
      <c r="E196" s="15">
        <v>409.98</v>
      </c>
      <c r="F196" s="15">
        <v>408.87</v>
      </c>
      <c r="G196" s="16">
        <v>-8.975958128500541E-3</v>
      </c>
      <c r="H196" s="15" t="s">
        <v>1361</v>
      </c>
      <c r="I196" s="15" t="s">
        <v>124</v>
      </c>
      <c r="J196" s="15">
        <v>163.65</v>
      </c>
      <c r="K196" s="15">
        <v>402.56</v>
      </c>
      <c r="L196" s="28" t="str">
        <f>HYPERLINK("http://finance.yahoo.com/q?s=" &amp; A196, "Link")</f>
        <v>Link</v>
      </c>
      <c r="M196" s="15">
        <f>K196*0.9</f>
        <v>362.30400000000003</v>
      </c>
      <c r="N196" s="15" t="str">
        <f>IF(M196&gt;C196, "Buy", "")</f>
        <v/>
      </c>
      <c r="O196" s="33">
        <f>C196/K196</f>
        <v>1.0065580286168521</v>
      </c>
    </row>
    <row r="197" spans="1:15" ht="20.100000000000001" customHeight="1" x14ac:dyDescent="0.25">
      <c r="A197" s="21" t="s">
        <v>551</v>
      </c>
      <c r="B197" t="s">
        <v>989</v>
      </c>
      <c r="C197" s="15">
        <v>27.64</v>
      </c>
      <c r="D197" s="15" t="s">
        <v>124</v>
      </c>
      <c r="E197" s="15" t="s">
        <v>124</v>
      </c>
      <c r="F197" s="15">
        <v>27.64</v>
      </c>
      <c r="G197" s="16">
        <v>0</v>
      </c>
      <c r="H197" s="15" t="s">
        <v>124</v>
      </c>
      <c r="I197" s="15" t="s">
        <v>124</v>
      </c>
      <c r="J197" s="15" t="s">
        <v>124</v>
      </c>
      <c r="K197" s="15">
        <v>27.39</v>
      </c>
      <c r="L197" s="28" t="str">
        <f>HYPERLINK("http://finance.yahoo.com/q?s=" &amp; A197, "Link")</f>
        <v>Link</v>
      </c>
      <c r="M197" s="15">
        <f>K197*0.9</f>
        <v>24.651</v>
      </c>
      <c r="N197" s="15" t="str">
        <f>IF(M197&gt;C197, "Buy", "")</f>
        <v/>
      </c>
      <c r="O197" s="33">
        <f>C197/K197</f>
        <v>1.0091274187659729</v>
      </c>
    </row>
    <row r="198" spans="1:15" ht="20.100000000000001" customHeight="1" x14ac:dyDescent="0.25">
      <c r="A198" s="21" t="s">
        <v>577</v>
      </c>
      <c r="B198" t="s">
        <v>935</v>
      </c>
      <c r="C198" s="15">
        <v>80.42</v>
      </c>
      <c r="D198" s="15">
        <v>79.900000000000006</v>
      </c>
      <c r="E198" s="15">
        <v>80.7</v>
      </c>
      <c r="F198" s="15">
        <v>80.38</v>
      </c>
      <c r="G198" s="16">
        <v>4.9763622791747025E-4</v>
      </c>
      <c r="H198" s="15" t="s">
        <v>1348</v>
      </c>
      <c r="I198" s="15">
        <v>0</v>
      </c>
      <c r="J198" s="15">
        <v>24.09</v>
      </c>
      <c r="K198" s="15">
        <v>79.650000000000006</v>
      </c>
      <c r="L198" s="28" t="str">
        <f>HYPERLINK("http://finance.yahoo.com/q?s=" &amp; A198, "Link")</f>
        <v>Link</v>
      </c>
      <c r="M198" s="15">
        <f>K198*0.9</f>
        <v>71.685000000000002</v>
      </c>
      <c r="N198" s="15" t="str">
        <f>IF(M198&gt;C198, "Buy", "")</f>
        <v/>
      </c>
      <c r="O198" s="33">
        <f>C198/K198</f>
        <v>1.0096672944130571</v>
      </c>
    </row>
    <row r="199" spans="1:15" ht="20.100000000000001" customHeight="1" x14ac:dyDescent="0.25">
      <c r="A199" s="21" t="s">
        <v>319</v>
      </c>
      <c r="B199" t="s">
        <v>699</v>
      </c>
      <c r="C199" s="15">
        <v>75.790000000000006</v>
      </c>
      <c r="D199" s="15">
        <v>75.290000000000006</v>
      </c>
      <c r="E199" s="15">
        <v>76.040000000000006</v>
      </c>
      <c r="F199" s="15">
        <v>75.62</v>
      </c>
      <c r="G199" s="16">
        <v>2.2480825178524426E-3</v>
      </c>
      <c r="H199" s="15" t="s">
        <v>1327</v>
      </c>
      <c r="I199" s="15">
        <v>3.98</v>
      </c>
      <c r="J199" s="15">
        <v>22.84</v>
      </c>
      <c r="K199" s="15">
        <v>75.06</v>
      </c>
      <c r="L199" s="28" t="str">
        <f>HYPERLINK("http://finance.yahoo.com/q?s=" &amp; A199, "Link")</f>
        <v>Link</v>
      </c>
      <c r="M199" s="15">
        <f>K199*0.9</f>
        <v>67.554000000000002</v>
      </c>
      <c r="N199" s="15" t="str">
        <f>IF(M199&gt;C199, "Buy", "")</f>
        <v/>
      </c>
      <c r="O199" s="33">
        <f>C199/K199</f>
        <v>1.0097255528910205</v>
      </c>
    </row>
    <row r="200" spans="1:15" ht="20.100000000000001" customHeight="1" x14ac:dyDescent="0.25">
      <c r="A200" s="21" t="s">
        <v>523</v>
      </c>
      <c r="B200" t="s">
        <v>887</v>
      </c>
      <c r="C200" s="15">
        <v>76.03</v>
      </c>
      <c r="D200" s="15">
        <v>75.430000000000007</v>
      </c>
      <c r="E200" s="15">
        <v>76.12</v>
      </c>
      <c r="F200" s="15">
        <v>75.569999999999993</v>
      </c>
      <c r="G200" s="16">
        <v>6.0870715892551016E-3</v>
      </c>
      <c r="H200" s="15" t="s">
        <v>1332</v>
      </c>
      <c r="I200" s="15" t="s">
        <v>124</v>
      </c>
      <c r="J200" s="15">
        <v>257.73</v>
      </c>
      <c r="K200" s="15">
        <v>75.28</v>
      </c>
      <c r="L200" s="28" t="str">
        <f>HYPERLINK("http://finance.yahoo.com/q?s=" &amp; A200, "Link")</f>
        <v>Link</v>
      </c>
      <c r="M200" s="15">
        <f>K200*0.9</f>
        <v>67.75200000000001</v>
      </c>
      <c r="N200" s="15" t="str">
        <f>IF(M200&gt;C200, "Buy", "")</f>
        <v/>
      </c>
      <c r="O200" s="33">
        <f>C200/K200</f>
        <v>1.0099628055260361</v>
      </c>
    </row>
    <row r="201" spans="1:15" ht="20.100000000000001" customHeight="1" x14ac:dyDescent="0.25">
      <c r="A201" s="21" t="s">
        <v>416</v>
      </c>
      <c r="B201" t="s">
        <v>1157</v>
      </c>
      <c r="C201" s="15">
        <v>151.41</v>
      </c>
      <c r="D201" s="15">
        <v>150.34</v>
      </c>
      <c r="E201" s="15">
        <v>152.61000000000001</v>
      </c>
      <c r="F201" s="15">
        <v>151.91</v>
      </c>
      <c r="G201" s="16">
        <v>-3.2914225528273321E-3</v>
      </c>
      <c r="H201" s="15" t="s">
        <v>1149</v>
      </c>
      <c r="I201" s="15">
        <v>1.85</v>
      </c>
      <c r="J201" s="15">
        <v>33.630000000000003</v>
      </c>
      <c r="K201" s="15">
        <v>149.85</v>
      </c>
      <c r="L201" s="28" t="str">
        <f>HYPERLINK("http://finance.yahoo.com/q?s=" &amp; A201, "Link")</f>
        <v>Link</v>
      </c>
      <c r="M201" s="15">
        <f>K201*0.9</f>
        <v>134.86500000000001</v>
      </c>
      <c r="N201" s="15" t="str">
        <f>IF(M201&gt;C201, "Buy", "")</f>
        <v/>
      </c>
      <c r="O201" s="33">
        <f>C201/K201</f>
        <v>1.0104104104104104</v>
      </c>
    </row>
    <row r="202" spans="1:15" ht="20.100000000000001" customHeight="1" x14ac:dyDescent="0.25">
      <c r="A202" s="21" t="s">
        <v>236</v>
      </c>
      <c r="B202" t="s">
        <v>627</v>
      </c>
      <c r="C202" s="15">
        <v>112.07</v>
      </c>
      <c r="D202" s="15">
        <v>111.32</v>
      </c>
      <c r="E202" s="15">
        <v>112.7</v>
      </c>
      <c r="F202" s="15">
        <v>112.28</v>
      </c>
      <c r="G202" s="16">
        <v>-1.8703241895262554E-3</v>
      </c>
      <c r="H202" s="15" t="s">
        <v>1362</v>
      </c>
      <c r="I202" s="15">
        <v>1.18</v>
      </c>
      <c r="J202" s="15">
        <v>20.66</v>
      </c>
      <c r="K202" s="15">
        <v>110.91</v>
      </c>
      <c r="L202" s="28" t="str">
        <f>HYPERLINK("http://finance.yahoo.com/q?s=" &amp; A202, "Link")</f>
        <v>Link</v>
      </c>
      <c r="M202" s="15">
        <f>K202*0.9</f>
        <v>99.819000000000003</v>
      </c>
      <c r="N202" s="15" t="str">
        <f>IF(M202&gt;C202, "Buy", "")</f>
        <v/>
      </c>
      <c r="O202" s="33">
        <f>C202/K202</f>
        <v>1.0104589306645027</v>
      </c>
    </row>
    <row r="203" spans="1:15" ht="20.100000000000001" customHeight="1" x14ac:dyDescent="0.25">
      <c r="A203" s="21" t="s">
        <v>347</v>
      </c>
      <c r="B203" t="s">
        <v>726</v>
      </c>
      <c r="C203" s="15">
        <v>79.39</v>
      </c>
      <c r="D203" s="15" t="s">
        <v>124</v>
      </c>
      <c r="E203" s="15" t="s">
        <v>124</v>
      </c>
      <c r="F203" s="15">
        <v>79.39</v>
      </c>
      <c r="G203" s="16">
        <v>0</v>
      </c>
      <c r="H203" s="15" t="s">
        <v>124</v>
      </c>
      <c r="I203" s="15" t="s">
        <v>124</v>
      </c>
      <c r="J203" s="15" t="s">
        <v>124</v>
      </c>
      <c r="K203" s="15">
        <v>78.48</v>
      </c>
      <c r="L203" s="28" t="str">
        <f>HYPERLINK("http://finance.yahoo.com/q?s=" &amp; A203, "Link")</f>
        <v>Link</v>
      </c>
      <c r="M203" s="15">
        <f>K203*0.9</f>
        <v>70.632000000000005</v>
      </c>
      <c r="N203" s="15" t="str">
        <f>IF(M203&gt;C203, "Buy", "")</f>
        <v/>
      </c>
      <c r="O203" s="33">
        <f>C203/K203</f>
        <v>1.0115953109072375</v>
      </c>
    </row>
    <row r="204" spans="1:15" ht="20.100000000000001" customHeight="1" x14ac:dyDescent="0.25">
      <c r="A204" s="21" t="s">
        <v>539</v>
      </c>
      <c r="B204" t="s">
        <v>1350</v>
      </c>
      <c r="C204" s="15">
        <v>80.819999999999993</v>
      </c>
      <c r="D204" s="15" t="s">
        <v>124</v>
      </c>
      <c r="E204" s="15" t="s">
        <v>124</v>
      </c>
      <c r="F204" s="15">
        <v>80.819999999999993</v>
      </c>
      <c r="G204" s="16">
        <v>0</v>
      </c>
      <c r="H204" s="15" t="s">
        <v>124</v>
      </c>
      <c r="I204" s="15">
        <v>1.54</v>
      </c>
      <c r="J204" s="15" t="s">
        <v>124</v>
      </c>
      <c r="K204" s="15">
        <v>79.88</v>
      </c>
      <c r="L204" s="28" t="str">
        <f>HYPERLINK("http://finance.yahoo.com/q?s=" &amp; A204, "Link")</f>
        <v>Link</v>
      </c>
      <c r="M204" s="15">
        <f>K204*0.9</f>
        <v>71.891999999999996</v>
      </c>
      <c r="N204" s="15" t="str">
        <f>IF(M204&gt;C204, "Buy", "")</f>
        <v/>
      </c>
      <c r="O204" s="33">
        <f>C204/K204</f>
        <v>1.0117676514772158</v>
      </c>
    </row>
    <row r="205" spans="1:15" ht="20.100000000000001" customHeight="1" x14ac:dyDescent="0.25">
      <c r="A205" s="21" t="s">
        <v>589</v>
      </c>
      <c r="B205" t="s">
        <v>946</v>
      </c>
      <c r="C205" s="15">
        <v>30.81</v>
      </c>
      <c r="D205" s="15">
        <v>30.59</v>
      </c>
      <c r="E205" s="15">
        <v>30.96</v>
      </c>
      <c r="F205" s="15">
        <v>30.77</v>
      </c>
      <c r="G205" s="16">
        <v>1.299967500812452E-3</v>
      </c>
      <c r="H205" s="15" t="s">
        <v>1338</v>
      </c>
      <c r="I205" s="15">
        <v>1.82</v>
      </c>
      <c r="J205" s="15">
        <v>19.88</v>
      </c>
      <c r="K205" s="15">
        <v>30.45</v>
      </c>
      <c r="L205" s="28" t="str">
        <f>HYPERLINK("http://finance.yahoo.com/q?s=" &amp; A205, "Link")</f>
        <v>Link</v>
      </c>
      <c r="M205" s="15">
        <f>K205*0.9</f>
        <v>27.405000000000001</v>
      </c>
      <c r="N205" s="15" t="str">
        <f>IF(M205&gt;C205, "Buy", "")</f>
        <v/>
      </c>
      <c r="O205" s="33">
        <f>C205/K205</f>
        <v>1.0118226600985221</v>
      </c>
    </row>
    <row r="206" spans="1:15" ht="20.100000000000001" customHeight="1" x14ac:dyDescent="0.25">
      <c r="A206" s="21" t="s">
        <v>586</v>
      </c>
      <c r="B206" t="s">
        <v>943</v>
      </c>
      <c r="C206" s="15">
        <v>20.98</v>
      </c>
      <c r="D206" s="15">
        <v>20.63</v>
      </c>
      <c r="E206" s="15">
        <v>21.04</v>
      </c>
      <c r="F206" s="15">
        <v>21.13</v>
      </c>
      <c r="G206" s="16">
        <v>-7.0989115002365634E-3</v>
      </c>
      <c r="H206" s="15" t="s">
        <v>1448</v>
      </c>
      <c r="I206" s="15">
        <v>3.05</v>
      </c>
      <c r="J206" s="15">
        <v>12.71</v>
      </c>
      <c r="K206" s="15">
        <v>20.72</v>
      </c>
      <c r="L206" s="28" t="str">
        <f>HYPERLINK("http://finance.yahoo.com/q?s=" &amp; A206, "Link")</f>
        <v>Link</v>
      </c>
      <c r="M206" s="15">
        <f>K206*0.9</f>
        <v>18.648</v>
      </c>
      <c r="N206" s="15" t="str">
        <f>IF(M206&gt;C206, "Buy", "")</f>
        <v/>
      </c>
      <c r="O206" s="33">
        <f>C206/K206</f>
        <v>1.0125482625482627</v>
      </c>
    </row>
    <row r="207" spans="1:15" ht="20.100000000000001" customHeight="1" x14ac:dyDescent="0.25">
      <c r="A207" s="21" t="s">
        <v>370</v>
      </c>
      <c r="B207" t="s">
        <v>748</v>
      </c>
      <c r="C207" s="15">
        <v>30.52</v>
      </c>
      <c r="D207" s="15">
        <v>30.22</v>
      </c>
      <c r="E207" s="15">
        <v>30.94</v>
      </c>
      <c r="F207" s="15">
        <v>30.39</v>
      </c>
      <c r="G207" s="16">
        <v>4.2777229351760116E-3</v>
      </c>
      <c r="H207" s="15" t="s">
        <v>1383</v>
      </c>
      <c r="I207" s="15">
        <v>1.1100000000000001</v>
      </c>
      <c r="J207" s="15">
        <v>25.5</v>
      </c>
      <c r="K207" s="15">
        <v>30.14</v>
      </c>
      <c r="L207" s="28" t="str">
        <f>HYPERLINK("http://finance.yahoo.com/q?s=" &amp; A207, "Link")</f>
        <v>Link</v>
      </c>
      <c r="M207" s="15">
        <f>K207*0.9</f>
        <v>27.126000000000001</v>
      </c>
      <c r="N207" s="15" t="str">
        <f>IF(M207&gt;C207, "Buy", "")</f>
        <v/>
      </c>
      <c r="O207" s="33">
        <f>C207/K207</f>
        <v>1.0126078301260784</v>
      </c>
    </row>
    <row r="208" spans="1:15" ht="20.100000000000001" customHeight="1" x14ac:dyDescent="0.25">
      <c r="A208" s="21" t="s">
        <v>94</v>
      </c>
      <c r="B208" t="s">
        <v>201</v>
      </c>
      <c r="C208" s="15">
        <v>52.72</v>
      </c>
      <c r="D208" s="15">
        <v>52.56</v>
      </c>
      <c r="E208" s="15">
        <v>53.2</v>
      </c>
      <c r="F208" s="15">
        <v>52.36</v>
      </c>
      <c r="G208" s="16">
        <v>6.8754774637127467E-3</v>
      </c>
      <c r="H208" s="15" t="s">
        <v>1349</v>
      </c>
      <c r="I208" s="15">
        <v>4.38</v>
      </c>
      <c r="J208" s="15">
        <v>15.37</v>
      </c>
      <c r="K208" s="15">
        <v>52.01</v>
      </c>
      <c r="L208" s="28" t="str">
        <f>HYPERLINK("http://finance.yahoo.com/q?s=" &amp; A208, "Link")</f>
        <v>Link</v>
      </c>
      <c r="M208" s="15">
        <f>K208*0.9</f>
        <v>46.808999999999997</v>
      </c>
      <c r="N208" s="15" t="str">
        <f>IF(M208&gt;C208, "Buy", "")</f>
        <v/>
      </c>
      <c r="O208" s="33">
        <f>C208/K208</f>
        <v>1.013651220919054</v>
      </c>
    </row>
    <row r="209" spans="1:15" ht="20.100000000000001" customHeight="1" x14ac:dyDescent="0.25">
      <c r="A209" s="21" t="s">
        <v>246</v>
      </c>
      <c r="B209" t="s">
        <v>636</v>
      </c>
      <c r="C209" s="15">
        <v>176.97</v>
      </c>
      <c r="D209" s="15">
        <v>174.83</v>
      </c>
      <c r="E209" s="15">
        <v>177.37</v>
      </c>
      <c r="F209" s="15">
        <v>175.22</v>
      </c>
      <c r="G209" s="16">
        <v>9.9874443556671605E-3</v>
      </c>
      <c r="H209" s="15" t="s">
        <v>1172</v>
      </c>
      <c r="I209" s="15">
        <v>3.05</v>
      </c>
      <c r="J209" s="15">
        <v>25.67</v>
      </c>
      <c r="K209" s="15">
        <v>174.58</v>
      </c>
      <c r="L209" s="28" t="str">
        <f>HYPERLINK("http://finance.yahoo.com/q?s=" &amp; A209, "Link")</f>
        <v>Link</v>
      </c>
      <c r="M209" s="15">
        <f>K209*0.9</f>
        <v>157.12200000000001</v>
      </c>
      <c r="N209" s="15" t="str">
        <f>IF(M209&gt;C209, "Buy", "")</f>
        <v/>
      </c>
      <c r="O209" s="33">
        <f>C209/K209</f>
        <v>1.0136899988543933</v>
      </c>
    </row>
    <row r="210" spans="1:15" ht="20.100000000000001" customHeight="1" x14ac:dyDescent="0.25">
      <c r="A210" s="21" t="s">
        <v>435</v>
      </c>
      <c r="B210" t="s">
        <v>807</v>
      </c>
      <c r="C210" s="15">
        <v>67.989999999999995</v>
      </c>
      <c r="D210" s="15">
        <v>67.489999999999995</v>
      </c>
      <c r="E210" s="15">
        <v>67.989999999999995</v>
      </c>
      <c r="F210" s="15">
        <v>67.45</v>
      </c>
      <c r="G210" s="16">
        <v>8.0059303187545155E-3</v>
      </c>
      <c r="H210" s="15" t="s">
        <v>1345</v>
      </c>
      <c r="I210" s="15">
        <v>2</v>
      </c>
      <c r="J210" s="15">
        <v>20.91</v>
      </c>
      <c r="K210" s="15">
        <v>67.069999999999993</v>
      </c>
      <c r="L210" s="28" t="str">
        <f>HYPERLINK("http://finance.yahoo.com/q?s=" &amp; A210, "Link")</f>
        <v>Link</v>
      </c>
      <c r="M210" s="15">
        <f>K210*0.9</f>
        <v>60.362999999999992</v>
      </c>
      <c r="N210" s="15" t="str">
        <f>IF(M210&gt;C210, "Buy", "")</f>
        <v/>
      </c>
      <c r="O210" s="33">
        <f>C210/K210</f>
        <v>1.0137170120769345</v>
      </c>
    </row>
    <row r="211" spans="1:15" ht="20.100000000000001" customHeight="1" x14ac:dyDescent="0.25">
      <c r="A211" s="21" t="s">
        <v>266</v>
      </c>
      <c r="B211" t="s">
        <v>655</v>
      </c>
      <c r="C211" s="15">
        <v>66.010000000000005</v>
      </c>
      <c r="D211" s="15" t="s">
        <v>124</v>
      </c>
      <c r="E211" s="15" t="s">
        <v>124</v>
      </c>
      <c r="F211" s="15">
        <v>66.010000000000005</v>
      </c>
      <c r="G211" s="16">
        <v>0</v>
      </c>
      <c r="H211" s="15" t="s">
        <v>124</v>
      </c>
      <c r="I211" s="15" t="s">
        <v>124</v>
      </c>
      <c r="J211" s="15" t="s">
        <v>124</v>
      </c>
      <c r="K211" s="15">
        <v>65.09</v>
      </c>
      <c r="L211" s="28" t="str">
        <f>HYPERLINK("http://finance.yahoo.com/q?s=" &amp; A211, "Link")</f>
        <v>Link</v>
      </c>
      <c r="M211" s="15">
        <f>K211*0.9</f>
        <v>58.581000000000003</v>
      </c>
      <c r="N211" s="15" t="str">
        <f>IF(M211&gt;C211, "Buy", "")</f>
        <v/>
      </c>
      <c r="O211" s="33">
        <f>C211/K211</f>
        <v>1.0141342756183747</v>
      </c>
    </row>
    <row r="212" spans="1:15" ht="20.100000000000001" customHeight="1" x14ac:dyDescent="0.25">
      <c r="A212" s="21" t="s">
        <v>499</v>
      </c>
      <c r="B212" t="s">
        <v>864</v>
      </c>
      <c r="C212" s="15">
        <v>52.57</v>
      </c>
      <c r="D212" s="15">
        <v>52.44</v>
      </c>
      <c r="E212" s="15">
        <v>53.01</v>
      </c>
      <c r="F212" s="15">
        <v>52.76</v>
      </c>
      <c r="G212" s="16">
        <v>-3.6012130401819132E-3</v>
      </c>
      <c r="H212" s="15" t="s">
        <v>1342</v>
      </c>
      <c r="I212" s="15">
        <v>3.2</v>
      </c>
      <c r="J212" s="15">
        <v>31.4</v>
      </c>
      <c r="K212" s="15">
        <v>51.83</v>
      </c>
      <c r="L212" s="28" t="str">
        <f>HYPERLINK("http://finance.yahoo.com/q?s=" &amp; A212, "Link")</f>
        <v>Link</v>
      </c>
      <c r="M212" s="15">
        <f>K212*0.9</f>
        <v>46.646999999999998</v>
      </c>
      <c r="N212" s="15" t="str">
        <f>IF(M212&gt;C212, "Buy", "")</f>
        <v/>
      </c>
      <c r="O212" s="33">
        <f>C212/K212</f>
        <v>1.0142774454948871</v>
      </c>
    </row>
    <row r="213" spans="1:15" ht="20.100000000000001" customHeight="1" x14ac:dyDescent="0.25">
      <c r="A213" s="21" t="s">
        <v>368</v>
      </c>
      <c r="B213" t="s">
        <v>746</v>
      </c>
      <c r="C213" s="15">
        <v>99.74</v>
      </c>
      <c r="D213" s="15">
        <v>98.96</v>
      </c>
      <c r="E213" s="15">
        <v>100.03</v>
      </c>
      <c r="F213" s="15">
        <v>99.11</v>
      </c>
      <c r="G213" s="16">
        <v>6.3565735041872205E-3</v>
      </c>
      <c r="H213" s="15" t="s">
        <v>1328</v>
      </c>
      <c r="I213" s="15">
        <v>2.64</v>
      </c>
      <c r="J213" s="15">
        <v>21.55</v>
      </c>
      <c r="K213" s="15">
        <v>98.33</v>
      </c>
      <c r="L213" s="28" t="str">
        <f>HYPERLINK("http://finance.yahoo.com/q?s=" &amp; A213, "Link")</f>
        <v>Link</v>
      </c>
      <c r="M213" s="15">
        <f>K213*0.9</f>
        <v>88.497</v>
      </c>
      <c r="N213" s="15" t="str">
        <f>IF(M213&gt;C213, "Buy", "")</f>
        <v/>
      </c>
      <c r="O213" s="33">
        <f>C213/K213</f>
        <v>1.0143394691345469</v>
      </c>
    </row>
    <row r="214" spans="1:15" ht="20.100000000000001" customHeight="1" x14ac:dyDescent="0.25">
      <c r="A214" s="21" t="s">
        <v>475</v>
      </c>
      <c r="B214" t="s">
        <v>842</v>
      </c>
      <c r="C214" s="15">
        <v>85.13</v>
      </c>
      <c r="D214" s="15">
        <v>84.5</v>
      </c>
      <c r="E214" s="15">
        <v>85.46</v>
      </c>
      <c r="F214" s="15">
        <v>84.56</v>
      </c>
      <c r="G214" s="16">
        <v>6.7407757805107993E-3</v>
      </c>
      <c r="H214" s="15" t="s">
        <v>1176</v>
      </c>
      <c r="I214" s="15">
        <v>2.58</v>
      </c>
      <c r="J214" s="15">
        <v>18.25</v>
      </c>
      <c r="K214" s="15">
        <v>83.87</v>
      </c>
      <c r="L214" s="28" t="str">
        <f>HYPERLINK("http://finance.yahoo.com/q?s=" &amp; A214, "Link")</f>
        <v>Link</v>
      </c>
      <c r="M214" s="15">
        <f>K214*0.9</f>
        <v>75.483000000000004</v>
      </c>
      <c r="N214" s="15" t="str">
        <f>IF(M214&gt;C214, "Buy", "")</f>
        <v/>
      </c>
      <c r="O214" s="33">
        <f>C214/K214</f>
        <v>1.0150232502682721</v>
      </c>
    </row>
    <row r="215" spans="1:15" ht="20.100000000000001" customHeight="1" x14ac:dyDescent="0.25">
      <c r="A215" s="21" t="s">
        <v>237</v>
      </c>
      <c r="B215" t="s">
        <v>628</v>
      </c>
      <c r="C215" s="15">
        <v>44.76</v>
      </c>
      <c r="D215" s="15">
        <v>44.06</v>
      </c>
      <c r="E215" s="15">
        <v>44.78</v>
      </c>
      <c r="F215" s="15">
        <v>44.04</v>
      </c>
      <c r="G215" s="16">
        <v>1.6348773841961827E-2</v>
      </c>
      <c r="H215" s="15" t="s">
        <v>1167</v>
      </c>
      <c r="I215" s="15">
        <v>2.95</v>
      </c>
      <c r="J215" s="15">
        <v>21.64</v>
      </c>
      <c r="K215" s="15">
        <v>44.05</v>
      </c>
      <c r="L215" s="28" t="str">
        <f>HYPERLINK("http://finance.yahoo.com/q?s=" &amp; A215, "Link")</f>
        <v>Link</v>
      </c>
      <c r="M215" s="15">
        <f>K215*0.9</f>
        <v>39.644999999999996</v>
      </c>
      <c r="N215" s="15" t="str">
        <f>IF(M215&gt;C215, "Buy", "")</f>
        <v/>
      </c>
      <c r="O215" s="33">
        <f>C215/K215</f>
        <v>1.0161180476730989</v>
      </c>
    </row>
    <row r="216" spans="1:15" ht="20.100000000000001" customHeight="1" x14ac:dyDescent="0.25">
      <c r="A216" s="21" t="s">
        <v>63</v>
      </c>
      <c r="B216" t="s">
        <v>171</v>
      </c>
      <c r="C216" s="15">
        <v>178.49</v>
      </c>
      <c r="D216" s="15">
        <v>177.83</v>
      </c>
      <c r="E216" s="15">
        <v>179.46</v>
      </c>
      <c r="F216" s="15">
        <v>178.68</v>
      </c>
      <c r="G216" s="16">
        <v>-1.0633534810834885E-3</v>
      </c>
      <c r="H216" s="15" t="s">
        <v>1346</v>
      </c>
      <c r="I216" s="15">
        <v>2.4900000000000002</v>
      </c>
      <c r="J216" s="15">
        <v>22.51</v>
      </c>
      <c r="K216" s="15">
        <v>175.65</v>
      </c>
      <c r="L216" s="28" t="str">
        <f>HYPERLINK("http://finance.yahoo.com/q?s=" &amp; A216, "Link")</f>
        <v>Link</v>
      </c>
      <c r="M216" s="15">
        <f>K216*0.9</f>
        <v>158.08500000000001</v>
      </c>
      <c r="N216" s="15" t="str">
        <f>IF(M216&gt;C216, "Buy", "")</f>
        <v/>
      </c>
      <c r="O216" s="33">
        <f>C216/K216</f>
        <v>1.0161685169370909</v>
      </c>
    </row>
    <row r="217" spans="1:15" ht="20.100000000000001" customHeight="1" x14ac:dyDescent="0.25">
      <c r="A217" s="21" t="s">
        <v>398</v>
      </c>
      <c r="B217" t="s">
        <v>774</v>
      </c>
      <c r="C217" s="15">
        <v>30.52</v>
      </c>
      <c r="D217" s="15">
        <v>30.2</v>
      </c>
      <c r="E217" s="15">
        <v>30.53</v>
      </c>
      <c r="F217" s="15">
        <v>30.17</v>
      </c>
      <c r="G217" s="16">
        <v>1.1600928074245868E-2</v>
      </c>
      <c r="H217" s="15" t="s">
        <v>1393</v>
      </c>
      <c r="I217" s="15">
        <v>3.67</v>
      </c>
      <c r="J217" s="15">
        <v>15.38</v>
      </c>
      <c r="K217" s="15">
        <v>30.02</v>
      </c>
      <c r="L217" s="28" t="str">
        <f>HYPERLINK("http://finance.yahoo.com/q?s=" &amp; A217, "Link")</f>
        <v>Link</v>
      </c>
      <c r="M217" s="15">
        <f>K217*0.9</f>
        <v>27.018000000000001</v>
      </c>
      <c r="N217" s="15" t="str">
        <f>IF(M217&gt;C217, "Buy", "")</f>
        <v/>
      </c>
      <c r="O217" s="33">
        <f>C217/K217</f>
        <v>1.0166555629580281</v>
      </c>
    </row>
    <row r="218" spans="1:15" ht="20.100000000000001" customHeight="1" x14ac:dyDescent="0.25">
      <c r="A218" s="21" t="s">
        <v>216</v>
      </c>
      <c r="B218" t="s">
        <v>990</v>
      </c>
      <c r="C218" s="15">
        <v>65.97</v>
      </c>
      <c r="D218" s="15" t="s">
        <v>124</v>
      </c>
      <c r="E218" s="15" t="s">
        <v>124</v>
      </c>
      <c r="F218" s="15">
        <v>65.97</v>
      </c>
      <c r="G218" s="16">
        <v>0</v>
      </c>
      <c r="H218" s="15" t="s">
        <v>124</v>
      </c>
      <c r="I218" s="15" t="s">
        <v>124</v>
      </c>
      <c r="J218" s="15" t="s">
        <v>124</v>
      </c>
      <c r="K218" s="15">
        <v>64.88</v>
      </c>
      <c r="L218" s="28" t="str">
        <f>HYPERLINK("http://finance.yahoo.com/q?s=" &amp; A218, "Link")</f>
        <v>Link</v>
      </c>
      <c r="M218" s="15">
        <f>K218*0.9</f>
        <v>58.391999999999996</v>
      </c>
      <c r="N218" s="15" t="str">
        <f>IF(M218&gt;C218, "Buy", "")</f>
        <v/>
      </c>
      <c r="O218" s="33">
        <f>C218/K218</f>
        <v>1.0168002466091246</v>
      </c>
    </row>
    <row r="219" spans="1:15" ht="20.100000000000001" customHeight="1" x14ac:dyDescent="0.25">
      <c r="A219" s="21" t="s">
        <v>501</v>
      </c>
      <c r="B219" t="s">
        <v>866</v>
      </c>
      <c r="C219" s="15">
        <v>43.74</v>
      </c>
      <c r="D219" s="15">
        <v>43.51</v>
      </c>
      <c r="E219" s="15">
        <v>44</v>
      </c>
      <c r="F219" s="15">
        <v>43.68</v>
      </c>
      <c r="G219" s="16">
        <v>1.3736263736264258E-3</v>
      </c>
      <c r="H219" s="15" t="s">
        <v>1369</v>
      </c>
      <c r="I219" s="15">
        <v>3.75</v>
      </c>
      <c r="J219" s="15">
        <v>17.22</v>
      </c>
      <c r="K219" s="15">
        <v>43</v>
      </c>
      <c r="L219" s="28" t="str">
        <f>HYPERLINK("http://finance.yahoo.com/q?s=" &amp; A219, "Link")</f>
        <v>Link</v>
      </c>
      <c r="M219" s="15">
        <f>K219*0.9</f>
        <v>38.700000000000003</v>
      </c>
      <c r="N219" s="15" t="str">
        <f>IF(M219&gt;C219, "Buy", "")</f>
        <v/>
      </c>
      <c r="O219" s="33">
        <f>C219/K219</f>
        <v>1.0172093023255815</v>
      </c>
    </row>
    <row r="220" spans="1:15" ht="20.100000000000001" customHeight="1" x14ac:dyDescent="0.25">
      <c r="A220" s="21" t="s">
        <v>305</v>
      </c>
      <c r="B220" t="s">
        <v>690</v>
      </c>
      <c r="C220" s="15">
        <v>80.53</v>
      </c>
      <c r="D220" s="15">
        <v>80.12</v>
      </c>
      <c r="E220" s="15">
        <v>80.91</v>
      </c>
      <c r="F220" s="15">
        <v>80.599999999999994</v>
      </c>
      <c r="G220" s="16">
        <v>-8.6848635235723553E-4</v>
      </c>
      <c r="H220" s="15" t="s">
        <v>1372</v>
      </c>
      <c r="I220" s="15">
        <v>0.62</v>
      </c>
      <c r="J220" s="15">
        <v>22.53</v>
      </c>
      <c r="K220" s="15">
        <v>79.150000000000006</v>
      </c>
      <c r="L220" s="28" t="str">
        <f>HYPERLINK("http://finance.yahoo.com/q?s=" &amp; A220, "Link")</f>
        <v>Link</v>
      </c>
      <c r="M220" s="15">
        <f>K220*0.9</f>
        <v>71.235000000000014</v>
      </c>
      <c r="N220" s="15" t="str">
        <f>IF(M220&gt;C220, "Buy", "")</f>
        <v/>
      </c>
      <c r="O220" s="33">
        <f>C220/K220</f>
        <v>1.017435249526216</v>
      </c>
    </row>
    <row r="221" spans="1:15" ht="20.100000000000001" customHeight="1" x14ac:dyDescent="0.25">
      <c r="A221" s="21" t="s">
        <v>76</v>
      </c>
      <c r="B221" t="s">
        <v>183</v>
      </c>
      <c r="C221" s="15">
        <v>87.45</v>
      </c>
      <c r="D221" s="15">
        <v>86.42</v>
      </c>
      <c r="E221" s="15">
        <v>87.97</v>
      </c>
      <c r="F221" s="15">
        <v>84.7</v>
      </c>
      <c r="G221" s="16">
        <v>3.2467532467532464E-2</v>
      </c>
      <c r="H221" s="15" t="s">
        <v>1290</v>
      </c>
      <c r="I221" s="15">
        <v>3.06</v>
      </c>
      <c r="J221" s="15">
        <v>16.05</v>
      </c>
      <c r="K221" s="15">
        <v>85.88</v>
      </c>
      <c r="L221" s="28" t="str">
        <f>HYPERLINK("http://finance.yahoo.com/q?s=" &amp; A221, "Link")</f>
        <v>Link</v>
      </c>
      <c r="M221" s="15">
        <f>K221*0.9</f>
        <v>77.292000000000002</v>
      </c>
      <c r="N221" s="15" t="str">
        <f>IF(M221&gt;C221, "Buy", "")</f>
        <v/>
      </c>
      <c r="O221" s="33">
        <f>C221/K221</f>
        <v>1.0182813227759666</v>
      </c>
    </row>
    <row r="222" spans="1:15" ht="20.100000000000001" customHeight="1" x14ac:dyDescent="0.25">
      <c r="A222" s="21" t="s">
        <v>530</v>
      </c>
      <c r="B222" t="s">
        <v>893</v>
      </c>
      <c r="C222" s="15">
        <v>283.62</v>
      </c>
      <c r="D222" s="15">
        <v>281.79000000000002</v>
      </c>
      <c r="E222" s="15">
        <v>284.92</v>
      </c>
      <c r="F222" s="15">
        <v>283.08999999999997</v>
      </c>
      <c r="G222" s="16">
        <v>1.8721961213749325E-3</v>
      </c>
      <c r="H222" s="15" t="s">
        <v>1368</v>
      </c>
      <c r="I222" s="15">
        <v>1.17</v>
      </c>
      <c r="J222" s="15">
        <v>23.66</v>
      </c>
      <c r="K222" s="15">
        <v>278.51</v>
      </c>
      <c r="L222" s="28" t="str">
        <f>HYPERLINK("http://finance.yahoo.com/q?s=" &amp; A222, "Link")</f>
        <v>Link</v>
      </c>
      <c r="M222" s="15">
        <f>K222*0.9</f>
        <v>250.65899999999999</v>
      </c>
      <c r="N222" s="15" t="str">
        <f>IF(M222&gt;C222, "Buy", "")</f>
        <v/>
      </c>
      <c r="O222" s="33">
        <f>C222/K222</f>
        <v>1.0183476356324728</v>
      </c>
    </row>
    <row r="223" spans="1:15" ht="20.100000000000001" customHeight="1" x14ac:dyDescent="0.25">
      <c r="A223" s="21" t="s">
        <v>206</v>
      </c>
      <c r="B223" t="s">
        <v>207</v>
      </c>
      <c r="C223" s="15">
        <v>118.02</v>
      </c>
      <c r="D223" s="15">
        <v>117.63</v>
      </c>
      <c r="E223" s="15">
        <v>118.89</v>
      </c>
      <c r="F223" s="15">
        <v>117.99</v>
      </c>
      <c r="G223" s="16">
        <v>2.5425883549454306E-4</v>
      </c>
      <c r="H223" s="15" t="s">
        <v>1173</v>
      </c>
      <c r="I223" s="15">
        <v>2.27</v>
      </c>
      <c r="J223" s="15">
        <v>11.97</v>
      </c>
      <c r="K223" s="15">
        <v>115.82</v>
      </c>
      <c r="L223" s="28" t="str">
        <f>HYPERLINK("http://finance.yahoo.com/q?s=" &amp; A223, "Link")</f>
        <v>Link</v>
      </c>
      <c r="M223" s="15">
        <f>K223*0.9</f>
        <v>104.238</v>
      </c>
      <c r="N223" s="15" t="str">
        <f>IF(M223&gt;C223, "Buy", "")</f>
        <v/>
      </c>
      <c r="O223" s="33">
        <f>C223/K223</f>
        <v>1.0189949922293213</v>
      </c>
    </row>
    <row r="224" spans="1:15" ht="20.100000000000001" customHeight="1" x14ac:dyDescent="0.25">
      <c r="A224" s="21" t="s">
        <v>274</v>
      </c>
      <c r="B224" t="s">
        <v>663</v>
      </c>
      <c r="C224" s="15">
        <v>112.66</v>
      </c>
      <c r="D224" s="15">
        <v>112.42</v>
      </c>
      <c r="E224" s="15">
        <v>114.75</v>
      </c>
      <c r="F224" s="15">
        <v>113.62</v>
      </c>
      <c r="G224" s="16">
        <v>-8.4492166872030261E-3</v>
      </c>
      <c r="H224" s="15" t="s">
        <v>1453</v>
      </c>
      <c r="I224" s="15" t="s">
        <v>124</v>
      </c>
      <c r="J224" s="15">
        <v>42.79</v>
      </c>
      <c r="K224" s="15">
        <v>110.55</v>
      </c>
      <c r="L224" s="28" t="str">
        <f>HYPERLINK("http://finance.yahoo.com/q?s=" &amp; A224, "Link")</f>
        <v>Link</v>
      </c>
      <c r="M224" s="15">
        <f>K224*0.9</f>
        <v>99.495000000000005</v>
      </c>
      <c r="N224" s="15" t="str">
        <f>IF(M224&gt;C224, "Buy", "")</f>
        <v/>
      </c>
      <c r="O224" s="33">
        <f>C224/K224</f>
        <v>1.0190863862505652</v>
      </c>
    </row>
    <row r="225" spans="1:15" ht="20.100000000000001" customHeight="1" x14ac:dyDescent="0.25">
      <c r="A225" s="21" t="s">
        <v>356</v>
      </c>
      <c r="B225" t="s">
        <v>735</v>
      </c>
      <c r="C225" s="15">
        <v>52.79</v>
      </c>
      <c r="D225" s="15">
        <v>52.57</v>
      </c>
      <c r="E225" s="15">
        <v>53.2</v>
      </c>
      <c r="F225" s="15">
        <v>52.78</v>
      </c>
      <c r="G225" s="16">
        <v>1.8946570670704831E-4</v>
      </c>
      <c r="H225" s="15" t="s">
        <v>1409</v>
      </c>
      <c r="I225" s="15">
        <v>1.59</v>
      </c>
      <c r="J225" s="15">
        <v>46.72</v>
      </c>
      <c r="K225" s="15">
        <v>51.79</v>
      </c>
      <c r="L225" s="28" t="str">
        <f>HYPERLINK("http://finance.yahoo.com/q?s=" &amp; A225, "Link")</f>
        <v>Link</v>
      </c>
      <c r="M225" s="15">
        <f>K225*0.9</f>
        <v>46.610999999999997</v>
      </c>
      <c r="N225" s="15" t="str">
        <f>IF(M225&gt;C225, "Buy", "")</f>
        <v/>
      </c>
      <c r="O225" s="33">
        <f>C225/K225</f>
        <v>1.0193087468623285</v>
      </c>
    </row>
    <row r="226" spans="1:15" ht="20.100000000000001" customHeight="1" x14ac:dyDescent="0.25">
      <c r="A226" s="21" t="s">
        <v>343</v>
      </c>
      <c r="B226" t="s">
        <v>722</v>
      </c>
      <c r="C226" s="15">
        <v>119.92</v>
      </c>
      <c r="D226" s="15">
        <v>118.68</v>
      </c>
      <c r="E226" s="15">
        <v>120.29</v>
      </c>
      <c r="F226" s="15">
        <v>118.84</v>
      </c>
      <c r="G226" s="16">
        <v>9.0878492090205164E-3</v>
      </c>
      <c r="H226" s="15" t="s">
        <v>1353</v>
      </c>
      <c r="I226" s="15">
        <v>0.87</v>
      </c>
      <c r="J226" s="15">
        <v>95.33</v>
      </c>
      <c r="K226" s="15">
        <v>117.53</v>
      </c>
      <c r="L226" s="28" t="str">
        <f>HYPERLINK("http://finance.yahoo.com/q?s=" &amp; A226, "Link")</f>
        <v>Link</v>
      </c>
      <c r="M226" s="15">
        <f>K226*0.9</f>
        <v>105.777</v>
      </c>
      <c r="N226" s="15" t="str">
        <f>IF(M226&gt;C226, "Buy", "")</f>
        <v/>
      </c>
      <c r="O226" s="33">
        <f>C226/K226</f>
        <v>1.0203352335573896</v>
      </c>
    </row>
    <row r="227" spans="1:15" ht="20.100000000000001" customHeight="1" x14ac:dyDescent="0.25">
      <c r="A227" s="21" t="s">
        <v>600</v>
      </c>
      <c r="B227" t="s">
        <v>956</v>
      </c>
      <c r="C227" s="15">
        <v>64.58</v>
      </c>
      <c r="D227" s="15">
        <v>64.05</v>
      </c>
      <c r="E227" s="15">
        <v>64.67</v>
      </c>
      <c r="F227" s="15">
        <v>64.03</v>
      </c>
      <c r="G227" s="16">
        <v>8.5897235670778869E-3</v>
      </c>
      <c r="H227" s="15" t="s">
        <v>1358</v>
      </c>
      <c r="I227" s="15">
        <v>2.69</v>
      </c>
      <c r="J227" s="15">
        <v>16.61</v>
      </c>
      <c r="K227" s="15">
        <v>63.29</v>
      </c>
      <c r="L227" s="28" t="str">
        <f>HYPERLINK("http://finance.yahoo.com/q?s=" &amp; A227, "Link")</f>
        <v>Link</v>
      </c>
      <c r="M227" s="15">
        <f>K227*0.9</f>
        <v>56.960999999999999</v>
      </c>
      <c r="N227" s="15" t="str">
        <f>IF(M227&gt;C227, "Buy", "")</f>
        <v/>
      </c>
      <c r="O227" s="33">
        <f>C227/K227</f>
        <v>1.020382366882604</v>
      </c>
    </row>
    <row r="228" spans="1:15" ht="20.100000000000001" customHeight="1" x14ac:dyDescent="0.25">
      <c r="A228" s="21" t="s">
        <v>93</v>
      </c>
      <c r="B228" t="s">
        <v>200</v>
      </c>
      <c r="C228" s="15">
        <v>81.84</v>
      </c>
      <c r="D228" s="15">
        <v>81.61</v>
      </c>
      <c r="E228" s="15">
        <v>82.28</v>
      </c>
      <c r="F228" s="15">
        <v>81.73</v>
      </c>
      <c r="G228" s="16">
        <v>1.3458950201884184E-3</v>
      </c>
      <c r="H228" s="15" t="s">
        <v>1351</v>
      </c>
      <c r="I228" s="15">
        <v>0.81</v>
      </c>
      <c r="J228" s="15">
        <v>32.340000000000003</v>
      </c>
      <c r="K228" s="15">
        <v>80.180000000000007</v>
      </c>
      <c r="L228" s="28" t="str">
        <f>HYPERLINK("http://finance.yahoo.com/q?s=" &amp; A228, "Link")</f>
        <v>Link</v>
      </c>
      <c r="M228" s="15">
        <f>K228*0.9</f>
        <v>72.162000000000006</v>
      </c>
      <c r="N228" s="15" t="str">
        <f>IF(M228&gt;C228, "Buy", "")</f>
        <v/>
      </c>
      <c r="O228" s="33">
        <f>C228/K228</f>
        <v>1.0207034173110501</v>
      </c>
    </row>
    <row r="229" spans="1:15" ht="20.100000000000001" customHeight="1" x14ac:dyDescent="0.25">
      <c r="A229" s="21" t="s">
        <v>84</v>
      </c>
      <c r="B229" t="s">
        <v>191</v>
      </c>
      <c r="C229" s="15">
        <v>41.45</v>
      </c>
      <c r="D229" s="15">
        <v>41.29</v>
      </c>
      <c r="E229" s="15">
        <v>41.87</v>
      </c>
      <c r="F229" s="15">
        <v>41</v>
      </c>
      <c r="G229" s="16">
        <v>1.097560975609763E-2</v>
      </c>
      <c r="H229" s="15" t="s">
        <v>1347</v>
      </c>
      <c r="I229" s="15">
        <v>4.8</v>
      </c>
      <c r="J229" s="15">
        <v>17.63</v>
      </c>
      <c r="K229" s="15">
        <v>40.58</v>
      </c>
      <c r="L229" s="28" t="str">
        <f>HYPERLINK("http://finance.yahoo.com/q?s=" &amp; A229, "Link")</f>
        <v>Link</v>
      </c>
      <c r="M229" s="15">
        <f>K229*0.9</f>
        <v>36.521999999999998</v>
      </c>
      <c r="N229" s="15" t="str">
        <f>IF(M229&gt;C229, "Buy", "")</f>
        <v/>
      </c>
      <c r="O229" s="33">
        <f>C229/K229</f>
        <v>1.0214391325776246</v>
      </c>
    </row>
    <row r="230" spans="1:15" ht="20.100000000000001" customHeight="1" x14ac:dyDescent="0.25">
      <c r="A230" s="21" t="s">
        <v>239</v>
      </c>
      <c r="B230" t="s">
        <v>630</v>
      </c>
      <c r="C230" s="15">
        <v>44.73</v>
      </c>
      <c r="D230" s="15">
        <v>44.26</v>
      </c>
      <c r="E230" s="15">
        <v>45.21</v>
      </c>
      <c r="F230" s="15">
        <v>44.5</v>
      </c>
      <c r="G230" s="16">
        <v>5.1685393258426261E-3</v>
      </c>
      <c r="H230" s="15" t="s">
        <v>1322</v>
      </c>
      <c r="I230" s="15">
        <v>2.68</v>
      </c>
      <c r="J230" s="15">
        <v>16.899999999999999</v>
      </c>
      <c r="K230" s="15">
        <v>43.77</v>
      </c>
      <c r="L230" s="28" t="str">
        <f>HYPERLINK("http://finance.yahoo.com/q?s=" &amp; A230, "Link")</f>
        <v>Link</v>
      </c>
      <c r="M230" s="15">
        <f>K230*0.9</f>
        <v>39.393000000000001</v>
      </c>
      <c r="N230" s="15" t="str">
        <f>IF(M230&gt;C230, "Buy", "")</f>
        <v/>
      </c>
      <c r="O230" s="33">
        <f>C230/K230</f>
        <v>1.0219328307059627</v>
      </c>
    </row>
    <row r="231" spans="1:15" ht="20.100000000000001" customHeight="1" x14ac:dyDescent="0.25">
      <c r="A231" s="21" t="s">
        <v>66</v>
      </c>
      <c r="B231" t="s">
        <v>174</v>
      </c>
      <c r="C231" s="15">
        <v>62.53</v>
      </c>
      <c r="D231" s="15">
        <v>62.15</v>
      </c>
      <c r="E231" s="15">
        <v>62.92</v>
      </c>
      <c r="F231" s="15">
        <v>60.33</v>
      </c>
      <c r="G231" s="16">
        <v>3.6466103099618813E-2</v>
      </c>
      <c r="H231" s="15" t="s">
        <v>1356</v>
      </c>
      <c r="I231" s="15">
        <v>3.07</v>
      </c>
      <c r="J231" s="15">
        <v>31.94</v>
      </c>
      <c r="K231" s="15">
        <v>61.18</v>
      </c>
      <c r="L231" s="28" t="str">
        <f>HYPERLINK("http://finance.yahoo.com/q?s=" &amp; A231, "Link")</f>
        <v>Link</v>
      </c>
      <c r="M231" s="15">
        <f>K231*0.9</f>
        <v>55.061999999999998</v>
      </c>
      <c r="N231" s="15" t="str">
        <f>IF(M231&gt;C231, "Buy", "")</f>
        <v/>
      </c>
      <c r="O231" s="33">
        <f>C231/K231</f>
        <v>1.0220660346518471</v>
      </c>
    </row>
    <row r="232" spans="1:15" ht="20.100000000000001" customHeight="1" x14ac:dyDescent="0.25">
      <c r="A232" s="21" t="s">
        <v>232</v>
      </c>
      <c r="B232" t="s">
        <v>623</v>
      </c>
      <c r="C232" s="15">
        <v>83.75</v>
      </c>
      <c r="D232" s="15">
        <v>83.21</v>
      </c>
      <c r="E232" s="15">
        <v>86.27</v>
      </c>
      <c r="F232" s="15">
        <v>85.47</v>
      </c>
      <c r="G232" s="16">
        <v>-2.012402012402011E-2</v>
      </c>
      <c r="H232" s="15" t="s">
        <v>1389</v>
      </c>
      <c r="I232" s="15">
        <v>1.74</v>
      </c>
      <c r="J232" s="15">
        <v>13.25</v>
      </c>
      <c r="K232" s="15">
        <v>81.94</v>
      </c>
      <c r="L232" s="28" t="str">
        <f>HYPERLINK("http://finance.yahoo.com/q?s=" &amp; A232, "Link")</f>
        <v>Link</v>
      </c>
      <c r="M232" s="15">
        <f>K232*0.9</f>
        <v>73.745999999999995</v>
      </c>
      <c r="N232" s="15" t="str">
        <f>IF(M232&gt;C232, "Buy", "")</f>
        <v/>
      </c>
      <c r="O232" s="33">
        <f>C232/K232</f>
        <v>1.0220893336587746</v>
      </c>
    </row>
    <row r="233" spans="1:15" ht="20.100000000000001" customHeight="1" x14ac:dyDescent="0.25">
      <c r="A233" s="21" t="s">
        <v>286</v>
      </c>
      <c r="B233" t="s">
        <v>674</v>
      </c>
      <c r="C233" s="15">
        <v>113.88</v>
      </c>
      <c r="D233" s="15">
        <v>113.31</v>
      </c>
      <c r="E233" s="15">
        <v>114.38</v>
      </c>
      <c r="F233" s="15">
        <v>113.74</v>
      </c>
      <c r="G233" s="16">
        <v>1.2308774397749302E-3</v>
      </c>
      <c r="H233" s="15" t="s">
        <v>1401</v>
      </c>
      <c r="I233" s="15">
        <v>0.92</v>
      </c>
      <c r="J233" s="15">
        <v>23.74</v>
      </c>
      <c r="K233" s="15">
        <v>111.4</v>
      </c>
      <c r="L233" s="28" t="str">
        <f>HYPERLINK("http://finance.yahoo.com/q?s=" &amp; A233, "Link")</f>
        <v>Link</v>
      </c>
      <c r="M233" s="15">
        <f>K233*0.9</f>
        <v>100.26</v>
      </c>
      <c r="N233" s="15" t="str">
        <f>IF(M233&gt;C233, "Buy", "")</f>
        <v/>
      </c>
      <c r="O233" s="33">
        <f>C233/K233</f>
        <v>1.0222621184919209</v>
      </c>
    </row>
    <row r="234" spans="1:15" ht="20.100000000000001" customHeight="1" x14ac:dyDescent="0.25">
      <c r="A234" s="21" t="s">
        <v>31</v>
      </c>
      <c r="B234" t="s">
        <v>144</v>
      </c>
      <c r="C234" s="15">
        <v>30.64</v>
      </c>
      <c r="D234" s="15">
        <v>30.52</v>
      </c>
      <c r="E234" s="15">
        <v>30.96</v>
      </c>
      <c r="F234" s="15">
        <v>30.72</v>
      </c>
      <c r="G234" s="16">
        <v>-2.6041666666666114E-3</v>
      </c>
      <c r="H234" s="15" t="s">
        <v>1371</v>
      </c>
      <c r="I234" s="15" t="s">
        <v>124</v>
      </c>
      <c r="J234" s="15">
        <v>19.68</v>
      </c>
      <c r="K234" s="15">
        <v>29.95</v>
      </c>
      <c r="L234" s="28" t="str">
        <f>HYPERLINK("http://finance.yahoo.com/q?s=" &amp; A234, "Link")</f>
        <v>Link</v>
      </c>
      <c r="M234" s="15">
        <f>K234*0.9</f>
        <v>26.954999999999998</v>
      </c>
      <c r="N234" s="15" t="str">
        <f>IF(M234&gt;C234, "Buy", "")</f>
        <v/>
      </c>
      <c r="O234" s="33">
        <f>C234/K234</f>
        <v>1.0230383973288815</v>
      </c>
    </row>
    <row r="235" spans="1:15" ht="20.100000000000001" customHeight="1" x14ac:dyDescent="0.25">
      <c r="A235" s="21" t="s">
        <v>599</v>
      </c>
      <c r="B235" t="s">
        <v>955</v>
      </c>
      <c r="C235" s="15">
        <v>42.05</v>
      </c>
      <c r="D235" s="15">
        <v>41.87</v>
      </c>
      <c r="E235" s="15">
        <v>42.53</v>
      </c>
      <c r="F235" s="15">
        <v>42.09</v>
      </c>
      <c r="G235" s="16">
        <v>-9.5034449988135538E-4</v>
      </c>
      <c r="H235" s="15" t="s">
        <v>1395</v>
      </c>
      <c r="I235" s="15" t="s">
        <v>124</v>
      </c>
      <c r="J235" s="15" t="s">
        <v>124</v>
      </c>
      <c r="K235" s="15">
        <v>41.08</v>
      </c>
      <c r="L235" s="28" t="str">
        <f>HYPERLINK("http://finance.yahoo.com/q?s=" &amp; A235, "Link")</f>
        <v>Link</v>
      </c>
      <c r="M235" s="15">
        <f>K235*0.9</f>
        <v>36.972000000000001</v>
      </c>
      <c r="N235" s="15" t="str">
        <f>IF(M235&gt;C235, "Buy", "")</f>
        <v/>
      </c>
      <c r="O235" s="33">
        <f>C235/K235</f>
        <v>1.0236124634858812</v>
      </c>
    </row>
    <row r="236" spans="1:15" ht="20.100000000000001" customHeight="1" x14ac:dyDescent="0.25">
      <c r="A236" s="21" t="s">
        <v>378</v>
      </c>
      <c r="B236" t="s">
        <v>755</v>
      </c>
      <c r="C236" s="15">
        <v>83.99</v>
      </c>
      <c r="D236" s="15">
        <v>83.63</v>
      </c>
      <c r="E236" s="15">
        <v>84.71</v>
      </c>
      <c r="F236" s="15">
        <v>83.77</v>
      </c>
      <c r="G236" s="16">
        <v>2.6262385102065046E-3</v>
      </c>
      <c r="H236" s="15" t="s">
        <v>1170</v>
      </c>
      <c r="I236" s="15">
        <v>2.4300000000000002</v>
      </c>
      <c r="J236" s="15">
        <v>19.95</v>
      </c>
      <c r="K236" s="15">
        <v>81.98</v>
      </c>
      <c r="L236" s="28" t="str">
        <f>HYPERLINK("http://finance.yahoo.com/q?s=" &amp; A236, "Link")</f>
        <v>Link</v>
      </c>
      <c r="M236" s="15">
        <f>K236*0.9</f>
        <v>73.782000000000011</v>
      </c>
      <c r="N236" s="15" t="str">
        <f>IF(M236&gt;C236, "Buy", "")</f>
        <v/>
      </c>
      <c r="O236" s="33">
        <f>C236/K236</f>
        <v>1.0245181751646741</v>
      </c>
    </row>
    <row r="237" spans="1:15" ht="20.100000000000001" customHeight="1" x14ac:dyDescent="0.25">
      <c r="A237" s="21" t="s">
        <v>293</v>
      </c>
      <c r="B237" t="s">
        <v>680</v>
      </c>
      <c r="C237" s="15">
        <v>56.85</v>
      </c>
      <c r="D237" s="15">
        <v>56.46</v>
      </c>
      <c r="E237" s="15">
        <v>57.12</v>
      </c>
      <c r="F237" s="15">
        <v>56.65</v>
      </c>
      <c r="G237" s="16">
        <v>3.5304501323919304E-3</v>
      </c>
      <c r="H237" s="15" t="s">
        <v>1355</v>
      </c>
      <c r="I237" s="15" t="s">
        <v>124</v>
      </c>
      <c r="J237" s="15">
        <v>22.21</v>
      </c>
      <c r="K237" s="15">
        <v>55.36</v>
      </c>
      <c r="L237" s="28" t="str">
        <f>HYPERLINK("http://finance.yahoo.com/q?s=" &amp; A237, "Link")</f>
        <v>Link</v>
      </c>
      <c r="M237" s="15">
        <f>K237*0.9</f>
        <v>49.823999999999998</v>
      </c>
      <c r="N237" s="15" t="str">
        <f>IF(M237&gt;C237, "Buy", "")</f>
        <v/>
      </c>
      <c r="O237" s="33">
        <f>C237/K237</f>
        <v>1.0269147398843932</v>
      </c>
    </row>
    <row r="238" spans="1:15" ht="20.100000000000001" customHeight="1" x14ac:dyDescent="0.25">
      <c r="A238" s="21" t="s">
        <v>340</v>
      </c>
      <c r="B238" t="s">
        <v>719</v>
      </c>
      <c r="C238" s="15">
        <v>228.54</v>
      </c>
      <c r="D238" s="15">
        <v>226</v>
      </c>
      <c r="E238" s="15">
        <v>229.71</v>
      </c>
      <c r="F238" s="15">
        <v>226.67</v>
      </c>
      <c r="G238" s="16">
        <v>8.2498786782547514E-3</v>
      </c>
      <c r="H238" s="15" t="s">
        <v>1370</v>
      </c>
      <c r="I238" s="15">
        <v>2.8</v>
      </c>
      <c r="J238" s="15">
        <v>50.72</v>
      </c>
      <c r="K238" s="15">
        <v>222.47</v>
      </c>
      <c r="L238" s="28" t="str">
        <f>HYPERLINK("http://finance.yahoo.com/q?s=" &amp; A238, "Link")</f>
        <v>Link</v>
      </c>
      <c r="M238" s="15">
        <f>K238*0.9</f>
        <v>200.22300000000001</v>
      </c>
      <c r="N238" s="15" t="str">
        <f>IF(M238&gt;C238, "Buy", "")</f>
        <v/>
      </c>
      <c r="O238" s="33">
        <f>C238/K238</f>
        <v>1.027284577695869</v>
      </c>
    </row>
    <row r="239" spans="1:15" ht="20.100000000000001" customHeight="1" x14ac:dyDescent="0.25">
      <c r="A239" s="21" t="s">
        <v>36</v>
      </c>
      <c r="B239" t="s">
        <v>148</v>
      </c>
      <c r="C239" s="15">
        <v>127.04</v>
      </c>
      <c r="D239" s="15">
        <v>126.78</v>
      </c>
      <c r="E239" s="15">
        <v>128.47999999999999</v>
      </c>
      <c r="F239" s="15">
        <v>127.55</v>
      </c>
      <c r="G239" s="16">
        <v>-3.9984319874558283E-3</v>
      </c>
      <c r="H239" s="15" t="s">
        <v>1406</v>
      </c>
      <c r="I239" s="15" t="s">
        <v>124</v>
      </c>
      <c r="J239" s="15">
        <v>48.97</v>
      </c>
      <c r="K239" s="15">
        <v>123.66</v>
      </c>
      <c r="L239" s="28" t="str">
        <f>HYPERLINK("http://finance.yahoo.com/q?s=" &amp; A239, "Link")</f>
        <v>Link</v>
      </c>
      <c r="M239" s="15">
        <f>K239*0.9</f>
        <v>111.294</v>
      </c>
      <c r="N239" s="15" t="str">
        <f>IF(M239&gt;C239, "Buy", "")</f>
        <v/>
      </c>
      <c r="O239" s="33">
        <f>C239/K239</f>
        <v>1.0273330098657609</v>
      </c>
    </row>
    <row r="240" spans="1:15" ht="20.100000000000001" customHeight="1" x14ac:dyDescent="0.25">
      <c r="A240" s="21" t="s">
        <v>48</v>
      </c>
      <c r="B240" t="s">
        <v>158</v>
      </c>
      <c r="C240" s="15">
        <v>117.82</v>
      </c>
      <c r="D240" s="15">
        <v>117.12</v>
      </c>
      <c r="E240" s="15">
        <v>118.44</v>
      </c>
      <c r="F240" s="15">
        <v>117.91</v>
      </c>
      <c r="G240" s="16">
        <v>-7.6329403782548903E-4</v>
      </c>
      <c r="H240" s="15" t="s">
        <v>1380</v>
      </c>
      <c r="I240" s="15">
        <v>2.2599999999999998</v>
      </c>
      <c r="J240" s="15">
        <v>18.440000000000001</v>
      </c>
      <c r="K240" s="15">
        <v>114.65</v>
      </c>
      <c r="L240" s="28" t="str">
        <f>HYPERLINK("http://finance.yahoo.com/q?s=" &amp; A240, "Link")</f>
        <v>Link</v>
      </c>
      <c r="M240" s="15">
        <f>K240*0.9</f>
        <v>103.185</v>
      </c>
      <c r="N240" s="15" t="str">
        <f>IF(M240&gt;C240, "Buy", "")</f>
        <v/>
      </c>
      <c r="O240" s="33">
        <f>C240/K240</f>
        <v>1.0276493676406453</v>
      </c>
    </row>
    <row r="241" spans="1:15" ht="20.100000000000001" customHeight="1" x14ac:dyDescent="0.25">
      <c r="A241" s="21" t="s">
        <v>487</v>
      </c>
      <c r="B241" t="s">
        <v>854</v>
      </c>
      <c r="C241" s="15">
        <v>83.04</v>
      </c>
      <c r="D241" s="15">
        <v>82.58</v>
      </c>
      <c r="E241" s="15">
        <v>84.03</v>
      </c>
      <c r="F241" s="15">
        <v>82.99</v>
      </c>
      <c r="G241" s="16">
        <v>6.024822267744472E-4</v>
      </c>
      <c r="H241" s="15" t="s">
        <v>1386</v>
      </c>
      <c r="I241" s="15">
        <v>3.03</v>
      </c>
      <c r="J241" s="15">
        <v>21.74</v>
      </c>
      <c r="K241" s="15">
        <v>80.69</v>
      </c>
      <c r="L241" s="28" t="str">
        <f>HYPERLINK("http://finance.yahoo.com/q?s=" &amp; A241, "Link")</f>
        <v>Link</v>
      </c>
      <c r="M241" s="15">
        <f>K241*0.9</f>
        <v>72.620999999999995</v>
      </c>
      <c r="N241" s="15" t="str">
        <f>IF(M241&gt;C241, "Buy", "")</f>
        <v/>
      </c>
      <c r="O241" s="33">
        <f>C241/K241</f>
        <v>1.0291238071632174</v>
      </c>
    </row>
    <row r="242" spans="1:15" ht="20.100000000000001" customHeight="1" x14ac:dyDescent="0.25">
      <c r="A242" s="21" t="s">
        <v>56</v>
      </c>
      <c r="B242" t="s">
        <v>164</v>
      </c>
      <c r="C242" s="15">
        <v>257.73</v>
      </c>
      <c r="D242" s="15">
        <v>256.10000000000002</v>
      </c>
      <c r="E242" s="15">
        <v>258.08</v>
      </c>
      <c r="F242" s="15">
        <v>257.02999999999997</v>
      </c>
      <c r="G242" s="16">
        <v>2.7234174999029121E-3</v>
      </c>
      <c r="H242" s="15" t="s">
        <v>1352</v>
      </c>
      <c r="I242" s="15">
        <v>2.82</v>
      </c>
      <c r="J242" s="15">
        <v>15.07</v>
      </c>
      <c r="K242" s="15">
        <v>250.3</v>
      </c>
      <c r="L242" s="28" t="str">
        <f>HYPERLINK("http://finance.yahoo.com/q?s=" &amp; A242, "Link")</f>
        <v>Link</v>
      </c>
      <c r="M242" s="15">
        <f>K242*0.9</f>
        <v>225.27</v>
      </c>
      <c r="N242" s="15" t="str">
        <f>IF(M242&gt;C242, "Buy", "")</f>
        <v/>
      </c>
      <c r="O242" s="33">
        <f>C242/K242</f>
        <v>1.0296843787455054</v>
      </c>
    </row>
    <row r="243" spans="1:15" ht="20.100000000000001" customHeight="1" x14ac:dyDescent="0.25">
      <c r="A243" s="21" t="s">
        <v>556</v>
      </c>
      <c r="B243" t="s">
        <v>917</v>
      </c>
      <c r="C243" s="15">
        <v>105.57</v>
      </c>
      <c r="D243" s="15">
        <v>104.97</v>
      </c>
      <c r="E243" s="15">
        <v>106.2</v>
      </c>
      <c r="F243" s="15">
        <v>105.22</v>
      </c>
      <c r="G243" s="16">
        <v>3.3263638091617022E-3</v>
      </c>
      <c r="H243" s="15" t="s">
        <v>1366</v>
      </c>
      <c r="I243" s="15">
        <v>2.34</v>
      </c>
      <c r="J243" s="15">
        <v>27.97</v>
      </c>
      <c r="K243" s="15">
        <v>102.43</v>
      </c>
      <c r="L243" s="28" t="str">
        <f>HYPERLINK("http://finance.yahoo.com/q?s=" &amp; A243, "Link")</f>
        <v>Link</v>
      </c>
      <c r="M243" s="15">
        <f>K243*0.9</f>
        <v>92.187000000000012</v>
      </c>
      <c r="N243" s="15" t="str">
        <f>IF(M243&gt;C243, "Buy", "")</f>
        <v/>
      </c>
      <c r="O243" s="33">
        <f>C243/K243</f>
        <v>1.030655081519086</v>
      </c>
    </row>
    <row r="244" spans="1:15" ht="20.100000000000001" customHeight="1" x14ac:dyDescent="0.25">
      <c r="A244" s="21" t="s">
        <v>262</v>
      </c>
      <c r="B244" t="s">
        <v>651</v>
      </c>
      <c r="C244" s="15">
        <v>73.599999999999994</v>
      </c>
      <c r="D244" s="15">
        <v>72.92</v>
      </c>
      <c r="E244" s="15">
        <v>73.91</v>
      </c>
      <c r="F244" s="15">
        <v>73.37</v>
      </c>
      <c r="G244" s="16">
        <v>3.1347962382443743E-3</v>
      </c>
      <c r="H244" s="15" t="s">
        <v>1374</v>
      </c>
      <c r="I244" s="15">
        <v>2.4500000000000002</v>
      </c>
      <c r="J244" s="15">
        <v>20.39</v>
      </c>
      <c r="K244" s="15">
        <v>71.41</v>
      </c>
      <c r="L244" s="28" t="str">
        <f>HYPERLINK("http://finance.yahoo.com/q?s=" &amp; A244, "Link")</f>
        <v>Link</v>
      </c>
      <c r="M244" s="15">
        <f>K244*0.9</f>
        <v>64.269000000000005</v>
      </c>
      <c r="N244" s="15" t="str">
        <f>IF(M244&gt;C244, "Buy", "")</f>
        <v/>
      </c>
      <c r="O244" s="33">
        <f>C244/K244</f>
        <v>1.030667973673155</v>
      </c>
    </row>
    <row r="245" spans="1:15" ht="20.100000000000001" customHeight="1" x14ac:dyDescent="0.25">
      <c r="A245" s="21" t="s">
        <v>227</v>
      </c>
      <c r="B245" t="s">
        <v>618</v>
      </c>
      <c r="C245" s="15">
        <v>52.05</v>
      </c>
      <c r="D245" s="15">
        <v>51.78</v>
      </c>
      <c r="E245" s="15">
        <v>52.4</v>
      </c>
      <c r="F245" s="15">
        <v>51.81</v>
      </c>
      <c r="G245" s="16">
        <v>4.632310364794342E-3</v>
      </c>
      <c r="H245" s="15" t="s">
        <v>1295</v>
      </c>
      <c r="I245" s="15">
        <v>3.38</v>
      </c>
      <c r="J245" s="15">
        <v>19.47</v>
      </c>
      <c r="K245" s="15">
        <v>50.49</v>
      </c>
      <c r="L245" s="28" t="str">
        <f>HYPERLINK("http://finance.yahoo.com/q?s=" &amp; A245, "Link")</f>
        <v>Link</v>
      </c>
      <c r="M245" s="15">
        <f>K245*0.9</f>
        <v>45.441000000000003</v>
      </c>
      <c r="N245" s="15" t="str">
        <f>IF(M245&gt;C245, "Buy", "")</f>
        <v/>
      </c>
      <c r="O245" s="33">
        <f>C245/K245</f>
        <v>1.0308972073677956</v>
      </c>
    </row>
    <row r="246" spans="1:15" ht="20.100000000000001" customHeight="1" x14ac:dyDescent="0.25">
      <c r="A246" s="21" t="s">
        <v>579</v>
      </c>
      <c r="B246" t="s">
        <v>1128</v>
      </c>
      <c r="C246" s="15">
        <v>40.229999999999997</v>
      </c>
      <c r="D246" s="15">
        <v>39.56</v>
      </c>
      <c r="E246" s="15">
        <v>40.43</v>
      </c>
      <c r="F246" s="15">
        <v>39.799999999999997</v>
      </c>
      <c r="G246" s="16">
        <v>1.0804020100502507E-2</v>
      </c>
      <c r="H246" s="15" t="s">
        <v>1309</v>
      </c>
      <c r="I246" s="15">
        <v>2.0099999999999998</v>
      </c>
      <c r="J246" s="15">
        <v>11.13</v>
      </c>
      <c r="K246" s="15">
        <v>39.020000000000003</v>
      </c>
      <c r="L246" s="28" t="str">
        <f>HYPERLINK("http://finance.yahoo.com/q?s=" &amp; A246, "Link")</f>
        <v>Link</v>
      </c>
      <c r="M246" s="15">
        <f>K246*0.9</f>
        <v>35.118000000000002</v>
      </c>
      <c r="N246" s="15" t="str">
        <f>IF(M246&gt;C246, "Buy", "")</f>
        <v/>
      </c>
      <c r="O246" s="33">
        <f>C246/K246</f>
        <v>1.0310097385955919</v>
      </c>
    </row>
    <row r="247" spans="1:15" ht="20.100000000000001" customHeight="1" x14ac:dyDescent="0.25">
      <c r="A247" s="21" t="s">
        <v>282</v>
      </c>
      <c r="B247" t="s">
        <v>975</v>
      </c>
      <c r="C247" s="15">
        <v>131.41</v>
      </c>
      <c r="D247" s="15">
        <v>130.74</v>
      </c>
      <c r="E247" s="15">
        <v>132.47999999999999</v>
      </c>
      <c r="F247" s="15">
        <v>131.27000000000001</v>
      </c>
      <c r="G247" s="16">
        <v>1.066504151748201E-3</v>
      </c>
      <c r="H247" s="15" t="s">
        <v>1364</v>
      </c>
      <c r="I247" s="15">
        <v>2.09</v>
      </c>
      <c r="J247" s="15">
        <v>17.61</v>
      </c>
      <c r="K247" s="15">
        <v>127.44</v>
      </c>
      <c r="L247" s="28" t="str">
        <f>HYPERLINK("http://finance.yahoo.com/q?s=" &amp; A247, "Link")</f>
        <v>Link</v>
      </c>
      <c r="M247" s="15">
        <f>K247*0.9</f>
        <v>114.696</v>
      </c>
      <c r="N247" s="15" t="str">
        <f>IF(M247&gt;C247, "Buy", "")</f>
        <v/>
      </c>
      <c r="O247" s="33">
        <f>C247/K247</f>
        <v>1.0311519146264909</v>
      </c>
    </row>
    <row r="248" spans="1:15" ht="20.100000000000001" customHeight="1" x14ac:dyDescent="0.25">
      <c r="A248" s="21" t="s">
        <v>212</v>
      </c>
      <c r="B248" t="s">
        <v>606</v>
      </c>
      <c r="C248" s="15">
        <v>122.53</v>
      </c>
      <c r="D248" s="15">
        <v>121.72</v>
      </c>
      <c r="E248" s="15">
        <v>123.95</v>
      </c>
      <c r="F248" s="15">
        <v>122.56</v>
      </c>
      <c r="G248" s="16">
        <v>-2.4477806788512674E-4</v>
      </c>
      <c r="H248" s="15" t="s">
        <v>1379</v>
      </c>
      <c r="I248" s="15">
        <v>0.82</v>
      </c>
      <c r="J248" s="15">
        <v>17.670000000000002</v>
      </c>
      <c r="K248" s="15">
        <v>118.82</v>
      </c>
      <c r="L248" s="28" t="str">
        <f>HYPERLINK("http://finance.yahoo.com/q?s=" &amp; A248, "Link")</f>
        <v>Link</v>
      </c>
      <c r="M248" s="15">
        <f>K248*0.9</f>
        <v>106.938</v>
      </c>
      <c r="N248" s="15" t="str">
        <f>IF(M248&gt;C248, "Buy", "")</f>
        <v/>
      </c>
      <c r="O248" s="33">
        <f>C248/K248</f>
        <v>1.0312236997138529</v>
      </c>
    </row>
    <row r="249" spans="1:15" ht="20.100000000000001" customHeight="1" x14ac:dyDescent="0.25">
      <c r="A249" s="21" t="s">
        <v>447</v>
      </c>
      <c r="B249" t="s">
        <v>818</v>
      </c>
      <c r="C249" s="15">
        <v>207.14</v>
      </c>
      <c r="D249" s="15">
        <v>206.4</v>
      </c>
      <c r="E249" s="15">
        <v>208.01</v>
      </c>
      <c r="F249" s="15">
        <v>205.9</v>
      </c>
      <c r="G249" s="16">
        <v>6.0223409422048594E-3</v>
      </c>
      <c r="H249" s="15" t="s">
        <v>1141</v>
      </c>
      <c r="I249" s="15" t="s">
        <v>124</v>
      </c>
      <c r="J249" s="15" t="s">
        <v>124</v>
      </c>
      <c r="K249" s="15">
        <v>200.84</v>
      </c>
      <c r="L249" s="28" t="str">
        <f>HYPERLINK("http://finance.yahoo.com/q?s=" &amp; A249, "Link")</f>
        <v>Link</v>
      </c>
      <c r="M249" s="15">
        <f>K249*0.9</f>
        <v>180.756</v>
      </c>
      <c r="N249" s="15" t="str">
        <f>IF(M249&gt;C249, "Buy", "")</f>
        <v/>
      </c>
      <c r="O249" s="33">
        <f>C249/K249</f>
        <v>1.0313682533359887</v>
      </c>
    </row>
    <row r="250" spans="1:15" ht="20.100000000000001" customHeight="1" x14ac:dyDescent="0.25">
      <c r="A250" s="21" t="s">
        <v>322</v>
      </c>
      <c r="B250" t="s">
        <v>702</v>
      </c>
      <c r="C250" s="15">
        <v>98.4</v>
      </c>
      <c r="D250" s="15">
        <v>98.03</v>
      </c>
      <c r="E250" s="15">
        <v>99.07</v>
      </c>
      <c r="F250" s="15">
        <v>98.14</v>
      </c>
      <c r="G250" s="16">
        <v>2.6492765437131152E-3</v>
      </c>
      <c r="H250" s="15" t="s">
        <v>1382</v>
      </c>
      <c r="I250" s="15">
        <v>3.35</v>
      </c>
      <c r="J250" s="15">
        <v>21.65</v>
      </c>
      <c r="K250" s="15">
        <v>95.37</v>
      </c>
      <c r="L250" s="28" t="str">
        <f>HYPERLINK("http://finance.yahoo.com/q?s=" &amp; A250, "Link")</f>
        <v>Link</v>
      </c>
      <c r="M250" s="15">
        <f>K250*0.9</f>
        <v>85.833000000000013</v>
      </c>
      <c r="N250" s="15" t="str">
        <f>IF(M250&gt;C250, "Buy", "")</f>
        <v/>
      </c>
      <c r="O250" s="33">
        <f>C250/K250</f>
        <v>1.0317709971689211</v>
      </c>
    </row>
    <row r="251" spans="1:15" ht="20.100000000000001" customHeight="1" x14ac:dyDescent="0.25">
      <c r="A251" s="21" t="s">
        <v>470</v>
      </c>
      <c r="B251" t="s">
        <v>837</v>
      </c>
      <c r="C251" s="15">
        <v>232.11</v>
      </c>
      <c r="D251" s="15">
        <v>230.76</v>
      </c>
      <c r="E251" s="15">
        <v>233.16</v>
      </c>
      <c r="F251" s="15">
        <v>232.39</v>
      </c>
      <c r="G251" s="16">
        <v>-1.2048711218209593E-3</v>
      </c>
      <c r="H251" s="15" t="s">
        <v>1365</v>
      </c>
      <c r="I251" s="15">
        <v>1.55</v>
      </c>
      <c r="J251" s="15">
        <v>19.809999999999999</v>
      </c>
      <c r="K251" s="15">
        <v>224.95</v>
      </c>
      <c r="L251" s="28" t="str">
        <f>HYPERLINK("http://finance.yahoo.com/q?s=" &amp; A251, "Link")</f>
        <v>Link</v>
      </c>
      <c r="M251" s="15">
        <f>K251*0.9</f>
        <v>202.45499999999998</v>
      </c>
      <c r="N251" s="15" t="str">
        <f>IF(M251&gt;C251, "Buy", "")</f>
        <v/>
      </c>
      <c r="O251" s="33">
        <f>C251/K251</f>
        <v>1.0318292953989776</v>
      </c>
    </row>
    <row r="252" spans="1:15" ht="20.100000000000001" customHeight="1" x14ac:dyDescent="0.25">
      <c r="A252" s="21" t="s">
        <v>344</v>
      </c>
      <c r="B252" t="s">
        <v>723</v>
      </c>
      <c r="C252" s="15">
        <v>53.27</v>
      </c>
      <c r="D252" s="15">
        <v>52.87</v>
      </c>
      <c r="E252" s="15">
        <v>53.5</v>
      </c>
      <c r="F252" s="15">
        <v>53.32</v>
      </c>
      <c r="G252" s="16">
        <v>-9.3773443360834884E-4</v>
      </c>
      <c r="H252" s="15" t="s">
        <v>1413</v>
      </c>
      <c r="I252" s="15">
        <v>1.5</v>
      </c>
      <c r="J252" s="15">
        <v>22.56</v>
      </c>
      <c r="K252" s="15">
        <v>51.62</v>
      </c>
      <c r="L252" s="28" t="str">
        <f>HYPERLINK("http://finance.yahoo.com/q?s=" &amp; A252, "Link")</f>
        <v>Link</v>
      </c>
      <c r="M252" s="15">
        <f>K252*0.9</f>
        <v>46.457999999999998</v>
      </c>
      <c r="N252" s="15" t="str">
        <f>IF(M252&gt;C252, "Buy", "")</f>
        <v/>
      </c>
      <c r="O252" s="33">
        <f>C252/K252</f>
        <v>1.0319643549012012</v>
      </c>
    </row>
    <row r="253" spans="1:15" ht="20.100000000000001" customHeight="1" x14ac:dyDescent="0.25">
      <c r="A253" s="21" t="s">
        <v>414</v>
      </c>
      <c r="B253" t="s">
        <v>788</v>
      </c>
      <c r="C253" s="15">
        <v>34.090000000000003</v>
      </c>
      <c r="D253" s="15">
        <v>34.020000000000003</v>
      </c>
      <c r="E253" s="15">
        <v>34.6</v>
      </c>
      <c r="F253" s="15">
        <v>34.26</v>
      </c>
      <c r="G253" s="16">
        <v>-4.9620548744890433E-3</v>
      </c>
      <c r="H253" s="15" t="s">
        <v>1387</v>
      </c>
      <c r="I253" s="15">
        <v>1.41</v>
      </c>
      <c r="J253" s="15">
        <v>16.38</v>
      </c>
      <c r="K253" s="15">
        <v>33.03</v>
      </c>
      <c r="L253" s="28" t="str">
        <f>HYPERLINK("http://finance.yahoo.com/q?s=" &amp; A253, "Link")</f>
        <v>Link</v>
      </c>
      <c r="M253" s="15">
        <f>K253*0.9</f>
        <v>29.727</v>
      </c>
      <c r="N253" s="15" t="str">
        <f>IF(M253&gt;C253, "Buy", "")</f>
        <v/>
      </c>
      <c r="O253" s="33">
        <f>C253/K253</f>
        <v>1.0320920375416289</v>
      </c>
    </row>
    <row r="254" spans="1:15" ht="20.100000000000001" customHeight="1" x14ac:dyDescent="0.25">
      <c r="A254" s="21" t="s">
        <v>215</v>
      </c>
      <c r="B254" t="s">
        <v>609</v>
      </c>
      <c r="C254" s="15">
        <v>47.62</v>
      </c>
      <c r="D254" s="15">
        <v>47.41</v>
      </c>
      <c r="E254" s="15">
        <v>47.93</v>
      </c>
      <c r="F254" s="15">
        <v>47.64</v>
      </c>
      <c r="G254" s="16">
        <v>-4.1981528127630409E-4</v>
      </c>
      <c r="H254" s="15" t="s">
        <v>1420</v>
      </c>
      <c r="I254" s="15">
        <v>1.1100000000000001</v>
      </c>
      <c r="J254" s="15">
        <v>34.01</v>
      </c>
      <c r="K254" s="15">
        <v>46.1</v>
      </c>
      <c r="L254" s="28" t="str">
        <f>HYPERLINK("http://finance.yahoo.com/q?s=" &amp; A254, "Link")</f>
        <v>Link</v>
      </c>
      <c r="M254" s="15">
        <f>K254*0.9</f>
        <v>41.49</v>
      </c>
      <c r="N254" s="15" t="str">
        <f>IF(M254&gt;C254, "Buy", "")</f>
        <v/>
      </c>
      <c r="O254" s="33">
        <f>C254/K254</f>
        <v>1.0329718004338393</v>
      </c>
    </row>
    <row r="255" spans="1:15" ht="20.100000000000001" customHeight="1" x14ac:dyDescent="0.25">
      <c r="A255" s="21" t="s">
        <v>47</v>
      </c>
      <c r="B255" t="s">
        <v>157</v>
      </c>
      <c r="C255" s="15">
        <v>135.6</v>
      </c>
      <c r="D255" s="15">
        <v>134.6</v>
      </c>
      <c r="E255" s="15">
        <v>136</v>
      </c>
      <c r="F255" s="15">
        <v>135.38999999999999</v>
      </c>
      <c r="G255" s="16">
        <v>1.5510746731664672E-3</v>
      </c>
      <c r="H255" s="15" t="s">
        <v>1376</v>
      </c>
      <c r="I255" s="15">
        <v>2.04</v>
      </c>
      <c r="J255" s="15">
        <v>22.01</v>
      </c>
      <c r="K255" s="15">
        <v>131.26</v>
      </c>
      <c r="L255" s="28" t="str">
        <f>HYPERLINK("http://finance.yahoo.com/q?s=" &amp; A255, "Link")</f>
        <v>Link</v>
      </c>
      <c r="M255" s="15">
        <f>K255*0.9</f>
        <v>118.134</v>
      </c>
      <c r="N255" s="15" t="str">
        <f>IF(M255&gt;C255, "Buy", "")</f>
        <v/>
      </c>
      <c r="O255" s="33">
        <f>C255/K255</f>
        <v>1.0330641474935243</v>
      </c>
    </row>
    <row r="256" spans="1:15" ht="20.100000000000001" customHeight="1" x14ac:dyDescent="0.25">
      <c r="A256" s="21" t="s">
        <v>80</v>
      </c>
      <c r="B256" t="s">
        <v>187</v>
      </c>
      <c r="C256" s="15">
        <v>57.66</v>
      </c>
      <c r="D256" s="15">
        <v>57.41</v>
      </c>
      <c r="E256" s="15">
        <v>58.2</v>
      </c>
      <c r="F256" s="15">
        <v>57.89</v>
      </c>
      <c r="G256" s="16">
        <v>-3.9730523406461219E-3</v>
      </c>
      <c r="H256" s="15" t="s">
        <v>1398</v>
      </c>
      <c r="I256" s="15">
        <v>1.73</v>
      </c>
      <c r="J256" s="15">
        <v>30.35</v>
      </c>
      <c r="K256" s="15">
        <v>55.81</v>
      </c>
      <c r="L256" s="28" t="str">
        <f>HYPERLINK("http://finance.yahoo.com/q?s=" &amp; A256, "Link")</f>
        <v>Link</v>
      </c>
      <c r="M256" s="15">
        <f>K256*0.9</f>
        <v>50.229000000000006</v>
      </c>
      <c r="N256" s="15" t="str">
        <f>IF(M256&gt;C256, "Buy", "")</f>
        <v/>
      </c>
      <c r="O256" s="33">
        <f>C256/K256</f>
        <v>1.0331481813295107</v>
      </c>
    </row>
    <row r="257" spans="1:15" ht="20.100000000000001" customHeight="1" x14ac:dyDescent="0.25">
      <c r="A257" s="21" t="s">
        <v>51</v>
      </c>
      <c r="B257" t="s">
        <v>160</v>
      </c>
      <c r="C257" s="15">
        <v>36.94</v>
      </c>
      <c r="D257" s="15">
        <v>36.58</v>
      </c>
      <c r="E257" s="15">
        <v>37.03</v>
      </c>
      <c r="F257" s="15">
        <v>36.57</v>
      </c>
      <c r="G257" s="16">
        <v>1.0117582718074855E-2</v>
      </c>
      <c r="H257" s="15" t="s">
        <v>1396</v>
      </c>
      <c r="I257" s="15">
        <v>2.82</v>
      </c>
      <c r="J257" s="15">
        <v>17.329999999999998</v>
      </c>
      <c r="K257" s="15">
        <v>35.72</v>
      </c>
      <c r="L257" s="28" t="str">
        <f>HYPERLINK("http://finance.yahoo.com/q?s=" &amp; A257, "Link")</f>
        <v>Link</v>
      </c>
      <c r="M257" s="15">
        <f>K257*0.9</f>
        <v>32.148000000000003</v>
      </c>
      <c r="N257" s="15" t="str">
        <f>IF(M257&gt;C257, "Buy", "")</f>
        <v/>
      </c>
      <c r="O257" s="33">
        <f>C257/K257</f>
        <v>1.034154535274356</v>
      </c>
    </row>
    <row r="258" spans="1:15" ht="20.100000000000001" customHeight="1" x14ac:dyDescent="0.25">
      <c r="A258" s="21" t="s">
        <v>349</v>
      </c>
      <c r="B258" t="s">
        <v>728</v>
      </c>
      <c r="C258" s="15">
        <v>79.790000000000006</v>
      </c>
      <c r="D258" s="15">
        <v>79.239999999999995</v>
      </c>
      <c r="E258" s="15">
        <v>79.98</v>
      </c>
      <c r="F258" s="15">
        <v>79.150000000000006</v>
      </c>
      <c r="G258" s="16">
        <v>8.085912823752376E-3</v>
      </c>
      <c r="H258" s="15" t="s">
        <v>1330</v>
      </c>
      <c r="I258" s="15">
        <v>1.3</v>
      </c>
      <c r="J258" s="15">
        <v>55.26</v>
      </c>
      <c r="K258" s="15">
        <v>77.14</v>
      </c>
      <c r="L258" s="28" t="str">
        <f>HYPERLINK("http://finance.yahoo.com/q?s=" &amp; A258, "Link")</f>
        <v>Link</v>
      </c>
      <c r="M258" s="15">
        <f>K258*0.9</f>
        <v>69.426000000000002</v>
      </c>
      <c r="N258" s="15" t="str">
        <f>IF(M258&gt;C258, "Buy", "")</f>
        <v/>
      </c>
      <c r="O258" s="33">
        <f>C258/K258</f>
        <v>1.034353124189785</v>
      </c>
    </row>
    <row r="259" spans="1:15" ht="20.100000000000001" customHeight="1" x14ac:dyDescent="0.25">
      <c r="A259" s="21" t="s">
        <v>223</v>
      </c>
      <c r="B259" t="s">
        <v>614</v>
      </c>
      <c r="C259" s="15">
        <v>17.059999999999999</v>
      </c>
      <c r="D259" s="15">
        <v>15.97</v>
      </c>
      <c r="E259" s="15">
        <v>17.059999999999999</v>
      </c>
      <c r="F259" s="15">
        <v>16.7</v>
      </c>
      <c r="G259" s="16">
        <v>2.1556886227544876E-2</v>
      </c>
      <c r="H259" s="15" t="s">
        <v>1321</v>
      </c>
      <c r="I259" s="15">
        <v>0</v>
      </c>
      <c r="J259" s="15" t="s">
        <v>124</v>
      </c>
      <c r="K259" s="15">
        <v>16.489999999999998</v>
      </c>
      <c r="L259" s="28" t="str">
        <f>HYPERLINK("http://finance.yahoo.com/q?s=" &amp; A259, "Link")</f>
        <v>Link</v>
      </c>
      <c r="M259" s="15">
        <f>K259*0.9</f>
        <v>14.840999999999999</v>
      </c>
      <c r="N259" s="15" t="str">
        <f>IF(M259&gt;C259, "Buy", "")</f>
        <v/>
      </c>
      <c r="O259" s="33">
        <f>C259/K259</f>
        <v>1.0345664038811402</v>
      </c>
    </row>
    <row r="260" spans="1:15" ht="20.100000000000001" customHeight="1" x14ac:dyDescent="0.25">
      <c r="A260" s="21" t="s">
        <v>90</v>
      </c>
      <c r="B260" t="s">
        <v>197</v>
      </c>
      <c r="C260" s="15">
        <v>114.96</v>
      </c>
      <c r="D260" s="15">
        <v>114.32</v>
      </c>
      <c r="E260" s="15">
        <v>115</v>
      </c>
      <c r="F260" s="15">
        <v>114.27</v>
      </c>
      <c r="G260" s="16">
        <v>6.038330270412162E-3</v>
      </c>
      <c r="H260" s="15" t="s">
        <v>1375</v>
      </c>
      <c r="I260" s="15">
        <v>2.71</v>
      </c>
      <c r="J260" s="15">
        <v>20.48</v>
      </c>
      <c r="K260" s="15">
        <v>111.07</v>
      </c>
      <c r="L260" s="28" t="str">
        <f>HYPERLINK("http://finance.yahoo.com/q?s=" &amp; A260, "Link")</f>
        <v>Link</v>
      </c>
      <c r="M260" s="15">
        <f>K260*0.9</f>
        <v>99.962999999999994</v>
      </c>
      <c r="N260" s="15" t="str">
        <f>IF(M260&gt;C260, "Buy", "")</f>
        <v/>
      </c>
      <c r="O260" s="33">
        <f>C260/K260</f>
        <v>1.0350229584946431</v>
      </c>
    </row>
    <row r="261" spans="1:15" ht="20.100000000000001" customHeight="1" x14ac:dyDescent="0.25">
      <c r="A261" s="21" t="s">
        <v>520</v>
      </c>
      <c r="B261" t="s">
        <v>884</v>
      </c>
      <c r="C261" s="15">
        <v>66</v>
      </c>
      <c r="D261" s="15">
        <v>65.48</v>
      </c>
      <c r="E261" s="15">
        <v>66.44</v>
      </c>
      <c r="F261" s="15">
        <v>65.959999999999994</v>
      </c>
      <c r="G261" s="16">
        <v>6.0642813826571041E-4</v>
      </c>
      <c r="H261" s="15" t="s">
        <v>1439</v>
      </c>
      <c r="I261" s="15">
        <v>0.81</v>
      </c>
      <c r="J261" s="15">
        <v>24.26</v>
      </c>
      <c r="K261" s="15">
        <v>63.76</v>
      </c>
      <c r="L261" s="28" t="str">
        <f>HYPERLINK("http://finance.yahoo.com/q?s=" &amp; A261, "Link")</f>
        <v>Link</v>
      </c>
      <c r="M261" s="15">
        <f>K261*0.9</f>
        <v>57.384</v>
      </c>
      <c r="N261" s="15" t="str">
        <f>IF(M261&gt;C261, "Buy", "")</f>
        <v/>
      </c>
      <c r="O261" s="33">
        <f>C261/K261</f>
        <v>1.0351317440401506</v>
      </c>
    </row>
    <row r="262" spans="1:15" ht="20.100000000000001" customHeight="1" x14ac:dyDescent="0.25">
      <c r="A262" s="21" t="s">
        <v>59</v>
      </c>
      <c r="B262" t="s">
        <v>167</v>
      </c>
      <c r="C262" s="15">
        <v>122.26</v>
      </c>
      <c r="D262" s="15">
        <v>122.01</v>
      </c>
      <c r="E262" s="15">
        <v>122.95</v>
      </c>
      <c r="F262" s="15">
        <v>122.18</v>
      </c>
      <c r="G262" s="16">
        <v>6.5477164838761081E-4</v>
      </c>
      <c r="H262" s="15" t="s">
        <v>1377</v>
      </c>
      <c r="I262" s="15">
        <v>3.08</v>
      </c>
      <c r="J262" s="15">
        <v>22.97</v>
      </c>
      <c r="K262" s="15">
        <v>118.09</v>
      </c>
      <c r="L262" s="28" t="str">
        <f>HYPERLINK("http://finance.yahoo.com/q?s=" &amp; A262, "Link")</f>
        <v>Link</v>
      </c>
      <c r="M262" s="15">
        <f>K262*0.9</f>
        <v>106.28100000000001</v>
      </c>
      <c r="N262" s="15" t="str">
        <f>IF(M262&gt;C262, "Buy", "")</f>
        <v/>
      </c>
      <c r="O262" s="33">
        <f>C262/K262</f>
        <v>1.0353120501312558</v>
      </c>
    </row>
    <row r="263" spans="1:15" ht="20.100000000000001" customHeight="1" x14ac:dyDescent="0.25">
      <c r="A263" s="21" t="s">
        <v>527</v>
      </c>
      <c r="B263" t="s">
        <v>1130</v>
      </c>
      <c r="C263" s="15">
        <v>36.47</v>
      </c>
      <c r="D263" s="15">
        <v>36.31</v>
      </c>
      <c r="E263" s="15">
        <v>37.04</v>
      </c>
      <c r="F263" s="15">
        <v>36.340000000000003</v>
      </c>
      <c r="G263" s="16">
        <v>3.5773252614197974E-3</v>
      </c>
      <c r="H263" s="15" t="s">
        <v>1132</v>
      </c>
      <c r="I263" s="15">
        <v>6.77</v>
      </c>
      <c r="J263" s="15">
        <v>28.88</v>
      </c>
      <c r="K263" s="15">
        <v>35.21</v>
      </c>
      <c r="L263" s="28" t="str">
        <f>HYPERLINK("http://finance.yahoo.com/q?s=" &amp; A263, "Link")</f>
        <v>Link</v>
      </c>
      <c r="M263" s="15">
        <f>K263*0.9</f>
        <v>31.689</v>
      </c>
      <c r="N263" s="15" t="str">
        <f>IF(M263&gt;C263, "Buy", "")</f>
        <v/>
      </c>
      <c r="O263" s="33">
        <f>C263/K263</f>
        <v>1.0357852882703777</v>
      </c>
    </row>
    <row r="264" spans="1:15" ht="20.100000000000001" customHeight="1" x14ac:dyDescent="0.25">
      <c r="A264" s="21" t="s">
        <v>402</v>
      </c>
      <c r="B264" t="s">
        <v>777</v>
      </c>
      <c r="C264" s="15">
        <v>28.14</v>
      </c>
      <c r="D264" s="15">
        <v>28.13</v>
      </c>
      <c r="E264" s="15">
        <v>28.17</v>
      </c>
      <c r="F264" s="15">
        <v>28.15</v>
      </c>
      <c r="G264" s="16">
        <v>-3.5523978685605723E-4</v>
      </c>
      <c r="H264" s="15" t="s">
        <v>1164</v>
      </c>
      <c r="I264" s="15">
        <v>0.14000000000000001</v>
      </c>
      <c r="J264" s="15" t="s">
        <v>124</v>
      </c>
      <c r="K264" s="15">
        <v>27.14</v>
      </c>
      <c r="L264" s="28" t="str">
        <f>HYPERLINK("http://finance.yahoo.com/q?s=" &amp; A264, "Link")</f>
        <v>Link</v>
      </c>
      <c r="M264" s="15">
        <f>K264*0.9</f>
        <v>24.426000000000002</v>
      </c>
      <c r="N264" s="15" t="str">
        <f>IF(M264&gt;C264, "Buy", "")</f>
        <v/>
      </c>
      <c r="O264" s="33">
        <f>C264/K264</f>
        <v>1.036845983787767</v>
      </c>
    </row>
    <row r="265" spans="1:15" ht="20.100000000000001" customHeight="1" x14ac:dyDescent="0.25">
      <c r="A265" s="21" t="s">
        <v>60</v>
      </c>
      <c r="B265" t="s">
        <v>168</v>
      </c>
      <c r="C265" s="15">
        <v>45.2</v>
      </c>
      <c r="D265" s="15">
        <v>44.69</v>
      </c>
      <c r="E265" s="15">
        <v>45.45</v>
      </c>
      <c r="F265" s="15">
        <v>44.59</v>
      </c>
      <c r="G265" s="16">
        <v>1.3680197353666728E-2</v>
      </c>
      <c r="H265" s="15" t="s">
        <v>1367</v>
      </c>
      <c r="I265" s="15">
        <v>1.68</v>
      </c>
      <c r="J265" s="15">
        <v>86.26</v>
      </c>
      <c r="K265" s="15">
        <v>43.59</v>
      </c>
      <c r="L265" s="28" t="str">
        <f>HYPERLINK("http://finance.yahoo.com/q?s=" &amp; A265, "Link")</f>
        <v>Link</v>
      </c>
      <c r="M265" s="15">
        <f>K265*0.9</f>
        <v>39.231000000000002</v>
      </c>
      <c r="N265" s="15" t="str">
        <f>IF(M265&gt;C265, "Buy", "")</f>
        <v/>
      </c>
      <c r="O265" s="33">
        <f>C265/K265</f>
        <v>1.036935076852489</v>
      </c>
    </row>
    <row r="266" spans="1:15" ht="20.100000000000001" customHeight="1" x14ac:dyDescent="0.25">
      <c r="A266" s="21" t="s">
        <v>528</v>
      </c>
      <c r="B266" t="s">
        <v>891</v>
      </c>
      <c r="C266" s="15">
        <v>48.27</v>
      </c>
      <c r="D266" s="15">
        <v>48.06</v>
      </c>
      <c r="E266" s="15">
        <v>48.55</v>
      </c>
      <c r="F266" s="15">
        <v>48.12</v>
      </c>
      <c r="G266" s="16">
        <v>3.117206982543759E-3</v>
      </c>
      <c r="H266" s="15" t="s">
        <v>1388</v>
      </c>
      <c r="I266" s="15">
        <v>1.33</v>
      </c>
      <c r="J266" s="15">
        <v>21.82</v>
      </c>
      <c r="K266" s="15">
        <v>46.52</v>
      </c>
      <c r="L266" s="28" t="str">
        <f>HYPERLINK("http://finance.yahoo.com/q?s=" &amp; A266, "Link")</f>
        <v>Link</v>
      </c>
      <c r="M266" s="15">
        <f>K266*0.9</f>
        <v>41.868000000000002</v>
      </c>
      <c r="N266" s="15" t="str">
        <f>IF(M266&gt;C266, "Buy", "")</f>
        <v/>
      </c>
      <c r="O266" s="33">
        <f>C266/K266</f>
        <v>1.0376182287188307</v>
      </c>
    </row>
    <row r="267" spans="1:15" ht="20.100000000000001" customHeight="1" x14ac:dyDescent="0.25">
      <c r="A267" s="21" t="s">
        <v>548</v>
      </c>
      <c r="B267" t="s">
        <v>910</v>
      </c>
      <c r="C267" s="15">
        <v>53.81</v>
      </c>
      <c r="D267" s="15">
        <v>53.66</v>
      </c>
      <c r="E267" s="15">
        <v>54.27</v>
      </c>
      <c r="F267" s="15">
        <v>53.62</v>
      </c>
      <c r="G267" s="16">
        <v>3.5434539350989338E-3</v>
      </c>
      <c r="H267" s="15" t="s">
        <v>1433</v>
      </c>
      <c r="I267" s="15">
        <v>2.39</v>
      </c>
      <c r="J267" s="15">
        <v>29.76</v>
      </c>
      <c r="K267" s="15">
        <v>51.84</v>
      </c>
      <c r="L267" s="28" t="str">
        <f>HYPERLINK("http://finance.yahoo.com/q?s=" &amp; A267, "Link")</f>
        <v>Link</v>
      </c>
      <c r="M267" s="15">
        <f>K267*0.9</f>
        <v>46.656000000000006</v>
      </c>
      <c r="N267" s="15" t="str">
        <f>IF(M267&gt;C267, "Buy", "")</f>
        <v/>
      </c>
      <c r="O267" s="33">
        <f>C267/K267</f>
        <v>1.0380015432098766</v>
      </c>
    </row>
    <row r="268" spans="1:15" ht="20.100000000000001" customHeight="1" x14ac:dyDescent="0.25">
      <c r="A268" s="21" t="s">
        <v>7</v>
      </c>
      <c r="B268" t="s">
        <v>123</v>
      </c>
      <c r="C268" s="15">
        <v>808.33</v>
      </c>
      <c r="D268" s="15">
        <v>806.26</v>
      </c>
      <c r="E268" s="15">
        <v>816.02</v>
      </c>
      <c r="F268" s="15">
        <v>809.04</v>
      </c>
      <c r="G268" s="16">
        <v>-8.7758330861258127E-4</v>
      </c>
      <c r="H268" s="15" t="s">
        <v>1436</v>
      </c>
      <c r="I268" s="15" t="s">
        <v>124</v>
      </c>
      <c r="J268" s="15">
        <v>185.18</v>
      </c>
      <c r="K268" s="15">
        <v>776.61</v>
      </c>
      <c r="L268" s="28" t="str">
        <f>HYPERLINK("http://finance.yahoo.com/q?s=" &amp; A268, "Link")</f>
        <v>Link</v>
      </c>
      <c r="M268" s="15">
        <f>K268*0.9</f>
        <v>698.94900000000007</v>
      </c>
      <c r="N268" s="15" t="str">
        <f>IF(M268&gt;C268, "Buy", "")</f>
        <v/>
      </c>
      <c r="O268" s="33">
        <f>C268/K268</f>
        <v>1.0408441817643348</v>
      </c>
    </row>
    <row r="269" spans="1:15" ht="20.100000000000001" customHeight="1" x14ac:dyDescent="0.25">
      <c r="A269" s="21" t="s">
        <v>541</v>
      </c>
      <c r="B269" t="s">
        <v>903</v>
      </c>
      <c r="C269" s="15">
        <v>9.16</v>
      </c>
      <c r="D269" s="15">
        <v>9.0299999999999994</v>
      </c>
      <c r="E269" s="15">
        <v>9.19</v>
      </c>
      <c r="F269" s="15">
        <v>9.0500000000000007</v>
      </c>
      <c r="G269" s="16">
        <v>1.2154696132596621E-2</v>
      </c>
      <c r="H269" s="15" t="s">
        <v>1408</v>
      </c>
      <c r="I269" s="15">
        <v>5.24</v>
      </c>
      <c r="J269" s="15" t="s">
        <v>124</v>
      </c>
      <c r="K269" s="15">
        <v>8.8000000000000007</v>
      </c>
      <c r="L269" s="28" t="str">
        <f>HYPERLINK("http://finance.yahoo.com/q?s=" &amp; A269, "Link")</f>
        <v>Link</v>
      </c>
      <c r="M269" s="15">
        <f>K269*0.9</f>
        <v>7.9200000000000008</v>
      </c>
      <c r="N269" s="15" t="str">
        <f>IF(M269&gt;C269, "Buy", "")</f>
        <v/>
      </c>
      <c r="O269" s="33">
        <f>C269/K269</f>
        <v>1.0409090909090908</v>
      </c>
    </row>
    <row r="270" spans="1:15" ht="20.100000000000001" customHeight="1" x14ac:dyDescent="0.25">
      <c r="A270" s="21" t="s">
        <v>44</v>
      </c>
      <c r="B270" t="s">
        <v>960</v>
      </c>
      <c r="C270" s="15">
        <v>805.02</v>
      </c>
      <c r="D270" s="15">
        <v>801.69</v>
      </c>
      <c r="E270" s="15">
        <v>806.91</v>
      </c>
      <c r="F270" s="15">
        <v>802.17</v>
      </c>
      <c r="G270" s="16">
        <v>3.552862859493652E-3</v>
      </c>
      <c r="H270" s="15" t="s">
        <v>1424</v>
      </c>
      <c r="I270" s="15" t="s">
        <v>124</v>
      </c>
      <c r="J270" s="15">
        <v>29.46</v>
      </c>
      <c r="K270" s="15">
        <v>772.75</v>
      </c>
      <c r="L270" s="28" t="str">
        <f>HYPERLINK("http://finance.yahoo.com/q?s=" &amp; A270, "Link")</f>
        <v>Link</v>
      </c>
      <c r="M270" s="15">
        <f>K270*0.9</f>
        <v>695.47500000000002</v>
      </c>
      <c r="N270" s="15" t="str">
        <f>IF(M270&gt;C270, "Buy", "")</f>
        <v/>
      </c>
      <c r="O270" s="33">
        <f>C270/K270</f>
        <v>1.0417599482368165</v>
      </c>
    </row>
    <row r="271" spans="1:15" ht="20.100000000000001" customHeight="1" x14ac:dyDescent="0.25">
      <c r="A271" s="21" t="s">
        <v>23</v>
      </c>
      <c r="B271" t="s">
        <v>136</v>
      </c>
      <c r="C271" s="15">
        <v>164.24</v>
      </c>
      <c r="D271" s="15">
        <v>163.22999999999999</v>
      </c>
      <c r="E271" s="15">
        <v>164.77</v>
      </c>
      <c r="F271" s="15">
        <v>163.69999999999999</v>
      </c>
      <c r="G271" s="16">
        <v>3.2987171655468571E-3</v>
      </c>
      <c r="H271" s="15" t="s">
        <v>978</v>
      </c>
      <c r="I271" s="15">
        <v>1.1000000000000001</v>
      </c>
      <c r="J271" s="15">
        <v>29.97</v>
      </c>
      <c r="K271" s="15">
        <v>157.63999999999999</v>
      </c>
      <c r="L271" s="28" t="str">
        <f>HYPERLINK("http://finance.yahoo.com/q?s=" &amp; A271, "Link")</f>
        <v>Link</v>
      </c>
      <c r="M271" s="15">
        <f>K271*0.9</f>
        <v>141.876</v>
      </c>
      <c r="N271" s="15" t="str">
        <f>IF(M271&gt;C271, "Buy", "")</f>
        <v/>
      </c>
      <c r="O271" s="33">
        <f>C271/K271</f>
        <v>1.0418675463080438</v>
      </c>
    </row>
    <row r="272" spans="1:15" ht="20.100000000000001" customHeight="1" x14ac:dyDescent="0.25">
      <c r="A272" s="21" t="s">
        <v>481</v>
      </c>
      <c r="B272" t="s">
        <v>848</v>
      </c>
      <c r="C272" s="15">
        <v>61.47</v>
      </c>
      <c r="D272" s="15">
        <v>60.95</v>
      </c>
      <c r="E272" s="15">
        <v>61.7</v>
      </c>
      <c r="F272" s="15">
        <v>60.9</v>
      </c>
      <c r="G272" s="16">
        <v>9.3596059113300548E-3</v>
      </c>
      <c r="H272" s="15" t="s">
        <v>1163</v>
      </c>
      <c r="I272" s="15">
        <v>2.99</v>
      </c>
      <c r="J272" s="15">
        <v>28.59</v>
      </c>
      <c r="K272" s="15">
        <v>58.99</v>
      </c>
      <c r="L272" s="28" t="str">
        <f>HYPERLINK("http://finance.yahoo.com/q?s=" &amp; A272, "Link")</f>
        <v>Link</v>
      </c>
      <c r="M272" s="15">
        <f>K272*0.9</f>
        <v>53.091000000000001</v>
      </c>
      <c r="N272" s="15" t="str">
        <f>IF(M272&gt;C272, "Buy", "")</f>
        <v/>
      </c>
      <c r="O272" s="33">
        <f>C272/K272</f>
        <v>1.0420410239023563</v>
      </c>
    </row>
    <row r="273" spans="1:15" ht="20.100000000000001" customHeight="1" x14ac:dyDescent="0.25">
      <c r="A273" s="21" t="s">
        <v>250</v>
      </c>
      <c r="B273" t="s">
        <v>640</v>
      </c>
      <c r="C273" s="15">
        <v>231.46</v>
      </c>
      <c r="D273" s="15">
        <v>230.57</v>
      </c>
      <c r="E273" s="15">
        <v>234.43</v>
      </c>
      <c r="F273" s="15">
        <v>231.88</v>
      </c>
      <c r="G273" s="16">
        <v>-1.8112816974296512E-3</v>
      </c>
      <c r="H273" s="15" t="s">
        <v>1418</v>
      </c>
      <c r="I273" s="15">
        <v>0.45</v>
      </c>
      <c r="J273" s="15">
        <v>34.96</v>
      </c>
      <c r="K273" s="15">
        <v>222.08</v>
      </c>
      <c r="L273" s="28" t="str">
        <f>HYPERLINK("http://finance.yahoo.com/q?s=" &amp; A273, "Link")</f>
        <v>Link</v>
      </c>
      <c r="M273" s="15">
        <f>K273*0.9</f>
        <v>199.87200000000001</v>
      </c>
      <c r="N273" s="15" t="str">
        <f>IF(M273&gt;C273, "Buy", "")</f>
        <v/>
      </c>
      <c r="O273" s="33">
        <f>C273/K273</f>
        <v>1.0422370317002883</v>
      </c>
    </row>
    <row r="274" spans="1:15" ht="20.100000000000001" customHeight="1" x14ac:dyDescent="0.25">
      <c r="A274" s="21" t="s">
        <v>15</v>
      </c>
      <c r="B274" t="s">
        <v>130</v>
      </c>
      <c r="C274" s="15">
        <v>44.56</v>
      </c>
      <c r="D274" s="15">
        <v>44.22</v>
      </c>
      <c r="E274" s="15">
        <v>45.09</v>
      </c>
      <c r="F274" s="15">
        <v>44.84</v>
      </c>
      <c r="G274" s="16">
        <v>-6.2444246208742445E-3</v>
      </c>
      <c r="H274" s="15" t="s">
        <v>1504</v>
      </c>
      <c r="I274" s="15">
        <v>1.71</v>
      </c>
      <c r="J274" s="15">
        <v>14.15</v>
      </c>
      <c r="K274" s="15">
        <v>42.75</v>
      </c>
      <c r="L274" s="28" t="str">
        <f>HYPERLINK("http://finance.yahoo.com/q?s=" &amp; A274, "Link")</f>
        <v>Link</v>
      </c>
      <c r="M274" s="15">
        <f>K274*0.9</f>
        <v>38.475000000000001</v>
      </c>
      <c r="N274" s="15" t="str">
        <f>IF(M274&gt;C274, "Buy", "")</f>
        <v/>
      </c>
      <c r="O274" s="33">
        <f>C274/K274</f>
        <v>1.0423391812865497</v>
      </c>
    </row>
    <row r="275" spans="1:15" ht="20.100000000000001" customHeight="1" x14ac:dyDescent="0.25">
      <c r="A275" s="21" t="s">
        <v>371</v>
      </c>
      <c r="B275" t="s">
        <v>960</v>
      </c>
      <c r="C275" s="15">
        <v>828.17</v>
      </c>
      <c r="D275" s="15">
        <v>824.6</v>
      </c>
      <c r="E275" s="15">
        <v>829.24</v>
      </c>
      <c r="F275" s="15">
        <v>824.37</v>
      </c>
      <c r="G275" s="16">
        <v>4.609580649465597E-3</v>
      </c>
      <c r="H275" s="15" t="s">
        <v>1425</v>
      </c>
      <c r="I275" s="15" t="s">
        <v>124</v>
      </c>
      <c r="J275" s="15">
        <v>30.31</v>
      </c>
      <c r="K275" s="15">
        <v>794.5</v>
      </c>
      <c r="L275" s="28" t="str">
        <f>HYPERLINK("http://finance.yahoo.com/q?s=" &amp; A275, "Link")</f>
        <v>Link</v>
      </c>
      <c r="M275" s="15">
        <f>K275*0.9</f>
        <v>715.05000000000007</v>
      </c>
      <c r="N275" s="15" t="str">
        <f>IF(M275&gt;C275, "Buy", "")</f>
        <v/>
      </c>
      <c r="O275" s="33">
        <f>C275/K275</f>
        <v>1.0423788546255506</v>
      </c>
    </row>
    <row r="276" spans="1:15" ht="20.100000000000001" customHeight="1" x14ac:dyDescent="0.25">
      <c r="A276" s="21" t="s">
        <v>222</v>
      </c>
      <c r="B276" t="s">
        <v>613</v>
      </c>
      <c r="C276" s="15">
        <v>131.97</v>
      </c>
      <c r="D276" s="15">
        <v>131.19</v>
      </c>
      <c r="E276" s="15">
        <v>135.18</v>
      </c>
      <c r="F276" s="15">
        <v>134.35</v>
      </c>
      <c r="G276" s="16">
        <v>-1.7714923706736104E-2</v>
      </c>
      <c r="H276" s="15" t="s">
        <v>1475</v>
      </c>
      <c r="I276" s="15" t="s">
        <v>124</v>
      </c>
      <c r="J276" s="15">
        <v>80.47</v>
      </c>
      <c r="K276" s="15">
        <v>126.6</v>
      </c>
      <c r="L276" s="28" t="str">
        <f>HYPERLINK("http://finance.yahoo.com/q?s=" &amp; A276, "Link")</f>
        <v>Link</v>
      </c>
      <c r="M276" s="15">
        <f>K276*0.9</f>
        <v>113.94</v>
      </c>
      <c r="N276" s="15" t="str">
        <f>IF(M276&gt;C276, "Buy", "")</f>
        <v/>
      </c>
      <c r="O276" s="33">
        <f>C276/K276</f>
        <v>1.0424170616113744</v>
      </c>
    </row>
    <row r="277" spans="1:15" ht="20.100000000000001" customHeight="1" x14ac:dyDescent="0.25">
      <c r="A277" s="21" t="s">
        <v>327</v>
      </c>
      <c r="B277" t="s">
        <v>707</v>
      </c>
      <c r="C277" s="15">
        <v>67.930000000000007</v>
      </c>
      <c r="D277" s="15">
        <v>67.569999999999993</v>
      </c>
      <c r="E277" s="15">
        <v>68.5</v>
      </c>
      <c r="F277" s="15">
        <v>67.73</v>
      </c>
      <c r="G277" s="16">
        <v>2.9529012254540504E-3</v>
      </c>
      <c r="H277" s="15" t="s">
        <v>1417</v>
      </c>
      <c r="I277" s="15">
        <v>3.36</v>
      </c>
      <c r="J277" s="15">
        <v>16.05</v>
      </c>
      <c r="K277" s="15">
        <v>65.16</v>
      </c>
      <c r="L277" s="28" t="str">
        <f>HYPERLINK("http://finance.yahoo.com/q?s=" &amp; A277, "Link")</f>
        <v>Link</v>
      </c>
      <c r="M277" s="15">
        <f>K277*0.9</f>
        <v>58.643999999999998</v>
      </c>
      <c r="N277" s="15" t="str">
        <f>IF(M277&gt;C277, "Buy", "")</f>
        <v/>
      </c>
      <c r="O277" s="33">
        <f>C277/K277</f>
        <v>1.042510742786986</v>
      </c>
    </row>
    <row r="278" spans="1:15" ht="20.100000000000001" customHeight="1" x14ac:dyDescent="0.25">
      <c r="A278" s="21" t="s">
        <v>34</v>
      </c>
      <c r="B278" t="s">
        <v>146</v>
      </c>
      <c r="C278" s="15">
        <v>35.799999999999997</v>
      </c>
      <c r="D278" s="15">
        <v>35.549999999999997</v>
      </c>
      <c r="E278" s="15">
        <v>35.89</v>
      </c>
      <c r="F278" s="15">
        <v>35.74</v>
      </c>
      <c r="G278" s="16">
        <v>1.6787912702852592E-3</v>
      </c>
      <c r="H278" s="15" t="s">
        <v>1385</v>
      </c>
      <c r="I278" s="15">
        <v>3.55</v>
      </c>
      <c r="J278" s="15">
        <v>26.84</v>
      </c>
      <c r="K278" s="15">
        <v>34.340000000000003</v>
      </c>
      <c r="L278" s="28" t="str">
        <f>HYPERLINK("http://finance.yahoo.com/q?s=" &amp; A278, "Link")</f>
        <v>Link</v>
      </c>
      <c r="M278" s="15">
        <f>K278*0.9</f>
        <v>30.906000000000002</v>
      </c>
      <c r="N278" s="15" t="str">
        <f>IF(M278&gt;C278, "Buy", "")</f>
        <v/>
      </c>
      <c r="O278" s="33">
        <f>C278/K278</f>
        <v>1.0425160163075129</v>
      </c>
    </row>
    <row r="279" spans="1:15" ht="20.100000000000001" customHeight="1" x14ac:dyDescent="0.25">
      <c r="A279" s="21" t="s">
        <v>396</v>
      </c>
      <c r="B279" t="s">
        <v>772</v>
      </c>
      <c r="C279" s="15">
        <v>117.1</v>
      </c>
      <c r="D279" s="15">
        <v>115.78</v>
      </c>
      <c r="E279" s="15">
        <v>117.21</v>
      </c>
      <c r="F279" s="15">
        <v>115.95</v>
      </c>
      <c r="G279" s="16">
        <v>9.9180681328157952E-3</v>
      </c>
      <c r="H279" s="15" t="s">
        <v>1162</v>
      </c>
      <c r="I279" s="15">
        <v>1.1599999999999999</v>
      </c>
      <c r="J279" s="15">
        <v>31.33</v>
      </c>
      <c r="K279" s="15">
        <v>112.31</v>
      </c>
      <c r="L279" s="28" t="str">
        <f>HYPERLINK("http://finance.yahoo.com/q?s=" &amp; A279, "Link")</f>
        <v>Link</v>
      </c>
      <c r="M279" s="15">
        <f>K279*0.9</f>
        <v>101.07900000000001</v>
      </c>
      <c r="N279" s="15" t="str">
        <f>IF(M279&gt;C279, "Buy", "")</f>
        <v/>
      </c>
      <c r="O279" s="33">
        <f>C279/K279</f>
        <v>1.0426498085655773</v>
      </c>
    </row>
    <row r="280" spans="1:15" ht="20.100000000000001" customHeight="1" x14ac:dyDescent="0.25">
      <c r="A280" s="21" t="s">
        <v>255</v>
      </c>
      <c r="B280" t="s">
        <v>645</v>
      </c>
      <c r="C280" s="15">
        <v>381.4</v>
      </c>
      <c r="D280" s="15">
        <v>378.83</v>
      </c>
      <c r="E280" s="15">
        <v>381.63</v>
      </c>
      <c r="F280" s="15">
        <v>377.35</v>
      </c>
      <c r="G280" s="16">
        <v>1.073274148668333E-2</v>
      </c>
      <c r="H280" s="15" t="s">
        <v>1394</v>
      </c>
      <c r="I280" s="15">
        <v>2.62</v>
      </c>
      <c r="J280" s="15">
        <v>20.03</v>
      </c>
      <c r="K280" s="15">
        <v>365.71</v>
      </c>
      <c r="L280" s="28" t="str">
        <f>HYPERLINK("http://finance.yahoo.com/q?s=" &amp; A280, "Link")</f>
        <v>Link</v>
      </c>
      <c r="M280" s="15">
        <f>K280*0.9</f>
        <v>329.13900000000001</v>
      </c>
      <c r="N280" s="15" t="str">
        <f>IF(M280&gt;C280, "Buy", "")</f>
        <v/>
      </c>
      <c r="O280" s="33">
        <f>C280/K280</f>
        <v>1.0429028465177326</v>
      </c>
    </row>
    <row r="281" spans="1:15" ht="20.100000000000001" customHeight="1" x14ac:dyDescent="0.25">
      <c r="A281" s="21" t="s">
        <v>79</v>
      </c>
      <c r="B281" t="s">
        <v>186</v>
      </c>
      <c r="C281" s="15">
        <v>146.91</v>
      </c>
      <c r="D281" s="15">
        <v>146.69</v>
      </c>
      <c r="E281" s="15">
        <v>147.68</v>
      </c>
      <c r="F281" s="15">
        <v>146.94999999999999</v>
      </c>
      <c r="G281" s="16">
        <v>-2.7220142905744844E-4</v>
      </c>
      <c r="H281" s="15" t="s">
        <v>1392</v>
      </c>
      <c r="I281" s="15">
        <v>1.99</v>
      </c>
      <c r="J281" s="15">
        <v>19.62</v>
      </c>
      <c r="K281" s="15">
        <v>140.85</v>
      </c>
      <c r="L281" s="28" t="str">
        <f>HYPERLINK("http://finance.yahoo.com/q?s=" &amp; A281, "Link")</f>
        <v>Link</v>
      </c>
      <c r="M281" s="15">
        <f>K281*0.9</f>
        <v>126.765</v>
      </c>
      <c r="N281" s="15" t="str">
        <f>IF(M281&gt;C281, "Buy", "")</f>
        <v/>
      </c>
      <c r="O281" s="33">
        <f>C281/K281</f>
        <v>1.0430244941427049</v>
      </c>
    </row>
    <row r="282" spans="1:15" ht="20.100000000000001" customHeight="1" x14ac:dyDescent="0.25">
      <c r="A282" s="21" t="s">
        <v>392</v>
      </c>
      <c r="B282" t="s">
        <v>768</v>
      </c>
      <c r="C282" s="15">
        <v>57.4</v>
      </c>
      <c r="D282" s="15">
        <v>56.93</v>
      </c>
      <c r="E282" s="15">
        <v>57.5</v>
      </c>
      <c r="F282" s="15">
        <v>56.96</v>
      </c>
      <c r="G282" s="16">
        <v>7.7247191011235554E-3</v>
      </c>
      <c r="H282" s="15" t="s">
        <v>1390</v>
      </c>
      <c r="I282" s="15">
        <v>1.19</v>
      </c>
      <c r="J282" s="15">
        <v>23.51</v>
      </c>
      <c r="K282" s="15">
        <v>55</v>
      </c>
      <c r="L282" s="28" t="str">
        <f>HYPERLINK("http://finance.yahoo.com/q?s=" &amp; A282, "Link")</f>
        <v>Link</v>
      </c>
      <c r="M282" s="15">
        <f>K282*0.9</f>
        <v>49.5</v>
      </c>
      <c r="N282" s="15" t="str">
        <f>IF(M282&gt;C282, "Buy", "")</f>
        <v/>
      </c>
      <c r="O282" s="33">
        <f>C282/K282</f>
        <v>1.0436363636363637</v>
      </c>
    </row>
    <row r="283" spans="1:15" ht="20.100000000000001" customHeight="1" x14ac:dyDescent="0.25">
      <c r="A283" s="21" t="s">
        <v>549</v>
      </c>
      <c r="B283" t="s">
        <v>911</v>
      </c>
      <c r="C283" s="15">
        <v>73.7</v>
      </c>
      <c r="D283" s="15">
        <v>72.39</v>
      </c>
      <c r="E283" s="15">
        <v>73.7</v>
      </c>
      <c r="F283" s="15">
        <v>72.75</v>
      </c>
      <c r="G283" s="16">
        <v>1.3058419243986293E-2</v>
      </c>
      <c r="H283" s="15" t="s">
        <v>1169</v>
      </c>
      <c r="I283" s="15">
        <v>2.93</v>
      </c>
      <c r="J283" s="15">
        <v>16.63</v>
      </c>
      <c r="K283" s="15">
        <v>70.599999999999994</v>
      </c>
      <c r="L283" s="28" t="str">
        <f>HYPERLINK("http://finance.yahoo.com/q?s=" &amp; A283, "Link")</f>
        <v>Link</v>
      </c>
      <c r="M283" s="15">
        <f>K283*0.9</f>
        <v>63.54</v>
      </c>
      <c r="N283" s="15" t="str">
        <f>IF(M283&gt;C283, "Buy", "")</f>
        <v/>
      </c>
      <c r="O283" s="33">
        <f>C283/K283</f>
        <v>1.0439093484419264</v>
      </c>
    </row>
    <row r="284" spans="1:15" ht="20.100000000000001" customHeight="1" x14ac:dyDescent="0.25">
      <c r="A284" s="21" t="s">
        <v>65</v>
      </c>
      <c r="B284" t="s">
        <v>173</v>
      </c>
      <c r="C284" s="15">
        <v>108.58</v>
      </c>
      <c r="D284" s="15">
        <v>108.03</v>
      </c>
      <c r="E284" s="15">
        <v>108.61</v>
      </c>
      <c r="F284" s="15">
        <v>108.12</v>
      </c>
      <c r="G284" s="16">
        <v>4.2545320014797791E-3</v>
      </c>
      <c r="H284" s="15" t="s">
        <v>1391</v>
      </c>
      <c r="I284" s="15">
        <v>2</v>
      </c>
      <c r="J284" s="15">
        <v>29.77</v>
      </c>
      <c r="K284" s="15">
        <v>103.92</v>
      </c>
      <c r="L284" s="28" t="str">
        <f>HYPERLINK("http://finance.yahoo.com/q?s=" &amp; A284, "Link")</f>
        <v>Link</v>
      </c>
      <c r="M284" s="15">
        <f>K284*0.9</f>
        <v>93.528000000000006</v>
      </c>
      <c r="N284" s="15" t="str">
        <f>IF(M284&gt;C284, "Buy", "")</f>
        <v/>
      </c>
      <c r="O284" s="33">
        <f>C284/K284</f>
        <v>1.0448421862971515</v>
      </c>
    </row>
    <row r="285" spans="1:15" ht="20.100000000000001" customHeight="1" x14ac:dyDescent="0.25">
      <c r="A285" s="21" t="s">
        <v>389</v>
      </c>
      <c r="B285" t="s">
        <v>765</v>
      </c>
      <c r="C285" s="15">
        <v>123.74</v>
      </c>
      <c r="D285" s="15">
        <v>123.29</v>
      </c>
      <c r="E285" s="15">
        <v>124.42</v>
      </c>
      <c r="F285" s="15">
        <v>123.37</v>
      </c>
      <c r="G285" s="16">
        <v>2.9991083731862717E-3</v>
      </c>
      <c r="H285" s="15" t="s">
        <v>1400</v>
      </c>
      <c r="I285" s="15">
        <v>2.1</v>
      </c>
      <c r="J285" s="15">
        <v>22.59</v>
      </c>
      <c r="K285" s="15">
        <v>118.35</v>
      </c>
      <c r="L285" s="28" t="str">
        <f>HYPERLINK("http://finance.yahoo.com/q?s=" &amp; A285, "Link")</f>
        <v>Link</v>
      </c>
      <c r="M285" s="15">
        <f>K285*0.9</f>
        <v>106.515</v>
      </c>
      <c r="N285" s="15" t="str">
        <f>IF(M285&gt;C285, "Buy", "")</f>
        <v/>
      </c>
      <c r="O285" s="33">
        <f>C285/K285</f>
        <v>1.0455428812843262</v>
      </c>
    </row>
    <row r="286" spans="1:15" ht="20.100000000000001" customHeight="1" x14ac:dyDescent="0.25">
      <c r="A286" s="21" t="s">
        <v>259</v>
      </c>
      <c r="B286" t="s">
        <v>649</v>
      </c>
      <c r="C286" s="15">
        <v>23.9</v>
      </c>
      <c r="D286" s="15">
        <v>23.6</v>
      </c>
      <c r="E286" s="15">
        <v>24.04</v>
      </c>
      <c r="F286" s="15">
        <v>23.88</v>
      </c>
      <c r="G286" s="16">
        <v>8.3752093802343282E-4</v>
      </c>
      <c r="H286" s="15" t="s">
        <v>1404</v>
      </c>
      <c r="I286" s="15" t="s">
        <v>124</v>
      </c>
      <c r="J286" s="15">
        <v>450.94</v>
      </c>
      <c r="K286" s="15">
        <v>22.84</v>
      </c>
      <c r="L286" s="28" t="str">
        <f>HYPERLINK("http://finance.yahoo.com/q?s=" &amp; A286, "Link")</f>
        <v>Link</v>
      </c>
      <c r="M286" s="15">
        <f>K286*0.9</f>
        <v>20.556000000000001</v>
      </c>
      <c r="N286" s="15" t="str">
        <f>IF(M286&gt;C286, "Buy", "")</f>
        <v/>
      </c>
      <c r="O286" s="33">
        <f>C286/K286</f>
        <v>1.0464098073555166</v>
      </c>
    </row>
    <row r="287" spans="1:15" ht="20.100000000000001" customHeight="1" x14ac:dyDescent="0.25">
      <c r="A287" s="21" t="s">
        <v>8</v>
      </c>
      <c r="B287" t="s">
        <v>125</v>
      </c>
      <c r="C287" s="15">
        <v>61.81</v>
      </c>
      <c r="D287" s="15">
        <v>61.58</v>
      </c>
      <c r="E287" s="15">
        <v>63.18</v>
      </c>
      <c r="F287" s="15">
        <v>62.22</v>
      </c>
      <c r="G287" s="16">
        <v>-6.5895210543233142E-3</v>
      </c>
      <c r="H287" s="15" t="s">
        <v>1318</v>
      </c>
      <c r="I287" s="15">
        <v>1.62</v>
      </c>
      <c r="J287" s="15" t="s">
        <v>124</v>
      </c>
      <c r="K287" s="15">
        <v>59</v>
      </c>
      <c r="L287" s="28" t="str">
        <f>HYPERLINK("http://finance.yahoo.com/q?s=" &amp; A287, "Link")</f>
        <v>Link</v>
      </c>
      <c r="M287" s="15">
        <f>K287*0.9</f>
        <v>53.1</v>
      </c>
      <c r="N287" s="15" t="str">
        <f>IF(M287&gt;C287, "Buy", "")</f>
        <v/>
      </c>
      <c r="O287" s="33">
        <f>C287/K287</f>
        <v>1.0476271186440678</v>
      </c>
    </row>
    <row r="288" spans="1:15" ht="20.100000000000001" customHeight="1" x14ac:dyDescent="0.25">
      <c r="A288" s="21" t="s">
        <v>489</v>
      </c>
      <c r="B288" t="s">
        <v>856</v>
      </c>
      <c r="C288" s="15">
        <v>184.97</v>
      </c>
      <c r="D288" s="15">
        <v>184.44</v>
      </c>
      <c r="E288" s="15">
        <v>187.74</v>
      </c>
      <c r="F288" s="15">
        <v>183.95</v>
      </c>
      <c r="G288" s="16">
        <v>5.5449850502854595E-3</v>
      </c>
      <c r="H288" s="15" t="s">
        <v>1381</v>
      </c>
      <c r="I288" s="15">
        <v>0.04</v>
      </c>
      <c r="J288" s="15" t="s">
        <v>124</v>
      </c>
      <c r="K288" s="15">
        <v>176.55</v>
      </c>
      <c r="L288" s="28" t="str">
        <f>HYPERLINK("http://finance.yahoo.com/q?s=" &amp; A288, "Link")</f>
        <v>Link</v>
      </c>
      <c r="M288" s="15">
        <f>K288*0.9</f>
        <v>158.89500000000001</v>
      </c>
      <c r="N288" s="15" t="str">
        <f>IF(M288&gt;C288, "Buy", "")</f>
        <v/>
      </c>
      <c r="O288" s="33">
        <f>C288/K288</f>
        <v>1.0476918719909374</v>
      </c>
    </row>
    <row r="289" spans="1:15" ht="20.100000000000001" customHeight="1" x14ac:dyDescent="0.25">
      <c r="A289" s="21" t="s">
        <v>545</v>
      </c>
      <c r="B289" t="s">
        <v>907</v>
      </c>
      <c r="C289" s="15">
        <v>121.75</v>
      </c>
      <c r="D289" s="15">
        <v>121.45</v>
      </c>
      <c r="E289" s="15">
        <v>123.08</v>
      </c>
      <c r="F289" s="15">
        <v>122.13</v>
      </c>
      <c r="G289" s="16">
        <v>-3.1114386309669651E-3</v>
      </c>
      <c r="H289" s="15" t="s">
        <v>1431</v>
      </c>
      <c r="I289" s="15">
        <v>1.4</v>
      </c>
      <c r="J289" s="15">
        <v>27.71</v>
      </c>
      <c r="K289" s="15">
        <v>116.16</v>
      </c>
      <c r="L289" s="28" t="str">
        <f>HYPERLINK("http://finance.yahoo.com/q?s=" &amp; A289, "Link")</f>
        <v>Link</v>
      </c>
      <c r="M289" s="15">
        <f>K289*0.9</f>
        <v>104.544</v>
      </c>
      <c r="N289" s="15" t="str">
        <f>IF(M289&gt;C289, "Buy", "")</f>
        <v/>
      </c>
      <c r="O289" s="33">
        <f>C289/K289</f>
        <v>1.0481232782369145</v>
      </c>
    </row>
    <row r="290" spans="1:15" ht="20.100000000000001" customHeight="1" x14ac:dyDescent="0.25">
      <c r="A290" s="21" t="s">
        <v>272</v>
      </c>
      <c r="B290" t="s">
        <v>661</v>
      </c>
      <c r="C290" s="15">
        <v>30.25</v>
      </c>
      <c r="D290" s="15">
        <v>30.21</v>
      </c>
      <c r="E290" s="15">
        <v>30.47</v>
      </c>
      <c r="F290" s="15">
        <v>30.25</v>
      </c>
      <c r="G290" s="16">
        <v>0</v>
      </c>
      <c r="H290" s="15" t="s">
        <v>1468</v>
      </c>
      <c r="I290" s="15" t="s">
        <v>124</v>
      </c>
      <c r="J290" s="15">
        <v>20.88</v>
      </c>
      <c r="K290" s="15">
        <v>28.86</v>
      </c>
      <c r="L290" s="28" t="str">
        <f>HYPERLINK("http://finance.yahoo.com/q?s=" &amp; A290, "Link")</f>
        <v>Link</v>
      </c>
      <c r="M290" s="15">
        <f>K290*0.9</f>
        <v>25.974</v>
      </c>
      <c r="N290" s="15" t="str">
        <f>IF(M290&gt;C290, "Buy", "")</f>
        <v/>
      </c>
      <c r="O290" s="33">
        <f>C290/K290</f>
        <v>1.0481635481635483</v>
      </c>
    </row>
    <row r="291" spans="1:15" ht="20.100000000000001" customHeight="1" x14ac:dyDescent="0.25">
      <c r="A291" s="21" t="s">
        <v>92</v>
      </c>
      <c r="B291" t="s">
        <v>199</v>
      </c>
      <c r="C291" s="15">
        <v>110.79</v>
      </c>
      <c r="D291" s="15">
        <v>110.03</v>
      </c>
      <c r="E291" s="15">
        <v>111.1</v>
      </c>
      <c r="F291" s="15">
        <v>110.73</v>
      </c>
      <c r="G291" s="16">
        <v>5.418585749119685E-4</v>
      </c>
      <c r="H291" s="15" t="s">
        <v>1405</v>
      </c>
      <c r="I291" s="15">
        <v>2.38</v>
      </c>
      <c r="J291" s="15">
        <v>12.66</v>
      </c>
      <c r="K291" s="15">
        <v>105.62</v>
      </c>
      <c r="L291" s="28" t="str">
        <f>HYPERLINK("http://finance.yahoo.com/q?s=" &amp; A291, "Link")</f>
        <v>Link</v>
      </c>
      <c r="M291" s="15">
        <f>K291*0.9</f>
        <v>95.058000000000007</v>
      </c>
      <c r="N291" s="15" t="str">
        <f>IF(M291&gt;C291, "Buy", "")</f>
        <v/>
      </c>
      <c r="O291" s="33">
        <f>C291/K291</f>
        <v>1.0489490626775233</v>
      </c>
    </row>
    <row r="292" spans="1:15" ht="20.100000000000001" customHeight="1" x14ac:dyDescent="0.25">
      <c r="A292" s="21" t="s">
        <v>27</v>
      </c>
      <c r="B292" t="s">
        <v>140</v>
      </c>
      <c r="C292" s="15">
        <v>73.03</v>
      </c>
      <c r="D292" s="15">
        <v>72.66</v>
      </c>
      <c r="E292" s="15">
        <v>73.69</v>
      </c>
      <c r="F292" s="15">
        <v>72.95</v>
      </c>
      <c r="G292" s="16">
        <v>1.0966415352981259E-3</v>
      </c>
      <c r="H292" s="15" t="s">
        <v>1427</v>
      </c>
      <c r="I292" s="15">
        <v>2.08</v>
      </c>
      <c r="J292" s="15">
        <v>32.31</v>
      </c>
      <c r="K292" s="15">
        <v>69.62</v>
      </c>
      <c r="L292" s="28" t="str">
        <f>HYPERLINK("http://finance.yahoo.com/q?s=" &amp; A292, "Link")</f>
        <v>Link</v>
      </c>
      <c r="M292" s="15">
        <f>K292*0.9</f>
        <v>62.658000000000008</v>
      </c>
      <c r="N292" s="15" t="str">
        <f>IF(M292&gt;C292, "Buy", "")</f>
        <v/>
      </c>
      <c r="O292" s="33">
        <f>C292/K292</f>
        <v>1.0489801781097385</v>
      </c>
    </row>
    <row r="293" spans="1:15" ht="20.100000000000001" customHeight="1" x14ac:dyDescent="0.25">
      <c r="A293" s="21" t="s">
        <v>309</v>
      </c>
      <c r="B293" t="s">
        <v>693</v>
      </c>
      <c r="C293" s="15">
        <v>70.66</v>
      </c>
      <c r="D293" s="15">
        <v>70.290000000000006</v>
      </c>
      <c r="E293" s="15">
        <v>72.05</v>
      </c>
      <c r="F293" s="15">
        <v>72.010000000000005</v>
      </c>
      <c r="G293" s="16">
        <v>-1.8747396194973037E-2</v>
      </c>
      <c r="H293" s="15" t="s">
        <v>1441</v>
      </c>
      <c r="I293" s="15">
        <v>1.64</v>
      </c>
      <c r="J293" s="15">
        <v>16.68</v>
      </c>
      <c r="K293" s="15">
        <v>67.36</v>
      </c>
      <c r="L293" s="28" t="str">
        <f>HYPERLINK("http://finance.yahoo.com/q?s=" &amp; A293, "Link")</f>
        <v>Link</v>
      </c>
      <c r="M293" s="15">
        <f>K293*0.9</f>
        <v>60.624000000000002</v>
      </c>
      <c r="N293" s="15" t="str">
        <f>IF(M293&gt;C293, "Buy", "")</f>
        <v/>
      </c>
      <c r="O293" s="33">
        <f>C293/K293</f>
        <v>1.0489904988123515</v>
      </c>
    </row>
    <row r="294" spans="1:15" ht="20.100000000000001" customHeight="1" x14ac:dyDescent="0.25">
      <c r="A294" s="21" t="s">
        <v>582</v>
      </c>
      <c r="B294" t="s">
        <v>939</v>
      </c>
      <c r="C294" s="15">
        <v>69.66</v>
      </c>
      <c r="D294" s="15">
        <v>69.45</v>
      </c>
      <c r="E294" s="15">
        <v>69.83</v>
      </c>
      <c r="F294" s="15">
        <v>69.569999999999993</v>
      </c>
      <c r="G294" s="16">
        <v>1.293661060802119E-3</v>
      </c>
      <c r="H294" s="15" t="s">
        <v>1415</v>
      </c>
      <c r="I294" s="15">
        <v>2.44</v>
      </c>
      <c r="J294" s="15">
        <v>27.95</v>
      </c>
      <c r="K294" s="15">
        <v>66.36</v>
      </c>
      <c r="L294" s="28" t="str">
        <f>HYPERLINK("http://finance.yahoo.com/q?s=" &amp; A294, "Link")</f>
        <v>Link</v>
      </c>
      <c r="M294" s="15">
        <f>K294*0.9</f>
        <v>59.724000000000004</v>
      </c>
      <c r="N294" s="15" t="str">
        <f>IF(M294&gt;C294, "Buy", "")</f>
        <v/>
      </c>
      <c r="O294" s="33">
        <f>C294/K294</f>
        <v>1.0497287522603977</v>
      </c>
    </row>
    <row r="295" spans="1:15" ht="20.100000000000001" customHeight="1" x14ac:dyDescent="0.25">
      <c r="A295" s="21" t="s">
        <v>379</v>
      </c>
      <c r="B295" t="s">
        <v>756</v>
      </c>
      <c r="C295" s="15">
        <v>79.709999999999994</v>
      </c>
      <c r="D295" s="15">
        <v>78.53</v>
      </c>
      <c r="E295" s="15">
        <v>79.849999999999994</v>
      </c>
      <c r="F295" s="15">
        <v>78.62</v>
      </c>
      <c r="G295" s="16">
        <v>1.3864156703128837E-2</v>
      </c>
      <c r="H295" s="15" t="s">
        <v>1407</v>
      </c>
      <c r="I295" s="15">
        <v>0</v>
      </c>
      <c r="J295" s="15">
        <v>12.62</v>
      </c>
      <c r="K295" s="15">
        <v>75.89</v>
      </c>
      <c r="L295" s="28" t="str">
        <f>HYPERLINK("http://finance.yahoo.com/q?s=" &amp; A295, "Link")</f>
        <v>Link</v>
      </c>
      <c r="M295" s="15">
        <f>K295*0.9</f>
        <v>68.301000000000002</v>
      </c>
      <c r="N295" s="15" t="str">
        <f>IF(M295&gt;C295, "Buy", "")</f>
        <v/>
      </c>
      <c r="O295" s="33">
        <f>C295/K295</f>
        <v>1.050336012649888</v>
      </c>
    </row>
    <row r="296" spans="1:15" ht="20.100000000000001" customHeight="1" x14ac:dyDescent="0.25">
      <c r="A296" s="21" t="s">
        <v>519</v>
      </c>
      <c r="B296" t="s">
        <v>883</v>
      </c>
      <c r="C296" s="15">
        <v>186.22</v>
      </c>
      <c r="D296" s="15">
        <v>185.11</v>
      </c>
      <c r="E296" s="15">
        <v>186.87</v>
      </c>
      <c r="F296" s="15">
        <v>185.42</v>
      </c>
      <c r="G296" s="16">
        <v>4.3145291770036211E-3</v>
      </c>
      <c r="H296" s="15" t="s">
        <v>1440</v>
      </c>
      <c r="I296" s="15">
        <v>0.75</v>
      </c>
      <c r="J296" s="15">
        <v>27.81</v>
      </c>
      <c r="K296" s="15">
        <v>177.27</v>
      </c>
      <c r="L296" s="28" t="str">
        <f>HYPERLINK("http://finance.yahoo.com/q?s=" &amp; A296, "Link")</f>
        <v>Link</v>
      </c>
      <c r="M296" s="15">
        <f>K296*0.9</f>
        <v>159.54300000000001</v>
      </c>
      <c r="N296" s="15" t="str">
        <f>IF(M296&gt;C296, "Buy", "")</f>
        <v/>
      </c>
      <c r="O296" s="33">
        <f>C296/K296</f>
        <v>1.0504879562249676</v>
      </c>
    </row>
    <row r="297" spans="1:15" ht="20.100000000000001" customHeight="1" x14ac:dyDescent="0.25">
      <c r="A297" s="21" t="s">
        <v>353</v>
      </c>
      <c r="B297" t="s">
        <v>732</v>
      </c>
      <c r="C297" s="15">
        <v>109.57</v>
      </c>
      <c r="D297" s="15">
        <v>108.84</v>
      </c>
      <c r="E297" s="15">
        <v>110.32</v>
      </c>
      <c r="F297" s="15">
        <v>109.35</v>
      </c>
      <c r="G297" s="16">
        <v>2.0118884316415076E-3</v>
      </c>
      <c r="H297" s="15" t="s">
        <v>1437</v>
      </c>
      <c r="I297" s="15" t="s">
        <v>124</v>
      </c>
      <c r="J297" s="15">
        <v>27.48</v>
      </c>
      <c r="K297" s="15">
        <v>104.24</v>
      </c>
      <c r="L297" s="28" t="str">
        <f>HYPERLINK("http://finance.yahoo.com/q?s=" &amp; A297, "Link")</f>
        <v>Link</v>
      </c>
      <c r="M297" s="15">
        <f>K297*0.9</f>
        <v>93.816000000000003</v>
      </c>
      <c r="N297" s="15" t="str">
        <f>IF(M297&gt;C297, "Buy", "")</f>
        <v/>
      </c>
      <c r="O297" s="33">
        <f>C297/K297</f>
        <v>1.0511320030698388</v>
      </c>
    </row>
    <row r="298" spans="1:15" ht="20.100000000000001" customHeight="1" x14ac:dyDescent="0.25">
      <c r="A298" s="21" t="s">
        <v>217</v>
      </c>
      <c r="B298" t="s">
        <v>610</v>
      </c>
      <c r="C298" s="15">
        <v>146.62</v>
      </c>
      <c r="D298" s="15">
        <v>145.59</v>
      </c>
      <c r="E298" s="15">
        <v>146.78</v>
      </c>
      <c r="F298" s="15">
        <v>145.47</v>
      </c>
      <c r="G298" s="16">
        <v>7.9054100501822072E-3</v>
      </c>
      <c r="H298" s="15" t="s">
        <v>1403</v>
      </c>
      <c r="I298" s="15">
        <v>2.35</v>
      </c>
      <c r="J298" s="15">
        <v>50.73</v>
      </c>
      <c r="K298" s="15">
        <v>139.44999999999999</v>
      </c>
      <c r="L298" s="28" t="str">
        <f>HYPERLINK("http://finance.yahoo.com/q?s=" &amp; A298, "Link")</f>
        <v>Link</v>
      </c>
      <c r="M298" s="15">
        <f>K298*0.9</f>
        <v>125.505</v>
      </c>
      <c r="N298" s="15" t="str">
        <f>IF(M298&gt;C298, "Buy", "")</f>
        <v/>
      </c>
      <c r="O298" s="33">
        <f>C298/K298</f>
        <v>1.0514162782359269</v>
      </c>
    </row>
    <row r="299" spans="1:15" ht="20.100000000000001" customHeight="1" x14ac:dyDescent="0.25">
      <c r="A299" s="21" t="s">
        <v>315</v>
      </c>
      <c r="B299" t="s">
        <v>1129</v>
      </c>
      <c r="C299" s="15">
        <v>27.89</v>
      </c>
      <c r="D299" s="15">
        <v>27.82</v>
      </c>
      <c r="E299" s="15">
        <v>28.22</v>
      </c>
      <c r="F299" s="15">
        <v>28</v>
      </c>
      <c r="G299" s="16">
        <v>-3.928571428571408E-3</v>
      </c>
      <c r="H299" s="15" t="s">
        <v>1248</v>
      </c>
      <c r="I299" s="15" t="s">
        <v>124</v>
      </c>
      <c r="J299" s="15">
        <v>15.77</v>
      </c>
      <c r="K299" s="15">
        <v>26.49</v>
      </c>
      <c r="L299" s="28" t="str">
        <f>HYPERLINK("http://finance.yahoo.com/q?s=" &amp; A299, "Link")</f>
        <v>Link</v>
      </c>
      <c r="M299" s="15">
        <f>K299*0.9</f>
        <v>23.840999999999998</v>
      </c>
      <c r="N299" s="15" t="str">
        <f>IF(M299&gt;C299, "Buy", "")</f>
        <v/>
      </c>
      <c r="O299" s="33">
        <f>C299/K299</f>
        <v>1.0528501321253303</v>
      </c>
    </row>
    <row r="300" spans="1:15" ht="20.100000000000001" customHeight="1" x14ac:dyDescent="0.25">
      <c r="A300" s="21" t="s">
        <v>538</v>
      </c>
      <c r="B300" t="s">
        <v>901</v>
      </c>
      <c r="C300" s="15">
        <v>41.97</v>
      </c>
      <c r="D300" s="15">
        <v>41.73</v>
      </c>
      <c r="E300" s="15">
        <v>42.31</v>
      </c>
      <c r="F300" s="15">
        <v>41.55</v>
      </c>
      <c r="G300" s="16">
        <v>1.0108303249097514E-2</v>
      </c>
      <c r="H300" s="15" t="s">
        <v>1434</v>
      </c>
      <c r="I300" s="15">
        <v>4.1900000000000004</v>
      </c>
      <c r="J300" s="15">
        <v>92.24</v>
      </c>
      <c r="K300" s="15">
        <v>39.81</v>
      </c>
      <c r="L300" s="28" t="str">
        <f>HYPERLINK("http://finance.yahoo.com/q?s=" &amp; A300, "Link")</f>
        <v>Link</v>
      </c>
      <c r="M300" s="15">
        <f>K300*0.9</f>
        <v>35.829000000000001</v>
      </c>
      <c r="N300" s="15" t="str">
        <f>IF(M300&gt;C300, "Buy", "")</f>
        <v/>
      </c>
      <c r="O300" s="33">
        <f>C300/K300</f>
        <v>1.054257724189902</v>
      </c>
    </row>
    <row r="301" spans="1:15" ht="20.100000000000001" customHeight="1" x14ac:dyDescent="0.25">
      <c r="A301" s="21" t="s">
        <v>580</v>
      </c>
      <c r="B301" t="s">
        <v>937</v>
      </c>
      <c r="C301" s="15">
        <v>105.79</v>
      </c>
      <c r="D301" s="15">
        <v>104.81</v>
      </c>
      <c r="E301" s="15">
        <v>105.81</v>
      </c>
      <c r="F301" s="15">
        <v>105.21</v>
      </c>
      <c r="G301" s="16">
        <v>5.5127839558978473E-3</v>
      </c>
      <c r="H301" s="15" t="s">
        <v>1402</v>
      </c>
      <c r="I301" s="15">
        <v>2.37</v>
      </c>
      <c r="J301" s="15">
        <v>49.88</v>
      </c>
      <c r="K301" s="15">
        <v>100.25</v>
      </c>
      <c r="L301" s="28" t="str">
        <f>HYPERLINK("http://finance.yahoo.com/q?s=" &amp; A301, "Link")</f>
        <v>Link</v>
      </c>
      <c r="M301" s="15">
        <f>K301*0.9</f>
        <v>90.225000000000009</v>
      </c>
      <c r="N301" s="15" t="str">
        <f>IF(M301&gt;C301, "Buy", "")</f>
        <v/>
      </c>
      <c r="O301" s="33">
        <f>C301/K301</f>
        <v>1.0552618453865337</v>
      </c>
    </row>
    <row r="302" spans="1:15" ht="20.100000000000001" customHeight="1" x14ac:dyDescent="0.25">
      <c r="A302" s="21" t="s">
        <v>354</v>
      </c>
      <c r="B302" t="s">
        <v>733</v>
      </c>
      <c r="C302" s="15">
        <v>34.69</v>
      </c>
      <c r="D302" s="15">
        <v>34.630000000000003</v>
      </c>
      <c r="E302" s="15">
        <v>35.18</v>
      </c>
      <c r="F302" s="15">
        <v>35.04</v>
      </c>
      <c r="G302" s="16">
        <v>-9.9885844748858858E-3</v>
      </c>
      <c r="H302" s="15" t="s">
        <v>1479</v>
      </c>
      <c r="I302" s="15">
        <v>1.38</v>
      </c>
      <c r="J302" s="15">
        <v>27.27</v>
      </c>
      <c r="K302" s="15">
        <v>32.869999999999997</v>
      </c>
      <c r="L302" s="28" t="str">
        <f>HYPERLINK("http://finance.yahoo.com/q?s=" &amp; A302, "Link")</f>
        <v>Link</v>
      </c>
      <c r="M302" s="15">
        <f>K302*0.9</f>
        <v>29.582999999999998</v>
      </c>
      <c r="N302" s="15" t="str">
        <f>IF(M302&gt;C302, "Buy", "")</f>
        <v/>
      </c>
      <c r="O302" s="33">
        <f>C302/K302</f>
        <v>1.0553696379677517</v>
      </c>
    </row>
    <row r="303" spans="1:15" ht="20.100000000000001" customHeight="1" x14ac:dyDescent="0.25">
      <c r="A303" s="21" t="s">
        <v>518</v>
      </c>
      <c r="B303" t="s">
        <v>882</v>
      </c>
      <c r="C303" s="15">
        <v>91.4</v>
      </c>
      <c r="D303" s="15">
        <v>89.44</v>
      </c>
      <c r="E303" s="15">
        <v>91.58</v>
      </c>
      <c r="F303" s="15">
        <v>89.21</v>
      </c>
      <c r="G303" s="16">
        <v>2.4548817397152922E-2</v>
      </c>
      <c r="H303" s="15" t="s">
        <v>1399</v>
      </c>
      <c r="I303" s="15">
        <v>1.44</v>
      </c>
      <c r="J303" s="15">
        <v>16.34</v>
      </c>
      <c r="K303" s="15">
        <v>86.53</v>
      </c>
      <c r="L303" s="28" t="str">
        <f>HYPERLINK("http://finance.yahoo.com/q?s=" &amp; A303, "Link")</f>
        <v>Link</v>
      </c>
      <c r="M303" s="15">
        <f>K303*0.9</f>
        <v>77.87700000000001</v>
      </c>
      <c r="N303" s="15" t="str">
        <f>IF(M303&gt;C303, "Buy", "")</f>
        <v/>
      </c>
      <c r="O303" s="33">
        <f>C303/K303</f>
        <v>1.0562810585923958</v>
      </c>
    </row>
    <row r="304" spans="1:15" ht="20.100000000000001" customHeight="1" x14ac:dyDescent="0.25">
      <c r="A304" s="21" t="s">
        <v>400</v>
      </c>
      <c r="B304" t="s">
        <v>776</v>
      </c>
      <c r="C304" s="15">
        <v>57.38</v>
      </c>
      <c r="D304" s="15">
        <v>56.97</v>
      </c>
      <c r="E304" s="15">
        <v>57.93</v>
      </c>
      <c r="F304" s="15">
        <v>57.61</v>
      </c>
      <c r="G304" s="16">
        <v>-3.9923624370768419E-3</v>
      </c>
      <c r="H304" s="15" t="s">
        <v>1154</v>
      </c>
      <c r="I304" s="15">
        <v>1.05</v>
      </c>
      <c r="J304" s="15">
        <v>33.17</v>
      </c>
      <c r="K304" s="15">
        <v>54.17</v>
      </c>
      <c r="L304" s="28" t="str">
        <f>HYPERLINK("http://finance.yahoo.com/q?s=" &amp; A304, "Link")</f>
        <v>Link</v>
      </c>
      <c r="M304" s="15">
        <f>K304*0.9</f>
        <v>48.753</v>
      </c>
      <c r="N304" s="15" t="str">
        <f>IF(M304&gt;C304, "Buy", "")</f>
        <v/>
      </c>
      <c r="O304" s="33">
        <f>C304/K304</f>
        <v>1.0592578918220417</v>
      </c>
    </row>
    <row r="305" spans="1:15" ht="20.100000000000001" customHeight="1" x14ac:dyDescent="0.25">
      <c r="A305" s="21" t="s">
        <v>425</v>
      </c>
      <c r="B305" t="s">
        <v>798</v>
      </c>
      <c r="C305" s="15">
        <v>62.43</v>
      </c>
      <c r="D305" s="15">
        <v>61.97</v>
      </c>
      <c r="E305" s="15">
        <v>62.66</v>
      </c>
      <c r="F305" s="15">
        <v>62.37</v>
      </c>
      <c r="G305" s="16">
        <v>9.6200096200099847E-4</v>
      </c>
      <c r="H305" s="15" t="s">
        <v>1457</v>
      </c>
      <c r="I305" s="15">
        <v>2.11</v>
      </c>
      <c r="J305" s="15">
        <v>30.6</v>
      </c>
      <c r="K305" s="15">
        <v>58.9</v>
      </c>
      <c r="L305" s="28" t="str">
        <f>HYPERLINK("http://finance.yahoo.com/q?s=" &amp; A305, "Link")</f>
        <v>Link</v>
      </c>
      <c r="M305" s="15">
        <f>K305*0.9</f>
        <v>53.01</v>
      </c>
      <c r="N305" s="15" t="str">
        <f>IF(M305&gt;C305, "Buy", "")</f>
        <v/>
      </c>
      <c r="O305" s="33">
        <f>C305/K305</f>
        <v>1.0599320882852292</v>
      </c>
    </row>
    <row r="306" spans="1:15" ht="20.100000000000001" customHeight="1" x14ac:dyDescent="0.25">
      <c r="A306" s="21" t="s">
        <v>383</v>
      </c>
      <c r="B306" t="s">
        <v>759</v>
      </c>
      <c r="C306" s="15">
        <v>57.98</v>
      </c>
      <c r="D306" s="15">
        <v>57.54</v>
      </c>
      <c r="E306" s="15">
        <v>59.08</v>
      </c>
      <c r="F306" s="15">
        <v>57.72</v>
      </c>
      <c r="G306" s="16">
        <v>4.5045045045044698E-3</v>
      </c>
      <c r="H306" s="15" t="s">
        <v>1455</v>
      </c>
      <c r="I306" s="15">
        <v>1.7</v>
      </c>
      <c r="J306" s="15" t="s">
        <v>124</v>
      </c>
      <c r="K306" s="15">
        <v>54.65</v>
      </c>
      <c r="L306" s="28" t="str">
        <f>HYPERLINK("http://finance.yahoo.com/q?s=" &amp; A306, "Link")</f>
        <v>Link</v>
      </c>
      <c r="M306" s="15">
        <f>K306*0.9</f>
        <v>49.185000000000002</v>
      </c>
      <c r="N306" s="15" t="str">
        <f>IF(M306&gt;C306, "Buy", "")</f>
        <v/>
      </c>
      <c r="O306" s="33">
        <f>C306/K306</f>
        <v>1.0609332113449221</v>
      </c>
    </row>
    <row r="307" spans="1:15" ht="20.100000000000001" customHeight="1" x14ac:dyDescent="0.25">
      <c r="A307" s="21" t="s">
        <v>284</v>
      </c>
      <c r="B307" t="s">
        <v>672</v>
      </c>
      <c r="C307" s="15">
        <v>137.97999999999999</v>
      </c>
      <c r="D307" s="15">
        <v>137.41</v>
      </c>
      <c r="E307" s="15">
        <v>140.96</v>
      </c>
      <c r="F307" s="15">
        <v>138.54</v>
      </c>
      <c r="G307" s="16">
        <v>-4.0421538905731367E-3</v>
      </c>
      <c r="H307" s="15" t="s">
        <v>1451</v>
      </c>
      <c r="I307" s="15">
        <v>0.23</v>
      </c>
      <c r="J307" s="15" t="s">
        <v>124</v>
      </c>
      <c r="K307" s="15">
        <v>130.05000000000001</v>
      </c>
      <c r="L307" s="28" t="str">
        <f>HYPERLINK("http://finance.yahoo.com/q?s=" &amp; A307, "Link")</f>
        <v>Link</v>
      </c>
      <c r="M307" s="15">
        <f>K307*0.9</f>
        <v>117.04500000000002</v>
      </c>
      <c r="N307" s="15" t="str">
        <f>IF(M307&gt;C307, "Buy", "")</f>
        <v/>
      </c>
      <c r="O307" s="33">
        <f>C307/K307</f>
        <v>1.0609765474817376</v>
      </c>
    </row>
    <row r="308" spans="1:15" ht="20.100000000000001" customHeight="1" x14ac:dyDescent="0.25">
      <c r="A308" s="21" t="s">
        <v>477</v>
      </c>
      <c r="B308" t="s">
        <v>844</v>
      </c>
      <c r="C308" s="15">
        <v>19.28</v>
      </c>
      <c r="D308" s="15">
        <v>19.100000000000001</v>
      </c>
      <c r="E308" s="15">
        <v>19.350000000000001</v>
      </c>
      <c r="F308" s="15">
        <v>19.18</v>
      </c>
      <c r="G308" s="16">
        <v>5.2137643378520034E-3</v>
      </c>
      <c r="H308" s="15" t="s">
        <v>1432</v>
      </c>
      <c r="I308" s="15" t="s">
        <v>124</v>
      </c>
      <c r="J308" s="15">
        <v>11.02</v>
      </c>
      <c r="K308" s="15">
        <v>18.170000000000002</v>
      </c>
      <c r="L308" s="28" t="str">
        <f>HYPERLINK("http://finance.yahoo.com/q?s=" &amp; A308, "Link")</f>
        <v>Link</v>
      </c>
      <c r="M308" s="15">
        <f>K308*0.9</f>
        <v>16.353000000000002</v>
      </c>
      <c r="N308" s="15" t="str">
        <f>IF(M308&gt;C308, "Buy", "")</f>
        <v/>
      </c>
      <c r="O308" s="33">
        <f>C308/K308</f>
        <v>1.0610897083104016</v>
      </c>
    </row>
    <row r="309" spans="1:15" ht="20.100000000000001" customHeight="1" x14ac:dyDescent="0.25">
      <c r="A309" s="21" t="s">
        <v>603</v>
      </c>
      <c r="B309" t="s">
        <v>959</v>
      </c>
      <c r="C309" s="15">
        <v>53.97</v>
      </c>
      <c r="D309" s="15">
        <v>53.6</v>
      </c>
      <c r="E309" s="15">
        <v>54.39</v>
      </c>
      <c r="F309" s="15">
        <v>53.5</v>
      </c>
      <c r="G309" s="16">
        <v>8.7850467289719413E-3</v>
      </c>
      <c r="H309" s="15" t="s">
        <v>1426</v>
      </c>
      <c r="I309" s="15">
        <v>0.78</v>
      </c>
      <c r="J309" s="15">
        <v>38.909999999999997</v>
      </c>
      <c r="K309" s="15">
        <v>50.84</v>
      </c>
      <c r="L309" s="28" t="str">
        <f>HYPERLINK("http://finance.yahoo.com/q?s=" &amp; A309, "Link")</f>
        <v>Link</v>
      </c>
      <c r="M309" s="15">
        <f>K309*0.9</f>
        <v>45.756000000000007</v>
      </c>
      <c r="N309" s="15" t="str">
        <f>IF(M309&gt;C309, "Buy", "")</f>
        <v/>
      </c>
      <c r="O309" s="33">
        <f>C309/K309</f>
        <v>1.0615656963021243</v>
      </c>
    </row>
    <row r="310" spans="1:15" ht="20.100000000000001" customHeight="1" x14ac:dyDescent="0.25">
      <c r="A310" s="21" t="s">
        <v>316</v>
      </c>
      <c r="B310" t="s">
        <v>1129</v>
      </c>
      <c r="C310" s="15">
        <v>27.31</v>
      </c>
      <c r="D310" s="15">
        <v>27.21</v>
      </c>
      <c r="E310" s="15">
        <v>27.58</v>
      </c>
      <c r="F310" s="15">
        <v>27.35</v>
      </c>
      <c r="G310" s="16">
        <v>-1.46252285191966E-3</v>
      </c>
      <c r="H310" s="15" t="s">
        <v>1414</v>
      </c>
      <c r="I310" s="15" t="s">
        <v>124</v>
      </c>
      <c r="J310" s="15">
        <v>15.44</v>
      </c>
      <c r="K310" s="15">
        <v>25.7</v>
      </c>
      <c r="L310" s="28" t="str">
        <f>HYPERLINK("http://finance.yahoo.com/q?s=" &amp; A310, "Link")</f>
        <v>Link</v>
      </c>
      <c r="M310" s="15">
        <f>K310*0.9</f>
        <v>23.13</v>
      </c>
      <c r="N310" s="15" t="str">
        <f>IF(M310&gt;C310, "Buy", "")</f>
        <v/>
      </c>
      <c r="O310" s="33">
        <f>C310/K310</f>
        <v>1.0626459143968872</v>
      </c>
    </row>
    <row r="311" spans="1:15" ht="20.100000000000001" customHeight="1" x14ac:dyDescent="0.25">
      <c r="A311" s="21" t="s">
        <v>204</v>
      </c>
      <c r="B311" t="s">
        <v>205</v>
      </c>
      <c r="C311" s="15">
        <v>160.21</v>
      </c>
      <c r="D311" s="15">
        <v>159.58000000000001</v>
      </c>
      <c r="E311" s="15">
        <v>160.78</v>
      </c>
      <c r="F311" s="15">
        <v>159.41</v>
      </c>
      <c r="G311" s="16">
        <v>5.0185057399160116E-3</v>
      </c>
      <c r="H311" s="15" t="s">
        <v>1452</v>
      </c>
      <c r="I311" s="15" t="s">
        <v>124</v>
      </c>
      <c r="J311" s="15">
        <v>16.97</v>
      </c>
      <c r="K311" s="15">
        <v>150.72</v>
      </c>
      <c r="L311" s="28" t="str">
        <f>HYPERLINK("http://finance.yahoo.com/q?s=" &amp; A311, "Link")</f>
        <v>Link</v>
      </c>
      <c r="M311" s="15">
        <f>K311*0.9</f>
        <v>135.648</v>
      </c>
      <c r="N311" s="15" t="str">
        <f>IF(M311&gt;C311, "Buy", "")</f>
        <v/>
      </c>
      <c r="O311" s="33">
        <f>C311/K311</f>
        <v>1.0629644373673037</v>
      </c>
    </row>
    <row r="312" spans="1:15" ht="20.100000000000001" customHeight="1" x14ac:dyDescent="0.25">
      <c r="A312" s="21" t="s">
        <v>29</v>
      </c>
      <c r="B312" t="s">
        <v>142</v>
      </c>
      <c r="C312" s="15">
        <v>57.38</v>
      </c>
      <c r="D312" s="15">
        <v>56.97</v>
      </c>
      <c r="E312" s="15">
        <v>57.63</v>
      </c>
      <c r="F312" s="15">
        <v>57.09</v>
      </c>
      <c r="G312" s="16">
        <v>5.0796987213172036E-3</v>
      </c>
      <c r="H312" s="15" t="s">
        <v>1449</v>
      </c>
      <c r="I312" s="15">
        <v>3.19</v>
      </c>
      <c r="J312" s="15">
        <v>8.94</v>
      </c>
      <c r="K312" s="15">
        <v>53.97</v>
      </c>
      <c r="L312" s="28" t="str">
        <f>HYPERLINK("http://finance.yahoo.com/q?s=" &amp; A312, "Link")</f>
        <v>Link</v>
      </c>
      <c r="M312" s="15">
        <f>K312*0.9</f>
        <v>48.573</v>
      </c>
      <c r="N312" s="15" t="str">
        <f>IF(M312&gt;C312, "Buy", "")</f>
        <v/>
      </c>
      <c r="O312" s="33">
        <f>C312/K312</f>
        <v>1.063183249953678</v>
      </c>
    </row>
    <row r="313" spans="1:15" ht="20.100000000000001" customHeight="1" x14ac:dyDescent="0.25">
      <c r="A313" s="21" t="s">
        <v>410</v>
      </c>
      <c r="B313" t="s">
        <v>785</v>
      </c>
      <c r="C313" s="15">
        <v>22.49</v>
      </c>
      <c r="D313" s="15">
        <v>22.36</v>
      </c>
      <c r="E313" s="15">
        <v>22.94</v>
      </c>
      <c r="F313" s="15">
        <v>22.47</v>
      </c>
      <c r="G313" s="16">
        <v>8.9007565643077773E-4</v>
      </c>
      <c r="H313" s="15" t="s">
        <v>1435</v>
      </c>
      <c r="I313" s="15">
        <v>2.2200000000000002</v>
      </c>
      <c r="J313" s="15">
        <v>90.69</v>
      </c>
      <c r="K313" s="15">
        <v>21.15</v>
      </c>
      <c r="L313" s="28" t="str">
        <f>HYPERLINK("http://finance.yahoo.com/q?s=" &amp; A313, "Link")</f>
        <v>Link</v>
      </c>
      <c r="M313" s="15">
        <f>K313*0.9</f>
        <v>19.035</v>
      </c>
      <c r="N313" s="15" t="str">
        <f>IF(M313&gt;C313, "Buy", "")</f>
        <v/>
      </c>
      <c r="O313" s="33">
        <f>C313/K313</f>
        <v>1.063356973995272</v>
      </c>
    </row>
    <row r="314" spans="1:15" ht="20.100000000000001" customHeight="1" x14ac:dyDescent="0.25">
      <c r="A314" s="21" t="s">
        <v>496</v>
      </c>
      <c r="B314" t="s">
        <v>1127</v>
      </c>
      <c r="C314" s="15">
        <v>1545.01</v>
      </c>
      <c r="D314" s="15">
        <v>1528.01</v>
      </c>
      <c r="E314" s="15">
        <v>1547.56</v>
      </c>
      <c r="F314" s="15">
        <v>1539.02</v>
      </c>
      <c r="G314" s="16">
        <v>3.8920871723564406E-3</v>
      </c>
      <c r="H314" s="15" t="s">
        <v>1443</v>
      </c>
      <c r="I314" s="15" t="s">
        <v>124</v>
      </c>
      <c r="J314" s="15">
        <v>39.44</v>
      </c>
      <c r="K314" s="15">
        <v>1452.18</v>
      </c>
      <c r="L314" s="28" t="str">
        <f>HYPERLINK("http://finance.yahoo.com/q?s=" &amp; A314, "Link")</f>
        <v>Link</v>
      </c>
      <c r="M314" s="15">
        <f>K314*0.9</f>
        <v>1306.962</v>
      </c>
      <c r="N314" s="15" t="str">
        <f>IF(M314&gt;C314, "Buy", "")</f>
        <v/>
      </c>
      <c r="O314" s="33">
        <f>C314/K314</f>
        <v>1.06392458235205</v>
      </c>
    </row>
    <row r="315" spans="1:15" ht="20.100000000000001" customHeight="1" x14ac:dyDescent="0.25">
      <c r="A315" s="21" t="s">
        <v>296</v>
      </c>
      <c r="B315" t="s">
        <v>1134</v>
      </c>
      <c r="C315" s="15">
        <v>39.130000000000003</v>
      </c>
      <c r="D315" s="15">
        <v>38.75</v>
      </c>
      <c r="E315" s="15">
        <v>39.270000000000003</v>
      </c>
      <c r="F315" s="15">
        <v>38.69</v>
      </c>
      <c r="G315" s="16">
        <v>1.1372447660894413E-2</v>
      </c>
      <c r="H315" s="15" t="s">
        <v>1410</v>
      </c>
      <c r="I315" s="15">
        <v>2.0699999999999998</v>
      </c>
      <c r="J315" s="15">
        <v>27.6</v>
      </c>
      <c r="K315" s="15">
        <v>36.770000000000003</v>
      </c>
      <c r="L315" s="28" t="str">
        <f>HYPERLINK("http://finance.yahoo.com/q?s=" &amp; A315, "Link")</f>
        <v>Link</v>
      </c>
      <c r="M315" s="15">
        <f>K315*0.9</f>
        <v>33.093000000000004</v>
      </c>
      <c r="N315" s="15" t="str">
        <f>IF(M315&gt;C315, "Buy", "")</f>
        <v/>
      </c>
      <c r="O315" s="33">
        <f>C315/K315</f>
        <v>1.0641827576828937</v>
      </c>
    </row>
    <row r="316" spans="1:15" ht="20.100000000000001" customHeight="1" x14ac:dyDescent="0.25">
      <c r="A316" s="21" t="s">
        <v>376</v>
      </c>
      <c r="B316" t="s">
        <v>753</v>
      </c>
      <c r="C316" s="15">
        <v>100.19</v>
      </c>
      <c r="D316" s="15">
        <v>99.89</v>
      </c>
      <c r="E316" s="15">
        <v>100.7</v>
      </c>
      <c r="F316" s="15">
        <v>99.99</v>
      </c>
      <c r="G316" s="16">
        <v>2.0002000200020288E-3</v>
      </c>
      <c r="H316" s="15" t="s">
        <v>1461</v>
      </c>
      <c r="I316" s="15">
        <v>2.12</v>
      </c>
      <c r="J316" s="15">
        <v>37.44</v>
      </c>
      <c r="K316" s="15">
        <v>94.14</v>
      </c>
      <c r="L316" s="28" t="str">
        <f>HYPERLINK("http://finance.yahoo.com/q?s=" &amp; A316, "Link")</f>
        <v>Link</v>
      </c>
      <c r="M316" s="15">
        <f>K316*0.9</f>
        <v>84.725999999999999</v>
      </c>
      <c r="N316" s="15" t="str">
        <f>IF(M316&gt;C316, "Buy", "")</f>
        <v/>
      </c>
      <c r="O316" s="33">
        <f>C316/K316</f>
        <v>1.0642659868281283</v>
      </c>
    </row>
    <row r="317" spans="1:15" ht="20.100000000000001" customHeight="1" x14ac:dyDescent="0.25">
      <c r="A317" s="21" t="s">
        <v>87</v>
      </c>
      <c r="B317" t="s">
        <v>194</v>
      </c>
      <c r="C317" s="15">
        <v>74.75</v>
      </c>
      <c r="D317" s="15">
        <v>74.16</v>
      </c>
      <c r="E317" s="15">
        <v>74.89</v>
      </c>
      <c r="F317" s="15">
        <v>73.88</v>
      </c>
      <c r="G317" s="16">
        <v>1.177585273416357E-2</v>
      </c>
      <c r="H317" s="15" t="s">
        <v>1460</v>
      </c>
      <c r="I317" s="15">
        <v>2.68</v>
      </c>
      <c r="J317" s="15">
        <v>23.73</v>
      </c>
      <c r="K317" s="15">
        <v>70.2</v>
      </c>
      <c r="L317" s="28" t="str">
        <f>HYPERLINK("http://finance.yahoo.com/q?s=" &amp; A317, "Link")</f>
        <v>Link</v>
      </c>
      <c r="M317" s="15">
        <f>K317*0.9</f>
        <v>63.180000000000007</v>
      </c>
      <c r="N317" s="15" t="str">
        <f>IF(M317&gt;C317, "Buy", "")</f>
        <v/>
      </c>
      <c r="O317" s="33">
        <f>C317/K317</f>
        <v>1.0648148148148149</v>
      </c>
    </row>
    <row r="318" spans="1:15" ht="20.100000000000001" customHeight="1" x14ac:dyDescent="0.25">
      <c r="A318" s="21" t="s">
        <v>508</v>
      </c>
      <c r="B318" t="s">
        <v>872</v>
      </c>
      <c r="C318" s="15">
        <v>91</v>
      </c>
      <c r="D318" s="15">
        <v>90.47</v>
      </c>
      <c r="E318" s="15">
        <v>91.79</v>
      </c>
      <c r="F318" s="15">
        <v>91.53</v>
      </c>
      <c r="G318" s="16">
        <v>-5.7904512181798443E-3</v>
      </c>
      <c r="H318" s="15" t="s">
        <v>1146</v>
      </c>
      <c r="I318" s="15">
        <v>1.98</v>
      </c>
      <c r="J318" s="15">
        <v>19.309999999999999</v>
      </c>
      <c r="K318" s="15">
        <v>85.46</v>
      </c>
      <c r="L318" s="28" t="str">
        <f>HYPERLINK("http://finance.yahoo.com/q?s=" &amp; A318, "Link")</f>
        <v>Link</v>
      </c>
      <c r="M318" s="15">
        <f>K318*0.9</f>
        <v>76.914000000000001</v>
      </c>
      <c r="N318" s="15" t="str">
        <f>IF(M318&gt;C318, "Buy", "")</f>
        <v/>
      </c>
      <c r="O318" s="33">
        <f>C318/K318</f>
        <v>1.0648256494266324</v>
      </c>
    </row>
    <row r="319" spans="1:15" ht="20.100000000000001" customHeight="1" x14ac:dyDescent="0.25">
      <c r="A319" s="21" t="s">
        <v>32</v>
      </c>
      <c r="B319" t="s">
        <v>1081</v>
      </c>
      <c r="C319" s="15">
        <v>29.05</v>
      </c>
      <c r="D319" s="15" t="s">
        <v>124</v>
      </c>
      <c r="E319" s="15" t="s">
        <v>124</v>
      </c>
      <c r="F319" s="15">
        <v>29.05</v>
      </c>
      <c r="G319" s="16">
        <v>0</v>
      </c>
      <c r="H319" s="15" t="s">
        <v>124</v>
      </c>
      <c r="I319" s="15">
        <v>0</v>
      </c>
      <c r="J319" s="15" t="s">
        <v>124</v>
      </c>
      <c r="K319" s="15">
        <v>27.28</v>
      </c>
      <c r="L319" s="28" t="str">
        <f>HYPERLINK("http://finance.yahoo.com/q?s=" &amp; A319, "Link")</f>
        <v>Link</v>
      </c>
      <c r="M319" s="15">
        <f>K319*0.9</f>
        <v>24.552000000000003</v>
      </c>
      <c r="N319" s="15" t="str">
        <f>IF(M319&gt;C319, "Buy", "")</f>
        <v/>
      </c>
      <c r="O319" s="33">
        <f>C319/K319</f>
        <v>1.0648826979472141</v>
      </c>
    </row>
    <row r="320" spans="1:15" ht="20.100000000000001" customHeight="1" x14ac:dyDescent="0.25">
      <c r="A320" s="21" t="s">
        <v>225</v>
      </c>
      <c r="B320" t="s">
        <v>616</v>
      </c>
      <c r="C320" s="15">
        <v>230.55</v>
      </c>
      <c r="D320" s="15">
        <v>229.22</v>
      </c>
      <c r="E320" s="15">
        <v>231.6</v>
      </c>
      <c r="F320" s="15">
        <v>230.22</v>
      </c>
      <c r="G320" s="16">
        <v>1.4334115194162649E-3</v>
      </c>
      <c r="H320" s="15" t="s">
        <v>1482</v>
      </c>
      <c r="I320" s="15">
        <v>0.9</v>
      </c>
      <c r="J320" s="15">
        <v>24.37</v>
      </c>
      <c r="K320" s="15">
        <v>216.45</v>
      </c>
      <c r="L320" s="28" t="str">
        <f>HYPERLINK("http://finance.yahoo.com/q?s=" &amp; A320, "Link")</f>
        <v>Link</v>
      </c>
      <c r="M320" s="15">
        <f>K320*0.9</f>
        <v>194.80500000000001</v>
      </c>
      <c r="N320" s="15" t="str">
        <f>IF(M320&gt;C320, "Buy", "")</f>
        <v/>
      </c>
      <c r="O320" s="33">
        <f>C320/K320</f>
        <v>1.0651420651420653</v>
      </c>
    </row>
    <row r="321" spans="1:15" ht="20.100000000000001" customHeight="1" x14ac:dyDescent="0.25">
      <c r="A321" s="21" t="s">
        <v>64</v>
      </c>
      <c r="B321" t="s">
        <v>172</v>
      </c>
      <c r="C321" s="15">
        <v>70.010000000000005</v>
      </c>
      <c r="D321" s="15">
        <v>69.650000000000006</v>
      </c>
      <c r="E321" s="15">
        <v>70.11</v>
      </c>
      <c r="F321" s="15">
        <v>69.55</v>
      </c>
      <c r="G321" s="16">
        <v>6.613946800862803E-3</v>
      </c>
      <c r="H321" s="15" t="s">
        <v>1378</v>
      </c>
      <c r="I321" s="15">
        <v>3.53</v>
      </c>
      <c r="J321" s="15">
        <v>26.32</v>
      </c>
      <c r="K321" s="15">
        <v>65.650000000000006</v>
      </c>
      <c r="L321" s="28" t="str">
        <f>HYPERLINK("http://finance.yahoo.com/q?s=" &amp; A321, "Link")</f>
        <v>Link</v>
      </c>
      <c r="M321" s="15">
        <f>K321*0.9</f>
        <v>59.085000000000008</v>
      </c>
      <c r="N321" s="15" t="str">
        <f>IF(M321&gt;C321, "Buy", "")</f>
        <v/>
      </c>
      <c r="O321" s="33">
        <f>C321/K321</f>
        <v>1.0664127951256663</v>
      </c>
    </row>
    <row r="322" spans="1:15" ht="20.100000000000001" customHeight="1" x14ac:dyDescent="0.25">
      <c r="A322" s="21" t="s">
        <v>5</v>
      </c>
      <c r="B322" t="s">
        <v>121</v>
      </c>
      <c r="C322" s="15">
        <v>74.540000000000006</v>
      </c>
      <c r="D322" s="15">
        <v>74.37</v>
      </c>
      <c r="E322" s="15">
        <v>74.959999999999994</v>
      </c>
      <c r="F322" s="15">
        <v>74.22</v>
      </c>
      <c r="G322" s="16">
        <v>4.3115063325250254E-3</v>
      </c>
      <c r="H322" s="15" t="s">
        <v>1428</v>
      </c>
      <c r="I322" s="15">
        <v>1.77</v>
      </c>
      <c r="J322" s="15">
        <v>20.18</v>
      </c>
      <c r="K322" s="15">
        <v>69.89</v>
      </c>
      <c r="L322" s="28" t="str">
        <f>HYPERLINK("http://finance.yahoo.com/q?s=" &amp; A322, "Link")</f>
        <v>Link</v>
      </c>
      <c r="M322" s="15">
        <f>K322*0.9</f>
        <v>62.901000000000003</v>
      </c>
      <c r="N322" s="15" t="str">
        <f>IF(M322&gt;C322, "Buy", "")</f>
        <v/>
      </c>
      <c r="O322" s="33">
        <f>C322/K322</f>
        <v>1.0665331234797539</v>
      </c>
    </row>
    <row r="323" spans="1:15" ht="20.100000000000001" customHeight="1" x14ac:dyDescent="0.25">
      <c r="A323" s="21" t="s">
        <v>233</v>
      </c>
      <c r="B323" t="s">
        <v>624</v>
      </c>
      <c r="C323" s="15">
        <v>50.81</v>
      </c>
      <c r="D323" s="15">
        <v>50.63</v>
      </c>
      <c r="E323" s="15">
        <v>51.18</v>
      </c>
      <c r="F323" s="15">
        <v>50.68</v>
      </c>
      <c r="G323" s="16">
        <v>2.5651144435675328E-3</v>
      </c>
      <c r="H323" s="15" t="s">
        <v>1243</v>
      </c>
      <c r="I323" s="15">
        <v>0.71</v>
      </c>
      <c r="J323" s="15">
        <v>22.09</v>
      </c>
      <c r="K323" s="15">
        <v>47.61</v>
      </c>
      <c r="L323" s="28" t="str">
        <f>HYPERLINK("http://finance.yahoo.com/q?s=" &amp; A323, "Link")</f>
        <v>Link</v>
      </c>
      <c r="M323" s="15">
        <f>K323*0.9</f>
        <v>42.849000000000004</v>
      </c>
      <c r="N323" s="15" t="str">
        <f>IF(M323&gt;C323, "Buy", "")</f>
        <v/>
      </c>
      <c r="O323" s="33">
        <f>C323/K323</f>
        <v>1.067212770426381</v>
      </c>
    </row>
    <row r="324" spans="1:15" ht="20.100000000000001" customHeight="1" x14ac:dyDescent="0.25">
      <c r="A324" s="21" t="s">
        <v>38</v>
      </c>
      <c r="B324" t="s">
        <v>150</v>
      </c>
      <c r="C324" s="15">
        <v>185.73</v>
      </c>
      <c r="D324" s="15">
        <v>184.37</v>
      </c>
      <c r="E324" s="15">
        <v>187</v>
      </c>
      <c r="F324" s="15">
        <v>186.17</v>
      </c>
      <c r="G324" s="16">
        <v>-2.3634312724928708E-3</v>
      </c>
      <c r="H324" s="15" t="s">
        <v>1150</v>
      </c>
      <c r="I324" s="15">
        <v>0.86</v>
      </c>
      <c r="J324" s="15">
        <v>27.29</v>
      </c>
      <c r="K324" s="15">
        <v>174.01</v>
      </c>
      <c r="L324" s="28" t="str">
        <f>HYPERLINK("http://finance.yahoo.com/q?s=" &amp; A324, "Link")</f>
        <v>Link</v>
      </c>
      <c r="M324" s="15">
        <f>K324*0.9</f>
        <v>156.60900000000001</v>
      </c>
      <c r="N324" s="15" t="str">
        <f>IF(M324&gt;C324, "Buy", "")</f>
        <v/>
      </c>
      <c r="O324" s="33">
        <f>C324/K324</f>
        <v>1.0673524510085628</v>
      </c>
    </row>
    <row r="325" spans="1:15" ht="20.100000000000001" customHeight="1" x14ac:dyDescent="0.25">
      <c r="A325" s="21" t="s">
        <v>68</v>
      </c>
      <c r="B325" t="s">
        <v>175</v>
      </c>
      <c r="C325" s="15">
        <v>62.74</v>
      </c>
      <c r="D325" s="15">
        <v>62.37</v>
      </c>
      <c r="E325" s="15">
        <v>62.82</v>
      </c>
      <c r="F325" s="15">
        <v>62.3</v>
      </c>
      <c r="G325" s="16">
        <v>7.0626003210273649E-3</v>
      </c>
      <c r="H325" s="15" t="s">
        <v>1463</v>
      </c>
      <c r="I325" s="15">
        <v>2.4900000000000002</v>
      </c>
      <c r="J325" s="15">
        <v>30.05</v>
      </c>
      <c r="K325" s="15">
        <v>58.74</v>
      </c>
      <c r="L325" s="28" t="str">
        <f>HYPERLINK("http://finance.yahoo.com/q?s=" &amp; A325, "Link")</f>
        <v>Link</v>
      </c>
      <c r="M325" s="15">
        <f>K325*0.9</f>
        <v>52.866</v>
      </c>
      <c r="N325" s="15" t="str">
        <f>IF(M325&gt;C325, "Buy", "")</f>
        <v/>
      </c>
      <c r="O325" s="33">
        <f>C325/K325</f>
        <v>1.0680966973101804</v>
      </c>
    </row>
    <row r="326" spans="1:15" ht="20.100000000000001" customHeight="1" x14ac:dyDescent="0.25">
      <c r="A326" s="21" t="s">
        <v>209</v>
      </c>
      <c r="B326" t="s">
        <v>604</v>
      </c>
      <c r="C326" s="15">
        <v>110.71</v>
      </c>
      <c r="D326" s="15">
        <v>109.57</v>
      </c>
      <c r="E326" s="15">
        <v>110.81</v>
      </c>
      <c r="F326" s="15">
        <v>109.79</v>
      </c>
      <c r="G326" s="16">
        <v>8.3796338464339863E-3</v>
      </c>
      <c r="H326" s="15" t="s">
        <v>1429</v>
      </c>
      <c r="I326" s="15">
        <v>0</v>
      </c>
      <c r="J326" s="15">
        <v>47.72</v>
      </c>
      <c r="K326" s="15">
        <v>103.58</v>
      </c>
      <c r="L326" s="28" t="str">
        <f>HYPERLINK("http://finance.yahoo.com/q?s=" &amp; A326, "Link")</f>
        <v>Link</v>
      </c>
      <c r="M326" s="15">
        <f>K326*0.9</f>
        <v>93.221999999999994</v>
      </c>
      <c r="N326" s="15" t="str">
        <f>IF(M326&gt;C326, "Buy", "")</f>
        <v/>
      </c>
      <c r="O326" s="33">
        <f>C326/K326</f>
        <v>1.0688356825642016</v>
      </c>
    </row>
    <row r="327" spans="1:15" ht="20.100000000000001" customHeight="1" x14ac:dyDescent="0.25">
      <c r="A327" s="21" t="s">
        <v>81</v>
      </c>
      <c r="B327" t="s">
        <v>188</v>
      </c>
      <c r="C327" s="15">
        <v>86.49</v>
      </c>
      <c r="D327" s="15">
        <v>85.57</v>
      </c>
      <c r="E327" s="15">
        <v>87.78</v>
      </c>
      <c r="F327" s="15">
        <v>87.2</v>
      </c>
      <c r="G327" s="16">
        <v>-8.142201834862476E-3</v>
      </c>
      <c r="H327" s="15" t="s">
        <v>1411</v>
      </c>
      <c r="I327" s="15">
        <v>2.38</v>
      </c>
      <c r="J327" s="15" t="s">
        <v>124</v>
      </c>
      <c r="K327" s="15">
        <v>80.900000000000006</v>
      </c>
      <c r="L327" s="28" t="str">
        <f>HYPERLINK("http://finance.yahoo.com/q?s=" &amp; A327, "Link")</f>
        <v>Link</v>
      </c>
      <c r="M327" s="15">
        <f>K327*0.9</f>
        <v>72.81</v>
      </c>
      <c r="N327" s="15" t="str">
        <f>IF(M327&gt;C327, "Buy", "")</f>
        <v/>
      </c>
      <c r="O327" s="33">
        <f>C327/K327</f>
        <v>1.0690976514215078</v>
      </c>
    </row>
    <row r="328" spans="1:15" ht="20.100000000000001" customHeight="1" x14ac:dyDescent="0.25">
      <c r="A328" s="21" t="s">
        <v>597</v>
      </c>
      <c r="B328" t="s">
        <v>969</v>
      </c>
      <c r="C328" s="15">
        <v>37.26</v>
      </c>
      <c r="D328" s="15">
        <v>37.19</v>
      </c>
      <c r="E328" s="15">
        <v>37.58</v>
      </c>
      <c r="F328" s="15">
        <v>37.33</v>
      </c>
      <c r="G328" s="16">
        <v>-1.8751674256630134E-3</v>
      </c>
      <c r="H328" s="15" t="s">
        <v>1171</v>
      </c>
      <c r="I328" s="15">
        <v>2.15</v>
      </c>
      <c r="J328" s="15">
        <v>29.38</v>
      </c>
      <c r="K328" s="15">
        <v>34.840000000000003</v>
      </c>
      <c r="L328" s="28" t="str">
        <f>HYPERLINK("http://finance.yahoo.com/q?s=" &amp; A328, "Link")</f>
        <v>Link</v>
      </c>
      <c r="M328" s="15">
        <f>K328*0.9</f>
        <v>31.356000000000005</v>
      </c>
      <c r="N328" s="15" t="str">
        <f>IF(M328&gt;C328, "Buy", "")</f>
        <v/>
      </c>
      <c r="O328" s="33">
        <f>C328/K328</f>
        <v>1.0694603903559126</v>
      </c>
    </row>
    <row r="329" spans="1:15" ht="20.100000000000001" customHeight="1" x14ac:dyDescent="0.25">
      <c r="A329" s="21" t="s">
        <v>355</v>
      </c>
      <c r="B329" t="s">
        <v>734</v>
      </c>
      <c r="C329" s="15">
        <v>50.26</v>
      </c>
      <c r="D329" s="15">
        <v>50.09</v>
      </c>
      <c r="E329" s="15">
        <v>51.08</v>
      </c>
      <c r="F329" s="15">
        <v>50.33</v>
      </c>
      <c r="G329" s="16">
        <v>-1.3908205841446511E-3</v>
      </c>
      <c r="H329" s="15" t="s">
        <v>1430</v>
      </c>
      <c r="I329" s="15">
        <v>1.51</v>
      </c>
      <c r="J329" s="15">
        <v>43.63</v>
      </c>
      <c r="K329" s="15">
        <v>46.99</v>
      </c>
      <c r="L329" s="28" t="str">
        <f>HYPERLINK("http://finance.yahoo.com/q?s=" &amp; A329, "Link")</f>
        <v>Link</v>
      </c>
      <c r="M329" s="15">
        <f>K329*0.9</f>
        <v>42.291000000000004</v>
      </c>
      <c r="N329" s="15" t="str">
        <f>IF(M329&gt;C329, "Buy", "")</f>
        <v/>
      </c>
      <c r="O329" s="33">
        <f>C329/K329</f>
        <v>1.0695892743136837</v>
      </c>
    </row>
    <row r="330" spans="1:15" ht="20.100000000000001" customHeight="1" x14ac:dyDescent="0.25">
      <c r="A330" s="21" t="s">
        <v>50</v>
      </c>
      <c r="B330" t="s">
        <v>159</v>
      </c>
      <c r="C330" s="15">
        <v>170.55</v>
      </c>
      <c r="D330" s="15">
        <v>166</v>
      </c>
      <c r="E330" s="15">
        <v>170.64</v>
      </c>
      <c r="F330" s="15">
        <v>166.81</v>
      </c>
      <c r="G330" s="16">
        <v>2.2420718182363221E-2</v>
      </c>
      <c r="H330" s="15" t="s">
        <v>1412</v>
      </c>
      <c r="I330" s="15">
        <v>3.28</v>
      </c>
      <c r="J330" s="15">
        <v>13.78</v>
      </c>
      <c r="K330" s="15">
        <v>159.38</v>
      </c>
      <c r="L330" s="28" t="str">
        <f>HYPERLINK("http://finance.yahoo.com/q?s=" &amp; A330, "Link")</f>
        <v>Link</v>
      </c>
      <c r="M330" s="15">
        <f>K330*0.9</f>
        <v>143.44200000000001</v>
      </c>
      <c r="N330" s="15" t="str">
        <f>IF(M330&gt;C330, "Buy", "")</f>
        <v/>
      </c>
      <c r="O330" s="33">
        <f>C330/K330</f>
        <v>1.0700840757937007</v>
      </c>
    </row>
    <row r="331" spans="1:15" ht="20.100000000000001" customHeight="1" x14ac:dyDescent="0.25">
      <c r="A331" s="21" t="s">
        <v>562</v>
      </c>
      <c r="B331" t="s">
        <v>922</v>
      </c>
      <c r="C331" s="15">
        <v>53.43</v>
      </c>
      <c r="D331" s="15">
        <v>52.89</v>
      </c>
      <c r="E331" s="15">
        <v>53.5</v>
      </c>
      <c r="F331" s="15">
        <v>53.38</v>
      </c>
      <c r="G331" s="16">
        <v>9.3668040464588154E-4</v>
      </c>
      <c r="H331" s="15" t="s">
        <v>1462</v>
      </c>
      <c r="I331" s="15">
        <v>0.74</v>
      </c>
      <c r="J331" s="15">
        <v>29.98</v>
      </c>
      <c r="K331" s="15">
        <v>49.92</v>
      </c>
      <c r="L331" s="28" t="str">
        <f>HYPERLINK("http://finance.yahoo.com/q?s=" &amp; A331, "Link")</f>
        <v>Link</v>
      </c>
      <c r="M331" s="15">
        <f>K331*0.9</f>
        <v>44.928000000000004</v>
      </c>
      <c r="N331" s="15" t="str">
        <f>IF(M331&gt;C331, "Buy", "")</f>
        <v/>
      </c>
      <c r="O331" s="33">
        <f>C331/K331</f>
        <v>1.0703125</v>
      </c>
    </row>
    <row r="332" spans="1:15" ht="20.100000000000001" customHeight="1" x14ac:dyDescent="0.25">
      <c r="A332" s="21" t="s">
        <v>522</v>
      </c>
      <c r="B332" t="s">
        <v>886</v>
      </c>
      <c r="C332" s="15">
        <v>74.67</v>
      </c>
      <c r="D332" s="15">
        <v>74.14</v>
      </c>
      <c r="E332" s="15">
        <v>74.92</v>
      </c>
      <c r="F332" s="15">
        <v>74.09</v>
      </c>
      <c r="G332" s="16">
        <v>7.8283169118639265E-3</v>
      </c>
      <c r="H332" s="15" t="s">
        <v>1486</v>
      </c>
      <c r="I332" s="15">
        <v>2.36</v>
      </c>
      <c r="J332" s="15">
        <v>13.75</v>
      </c>
      <c r="K332" s="15">
        <v>69.760000000000005</v>
      </c>
      <c r="L332" s="28" t="str">
        <f>HYPERLINK("http://finance.yahoo.com/q?s=" &amp; A332, "Link")</f>
        <v>Link</v>
      </c>
      <c r="M332" s="15">
        <f>K332*0.9</f>
        <v>62.784000000000006</v>
      </c>
      <c r="N332" s="15" t="str">
        <f>IF(M332&gt;C332, "Buy", "")</f>
        <v/>
      </c>
      <c r="O332" s="33">
        <f>C332/K332</f>
        <v>1.0703841743119265</v>
      </c>
    </row>
    <row r="333" spans="1:15" ht="20.100000000000001" customHeight="1" x14ac:dyDescent="0.25">
      <c r="A333" s="21" t="s">
        <v>456</v>
      </c>
      <c r="B333" t="s">
        <v>825</v>
      </c>
      <c r="C333" s="15">
        <v>15.96</v>
      </c>
      <c r="D333" s="15">
        <v>15.77</v>
      </c>
      <c r="E333" s="15">
        <v>16.260000000000002</v>
      </c>
      <c r="F333" s="15">
        <v>15.86</v>
      </c>
      <c r="G333" s="16">
        <v>6.3051702395965593E-3</v>
      </c>
      <c r="H333" s="15" t="s">
        <v>1533</v>
      </c>
      <c r="I333" s="15">
        <v>4.01</v>
      </c>
      <c r="J333" s="15">
        <v>6.55</v>
      </c>
      <c r="K333" s="15">
        <v>14.91</v>
      </c>
      <c r="L333" s="28" t="str">
        <f>HYPERLINK("http://finance.yahoo.com/q?s=" &amp; A333, "Link")</f>
        <v>Link</v>
      </c>
      <c r="M333" s="15">
        <f>K333*0.9</f>
        <v>13.419</v>
      </c>
      <c r="N333" s="15" t="str">
        <f>IF(M333&gt;C333, "Buy", "")</f>
        <v/>
      </c>
      <c r="O333" s="33">
        <f>C333/K333</f>
        <v>1.0704225352112677</v>
      </c>
    </row>
    <row r="334" spans="1:15" ht="20.100000000000001" customHeight="1" x14ac:dyDescent="0.25">
      <c r="A334" s="21" t="s">
        <v>267</v>
      </c>
      <c r="B334" t="s">
        <v>656</v>
      </c>
      <c r="C334" s="15">
        <v>62.84</v>
      </c>
      <c r="D334" s="15">
        <v>62.33</v>
      </c>
      <c r="E334" s="15">
        <v>63.26</v>
      </c>
      <c r="F334" s="15">
        <v>62.24</v>
      </c>
      <c r="G334" s="16">
        <v>9.6401028277635185E-3</v>
      </c>
      <c r="H334" s="15" t="s">
        <v>1421</v>
      </c>
      <c r="I334" s="15">
        <v>2.23</v>
      </c>
      <c r="J334" s="15">
        <v>29.53</v>
      </c>
      <c r="K334" s="15">
        <v>58.59</v>
      </c>
      <c r="L334" s="28" t="str">
        <f>HYPERLINK("http://finance.yahoo.com/q?s=" &amp; A334, "Link")</f>
        <v>Link</v>
      </c>
      <c r="M334" s="15">
        <f>K334*0.9</f>
        <v>52.731000000000002</v>
      </c>
      <c r="N334" s="15" t="str">
        <f>IF(M334&gt;C334, "Buy", "")</f>
        <v/>
      </c>
      <c r="O334" s="33">
        <f>C334/K334</f>
        <v>1.0725379757637823</v>
      </c>
    </row>
    <row r="335" spans="1:15" ht="20.100000000000001" customHeight="1" x14ac:dyDescent="0.25">
      <c r="A335" s="21" t="s">
        <v>287</v>
      </c>
      <c r="B335" t="s">
        <v>675</v>
      </c>
      <c r="C335" s="15">
        <v>92.99</v>
      </c>
      <c r="D335" s="15">
        <v>92.7</v>
      </c>
      <c r="E335" s="15">
        <v>94.08</v>
      </c>
      <c r="F335" s="15">
        <v>92.63</v>
      </c>
      <c r="G335" s="16">
        <v>3.8864298823275338E-3</v>
      </c>
      <c r="H335" s="15" t="s">
        <v>1444</v>
      </c>
      <c r="I335" s="15" t="s">
        <v>124</v>
      </c>
      <c r="J335" s="15">
        <v>31.09</v>
      </c>
      <c r="K335" s="15">
        <v>86.65</v>
      </c>
      <c r="L335" s="28" t="str">
        <f>HYPERLINK("http://finance.yahoo.com/q?s=" &amp; A335, "Link")</f>
        <v>Link</v>
      </c>
      <c r="M335" s="15">
        <f>K335*0.9</f>
        <v>77.985000000000014</v>
      </c>
      <c r="N335" s="15" t="str">
        <f>IF(M335&gt;C335, "Buy", "")</f>
        <v/>
      </c>
      <c r="O335" s="33">
        <f>C335/K335</f>
        <v>1.0731679169070973</v>
      </c>
    </row>
    <row r="336" spans="1:15" ht="20.100000000000001" customHeight="1" x14ac:dyDescent="0.25">
      <c r="A336" s="21" t="s">
        <v>385</v>
      </c>
      <c r="B336" t="s">
        <v>761</v>
      </c>
      <c r="C336" s="15">
        <v>18.329999999999998</v>
      </c>
      <c r="D336" s="15">
        <v>18.2</v>
      </c>
      <c r="E336" s="15">
        <v>18.5</v>
      </c>
      <c r="F336" s="15">
        <v>18.22</v>
      </c>
      <c r="G336" s="16">
        <v>6.0373216245883333E-3</v>
      </c>
      <c r="H336" s="15" t="s">
        <v>1445</v>
      </c>
      <c r="I336" s="15">
        <v>5.46</v>
      </c>
      <c r="J336" s="15">
        <v>17.309999999999999</v>
      </c>
      <c r="K336" s="15">
        <v>17.079999999999998</v>
      </c>
      <c r="L336" s="28" t="str">
        <f>HYPERLINK("http://finance.yahoo.com/q?s=" &amp; A336, "Link")</f>
        <v>Link</v>
      </c>
      <c r="M336" s="15">
        <f>K336*0.9</f>
        <v>15.371999999999998</v>
      </c>
      <c r="N336" s="15" t="str">
        <f>IF(M336&gt;C336, "Buy", "")</f>
        <v/>
      </c>
      <c r="O336" s="33">
        <f>C336/K336</f>
        <v>1.0731850117096018</v>
      </c>
    </row>
    <row r="337" spans="1:15" ht="20.100000000000001" customHeight="1" x14ac:dyDescent="0.25">
      <c r="A337" s="21" t="s">
        <v>289</v>
      </c>
      <c r="B337" t="s">
        <v>677</v>
      </c>
      <c r="C337" s="15">
        <v>116.66</v>
      </c>
      <c r="D337" s="15">
        <v>115.78</v>
      </c>
      <c r="E337" s="15">
        <v>116.93</v>
      </c>
      <c r="F337" s="15">
        <v>116.36</v>
      </c>
      <c r="G337" s="16">
        <v>2.5782055689240043E-3</v>
      </c>
      <c r="H337" s="15" t="s">
        <v>1471</v>
      </c>
      <c r="I337" s="15">
        <v>2.0499999999999998</v>
      </c>
      <c r="J337" s="15">
        <v>27.19</v>
      </c>
      <c r="K337" s="15">
        <v>108.68</v>
      </c>
      <c r="L337" s="28" t="str">
        <f>HYPERLINK("http://finance.yahoo.com/q?s=" &amp; A337, "Link")</f>
        <v>Link</v>
      </c>
      <c r="M337" s="15">
        <f>K337*0.9</f>
        <v>97.812000000000012</v>
      </c>
      <c r="N337" s="15" t="str">
        <f>IF(M337&gt;C337, "Buy", "")</f>
        <v/>
      </c>
      <c r="O337" s="33">
        <f>C337/K337</f>
        <v>1.0734265734265733</v>
      </c>
    </row>
    <row r="338" spans="1:15" ht="20.100000000000001" customHeight="1" x14ac:dyDescent="0.25">
      <c r="A338" s="21" t="s">
        <v>300</v>
      </c>
      <c r="B338" t="s">
        <v>686</v>
      </c>
      <c r="C338" s="15">
        <v>24.79</v>
      </c>
      <c r="D338" s="15">
        <v>24.54</v>
      </c>
      <c r="E338" s="15">
        <v>24.93</v>
      </c>
      <c r="F338" s="15">
        <v>24.42</v>
      </c>
      <c r="G338" s="16">
        <v>1.5151515151515046E-2</v>
      </c>
      <c r="H338" s="15" t="s">
        <v>1456</v>
      </c>
      <c r="I338" s="15">
        <v>2.1800000000000002</v>
      </c>
      <c r="J338" s="15">
        <v>12.64</v>
      </c>
      <c r="K338" s="15">
        <v>23.05</v>
      </c>
      <c r="L338" s="28" t="str">
        <f>HYPERLINK("http://finance.yahoo.com/q?s=" &amp; A338, "Link")</f>
        <v>Link</v>
      </c>
      <c r="M338" s="15">
        <f>K338*0.9</f>
        <v>20.745000000000001</v>
      </c>
      <c r="N338" s="15" t="str">
        <f>IF(M338&gt;C338, "Buy", "")</f>
        <v/>
      </c>
      <c r="O338" s="33">
        <f>C338/K338</f>
        <v>1.0754880694143167</v>
      </c>
    </row>
    <row r="339" spans="1:15" ht="20.100000000000001" customHeight="1" x14ac:dyDescent="0.25">
      <c r="A339" s="21" t="s">
        <v>234</v>
      </c>
      <c r="B339" t="s">
        <v>625</v>
      </c>
      <c r="C339" s="15">
        <v>68.599999999999994</v>
      </c>
      <c r="D339" s="15">
        <v>68.290000000000006</v>
      </c>
      <c r="E339" s="15">
        <v>68.790000000000006</v>
      </c>
      <c r="F339" s="15">
        <v>68.209999999999994</v>
      </c>
      <c r="G339" s="16">
        <v>5.7176367101598093E-3</v>
      </c>
      <c r="H339" s="15" t="s">
        <v>1446</v>
      </c>
      <c r="I339" s="15">
        <v>0.93</v>
      </c>
      <c r="J339" s="15">
        <v>27.55</v>
      </c>
      <c r="K339" s="15">
        <v>63.78</v>
      </c>
      <c r="L339" s="28" t="str">
        <f>HYPERLINK("http://finance.yahoo.com/q?s=" &amp; A339, "Link")</f>
        <v>Link</v>
      </c>
      <c r="M339" s="15">
        <f>K339*0.9</f>
        <v>57.402000000000001</v>
      </c>
      <c r="N339" s="15" t="str">
        <f>IF(M339&gt;C339, "Buy", "")</f>
        <v/>
      </c>
      <c r="O339" s="33">
        <f>C339/K339</f>
        <v>1.0755722797115082</v>
      </c>
    </row>
    <row r="340" spans="1:15" ht="20.100000000000001" customHeight="1" x14ac:dyDescent="0.25">
      <c r="A340" s="21" t="s">
        <v>453</v>
      </c>
      <c r="B340" t="s">
        <v>824</v>
      </c>
      <c r="C340" s="15">
        <v>31.82</v>
      </c>
      <c r="D340" s="15">
        <v>31.57</v>
      </c>
      <c r="E340" s="15">
        <v>32.340000000000003</v>
      </c>
      <c r="F340" s="15">
        <v>31.6</v>
      </c>
      <c r="G340" s="16">
        <v>6.9620253164556596E-3</v>
      </c>
      <c r="H340" s="15" t="s">
        <v>1416</v>
      </c>
      <c r="I340" s="15">
        <v>3.14</v>
      </c>
      <c r="J340" s="15" t="s">
        <v>124</v>
      </c>
      <c r="K340" s="15">
        <v>29.55</v>
      </c>
      <c r="L340" s="28" t="str">
        <f>HYPERLINK("http://finance.yahoo.com/q?s=" &amp; A340, "Link")</f>
        <v>Link</v>
      </c>
      <c r="M340" s="15">
        <f>K340*0.9</f>
        <v>26.595000000000002</v>
      </c>
      <c r="N340" s="15" t="str">
        <f>IF(M340&gt;C340, "Buy", "")</f>
        <v/>
      </c>
      <c r="O340" s="33">
        <f>C340/K340</f>
        <v>1.0768189509306261</v>
      </c>
    </row>
    <row r="341" spans="1:15" ht="20.100000000000001" customHeight="1" x14ac:dyDescent="0.25">
      <c r="A341" s="21" t="s">
        <v>374</v>
      </c>
      <c r="B341" t="s">
        <v>751</v>
      </c>
      <c r="C341" s="15">
        <v>58.62</v>
      </c>
      <c r="D341" s="15">
        <v>57.8</v>
      </c>
      <c r="E341" s="15">
        <v>59.79</v>
      </c>
      <c r="F341" s="15">
        <v>58.23</v>
      </c>
      <c r="G341" s="16">
        <v>6.697578567748593E-3</v>
      </c>
      <c r="H341" s="15" t="s">
        <v>1121</v>
      </c>
      <c r="I341" s="15">
        <v>2.39</v>
      </c>
      <c r="J341" s="15">
        <v>15.69</v>
      </c>
      <c r="K341" s="15">
        <v>54.42</v>
      </c>
      <c r="L341" s="28" t="str">
        <f>HYPERLINK("http://finance.yahoo.com/q?s=" &amp; A341, "Link")</f>
        <v>Link</v>
      </c>
      <c r="M341" s="15">
        <f>K341*0.9</f>
        <v>48.978000000000002</v>
      </c>
      <c r="N341" s="15" t="str">
        <f>IF(M341&gt;C341, "Buy", "")</f>
        <v/>
      </c>
      <c r="O341" s="33">
        <f>C341/K341</f>
        <v>1.0771775082690187</v>
      </c>
    </row>
    <row r="342" spans="1:15" ht="20.100000000000001" customHeight="1" x14ac:dyDescent="0.25">
      <c r="A342" s="21" t="s">
        <v>243</v>
      </c>
      <c r="B342" t="s">
        <v>634</v>
      </c>
      <c r="C342" s="15">
        <v>51.69</v>
      </c>
      <c r="D342" s="15">
        <v>51.43</v>
      </c>
      <c r="E342" s="15">
        <v>52</v>
      </c>
      <c r="F342" s="15">
        <v>51.62</v>
      </c>
      <c r="G342" s="16">
        <v>1.3560635412630819E-3</v>
      </c>
      <c r="H342" s="15" t="s">
        <v>1447</v>
      </c>
      <c r="I342" s="15" t="s">
        <v>124</v>
      </c>
      <c r="J342" s="15">
        <v>13.32</v>
      </c>
      <c r="K342" s="15">
        <v>47.98</v>
      </c>
      <c r="L342" s="28" t="str">
        <f>HYPERLINK("http://finance.yahoo.com/q?s=" &amp; A342, "Link")</f>
        <v>Link</v>
      </c>
      <c r="M342" s="15">
        <f>K342*0.9</f>
        <v>43.181999999999995</v>
      </c>
      <c r="N342" s="15" t="str">
        <f>IF(M342&gt;C342, "Buy", "")</f>
        <v/>
      </c>
      <c r="O342" s="33">
        <f>C342/K342</f>
        <v>1.0773238849520634</v>
      </c>
    </row>
    <row r="343" spans="1:15" ht="20.100000000000001" customHeight="1" x14ac:dyDescent="0.25">
      <c r="A343" s="21" t="s">
        <v>426</v>
      </c>
      <c r="B343" t="s">
        <v>799</v>
      </c>
      <c r="C343" s="15">
        <v>46.03</v>
      </c>
      <c r="D343" s="15">
        <v>45.81</v>
      </c>
      <c r="E343" s="15">
        <v>46.2</v>
      </c>
      <c r="F343" s="15">
        <v>45.7</v>
      </c>
      <c r="G343" s="16">
        <v>7.2210065645513842E-3</v>
      </c>
      <c r="H343" s="15" t="s">
        <v>1459</v>
      </c>
      <c r="I343" s="15">
        <v>0.54</v>
      </c>
      <c r="J343" s="15">
        <v>96.1</v>
      </c>
      <c r="K343" s="15">
        <v>42.67</v>
      </c>
      <c r="L343" s="28" t="str">
        <f>HYPERLINK("http://finance.yahoo.com/q?s=" &amp; A343, "Link")</f>
        <v>Link</v>
      </c>
      <c r="M343" s="15">
        <f>K343*0.9</f>
        <v>38.403000000000006</v>
      </c>
      <c r="N343" s="15" t="str">
        <f>IF(M343&gt;C343, "Buy", "")</f>
        <v/>
      </c>
      <c r="O343" s="33">
        <f>C343/K343</f>
        <v>1.0787438481368643</v>
      </c>
    </row>
    <row r="344" spans="1:15" ht="20.100000000000001" customHeight="1" x14ac:dyDescent="0.25">
      <c r="A344" s="21" t="s">
        <v>588</v>
      </c>
      <c r="B344" t="s">
        <v>945</v>
      </c>
      <c r="C344" s="15">
        <v>185.62</v>
      </c>
      <c r="D344" s="15">
        <v>184.13</v>
      </c>
      <c r="E344" s="15">
        <v>187.05</v>
      </c>
      <c r="F344" s="15">
        <v>185.23</v>
      </c>
      <c r="G344" s="16">
        <v>2.1054904713060239E-3</v>
      </c>
      <c r="H344" s="15" t="s">
        <v>1450</v>
      </c>
      <c r="I344" s="15">
        <v>2.15</v>
      </c>
      <c r="J344" s="15">
        <v>16.23</v>
      </c>
      <c r="K344" s="15">
        <v>172.07</v>
      </c>
      <c r="L344" s="28" t="str">
        <f>HYPERLINK("http://finance.yahoo.com/q?s=" &amp; A344, "Link")</f>
        <v>Link</v>
      </c>
      <c r="M344" s="15">
        <f>K344*0.9</f>
        <v>154.863</v>
      </c>
      <c r="N344" s="15" t="str">
        <f>IF(M344&gt;C344, "Buy", "")</f>
        <v/>
      </c>
      <c r="O344" s="33">
        <f>C344/K344</f>
        <v>1.0787470215609927</v>
      </c>
    </row>
    <row r="345" spans="1:15" ht="20.100000000000001" customHeight="1" x14ac:dyDescent="0.25">
      <c r="A345" s="21" t="s">
        <v>452</v>
      </c>
      <c r="B345" t="s">
        <v>823</v>
      </c>
      <c r="C345" s="15">
        <v>82.36</v>
      </c>
      <c r="D345" s="15">
        <v>81.83</v>
      </c>
      <c r="E345" s="15">
        <v>82.51</v>
      </c>
      <c r="F345" s="15">
        <v>81.86</v>
      </c>
      <c r="G345" s="16">
        <v>6.1079892499389206E-3</v>
      </c>
      <c r="H345" s="15" t="s">
        <v>1465</v>
      </c>
      <c r="I345" s="15">
        <v>2.2799999999999998</v>
      </c>
      <c r="J345" s="15">
        <v>24.3</v>
      </c>
      <c r="K345" s="15">
        <v>75.94</v>
      </c>
      <c r="L345" s="28" t="str">
        <f>HYPERLINK("http://finance.yahoo.com/q?s=" &amp; A345, "Link")</f>
        <v>Link</v>
      </c>
      <c r="M345" s="15">
        <f>K345*0.9</f>
        <v>68.346000000000004</v>
      </c>
      <c r="N345" s="15" t="str">
        <f>IF(M345&gt;C345, "Buy", "")</f>
        <v/>
      </c>
      <c r="O345" s="33">
        <f>C345/K345</f>
        <v>1.0845404266526204</v>
      </c>
    </row>
    <row r="346" spans="1:15" ht="20.100000000000001" customHeight="1" x14ac:dyDescent="0.25">
      <c r="A346" s="21" t="s">
        <v>581</v>
      </c>
      <c r="B346" t="s">
        <v>938</v>
      </c>
      <c r="C346" s="15">
        <v>129.87</v>
      </c>
      <c r="D346" s="15">
        <v>126.83</v>
      </c>
      <c r="E346" s="15">
        <v>130.32</v>
      </c>
      <c r="F346" s="15">
        <v>126.3</v>
      </c>
      <c r="G346" s="16">
        <v>2.826603325415683E-2</v>
      </c>
      <c r="H346" s="15" t="s">
        <v>1397</v>
      </c>
      <c r="I346" s="15">
        <v>0.62</v>
      </c>
      <c r="J346" s="15">
        <v>47.42</v>
      </c>
      <c r="K346" s="15">
        <v>119.72</v>
      </c>
      <c r="L346" s="28" t="str">
        <f>HYPERLINK("http://finance.yahoo.com/q?s=" &amp; A346, "Link")</f>
        <v>Link</v>
      </c>
      <c r="M346" s="15">
        <f>K346*0.9</f>
        <v>107.748</v>
      </c>
      <c r="N346" s="15" t="str">
        <f>IF(M346&gt;C346, "Buy", "")</f>
        <v/>
      </c>
      <c r="O346" s="33">
        <f>C346/K346</f>
        <v>1.0847811560307385</v>
      </c>
    </row>
    <row r="347" spans="1:15" ht="20.100000000000001" customHeight="1" x14ac:dyDescent="0.25">
      <c r="A347" s="21" t="s">
        <v>280</v>
      </c>
      <c r="B347" t="s">
        <v>669</v>
      </c>
      <c r="C347" s="15">
        <v>6.69</v>
      </c>
      <c r="D347" s="15">
        <v>6.63</v>
      </c>
      <c r="E347" s="15">
        <v>6.87</v>
      </c>
      <c r="F347" s="15">
        <v>6.62</v>
      </c>
      <c r="G347" s="16">
        <v>1.057401812688826E-2</v>
      </c>
      <c r="H347" s="15" t="s">
        <v>1514</v>
      </c>
      <c r="I347" s="15">
        <v>0</v>
      </c>
      <c r="J347" s="15" t="s">
        <v>124</v>
      </c>
      <c r="K347" s="15">
        <v>6.16</v>
      </c>
      <c r="L347" s="28" t="str">
        <f>HYPERLINK("http://finance.yahoo.com/q?s=" &amp; A347, "Link")</f>
        <v>Link</v>
      </c>
      <c r="M347" s="15">
        <f>K347*0.9</f>
        <v>5.5440000000000005</v>
      </c>
      <c r="N347" s="15" t="str">
        <f>IF(M347&gt;C347, "Buy", "")</f>
        <v/>
      </c>
      <c r="O347" s="33">
        <f>C347/K347</f>
        <v>1.0860389610389611</v>
      </c>
    </row>
    <row r="348" spans="1:15" ht="20.100000000000001" customHeight="1" x14ac:dyDescent="0.25">
      <c r="A348" s="21" t="s">
        <v>0</v>
      </c>
      <c r="B348" t="s">
        <v>117</v>
      </c>
      <c r="C348" s="15">
        <v>120</v>
      </c>
      <c r="D348" s="15">
        <v>119.73</v>
      </c>
      <c r="E348" s="15">
        <v>120.45</v>
      </c>
      <c r="F348" s="15">
        <v>119.78</v>
      </c>
      <c r="G348" s="16">
        <v>1.8367006177992893E-3</v>
      </c>
      <c r="H348" s="15" t="s">
        <v>1476</v>
      </c>
      <c r="I348" s="15">
        <v>1.9</v>
      </c>
      <c r="J348" s="15">
        <v>14.44</v>
      </c>
      <c r="K348" s="15">
        <v>110.48</v>
      </c>
      <c r="L348" s="28" t="str">
        <f>HYPERLINK("http://finance.yahoo.com/q?s=" &amp; A348, "Link")</f>
        <v>Link</v>
      </c>
      <c r="M348" s="15">
        <f>K348*0.9</f>
        <v>99.432000000000002</v>
      </c>
      <c r="N348" s="15" t="str">
        <f>IF(M348&gt;C348, "Buy", "")</f>
        <v/>
      </c>
      <c r="O348" s="33">
        <f>C348/K348</f>
        <v>1.0861694424330195</v>
      </c>
    </row>
    <row r="349" spans="1:15" ht="20.100000000000001" customHeight="1" x14ac:dyDescent="0.25">
      <c r="A349" s="21" t="s">
        <v>30</v>
      </c>
      <c r="B349" t="s">
        <v>143</v>
      </c>
      <c r="C349" s="15">
        <v>46.26</v>
      </c>
      <c r="D349" s="15">
        <v>46.01</v>
      </c>
      <c r="E349" s="15">
        <v>46.95</v>
      </c>
      <c r="F349" s="15">
        <v>46.09</v>
      </c>
      <c r="G349" s="16">
        <v>3.6884356693424733E-3</v>
      </c>
      <c r="H349" s="15" t="s">
        <v>1473</v>
      </c>
      <c r="I349" s="15">
        <v>0.52</v>
      </c>
      <c r="J349" s="15" t="s">
        <v>124</v>
      </c>
      <c r="K349" s="15">
        <v>42.55</v>
      </c>
      <c r="L349" s="28" t="str">
        <f>HYPERLINK("http://finance.yahoo.com/q?s=" &amp; A349, "Link")</f>
        <v>Link</v>
      </c>
      <c r="M349" s="15">
        <f>K349*0.9</f>
        <v>38.295000000000002</v>
      </c>
      <c r="N349" s="15" t="str">
        <f>IF(M349&gt;C349, "Buy", "")</f>
        <v/>
      </c>
      <c r="O349" s="33">
        <f>C349/K349</f>
        <v>1.0871915393654525</v>
      </c>
    </row>
    <row r="350" spans="1:15" ht="20.100000000000001" customHeight="1" x14ac:dyDescent="0.25">
      <c r="A350" s="21" t="s">
        <v>559</v>
      </c>
      <c r="B350" t="s">
        <v>986</v>
      </c>
      <c r="C350" s="15">
        <v>209.56</v>
      </c>
      <c r="D350" s="15" t="s">
        <v>124</v>
      </c>
      <c r="E350" s="15" t="s">
        <v>124</v>
      </c>
      <c r="F350" s="15">
        <v>209.56</v>
      </c>
      <c r="G350" s="16">
        <v>0</v>
      </c>
      <c r="H350" s="15" t="s">
        <v>124</v>
      </c>
      <c r="I350" s="15" t="s">
        <v>124</v>
      </c>
      <c r="J350" s="15" t="s">
        <v>124</v>
      </c>
      <c r="K350" s="15">
        <v>192.56</v>
      </c>
      <c r="L350" s="28" t="str">
        <f>HYPERLINK("http://finance.yahoo.com/q?s=" &amp; A350, "Link")</f>
        <v>Link</v>
      </c>
      <c r="M350" s="15">
        <f>K350*0.9</f>
        <v>173.304</v>
      </c>
      <c r="N350" s="15" t="str">
        <f>IF(M350&gt;C350, "Buy", "")</f>
        <v/>
      </c>
      <c r="O350" s="33">
        <f>C350/K350</f>
        <v>1.0882841711674283</v>
      </c>
    </row>
    <row r="351" spans="1:15" ht="20.100000000000001" customHeight="1" x14ac:dyDescent="0.25">
      <c r="A351" s="21" t="s">
        <v>88</v>
      </c>
      <c r="B351" t="s">
        <v>195</v>
      </c>
      <c r="C351" s="15">
        <v>158.66</v>
      </c>
      <c r="D351" s="15">
        <v>157.81</v>
      </c>
      <c r="E351" s="15">
        <v>159.80000000000001</v>
      </c>
      <c r="F351" s="15">
        <v>158.69999999999999</v>
      </c>
      <c r="G351" s="16">
        <v>-2.5204788909887865E-4</v>
      </c>
      <c r="H351" s="15" t="s">
        <v>1499</v>
      </c>
      <c r="I351" s="15">
        <v>1.58</v>
      </c>
      <c r="J351" s="15">
        <v>21.22</v>
      </c>
      <c r="K351" s="15">
        <v>145.69999999999999</v>
      </c>
      <c r="L351" s="28" t="str">
        <f>HYPERLINK("http://finance.yahoo.com/q?s=" &amp; A351, "Link")</f>
        <v>Link</v>
      </c>
      <c r="M351" s="15">
        <f>K351*0.9</f>
        <v>131.13</v>
      </c>
      <c r="N351" s="15" t="str">
        <f>IF(M351&gt;C351, "Buy", "")</f>
        <v/>
      </c>
      <c r="O351" s="33">
        <f>C351/K351</f>
        <v>1.0889498970487304</v>
      </c>
    </row>
    <row r="352" spans="1:15" ht="20.100000000000001" customHeight="1" x14ac:dyDescent="0.25">
      <c r="A352" s="21" t="s">
        <v>26</v>
      </c>
      <c r="B352" t="s">
        <v>139</v>
      </c>
      <c r="C352" s="15">
        <v>115.6</v>
      </c>
      <c r="D352" s="15">
        <v>115.34</v>
      </c>
      <c r="E352" s="15">
        <v>116.75</v>
      </c>
      <c r="F352" s="15">
        <v>115.58</v>
      </c>
      <c r="G352" s="16">
        <v>1.7304031839415141E-4</v>
      </c>
      <c r="H352" s="15" t="s">
        <v>1481</v>
      </c>
      <c r="I352" s="15">
        <v>3.74</v>
      </c>
      <c r="J352" s="15" t="s">
        <v>124</v>
      </c>
      <c r="K352" s="15">
        <v>106.15</v>
      </c>
      <c r="L352" s="28" t="str">
        <f>HYPERLINK("http://finance.yahoo.com/q?s=" &amp; A352, "Link")</f>
        <v>Link</v>
      </c>
      <c r="M352" s="15">
        <f>K352*0.9</f>
        <v>95.535000000000011</v>
      </c>
      <c r="N352" s="15" t="str">
        <f>IF(M352&gt;C352, "Buy", "")</f>
        <v/>
      </c>
      <c r="O352" s="33">
        <f>C352/K352</f>
        <v>1.0890249646726329</v>
      </c>
    </row>
    <row r="353" spans="1:15" ht="20.100000000000001" customHeight="1" x14ac:dyDescent="0.25">
      <c r="A353" s="21" t="s">
        <v>514</v>
      </c>
      <c r="B353" t="s">
        <v>878</v>
      </c>
      <c r="C353" s="15">
        <v>57.36</v>
      </c>
      <c r="D353" s="15">
        <v>57.16</v>
      </c>
      <c r="E353" s="15">
        <v>57.59</v>
      </c>
      <c r="F353" s="15">
        <v>57.31</v>
      </c>
      <c r="G353" s="16">
        <v>8.7244808933863475E-4</v>
      </c>
      <c r="H353" s="15" t="s">
        <v>1469</v>
      </c>
      <c r="I353" s="15">
        <v>2.23</v>
      </c>
      <c r="J353" s="15">
        <v>33.35</v>
      </c>
      <c r="K353" s="15">
        <v>52.67</v>
      </c>
      <c r="L353" s="28" t="str">
        <f>HYPERLINK("http://finance.yahoo.com/q?s=" &amp; A353, "Link")</f>
        <v>Link</v>
      </c>
      <c r="M353" s="15">
        <f>K353*0.9</f>
        <v>47.403000000000006</v>
      </c>
      <c r="N353" s="15" t="str">
        <f>IF(M353&gt;C353, "Buy", "")</f>
        <v/>
      </c>
      <c r="O353" s="33">
        <f>C353/K353</f>
        <v>1.089044997152079</v>
      </c>
    </row>
    <row r="354" spans="1:15" ht="20.100000000000001" customHeight="1" x14ac:dyDescent="0.25">
      <c r="A354" s="21" t="s">
        <v>275</v>
      </c>
      <c r="B354" t="s">
        <v>664</v>
      </c>
      <c r="C354" s="15">
        <v>25.6</v>
      </c>
      <c r="D354" s="15">
        <v>25.38</v>
      </c>
      <c r="E354" s="15">
        <v>25.6</v>
      </c>
      <c r="F354" s="15">
        <v>25.44</v>
      </c>
      <c r="G354" s="16">
        <v>6.2893081761006345E-3</v>
      </c>
      <c r="H354" s="15" t="s">
        <v>1464</v>
      </c>
      <c r="I354" s="15">
        <v>4.18</v>
      </c>
      <c r="J354" s="15" t="s">
        <v>124</v>
      </c>
      <c r="K354" s="15">
        <v>23.48</v>
      </c>
      <c r="L354" s="28" t="str">
        <f>HYPERLINK("http://finance.yahoo.com/q?s=" &amp; A354, "Link")</f>
        <v>Link</v>
      </c>
      <c r="M354" s="15">
        <f>K354*0.9</f>
        <v>21.132000000000001</v>
      </c>
      <c r="N354" s="15" t="str">
        <f>IF(M354&gt;C354, "Buy", "")</f>
        <v/>
      </c>
      <c r="O354" s="33">
        <f>C354/K354</f>
        <v>1.090289608177172</v>
      </c>
    </row>
    <row r="355" spans="1:15" ht="20.100000000000001" customHeight="1" x14ac:dyDescent="0.25">
      <c r="A355" s="21" t="s">
        <v>596</v>
      </c>
      <c r="B355" t="s">
        <v>953</v>
      </c>
      <c r="C355" s="15">
        <v>58.03</v>
      </c>
      <c r="D355" s="15">
        <v>57.69</v>
      </c>
      <c r="E355" s="15">
        <v>58.64</v>
      </c>
      <c r="F355" s="15">
        <v>57.98</v>
      </c>
      <c r="G355" s="16">
        <v>8.6236633321842469E-4</v>
      </c>
      <c r="H355" s="15" t="s">
        <v>1506</v>
      </c>
      <c r="I355" s="15">
        <v>2.27</v>
      </c>
      <c r="J355" s="15">
        <v>25.91</v>
      </c>
      <c r="K355" s="15">
        <v>53.15</v>
      </c>
      <c r="L355" s="28" t="str">
        <f>HYPERLINK("http://finance.yahoo.com/q?s=" &amp; A355, "Link")</f>
        <v>Link</v>
      </c>
      <c r="M355" s="15">
        <f>K355*0.9</f>
        <v>47.835000000000001</v>
      </c>
      <c r="N355" s="15" t="str">
        <f>IF(M355&gt;C355, "Buy", "")</f>
        <v/>
      </c>
      <c r="O355" s="33">
        <f>C355/K355</f>
        <v>1.091815616180621</v>
      </c>
    </row>
    <row r="356" spans="1:15" ht="20.100000000000001" customHeight="1" x14ac:dyDescent="0.25">
      <c r="A356" s="21" t="s">
        <v>411</v>
      </c>
      <c r="B356" t="s">
        <v>786</v>
      </c>
      <c r="C356" s="15">
        <v>81.56</v>
      </c>
      <c r="D356" s="15">
        <v>80.680000000000007</v>
      </c>
      <c r="E356" s="15">
        <v>81.88</v>
      </c>
      <c r="F356" s="15">
        <v>81.150000000000006</v>
      </c>
      <c r="G356" s="16">
        <v>5.0523721503388363E-3</v>
      </c>
      <c r="H356" s="15" t="s">
        <v>1248</v>
      </c>
      <c r="I356" s="15">
        <v>2.65</v>
      </c>
      <c r="J356" s="15">
        <v>16.43</v>
      </c>
      <c r="K356" s="15">
        <v>74.680000000000007</v>
      </c>
      <c r="L356" s="28" t="str">
        <f>HYPERLINK("http://finance.yahoo.com/q?s=" &amp; A356, "Link")</f>
        <v>Link</v>
      </c>
      <c r="M356" s="15">
        <f>K356*0.9</f>
        <v>67.212000000000003</v>
      </c>
      <c r="N356" s="15" t="str">
        <f>IF(M356&gt;C356, "Buy", "")</f>
        <v/>
      </c>
      <c r="O356" s="33">
        <f>C356/K356</f>
        <v>1.0921264059989286</v>
      </c>
    </row>
    <row r="357" spans="1:15" ht="20.100000000000001" customHeight="1" x14ac:dyDescent="0.25">
      <c r="A357" s="21" t="s">
        <v>33</v>
      </c>
      <c r="B357" t="s">
        <v>145</v>
      </c>
      <c r="C357" s="15">
        <v>58.83</v>
      </c>
      <c r="D357" s="15">
        <v>58.39</v>
      </c>
      <c r="E357" s="15">
        <v>58.9</v>
      </c>
      <c r="F357" s="15">
        <v>58.43</v>
      </c>
      <c r="G357" s="16">
        <v>6.8457983912373534E-3</v>
      </c>
      <c r="H357" s="15" t="s">
        <v>1438</v>
      </c>
      <c r="I357" s="15">
        <v>3.26</v>
      </c>
      <c r="J357" s="15">
        <v>23.35</v>
      </c>
      <c r="K357" s="15">
        <v>53.83</v>
      </c>
      <c r="L357" s="28" t="str">
        <f>HYPERLINK("http://finance.yahoo.com/q?s=" &amp; A357, "Link")</f>
        <v>Link</v>
      </c>
      <c r="M357" s="15">
        <f>K357*0.9</f>
        <v>48.447000000000003</v>
      </c>
      <c r="N357" s="15" t="str">
        <f>IF(M357&gt;C357, "Buy", "")</f>
        <v/>
      </c>
      <c r="O357" s="33">
        <f>C357/K357</f>
        <v>1.0928850083596509</v>
      </c>
    </row>
    <row r="358" spans="1:15" ht="20.100000000000001" customHeight="1" x14ac:dyDescent="0.25">
      <c r="A358" s="21" t="s">
        <v>346</v>
      </c>
      <c r="B358" t="s">
        <v>725</v>
      </c>
      <c r="C358" s="15">
        <v>142.1</v>
      </c>
      <c r="D358" s="15">
        <v>141.88</v>
      </c>
      <c r="E358" s="15">
        <v>143.38999999999999</v>
      </c>
      <c r="F358" s="15">
        <v>142.54</v>
      </c>
      <c r="G358" s="16">
        <v>-3.0868528132453892E-3</v>
      </c>
      <c r="H358" s="15" t="s">
        <v>1151</v>
      </c>
      <c r="I358" s="15" t="s">
        <v>124</v>
      </c>
      <c r="J358" s="15">
        <v>26.41</v>
      </c>
      <c r="K358" s="15">
        <v>129.91999999999999</v>
      </c>
      <c r="L358" s="28" t="str">
        <f>HYPERLINK("http://finance.yahoo.com/q?s=" &amp; A358, "Link")</f>
        <v>Link</v>
      </c>
      <c r="M358" s="15">
        <f>K358*0.9</f>
        <v>116.928</v>
      </c>
      <c r="N358" s="15" t="str">
        <f>IF(M358&gt;C358, "Buy", "")</f>
        <v/>
      </c>
      <c r="O358" s="33">
        <f>C358/K358</f>
        <v>1.09375</v>
      </c>
    </row>
    <row r="359" spans="1:15" ht="20.100000000000001" customHeight="1" x14ac:dyDescent="0.25">
      <c r="A359" s="21" t="s">
        <v>387</v>
      </c>
      <c r="B359" t="s">
        <v>763</v>
      </c>
      <c r="C359" s="15">
        <v>200.53</v>
      </c>
      <c r="D359" s="15">
        <v>200.34</v>
      </c>
      <c r="E359" s="15">
        <v>207.4</v>
      </c>
      <c r="F359" s="15">
        <v>206</v>
      </c>
      <c r="G359" s="16">
        <v>-2.6553398058252423E-2</v>
      </c>
      <c r="H359" s="15" t="s">
        <v>1491</v>
      </c>
      <c r="I359" s="15">
        <v>0.57999999999999996</v>
      </c>
      <c r="J359" s="15">
        <v>27.12</v>
      </c>
      <c r="K359" s="15">
        <v>183.32</v>
      </c>
      <c r="L359" s="28" t="str">
        <f>HYPERLINK("http://finance.yahoo.com/q?s=" &amp; A359, "Link")</f>
        <v>Link</v>
      </c>
      <c r="M359" s="15">
        <f>K359*0.9</f>
        <v>164.988</v>
      </c>
      <c r="N359" s="15" t="str">
        <f>IF(M359&gt;C359, "Buy", "")</f>
        <v/>
      </c>
      <c r="O359" s="33">
        <f>C359/K359</f>
        <v>1.0938795548767184</v>
      </c>
    </row>
    <row r="360" spans="1:15" ht="20.100000000000001" customHeight="1" x14ac:dyDescent="0.25">
      <c r="A360" s="21" t="s">
        <v>18</v>
      </c>
      <c r="B360" t="s">
        <v>132</v>
      </c>
      <c r="C360" s="15">
        <v>94.58</v>
      </c>
      <c r="D360" s="15">
        <v>93.62</v>
      </c>
      <c r="E360" s="15">
        <v>95</v>
      </c>
      <c r="F360" s="15">
        <v>93.38</v>
      </c>
      <c r="G360" s="16">
        <v>1.2850717498393692E-2</v>
      </c>
      <c r="H360" s="15" t="s">
        <v>1477</v>
      </c>
      <c r="I360" s="15">
        <v>3.26</v>
      </c>
      <c r="J360" s="15">
        <v>92</v>
      </c>
      <c r="K360" s="15">
        <v>86.41</v>
      </c>
      <c r="L360" s="28" t="str">
        <f>HYPERLINK("http://finance.yahoo.com/q?s=" &amp; A360, "Link")</f>
        <v>Link</v>
      </c>
      <c r="M360" s="15">
        <f>K360*0.9</f>
        <v>77.769000000000005</v>
      </c>
      <c r="N360" s="15" t="str">
        <f>IF(M360&gt;C360, "Buy", "")</f>
        <v/>
      </c>
      <c r="O360" s="33">
        <f>C360/K360</f>
        <v>1.0945492419858813</v>
      </c>
    </row>
    <row r="361" spans="1:15" ht="20.100000000000001" customHeight="1" x14ac:dyDescent="0.25">
      <c r="A361" s="21" t="s">
        <v>326</v>
      </c>
      <c r="B361" t="s">
        <v>706</v>
      </c>
      <c r="C361" s="15">
        <v>76.739999999999995</v>
      </c>
      <c r="D361" s="15">
        <v>76.02</v>
      </c>
      <c r="E361" s="15">
        <v>77.61</v>
      </c>
      <c r="F361" s="15">
        <v>76.02</v>
      </c>
      <c r="G361" s="16">
        <v>9.4711917916337658E-3</v>
      </c>
      <c r="H361" s="15" t="s">
        <v>1500</v>
      </c>
      <c r="I361" s="15">
        <v>2.66</v>
      </c>
      <c r="J361" s="15">
        <v>13.27</v>
      </c>
      <c r="K361" s="15">
        <v>70.099999999999994</v>
      </c>
      <c r="L361" s="28" t="str">
        <f>HYPERLINK("http://finance.yahoo.com/q?s=" &amp; A361, "Link")</f>
        <v>Link</v>
      </c>
      <c r="M361" s="15">
        <f>K361*0.9</f>
        <v>63.089999999999996</v>
      </c>
      <c r="N361" s="15" t="str">
        <f>IF(M361&gt;C361, "Buy", "")</f>
        <v/>
      </c>
      <c r="O361" s="33">
        <f>C361/K361</f>
        <v>1.0947218259629101</v>
      </c>
    </row>
    <row r="362" spans="1:15" ht="20.100000000000001" customHeight="1" x14ac:dyDescent="0.25">
      <c r="A362" s="21" t="s">
        <v>240</v>
      </c>
      <c r="B362" t="s">
        <v>631</v>
      </c>
      <c r="C362" s="15">
        <v>96.15</v>
      </c>
      <c r="D362" s="15">
        <v>95.49</v>
      </c>
      <c r="E362" s="15">
        <v>96.66</v>
      </c>
      <c r="F362" s="15">
        <v>95.65</v>
      </c>
      <c r="G362" s="16">
        <v>5.2273915316257188E-3</v>
      </c>
      <c r="H362" s="15" t="s">
        <v>1416</v>
      </c>
      <c r="I362" s="15">
        <v>2.2000000000000002</v>
      </c>
      <c r="J362" s="15">
        <v>10.31</v>
      </c>
      <c r="K362" s="15">
        <v>87.82</v>
      </c>
      <c r="L362" s="28" t="str">
        <f>HYPERLINK("http://finance.yahoo.com/q?s=" &amp; A362, "Link")</f>
        <v>Link</v>
      </c>
      <c r="M362" s="15">
        <f>K362*0.9</f>
        <v>79.037999999999997</v>
      </c>
      <c r="N362" s="15" t="str">
        <f>IF(M362&gt;C362, "Buy", "")</f>
        <v/>
      </c>
      <c r="O362" s="33">
        <f>C362/K362</f>
        <v>1.0948531086312914</v>
      </c>
    </row>
    <row r="363" spans="1:15" ht="20.100000000000001" customHeight="1" x14ac:dyDescent="0.25">
      <c r="A363" s="21" t="s">
        <v>377</v>
      </c>
      <c r="B363" t="s">
        <v>754</v>
      </c>
      <c r="C363" s="15">
        <v>48.31</v>
      </c>
      <c r="D363" s="15">
        <v>48.12</v>
      </c>
      <c r="E363" s="15">
        <v>48.72</v>
      </c>
      <c r="F363" s="15">
        <v>48.24</v>
      </c>
      <c r="G363" s="16">
        <v>1.4510779436152628E-3</v>
      </c>
      <c r="H363" s="15" t="s">
        <v>1480</v>
      </c>
      <c r="I363" s="15">
        <v>1.9</v>
      </c>
      <c r="J363" s="15">
        <v>13.93</v>
      </c>
      <c r="K363" s="15">
        <v>44.11</v>
      </c>
      <c r="L363" s="28" t="str">
        <f>HYPERLINK("http://finance.yahoo.com/q?s=" &amp; A363, "Link")</f>
        <v>Link</v>
      </c>
      <c r="M363" s="15">
        <f>K363*0.9</f>
        <v>39.698999999999998</v>
      </c>
      <c r="N363" s="15" t="str">
        <f>IF(M363&gt;C363, "Buy", "")</f>
        <v/>
      </c>
      <c r="O363" s="33">
        <f>C363/K363</f>
        <v>1.0952165041940605</v>
      </c>
    </row>
    <row r="364" spans="1:15" ht="20.100000000000001" customHeight="1" x14ac:dyDescent="0.25">
      <c r="A364" s="21" t="s">
        <v>550</v>
      </c>
      <c r="B364" t="s">
        <v>912</v>
      </c>
      <c r="C364" s="15">
        <v>69.92</v>
      </c>
      <c r="D364" s="15">
        <v>69.41</v>
      </c>
      <c r="E364" s="15">
        <v>70.25</v>
      </c>
      <c r="F364" s="15">
        <v>69.599999999999994</v>
      </c>
      <c r="G364" s="16">
        <v>4.597701149425394E-3</v>
      </c>
      <c r="H364" s="15" t="s">
        <v>1472</v>
      </c>
      <c r="I364" s="15">
        <v>2.12</v>
      </c>
      <c r="J364" s="15">
        <v>12.84</v>
      </c>
      <c r="K364" s="15">
        <v>63.83</v>
      </c>
      <c r="L364" s="28" t="str">
        <f>HYPERLINK("http://finance.yahoo.com/q?s=" &amp; A364, "Link")</f>
        <v>Link</v>
      </c>
      <c r="M364" s="15">
        <f>K364*0.9</f>
        <v>57.447000000000003</v>
      </c>
      <c r="N364" s="15" t="str">
        <f>IF(M364&gt;C364, "Buy", "")</f>
        <v/>
      </c>
      <c r="O364" s="33">
        <f>C364/K364</f>
        <v>1.0954096819677268</v>
      </c>
    </row>
    <row r="365" spans="1:15" ht="20.100000000000001" customHeight="1" x14ac:dyDescent="0.25">
      <c r="A365" s="21" t="s">
        <v>535</v>
      </c>
      <c r="B365" t="s">
        <v>898</v>
      </c>
      <c r="C365" s="15">
        <v>174.84</v>
      </c>
      <c r="D365" s="15">
        <v>173.84</v>
      </c>
      <c r="E365" s="15">
        <v>175.97</v>
      </c>
      <c r="F365" s="15">
        <v>174.87</v>
      </c>
      <c r="G365" s="16">
        <v>-1.7155601303826348E-4</v>
      </c>
      <c r="H365" s="15" t="s">
        <v>1498</v>
      </c>
      <c r="I365" s="15">
        <v>1.62</v>
      </c>
      <c r="J365" s="15">
        <v>19.510000000000002</v>
      </c>
      <c r="K365" s="15">
        <v>159.52000000000001</v>
      </c>
      <c r="L365" s="28" t="str">
        <f>HYPERLINK("http://finance.yahoo.com/q?s=" &amp; A365, "Link")</f>
        <v>Link</v>
      </c>
      <c r="M365" s="15">
        <f>K365*0.9</f>
        <v>143.56800000000001</v>
      </c>
      <c r="N365" s="15" t="str">
        <f>IF(M365&gt;C365, "Buy", "")</f>
        <v/>
      </c>
      <c r="O365" s="33">
        <f>C365/K365</f>
        <v>1.0960381143430291</v>
      </c>
    </row>
    <row r="366" spans="1:15" ht="20.100000000000001" customHeight="1" x14ac:dyDescent="0.25">
      <c r="A366" s="21" t="s">
        <v>20</v>
      </c>
      <c r="B366" t="s">
        <v>134</v>
      </c>
      <c r="C366" s="15">
        <v>73.569999999999993</v>
      </c>
      <c r="D366" s="15">
        <v>72.739999999999995</v>
      </c>
      <c r="E366" s="15">
        <v>73.61</v>
      </c>
      <c r="F366" s="15">
        <v>72.61</v>
      </c>
      <c r="G366" s="16">
        <v>1.3221319377496127E-2</v>
      </c>
      <c r="H366" s="15" t="s">
        <v>1470</v>
      </c>
      <c r="I366" s="15">
        <v>1.5</v>
      </c>
      <c r="J366" s="15">
        <v>21.58</v>
      </c>
      <c r="K366" s="15">
        <v>67.12</v>
      </c>
      <c r="L366" s="28" t="str">
        <f>HYPERLINK("http://finance.yahoo.com/q?s=" &amp; A366, "Link")</f>
        <v>Link</v>
      </c>
      <c r="M366" s="15">
        <f>K366*0.9</f>
        <v>60.408000000000008</v>
      </c>
      <c r="N366" s="15" t="str">
        <f>IF(M366&gt;C366, "Buy", "")</f>
        <v/>
      </c>
      <c r="O366" s="33">
        <f>C366/K366</f>
        <v>1.0960965435041714</v>
      </c>
    </row>
    <row r="367" spans="1:15" ht="20.100000000000001" customHeight="1" x14ac:dyDescent="0.25">
      <c r="A367" s="21" t="s">
        <v>505</v>
      </c>
      <c r="B367" t="s">
        <v>1013</v>
      </c>
      <c r="C367" s="15">
        <v>61.02</v>
      </c>
      <c r="D367" s="15">
        <v>59.51</v>
      </c>
      <c r="E367" s="15">
        <v>61.7</v>
      </c>
      <c r="F367" s="15">
        <v>58.31</v>
      </c>
      <c r="G367" s="16">
        <v>4.6475733150403029E-2</v>
      </c>
      <c r="H367" s="15" t="s">
        <v>1422</v>
      </c>
      <c r="I367" s="15" t="s">
        <v>124</v>
      </c>
      <c r="J367" s="15" t="s">
        <v>124</v>
      </c>
      <c r="K367" s="15">
        <v>55.67</v>
      </c>
      <c r="L367" s="28" t="str">
        <f>HYPERLINK("http://finance.yahoo.com/q?s=" &amp; A367, "Link")</f>
        <v>Link</v>
      </c>
      <c r="M367" s="15">
        <f>K367*0.9</f>
        <v>50.103000000000002</v>
      </c>
      <c r="N367" s="15" t="str">
        <f>IF(M367&gt;C367, "Buy", "")</f>
        <v/>
      </c>
      <c r="O367" s="33">
        <f>C367/K367</f>
        <v>1.0961020298185737</v>
      </c>
    </row>
    <row r="368" spans="1:15" ht="20.100000000000001" customHeight="1" x14ac:dyDescent="0.25">
      <c r="A368" s="21" t="s">
        <v>592</v>
      </c>
      <c r="B368" t="s">
        <v>949</v>
      </c>
      <c r="C368" s="15">
        <v>78.2</v>
      </c>
      <c r="D368" s="15">
        <v>77.989999999999995</v>
      </c>
      <c r="E368" s="15">
        <v>79.17</v>
      </c>
      <c r="F368" s="15">
        <v>77.790000000000006</v>
      </c>
      <c r="G368" s="16">
        <v>5.2706003342331475E-3</v>
      </c>
      <c r="H368" s="15" t="s">
        <v>1466</v>
      </c>
      <c r="I368" s="15">
        <v>2.59</v>
      </c>
      <c r="J368" s="15">
        <v>15</v>
      </c>
      <c r="K368" s="15">
        <v>71.33</v>
      </c>
      <c r="L368" s="28" t="str">
        <f>HYPERLINK("http://finance.yahoo.com/q?s=" &amp; A368, "Link")</f>
        <v>Link</v>
      </c>
      <c r="M368" s="15">
        <f>K368*0.9</f>
        <v>64.197000000000003</v>
      </c>
      <c r="N368" s="15" t="str">
        <f>IF(M368&gt;C368, "Buy", "")</f>
        <v/>
      </c>
      <c r="O368" s="33">
        <f>C368/K368</f>
        <v>1.0963129118183093</v>
      </c>
    </row>
    <row r="369" spans="1:15" ht="20.100000000000001" customHeight="1" x14ac:dyDescent="0.25">
      <c r="A369" s="21" t="s">
        <v>445</v>
      </c>
      <c r="B369" t="s">
        <v>816</v>
      </c>
      <c r="C369" s="15">
        <v>66.930000000000007</v>
      </c>
      <c r="D369" s="15">
        <v>65.849999999999994</v>
      </c>
      <c r="E369" s="15">
        <v>66.97</v>
      </c>
      <c r="F369" s="15">
        <v>65.69</v>
      </c>
      <c r="G369" s="16">
        <v>1.8876541330491842E-2</v>
      </c>
      <c r="H369" s="15" t="s">
        <v>1489</v>
      </c>
      <c r="I369" s="15">
        <v>2.17</v>
      </c>
      <c r="J369" s="15">
        <v>291</v>
      </c>
      <c r="K369" s="15">
        <v>61.01</v>
      </c>
      <c r="L369" s="28" t="str">
        <f>HYPERLINK("http://finance.yahoo.com/q?s=" &amp; A369, "Link")</f>
        <v>Link</v>
      </c>
      <c r="M369" s="15">
        <f>K369*0.9</f>
        <v>54.908999999999999</v>
      </c>
      <c r="N369" s="15" t="str">
        <f>IF(M369&gt;C369, "Buy", "")</f>
        <v/>
      </c>
      <c r="O369" s="33">
        <f>C369/K369</f>
        <v>1.0970332732338963</v>
      </c>
    </row>
    <row r="370" spans="1:15" ht="20.100000000000001" customHeight="1" x14ac:dyDescent="0.25">
      <c r="A370" s="21" t="s">
        <v>372</v>
      </c>
      <c r="B370" t="s">
        <v>749</v>
      </c>
      <c r="C370" s="15">
        <v>246.47</v>
      </c>
      <c r="D370" s="15">
        <v>244.09</v>
      </c>
      <c r="E370" s="15">
        <v>246.75</v>
      </c>
      <c r="F370" s="15">
        <v>244.17</v>
      </c>
      <c r="G370" s="16">
        <v>9.4196666257116406E-3</v>
      </c>
      <c r="H370" s="15" t="s">
        <v>1423</v>
      </c>
      <c r="I370" s="15">
        <v>1.98</v>
      </c>
      <c r="J370" s="15">
        <v>22.18</v>
      </c>
      <c r="K370" s="15">
        <v>224.49</v>
      </c>
      <c r="L370" s="28" t="str">
        <f>HYPERLINK("http://finance.yahoo.com/q?s=" &amp; A370, "Link")</f>
        <v>Link</v>
      </c>
      <c r="M370" s="15">
        <f>K370*0.9</f>
        <v>202.04100000000003</v>
      </c>
      <c r="N370" s="15" t="str">
        <f>IF(M370&gt;C370, "Buy", "")</f>
        <v/>
      </c>
      <c r="O370" s="33">
        <f>C370/K370</f>
        <v>1.0979108200810725</v>
      </c>
    </row>
    <row r="371" spans="1:15" ht="20.100000000000001" customHeight="1" x14ac:dyDescent="0.25">
      <c r="A371" s="21" t="s">
        <v>320</v>
      </c>
      <c r="B371" t="s">
        <v>700</v>
      </c>
      <c r="C371" s="15">
        <v>79.02</v>
      </c>
      <c r="D371" s="15">
        <v>78.39</v>
      </c>
      <c r="E371" s="15">
        <v>79.27</v>
      </c>
      <c r="F371" s="15">
        <v>78.25</v>
      </c>
      <c r="G371" s="16">
        <v>9.840255591054262E-3</v>
      </c>
      <c r="H371" s="15" t="s">
        <v>1492</v>
      </c>
      <c r="I371" s="15">
        <v>2.2400000000000002</v>
      </c>
      <c r="J371" s="15">
        <v>25.31</v>
      </c>
      <c r="K371" s="15">
        <v>71.900000000000006</v>
      </c>
      <c r="L371" s="28" t="str">
        <f>HYPERLINK("http://finance.yahoo.com/q?s=" &amp; A371, "Link")</f>
        <v>Link</v>
      </c>
      <c r="M371" s="15">
        <f>K371*0.9</f>
        <v>64.710000000000008</v>
      </c>
      <c r="N371" s="15" t="str">
        <f>IF(M371&gt;C371, "Buy", "")</f>
        <v/>
      </c>
      <c r="O371" s="33">
        <f>C371/K371</f>
        <v>1.0990264255910986</v>
      </c>
    </row>
    <row r="372" spans="1:15" ht="20.100000000000001" customHeight="1" x14ac:dyDescent="0.25">
      <c r="A372" s="21" t="s">
        <v>58</v>
      </c>
      <c r="B372" t="s">
        <v>166</v>
      </c>
      <c r="C372" s="15">
        <v>109.96</v>
      </c>
      <c r="D372" s="15">
        <v>108.91</v>
      </c>
      <c r="E372" s="15">
        <v>110</v>
      </c>
      <c r="F372" s="15">
        <v>108.53</v>
      </c>
      <c r="G372" s="16">
        <v>1.3176080346447919E-2</v>
      </c>
      <c r="H372" s="15" t="s">
        <v>1467</v>
      </c>
      <c r="I372" s="15">
        <v>0.8</v>
      </c>
      <c r="J372" s="15">
        <v>30.4</v>
      </c>
      <c r="K372" s="15">
        <v>99.97</v>
      </c>
      <c r="L372" s="28" t="str">
        <f>HYPERLINK("http://finance.yahoo.com/q?s=" &amp; A372, "Link")</f>
        <v>Link</v>
      </c>
      <c r="M372" s="15">
        <f>K372*0.9</f>
        <v>89.972999999999999</v>
      </c>
      <c r="N372" s="15" t="str">
        <f>IF(M372&gt;C372, "Buy", "")</f>
        <v/>
      </c>
      <c r="O372" s="33">
        <f>C372/K372</f>
        <v>1.099929978993698</v>
      </c>
    </row>
    <row r="373" spans="1:15" ht="20.100000000000001" customHeight="1" x14ac:dyDescent="0.25">
      <c r="A373" s="21" t="s">
        <v>457</v>
      </c>
      <c r="B373" t="s">
        <v>826</v>
      </c>
      <c r="C373" s="15">
        <v>36.369999999999997</v>
      </c>
      <c r="D373" s="15">
        <v>35.840000000000003</v>
      </c>
      <c r="E373" s="15">
        <v>36.5</v>
      </c>
      <c r="F373" s="15">
        <v>35.83</v>
      </c>
      <c r="G373" s="16">
        <v>1.5071169411107987E-2</v>
      </c>
      <c r="H373" s="15" t="s">
        <v>1474</v>
      </c>
      <c r="I373" s="15">
        <v>2.09</v>
      </c>
      <c r="J373" s="15">
        <v>33</v>
      </c>
      <c r="K373" s="15">
        <v>33.06</v>
      </c>
      <c r="L373" s="28" t="str">
        <f>HYPERLINK("http://finance.yahoo.com/q?s=" &amp; A373, "Link")</f>
        <v>Link</v>
      </c>
      <c r="M373" s="15">
        <f>K373*0.9</f>
        <v>29.754000000000001</v>
      </c>
      <c r="N373" s="15" t="str">
        <f>IF(M373&gt;C373, "Buy", "")</f>
        <v/>
      </c>
      <c r="O373" s="33">
        <f>C373/K373</f>
        <v>1.1001209921355111</v>
      </c>
    </row>
    <row r="374" spans="1:15" ht="20.100000000000001" customHeight="1" x14ac:dyDescent="0.25">
      <c r="A374" s="21" t="s">
        <v>271</v>
      </c>
      <c r="B374" t="s">
        <v>660</v>
      </c>
      <c r="C374" s="15">
        <v>53.3</v>
      </c>
      <c r="D374" s="15">
        <v>53.03</v>
      </c>
      <c r="E374" s="15">
        <v>53.95</v>
      </c>
      <c r="F374" s="15">
        <v>53.45</v>
      </c>
      <c r="G374" s="16">
        <v>-2.8063610851263923E-3</v>
      </c>
      <c r="H374" s="15" t="s">
        <v>1488</v>
      </c>
      <c r="I374" s="15">
        <v>2.63</v>
      </c>
      <c r="J374" s="15">
        <v>14.33</v>
      </c>
      <c r="K374" s="15">
        <v>48.4</v>
      </c>
      <c r="L374" s="28" t="str">
        <f>HYPERLINK("http://finance.yahoo.com/q?s=" &amp; A374, "Link")</f>
        <v>Link</v>
      </c>
      <c r="M374" s="15">
        <f>K374*0.9</f>
        <v>43.56</v>
      </c>
      <c r="N374" s="15" t="str">
        <f>IF(M374&gt;C374, "Buy", "")</f>
        <v/>
      </c>
      <c r="O374" s="33">
        <f>C374/K374</f>
        <v>1.1012396694214877</v>
      </c>
    </row>
    <row r="375" spans="1:15" ht="20.100000000000001" customHeight="1" x14ac:dyDescent="0.25">
      <c r="A375" s="21" t="s">
        <v>283</v>
      </c>
      <c r="B375" t="s">
        <v>671</v>
      </c>
      <c r="C375" s="15">
        <v>144.77000000000001</v>
      </c>
      <c r="D375" s="15">
        <v>143.38</v>
      </c>
      <c r="E375" s="15">
        <v>145.66999999999999</v>
      </c>
      <c r="F375" s="15">
        <v>144.16</v>
      </c>
      <c r="G375" s="16">
        <v>4.2314095449501503E-3</v>
      </c>
      <c r="H375" s="15" t="s">
        <v>1502</v>
      </c>
      <c r="I375" s="15">
        <v>0.03</v>
      </c>
      <c r="J375" s="15">
        <v>19.670000000000002</v>
      </c>
      <c r="K375" s="15">
        <v>131.34</v>
      </c>
      <c r="L375" s="28" t="str">
        <f>HYPERLINK("http://finance.yahoo.com/q?s=" &amp; A375, "Link")</f>
        <v>Link</v>
      </c>
      <c r="M375" s="15">
        <f>K375*0.9</f>
        <v>118.206</v>
      </c>
      <c r="N375" s="15" t="str">
        <f>IF(M375&gt;C375, "Buy", "")</f>
        <v/>
      </c>
      <c r="O375" s="33">
        <f>C375/K375</f>
        <v>1.1022536927059541</v>
      </c>
    </row>
    <row r="376" spans="1:15" ht="20.100000000000001" customHeight="1" x14ac:dyDescent="0.25">
      <c r="A376" s="21" t="s">
        <v>558</v>
      </c>
      <c r="B376" t="s">
        <v>919</v>
      </c>
      <c r="C376" s="15">
        <v>79.42</v>
      </c>
      <c r="D376" s="15">
        <v>78.569999999999993</v>
      </c>
      <c r="E376" s="15">
        <v>79.819999999999993</v>
      </c>
      <c r="F376" s="15">
        <v>79.03</v>
      </c>
      <c r="G376" s="16">
        <v>4.9348348728331087E-3</v>
      </c>
      <c r="H376" s="15" t="s">
        <v>1523</v>
      </c>
      <c r="I376" s="15">
        <v>2.25</v>
      </c>
      <c r="J376" s="15">
        <v>22.24</v>
      </c>
      <c r="K376" s="15">
        <v>71.989999999999995</v>
      </c>
      <c r="L376" s="28" t="str">
        <f>HYPERLINK("http://finance.yahoo.com/q?s=" &amp; A376, "Link")</f>
        <v>Link</v>
      </c>
      <c r="M376" s="15">
        <f>K376*0.9</f>
        <v>64.790999999999997</v>
      </c>
      <c r="N376" s="15" t="str">
        <f>IF(M376&gt;C376, "Buy", "")</f>
        <v/>
      </c>
      <c r="O376" s="33">
        <f>C376/K376</f>
        <v>1.103208778997083</v>
      </c>
    </row>
    <row r="377" spans="1:15" ht="20.100000000000001" customHeight="1" x14ac:dyDescent="0.25">
      <c r="A377" s="21" t="s">
        <v>28</v>
      </c>
      <c r="B377" t="s">
        <v>141</v>
      </c>
      <c r="C377" s="15">
        <v>107.66</v>
      </c>
      <c r="D377" s="15">
        <v>107.18</v>
      </c>
      <c r="E377" s="15">
        <v>107.82</v>
      </c>
      <c r="F377" s="15">
        <v>107.28</v>
      </c>
      <c r="G377" s="16">
        <v>3.5421327367635667E-3</v>
      </c>
      <c r="H377" s="15" t="s">
        <v>1497</v>
      </c>
      <c r="I377" s="15">
        <v>1.45</v>
      </c>
      <c r="J377" s="15">
        <v>18.79</v>
      </c>
      <c r="K377" s="15">
        <v>97.36</v>
      </c>
      <c r="L377" s="28" t="str">
        <f>HYPERLINK("http://finance.yahoo.com/q?s=" &amp; A377, "Link")</f>
        <v>Link</v>
      </c>
      <c r="M377" s="15">
        <f>K377*0.9</f>
        <v>87.623999999999995</v>
      </c>
      <c r="N377" s="15" t="str">
        <f>IF(M377&gt;C377, "Buy", "")</f>
        <v/>
      </c>
      <c r="O377" s="33">
        <f>C377/K377</f>
        <v>1.1057929334428924</v>
      </c>
    </row>
    <row r="378" spans="1:15" ht="20.100000000000001" customHeight="1" x14ac:dyDescent="0.25">
      <c r="A378" s="21" t="s">
        <v>4</v>
      </c>
      <c r="B378" t="s">
        <v>120</v>
      </c>
      <c r="C378" s="15">
        <v>66.540000000000006</v>
      </c>
      <c r="D378" s="15">
        <v>66.260000000000005</v>
      </c>
      <c r="E378" s="15">
        <v>67.45</v>
      </c>
      <c r="F378" s="15">
        <v>66.290000000000006</v>
      </c>
      <c r="G378" s="16">
        <v>3.7713078895761048E-3</v>
      </c>
      <c r="H378" s="15" t="s">
        <v>1485</v>
      </c>
      <c r="I378" s="15">
        <v>1.92</v>
      </c>
      <c r="J378" s="15">
        <v>216.74</v>
      </c>
      <c r="K378" s="15">
        <v>60.17</v>
      </c>
      <c r="L378" s="28" t="str">
        <f>HYPERLINK("http://finance.yahoo.com/q?s=" &amp; A378, "Link")</f>
        <v>Link</v>
      </c>
      <c r="M378" s="15">
        <f>K378*0.9</f>
        <v>54.153000000000006</v>
      </c>
      <c r="N378" s="15" t="str">
        <f>IF(M378&gt;C378, "Buy", "")</f>
        <v/>
      </c>
      <c r="O378" s="33">
        <f>C378/K378</f>
        <v>1.1058667109855411</v>
      </c>
    </row>
    <row r="379" spans="1:15" ht="20.100000000000001" customHeight="1" x14ac:dyDescent="0.25">
      <c r="A379" s="21" t="s">
        <v>403</v>
      </c>
      <c r="B379" t="s">
        <v>778</v>
      </c>
      <c r="C379" s="15">
        <v>27.43</v>
      </c>
      <c r="D379" s="15">
        <v>27.11</v>
      </c>
      <c r="E379" s="15">
        <v>27.61</v>
      </c>
      <c r="F379" s="15">
        <v>27.42</v>
      </c>
      <c r="G379" s="16">
        <v>3.6469730123989824E-4</v>
      </c>
      <c r="H379" s="15" t="s">
        <v>1516</v>
      </c>
      <c r="I379" s="15">
        <v>1.46</v>
      </c>
      <c r="J379" s="15">
        <v>17.77</v>
      </c>
      <c r="K379" s="15">
        <v>24.79</v>
      </c>
      <c r="L379" s="28" t="str">
        <f>HYPERLINK("http://finance.yahoo.com/q?s=" &amp; A379, "Link")</f>
        <v>Link</v>
      </c>
      <c r="M379" s="15">
        <f>K379*0.9</f>
        <v>22.311</v>
      </c>
      <c r="N379" s="15" t="str">
        <f>IF(M379&gt;C379, "Buy", "")</f>
        <v/>
      </c>
      <c r="O379" s="33">
        <f>C379/K379</f>
        <v>1.1064945542557483</v>
      </c>
    </row>
    <row r="380" spans="1:15" ht="20.100000000000001" customHeight="1" x14ac:dyDescent="0.25">
      <c r="A380" s="21" t="s">
        <v>498</v>
      </c>
      <c r="B380" t="s">
        <v>863</v>
      </c>
      <c r="C380" s="15">
        <v>36.54</v>
      </c>
      <c r="D380" s="15">
        <v>36.369999999999997</v>
      </c>
      <c r="E380" s="15">
        <v>36.65</v>
      </c>
      <c r="F380" s="15">
        <v>36.380000000000003</v>
      </c>
      <c r="G380" s="16">
        <v>4.398020890599136E-3</v>
      </c>
      <c r="H380" s="15" t="s">
        <v>1483</v>
      </c>
      <c r="I380" s="15">
        <v>2.4300000000000002</v>
      </c>
      <c r="J380" s="15">
        <v>21.87</v>
      </c>
      <c r="K380" s="15">
        <v>33.020000000000003</v>
      </c>
      <c r="L380" s="28" t="str">
        <f>HYPERLINK("http://finance.yahoo.com/q?s=" &amp; A380, "Link")</f>
        <v>Link</v>
      </c>
      <c r="M380" s="15">
        <f>K380*0.9</f>
        <v>29.718000000000004</v>
      </c>
      <c r="N380" s="15" t="str">
        <f>IF(M380&gt;C380, "Buy", "")</f>
        <v/>
      </c>
      <c r="O380" s="33">
        <f>C380/K380</f>
        <v>1.1066020593579646</v>
      </c>
    </row>
    <row r="381" spans="1:15" ht="20.100000000000001" customHeight="1" x14ac:dyDescent="0.25">
      <c r="A381" s="21" t="s">
        <v>303</v>
      </c>
      <c r="B381" t="s">
        <v>688</v>
      </c>
      <c r="C381" s="15">
        <v>141.58000000000001</v>
      </c>
      <c r="D381" s="15">
        <v>140.63999999999999</v>
      </c>
      <c r="E381" s="15">
        <v>142.13</v>
      </c>
      <c r="F381" s="15">
        <v>140.97</v>
      </c>
      <c r="G381" s="16">
        <v>4.3271618074768653E-3</v>
      </c>
      <c r="H381" s="15" t="s">
        <v>1156</v>
      </c>
      <c r="I381" s="15">
        <v>2.93</v>
      </c>
      <c r="J381" s="15">
        <v>20.58</v>
      </c>
      <c r="K381" s="15">
        <v>127.93</v>
      </c>
      <c r="L381" s="28" t="str">
        <f>HYPERLINK("http://finance.yahoo.com/q?s=" &amp; A381, "Link")</f>
        <v>Link</v>
      </c>
      <c r="M381" s="15">
        <f>K381*0.9</f>
        <v>115.13700000000001</v>
      </c>
      <c r="N381" s="15" t="str">
        <f>IF(M381&gt;C381, "Buy", "")</f>
        <v/>
      </c>
      <c r="O381" s="33">
        <f>C381/K381</f>
        <v>1.1066989760025014</v>
      </c>
    </row>
    <row r="382" spans="1:15" ht="20.100000000000001" customHeight="1" x14ac:dyDescent="0.25">
      <c r="A382" s="21" t="s">
        <v>483</v>
      </c>
      <c r="B382" t="s">
        <v>850</v>
      </c>
      <c r="C382" s="15">
        <v>18.690000000000001</v>
      </c>
      <c r="D382" s="15">
        <v>18.61</v>
      </c>
      <c r="E382" s="15">
        <v>19.12</v>
      </c>
      <c r="F382" s="15">
        <v>19.13</v>
      </c>
      <c r="G382" s="16">
        <v>-2.3000522739153043E-2</v>
      </c>
      <c r="H382" s="15" t="s">
        <v>1553</v>
      </c>
      <c r="I382" s="15">
        <v>3.53</v>
      </c>
      <c r="J382" s="15">
        <v>20.32</v>
      </c>
      <c r="K382" s="15">
        <v>16.86</v>
      </c>
      <c r="L382" s="28" t="str">
        <f>HYPERLINK("http://finance.yahoo.com/q?s=" &amp; A382, "Link")</f>
        <v>Link</v>
      </c>
      <c r="M382" s="15">
        <f>K382*0.9</f>
        <v>15.173999999999999</v>
      </c>
      <c r="N382" s="15" t="str">
        <f>IF(M382&gt;C382, "Buy", "")</f>
        <v/>
      </c>
      <c r="O382" s="33">
        <f>C382/K382</f>
        <v>1.1085409252669041</v>
      </c>
    </row>
    <row r="383" spans="1:15" ht="20.100000000000001" customHeight="1" x14ac:dyDescent="0.25">
      <c r="A383" s="21" t="s">
        <v>478</v>
      </c>
      <c r="B383" t="s">
        <v>845</v>
      </c>
      <c r="C383" s="15">
        <v>66</v>
      </c>
      <c r="D383" s="15">
        <v>65.42</v>
      </c>
      <c r="E383" s="15">
        <v>66.31</v>
      </c>
      <c r="F383" s="15">
        <v>65.739999999999995</v>
      </c>
      <c r="G383" s="16">
        <v>3.9549741405537743E-3</v>
      </c>
      <c r="H383" s="15" t="s">
        <v>1532</v>
      </c>
      <c r="I383" s="15">
        <v>1.45</v>
      </c>
      <c r="J383" s="15">
        <v>40.17</v>
      </c>
      <c r="K383" s="15">
        <v>59.51</v>
      </c>
      <c r="L383" s="28" t="str">
        <f>HYPERLINK("http://finance.yahoo.com/q?s=" &amp; A383, "Link")</f>
        <v>Link</v>
      </c>
      <c r="M383" s="15">
        <f>K383*0.9</f>
        <v>53.558999999999997</v>
      </c>
      <c r="N383" s="15" t="str">
        <f>IF(M383&gt;C383, "Buy", "")</f>
        <v/>
      </c>
      <c r="O383" s="33">
        <f>C383/K383</f>
        <v>1.1090573012939002</v>
      </c>
    </row>
    <row r="384" spans="1:15" ht="20.100000000000001" customHeight="1" x14ac:dyDescent="0.25">
      <c r="A384" s="21" t="s">
        <v>467</v>
      </c>
      <c r="B384" t="s">
        <v>834</v>
      </c>
      <c r="C384" s="15">
        <v>40.21</v>
      </c>
      <c r="D384" s="15">
        <v>40.159999999999997</v>
      </c>
      <c r="E384" s="15">
        <v>40.89</v>
      </c>
      <c r="F384" s="15">
        <v>40.270000000000003</v>
      </c>
      <c r="G384" s="16">
        <v>-1.4899428855227779E-3</v>
      </c>
      <c r="H384" s="15" t="s">
        <v>1384</v>
      </c>
      <c r="I384" s="15">
        <v>0.99</v>
      </c>
      <c r="J384" s="15" t="s">
        <v>124</v>
      </c>
      <c r="K384" s="15">
        <v>36.24</v>
      </c>
      <c r="L384" s="28" t="str">
        <f>HYPERLINK("http://finance.yahoo.com/q?s=" &amp; A384, "Link")</f>
        <v>Link</v>
      </c>
      <c r="M384" s="15">
        <f>K384*0.9</f>
        <v>32.616</v>
      </c>
      <c r="N384" s="15" t="str">
        <f>IF(M384&gt;C384, "Buy", "")</f>
        <v/>
      </c>
      <c r="O384" s="33">
        <f>C384/K384</f>
        <v>1.1095474613686533</v>
      </c>
    </row>
    <row r="385" spans="1:15" ht="20.100000000000001" customHeight="1" x14ac:dyDescent="0.25">
      <c r="A385" s="21" t="s">
        <v>235</v>
      </c>
      <c r="B385" t="s">
        <v>626</v>
      </c>
      <c r="C385" s="15">
        <v>72.88</v>
      </c>
      <c r="D385" s="15">
        <v>72.09</v>
      </c>
      <c r="E385" s="15">
        <v>73.650000000000006</v>
      </c>
      <c r="F385" s="15">
        <v>72.44</v>
      </c>
      <c r="G385" s="16">
        <v>6.073992269464353E-3</v>
      </c>
      <c r="H385" s="15" t="s">
        <v>1515</v>
      </c>
      <c r="I385" s="15">
        <v>2.31</v>
      </c>
      <c r="J385" s="15">
        <v>26.41</v>
      </c>
      <c r="K385" s="15">
        <v>65.680000000000007</v>
      </c>
      <c r="L385" s="28" t="str">
        <f>HYPERLINK("http://finance.yahoo.com/q?s=" &amp; A385, "Link")</f>
        <v>Link</v>
      </c>
      <c r="M385" s="15">
        <f>K385*0.9</f>
        <v>59.112000000000009</v>
      </c>
      <c r="N385" s="15" t="str">
        <f>IF(M385&gt;C385, "Buy", "")</f>
        <v/>
      </c>
      <c r="O385" s="33">
        <f>C385/K385</f>
        <v>1.1096224116930571</v>
      </c>
    </row>
    <row r="386" spans="1:15" ht="20.100000000000001" customHeight="1" x14ac:dyDescent="0.25">
      <c r="A386" s="21" t="s">
        <v>469</v>
      </c>
      <c r="B386" t="s">
        <v>836</v>
      </c>
      <c r="C386" s="15">
        <v>83.36</v>
      </c>
      <c r="D386" s="15">
        <v>82.76</v>
      </c>
      <c r="E386" s="15">
        <v>84.34</v>
      </c>
      <c r="F386" s="15">
        <v>83.52</v>
      </c>
      <c r="G386" s="16">
        <v>-1.9157088122604958E-3</v>
      </c>
      <c r="H386" s="15" t="s">
        <v>1567</v>
      </c>
      <c r="I386" s="15">
        <v>1.82</v>
      </c>
      <c r="J386" s="15">
        <v>19.3</v>
      </c>
      <c r="K386" s="15">
        <v>75.09</v>
      </c>
      <c r="L386" s="28" t="str">
        <f>HYPERLINK("http://finance.yahoo.com/q?s=" &amp; A386, "Link")</f>
        <v>Link</v>
      </c>
      <c r="M386" s="15">
        <f>K386*0.9</f>
        <v>67.581000000000003</v>
      </c>
      <c r="N386" s="15" t="str">
        <f>IF(M386&gt;C386, "Buy", "")</f>
        <v/>
      </c>
      <c r="O386" s="33">
        <f>C386/K386</f>
        <v>1.1101345052603542</v>
      </c>
    </row>
    <row r="387" spans="1:15" ht="20.100000000000001" customHeight="1" x14ac:dyDescent="0.25">
      <c r="A387" s="21" t="s">
        <v>360</v>
      </c>
      <c r="B387" t="s">
        <v>738</v>
      </c>
      <c r="C387" s="15">
        <v>40.61</v>
      </c>
      <c r="D387" s="15">
        <v>39.99</v>
      </c>
      <c r="E387" s="15">
        <v>40.619999999999997</v>
      </c>
      <c r="F387" s="15">
        <v>39.86</v>
      </c>
      <c r="G387" s="16">
        <v>1.8815855494229806E-2</v>
      </c>
      <c r="H387" s="15" t="s">
        <v>1487</v>
      </c>
      <c r="I387" s="15">
        <v>2</v>
      </c>
      <c r="J387" s="15">
        <v>13.82</v>
      </c>
      <c r="K387" s="15">
        <v>36.58</v>
      </c>
      <c r="L387" s="28" t="str">
        <f>HYPERLINK("http://finance.yahoo.com/q?s=" &amp; A387, "Link")</f>
        <v>Link</v>
      </c>
      <c r="M387" s="15">
        <f>K387*0.9</f>
        <v>32.921999999999997</v>
      </c>
      <c r="N387" s="15" t="str">
        <f>IF(M387&gt;C387, "Buy", "")</f>
        <v/>
      </c>
      <c r="O387" s="33">
        <f>C387/K387</f>
        <v>1.1101694915254237</v>
      </c>
    </row>
    <row r="388" spans="1:15" ht="20.100000000000001" customHeight="1" x14ac:dyDescent="0.25">
      <c r="A388" s="21" t="s">
        <v>242</v>
      </c>
      <c r="B388" t="s">
        <v>633</v>
      </c>
      <c r="C388" s="15">
        <v>103.24</v>
      </c>
      <c r="D388" s="15">
        <v>102.8</v>
      </c>
      <c r="E388" s="15">
        <v>103.74</v>
      </c>
      <c r="F388" s="15">
        <v>102.97</v>
      </c>
      <c r="G388" s="16">
        <v>2.6221229484315435E-3</v>
      </c>
      <c r="H388" s="15" t="s">
        <v>1517</v>
      </c>
      <c r="I388" s="15">
        <v>2.21</v>
      </c>
      <c r="J388" s="15">
        <v>30.89</v>
      </c>
      <c r="K388" s="15">
        <v>92.99</v>
      </c>
      <c r="L388" s="28" t="str">
        <f>HYPERLINK("http://finance.yahoo.com/q?s=" &amp; A388, "Link")</f>
        <v>Link</v>
      </c>
      <c r="M388" s="15">
        <f>K388*0.9</f>
        <v>83.691000000000003</v>
      </c>
      <c r="N388" s="15" t="str">
        <f>IF(M388&gt;C388, "Buy", "")</f>
        <v/>
      </c>
      <c r="O388" s="33">
        <f>C388/K388</f>
        <v>1.1102269061189376</v>
      </c>
    </row>
    <row r="389" spans="1:15" ht="20.100000000000001" customHeight="1" x14ac:dyDescent="0.25">
      <c r="A389" s="21" t="s">
        <v>306</v>
      </c>
      <c r="B389" t="s">
        <v>691</v>
      </c>
      <c r="C389" s="15">
        <v>73.44</v>
      </c>
      <c r="D389" s="15">
        <v>72.62</v>
      </c>
      <c r="E389" s="15">
        <v>73.66</v>
      </c>
      <c r="F389" s="15">
        <v>72.59</v>
      </c>
      <c r="G389" s="16">
        <v>1.1709601873536221E-2</v>
      </c>
      <c r="H389" s="15" t="s">
        <v>1494</v>
      </c>
      <c r="I389" s="15">
        <v>3.05</v>
      </c>
      <c r="J389" s="15">
        <v>21.51</v>
      </c>
      <c r="K389" s="15">
        <v>66.14</v>
      </c>
      <c r="L389" s="28" t="str">
        <f>HYPERLINK("http://finance.yahoo.com/q?s=" &amp; A389, "Link")</f>
        <v>Link</v>
      </c>
      <c r="M389" s="15">
        <f>K389*0.9</f>
        <v>59.526000000000003</v>
      </c>
      <c r="N389" s="15" t="str">
        <f>IF(M389&gt;C389, "Buy", "")</f>
        <v/>
      </c>
      <c r="O389" s="33">
        <f>C389/K389</f>
        <v>1.11037193831267</v>
      </c>
    </row>
    <row r="390" spans="1:15" ht="20.100000000000001" customHeight="1" x14ac:dyDescent="0.25">
      <c r="A390" s="21" t="s">
        <v>231</v>
      </c>
      <c r="B390" t="s">
        <v>622</v>
      </c>
      <c r="C390" s="15">
        <v>113.05</v>
      </c>
      <c r="D390" s="15">
        <v>112.35</v>
      </c>
      <c r="E390" s="15">
        <v>113.95</v>
      </c>
      <c r="F390" s="15">
        <v>112.98</v>
      </c>
      <c r="G390" s="16">
        <v>6.1957868649312425E-4</v>
      </c>
      <c r="H390" s="15" t="s">
        <v>1520</v>
      </c>
      <c r="I390" s="15">
        <v>2.65</v>
      </c>
      <c r="J390" s="15">
        <v>15.33</v>
      </c>
      <c r="K390" s="15">
        <v>101.8</v>
      </c>
      <c r="L390" s="28" t="str">
        <f>HYPERLINK("http://finance.yahoo.com/q?s=" &amp; A390, "Link")</f>
        <v>Link</v>
      </c>
      <c r="M390" s="15">
        <f>K390*0.9</f>
        <v>91.62</v>
      </c>
      <c r="N390" s="15" t="str">
        <f>IF(M390&gt;C390, "Buy", "")</f>
        <v/>
      </c>
      <c r="O390" s="33">
        <f>C390/K390</f>
        <v>1.1105108055009822</v>
      </c>
    </row>
    <row r="391" spans="1:15" ht="20.100000000000001" customHeight="1" x14ac:dyDescent="0.25">
      <c r="A391" s="21" t="s">
        <v>70</v>
      </c>
      <c r="B391" t="s">
        <v>177</v>
      </c>
      <c r="C391" s="15">
        <v>39.08</v>
      </c>
      <c r="D391" s="15">
        <v>38.29</v>
      </c>
      <c r="E391" s="15">
        <v>39.25</v>
      </c>
      <c r="F391" s="15">
        <v>37.9</v>
      </c>
      <c r="G391" s="16">
        <v>3.1134564643799465E-2</v>
      </c>
      <c r="H391" s="15" t="s">
        <v>1442</v>
      </c>
      <c r="I391" s="15">
        <v>0.51</v>
      </c>
      <c r="J391" s="15" t="s">
        <v>124</v>
      </c>
      <c r="K391" s="15">
        <v>35.159999999999997</v>
      </c>
      <c r="L391" s="28" t="str">
        <f>HYPERLINK("http://finance.yahoo.com/q?s=" &amp; A391, "Link")</f>
        <v>Link</v>
      </c>
      <c r="M391" s="15">
        <f>K391*0.9</f>
        <v>31.643999999999998</v>
      </c>
      <c r="N391" s="15" t="str">
        <f>IF(M391&gt;C391, "Buy", "")</f>
        <v/>
      </c>
      <c r="O391" s="33">
        <f>C391/K391</f>
        <v>1.111490329920364</v>
      </c>
    </row>
    <row r="392" spans="1:15" ht="20.100000000000001" customHeight="1" x14ac:dyDescent="0.25">
      <c r="A392" s="21" t="s">
        <v>526</v>
      </c>
      <c r="B392" t="s">
        <v>890</v>
      </c>
      <c r="C392" s="15">
        <v>74.14</v>
      </c>
      <c r="D392" s="15">
        <v>73.86</v>
      </c>
      <c r="E392" s="15">
        <v>75.19</v>
      </c>
      <c r="F392" s="15">
        <v>74.36</v>
      </c>
      <c r="G392" s="16">
        <v>-2.9585798816567895E-3</v>
      </c>
      <c r="H392" s="15" t="s">
        <v>1528</v>
      </c>
      <c r="I392" s="15">
        <v>1.33</v>
      </c>
      <c r="J392" s="15">
        <v>12.25</v>
      </c>
      <c r="K392" s="15">
        <v>66.62</v>
      </c>
      <c r="L392" s="28" t="str">
        <f>HYPERLINK("http://finance.yahoo.com/q?s=" &amp; A392, "Link")</f>
        <v>Link</v>
      </c>
      <c r="M392" s="15">
        <f>K392*0.9</f>
        <v>59.958000000000006</v>
      </c>
      <c r="N392" s="15" t="str">
        <f>IF(M392&gt;C392, "Buy", "")</f>
        <v/>
      </c>
      <c r="O392" s="33">
        <f>C392/K392</f>
        <v>1.1128790153107175</v>
      </c>
    </row>
    <row r="393" spans="1:15" ht="20.100000000000001" customHeight="1" x14ac:dyDescent="0.25">
      <c r="A393" s="21" t="s">
        <v>358</v>
      </c>
      <c r="B393" t="s">
        <v>1545</v>
      </c>
      <c r="C393" s="15">
        <v>34.14</v>
      </c>
      <c r="D393" s="15">
        <v>34.03</v>
      </c>
      <c r="E393" s="15">
        <v>34.46</v>
      </c>
      <c r="F393" s="15">
        <v>34.200000000000003</v>
      </c>
      <c r="G393" s="16">
        <v>-1.7543859649123471E-3</v>
      </c>
      <c r="H393" s="15" t="s">
        <v>1546</v>
      </c>
      <c r="I393" s="15">
        <v>3.27</v>
      </c>
      <c r="J393" s="15">
        <v>7.44</v>
      </c>
      <c r="K393" s="15">
        <v>30.67</v>
      </c>
      <c r="L393" s="28" t="str">
        <f>HYPERLINK("http://finance.yahoo.com/q?s=" &amp; A393, "Link")</f>
        <v>Link</v>
      </c>
      <c r="M393" s="15">
        <f>K393*0.9</f>
        <v>27.603000000000002</v>
      </c>
      <c r="N393" s="15" t="str">
        <f>IF(M393&gt;C393, "Buy", "")</f>
        <v/>
      </c>
      <c r="O393" s="33">
        <f>C393/K393</f>
        <v>1.1131398761004239</v>
      </c>
    </row>
    <row r="394" spans="1:15" ht="20.100000000000001" customHeight="1" x14ac:dyDescent="0.25">
      <c r="A394" s="21" t="s">
        <v>96</v>
      </c>
      <c r="B394" t="s">
        <v>116</v>
      </c>
      <c r="C394" s="15">
        <v>55.07</v>
      </c>
      <c r="D394" s="15">
        <v>54.62</v>
      </c>
      <c r="E394" s="15">
        <v>55.11</v>
      </c>
      <c r="F394" s="15">
        <v>54.58</v>
      </c>
      <c r="G394" s="16">
        <v>8.9776474899230848E-3</v>
      </c>
      <c r="H394" s="15" t="s">
        <v>1508</v>
      </c>
      <c r="I394" s="15">
        <v>2.8</v>
      </c>
      <c r="J394" s="15">
        <v>13.8</v>
      </c>
      <c r="K394" s="15">
        <v>49.4</v>
      </c>
      <c r="L394" s="28" t="str">
        <f>HYPERLINK("http://finance.yahoo.com/q?s=" &amp; A394, "Link")</f>
        <v>Link</v>
      </c>
      <c r="M394" s="15">
        <f>K394*0.9</f>
        <v>44.46</v>
      </c>
      <c r="N394" s="15" t="str">
        <f>IF(M394&gt;C394, "Buy", "")</f>
        <v/>
      </c>
      <c r="O394" s="33">
        <f>C394/K394</f>
        <v>1.1147773279352227</v>
      </c>
    </row>
    <row r="395" spans="1:15" ht="20.100000000000001" customHeight="1" x14ac:dyDescent="0.25">
      <c r="A395" s="21" t="s">
        <v>254</v>
      </c>
      <c r="B395" t="s">
        <v>644</v>
      </c>
      <c r="C395" s="15">
        <v>43.36</v>
      </c>
      <c r="D395" s="15">
        <v>42.5</v>
      </c>
      <c r="E395" s="15">
        <v>43.58</v>
      </c>
      <c r="F395" s="15">
        <v>43.63</v>
      </c>
      <c r="G395" s="16">
        <v>-6.1884024753610612E-3</v>
      </c>
      <c r="H395" s="15" t="s">
        <v>1340</v>
      </c>
      <c r="I395" s="15">
        <v>2.5</v>
      </c>
      <c r="J395" s="15">
        <v>12.94</v>
      </c>
      <c r="K395" s="15">
        <v>38.89</v>
      </c>
      <c r="L395" s="28" t="str">
        <f>HYPERLINK("http://finance.yahoo.com/q?s=" &amp; A395, "Link")</f>
        <v>Link</v>
      </c>
      <c r="M395" s="15">
        <f>K395*0.9</f>
        <v>35.001000000000005</v>
      </c>
      <c r="N395" s="15" t="str">
        <f>IF(M395&gt;C395, "Buy", "")</f>
        <v/>
      </c>
      <c r="O395" s="33">
        <f>C395/K395</f>
        <v>1.1149395731550527</v>
      </c>
    </row>
    <row r="396" spans="1:15" ht="20.100000000000001" customHeight="1" x14ac:dyDescent="0.25">
      <c r="A396" s="21" t="s">
        <v>245</v>
      </c>
      <c r="B396" t="s">
        <v>1119</v>
      </c>
      <c r="C396" s="15">
        <v>191.08</v>
      </c>
      <c r="D396" s="15">
        <v>188.1</v>
      </c>
      <c r="E396" s="15">
        <v>191.54</v>
      </c>
      <c r="F396" s="15">
        <v>185.56</v>
      </c>
      <c r="G396" s="16">
        <v>2.9747790472084555E-2</v>
      </c>
      <c r="H396" s="15" t="s">
        <v>1443</v>
      </c>
      <c r="I396" s="15">
        <v>2.14</v>
      </c>
      <c r="J396" s="15" t="s">
        <v>124</v>
      </c>
      <c r="K396" s="15">
        <v>171.27</v>
      </c>
      <c r="L396" s="28" t="str">
        <f>HYPERLINK("http://finance.yahoo.com/q?s=" &amp; A396, "Link")</f>
        <v>Link</v>
      </c>
      <c r="M396" s="15">
        <f>K396*0.9</f>
        <v>154.143</v>
      </c>
      <c r="N396" s="15" t="str">
        <f>IF(M396&gt;C396, "Buy", "")</f>
        <v/>
      </c>
      <c r="O396" s="33">
        <f>C396/K396</f>
        <v>1.1156653237578094</v>
      </c>
    </row>
    <row r="397" spans="1:15" ht="20.100000000000001" customHeight="1" x14ac:dyDescent="0.25">
      <c r="A397" s="21" t="s">
        <v>17</v>
      </c>
      <c r="B397" t="s">
        <v>111</v>
      </c>
      <c r="C397" s="15">
        <v>56.11</v>
      </c>
      <c r="D397" s="15">
        <v>56.03</v>
      </c>
      <c r="E397" s="15">
        <v>57.12</v>
      </c>
      <c r="F397" s="15">
        <v>56.66</v>
      </c>
      <c r="G397" s="16">
        <v>-9.7070243558065161E-3</v>
      </c>
      <c r="H397" s="15" t="s">
        <v>1554</v>
      </c>
      <c r="I397" s="15">
        <v>1.1399999999999999</v>
      </c>
      <c r="J397" s="15">
        <v>11.89</v>
      </c>
      <c r="K397" s="15">
        <v>50.2</v>
      </c>
      <c r="L397" s="28" t="str">
        <f>HYPERLINK("http://finance.yahoo.com/q?s=" &amp; A397, "Link")</f>
        <v>Link</v>
      </c>
      <c r="M397" s="15">
        <f>K397*0.9</f>
        <v>45.180000000000007</v>
      </c>
      <c r="N397" s="15" t="str">
        <f>IF(M397&gt;C397, "Buy", "")</f>
        <v/>
      </c>
      <c r="O397" s="33">
        <f>C397/K397</f>
        <v>1.1177290836653386</v>
      </c>
    </row>
    <row r="398" spans="1:15" ht="20.100000000000001" customHeight="1" x14ac:dyDescent="0.25">
      <c r="A398" s="21" t="s">
        <v>547</v>
      </c>
      <c r="B398" t="s">
        <v>909</v>
      </c>
      <c r="C398" s="15">
        <v>26.65</v>
      </c>
      <c r="D398" s="15">
        <v>26.57</v>
      </c>
      <c r="E398" s="15">
        <v>26.83</v>
      </c>
      <c r="F398" s="15">
        <v>26.56</v>
      </c>
      <c r="G398" s="16">
        <v>3.3885542168674647E-3</v>
      </c>
      <c r="H398" s="15" t="s">
        <v>1501</v>
      </c>
      <c r="I398" s="15">
        <v>1.1399999999999999</v>
      </c>
      <c r="J398" s="15">
        <v>7.7</v>
      </c>
      <c r="K398" s="15">
        <v>23.84</v>
      </c>
      <c r="L398" s="28" t="str">
        <f>HYPERLINK("http://finance.yahoo.com/q?s=" &amp; A398, "Link")</f>
        <v>Link</v>
      </c>
      <c r="M398" s="15">
        <f>K398*0.9</f>
        <v>21.456</v>
      </c>
      <c r="N398" s="15" t="str">
        <f>IF(M398&gt;C398, "Buy", "")</f>
        <v/>
      </c>
      <c r="O398" s="33">
        <f>C398/K398</f>
        <v>1.1178691275167785</v>
      </c>
    </row>
    <row r="399" spans="1:15" ht="20.100000000000001" customHeight="1" x14ac:dyDescent="0.25">
      <c r="A399" s="21" t="s">
        <v>543</v>
      </c>
      <c r="B399" t="s">
        <v>905</v>
      </c>
      <c r="C399" s="15">
        <v>79.010000000000005</v>
      </c>
      <c r="D399" s="15">
        <v>78.459999999999994</v>
      </c>
      <c r="E399" s="15">
        <v>79.41</v>
      </c>
      <c r="F399" s="15">
        <v>78.75</v>
      </c>
      <c r="G399" s="16">
        <v>3.3015873015873665E-3</v>
      </c>
      <c r="H399" s="15" t="s">
        <v>1543</v>
      </c>
      <c r="I399" s="15">
        <v>1.9</v>
      </c>
      <c r="J399" s="15">
        <v>16.170000000000002</v>
      </c>
      <c r="K399" s="15">
        <v>70.63</v>
      </c>
      <c r="L399" s="28" t="str">
        <f>HYPERLINK("http://finance.yahoo.com/q?s=" &amp; A399, "Link")</f>
        <v>Link</v>
      </c>
      <c r="M399" s="15">
        <f>K399*0.9</f>
        <v>63.567</v>
      </c>
      <c r="N399" s="15" t="str">
        <f>IF(M399&gt;C399, "Buy", "")</f>
        <v/>
      </c>
      <c r="O399" s="33">
        <f>C399/K399</f>
        <v>1.1186464675067254</v>
      </c>
    </row>
    <row r="400" spans="1:15" ht="20.100000000000001" customHeight="1" x14ac:dyDescent="0.25">
      <c r="A400" s="21" t="s">
        <v>561</v>
      </c>
      <c r="B400" t="s">
        <v>921</v>
      </c>
      <c r="C400" s="15">
        <v>73.989999999999995</v>
      </c>
      <c r="D400" s="15">
        <v>73.5</v>
      </c>
      <c r="E400" s="15">
        <v>74.27</v>
      </c>
      <c r="F400" s="15">
        <v>73.62</v>
      </c>
      <c r="G400" s="16">
        <v>5.0258082042921801E-3</v>
      </c>
      <c r="H400" s="15" t="s">
        <v>1503</v>
      </c>
      <c r="I400" s="15">
        <v>0.76</v>
      </c>
      <c r="J400" s="15">
        <v>16.68</v>
      </c>
      <c r="K400" s="15">
        <v>66.11</v>
      </c>
      <c r="L400" s="28" t="str">
        <f>HYPERLINK("http://finance.yahoo.com/q?s=" &amp; A400, "Link")</f>
        <v>Link</v>
      </c>
      <c r="M400" s="15">
        <f>K400*0.9</f>
        <v>59.499000000000002</v>
      </c>
      <c r="N400" s="15" t="str">
        <f>IF(M400&gt;C400, "Buy", "")</f>
        <v/>
      </c>
      <c r="O400" s="33">
        <f>C400/K400</f>
        <v>1.119195280592951</v>
      </c>
    </row>
    <row r="401" spans="1:15" ht="20.100000000000001" customHeight="1" x14ac:dyDescent="0.25">
      <c r="A401" s="21" t="s">
        <v>393</v>
      </c>
      <c r="B401" t="s">
        <v>769</v>
      </c>
      <c r="C401" s="15">
        <v>53.69</v>
      </c>
      <c r="D401" s="15">
        <v>53.13</v>
      </c>
      <c r="E401" s="15">
        <v>53.96</v>
      </c>
      <c r="F401" s="15">
        <v>52.68</v>
      </c>
      <c r="G401" s="16">
        <v>1.9172361427486673E-2</v>
      </c>
      <c r="H401" s="15" t="s">
        <v>1505</v>
      </c>
      <c r="I401" s="15">
        <v>3.45</v>
      </c>
      <c r="J401" s="15">
        <v>25.86</v>
      </c>
      <c r="K401" s="15">
        <v>47.94</v>
      </c>
      <c r="L401" s="28" t="str">
        <f>HYPERLINK("http://finance.yahoo.com/q?s=" &amp; A401, "Link")</f>
        <v>Link</v>
      </c>
      <c r="M401" s="15">
        <f>K401*0.9</f>
        <v>43.146000000000001</v>
      </c>
      <c r="N401" s="15" t="str">
        <f>IF(M401&gt;C401, "Buy", "")</f>
        <v/>
      </c>
      <c r="O401" s="33">
        <f>C401/K401</f>
        <v>1.11994159365874</v>
      </c>
    </row>
    <row r="402" spans="1:15" ht="20.100000000000001" customHeight="1" x14ac:dyDescent="0.25">
      <c r="A402" s="21" t="s">
        <v>273</v>
      </c>
      <c r="B402" t="s">
        <v>662</v>
      </c>
      <c r="C402" s="15">
        <v>63.49</v>
      </c>
      <c r="D402" s="15">
        <v>62.57</v>
      </c>
      <c r="E402" s="15">
        <v>63.58</v>
      </c>
      <c r="F402" s="15">
        <v>62.63</v>
      </c>
      <c r="G402" s="16">
        <v>1.3731438607695982E-2</v>
      </c>
      <c r="H402" s="15" t="s">
        <v>1484</v>
      </c>
      <c r="I402" s="15">
        <v>1.1299999999999999</v>
      </c>
      <c r="J402" s="15">
        <v>17.829999999999998</v>
      </c>
      <c r="K402" s="15">
        <v>56.59</v>
      </c>
      <c r="L402" s="28" t="str">
        <f>HYPERLINK("http://finance.yahoo.com/q?s=" &amp; A402, "Link")</f>
        <v>Link</v>
      </c>
      <c r="M402" s="15">
        <f>K402*0.9</f>
        <v>50.931000000000004</v>
      </c>
      <c r="N402" s="15" t="str">
        <f>IF(M402&gt;C402, "Buy", "")</f>
        <v/>
      </c>
      <c r="O402" s="33">
        <f>C402/K402</f>
        <v>1.1219296695529246</v>
      </c>
    </row>
    <row r="403" spans="1:15" ht="20.100000000000001" customHeight="1" x14ac:dyDescent="0.25">
      <c r="A403" s="21" t="s">
        <v>427</v>
      </c>
      <c r="B403" t="s">
        <v>800</v>
      </c>
      <c r="C403" s="15">
        <v>90.89</v>
      </c>
      <c r="D403" s="15">
        <v>90.16</v>
      </c>
      <c r="E403" s="15">
        <v>91.95</v>
      </c>
      <c r="F403" s="15">
        <v>89.76</v>
      </c>
      <c r="G403" s="16">
        <v>1.2589126559714744E-2</v>
      </c>
      <c r="H403" s="15" t="s">
        <v>1495</v>
      </c>
      <c r="I403" s="15">
        <v>3.74</v>
      </c>
      <c r="J403" s="15">
        <v>10.11</v>
      </c>
      <c r="K403" s="15">
        <v>80.92</v>
      </c>
      <c r="L403" s="28" t="str">
        <f>HYPERLINK("http://finance.yahoo.com/q?s=" &amp; A403, "Link")</f>
        <v>Link</v>
      </c>
      <c r="M403" s="15">
        <f>K403*0.9</f>
        <v>72.828000000000003</v>
      </c>
      <c r="N403" s="15" t="str">
        <f>IF(M403&gt;C403, "Buy", "")</f>
        <v/>
      </c>
      <c r="O403" s="33">
        <f>C403/K403</f>
        <v>1.1232081067721207</v>
      </c>
    </row>
    <row r="404" spans="1:15" ht="20.100000000000001" customHeight="1" x14ac:dyDescent="0.25">
      <c r="A404" s="21" t="s">
        <v>476</v>
      </c>
      <c r="B404" t="s">
        <v>843</v>
      </c>
      <c r="C404" s="15">
        <v>56.59</v>
      </c>
      <c r="D404" s="15">
        <v>56.26</v>
      </c>
      <c r="E404" s="15">
        <v>56.81</v>
      </c>
      <c r="F404" s="15">
        <v>55.96</v>
      </c>
      <c r="G404" s="16">
        <v>1.1258041458184462E-2</v>
      </c>
      <c r="H404" s="15" t="s">
        <v>1507</v>
      </c>
      <c r="I404" s="15">
        <v>4.3499999999999996</v>
      </c>
      <c r="J404" s="15">
        <v>41.79</v>
      </c>
      <c r="K404" s="15">
        <v>50.31</v>
      </c>
      <c r="L404" s="28" t="str">
        <f>HYPERLINK("http://finance.yahoo.com/q?s=" &amp; A404, "Link")</f>
        <v>Link</v>
      </c>
      <c r="M404" s="15">
        <f>K404*0.9</f>
        <v>45.279000000000003</v>
      </c>
      <c r="N404" s="15" t="str">
        <f>IF(M404&gt;C404, "Buy", "")</f>
        <v/>
      </c>
      <c r="O404" s="33">
        <f>C404/K404</f>
        <v>1.1248260783144504</v>
      </c>
    </row>
    <row r="405" spans="1:15" ht="20.100000000000001" customHeight="1" x14ac:dyDescent="0.25">
      <c r="A405" s="21" t="s">
        <v>479</v>
      </c>
      <c r="B405" t="s">
        <v>846</v>
      </c>
      <c r="C405" s="15">
        <v>142.52000000000001</v>
      </c>
      <c r="D405" s="15">
        <v>142.44</v>
      </c>
      <c r="E405" s="15">
        <v>144.5</v>
      </c>
      <c r="F405" s="15">
        <v>143.75</v>
      </c>
      <c r="G405" s="16">
        <v>-8.5565217391303638E-3</v>
      </c>
      <c r="H405" s="15" t="s">
        <v>1538</v>
      </c>
      <c r="I405" s="15">
        <v>1.77</v>
      </c>
      <c r="J405" s="15">
        <v>23.63</v>
      </c>
      <c r="K405" s="15">
        <v>126.66</v>
      </c>
      <c r="L405" s="28" t="str">
        <f>HYPERLINK("http://finance.yahoo.com/q?s=" &amp; A405, "Link")</f>
        <v>Link</v>
      </c>
      <c r="M405" s="15">
        <f>K405*0.9</f>
        <v>113.994</v>
      </c>
      <c r="N405" s="15" t="str">
        <f>IF(M405&gt;C405, "Buy", "")</f>
        <v/>
      </c>
      <c r="O405" s="33">
        <f>C405/K405</f>
        <v>1.1252171166903522</v>
      </c>
    </row>
    <row r="406" spans="1:15" ht="20.100000000000001" customHeight="1" x14ac:dyDescent="0.25">
      <c r="A406" s="21" t="s">
        <v>567</v>
      </c>
      <c r="B406" t="s">
        <v>1133</v>
      </c>
      <c r="C406" s="15">
        <v>45.59</v>
      </c>
      <c r="D406" s="15" t="s">
        <v>124</v>
      </c>
      <c r="E406" s="15" t="s">
        <v>124</v>
      </c>
      <c r="F406" s="15">
        <v>45.59</v>
      </c>
      <c r="G406" s="16">
        <v>0</v>
      </c>
      <c r="H406" s="15" t="s">
        <v>124</v>
      </c>
      <c r="I406" s="15">
        <v>0</v>
      </c>
      <c r="J406" s="15" t="s">
        <v>124</v>
      </c>
      <c r="K406" s="15">
        <v>40.5</v>
      </c>
      <c r="L406" s="28" t="str">
        <f>HYPERLINK("http://finance.yahoo.com/q?s=" &amp; A406, "Link")</f>
        <v>Link</v>
      </c>
      <c r="M406" s="15">
        <f>K406*0.9</f>
        <v>36.450000000000003</v>
      </c>
      <c r="N406" s="15" t="str">
        <f>IF(M406&gt;C406, "Buy", "")</f>
        <v/>
      </c>
      <c r="O406" s="33">
        <f>C406/K406</f>
        <v>1.125679012345679</v>
      </c>
    </row>
    <row r="407" spans="1:15" ht="20.100000000000001" customHeight="1" x14ac:dyDescent="0.25">
      <c r="A407" s="21" t="s">
        <v>433</v>
      </c>
      <c r="B407" t="s">
        <v>806</v>
      </c>
      <c r="C407" s="15">
        <v>48.76</v>
      </c>
      <c r="D407" s="15">
        <v>48.4</v>
      </c>
      <c r="E407" s="15">
        <v>49.04</v>
      </c>
      <c r="F407" s="15">
        <v>48.37</v>
      </c>
      <c r="G407" s="16">
        <v>8.0628488732685678E-3</v>
      </c>
      <c r="H407" s="15" t="s">
        <v>1322</v>
      </c>
      <c r="I407" s="15">
        <v>2.94</v>
      </c>
      <c r="J407" s="15">
        <v>22.96</v>
      </c>
      <c r="K407" s="15">
        <v>43.3</v>
      </c>
      <c r="L407" s="28" t="str">
        <f>HYPERLINK("http://finance.yahoo.com/q?s=" &amp; A407, "Link")</f>
        <v>Link</v>
      </c>
      <c r="M407" s="15">
        <f>K407*0.9</f>
        <v>38.97</v>
      </c>
      <c r="N407" s="15" t="str">
        <f>IF(M407&gt;C407, "Buy", "")</f>
        <v/>
      </c>
      <c r="O407" s="33">
        <f>C407/K407</f>
        <v>1.1260969976905313</v>
      </c>
    </row>
    <row r="408" spans="1:15" ht="20.100000000000001" customHeight="1" x14ac:dyDescent="0.25">
      <c r="A408" s="21" t="s">
        <v>497</v>
      </c>
      <c r="B408" t="s">
        <v>862</v>
      </c>
      <c r="C408" s="15">
        <v>58.24</v>
      </c>
      <c r="D408" s="15">
        <v>57.95</v>
      </c>
      <c r="E408" s="15">
        <v>58.94</v>
      </c>
      <c r="F408" s="15">
        <v>58.3</v>
      </c>
      <c r="G408" s="16">
        <v>-1.0291595197254747E-3</v>
      </c>
      <c r="H408" s="15" t="s">
        <v>1527</v>
      </c>
      <c r="I408" s="15">
        <v>2.95</v>
      </c>
      <c r="J408" s="15">
        <v>13.65</v>
      </c>
      <c r="K408" s="15">
        <v>51.6</v>
      </c>
      <c r="L408" s="28" t="str">
        <f>HYPERLINK("http://finance.yahoo.com/q?s=" &amp; A408, "Link")</f>
        <v>Link</v>
      </c>
      <c r="M408" s="15">
        <f>K408*0.9</f>
        <v>46.440000000000005</v>
      </c>
      <c r="N408" s="15" t="str">
        <f>IF(M408&gt;C408, "Buy", "")</f>
        <v/>
      </c>
      <c r="O408" s="33">
        <f>C408/K408</f>
        <v>1.1286821705426358</v>
      </c>
    </row>
    <row r="409" spans="1:15" ht="20.100000000000001" customHeight="1" x14ac:dyDescent="0.25">
      <c r="A409" s="21" t="s">
        <v>89</v>
      </c>
      <c r="B409" t="s">
        <v>196</v>
      </c>
      <c r="C409" s="15">
        <v>108.6</v>
      </c>
      <c r="D409" s="15">
        <v>106.61</v>
      </c>
      <c r="E409" s="15">
        <v>108.64</v>
      </c>
      <c r="F409" s="15">
        <v>106.24</v>
      </c>
      <c r="G409" s="16">
        <v>2.2213855421686742E-2</v>
      </c>
      <c r="H409" s="15" t="s">
        <v>1478</v>
      </c>
      <c r="I409" s="15">
        <v>2.23</v>
      </c>
      <c r="J409" s="15">
        <v>21.42</v>
      </c>
      <c r="K409" s="15">
        <v>96.18</v>
      </c>
      <c r="L409" s="28" t="str">
        <f>HYPERLINK("http://finance.yahoo.com/q?s=" &amp; A409, "Link")</f>
        <v>Link</v>
      </c>
      <c r="M409" s="15">
        <f>K409*0.9</f>
        <v>86.562000000000012</v>
      </c>
      <c r="N409" s="15" t="str">
        <f>IF(M409&gt;C409, "Buy", "")</f>
        <v/>
      </c>
      <c r="O409" s="33">
        <f>C409/K409</f>
        <v>1.1291328758577666</v>
      </c>
    </row>
    <row r="410" spans="1:15" ht="20.100000000000001" customHeight="1" x14ac:dyDescent="0.25">
      <c r="A410" s="21" t="s">
        <v>390</v>
      </c>
      <c r="B410" t="s">
        <v>766</v>
      </c>
      <c r="C410" s="15">
        <v>78.64</v>
      </c>
      <c r="D410" s="15">
        <v>78.150000000000006</v>
      </c>
      <c r="E410" s="15">
        <v>78.72</v>
      </c>
      <c r="F410" s="15">
        <v>78.25</v>
      </c>
      <c r="G410" s="16">
        <v>4.9840255591054386E-3</v>
      </c>
      <c r="H410" s="15" t="s">
        <v>1496</v>
      </c>
      <c r="I410" s="15">
        <v>2.0299999999999998</v>
      </c>
      <c r="J410" s="15">
        <v>13.65</v>
      </c>
      <c r="K410" s="15">
        <v>69.64</v>
      </c>
      <c r="L410" s="28" t="str">
        <f>HYPERLINK("http://finance.yahoo.com/q?s=" &amp; A410, "Link")</f>
        <v>Link</v>
      </c>
      <c r="M410" s="15">
        <f>K410*0.9</f>
        <v>62.676000000000002</v>
      </c>
      <c r="N410" s="15" t="str">
        <f>IF(M410&gt;C410, "Buy", "")</f>
        <v/>
      </c>
      <c r="O410" s="33">
        <f>C410/K410</f>
        <v>1.1292360712234348</v>
      </c>
    </row>
    <row r="411" spans="1:15" ht="20.100000000000001" customHeight="1" x14ac:dyDescent="0.25">
      <c r="A411" s="21" t="s">
        <v>251</v>
      </c>
      <c r="B411" t="s">
        <v>641</v>
      </c>
      <c r="C411" s="15">
        <v>45.42</v>
      </c>
      <c r="D411" s="15">
        <v>45.24</v>
      </c>
      <c r="E411" s="15">
        <v>45.9</v>
      </c>
      <c r="F411" s="15">
        <v>45.29</v>
      </c>
      <c r="G411" s="16">
        <v>2.8703908147494493E-3</v>
      </c>
      <c r="H411" s="15" t="s">
        <v>1540</v>
      </c>
      <c r="I411" s="15">
        <v>2.6</v>
      </c>
      <c r="J411" s="15">
        <v>16.399999999999999</v>
      </c>
      <c r="K411" s="15">
        <v>40.21</v>
      </c>
      <c r="L411" s="28" t="str">
        <f>HYPERLINK("http://finance.yahoo.com/q?s=" &amp; A411, "Link")</f>
        <v>Link</v>
      </c>
      <c r="M411" s="15">
        <f>K411*0.9</f>
        <v>36.189</v>
      </c>
      <c r="N411" s="15" t="str">
        <f>IF(M411&gt;C411, "Buy", "")</f>
        <v/>
      </c>
      <c r="O411" s="33">
        <f>C411/K411</f>
        <v>1.1295697587664759</v>
      </c>
    </row>
    <row r="412" spans="1:15" ht="20.100000000000001" customHeight="1" x14ac:dyDescent="0.25">
      <c r="A412" s="21" t="s">
        <v>422</v>
      </c>
      <c r="B412" t="s">
        <v>795</v>
      </c>
      <c r="C412" s="15">
        <v>58.89</v>
      </c>
      <c r="D412" s="15">
        <v>58.85</v>
      </c>
      <c r="E412" s="15">
        <v>59.3</v>
      </c>
      <c r="F412" s="15">
        <v>58.77</v>
      </c>
      <c r="G412" s="16">
        <v>2.0418580908626413E-3</v>
      </c>
      <c r="H412" s="15" t="s">
        <v>1510</v>
      </c>
      <c r="I412" s="15" t="s">
        <v>124</v>
      </c>
      <c r="J412" s="15">
        <v>5.7</v>
      </c>
      <c r="K412" s="15">
        <v>52.12</v>
      </c>
      <c r="L412" s="28" t="str">
        <f>HYPERLINK("http://finance.yahoo.com/q?s=" &amp; A412, "Link")</f>
        <v>Link</v>
      </c>
      <c r="M412" s="15">
        <f>K412*0.9</f>
        <v>46.908000000000001</v>
      </c>
      <c r="N412" s="15" t="str">
        <f>IF(M412&gt;C412, "Buy", "")</f>
        <v/>
      </c>
      <c r="O412" s="33">
        <f>C412/K412</f>
        <v>1.129892555640829</v>
      </c>
    </row>
    <row r="413" spans="1:15" ht="20.100000000000001" customHeight="1" x14ac:dyDescent="0.25">
      <c r="A413" s="21" t="s">
        <v>257</v>
      </c>
      <c r="B413" t="s">
        <v>647</v>
      </c>
      <c r="C413" s="15">
        <v>39.86</v>
      </c>
      <c r="D413" s="15">
        <v>39.51</v>
      </c>
      <c r="E413" s="15">
        <v>40.03</v>
      </c>
      <c r="F413" s="15">
        <v>39.82</v>
      </c>
      <c r="G413" s="16">
        <v>1.0045203415368948E-3</v>
      </c>
      <c r="H413" s="15" t="s">
        <v>1525</v>
      </c>
      <c r="I413" s="15">
        <v>1.33</v>
      </c>
      <c r="J413" s="15">
        <v>16.23</v>
      </c>
      <c r="K413" s="15">
        <v>35.270000000000003</v>
      </c>
      <c r="L413" s="28" t="str">
        <f>HYPERLINK("http://finance.yahoo.com/q?s=" &amp; A413, "Link")</f>
        <v>Link</v>
      </c>
      <c r="M413" s="15">
        <f>K413*0.9</f>
        <v>31.743000000000002</v>
      </c>
      <c r="N413" s="15" t="str">
        <f>IF(M413&gt;C413, "Buy", "")</f>
        <v/>
      </c>
      <c r="O413" s="33">
        <f>C413/K413</f>
        <v>1.1301389282676495</v>
      </c>
    </row>
    <row r="414" spans="1:15" ht="20.100000000000001" customHeight="1" x14ac:dyDescent="0.25">
      <c r="A414" s="21" t="s">
        <v>91</v>
      </c>
      <c r="B414" t="s">
        <v>198</v>
      </c>
      <c r="C414" s="15">
        <v>51.2</v>
      </c>
      <c r="D414" s="15">
        <v>50.89</v>
      </c>
      <c r="E414" s="15">
        <v>51.65</v>
      </c>
      <c r="F414" s="15">
        <v>50.73</v>
      </c>
      <c r="G414" s="16">
        <v>9.2647348708851957E-3</v>
      </c>
      <c r="H414" s="15" t="s">
        <v>1524</v>
      </c>
      <c r="I414" s="15">
        <v>2.19</v>
      </c>
      <c r="J414" s="15">
        <v>15.8</v>
      </c>
      <c r="K414" s="15">
        <v>45.3</v>
      </c>
      <c r="L414" s="28" t="str">
        <f>HYPERLINK("http://finance.yahoo.com/q?s=" &amp; A414, "Link")</f>
        <v>Link</v>
      </c>
      <c r="M414" s="15">
        <f>K414*0.9</f>
        <v>40.769999999999996</v>
      </c>
      <c r="N414" s="15" t="str">
        <f>IF(M414&gt;C414, "Buy", "")</f>
        <v/>
      </c>
      <c r="O414" s="33">
        <f>C414/K414</f>
        <v>1.1302428256070642</v>
      </c>
    </row>
    <row r="415" spans="1:15" ht="20.100000000000001" customHeight="1" x14ac:dyDescent="0.25">
      <c r="A415" s="21" t="s">
        <v>432</v>
      </c>
      <c r="B415" t="s">
        <v>805</v>
      </c>
      <c r="C415" s="15">
        <v>17.61</v>
      </c>
      <c r="D415" s="15">
        <v>17.420000000000002</v>
      </c>
      <c r="E415" s="15">
        <v>17.75</v>
      </c>
      <c r="F415" s="15">
        <v>17.27</v>
      </c>
      <c r="G415" s="16">
        <v>1.9687319050376368E-2</v>
      </c>
      <c r="H415" s="15" t="s">
        <v>1509</v>
      </c>
      <c r="I415" s="15">
        <v>1.1399999999999999</v>
      </c>
      <c r="J415" s="15" t="s">
        <v>124</v>
      </c>
      <c r="K415" s="15">
        <v>15.58</v>
      </c>
      <c r="L415" s="28" t="str">
        <f>HYPERLINK("http://finance.yahoo.com/q?s=" &amp; A415, "Link")</f>
        <v>Link</v>
      </c>
      <c r="M415" s="15">
        <f>K415*0.9</f>
        <v>14.022</v>
      </c>
      <c r="N415" s="15" t="str">
        <f>IF(M415&gt;C415, "Buy", "")</f>
        <v/>
      </c>
      <c r="O415" s="33">
        <f>C415/K415</f>
        <v>1.1302952503209243</v>
      </c>
    </row>
    <row r="416" spans="1:15" ht="20.100000000000001" customHeight="1" x14ac:dyDescent="0.25">
      <c r="A416" s="21" t="s">
        <v>515</v>
      </c>
      <c r="B416" t="s">
        <v>879</v>
      </c>
      <c r="C416" s="15">
        <v>58.71</v>
      </c>
      <c r="D416" s="15">
        <v>58.49</v>
      </c>
      <c r="E416" s="15">
        <v>58.77</v>
      </c>
      <c r="F416" s="15">
        <v>58.58</v>
      </c>
      <c r="G416" s="16">
        <v>2.2191874359850216E-3</v>
      </c>
      <c r="H416" s="15" t="s">
        <v>1458</v>
      </c>
      <c r="I416" s="15">
        <v>3.17</v>
      </c>
      <c r="J416" s="15">
        <v>15.25</v>
      </c>
      <c r="K416" s="15">
        <v>51.9</v>
      </c>
      <c r="L416" s="28" t="str">
        <f>HYPERLINK("http://finance.yahoo.com/q?s=" &amp; A416, "Link")</f>
        <v>Link</v>
      </c>
      <c r="M416" s="15">
        <f>K416*0.9</f>
        <v>46.71</v>
      </c>
      <c r="N416" s="15" t="str">
        <f>IF(M416&gt;C416, "Buy", "")</f>
        <v/>
      </c>
      <c r="O416" s="33">
        <f>C416/K416</f>
        <v>1.13121387283237</v>
      </c>
    </row>
    <row r="417" spans="1:15" ht="20.100000000000001" customHeight="1" x14ac:dyDescent="0.25">
      <c r="A417" s="21" t="s">
        <v>521</v>
      </c>
      <c r="B417" t="s">
        <v>885</v>
      </c>
      <c r="C417" s="15">
        <v>85.04</v>
      </c>
      <c r="D417" s="15">
        <v>84.5</v>
      </c>
      <c r="E417" s="15">
        <v>86.54</v>
      </c>
      <c r="F417" s="15">
        <v>84.56</v>
      </c>
      <c r="G417" s="16">
        <v>5.6764427625355246E-3</v>
      </c>
      <c r="H417" s="15" t="s">
        <v>1480</v>
      </c>
      <c r="I417" s="15">
        <v>2.2599999999999998</v>
      </c>
      <c r="J417" s="15">
        <v>15.04</v>
      </c>
      <c r="K417" s="15">
        <v>75.06</v>
      </c>
      <c r="L417" s="28" t="str">
        <f>HYPERLINK("http://finance.yahoo.com/q?s=" &amp; A417, "Link")</f>
        <v>Link</v>
      </c>
      <c r="M417" s="15">
        <f>K417*0.9</f>
        <v>67.554000000000002</v>
      </c>
      <c r="N417" s="15" t="str">
        <f>IF(M417&gt;C417, "Buy", "")</f>
        <v/>
      </c>
      <c r="O417" s="33">
        <f>C417/K417</f>
        <v>1.1329602984279243</v>
      </c>
    </row>
    <row r="418" spans="1:15" ht="20.100000000000001" customHeight="1" x14ac:dyDescent="0.25">
      <c r="A418" s="21" t="s">
        <v>335</v>
      </c>
      <c r="B418" t="s">
        <v>714</v>
      </c>
      <c r="C418" s="15">
        <v>105.47</v>
      </c>
      <c r="D418" s="15">
        <v>105.3</v>
      </c>
      <c r="E418" s="15">
        <v>106.79</v>
      </c>
      <c r="F418" s="15">
        <v>105.19</v>
      </c>
      <c r="G418" s="16">
        <v>2.6618499857401002E-3</v>
      </c>
      <c r="H418" s="15" t="s">
        <v>1518</v>
      </c>
      <c r="I418" s="15">
        <v>0.64</v>
      </c>
      <c r="J418" s="15" t="s">
        <v>124</v>
      </c>
      <c r="K418" s="15">
        <v>93.09</v>
      </c>
      <c r="L418" s="28" t="str">
        <f>HYPERLINK("http://finance.yahoo.com/q?s=" &amp; A418, "Link")</f>
        <v>Link</v>
      </c>
      <c r="M418" s="15">
        <f>K418*0.9</f>
        <v>83.781000000000006</v>
      </c>
      <c r="N418" s="15" t="str">
        <f>IF(M418&gt;C418, "Buy", "")</f>
        <v/>
      </c>
      <c r="O418" s="33">
        <f>C418/K418</f>
        <v>1.132989579976367</v>
      </c>
    </row>
    <row r="419" spans="1:15" ht="20.100000000000001" customHeight="1" x14ac:dyDescent="0.25">
      <c r="A419" s="21" t="s">
        <v>39</v>
      </c>
      <c r="B419" t="s">
        <v>151</v>
      </c>
      <c r="C419" s="15">
        <v>30.05</v>
      </c>
      <c r="D419" s="15">
        <v>29.84</v>
      </c>
      <c r="E419" s="15">
        <v>30.12</v>
      </c>
      <c r="F419" s="15">
        <v>29.8</v>
      </c>
      <c r="G419" s="16">
        <v>8.389261744966443E-3</v>
      </c>
      <c r="H419" s="15" t="s">
        <v>1178</v>
      </c>
      <c r="I419" s="15">
        <v>1.2</v>
      </c>
      <c r="J419" s="15">
        <v>19.86</v>
      </c>
      <c r="K419" s="15">
        <v>26.52</v>
      </c>
      <c r="L419" s="28" t="str">
        <f>HYPERLINK("http://finance.yahoo.com/q?s=" &amp; A419, "Link")</f>
        <v>Link</v>
      </c>
      <c r="M419" s="15">
        <f>K419*0.9</f>
        <v>23.867999999999999</v>
      </c>
      <c r="N419" s="15" t="str">
        <f>IF(M419&gt;C419, "Buy", "")</f>
        <v/>
      </c>
      <c r="O419" s="33">
        <f>C419/K419</f>
        <v>1.1331070889894419</v>
      </c>
    </row>
    <row r="420" spans="1:15" ht="20.100000000000001" customHeight="1" x14ac:dyDescent="0.25">
      <c r="A420" s="21" t="s">
        <v>10</v>
      </c>
      <c r="B420" t="s">
        <v>127</v>
      </c>
      <c r="C420" s="15">
        <v>76.2</v>
      </c>
      <c r="D420" s="15">
        <v>75.39</v>
      </c>
      <c r="E420" s="15">
        <v>76.91</v>
      </c>
      <c r="F420" s="15">
        <v>76.69</v>
      </c>
      <c r="G420" s="16">
        <v>-6.3893597600729549E-3</v>
      </c>
      <c r="H420" s="15" t="s">
        <v>1159</v>
      </c>
      <c r="I420" s="15">
        <v>1.68</v>
      </c>
      <c r="J420" s="15">
        <v>13.49</v>
      </c>
      <c r="K420" s="15">
        <v>67.17</v>
      </c>
      <c r="L420" s="28" t="str">
        <f>HYPERLINK("http://finance.yahoo.com/q?s=" &amp; A420, "Link")</f>
        <v>Link</v>
      </c>
      <c r="M420" s="15">
        <f>K420*0.9</f>
        <v>60.453000000000003</v>
      </c>
      <c r="N420" s="15" t="str">
        <f>IF(M420&gt;C420, "Buy", "")</f>
        <v/>
      </c>
      <c r="O420" s="33">
        <f>C420/K420</f>
        <v>1.1344350156319787</v>
      </c>
    </row>
    <row r="421" spans="1:15" ht="20.100000000000001" customHeight="1" x14ac:dyDescent="0.25">
      <c r="A421" s="21" t="s">
        <v>40</v>
      </c>
      <c r="B421" t="s">
        <v>152</v>
      </c>
      <c r="C421" s="15">
        <v>178.28</v>
      </c>
      <c r="D421" s="15">
        <v>176.85</v>
      </c>
      <c r="E421" s="15">
        <v>178.92</v>
      </c>
      <c r="F421" s="15">
        <v>177.81</v>
      </c>
      <c r="G421" s="16">
        <v>2.6432709071480729E-3</v>
      </c>
      <c r="H421" s="15" t="s">
        <v>1519</v>
      </c>
      <c r="I421" s="15">
        <v>1.71</v>
      </c>
      <c r="J421" s="15">
        <v>19.079999999999998</v>
      </c>
      <c r="K421" s="15">
        <v>157.15</v>
      </c>
      <c r="L421" s="28" t="str">
        <f>HYPERLINK("http://finance.yahoo.com/q?s=" &amp; A421, "Link")</f>
        <v>Link</v>
      </c>
      <c r="M421" s="15">
        <f>K421*0.9</f>
        <v>141.435</v>
      </c>
      <c r="N421" s="15" t="str">
        <f>IF(M421&gt;C421, "Buy", "")</f>
        <v/>
      </c>
      <c r="O421" s="33">
        <f>C421/K421</f>
        <v>1.13445752465797</v>
      </c>
    </row>
    <row r="422" spans="1:15" ht="20.100000000000001" customHeight="1" x14ac:dyDescent="0.25">
      <c r="A422" s="21" t="s">
        <v>472</v>
      </c>
      <c r="B422" t="s">
        <v>839</v>
      </c>
      <c r="C422" s="15">
        <v>60.99</v>
      </c>
      <c r="D422" s="15">
        <v>60.21</v>
      </c>
      <c r="E422" s="15">
        <v>61.14</v>
      </c>
      <c r="F422" s="15">
        <v>60.15</v>
      </c>
      <c r="G422" s="16">
        <v>1.3965087281795569E-2</v>
      </c>
      <c r="H422" s="15" t="s">
        <v>1512</v>
      </c>
      <c r="I422" s="15">
        <v>2.42</v>
      </c>
      <c r="J422" s="15">
        <v>38.26</v>
      </c>
      <c r="K422" s="15">
        <v>53.73</v>
      </c>
      <c r="L422" s="28" t="str">
        <f>HYPERLINK("http://finance.yahoo.com/q?s=" &amp; A422, "Link")</f>
        <v>Link</v>
      </c>
      <c r="M422" s="15">
        <f>K422*0.9</f>
        <v>48.356999999999999</v>
      </c>
      <c r="N422" s="15" t="str">
        <f>IF(M422&gt;C422, "Buy", "")</f>
        <v/>
      </c>
      <c r="O422" s="33">
        <f>C422/K422</f>
        <v>1.1351200446677834</v>
      </c>
    </row>
    <row r="423" spans="1:15" ht="20.100000000000001" customHeight="1" x14ac:dyDescent="0.25">
      <c r="A423" s="21" t="s">
        <v>43</v>
      </c>
      <c r="B423" t="s">
        <v>155</v>
      </c>
      <c r="C423" s="15">
        <v>37.01</v>
      </c>
      <c r="D423" s="15">
        <v>36.76</v>
      </c>
      <c r="E423" s="15">
        <v>37.42</v>
      </c>
      <c r="F423" s="15">
        <v>37.299999999999997</v>
      </c>
      <c r="G423" s="16">
        <v>-7.7747989276139191E-3</v>
      </c>
      <c r="H423" s="15" t="s">
        <v>1529</v>
      </c>
      <c r="I423" s="15">
        <v>4.1100000000000003</v>
      </c>
      <c r="J423" s="15">
        <v>4.2300000000000004</v>
      </c>
      <c r="K423" s="15">
        <v>32.6</v>
      </c>
      <c r="L423" s="28" t="str">
        <f>HYPERLINK("http://finance.yahoo.com/q?s=" &amp; A423, "Link")</f>
        <v>Link</v>
      </c>
      <c r="M423" s="15">
        <f>K423*0.9</f>
        <v>29.340000000000003</v>
      </c>
      <c r="N423" s="15" t="str">
        <f>IF(M423&gt;C423, "Buy", "")</f>
        <v/>
      </c>
      <c r="O423" s="33">
        <f>C423/K423</f>
        <v>1.1352760736196319</v>
      </c>
    </row>
    <row r="424" spans="1:15" ht="20.100000000000001" customHeight="1" x14ac:dyDescent="0.25">
      <c r="A424" s="21" t="s">
        <v>584</v>
      </c>
      <c r="B424" t="s">
        <v>941</v>
      </c>
      <c r="C424" s="15">
        <v>150.63</v>
      </c>
      <c r="D424" s="15">
        <v>149</v>
      </c>
      <c r="E424" s="15">
        <v>151.99</v>
      </c>
      <c r="F424" s="15">
        <v>148.11000000000001</v>
      </c>
      <c r="G424" s="16">
        <v>1.7014381203159689E-2</v>
      </c>
      <c r="H424" s="15" t="s">
        <v>1513</v>
      </c>
      <c r="I424" s="15">
        <v>1.73</v>
      </c>
      <c r="J424" s="15">
        <v>17.68</v>
      </c>
      <c r="K424" s="15">
        <v>132.35</v>
      </c>
      <c r="L424" s="28" t="str">
        <f>HYPERLINK("http://finance.yahoo.com/q?s=" &amp; A424, "Link")</f>
        <v>Link</v>
      </c>
      <c r="M424" s="15">
        <f>K424*0.9</f>
        <v>119.11499999999999</v>
      </c>
      <c r="N424" s="15" t="str">
        <f>IF(M424&gt;C424, "Buy", "")</f>
        <v/>
      </c>
      <c r="O424" s="33">
        <f>C424/K424</f>
        <v>1.1381186248583302</v>
      </c>
    </row>
    <row r="425" spans="1:15" ht="20.100000000000001" customHeight="1" x14ac:dyDescent="0.25">
      <c r="A425" s="21" t="s">
        <v>11</v>
      </c>
      <c r="B425" t="s">
        <v>128</v>
      </c>
      <c r="C425" s="15">
        <v>159.53</v>
      </c>
      <c r="D425" s="15">
        <v>158.22999999999999</v>
      </c>
      <c r="E425" s="15">
        <v>160.30000000000001</v>
      </c>
      <c r="F425" s="15">
        <v>159</v>
      </c>
      <c r="G425" s="16">
        <v>3.3333333333333405E-3</v>
      </c>
      <c r="H425" s="15" t="s">
        <v>1521</v>
      </c>
      <c r="I425" s="15">
        <v>3.56</v>
      </c>
      <c r="J425" s="15">
        <v>24.38</v>
      </c>
      <c r="K425" s="15">
        <v>139.85</v>
      </c>
      <c r="L425" s="28" t="str">
        <f>HYPERLINK("http://finance.yahoo.com/q?s=" &amp; A425, "Link")</f>
        <v>Link</v>
      </c>
      <c r="M425" s="15">
        <f>K425*0.9</f>
        <v>125.86499999999999</v>
      </c>
      <c r="N425" s="15" t="str">
        <f>IF(M425&gt;C425, "Buy", "")</f>
        <v/>
      </c>
      <c r="O425" s="33">
        <f>C425/K425</f>
        <v>1.140722202359671</v>
      </c>
    </row>
    <row r="426" spans="1:15" ht="20.100000000000001" customHeight="1" x14ac:dyDescent="0.25">
      <c r="A426" s="21" t="s">
        <v>517</v>
      </c>
      <c r="B426" t="s">
        <v>881</v>
      </c>
      <c r="C426" s="15">
        <v>140.56</v>
      </c>
      <c r="D426" s="15">
        <v>139.63</v>
      </c>
      <c r="E426" s="15">
        <v>141.47</v>
      </c>
      <c r="F426" s="15">
        <v>140</v>
      </c>
      <c r="G426" s="16">
        <v>4.0000000000000166E-3</v>
      </c>
      <c r="H426" s="15" t="s">
        <v>1534</v>
      </c>
      <c r="I426" s="15">
        <v>2.16</v>
      </c>
      <c r="J426" s="15">
        <v>25.28</v>
      </c>
      <c r="K426" s="15">
        <v>123.18</v>
      </c>
      <c r="L426" s="28" t="str">
        <f>HYPERLINK("http://finance.yahoo.com/q?s=" &amp; A426, "Link")</f>
        <v>Link</v>
      </c>
      <c r="M426" s="15">
        <f>K426*0.9</f>
        <v>110.86200000000001</v>
      </c>
      <c r="N426" s="15" t="str">
        <f>IF(M426&gt;C426, "Buy", "")</f>
        <v/>
      </c>
      <c r="O426" s="33">
        <f>C426/K426</f>
        <v>1.1410943334956973</v>
      </c>
    </row>
    <row r="427" spans="1:15" ht="20.100000000000001" customHeight="1" x14ac:dyDescent="0.25">
      <c r="A427" s="21" t="s">
        <v>436</v>
      </c>
      <c r="B427" t="s">
        <v>808</v>
      </c>
      <c r="C427" s="15">
        <v>227.75</v>
      </c>
      <c r="D427" s="15">
        <v>226.48</v>
      </c>
      <c r="E427" s="15">
        <v>229.15</v>
      </c>
      <c r="F427" s="15">
        <v>225.76</v>
      </c>
      <c r="G427" s="16">
        <v>8.8146704464918905E-3</v>
      </c>
      <c r="H427" s="15" t="s">
        <v>1490</v>
      </c>
      <c r="I427" s="15">
        <v>0.75</v>
      </c>
      <c r="J427" s="15">
        <v>35.94</v>
      </c>
      <c r="K427" s="15">
        <v>199.43</v>
      </c>
      <c r="L427" s="28" t="str">
        <f>HYPERLINK("http://finance.yahoo.com/q?s=" &amp; A427, "Link")</f>
        <v>Link</v>
      </c>
      <c r="M427" s="15">
        <f>K427*0.9</f>
        <v>179.48700000000002</v>
      </c>
      <c r="N427" s="15" t="str">
        <f>IF(M427&gt;C427, "Buy", "")</f>
        <v/>
      </c>
      <c r="O427" s="33">
        <f>C427/K427</f>
        <v>1.1420047134332849</v>
      </c>
    </row>
    <row r="428" spans="1:15" ht="20.100000000000001" customHeight="1" x14ac:dyDescent="0.25">
      <c r="A428" s="21" t="s">
        <v>434</v>
      </c>
      <c r="B428" t="s">
        <v>1009</v>
      </c>
      <c r="C428" s="15">
        <v>84.38</v>
      </c>
      <c r="D428" s="15">
        <v>84.16</v>
      </c>
      <c r="E428" s="15">
        <v>85.76</v>
      </c>
      <c r="F428" s="15">
        <v>84.53</v>
      </c>
      <c r="G428" s="16">
        <v>-1.7745179226310859E-3</v>
      </c>
      <c r="H428" s="15" t="s">
        <v>1522</v>
      </c>
      <c r="I428" s="15">
        <v>1.42</v>
      </c>
      <c r="J428" s="15">
        <v>30.04</v>
      </c>
      <c r="K428" s="15">
        <v>73.819999999999993</v>
      </c>
      <c r="L428" s="28" t="str">
        <f>HYPERLINK("http://finance.yahoo.com/q?s=" &amp; A428, "Link")</f>
        <v>Link</v>
      </c>
      <c r="M428" s="15">
        <f>K428*0.9</f>
        <v>66.438000000000002</v>
      </c>
      <c r="N428" s="15" t="str">
        <f>IF(M428&gt;C428, "Buy", "")</f>
        <v/>
      </c>
      <c r="O428" s="33">
        <f>C428/K428</f>
        <v>1.1430506637767543</v>
      </c>
    </row>
    <row r="429" spans="1:15" ht="20.100000000000001" customHeight="1" x14ac:dyDescent="0.25">
      <c r="A429" s="21" t="s">
        <v>574</v>
      </c>
      <c r="B429" t="s">
        <v>932</v>
      </c>
      <c r="C429" s="15">
        <v>66.239999999999995</v>
      </c>
      <c r="D429" s="15">
        <v>65.680000000000007</v>
      </c>
      <c r="E429" s="15">
        <v>66.64</v>
      </c>
      <c r="F429" s="15">
        <v>66.069999999999993</v>
      </c>
      <c r="G429" s="16">
        <v>2.57302860602394E-3</v>
      </c>
      <c r="H429" s="15" t="s">
        <v>1531</v>
      </c>
      <c r="I429" s="15">
        <v>3.62</v>
      </c>
      <c r="J429" s="15">
        <v>14.05</v>
      </c>
      <c r="K429" s="15">
        <v>57.92</v>
      </c>
      <c r="L429" s="28" t="str">
        <f>HYPERLINK("http://finance.yahoo.com/q?s=" &amp; A429, "Link")</f>
        <v>Link</v>
      </c>
      <c r="M429" s="15">
        <f>K429*0.9</f>
        <v>52.128</v>
      </c>
      <c r="N429" s="15" t="str">
        <f>IF(M429&gt;C429, "Buy", "")</f>
        <v/>
      </c>
      <c r="O429" s="33">
        <f>C429/K429</f>
        <v>1.1436464088397789</v>
      </c>
    </row>
    <row r="430" spans="1:15" ht="20.100000000000001" customHeight="1" x14ac:dyDescent="0.25">
      <c r="A430" s="21" t="s">
        <v>86</v>
      </c>
      <c r="B430" t="s">
        <v>193</v>
      </c>
      <c r="C430" s="15">
        <v>96.11</v>
      </c>
      <c r="D430" s="15">
        <v>95.24</v>
      </c>
      <c r="E430" s="15">
        <v>96.49</v>
      </c>
      <c r="F430" s="15">
        <v>95.69</v>
      </c>
      <c r="G430" s="16">
        <v>4.3891733723482257E-3</v>
      </c>
      <c r="H430" s="15" t="s">
        <v>1511</v>
      </c>
      <c r="I430" s="15">
        <v>1.68</v>
      </c>
      <c r="J430" s="15">
        <v>17.100000000000001</v>
      </c>
      <c r="K430" s="15">
        <v>83.99</v>
      </c>
      <c r="L430" s="28" t="str">
        <f>HYPERLINK("http://finance.yahoo.com/q?s=" &amp; A430, "Link")</f>
        <v>Link</v>
      </c>
      <c r="M430" s="15">
        <f>K430*0.9</f>
        <v>75.590999999999994</v>
      </c>
      <c r="N430" s="15" t="str">
        <f>IF(M430&gt;C430, "Buy", "")</f>
        <v/>
      </c>
      <c r="O430" s="33">
        <f>C430/K430</f>
        <v>1.1443028932015717</v>
      </c>
    </row>
    <row r="431" spans="1:15" ht="20.100000000000001" customHeight="1" x14ac:dyDescent="0.25">
      <c r="A431" s="21" t="s">
        <v>248</v>
      </c>
      <c r="B431" t="s">
        <v>638</v>
      </c>
      <c r="C431" s="15">
        <v>61.98</v>
      </c>
      <c r="D431" s="15">
        <v>61.3</v>
      </c>
      <c r="E431" s="15">
        <v>62.69</v>
      </c>
      <c r="F431" s="15">
        <v>61.96</v>
      </c>
      <c r="G431" s="16">
        <v>3.2278889606191126E-4</v>
      </c>
      <c r="H431" s="15" t="s">
        <v>1426</v>
      </c>
      <c r="I431" s="15">
        <v>1.1000000000000001</v>
      </c>
      <c r="J431" s="15" t="s">
        <v>124</v>
      </c>
      <c r="K431" s="15">
        <v>54.14</v>
      </c>
      <c r="L431" s="28" t="str">
        <f>HYPERLINK("http://finance.yahoo.com/q?s=" &amp; A431, "Link")</f>
        <v>Link</v>
      </c>
      <c r="M431" s="15">
        <f>K431*0.9</f>
        <v>48.725999999999999</v>
      </c>
      <c r="N431" s="15" t="str">
        <f>IF(M431&gt;C431, "Buy", "")</f>
        <v/>
      </c>
      <c r="O431" s="33">
        <f>C431/K431</f>
        <v>1.1448097524935352</v>
      </c>
    </row>
    <row r="432" spans="1:15" ht="20.100000000000001" customHeight="1" x14ac:dyDescent="0.25">
      <c r="A432" s="21" t="s">
        <v>238</v>
      </c>
      <c r="B432" t="s">
        <v>629</v>
      </c>
      <c r="C432" s="15">
        <v>33.840000000000003</v>
      </c>
      <c r="D432" s="15">
        <v>33.76</v>
      </c>
      <c r="E432" s="15">
        <v>34.18</v>
      </c>
      <c r="F432" s="15">
        <v>33.75</v>
      </c>
      <c r="G432" s="16">
        <v>2.6666666666667676E-3</v>
      </c>
      <c r="H432" s="15" t="s">
        <v>1544</v>
      </c>
      <c r="I432" s="15">
        <v>1.18</v>
      </c>
      <c r="J432" s="15">
        <v>21.97</v>
      </c>
      <c r="K432" s="15">
        <v>29.55</v>
      </c>
      <c r="L432" s="28" t="str">
        <f>HYPERLINK("http://finance.yahoo.com/q?s=" &amp; A432, "Link")</f>
        <v>Link</v>
      </c>
      <c r="M432" s="15">
        <f>K432*0.9</f>
        <v>26.595000000000002</v>
      </c>
      <c r="N432" s="15" t="str">
        <f>IF(M432&gt;C432, "Buy", "")</f>
        <v/>
      </c>
      <c r="O432" s="33">
        <f>C432/K432</f>
        <v>1.1451776649746195</v>
      </c>
    </row>
    <row r="433" spans="1:15" ht="20.100000000000001" customHeight="1" x14ac:dyDescent="0.25">
      <c r="A433" s="21" t="s">
        <v>22</v>
      </c>
      <c r="B433" t="s">
        <v>135</v>
      </c>
      <c r="C433" s="15">
        <v>50.73</v>
      </c>
      <c r="D433" s="15">
        <v>50.32</v>
      </c>
      <c r="E433" s="15">
        <v>51.09</v>
      </c>
      <c r="F433" s="15">
        <v>49.86</v>
      </c>
      <c r="G433" s="16">
        <v>1.7448856799037252E-2</v>
      </c>
      <c r="H433" s="15" t="s">
        <v>1526</v>
      </c>
      <c r="I433" s="15">
        <v>1.97</v>
      </c>
      <c r="J433" s="15" t="s">
        <v>124</v>
      </c>
      <c r="K433" s="15">
        <v>44.23</v>
      </c>
      <c r="L433" s="28" t="str">
        <f>HYPERLINK("http://finance.yahoo.com/q?s=" &amp; A433, "Link")</f>
        <v>Link</v>
      </c>
      <c r="M433" s="15">
        <f>K433*0.9</f>
        <v>39.806999999999995</v>
      </c>
      <c r="N433" s="15" t="str">
        <f>IF(M433&gt;C433, "Buy", "")</f>
        <v/>
      </c>
      <c r="O433" s="33">
        <f>C433/K433</f>
        <v>1.1469590775491747</v>
      </c>
    </row>
    <row r="434" spans="1:15" ht="20.100000000000001" customHeight="1" x14ac:dyDescent="0.25">
      <c r="A434" s="21" t="s">
        <v>451</v>
      </c>
      <c r="B434" t="s">
        <v>822</v>
      </c>
      <c r="C434" s="15">
        <v>31.28</v>
      </c>
      <c r="D434" s="15">
        <v>30.65</v>
      </c>
      <c r="E434" s="15">
        <v>31.57</v>
      </c>
      <c r="F434" s="15">
        <v>30.25</v>
      </c>
      <c r="G434" s="16">
        <v>3.4049586776859542E-2</v>
      </c>
      <c r="H434" s="15" t="s">
        <v>1530</v>
      </c>
      <c r="I434" s="15">
        <v>3.59</v>
      </c>
      <c r="J434" s="15">
        <v>24.92</v>
      </c>
      <c r="K434" s="15">
        <v>27.27</v>
      </c>
      <c r="L434" s="28" t="str">
        <f>HYPERLINK("http://finance.yahoo.com/q?s=" &amp; A434, "Link")</f>
        <v>Link</v>
      </c>
      <c r="M434" s="15">
        <f>K434*0.9</f>
        <v>24.542999999999999</v>
      </c>
      <c r="N434" s="15" t="str">
        <f>IF(M434&gt;C434, "Buy", "")</f>
        <v/>
      </c>
      <c r="O434" s="33">
        <f>C434/K434</f>
        <v>1.1470480381371471</v>
      </c>
    </row>
    <row r="435" spans="1:15" ht="20.100000000000001" customHeight="1" x14ac:dyDescent="0.25">
      <c r="A435" s="21" t="s">
        <v>9</v>
      </c>
      <c r="B435" t="s">
        <v>126</v>
      </c>
      <c r="C435" s="15">
        <v>70.03</v>
      </c>
      <c r="D435" s="15">
        <v>69.72</v>
      </c>
      <c r="E435" s="15">
        <v>71.290000000000006</v>
      </c>
      <c r="F435" s="15">
        <v>70.180000000000007</v>
      </c>
      <c r="G435" s="16">
        <v>-2.1373610715304313E-3</v>
      </c>
      <c r="H435" s="15" t="s">
        <v>1547</v>
      </c>
      <c r="I435" s="15">
        <v>0.28999999999999998</v>
      </c>
      <c r="J435" s="15" t="s">
        <v>124</v>
      </c>
      <c r="K435" s="15">
        <v>60.86</v>
      </c>
      <c r="L435" s="28" t="str">
        <f>HYPERLINK("http://finance.yahoo.com/q?s=" &amp; A435, "Link")</f>
        <v>Link</v>
      </c>
      <c r="M435" s="15">
        <f>K435*0.9</f>
        <v>54.774000000000001</v>
      </c>
      <c r="N435" s="15" t="str">
        <f>IF(M435&gt;C435, "Buy", "")</f>
        <v/>
      </c>
      <c r="O435" s="33">
        <f>C435/K435</f>
        <v>1.150673677292146</v>
      </c>
    </row>
    <row r="436" spans="1:15" ht="20.100000000000001" customHeight="1" x14ac:dyDescent="0.25">
      <c r="A436" s="21" t="s">
        <v>314</v>
      </c>
      <c r="B436" t="s">
        <v>696</v>
      </c>
      <c r="C436" s="15">
        <v>70.2</v>
      </c>
      <c r="D436" s="15">
        <v>69.75</v>
      </c>
      <c r="E436" s="15">
        <v>70.81</v>
      </c>
      <c r="F436" s="15">
        <v>70</v>
      </c>
      <c r="G436" s="16">
        <v>2.8571428571428979E-3</v>
      </c>
      <c r="H436" s="15" t="s">
        <v>1549</v>
      </c>
      <c r="I436" s="15">
        <v>1.71</v>
      </c>
      <c r="J436" s="15">
        <v>12.78</v>
      </c>
      <c r="K436" s="15">
        <v>60.99</v>
      </c>
      <c r="L436" s="28" t="str">
        <f>HYPERLINK("http://finance.yahoo.com/q?s=" &amp; A436, "Link")</f>
        <v>Link</v>
      </c>
      <c r="M436" s="15">
        <f>K436*0.9</f>
        <v>54.891000000000005</v>
      </c>
      <c r="N436" s="15" t="str">
        <f>IF(M436&gt;C436, "Buy", "")</f>
        <v/>
      </c>
      <c r="O436" s="33">
        <f>C436/K436</f>
        <v>1.1510083620265616</v>
      </c>
    </row>
    <row r="437" spans="1:15" ht="20.100000000000001" customHeight="1" x14ac:dyDescent="0.25">
      <c r="A437" s="21" t="s">
        <v>440</v>
      </c>
      <c r="B437" t="s">
        <v>1003</v>
      </c>
      <c r="C437" s="15">
        <v>107.92</v>
      </c>
      <c r="D437" s="15" t="s">
        <v>124</v>
      </c>
      <c r="E437" s="15" t="s">
        <v>124</v>
      </c>
      <c r="F437" s="15">
        <v>107.92</v>
      </c>
      <c r="G437" s="16">
        <v>0</v>
      </c>
      <c r="H437" s="15" t="s">
        <v>124</v>
      </c>
      <c r="I437" s="15" t="s">
        <v>124</v>
      </c>
      <c r="J437" s="15" t="s">
        <v>124</v>
      </c>
      <c r="K437" s="15">
        <v>93.61</v>
      </c>
      <c r="L437" s="28" t="str">
        <f>HYPERLINK("http://finance.yahoo.com/q?s=" &amp; A437, "Link")</f>
        <v>Link</v>
      </c>
      <c r="M437" s="15">
        <f>K437*0.9</f>
        <v>84.248999999999995</v>
      </c>
      <c r="N437" s="15" t="str">
        <f>IF(M437&gt;C437, "Buy", "")</f>
        <v/>
      </c>
      <c r="O437" s="33">
        <f>C437/K437</f>
        <v>1.1528682833030659</v>
      </c>
    </row>
    <row r="438" spans="1:15" ht="20.100000000000001" customHeight="1" x14ac:dyDescent="0.25">
      <c r="A438" s="21" t="s">
        <v>382</v>
      </c>
      <c r="B438" t="s">
        <v>758</v>
      </c>
      <c r="C438" s="15">
        <v>77.989999999999995</v>
      </c>
      <c r="D438" s="15">
        <v>77.53</v>
      </c>
      <c r="E438" s="15">
        <v>79.47</v>
      </c>
      <c r="F438" s="15">
        <v>77.72</v>
      </c>
      <c r="G438" s="16">
        <v>3.474009264024653E-3</v>
      </c>
      <c r="H438" s="15" t="s">
        <v>1541</v>
      </c>
      <c r="I438" s="15">
        <v>3.59</v>
      </c>
      <c r="J438" s="15" t="s">
        <v>124</v>
      </c>
      <c r="K438" s="15">
        <v>67.63</v>
      </c>
      <c r="L438" s="28" t="str">
        <f>HYPERLINK("http://finance.yahoo.com/q?s=" &amp; A438, "Link")</f>
        <v>Link</v>
      </c>
      <c r="M438" s="15">
        <f>K438*0.9</f>
        <v>60.866999999999997</v>
      </c>
      <c r="N438" s="15" t="str">
        <f>IF(M438&gt;C438, "Buy", "")</f>
        <v/>
      </c>
      <c r="O438" s="33">
        <f>C438/K438</f>
        <v>1.1531864557149194</v>
      </c>
    </row>
    <row r="439" spans="1:15" ht="20.100000000000001" customHeight="1" x14ac:dyDescent="0.25">
      <c r="A439" s="21" t="s">
        <v>418</v>
      </c>
      <c r="B439" t="s">
        <v>791</v>
      </c>
      <c r="C439" s="15">
        <v>112.35</v>
      </c>
      <c r="D439" s="15">
        <v>111.34</v>
      </c>
      <c r="E439" s="15">
        <v>112.83</v>
      </c>
      <c r="F439" s="15">
        <v>110.84</v>
      </c>
      <c r="G439" s="16">
        <v>1.3623240707325793E-2</v>
      </c>
      <c r="H439" s="15" t="s">
        <v>1536</v>
      </c>
      <c r="I439" s="15">
        <v>1.6</v>
      </c>
      <c r="J439" s="15">
        <v>22.3</v>
      </c>
      <c r="K439" s="15">
        <v>97.42</v>
      </c>
      <c r="L439" s="28" t="str">
        <f>HYPERLINK("http://finance.yahoo.com/q?s=" &amp; A439, "Link")</f>
        <v>Link</v>
      </c>
      <c r="M439" s="15">
        <f>K439*0.9</f>
        <v>87.677999999999997</v>
      </c>
      <c r="N439" s="15" t="str">
        <f>IF(M439&gt;C439, "Buy", "")</f>
        <v/>
      </c>
      <c r="O439" s="33">
        <f>C439/K439</f>
        <v>1.1532539519605829</v>
      </c>
    </row>
    <row r="440" spans="1:15" ht="20.100000000000001" customHeight="1" x14ac:dyDescent="0.25">
      <c r="A440" s="21" t="s">
        <v>62</v>
      </c>
      <c r="B440" t="s">
        <v>170</v>
      </c>
      <c r="C440" s="15">
        <v>54.33</v>
      </c>
      <c r="D440" s="15">
        <v>53.93</v>
      </c>
      <c r="E440" s="15">
        <v>54.72</v>
      </c>
      <c r="F440" s="15">
        <v>54.02</v>
      </c>
      <c r="G440" s="16">
        <v>5.7386153276563334E-3</v>
      </c>
      <c r="H440" s="15" t="s">
        <v>1535</v>
      </c>
      <c r="I440" s="15">
        <v>2.94</v>
      </c>
      <c r="J440" s="15">
        <v>16.690000000000001</v>
      </c>
      <c r="K440" s="15">
        <v>47.09</v>
      </c>
      <c r="L440" s="28" t="str">
        <f>HYPERLINK("http://finance.yahoo.com/q?s=" &amp; A440, "Link")</f>
        <v>Link</v>
      </c>
      <c r="M440" s="15">
        <f>K440*0.9</f>
        <v>42.381000000000007</v>
      </c>
      <c r="N440" s="15" t="str">
        <f>IF(M440&gt;C440, "Buy", "")</f>
        <v/>
      </c>
      <c r="O440" s="33">
        <f>C440/K440</f>
        <v>1.1537481418560203</v>
      </c>
    </row>
    <row r="441" spans="1:15" ht="20.100000000000001" customHeight="1" x14ac:dyDescent="0.25">
      <c r="A441" s="21" t="s">
        <v>466</v>
      </c>
      <c r="B441" t="s">
        <v>833</v>
      </c>
      <c r="C441" s="15">
        <v>7.41</v>
      </c>
      <c r="D441" s="15">
        <v>7.26</v>
      </c>
      <c r="E441" s="15">
        <v>7.72</v>
      </c>
      <c r="F441" s="15">
        <v>7.03</v>
      </c>
      <c r="G441" s="16">
        <v>5.4054054054054036E-2</v>
      </c>
      <c r="H441" s="15" t="s">
        <v>1186</v>
      </c>
      <c r="I441" s="15">
        <v>1.1200000000000001</v>
      </c>
      <c r="J441" s="15">
        <v>8.59</v>
      </c>
      <c r="K441" s="15">
        <v>6.4</v>
      </c>
      <c r="L441" s="28" t="str">
        <f>HYPERLINK("http://finance.yahoo.com/q?s=" &amp; A441, "Link")</f>
        <v>Link</v>
      </c>
      <c r="M441" s="15">
        <f>K441*0.9</f>
        <v>5.7600000000000007</v>
      </c>
      <c r="N441" s="15" t="str">
        <f>IF(M441&gt;C441, "Buy", "")</f>
        <v/>
      </c>
      <c r="O441" s="33">
        <f>C441/K441</f>
        <v>1.1578124999999999</v>
      </c>
    </row>
    <row r="442" spans="1:15" ht="20.100000000000001" customHeight="1" x14ac:dyDescent="0.25">
      <c r="A442" s="21" t="s">
        <v>219</v>
      </c>
      <c r="B442" t="s">
        <v>611</v>
      </c>
      <c r="C442" s="15">
        <v>69.150000000000006</v>
      </c>
      <c r="D442" s="15">
        <v>68.849999999999994</v>
      </c>
      <c r="E442" s="15">
        <v>69.599999999999994</v>
      </c>
      <c r="F442" s="15">
        <v>68.98</v>
      </c>
      <c r="G442" s="16">
        <v>2.4644824586837009E-3</v>
      </c>
      <c r="H442" s="15" t="s">
        <v>1556</v>
      </c>
      <c r="I442" s="15" t="s">
        <v>124</v>
      </c>
      <c r="J442" s="15">
        <v>39.270000000000003</v>
      </c>
      <c r="K442" s="15">
        <v>59.61</v>
      </c>
      <c r="L442" s="28" t="str">
        <f>HYPERLINK("http://finance.yahoo.com/q?s=" &amp; A442, "Link")</f>
        <v>Link</v>
      </c>
      <c r="M442" s="15">
        <f>K442*0.9</f>
        <v>53.649000000000001</v>
      </c>
      <c r="N442" s="15" t="str">
        <f>IF(M442&gt;C442, "Buy", "")</f>
        <v/>
      </c>
      <c r="O442" s="33">
        <f>C442/K442</f>
        <v>1.160040261701057</v>
      </c>
    </row>
    <row r="443" spans="1:15" ht="20.100000000000001" customHeight="1" x14ac:dyDescent="0.25">
      <c r="A443" s="21" t="s">
        <v>21</v>
      </c>
      <c r="B443" t="s">
        <v>112</v>
      </c>
      <c r="C443" s="15">
        <v>87.34</v>
      </c>
      <c r="D443" s="15">
        <v>86.69</v>
      </c>
      <c r="E443" s="15">
        <v>88</v>
      </c>
      <c r="F443" s="15">
        <v>86.72</v>
      </c>
      <c r="G443" s="16">
        <v>7.149446494464997E-3</v>
      </c>
      <c r="H443" s="15" t="s">
        <v>1551</v>
      </c>
      <c r="I443" s="15">
        <v>1.83</v>
      </c>
      <c r="J443" s="15">
        <v>12.48</v>
      </c>
      <c r="K443" s="15">
        <v>75.239999999999995</v>
      </c>
      <c r="L443" s="28" t="str">
        <f>HYPERLINK("http://finance.yahoo.com/q?s=" &amp; A443, "Link")</f>
        <v>Link</v>
      </c>
      <c r="M443" s="15">
        <f>K443*0.9</f>
        <v>67.715999999999994</v>
      </c>
      <c r="N443" s="15" t="str">
        <f>IF(M443&gt;C443, "Buy", "")</f>
        <v/>
      </c>
      <c r="O443" s="33">
        <f>C443/K443</f>
        <v>1.1608187134502925</v>
      </c>
    </row>
    <row r="444" spans="1:15" ht="20.100000000000001" customHeight="1" x14ac:dyDescent="0.25">
      <c r="A444" s="21" t="s">
        <v>423</v>
      </c>
      <c r="B444" t="s">
        <v>796</v>
      </c>
      <c r="C444" s="15">
        <v>23.13</v>
      </c>
      <c r="D444" s="15">
        <v>22.98</v>
      </c>
      <c r="E444" s="15">
        <v>23.2</v>
      </c>
      <c r="F444" s="15">
        <v>22.93</v>
      </c>
      <c r="G444" s="16">
        <v>8.7221979938944313E-3</v>
      </c>
      <c r="H444" s="15" t="s">
        <v>1168</v>
      </c>
      <c r="I444" s="15">
        <v>1.08</v>
      </c>
      <c r="J444" s="15">
        <v>197.69</v>
      </c>
      <c r="K444" s="15">
        <v>19.86</v>
      </c>
      <c r="L444" s="28" t="str">
        <f>HYPERLINK("http://finance.yahoo.com/q?s=" &amp; A444, "Link")</f>
        <v>Link</v>
      </c>
      <c r="M444" s="15">
        <f>K444*0.9</f>
        <v>17.873999999999999</v>
      </c>
      <c r="N444" s="15" t="str">
        <f>IF(M444&gt;C444, "Buy", "")</f>
        <v/>
      </c>
      <c r="O444" s="33">
        <f>C444/K444</f>
        <v>1.1646525679758308</v>
      </c>
    </row>
    <row r="445" spans="1:15" ht="20.100000000000001" customHeight="1" x14ac:dyDescent="0.25">
      <c r="A445" s="21" t="s">
        <v>53</v>
      </c>
      <c r="B445" t="s">
        <v>114</v>
      </c>
      <c r="C445" s="15">
        <v>83.67</v>
      </c>
      <c r="D445" s="15">
        <v>83.29</v>
      </c>
      <c r="E445" s="15">
        <v>83.83</v>
      </c>
      <c r="F445" s="15">
        <v>83.3</v>
      </c>
      <c r="G445" s="16">
        <v>4.4417767106843288E-3</v>
      </c>
      <c r="H445" s="15" t="s">
        <v>1560</v>
      </c>
      <c r="I445" s="15">
        <v>2.29</v>
      </c>
      <c r="J445" s="15">
        <v>13.52</v>
      </c>
      <c r="K445" s="15">
        <v>71.5</v>
      </c>
      <c r="L445" s="28" t="str">
        <f>HYPERLINK("http://finance.yahoo.com/q?s=" &amp; A445, "Link")</f>
        <v>Link</v>
      </c>
      <c r="M445" s="15">
        <f>K445*0.9</f>
        <v>64.350000000000009</v>
      </c>
      <c r="N445" s="15" t="str">
        <f>IF(M445&gt;C445, "Buy", "")</f>
        <v/>
      </c>
      <c r="O445" s="33">
        <f>C445/K445</f>
        <v>1.1702097902097903</v>
      </c>
    </row>
    <row r="446" spans="1:15" ht="20.100000000000001" customHeight="1" x14ac:dyDescent="0.25">
      <c r="A446" s="21" t="s">
        <v>546</v>
      </c>
      <c r="B446" t="s">
        <v>908</v>
      </c>
      <c r="C446" s="15">
        <v>54.84</v>
      </c>
      <c r="D446" s="15">
        <v>53.86</v>
      </c>
      <c r="E446" s="15">
        <v>55.28</v>
      </c>
      <c r="F446" s="15">
        <v>53.84</v>
      </c>
      <c r="G446" s="16">
        <v>1.8573551263001486E-2</v>
      </c>
      <c r="H446" s="15" t="s">
        <v>1557</v>
      </c>
      <c r="I446" s="15">
        <v>1.9</v>
      </c>
      <c r="J446" s="15">
        <v>15.23</v>
      </c>
      <c r="K446" s="15">
        <v>46.83</v>
      </c>
      <c r="L446" s="28" t="str">
        <f>HYPERLINK("http://finance.yahoo.com/q?s=" &amp; A446, "Link")</f>
        <v>Link</v>
      </c>
      <c r="M446" s="15">
        <f>K446*0.9</f>
        <v>42.146999999999998</v>
      </c>
      <c r="N446" s="15" t="str">
        <f>IF(M446&gt;C446, "Buy", "")</f>
        <v/>
      </c>
      <c r="O446" s="33">
        <f>C446/K446</f>
        <v>1.171044202434337</v>
      </c>
    </row>
    <row r="447" spans="1:15" ht="20.100000000000001" customHeight="1" x14ac:dyDescent="0.25">
      <c r="A447" s="21" t="s">
        <v>295</v>
      </c>
      <c r="B447" t="s">
        <v>682</v>
      </c>
      <c r="C447" s="15">
        <v>62.49</v>
      </c>
      <c r="D447" s="15">
        <v>61.88</v>
      </c>
      <c r="E447" s="15">
        <v>62.51</v>
      </c>
      <c r="F447" s="15">
        <v>62.27</v>
      </c>
      <c r="G447" s="16">
        <v>3.5330014453187546E-3</v>
      </c>
      <c r="H447" s="15" t="s">
        <v>1139</v>
      </c>
      <c r="I447" s="15">
        <v>0.9</v>
      </c>
      <c r="J447" s="15" t="s">
        <v>124</v>
      </c>
      <c r="K447" s="15">
        <v>53.36</v>
      </c>
      <c r="L447" s="28" t="str">
        <f>HYPERLINK("http://finance.yahoo.com/q?s=" &amp; A447, "Link")</f>
        <v>Link</v>
      </c>
      <c r="M447" s="15">
        <f>K447*0.9</f>
        <v>48.024000000000001</v>
      </c>
      <c r="N447" s="15" t="str">
        <f>IF(M447&gt;C447, "Buy", "")</f>
        <v/>
      </c>
      <c r="O447" s="33">
        <f>C447/K447</f>
        <v>1.1711019490254873</v>
      </c>
    </row>
    <row r="448" spans="1:15" ht="20.100000000000001" customHeight="1" x14ac:dyDescent="0.25">
      <c r="A448" s="21" t="s">
        <v>270</v>
      </c>
      <c r="B448" t="s">
        <v>659</v>
      </c>
      <c r="C448" s="15">
        <v>66.650000000000006</v>
      </c>
      <c r="D448" s="15">
        <v>66.11</v>
      </c>
      <c r="E448" s="15">
        <v>67.11</v>
      </c>
      <c r="F448" s="15">
        <v>66.47</v>
      </c>
      <c r="G448" s="16">
        <v>2.7079885662706004E-3</v>
      </c>
      <c r="H448" s="15" t="s">
        <v>1393</v>
      </c>
      <c r="I448" s="15" t="s">
        <v>124</v>
      </c>
      <c r="J448" s="15">
        <v>21.12</v>
      </c>
      <c r="K448" s="15">
        <v>56.84</v>
      </c>
      <c r="L448" s="28" t="str">
        <f>HYPERLINK("http://finance.yahoo.com/q?s=" &amp; A448, "Link")</f>
        <v>Link</v>
      </c>
      <c r="M448" s="15">
        <f>K448*0.9</f>
        <v>51.156000000000006</v>
      </c>
      <c r="N448" s="15" t="str">
        <f>IF(M448&gt;C448, "Buy", "")</f>
        <v/>
      </c>
      <c r="O448" s="33">
        <f>C448/K448</f>
        <v>1.1725897255453905</v>
      </c>
    </row>
    <row r="449" spans="1:15" ht="20.100000000000001" customHeight="1" x14ac:dyDescent="0.25">
      <c r="A449" s="21" t="s">
        <v>348</v>
      </c>
      <c r="B449" t="s">
        <v>727</v>
      </c>
      <c r="C449" s="15">
        <v>51.24</v>
      </c>
      <c r="D449" s="15">
        <v>50.75</v>
      </c>
      <c r="E449" s="15">
        <v>51.42</v>
      </c>
      <c r="F449" s="15">
        <v>50.55</v>
      </c>
      <c r="G449" s="16">
        <v>1.3649851632047573E-2</v>
      </c>
      <c r="H449" s="15" t="s">
        <v>1493</v>
      </c>
      <c r="I449" s="15">
        <v>2.5099999999999998</v>
      </c>
      <c r="J449" s="15">
        <v>29.64</v>
      </c>
      <c r="K449" s="15">
        <v>43.65</v>
      </c>
      <c r="L449" s="28" t="str">
        <f>HYPERLINK("http://finance.yahoo.com/q?s=" &amp; A449, "Link")</f>
        <v>Link</v>
      </c>
      <c r="M449" s="15">
        <f>K449*0.9</f>
        <v>39.284999999999997</v>
      </c>
      <c r="N449" s="15" t="str">
        <f>IF(M449&gt;C449, "Buy", "")</f>
        <v/>
      </c>
      <c r="O449" s="33">
        <f>C449/K449</f>
        <v>1.1738831615120275</v>
      </c>
    </row>
    <row r="450" spans="1:15" ht="20.100000000000001" customHeight="1" x14ac:dyDescent="0.25">
      <c r="A450" s="21" t="s">
        <v>71</v>
      </c>
      <c r="B450" t="s">
        <v>178</v>
      </c>
      <c r="C450" s="15">
        <v>113.59</v>
      </c>
      <c r="D450" s="15">
        <v>111.75</v>
      </c>
      <c r="E450" s="15">
        <v>113.8</v>
      </c>
      <c r="F450" s="15">
        <v>114.42</v>
      </c>
      <c r="G450" s="16">
        <v>-7.2539765775213975E-3</v>
      </c>
      <c r="H450" s="15" t="s">
        <v>1539</v>
      </c>
      <c r="I450" s="15">
        <v>2.08</v>
      </c>
      <c r="J450" s="15">
        <v>21.04</v>
      </c>
      <c r="K450" s="15">
        <v>96.62</v>
      </c>
      <c r="L450" s="28" t="str">
        <f>HYPERLINK("http://finance.yahoo.com/q?s=" &amp; A450, "Link")</f>
        <v>Link</v>
      </c>
      <c r="M450" s="15">
        <f>K450*0.9</f>
        <v>86.958000000000013</v>
      </c>
      <c r="N450" s="15" t="str">
        <f>IF(M450&gt;C450, "Buy", "")</f>
        <v/>
      </c>
      <c r="O450" s="33">
        <f>C450/K450</f>
        <v>1.1756365141792589</v>
      </c>
    </row>
    <row r="451" spans="1:15" ht="20.100000000000001" customHeight="1" x14ac:dyDescent="0.25">
      <c r="A451" s="21" t="s">
        <v>241</v>
      </c>
      <c r="B451" t="s">
        <v>632</v>
      </c>
      <c r="C451" s="15">
        <v>81.67</v>
      </c>
      <c r="D451" s="15">
        <v>80.239999999999995</v>
      </c>
      <c r="E451" s="15">
        <v>81.89</v>
      </c>
      <c r="F451" s="15">
        <v>79.98</v>
      </c>
      <c r="G451" s="16">
        <v>2.1130282570642631E-2</v>
      </c>
      <c r="H451" s="15" t="s">
        <v>1558</v>
      </c>
      <c r="I451" s="15">
        <v>0</v>
      </c>
      <c r="J451" s="15" t="s">
        <v>124</v>
      </c>
      <c r="K451" s="15">
        <v>69.41</v>
      </c>
      <c r="L451" s="28" t="str">
        <f>HYPERLINK("http://finance.yahoo.com/q?s=" &amp; A451, "Link")</f>
        <v>Link</v>
      </c>
      <c r="M451" s="15">
        <f>K451*0.9</f>
        <v>62.469000000000001</v>
      </c>
      <c r="N451" s="15" t="str">
        <f>IF(M451&gt;C451, "Buy", "")</f>
        <v/>
      </c>
      <c r="O451" s="33">
        <f>C451/K451</f>
        <v>1.1766316092782021</v>
      </c>
    </row>
    <row r="452" spans="1:15" ht="20.100000000000001" customHeight="1" x14ac:dyDescent="0.25">
      <c r="A452" s="21" t="s">
        <v>555</v>
      </c>
      <c r="B452" t="s">
        <v>916</v>
      </c>
      <c r="C452" s="15">
        <v>49.35</v>
      </c>
      <c r="D452" s="15">
        <v>49.08</v>
      </c>
      <c r="E452" s="15">
        <v>49.78</v>
      </c>
      <c r="F452" s="15">
        <v>49.42</v>
      </c>
      <c r="G452" s="16">
        <v>-1.4164305949008556E-3</v>
      </c>
      <c r="H452" s="15" t="s">
        <v>1552</v>
      </c>
      <c r="I452" s="15">
        <v>0.16</v>
      </c>
      <c r="J452" s="15">
        <v>13.84</v>
      </c>
      <c r="K452" s="15">
        <v>41.88</v>
      </c>
      <c r="L452" s="28" t="str">
        <f>HYPERLINK("http://finance.yahoo.com/q?s=" &amp; A452, "Link")</f>
        <v>Link</v>
      </c>
      <c r="M452" s="15">
        <f>K452*0.9</f>
        <v>37.692</v>
      </c>
      <c r="N452" s="15" t="str">
        <f>IF(M452&gt;C452, "Buy", "")</f>
        <v/>
      </c>
      <c r="O452" s="33">
        <f>C452/K452</f>
        <v>1.1783667621776504</v>
      </c>
    </row>
    <row r="453" spans="1:15" ht="20.100000000000001" customHeight="1" x14ac:dyDescent="0.25">
      <c r="A453" s="21" t="s">
        <v>350</v>
      </c>
      <c r="B453" t="s">
        <v>729</v>
      </c>
      <c r="C453" s="15">
        <v>26.29</v>
      </c>
      <c r="D453" s="15">
        <v>26.07</v>
      </c>
      <c r="E453" s="15">
        <v>26.43</v>
      </c>
      <c r="F453" s="15">
        <v>25.99</v>
      </c>
      <c r="G453" s="16">
        <v>1.1542901115813803E-2</v>
      </c>
      <c r="H453" s="15" t="s">
        <v>1570</v>
      </c>
      <c r="I453" s="15">
        <v>2.13</v>
      </c>
      <c r="J453" s="15">
        <v>11.66</v>
      </c>
      <c r="K453" s="15">
        <v>22.13</v>
      </c>
      <c r="L453" s="28" t="str">
        <f>HYPERLINK("http://finance.yahoo.com/q?s=" &amp; A453, "Link")</f>
        <v>Link</v>
      </c>
      <c r="M453" s="15">
        <f>K453*0.9</f>
        <v>19.916999999999998</v>
      </c>
      <c r="N453" s="15" t="str">
        <f>IF(M453&gt;C453, "Buy", "")</f>
        <v/>
      </c>
      <c r="O453" s="33">
        <f>C453/K453</f>
        <v>1.1879801174875735</v>
      </c>
    </row>
    <row r="454" spans="1:15" ht="20.100000000000001" customHeight="1" x14ac:dyDescent="0.25">
      <c r="A454" s="21" t="s">
        <v>228</v>
      </c>
      <c r="B454" t="s">
        <v>619</v>
      </c>
      <c r="C454" s="15">
        <v>48</v>
      </c>
      <c r="D454" s="15">
        <v>47.24</v>
      </c>
      <c r="E454" s="15">
        <v>48.16</v>
      </c>
      <c r="F454" s="15">
        <v>47.26</v>
      </c>
      <c r="G454" s="16">
        <v>1.5658061785865467E-2</v>
      </c>
      <c r="H454" s="15" t="s">
        <v>1566</v>
      </c>
      <c r="I454" s="15">
        <v>0.83</v>
      </c>
      <c r="J454" s="15">
        <v>4.9800000000000004</v>
      </c>
      <c r="K454" s="15">
        <v>40.21</v>
      </c>
      <c r="L454" s="28" t="str">
        <f>HYPERLINK("http://finance.yahoo.com/q?s=" &amp; A454, "Link")</f>
        <v>Link</v>
      </c>
      <c r="M454" s="15">
        <f>K454*0.9</f>
        <v>36.189</v>
      </c>
      <c r="N454" s="15" t="str">
        <f>IF(M454&gt;C454, "Buy", "")</f>
        <v/>
      </c>
      <c r="O454" s="33">
        <f>C454/K454</f>
        <v>1.1937329022631187</v>
      </c>
    </row>
    <row r="455" spans="1:15" ht="20.100000000000001" customHeight="1" x14ac:dyDescent="0.25">
      <c r="A455" s="21" t="s">
        <v>516</v>
      </c>
      <c r="B455" t="s">
        <v>880</v>
      </c>
      <c r="C455" s="15">
        <v>48.9</v>
      </c>
      <c r="D455" s="15">
        <v>48.54</v>
      </c>
      <c r="E455" s="15">
        <v>49.24</v>
      </c>
      <c r="F455" s="15">
        <v>48.59</v>
      </c>
      <c r="G455" s="16">
        <v>6.379913562461312E-3</v>
      </c>
      <c r="H455" s="15" t="s">
        <v>1564</v>
      </c>
      <c r="I455" s="15">
        <v>1.8</v>
      </c>
      <c r="J455" s="15">
        <v>17.649999999999999</v>
      </c>
      <c r="K455" s="15">
        <v>40.94</v>
      </c>
      <c r="L455" s="28" t="str">
        <f>HYPERLINK("http://finance.yahoo.com/q?s=" &amp; A455, "Link")</f>
        <v>Link</v>
      </c>
      <c r="M455" s="15">
        <f>K455*0.9</f>
        <v>36.845999999999997</v>
      </c>
      <c r="N455" s="15" t="str">
        <f>IF(M455&gt;C455, "Buy", "")</f>
        <v/>
      </c>
      <c r="O455" s="33">
        <f>C455/K455</f>
        <v>1.1944308744504153</v>
      </c>
    </row>
    <row r="456" spans="1:15" ht="20.100000000000001" customHeight="1" x14ac:dyDescent="0.25">
      <c r="A456" s="21" t="s">
        <v>46</v>
      </c>
      <c r="B456" t="s">
        <v>156</v>
      </c>
      <c r="C456" s="15">
        <v>56.45</v>
      </c>
      <c r="D456" s="15">
        <v>55.99</v>
      </c>
      <c r="E456" s="15">
        <v>56.84</v>
      </c>
      <c r="F456" s="15">
        <v>55.34</v>
      </c>
      <c r="G456" s="16">
        <v>2.0057824358511011E-2</v>
      </c>
      <c r="H456" s="15" t="s">
        <v>1537</v>
      </c>
      <c r="I456" s="15">
        <v>1.28</v>
      </c>
      <c r="J456" s="15" t="s">
        <v>124</v>
      </c>
      <c r="K456" s="15">
        <v>47.25</v>
      </c>
      <c r="L456" s="28" t="str">
        <f>HYPERLINK("http://finance.yahoo.com/q?s=" &amp; A456, "Link")</f>
        <v>Link</v>
      </c>
      <c r="M456" s="15">
        <f>K456*0.9</f>
        <v>42.524999999999999</v>
      </c>
      <c r="N456" s="15" t="str">
        <f>IF(M456&gt;C456, "Buy", "")</f>
        <v/>
      </c>
      <c r="O456" s="33">
        <f>C456/K456</f>
        <v>1.1947089947089948</v>
      </c>
    </row>
    <row r="457" spans="1:15" ht="20.100000000000001" customHeight="1" x14ac:dyDescent="0.25">
      <c r="A457" s="21" t="s">
        <v>357</v>
      </c>
      <c r="B457" t="s">
        <v>736</v>
      </c>
      <c r="C457" s="15">
        <v>60.31</v>
      </c>
      <c r="D457" s="15">
        <v>59.5</v>
      </c>
      <c r="E457" s="15">
        <v>60.98</v>
      </c>
      <c r="F457" s="15">
        <v>59.34</v>
      </c>
      <c r="G457" s="16">
        <v>1.6346477923828762E-2</v>
      </c>
      <c r="H457" s="15" t="s">
        <v>1548</v>
      </c>
      <c r="I457" s="15">
        <v>1.0900000000000001</v>
      </c>
      <c r="J457" s="15" t="s">
        <v>124</v>
      </c>
      <c r="K457" s="15">
        <v>50.48</v>
      </c>
      <c r="L457" s="28" t="str">
        <f>HYPERLINK("http://finance.yahoo.com/q?s=" &amp; A457, "Link")</f>
        <v>Link</v>
      </c>
      <c r="M457" s="15">
        <f>K457*0.9</f>
        <v>45.431999999999995</v>
      </c>
      <c r="N457" s="15" t="str">
        <f>IF(M457&gt;C457, "Buy", "")</f>
        <v/>
      </c>
      <c r="O457" s="33">
        <f>C457/K457</f>
        <v>1.19473058637084</v>
      </c>
    </row>
    <row r="458" spans="1:15" ht="20.100000000000001" customHeight="1" x14ac:dyDescent="0.25">
      <c r="A458" s="21" t="s">
        <v>310</v>
      </c>
      <c r="B458" t="s">
        <v>694</v>
      </c>
      <c r="C458" s="15">
        <v>50.5</v>
      </c>
      <c r="D458" s="15">
        <v>49.71</v>
      </c>
      <c r="E458" s="15">
        <v>50.54</v>
      </c>
      <c r="F458" s="15">
        <v>49.7</v>
      </c>
      <c r="G458" s="16">
        <v>1.6096579476861109E-2</v>
      </c>
      <c r="H458" s="15" t="s">
        <v>1563</v>
      </c>
      <c r="I458" s="15">
        <v>1.6</v>
      </c>
      <c r="J458" s="15">
        <v>8.7200000000000006</v>
      </c>
      <c r="K458" s="15">
        <v>42.12</v>
      </c>
      <c r="L458" s="28" t="str">
        <f>HYPERLINK("http://finance.yahoo.com/q?s=" &amp; A458, "Link")</f>
        <v>Link</v>
      </c>
      <c r="M458" s="15">
        <f>K458*0.9</f>
        <v>37.908000000000001</v>
      </c>
      <c r="N458" s="15" t="str">
        <f>IF(M458&gt;C458, "Buy", "")</f>
        <v/>
      </c>
      <c r="O458" s="33">
        <f>C458/K458</f>
        <v>1.1989553656220324</v>
      </c>
    </row>
    <row r="459" spans="1:15" ht="20.100000000000001" customHeight="1" x14ac:dyDescent="0.25">
      <c r="A459" s="21" t="s">
        <v>308</v>
      </c>
      <c r="B459" t="s">
        <v>692</v>
      </c>
      <c r="C459" s="15">
        <v>106.74</v>
      </c>
      <c r="D459" s="15">
        <v>105.04</v>
      </c>
      <c r="E459" s="15">
        <v>107.03</v>
      </c>
      <c r="F459" s="15">
        <v>105.02</v>
      </c>
      <c r="G459" s="16">
        <v>1.6377832793753561E-2</v>
      </c>
      <c r="H459" s="15" t="s">
        <v>1555</v>
      </c>
      <c r="I459" s="15">
        <v>2.25</v>
      </c>
      <c r="J459" s="15">
        <v>22.19</v>
      </c>
      <c r="K459" s="15">
        <v>88.86</v>
      </c>
      <c r="L459" s="28" t="str">
        <f>HYPERLINK("http://finance.yahoo.com/q?s=" &amp; A459, "Link")</f>
        <v>Link</v>
      </c>
      <c r="M459" s="15">
        <f>K459*0.9</f>
        <v>79.974000000000004</v>
      </c>
      <c r="N459" s="15" t="str">
        <f>IF(M459&gt;C459, "Buy", "")</f>
        <v/>
      </c>
      <c r="O459" s="33">
        <f>C459/K459</f>
        <v>1.2012153950033762</v>
      </c>
    </row>
    <row r="460" spans="1:15" ht="20.100000000000001" customHeight="1" x14ac:dyDescent="0.25">
      <c r="A460" s="21" t="s">
        <v>532</v>
      </c>
      <c r="B460" t="s">
        <v>895</v>
      </c>
      <c r="C460" s="15">
        <v>88.67</v>
      </c>
      <c r="D460" s="15">
        <v>84.69</v>
      </c>
      <c r="E460" s="15">
        <v>88.9</v>
      </c>
      <c r="F460" s="15">
        <v>78.459999999999994</v>
      </c>
      <c r="G460" s="16">
        <v>0.1301300025490697</v>
      </c>
      <c r="H460" s="15" t="s">
        <v>1454</v>
      </c>
      <c r="I460" s="15">
        <v>1.26</v>
      </c>
      <c r="J460" s="15">
        <v>18.760000000000002</v>
      </c>
      <c r="K460" s="15">
        <v>73.8</v>
      </c>
      <c r="L460" s="28" t="str">
        <f>HYPERLINK("http://finance.yahoo.com/q?s=" &amp; A460, "Link")</f>
        <v>Link</v>
      </c>
      <c r="M460" s="15">
        <f>K460*0.9</f>
        <v>66.42</v>
      </c>
      <c r="N460" s="15" t="str">
        <f>IF(M460&gt;C460, "Buy", "")</f>
        <v/>
      </c>
      <c r="O460" s="33">
        <f>C460/K460</f>
        <v>1.2014905149051491</v>
      </c>
    </row>
    <row r="461" spans="1:15" ht="20.100000000000001" customHeight="1" x14ac:dyDescent="0.25">
      <c r="A461" s="21" t="s">
        <v>571</v>
      </c>
      <c r="B461" t="s">
        <v>929</v>
      </c>
      <c r="C461" s="15">
        <v>45.02</v>
      </c>
      <c r="D461" s="15">
        <v>44.59</v>
      </c>
      <c r="E461" s="15">
        <v>45.3</v>
      </c>
      <c r="F461" s="15">
        <v>44.43</v>
      </c>
      <c r="G461" s="16">
        <v>1.3279315777627806E-2</v>
      </c>
      <c r="H461" s="15" t="s">
        <v>1559</v>
      </c>
      <c r="I461" s="15">
        <v>1.78</v>
      </c>
      <c r="J461" s="15">
        <v>11.81</v>
      </c>
      <c r="K461" s="15">
        <v>37.28</v>
      </c>
      <c r="L461" s="28" t="str">
        <f>HYPERLINK("http://finance.yahoo.com/q?s=" &amp; A461, "Link")</f>
        <v>Link</v>
      </c>
      <c r="M461" s="15">
        <f>K461*0.9</f>
        <v>33.552</v>
      </c>
      <c r="N461" s="15" t="str">
        <f>IF(M461&gt;C461, "Buy", "")</f>
        <v/>
      </c>
      <c r="O461" s="33">
        <f>C461/K461</f>
        <v>1.2076180257510729</v>
      </c>
    </row>
    <row r="462" spans="1:15" ht="20.100000000000001" customHeight="1" x14ac:dyDescent="0.25">
      <c r="A462" s="21" t="s">
        <v>507</v>
      </c>
      <c r="B462" t="s">
        <v>871</v>
      </c>
      <c r="C462" s="15">
        <v>34.659999999999997</v>
      </c>
      <c r="D462" s="15">
        <v>34.11</v>
      </c>
      <c r="E462" s="15">
        <v>34.96</v>
      </c>
      <c r="F462" s="15">
        <v>34.47</v>
      </c>
      <c r="G462" s="16">
        <v>5.5120394545981359E-3</v>
      </c>
      <c r="H462" s="15" t="s">
        <v>1562</v>
      </c>
      <c r="I462" s="15" t="s">
        <v>124</v>
      </c>
      <c r="J462" s="15">
        <v>52.12</v>
      </c>
      <c r="K462" s="15">
        <v>28.7</v>
      </c>
      <c r="L462" s="28" t="str">
        <f>HYPERLINK("http://finance.yahoo.com/q?s=" &amp; A462, "Link")</f>
        <v>Link</v>
      </c>
      <c r="M462" s="15">
        <f>K462*0.9</f>
        <v>25.83</v>
      </c>
      <c r="N462" s="15" t="str">
        <f>IF(M462&gt;C462, "Buy", "")</f>
        <v/>
      </c>
      <c r="O462" s="33">
        <f>C462/K462</f>
        <v>1.2076655052264806</v>
      </c>
    </row>
    <row r="463" spans="1:15" ht="20.100000000000001" customHeight="1" x14ac:dyDescent="0.25">
      <c r="A463" s="21" t="s">
        <v>388</v>
      </c>
      <c r="B463" t="s">
        <v>764</v>
      </c>
      <c r="C463" s="15">
        <v>13.12</v>
      </c>
      <c r="D463" s="15">
        <v>13.01</v>
      </c>
      <c r="E463" s="15">
        <v>13.24</v>
      </c>
      <c r="F463" s="15">
        <v>13.01</v>
      </c>
      <c r="G463" s="16">
        <v>8.4550345887778201E-3</v>
      </c>
      <c r="H463" s="15" t="s">
        <v>1576</v>
      </c>
      <c r="I463" s="15">
        <v>2.4300000000000002</v>
      </c>
      <c r="J463" s="15">
        <v>18.53</v>
      </c>
      <c r="K463" s="15">
        <v>10.84</v>
      </c>
      <c r="L463" s="28" t="str">
        <f>HYPERLINK("http://finance.yahoo.com/q?s=" &amp; A463, "Link")</f>
        <v>Link</v>
      </c>
      <c r="M463" s="15">
        <f>K463*0.9</f>
        <v>9.7560000000000002</v>
      </c>
      <c r="N463" s="15" t="str">
        <f>IF(M463&gt;C463, "Buy", "")</f>
        <v/>
      </c>
      <c r="O463" s="33">
        <f>C463/K463</f>
        <v>1.2103321033210332</v>
      </c>
    </row>
    <row r="464" spans="1:15" ht="20.100000000000001" customHeight="1" x14ac:dyDescent="0.25">
      <c r="A464" s="21" t="s">
        <v>536</v>
      </c>
      <c r="B464" t="s">
        <v>899</v>
      </c>
      <c r="C464" s="15">
        <v>51.09</v>
      </c>
      <c r="D464" s="15">
        <v>50.14</v>
      </c>
      <c r="E464" s="15">
        <v>51.17</v>
      </c>
      <c r="F464" s="15">
        <v>50.07</v>
      </c>
      <c r="G464" s="16">
        <v>2.0371479928100723E-2</v>
      </c>
      <c r="H464" s="15" t="s">
        <v>1565</v>
      </c>
      <c r="I464" s="15">
        <v>0.78</v>
      </c>
      <c r="J464" s="15">
        <v>14.52</v>
      </c>
      <c r="K464" s="15">
        <v>41.94</v>
      </c>
      <c r="L464" s="28" t="str">
        <f>HYPERLINK("http://finance.yahoo.com/q?s=" &amp; A464, "Link")</f>
        <v>Link</v>
      </c>
      <c r="M464" s="15">
        <f>K464*0.9</f>
        <v>37.746000000000002</v>
      </c>
      <c r="N464" s="15" t="str">
        <f>IF(M464&gt;C464, "Buy", "")</f>
        <v/>
      </c>
      <c r="O464" s="33">
        <f>C464/K464</f>
        <v>1.2181688125894137</v>
      </c>
    </row>
    <row r="465" spans="1:15" ht="20.100000000000001" customHeight="1" x14ac:dyDescent="0.25">
      <c r="A465" s="21" t="s">
        <v>500</v>
      </c>
      <c r="B465" t="s">
        <v>865</v>
      </c>
      <c r="C465" s="15">
        <v>105.59</v>
      </c>
      <c r="D465" s="15">
        <v>104.89</v>
      </c>
      <c r="E465" s="15">
        <v>106.05</v>
      </c>
      <c r="F465" s="15">
        <v>104.76</v>
      </c>
      <c r="G465" s="16">
        <v>7.9228713249331634E-3</v>
      </c>
      <c r="H465" s="15" t="s">
        <v>1561</v>
      </c>
      <c r="I465" s="15">
        <v>2.65</v>
      </c>
      <c r="J465" s="15">
        <v>9.9499999999999993</v>
      </c>
      <c r="K465" s="15">
        <v>86.62</v>
      </c>
      <c r="L465" s="28" t="str">
        <f>HYPERLINK("http://finance.yahoo.com/q?s=" &amp; A465, "Link")</f>
        <v>Link</v>
      </c>
      <c r="M465" s="15">
        <f>K465*0.9</f>
        <v>77.958000000000013</v>
      </c>
      <c r="N465" s="15" t="str">
        <f>IF(M465&gt;C465, "Buy", "")</f>
        <v/>
      </c>
      <c r="O465" s="33">
        <f>C465/K465</f>
        <v>1.2190025398291386</v>
      </c>
    </row>
    <row r="466" spans="1:15" ht="20.100000000000001" customHeight="1" x14ac:dyDescent="0.25">
      <c r="A466" s="21" t="s">
        <v>491</v>
      </c>
      <c r="B466" t="s">
        <v>858</v>
      </c>
      <c r="C466" s="15">
        <v>117.35</v>
      </c>
      <c r="D466" s="15">
        <v>115.99</v>
      </c>
      <c r="E466" s="15">
        <v>117.59</v>
      </c>
      <c r="F466" s="15">
        <v>115.61</v>
      </c>
      <c r="G466" s="16">
        <v>1.5050601159069241E-2</v>
      </c>
      <c r="H466" s="15" t="s">
        <v>1568</v>
      </c>
      <c r="I466" s="15">
        <v>1.87</v>
      </c>
      <c r="J466" s="15">
        <v>16.079999999999998</v>
      </c>
      <c r="K466" s="15">
        <v>96.06</v>
      </c>
      <c r="L466" s="28" t="str">
        <f>HYPERLINK("http://finance.yahoo.com/q?s=" &amp; A466, "Link")</f>
        <v>Link</v>
      </c>
      <c r="M466" s="15">
        <f>K466*0.9</f>
        <v>86.454000000000008</v>
      </c>
      <c r="N466" s="15" t="str">
        <f>IF(M466&gt;C466, "Buy", "")</f>
        <v/>
      </c>
      <c r="O466" s="33">
        <f>C466/K466</f>
        <v>1.2216323131376223</v>
      </c>
    </row>
    <row r="467" spans="1:15" ht="20.100000000000001" customHeight="1" x14ac:dyDescent="0.25">
      <c r="A467" s="21" t="s">
        <v>375</v>
      </c>
      <c r="B467" t="s">
        <v>752</v>
      </c>
      <c r="C467" s="15">
        <v>110.59</v>
      </c>
      <c r="D467" s="15">
        <v>110.43</v>
      </c>
      <c r="E467" s="15">
        <v>110.74</v>
      </c>
      <c r="F467" s="15">
        <v>110.55</v>
      </c>
      <c r="G467" s="16">
        <v>3.6182722749892584E-4</v>
      </c>
      <c r="H467" s="15" t="s">
        <v>1136</v>
      </c>
      <c r="I467" s="15">
        <v>1.27</v>
      </c>
      <c r="J467" s="15">
        <v>21.11</v>
      </c>
      <c r="K467" s="15">
        <v>90.23</v>
      </c>
      <c r="L467" s="28" t="str">
        <f>HYPERLINK("http://finance.yahoo.com/q?s=" &amp; A467, "Link")</f>
        <v>Link</v>
      </c>
      <c r="M467" s="15">
        <f>K467*0.9</f>
        <v>81.207000000000008</v>
      </c>
      <c r="N467" s="15" t="str">
        <f>IF(M467&gt;C467, "Buy", "")</f>
        <v/>
      </c>
      <c r="O467" s="33">
        <f>C467/K467</f>
        <v>1.2256455724260225</v>
      </c>
    </row>
    <row r="468" spans="1:15" ht="20.100000000000001" customHeight="1" x14ac:dyDescent="0.25">
      <c r="A468" s="21" t="s">
        <v>325</v>
      </c>
      <c r="B468" t="s">
        <v>705</v>
      </c>
      <c r="C468" s="15">
        <v>36.39</v>
      </c>
      <c r="D468" s="15">
        <v>36.22</v>
      </c>
      <c r="E468" s="15">
        <v>36.619999999999997</v>
      </c>
      <c r="F468" s="15">
        <v>36.24</v>
      </c>
      <c r="G468" s="16">
        <v>4.1390728476820796E-3</v>
      </c>
      <c r="H468" s="15" t="s">
        <v>1147</v>
      </c>
      <c r="I468" s="15">
        <v>0</v>
      </c>
      <c r="J468" s="15">
        <v>20.079999999999998</v>
      </c>
      <c r="K468" s="15">
        <v>29.55</v>
      </c>
      <c r="L468" s="28" t="str">
        <f>HYPERLINK("http://finance.yahoo.com/q?s=" &amp; A468, "Link")</f>
        <v>Link</v>
      </c>
      <c r="M468" s="15">
        <f>K468*0.9</f>
        <v>26.595000000000002</v>
      </c>
      <c r="N468" s="15" t="str">
        <f>IF(M468&gt;C468, "Buy", "")</f>
        <v/>
      </c>
      <c r="O468" s="33">
        <f>C468/K468</f>
        <v>1.231472081218274</v>
      </c>
    </row>
    <row r="469" spans="1:15" ht="20.100000000000001" customHeight="1" x14ac:dyDescent="0.25">
      <c r="A469" s="21" t="s">
        <v>428</v>
      </c>
      <c r="B469" t="s">
        <v>801</v>
      </c>
      <c r="C469" s="15">
        <v>157.03</v>
      </c>
      <c r="D469" s="15">
        <v>155.49</v>
      </c>
      <c r="E469" s="15">
        <v>157.71</v>
      </c>
      <c r="F469" s="15">
        <v>155.35</v>
      </c>
      <c r="G469" s="16">
        <v>1.0814290312198306E-2</v>
      </c>
      <c r="H469" s="15" t="s">
        <v>1117</v>
      </c>
      <c r="I469" s="15">
        <v>1.78</v>
      </c>
      <c r="J469" s="15">
        <v>20.18</v>
      </c>
      <c r="K469" s="15">
        <v>127.43</v>
      </c>
      <c r="L469" s="28" t="str">
        <f>HYPERLINK("http://finance.yahoo.com/q?s=" &amp; A469, "Link")</f>
        <v>Link</v>
      </c>
      <c r="M469" s="15">
        <f>K469*0.9</f>
        <v>114.68700000000001</v>
      </c>
      <c r="N469" s="15" t="str">
        <f>IF(M469&gt;C469, "Buy", "")</f>
        <v/>
      </c>
      <c r="O469" s="33">
        <f>C469/K469</f>
        <v>1.2322843914305892</v>
      </c>
    </row>
    <row r="470" spans="1:15" ht="20.100000000000001" customHeight="1" x14ac:dyDescent="0.25">
      <c r="A470" s="21" t="s">
        <v>67</v>
      </c>
      <c r="B470" t="s">
        <v>115</v>
      </c>
      <c r="C470" s="15">
        <v>42.59</v>
      </c>
      <c r="D470" s="15">
        <v>42.35</v>
      </c>
      <c r="E470" s="15">
        <v>42.87</v>
      </c>
      <c r="F470" s="15">
        <v>42.45</v>
      </c>
      <c r="G470" s="16">
        <v>3.2979976442874103E-3</v>
      </c>
      <c r="H470" s="15" t="s">
        <v>1577</v>
      </c>
      <c r="I470" s="15">
        <v>1.88</v>
      </c>
      <c r="J470" s="15">
        <v>14.58</v>
      </c>
      <c r="K470" s="15">
        <v>34.229999999999997</v>
      </c>
      <c r="L470" s="28" t="str">
        <f>HYPERLINK("http://finance.yahoo.com/q?s=" &amp; A470, "Link")</f>
        <v>Link</v>
      </c>
      <c r="M470" s="15">
        <f>K470*0.9</f>
        <v>30.806999999999999</v>
      </c>
      <c r="N470" s="15" t="str">
        <f>IF(M470&gt;C470, "Buy", "")</f>
        <v/>
      </c>
      <c r="O470" s="33">
        <f>C470/K470</f>
        <v>1.2442302074203917</v>
      </c>
    </row>
    <row r="471" spans="1:15" ht="20.100000000000001" customHeight="1" x14ac:dyDescent="0.25">
      <c r="A471" s="21" t="s">
        <v>45</v>
      </c>
      <c r="B471" t="s">
        <v>113</v>
      </c>
      <c r="C471" s="15">
        <v>232.2</v>
      </c>
      <c r="D471" s="15">
        <v>230.54</v>
      </c>
      <c r="E471" s="15">
        <v>233.23</v>
      </c>
      <c r="F471" s="15">
        <v>231.41</v>
      </c>
      <c r="G471" s="16">
        <v>3.4138541981763625E-3</v>
      </c>
      <c r="H471" s="15" t="s">
        <v>1579</v>
      </c>
      <c r="I471" s="15">
        <v>1.1200000000000001</v>
      </c>
      <c r="J471" s="15">
        <v>14.26</v>
      </c>
      <c r="K471" s="15">
        <v>185.78</v>
      </c>
      <c r="L471" s="28" t="str">
        <f>HYPERLINK("http://finance.yahoo.com/q?s=" &amp; A471, "Link")</f>
        <v>Link</v>
      </c>
      <c r="M471" s="15">
        <f>K471*0.9</f>
        <v>167.202</v>
      </c>
      <c r="N471" s="15" t="str">
        <f>IF(M471&gt;C471, "Buy", "")</f>
        <v/>
      </c>
      <c r="O471" s="33">
        <f>C471/K471</f>
        <v>1.2498654322316718</v>
      </c>
    </row>
    <row r="472" spans="1:15" ht="20.100000000000001" customHeight="1" x14ac:dyDescent="0.25">
      <c r="A472" s="21" t="s">
        <v>446</v>
      </c>
      <c r="B472" t="s">
        <v>817</v>
      </c>
      <c r="C472" s="15">
        <v>21.96</v>
      </c>
      <c r="D472" s="15">
        <v>21.89</v>
      </c>
      <c r="E472" s="15">
        <v>22.33</v>
      </c>
      <c r="F472" s="15">
        <v>21.71</v>
      </c>
      <c r="G472" s="16">
        <v>1.1515430677107323E-2</v>
      </c>
      <c r="H472" s="15" t="s">
        <v>1473</v>
      </c>
      <c r="I472" s="15">
        <v>0</v>
      </c>
      <c r="J472" s="15" t="s">
        <v>124</v>
      </c>
      <c r="K472" s="15">
        <v>17.53</v>
      </c>
      <c r="L472" s="28" t="str">
        <f>HYPERLINK("http://finance.yahoo.com/q?s=" &amp; A472, "Link")</f>
        <v>Link</v>
      </c>
      <c r="M472" s="15">
        <f>K472*0.9</f>
        <v>15.777000000000001</v>
      </c>
      <c r="N472" s="15" t="str">
        <f>IF(M472&gt;C472, "Buy", "")</f>
        <v/>
      </c>
      <c r="O472" s="33">
        <f>C472/K472</f>
        <v>1.2527096406160867</v>
      </c>
    </row>
    <row r="473" spans="1:15" ht="20.100000000000001" customHeight="1" x14ac:dyDescent="0.25">
      <c r="A473" s="21" t="s">
        <v>279</v>
      </c>
      <c r="B473" t="s">
        <v>668</v>
      </c>
      <c r="C473" s="15">
        <v>41.31</v>
      </c>
      <c r="D473" s="15">
        <v>40.94</v>
      </c>
      <c r="E473" s="15">
        <v>41.74</v>
      </c>
      <c r="F473" s="15">
        <v>41.44</v>
      </c>
      <c r="G473" s="16">
        <v>-3.1370656370655276E-3</v>
      </c>
      <c r="H473" s="15" t="s">
        <v>1573</v>
      </c>
      <c r="I473" s="15">
        <v>0.68</v>
      </c>
      <c r="J473" s="15">
        <v>31.53</v>
      </c>
      <c r="K473" s="15">
        <v>32.9</v>
      </c>
      <c r="L473" s="28" t="str">
        <f>HYPERLINK("http://finance.yahoo.com/q?s=" &amp; A473, "Link")</f>
        <v>Link</v>
      </c>
      <c r="M473" s="15">
        <f>K473*0.9</f>
        <v>29.61</v>
      </c>
      <c r="N473" s="15" t="str">
        <f>IF(M473&gt;C473, "Buy", "")</f>
        <v/>
      </c>
      <c r="O473" s="33">
        <f>C473/K473</f>
        <v>1.2556231003039515</v>
      </c>
    </row>
    <row r="474" spans="1:15" ht="20.100000000000001" customHeight="1" x14ac:dyDescent="0.25">
      <c r="A474" s="21" t="s">
        <v>220</v>
      </c>
      <c r="B474" t="s">
        <v>1122</v>
      </c>
      <c r="C474" s="15">
        <v>35.659999999999997</v>
      </c>
      <c r="D474" s="15">
        <v>34.93</v>
      </c>
      <c r="E474" s="15">
        <v>35.74</v>
      </c>
      <c r="F474" s="15">
        <v>35.42</v>
      </c>
      <c r="G474" s="16">
        <v>6.7758328627892401E-3</v>
      </c>
      <c r="H474" s="15" t="s">
        <v>1542</v>
      </c>
      <c r="I474" s="15">
        <v>1.25</v>
      </c>
      <c r="J474" s="15" t="s">
        <v>124</v>
      </c>
      <c r="K474" s="15">
        <v>28.33</v>
      </c>
      <c r="L474" s="28" t="str">
        <f>HYPERLINK("http://finance.yahoo.com/q?s=" &amp; A474, "Link")</f>
        <v>Link</v>
      </c>
      <c r="M474" s="15">
        <f>K474*0.9</f>
        <v>25.497</v>
      </c>
      <c r="N474" s="15" t="str">
        <f>IF(M474&gt;C474, "Buy", "")</f>
        <v/>
      </c>
      <c r="O474" s="33">
        <f>C474/K474</f>
        <v>1.2587363219202259</v>
      </c>
    </row>
    <row r="475" spans="1:15" ht="20.100000000000001" customHeight="1" x14ac:dyDescent="0.25">
      <c r="A475" s="21" t="s">
        <v>37</v>
      </c>
      <c r="B475" t="s">
        <v>149</v>
      </c>
      <c r="C475" s="15">
        <v>15.51</v>
      </c>
      <c r="D475" s="15">
        <v>15.28</v>
      </c>
      <c r="E475" s="15">
        <v>15.51</v>
      </c>
      <c r="F475" s="15">
        <v>15.26</v>
      </c>
      <c r="G475" s="16">
        <v>1.6382699868938401E-2</v>
      </c>
      <c r="H475" s="15" t="s">
        <v>1569</v>
      </c>
      <c r="I475" s="15">
        <v>0</v>
      </c>
      <c r="J475" s="15" t="s">
        <v>124</v>
      </c>
      <c r="K475" s="15">
        <v>12.3</v>
      </c>
      <c r="L475" s="28" t="str">
        <f>HYPERLINK("http://finance.yahoo.com/q?s=" &amp; A475, "Link")</f>
        <v>Link</v>
      </c>
      <c r="M475" s="15">
        <f>K475*0.9</f>
        <v>11.07</v>
      </c>
      <c r="N475" s="15" t="str">
        <f>IF(M475&gt;C475, "Buy", "")</f>
        <v/>
      </c>
      <c r="O475" s="33">
        <f>C475/K475</f>
        <v>1.2609756097560976</v>
      </c>
    </row>
    <row r="476" spans="1:15" ht="20.100000000000001" customHeight="1" x14ac:dyDescent="0.25">
      <c r="A476" s="21" t="s">
        <v>602</v>
      </c>
      <c r="B476" t="s">
        <v>958</v>
      </c>
      <c r="C476" s="15">
        <v>42.46</v>
      </c>
      <c r="D476" s="15">
        <v>42.2</v>
      </c>
      <c r="E476" s="15">
        <v>42.9</v>
      </c>
      <c r="F476" s="15">
        <v>42.31</v>
      </c>
      <c r="G476" s="16">
        <v>3.5452611675726442E-3</v>
      </c>
      <c r="H476" s="15" t="s">
        <v>1585</v>
      </c>
      <c r="I476" s="15">
        <v>0.75</v>
      </c>
      <c r="J476" s="15">
        <v>23.33</v>
      </c>
      <c r="K476" s="15">
        <v>33.630000000000003</v>
      </c>
      <c r="L476" s="28" t="str">
        <f>HYPERLINK("http://finance.yahoo.com/q?s=" &amp; A476, "Link")</f>
        <v>Link</v>
      </c>
      <c r="M476" s="15">
        <f>K476*0.9</f>
        <v>30.267000000000003</v>
      </c>
      <c r="N476" s="15" t="str">
        <f>IF(M476&gt;C476, "Buy", "")</f>
        <v/>
      </c>
      <c r="O476" s="33">
        <f>C476/K476</f>
        <v>1.262563187630092</v>
      </c>
    </row>
    <row r="477" spans="1:15" ht="20.100000000000001" customHeight="1" x14ac:dyDescent="0.25">
      <c r="A477" s="21" t="s">
        <v>458</v>
      </c>
      <c r="B477" t="s">
        <v>827</v>
      </c>
      <c r="C477" s="15">
        <v>138.6</v>
      </c>
      <c r="D477" s="15">
        <v>137.66</v>
      </c>
      <c r="E477" s="15">
        <v>140.79</v>
      </c>
      <c r="F477" s="15">
        <v>138.41</v>
      </c>
      <c r="G477" s="16">
        <v>1.3727331840184794E-3</v>
      </c>
      <c r="H477" s="15" t="s">
        <v>1571</v>
      </c>
      <c r="I477" s="15" t="s">
        <v>124</v>
      </c>
      <c r="J477" s="15">
        <v>322.33</v>
      </c>
      <c r="K477" s="15">
        <v>109.32</v>
      </c>
      <c r="L477" s="28" t="str">
        <f>HYPERLINK("http://finance.yahoo.com/q?s=" &amp; A477, "Link")</f>
        <v>Link</v>
      </c>
      <c r="M477" s="15">
        <f>K477*0.9</f>
        <v>98.387999999999991</v>
      </c>
      <c r="N477" s="15" t="str">
        <f>IF(M477&gt;C477, "Buy", "")</f>
        <v/>
      </c>
      <c r="O477" s="33">
        <f>C477/K477</f>
        <v>1.2678375411635565</v>
      </c>
    </row>
    <row r="478" spans="1:15" ht="20.100000000000001" customHeight="1" x14ac:dyDescent="0.25">
      <c r="A478" s="21" t="s">
        <v>294</v>
      </c>
      <c r="B478" t="s">
        <v>681</v>
      </c>
      <c r="C478" s="15">
        <v>66.959999999999994</v>
      </c>
      <c r="D478" s="15">
        <v>66.52</v>
      </c>
      <c r="E478" s="15">
        <v>67.459999999999994</v>
      </c>
      <c r="F478" s="15">
        <v>66.31</v>
      </c>
      <c r="G478" s="16">
        <v>9.8024430704266551E-3</v>
      </c>
      <c r="H478" s="15" t="s">
        <v>1581</v>
      </c>
      <c r="I478" s="15">
        <v>1.37</v>
      </c>
      <c r="J478" s="15">
        <v>24.99</v>
      </c>
      <c r="K478" s="15">
        <v>52.8</v>
      </c>
      <c r="L478" s="28" t="str">
        <f>HYPERLINK("http://finance.yahoo.com/q?s=" &amp; A478, "Link")</f>
        <v>Link</v>
      </c>
      <c r="M478" s="15">
        <f>K478*0.9</f>
        <v>47.519999999999996</v>
      </c>
      <c r="N478" s="15" t="str">
        <f>IF(M478&gt;C478, "Buy", "")</f>
        <v/>
      </c>
      <c r="O478" s="33">
        <f>C478/K478</f>
        <v>1.2681818181818181</v>
      </c>
    </row>
    <row r="479" spans="1:15" ht="20.100000000000001" customHeight="1" x14ac:dyDescent="0.25">
      <c r="A479" s="21" t="s">
        <v>406</v>
      </c>
      <c r="B479" t="s">
        <v>781</v>
      </c>
      <c r="C479" s="15">
        <v>17.86</v>
      </c>
      <c r="D479" s="15">
        <v>17.75</v>
      </c>
      <c r="E479" s="15">
        <v>18.04</v>
      </c>
      <c r="F479" s="15">
        <v>17.84</v>
      </c>
      <c r="G479" s="16">
        <v>1.1210762331838326E-3</v>
      </c>
      <c r="H479" s="15" t="s">
        <v>1580</v>
      </c>
      <c r="I479" s="15">
        <v>1.9</v>
      </c>
      <c r="J479" s="15">
        <v>22.3</v>
      </c>
      <c r="K479" s="15">
        <v>14.08</v>
      </c>
      <c r="L479" s="28" t="str">
        <f>HYPERLINK("http://finance.yahoo.com/q?s=" &amp; A479, "Link")</f>
        <v>Link</v>
      </c>
      <c r="M479" s="15">
        <f>K479*0.9</f>
        <v>12.672000000000001</v>
      </c>
      <c r="N479" s="15" t="str">
        <f>IF(M479&gt;C479, "Buy", "")</f>
        <v/>
      </c>
      <c r="O479" s="33">
        <f>C479/K479</f>
        <v>1.2684659090909089</v>
      </c>
    </row>
    <row r="480" spans="1:15" ht="20.100000000000001" customHeight="1" x14ac:dyDescent="0.25">
      <c r="A480" s="21" t="s">
        <v>333</v>
      </c>
      <c r="B480" t="s">
        <v>712</v>
      </c>
      <c r="C480" s="15">
        <v>11.32</v>
      </c>
      <c r="D480" s="15">
        <v>11.22</v>
      </c>
      <c r="E480" s="15">
        <v>11.5</v>
      </c>
      <c r="F480" s="15">
        <v>11.1</v>
      </c>
      <c r="G480" s="16">
        <v>1.9819819819819878E-2</v>
      </c>
      <c r="H480" s="15" t="s">
        <v>1575</v>
      </c>
      <c r="I480" s="15">
        <v>0.35</v>
      </c>
      <c r="J480" s="15" t="s">
        <v>124</v>
      </c>
      <c r="K480" s="15">
        <v>8.92</v>
      </c>
      <c r="L480" s="28" t="str">
        <f>HYPERLINK("http://finance.yahoo.com/q?s=" &amp; A480, "Link")</f>
        <v>Link</v>
      </c>
      <c r="M480" s="15">
        <f>K480*0.9</f>
        <v>8.0280000000000005</v>
      </c>
      <c r="N480" s="15" t="str">
        <f>IF(M480&gt;C480, "Buy", "")</f>
        <v/>
      </c>
      <c r="O480" s="33">
        <f>C480/K480</f>
        <v>1.2690582959641257</v>
      </c>
    </row>
    <row r="481" spans="1:15" ht="20.100000000000001" customHeight="1" x14ac:dyDescent="0.25">
      <c r="A481" s="21" t="s">
        <v>513</v>
      </c>
      <c r="B481" t="s">
        <v>877</v>
      </c>
      <c r="C481" s="15">
        <v>14.04</v>
      </c>
      <c r="D481" s="15">
        <v>13.9</v>
      </c>
      <c r="E481" s="15">
        <v>14.14</v>
      </c>
      <c r="F481" s="15">
        <v>13.98</v>
      </c>
      <c r="G481" s="16">
        <v>4.2918454935621398E-3</v>
      </c>
      <c r="H481" s="15" t="s">
        <v>1583</v>
      </c>
      <c r="I481" s="15">
        <v>1.85</v>
      </c>
      <c r="J481" s="15">
        <v>16.5</v>
      </c>
      <c r="K481" s="15">
        <v>11.03</v>
      </c>
      <c r="L481" s="28" t="str">
        <f>HYPERLINK("http://finance.yahoo.com/q?s=" &amp; A481, "Link")</f>
        <v>Link</v>
      </c>
      <c r="M481" s="15">
        <f>K481*0.9</f>
        <v>9.9269999999999996</v>
      </c>
      <c r="N481" s="15" t="str">
        <f>IF(M481&gt;C481, "Buy", "")</f>
        <v/>
      </c>
      <c r="O481" s="33">
        <f>C481/K481</f>
        <v>1.2728921124206709</v>
      </c>
    </row>
    <row r="482" spans="1:15" ht="20.100000000000001" customHeight="1" x14ac:dyDescent="0.25">
      <c r="A482" s="21" t="s">
        <v>585</v>
      </c>
      <c r="B482" t="s">
        <v>942</v>
      </c>
      <c r="C482" s="15">
        <v>72.63</v>
      </c>
      <c r="D482" s="15">
        <v>72.28</v>
      </c>
      <c r="E482" s="15">
        <v>73.400000000000006</v>
      </c>
      <c r="F482" s="15">
        <v>71.67</v>
      </c>
      <c r="G482" s="16">
        <v>1.3394725826705646E-2</v>
      </c>
      <c r="H482" s="15" t="s">
        <v>1574</v>
      </c>
      <c r="I482" s="15">
        <v>2.75</v>
      </c>
      <c r="J482" s="15" t="s">
        <v>124</v>
      </c>
      <c r="K482" s="15">
        <v>56.93</v>
      </c>
      <c r="L482" s="28" t="str">
        <f>HYPERLINK("http://finance.yahoo.com/q?s=" &amp; A482, "Link")</f>
        <v>Link</v>
      </c>
      <c r="M482" s="15">
        <f>K482*0.9</f>
        <v>51.237000000000002</v>
      </c>
      <c r="N482" s="15" t="str">
        <f>IF(M482&gt;C482, "Buy", "")</f>
        <v/>
      </c>
      <c r="O482" s="33">
        <f>C482/K482</f>
        <v>1.2757772703319865</v>
      </c>
    </row>
    <row r="483" spans="1:15" ht="20.100000000000001" customHeight="1" x14ac:dyDescent="0.25">
      <c r="A483" s="21" t="s">
        <v>424</v>
      </c>
      <c r="B483" t="s">
        <v>797</v>
      </c>
      <c r="C483" s="15">
        <v>66.930000000000007</v>
      </c>
      <c r="D483" s="15">
        <v>66.28</v>
      </c>
      <c r="E483" s="15">
        <v>68</v>
      </c>
      <c r="F483" s="15">
        <v>66.69</v>
      </c>
      <c r="G483" s="16">
        <v>3.5987404408458403E-3</v>
      </c>
      <c r="H483" s="15" t="s">
        <v>1578</v>
      </c>
      <c r="I483" s="15">
        <v>1.73</v>
      </c>
      <c r="J483" s="15">
        <v>12.65</v>
      </c>
      <c r="K483" s="15">
        <v>52.14</v>
      </c>
      <c r="L483" s="28" t="str">
        <f>HYPERLINK("http://finance.yahoo.com/q?s=" &amp; A483, "Link")</f>
        <v>Link</v>
      </c>
      <c r="M483" s="15">
        <f>K483*0.9</f>
        <v>46.926000000000002</v>
      </c>
      <c r="N483" s="15" t="str">
        <f>IF(M483&gt;C483, "Buy", "")</f>
        <v/>
      </c>
      <c r="O483" s="33">
        <f>C483/K483</f>
        <v>1.2836593785960875</v>
      </c>
    </row>
    <row r="484" spans="1:15" ht="20.100000000000001" customHeight="1" x14ac:dyDescent="0.25">
      <c r="A484" s="21" t="s">
        <v>471</v>
      </c>
      <c r="B484" t="s">
        <v>838</v>
      </c>
      <c r="C484" s="15">
        <v>16.11</v>
      </c>
      <c r="D484" s="15">
        <v>15.66</v>
      </c>
      <c r="E484" s="15">
        <v>16.41</v>
      </c>
      <c r="F484" s="15">
        <v>15.56</v>
      </c>
      <c r="G484" s="16">
        <v>3.5347043701799419E-2</v>
      </c>
      <c r="H484" s="15" t="s">
        <v>1550</v>
      </c>
      <c r="I484" s="15">
        <v>0.74</v>
      </c>
      <c r="J484" s="15" t="s">
        <v>124</v>
      </c>
      <c r="K484" s="15">
        <v>12.41</v>
      </c>
      <c r="L484" s="28" t="str">
        <f>HYPERLINK("http://finance.yahoo.com/q?s=" &amp; A484, "Link")</f>
        <v>Link</v>
      </c>
      <c r="M484" s="15">
        <f>K484*0.9</f>
        <v>11.169</v>
      </c>
      <c r="N484" s="15" t="str">
        <f>IF(M484&gt;C484, "Buy", "")</f>
        <v/>
      </c>
      <c r="O484" s="33">
        <f>C484/K484</f>
        <v>1.2981466559226429</v>
      </c>
    </row>
    <row r="485" spans="1:15" ht="20.100000000000001" customHeight="1" x14ac:dyDescent="0.25">
      <c r="A485" s="21" t="s">
        <v>12</v>
      </c>
      <c r="B485" t="s">
        <v>110</v>
      </c>
      <c r="C485" s="15">
        <v>22.64</v>
      </c>
      <c r="D485" s="15">
        <v>22.52</v>
      </c>
      <c r="E485" s="15">
        <v>22.93</v>
      </c>
      <c r="F485" s="15">
        <v>22.53</v>
      </c>
      <c r="G485" s="16">
        <v>4.8823790501553227E-3</v>
      </c>
      <c r="H485" s="15" t="s">
        <v>1582</v>
      </c>
      <c r="I485" s="15">
        <v>1.33</v>
      </c>
      <c r="J485" s="15">
        <v>15.09</v>
      </c>
      <c r="K485" s="15">
        <v>17.34</v>
      </c>
      <c r="L485" s="28" t="str">
        <f>HYPERLINK("http://finance.yahoo.com/q?s=" &amp; A485, "Link")</f>
        <v>Link</v>
      </c>
      <c r="M485" s="15">
        <f>K485*0.9</f>
        <v>15.606</v>
      </c>
      <c r="N485" s="15" t="str">
        <f>IF(M485&gt;C485, "Buy", "")</f>
        <v/>
      </c>
      <c r="O485" s="33">
        <f>C485/K485</f>
        <v>1.3056516724336793</v>
      </c>
    </row>
    <row r="486" spans="1:15" ht="20.100000000000001" customHeight="1" x14ac:dyDescent="0.25">
      <c r="A486" s="21" t="s">
        <v>569</v>
      </c>
      <c r="B486" t="s">
        <v>927</v>
      </c>
      <c r="C486" s="15">
        <v>111.19</v>
      </c>
      <c r="D486" s="15">
        <v>110.44</v>
      </c>
      <c r="E486" s="15">
        <v>111.94</v>
      </c>
      <c r="F486" s="15">
        <v>110.45</v>
      </c>
      <c r="G486" s="16">
        <v>6.699864191942009E-3</v>
      </c>
      <c r="H486" s="15" t="s">
        <v>1158</v>
      </c>
      <c r="I486" s="15" t="s">
        <v>124</v>
      </c>
      <c r="J486" s="15">
        <v>17.149999999999999</v>
      </c>
      <c r="K486" s="15">
        <v>84.96</v>
      </c>
      <c r="L486" s="28" t="str">
        <f>HYPERLINK("http://finance.yahoo.com/q?s=" &amp; A486, "Link")</f>
        <v>Link</v>
      </c>
      <c r="M486" s="15">
        <f>K486*0.9</f>
        <v>76.463999999999999</v>
      </c>
      <c r="N486" s="15" t="str">
        <f>IF(M486&gt;C486, "Buy", "")</f>
        <v/>
      </c>
      <c r="O486" s="33">
        <f>C486/K486</f>
        <v>1.3087335216572504</v>
      </c>
    </row>
    <row r="487" spans="1:15" ht="20.100000000000001" customHeight="1" x14ac:dyDescent="0.25">
      <c r="A487" s="21" t="s">
        <v>278</v>
      </c>
      <c r="B487" t="s">
        <v>667</v>
      </c>
      <c r="C487" s="15">
        <v>34.200000000000003</v>
      </c>
      <c r="D487" s="15">
        <v>33.04</v>
      </c>
      <c r="E487" s="15">
        <v>34.340000000000003</v>
      </c>
      <c r="F487" s="15">
        <v>32.25</v>
      </c>
      <c r="G487" s="16">
        <v>6.0465116279069857E-2</v>
      </c>
      <c r="H487" s="15" t="s">
        <v>1383</v>
      </c>
      <c r="I487" s="15">
        <v>3.51</v>
      </c>
      <c r="J487" s="15">
        <v>114</v>
      </c>
      <c r="K487" s="15">
        <v>26.11</v>
      </c>
      <c r="L487" s="28" t="str">
        <f>HYPERLINK("http://finance.yahoo.com/q?s=" &amp; A487, "Link")</f>
        <v>Link</v>
      </c>
      <c r="M487" s="15">
        <f>K487*0.9</f>
        <v>23.498999999999999</v>
      </c>
      <c r="N487" s="15" t="str">
        <f>IF(M487&gt;C487, "Buy", "")</f>
        <v/>
      </c>
      <c r="O487" s="33">
        <f>C487/K487</f>
        <v>1.3098429720413636</v>
      </c>
    </row>
    <row r="488" spans="1:15" ht="20.100000000000001" customHeight="1" x14ac:dyDescent="0.25">
      <c r="A488" s="21" t="s">
        <v>564</v>
      </c>
      <c r="B488" t="s">
        <v>924</v>
      </c>
      <c r="C488" s="15">
        <v>15.31</v>
      </c>
      <c r="D488" s="15">
        <v>15.17</v>
      </c>
      <c r="E488" s="15">
        <v>15.52</v>
      </c>
      <c r="F488" s="15">
        <v>15.09</v>
      </c>
      <c r="G488" s="16">
        <v>1.4579191517561341E-2</v>
      </c>
      <c r="H488" s="15" t="s">
        <v>1584</v>
      </c>
      <c r="I488" s="15">
        <v>0</v>
      </c>
      <c r="J488" s="15">
        <v>4.84</v>
      </c>
      <c r="K488" s="15">
        <v>11.49</v>
      </c>
      <c r="L488" s="28" t="str">
        <f>HYPERLINK("http://finance.yahoo.com/q?s=" &amp; A488, "Link")</f>
        <v>Link</v>
      </c>
      <c r="M488" s="15">
        <f>K488*0.9</f>
        <v>10.341000000000001</v>
      </c>
      <c r="N488" s="15" t="str">
        <f>IF(M488&gt;C488, "Buy", "")</f>
        <v/>
      </c>
      <c r="O488" s="33">
        <f>C488/K488</f>
        <v>1.3324630113141862</v>
      </c>
    </row>
    <row r="489" spans="1:15" ht="20.100000000000001" customHeight="1" x14ac:dyDescent="0.25">
      <c r="A489" s="21" t="s">
        <v>473</v>
      </c>
      <c r="B489" t="s">
        <v>840</v>
      </c>
      <c r="C489" s="15">
        <v>104.01</v>
      </c>
      <c r="D489" s="15">
        <v>103.12</v>
      </c>
      <c r="E489" s="15">
        <v>106.8</v>
      </c>
      <c r="F489" s="15">
        <v>105.16</v>
      </c>
      <c r="G489" s="16">
        <v>-1.0935717002662529E-2</v>
      </c>
      <c r="H489" s="15" t="s">
        <v>1586</v>
      </c>
      <c r="I489" s="15">
        <v>0.54</v>
      </c>
      <c r="J489" s="15">
        <v>53.15</v>
      </c>
      <c r="K489" s="15">
        <v>74.459999999999994</v>
      </c>
      <c r="L489" s="28" t="str">
        <f>HYPERLINK("http://finance.yahoo.com/q?s=" &amp; A489, "Link")</f>
        <v>Link</v>
      </c>
      <c r="M489" s="15">
        <f>K489*0.9</f>
        <v>67.013999999999996</v>
      </c>
      <c r="N489" s="15" t="str">
        <f>IF(M489&gt;C489, "Buy", "")</f>
        <v/>
      </c>
      <c r="O489" s="33">
        <f>C489/K489</f>
        <v>1.396857373086221</v>
      </c>
    </row>
    <row r="490" spans="1:15" ht="20.100000000000001" customHeight="1" x14ac:dyDescent="0.25">
      <c r="A490" s="21" t="s">
        <v>302</v>
      </c>
      <c r="B490" t="s">
        <v>1012</v>
      </c>
      <c r="C490" s="15">
        <v>44.33</v>
      </c>
      <c r="D490" s="15">
        <v>42.88</v>
      </c>
      <c r="E490" s="15">
        <v>44.7</v>
      </c>
      <c r="F490" s="15">
        <v>45.51</v>
      </c>
      <c r="G490" s="16">
        <v>-2.5928367391782021E-2</v>
      </c>
      <c r="H490" s="15" t="s">
        <v>1572</v>
      </c>
      <c r="I490" s="15">
        <v>1.62</v>
      </c>
      <c r="J490" s="15">
        <v>24.67</v>
      </c>
      <c r="K490" s="15">
        <v>31.63</v>
      </c>
      <c r="L490" s="28" t="str">
        <f>HYPERLINK("http://finance.yahoo.com/q?s=" &amp; A490, "Link")</f>
        <v>Link</v>
      </c>
      <c r="M490" s="15">
        <f>K490*0.9</f>
        <v>28.466999999999999</v>
      </c>
      <c r="N490" s="15" t="str">
        <f>IF(M490&gt;C490, "Buy", "")</f>
        <v/>
      </c>
      <c r="O490" s="33">
        <f>C490/K490</f>
        <v>1.4015175466329435</v>
      </c>
    </row>
    <row r="491" spans="1:15" ht="20.100000000000001" customHeight="1" x14ac:dyDescent="0.25">
      <c r="A491" s="21" t="s">
        <v>531</v>
      </c>
      <c r="B491" t="s">
        <v>894</v>
      </c>
      <c r="C491" s="15" t="s">
        <v>124</v>
      </c>
      <c r="D491" s="15" t="s">
        <v>124</v>
      </c>
      <c r="E491" s="15" t="s">
        <v>124</v>
      </c>
      <c r="F491" s="15" t="s">
        <v>124</v>
      </c>
      <c r="G491" s="16">
        <v>0</v>
      </c>
      <c r="H491" s="15" t="s">
        <v>124</v>
      </c>
      <c r="I491" s="15" t="s">
        <v>124</v>
      </c>
      <c r="J491" s="15" t="s">
        <v>124</v>
      </c>
      <c r="K491" s="15">
        <v>139.4</v>
      </c>
      <c r="L491" s="28" t="str">
        <f>HYPERLINK("http://finance.yahoo.com/q?s=" &amp; A491, "Link")</f>
        <v>Link</v>
      </c>
      <c r="M491" s="15">
        <f>K491*0.9</f>
        <v>125.46000000000001</v>
      </c>
      <c r="N491" s="15" t="str">
        <f>IF(M491&gt;C491, "Buy", "")</f>
        <v/>
      </c>
      <c r="O491" s="33" t="e">
        <f>C491/K491</f>
        <v>#VALUE!</v>
      </c>
    </row>
    <row r="492" spans="1:15" ht="20.100000000000001" customHeight="1" x14ac:dyDescent="0.25">
      <c r="A492" s="21" t="s">
        <v>260</v>
      </c>
      <c r="B492" t="s">
        <v>1123</v>
      </c>
      <c r="C492" s="15" t="s">
        <v>124</v>
      </c>
      <c r="D492" s="15" t="s">
        <v>124</v>
      </c>
      <c r="E492" s="15" t="s">
        <v>124</v>
      </c>
      <c r="F492" s="15" t="s">
        <v>124</v>
      </c>
      <c r="G492" s="16">
        <v>0</v>
      </c>
      <c r="H492" s="15" t="s">
        <v>124</v>
      </c>
      <c r="I492" s="15" t="s">
        <v>124</v>
      </c>
      <c r="J492" s="15" t="s">
        <v>124</v>
      </c>
      <c r="K492" s="15">
        <v>52.95</v>
      </c>
      <c r="L492" s="28" t="str">
        <f>HYPERLINK("http://finance.yahoo.com/q?s=" &amp; A492, "Link")</f>
        <v>Link</v>
      </c>
      <c r="M492" s="15">
        <f>K492*0.9</f>
        <v>47.655000000000001</v>
      </c>
      <c r="N492" s="15" t="str">
        <f>IF(M492&gt;C492, "Buy", "")</f>
        <v/>
      </c>
      <c r="O492" s="33" t="e">
        <f>C492/K492</f>
        <v>#VALUE!</v>
      </c>
    </row>
    <row r="493" spans="1:15" ht="20.100000000000001" customHeight="1" x14ac:dyDescent="0.25">
      <c r="A493" s="21" t="s">
        <v>386</v>
      </c>
      <c r="B493" t="s">
        <v>762</v>
      </c>
      <c r="C493" s="15" t="s">
        <v>124</v>
      </c>
      <c r="D493" s="15" t="s">
        <v>124</v>
      </c>
      <c r="E493" s="15" t="s">
        <v>124</v>
      </c>
      <c r="F493" s="15" t="s">
        <v>124</v>
      </c>
      <c r="G493" s="16">
        <v>0</v>
      </c>
      <c r="H493" s="15" t="s">
        <v>124</v>
      </c>
      <c r="I493" s="15" t="s">
        <v>124</v>
      </c>
      <c r="J493" s="15" t="s">
        <v>124</v>
      </c>
      <c r="K493" s="15">
        <v>9.7799999999999994</v>
      </c>
      <c r="L493" s="28" t="str">
        <f>HYPERLINK("http://finance.yahoo.com/q?s=" &amp; A493, "Link")</f>
        <v>Link</v>
      </c>
      <c r="M493" s="15">
        <f>K493*0.9</f>
        <v>8.8019999999999996</v>
      </c>
      <c r="N493" s="15" t="str">
        <f>IF(M493&gt;C493, "Buy", "")</f>
        <v/>
      </c>
      <c r="O493" s="33" t="e">
        <f>C493/K493</f>
        <v>#VALUE!</v>
      </c>
    </row>
    <row r="494" spans="1:15" ht="20.100000000000001" customHeight="1" x14ac:dyDescent="0.25">
      <c r="A494" s="21" t="s">
        <v>226</v>
      </c>
      <c r="B494" t="s">
        <v>617</v>
      </c>
      <c r="C494" s="15" t="s">
        <v>124</v>
      </c>
      <c r="D494" s="15" t="s">
        <v>124</v>
      </c>
      <c r="E494" s="15" t="s">
        <v>124</v>
      </c>
      <c r="F494" s="15" t="s">
        <v>124</v>
      </c>
      <c r="G494" s="16">
        <v>0</v>
      </c>
      <c r="H494" s="15" t="s">
        <v>124</v>
      </c>
      <c r="I494" s="15" t="s">
        <v>124</v>
      </c>
      <c r="J494" s="15" t="s">
        <v>124</v>
      </c>
      <c r="K494" s="15">
        <v>51.16</v>
      </c>
      <c r="L494" s="28" t="str">
        <f>HYPERLINK("http://finance.yahoo.com/q?s=" &amp; A494, "Link")</f>
        <v>Link</v>
      </c>
      <c r="M494" s="15">
        <f>K494*0.9</f>
        <v>46.043999999999997</v>
      </c>
      <c r="N494" s="15" t="str">
        <f>IF(M494&gt;C494, "Buy", "")</f>
        <v/>
      </c>
      <c r="O494" s="33" t="e">
        <f>C494/K494</f>
        <v>#VALUE!</v>
      </c>
    </row>
    <row r="495" spans="1:15" ht="20.100000000000001" customHeight="1" x14ac:dyDescent="0.25">
      <c r="A495" s="21" t="s">
        <v>413</v>
      </c>
      <c r="B495" t="s">
        <v>1125</v>
      </c>
      <c r="C495" s="15" t="s">
        <v>124</v>
      </c>
      <c r="D495" s="15" t="s">
        <v>124</v>
      </c>
      <c r="E495" s="15" t="s">
        <v>124</v>
      </c>
      <c r="F495" s="15" t="s">
        <v>124</v>
      </c>
      <c r="G495" s="16">
        <v>0</v>
      </c>
      <c r="H495" s="15" t="s">
        <v>124</v>
      </c>
      <c r="I495" s="15" t="s">
        <v>124</v>
      </c>
      <c r="J495" s="15" t="s">
        <v>124</v>
      </c>
      <c r="K495" s="15">
        <v>75</v>
      </c>
      <c r="L495" s="28" t="str">
        <f>HYPERLINK("http://finance.yahoo.com/q?s=" &amp; A495, "Link")</f>
        <v>Link</v>
      </c>
      <c r="M495" s="15">
        <f>K495*0.9</f>
        <v>67.5</v>
      </c>
      <c r="N495" s="15" t="str">
        <f>IF(M495&gt;C495, "Buy", "")</f>
        <v/>
      </c>
      <c r="O495" s="33" t="e">
        <f>C495/K495</f>
        <v>#VALUE!</v>
      </c>
    </row>
    <row r="496" spans="1:15" ht="20.100000000000001" customHeight="1" x14ac:dyDescent="0.25">
      <c r="A496" s="21" t="s">
        <v>407</v>
      </c>
      <c r="B496" t="s">
        <v>782</v>
      </c>
      <c r="C496" s="15" t="s">
        <v>124</v>
      </c>
      <c r="D496" s="15" t="s">
        <v>124</v>
      </c>
      <c r="E496" s="15" t="s">
        <v>124</v>
      </c>
      <c r="F496" s="15" t="s">
        <v>124</v>
      </c>
      <c r="G496" s="16">
        <v>0</v>
      </c>
      <c r="H496" s="15" t="s">
        <v>124</v>
      </c>
      <c r="I496" s="15" t="s">
        <v>124</v>
      </c>
      <c r="J496" s="15" t="s">
        <v>124</v>
      </c>
      <c r="K496" s="15">
        <v>69.099999999999994</v>
      </c>
      <c r="L496" s="28" t="str">
        <f>HYPERLINK("http://finance.yahoo.com/q?s=" &amp; A496, "Link")</f>
        <v>Link</v>
      </c>
      <c r="M496" s="15">
        <f>K496*0.9</f>
        <v>62.19</v>
      </c>
      <c r="N496" s="15" t="str">
        <f>IF(M496&gt;C496, "Buy", "")</f>
        <v/>
      </c>
      <c r="O496" s="33" t="e">
        <f>C496/K496</f>
        <v>#VALUE!</v>
      </c>
    </row>
    <row r="497" spans="1:15" ht="20.100000000000001" customHeight="1" x14ac:dyDescent="0.25">
      <c r="A497" s="21" t="s">
        <v>338</v>
      </c>
      <c r="B497" t="s">
        <v>717</v>
      </c>
      <c r="C497" s="15">
        <v>383.27</v>
      </c>
      <c r="D497" s="15">
        <v>380.56</v>
      </c>
      <c r="E497" s="15">
        <v>383.46</v>
      </c>
      <c r="F497" s="15">
        <v>381.15</v>
      </c>
      <c r="G497" s="16">
        <v>5.5621146530237565E-3</v>
      </c>
      <c r="H497" s="15" t="s">
        <v>124</v>
      </c>
      <c r="I497" s="15">
        <v>1.83</v>
      </c>
      <c r="J497" s="15" t="s">
        <v>124</v>
      </c>
      <c r="K497" s="15">
        <v>0</v>
      </c>
      <c r="L497" s="28" t="str">
        <f>HYPERLINK("http://finance.yahoo.com/q?s=" &amp; A497, "Link")</f>
        <v>Link</v>
      </c>
      <c r="M497" s="15">
        <f>K497*0.9</f>
        <v>0</v>
      </c>
      <c r="N497" s="15" t="str">
        <f>IF(M497&gt;C497, "Buy", "")</f>
        <v/>
      </c>
      <c r="O497" s="33" t="e">
        <f>C497/K497</f>
        <v>#DIV/0!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2015-08-22T00:58:32Z</dcterms:created>
  <dcterms:modified xsi:type="dcterms:W3CDTF">2017-01-23T01:47:31Z</dcterms:modified>
</cp:coreProperties>
</file>