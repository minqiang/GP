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5" i="19"/>
  <c r="M5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5" i="38"/>
  <c r="M11" i="38"/>
  <c r="L4" i="40"/>
  <c r="M4" i="40" s="1"/>
  <c r="L7" i="40"/>
  <c r="M7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M3" i="3" s="1"/>
  <c r="L4" i="3"/>
  <c r="M4" i="3" s="1"/>
  <c r="L5" i="3"/>
  <c r="M5" i="3" s="1"/>
  <c r="L6" i="3"/>
  <c r="M6" i="3" s="1"/>
  <c r="L7" i="3"/>
  <c r="M7" i="3" s="1"/>
  <c r="L8" i="3"/>
  <c r="M8" i="3" s="1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M2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<sst xmlns="http://schemas.openxmlformats.org/spreadsheetml/2006/main" count="2023" uniqueCount="1009">
  <si>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</si>
  <si>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</si>
  <si>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</si>
  <si>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</si>
  <si>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</si>
  <si>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</si>
  <si>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</si>
  <si>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</si>
  <si>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</si>
  <si>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</si>
  <si>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</si>
  <si>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</si>
  <si>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</si>
  <si>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</si>
  <si>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</si>
  <si>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</si>
  <si>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</si>
  <si>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</si>
  <si>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</si>
  <si>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</si>
  <si>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</si>
  <si>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</si>
  <si>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</si>
  <si>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</si>
  <si>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</si>
  <si>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</si>
  <si>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</si>
  <si>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</si>
  <si>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</si>
  <si>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</si>
  <si>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</si>
  <si>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</si>
  <si>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</si>
  <si>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</si>
  <si>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</si>
  <si>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</si>
  <si>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</si>
  <si>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</si>
  <si>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</si>
  <si>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</si>
  <si>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</si>
  <si>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</si>
  <si>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</si>
  <si>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</si>
  <si>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</si>
  <si>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</si>
  <si>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</si>
  <si>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</si>
  <si>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</si>
  <si>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</si>
  <si>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</si>
  <si>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</si>
  <si>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</si>
  <si>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</si>
  <si>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</si>
  <si>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</si>
  <si>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</si>
  <si>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</si>
  <si>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</si>
  <si>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</si>
  <si>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</si>
  <si>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</si>
  <si>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</si>
  <si>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</si>
  <si>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</si>
  <si>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</si>
  <si>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</si>
  <si>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</si>
  <si>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</si>
  <si>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</si>
  <si>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</si>
  <si>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</si>
  <si>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</si>
  <si>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</si>
  <si>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</si>
  <si>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</si>
  <si>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</si>
  <si>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</si>
  <si>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</si>
  <si>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</si>
  <si>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</si>
  <si>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</si>
  <si>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</si>
  <si>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</si>
  <si>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</si>
  <si>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</si>
  <si>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</si>
  <si>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</si>
  <si>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</si>
  <si>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</si>
  <si>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</si>
  <si>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</si>
  <si>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</si>
  <si>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</si>
  <si>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</si>
  <si>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</si>
  <si>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</si>
  <si>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</si>
  <si>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</si>
  <si>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</si>
  <si>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</si>
  <si>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</si>
  <si>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</si>
  <si>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</si>
  <si>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</si>
  <si>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</si>
  <si>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</si>
  <si>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</si>
  <si>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</si>
  <si>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</si>
  <si>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</si>
  <si>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</si>
  <si>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</si>
  <si>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</si>
  <si>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</si>
  <si>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</si>
  <si>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</si>
  <si>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</si>
  <si>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</si>
  <si>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</si>
  <si>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</si>
  <si>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</si>
  <si>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</si>
  <si>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</si>
  <si>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</si>
  <si>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</si>
  <si>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</si>
  <si>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</si>
  <si>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</si>
  <si>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</si>
  <si>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</si>
  <si>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</si>
  <si>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</si>
  <si>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</si>
  <si>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</si>
  <si>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</si>
  <si>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</si>
  <si>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</si>
  <si>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</si>
  <si>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</si>
  <si>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</si>
  <si>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</si>
  <si>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</si>
  <si>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</si>
  <si>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</si>
  <si>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</si>
  <si>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</si>
  <si>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</si>
  <si>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</si>
  <si>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</si>
  <si>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</si>
  <si>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</si>
  <si>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</si>
  <si>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</si>
  <si>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</si>
  <si>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</si>
  <si>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</si>
  <si>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</si>
  <si>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</si>
  <si>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</si>
  <si>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</si>
  <si>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</si>
  <si>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</si>
  <si>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</si>
  <si>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</si>
  <si>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</si>
  <si>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</si>
  <si>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</si>
  <si>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</si>
  <si>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</si>
  <si>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</si>
  <si>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</si>
  <si>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</si>
  <si>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</si>
  <si>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</si>
  <si>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</si>
  <si>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</si>
  <si>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</si>
  <si>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</si>
  <si>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</si>
  <si>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</si>
  <si>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</si>
  <si>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</si>
  <si>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</si>
  <si>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</si>
  <si>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</si>
  <si>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</si>
  <si>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</si>
  <si>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</si>
  <si>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</si>
  <si>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</si>
  <si>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</si>
  <si>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</si>
  <si>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</si>
  <si>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</si>
  <si>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</si>
  <si>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</si>
  <si>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</si>
  <si>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</si>
  <si>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</si>
  <si>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</si>
  <si>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</si>
  <si>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</si>
  <si>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</si>
  <si>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</si>
  <si>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</si>
  <si>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</si>
  <si>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</si>
  <si>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</si>
  <si>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</si>
  <si>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</si>
  <si>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</si>
  <si>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</si>
  <si>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</si>
  <si>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</si>
  <si>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</si>
  <si>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</si>
  <si>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</si>
  <si>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</si>
  <si>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</si>
  <si>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</si>
  <si>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</si>
  <si>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</si>
  <si>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</si>
  <si>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</si>
  <si>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</si>
  <si>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</si>
  <si>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</si>
  <si>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</si>
  <si>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</si>
  <si>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</si>
  <si>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</si>
  <si>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</si>
  <si>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</si>
  <si>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</si>
  <si>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</si>
  <si>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</si>
  <si>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</si>
  <si>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</si>
  <si>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</si>
  <si>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</si>
  <si>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</si>
  <si>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</si>
  <si>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</si>
  <si>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</si>
  <si>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</si>
  <si>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</si>
  <si>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</si>
  <si>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</si>
  <si>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</si>
  <si>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</si>
  <si>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</si>
  <si>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</si>
  <si>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</si>
  <si>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</si>
  <si>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</si>
  <si>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</si>
  <si>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</si>
  <si>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</si>
  <si>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</si>
  <si>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</si>
  <si>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</si>
  <si>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</si>
  <si>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</si>
  <si>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</si>
  <si>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</si>
  <si>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</si>
  <si>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</si>
  <si>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</si>
  <si>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</si>
  <si>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</si>
  <si>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</si>
  <si>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</si>
  <si>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</si>
  <si>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</si>
  <si>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</si>
  <si>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</si>
  <si>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</si>
  <si>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</si>
  <si>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</si>
  <si>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</si>
  <si>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</si>
  <si>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</si>
  <si>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</si>
  <si>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</si>
  <si>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</si>
  <si>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</si>
  <si>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</si>
  <si>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</si>
  <si>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</si>
  <si>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</si>
  <si>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</si>
  <si>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</si>
  <si>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</si>
  <si>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</si>
  <si>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</si>
  <si>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</si>
  <si>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</si>
  <si>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</si>
  <si>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</si>
  <si>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</si>
  <si>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</si>
  <si>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</si>
  <si>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</si>
  <si>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</si>
  <si>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</si>
  <si>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</si>
  <si>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</si>
  <si>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</si>
  <si>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</si>
  <si>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</si>
  <si>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</si>
  <si>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</si>
  <si>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</si>
  <si>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</si>
  <si>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</si>
  <si>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</si>
  <si>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</si>
  <si>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</si>
  <si>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</si>
  <si>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</si>
  <si>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</si>
  <si>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</si>
  <si>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</si>
  <si>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</si>
  <si>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</si>
  <si>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</si>
  <si>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</si>
  <si>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</si>
  <si>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</si>
  <si>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</si>
  <si>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</si>
  <si>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</si>
  <si>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</si>
  <si>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</si>
  <si>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</si>
  <si>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</si>
  <si>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</si>
  <si>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</si>
  <si>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</si>
  <si>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</si>
  <si>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</si>
  <si>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</si>
  <si>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</si>
  <si>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</si>
  <si>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</si>
  <si>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</si>
  <si>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</si>
  <si>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</si>
  <si>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</si>
  <si>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</si>
  <si>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</si>
  <si>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</si>
  <si>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</si>
  <si>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</si>
  <si>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</si>
  <si>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</si>
  <si>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</si>
  <si>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</si>
  <si>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</si>
  <si>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</si>
  <si>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</si>
  <si>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</si>
  <si>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</si>
  <si>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</si>
  <si>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</si>
  <si>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</si>
  <si>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</si>
  <si>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</si>
  <si>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</si>
  <si>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</si>
  <si>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</si>
  <si>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</si>
  <si>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</si>
  <si>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</si>
  <si>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</si>
  <si>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</si>
  <si>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</si>
  <si>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</si>
  <si>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</si>
  <si>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</si>
  <si>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</si>
  <si>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</si>
  <si>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</si>
  <si>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</si>
  <si>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</si>
  <si>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</si>
  <si>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</si>
  <si>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</si>
  <si>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</si>
  <si>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</si>
  <si>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</si>
  <si>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</si>
  <si>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</si>
  <si>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</si>
  <si>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</si>
  <si>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</si>
  <si>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</si>
  <si>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</si>
  <si>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</si>
  <si>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</si>
  <si>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</si>
  <si>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</si>
  <si>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</si>
  <si>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</si>
  <si>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</si>
  <si>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</si>
  <si>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</si>
  <si>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</si>
  <si>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</si>
  <si>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</si>
  <si>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</si>
  <si>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</si>
  <si>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</si>
  <si>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</si>
  <si>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</si>
  <si>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</si>
  <si>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</si>
  <si>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</si>
  <si>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</si>
  <si>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</si>
  <si>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</si>
  <si>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</si>
  <si>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</si>
  <si>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</si>
  <si>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</si>
  <si>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</si>
  <si>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</si>
  <si>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</si>
  <si>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</si>
  <si>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</si>
  <si>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</si>
  <si>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</si>
  <si>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</si>
  <si>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</si>
  <si>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</si>
  <si>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</si>
  <si>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</si>
  <si>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</si>
  <si>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</si>
  <si>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</si>
  <si>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</si>
  <si>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</si>
  <si>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</si>
  <si>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</si>
  <si>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</si>
  <si>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</si>
  <si>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</si>
  <si>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</si>
  <si>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</si>
  <si>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</si>
  <si>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</si>
  <si>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</si>
  <si>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</si>
  <si>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</si>
  <si>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</si>
  <si>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</si>
  <si>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</si>
  <si>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</si>
  <si>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</si>
  <si>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</si>
  <si>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</si>
  <si>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</si>
  <si>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</si>
  <si>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</si>
  <si>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</si>
  <si>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</si>
  <si>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</si>
  <si>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</si>
  <si>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</si>
  <si>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</si>
  <si>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</si>
  <si>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</si>
  <si>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</si>
  <si>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</si>
  <si>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</si>
  <si>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</si>
  <si>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</si>
  <si>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</si>
  <si>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</si>
  <si>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</si>
  <si>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</si>
  <si>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</si>
  <si>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</si>
  <si>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</si>
  <si>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</si>
  <si>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</si>
  <si>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</si>
  <si>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</si>
  <si>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</si>
  <si>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</si>
  <si>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</si>
  <si>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</si>
  <si>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</si>
  <si>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</si>
  <si>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</si>
  <si>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</si>
  <si>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</si>
  <si>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</si>
  <si>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</si>
  <si>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</si>
  <si>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</si>
  <si>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</si>
  <si>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</si>
  <si>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</si>
  <si>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</si>
  <si>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</si>
  <si>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</si>
  <si>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</si>
  <si>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</si>
  <si>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</si>
  <si>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</si>
  <si>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</si>
  <si>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</si>
  <si>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</si>
  <si>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</si>
  <si>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</si>
  <si>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</si>
  <si>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</si>
  <si>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</si>
  <si>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</si>
  <si>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</si>
  <si>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</si>
  <si>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</si>
  <si>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</si>
  <si>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</si>
  <si>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</si>
  <si>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</si>
  <si>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</si>
  <si>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</si>
  <si>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</si>
  <si>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</si>
  <si>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</si>
  <si>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</si>
  <si>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</si>
  <si>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</si>
  <si>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</si>
  <si>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</si>
  <si>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</si>
  <si>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</si>
  <si>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</si>
  <si>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</si>
  <si>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</si>
  <si>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</si>
  <si>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</si>
  <si>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</si>
  <si>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</si>
  <si>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</si>
  <si>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"Endo International plc"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</si>
  <si>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</si>
  <si>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</si>
  <si>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</si>
  <si>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</si>
  <si>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</si>
  <si>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</si>
  <si>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</si>
  <si>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</si>
  <si>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3.78B</t>
  </si>
  <si>
    <t>13.99B</t>
  </si>
  <si>
    <t>68.55B</t>
  </si>
  <si>
    <t>93.36B</t>
  </si>
  <si>
    <t>E_P</t>
  </si>
  <si>
    <t>PLKI</t>
  </si>
  <si>
    <t>2.66B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</si>
  <si>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</si>
  <si>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</si>
  <si>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</si>
  <si>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</si>
  <si>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</si>
  <si>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</si>
  <si>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</si>
  <si>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</si>
  <si>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</si>
  <si>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</si>
  <si>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</si>
  <si>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</si>
  <si>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</si>
  <si>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</si>
  <si>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</si>
  <si>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</si>
  <si>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</si>
  <si>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</si>
  <si>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</si>
  <si>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</si>
  <si>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</si>
  <si>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</si>
  <si>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</si>
  <si>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</si>
  <si>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</si>
  <si>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</si>
  <si>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</si>
  <si>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</si>
  <si>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</si>
  <si>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</si>
  <si>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</si>
  <si>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"Tyco International plc (Ireland"</t>
  </si>
  <si>
    <t>"Roper Technologies, Inc. Common"</t>
  </si>
  <si>
    <t>"Quanta Services, Inc. Common St"</t>
  </si>
  <si>
    <t>3.95B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</si>
  <si>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</si>
  <si>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</si>
  <si>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</si>
  <si>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</si>
  <si>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</si>
  <si>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</si>
  <si>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</si>
  <si>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8.09B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</si>
  <si>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</si>
  <si>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</si>
  <si>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</si>
  <si>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</si>
  <si>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</si>
  <si>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</si>
  <si>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</si>
  <si>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</si>
  <si>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</si>
  <si>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</si>
  <si>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</si>
  <si>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</si>
  <si>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</si>
  <si>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</si>
  <si>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</si>
  <si>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</si>
  <si>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</si>
  <si>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</si>
  <si>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</si>
  <si>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</si>
  <si>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</si>
  <si>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</si>
  <si>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</si>
  <si>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</si>
  <si>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</si>
  <si>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215.55B</t>
  </si>
  <si>
    <t>251.92B</t>
  </si>
  <si>
    <t>5.35B</t>
  </si>
  <si>
    <t>15.25B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</si>
  <si>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</si>
  <si>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</si>
  <si>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</si>
  <si>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</si>
  <si>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</si>
  <si>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</si>
  <si>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</si>
  <si>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</si>
  <si>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</si>
  <si>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</si>
  <si>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</si>
  <si>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</si>
  <si>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</si>
  <si>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</si>
  <si>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</si>
  <si>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</si>
  <si>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</si>
  <si>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</si>
  <si>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</si>
  <si>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</si>
  <si>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"WPP plc"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</si>
  <si>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</si>
  <si>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</si>
  <si>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</si>
  <si>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</si>
  <si>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</si>
  <si>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</si>
  <si>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</si>
  <si>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</si>
  <si>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</si>
  <si>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</si>
  <si>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</si>
  <si>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</si>
  <si>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</si>
  <si>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</si>
  <si>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</si>
  <si>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</si>
  <si>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</si>
  <si>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</si>
  <si>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</si>
  <si>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</si>
  <si>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</si>
  <si>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</si>
  <si>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</si>
  <si>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</si>
  <si>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</si>
  <si>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</si>
  <si>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</si>
  <si>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</si>
  <si>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</si>
  <si>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</si>
  <si>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</si>
  <si>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</si>
  <si>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</si>
  <si>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</si>
  <si>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</si>
  <si>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</si>
  <si>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</si>
  <si>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</si>
  <si>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</si>
  <si>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"Alaska Air Group, Inc. Common S"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</si>
  <si>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</si>
  <si>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</si>
  <si>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</si>
  <si>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</si>
  <si>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</si>
  <si>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</si>
  <si>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</si>
  <si>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</si>
  <si>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</si>
  <si>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</si>
  <si>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</si>
  <si>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</si>
  <si>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</si>
  <si>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</si>
  <si>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</si>
  <si>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</si>
  <si>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</si>
  <si>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</si>
  <si>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</si>
  <si>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</si>
  <si>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</si>
  <si>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</si>
  <si>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</si>
  <si>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</si>
  <si>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</si>
  <si>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</si>
  <si>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</si>
  <si>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</si>
  <si>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</si>
  <si>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</si>
  <si>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</si>
  <si>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</si>
  <si>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</si>
  <si>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</si>
  <si>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</si>
  <si>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</si>
  <si>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</si>
  <si>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</si>
  <si>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</si>
  <si>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</si>
  <si>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</si>
  <si>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</si>
  <si>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</si>
  <si>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</si>
  <si>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</si>
  <si>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</si>
  <si>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</si>
  <si>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</si>
  <si>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</si>
  <si>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</si>
  <si>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</si>
  <si>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</si>
  <si>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</si>
  <si>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</si>
  <si>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</si>
  <si>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</si>
  <si>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</si>
  <si>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</si>
  <si>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3.71B</t>
  </si>
  <si>
    <t>1.24B</t>
  </si>
  <si>
    <t>1.25B</t>
  </si>
  <si>
    <t>CAA</t>
  </si>
  <si>
    <t>9.72B</t>
  </si>
  <si>
    <t>11.16B</t>
  </si>
  <si>
    <t>4.82B</t>
  </si>
  <si>
    <t>6.72B</t>
  </si>
  <si>
    <t>"CalAtlantic Group, Inc. Common "</t>
  </si>
  <si>
    <t>9.03B</t>
  </si>
  <si>
    <t>19.86B</t>
  </si>
  <si>
    <t>29.50B</t>
  </si>
  <si>
    <t>"PUBLICIS GROUPE SA ADR EACH REP"</t>
  </si>
  <si>
    <t>16.24B</t>
  </si>
  <si>
    <t>79.04B</t>
  </si>
  <si>
    <t>10.48B</t>
  </si>
  <si>
    <t>2.20B</t>
  </si>
  <si>
    <t>10.53B</t>
  </si>
  <si>
    <t>3.66B</t>
  </si>
  <si>
    <t>4.60B</t>
  </si>
  <si>
    <t>15.02B</t>
  </si>
  <si>
    <t>8.94B</t>
  </si>
  <si>
    <t>93.10M</t>
  </si>
  <si>
    <t>12.38B</t>
  </si>
  <si>
    <t>13.42B</t>
  </si>
  <si>
    <t>2.06B</t>
  </si>
  <si>
    <t>25.92B</t>
  </si>
  <si>
    <t>2767.70B</t>
  </si>
  <si>
    <t>40.15B</t>
  </si>
  <si>
    <t>45.27B</t>
  </si>
  <si>
    <t>5.07B</t>
  </si>
  <si>
    <t>5.60B</t>
  </si>
  <si>
    <t>598.13M</t>
  </si>
  <si>
    <t>18.81B</t>
  </si>
  <si>
    <t>27.87B</t>
  </si>
  <si>
    <t>16.44B</t>
  </si>
  <si>
    <t>22.69B</t>
  </si>
  <si>
    <t>5.55B</t>
  </si>
  <si>
    <t>2.61B</t>
  </si>
  <si>
    <t>7.24B</t>
  </si>
  <si>
    <t>2.48B</t>
  </si>
  <si>
    <t>92.57B</t>
  </si>
  <si>
    <t>17.02B</t>
  </si>
  <si>
    <t>9.77B</t>
  </si>
  <si>
    <t>1.29B</t>
  </si>
  <si>
    <t>951.19M</t>
  </si>
  <si>
    <t>8.81B</t>
  </si>
  <si>
    <t>9.04B</t>
  </si>
  <si>
    <t>48.37B</t>
  </si>
  <si>
    <t>48.12B</t>
  </si>
  <si>
    <t>103.04B</t>
  </si>
  <si>
    <t>61.55B</t>
  </si>
  <si>
    <t>97.08B</t>
  </si>
  <si>
    <t>29.48B</t>
  </si>
  <si>
    <t>129.44B</t>
  </si>
  <si>
    <t>66.72B</t>
  </si>
  <si>
    <t>84.13B</t>
  </si>
  <si>
    <t>103.99B</t>
  </si>
  <si>
    <t>83.35B</t>
  </si>
  <si>
    <t>42.76B</t>
  </si>
  <si>
    <t>172.22B</t>
  </si>
  <si>
    <t>1.49B</t>
  </si>
  <si>
    <t>30.16M</t>
  </si>
  <si>
    <t>205.87B</t>
  </si>
  <si>
    <t>92.90B</t>
  </si>
  <si>
    <t>22.35B</t>
  </si>
  <si>
    <t>47.29B</t>
  </si>
  <si>
    <t>13.37B</t>
  </si>
  <si>
    <t>4.64B</t>
  </si>
  <si>
    <t>7.79B</t>
  </si>
  <si>
    <t>2.37B</t>
  </si>
  <si>
    <t>40.39B</t>
  </si>
  <si>
    <t>17.46B</t>
  </si>
  <si>
    <t>1.22B</t>
  </si>
  <si>
    <t>148.75B</t>
  </si>
  <si>
    <t>45.90B</t>
  </si>
  <si>
    <t>37.68B</t>
  </si>
  <si>
    <t>40.36B</t>
  </si>
  <si>
    <t>71.92B</t>
  </si>
  <si>
    <t>11.10B</t>
  </si>
  <si>
    <t>3.02B</t>
  </si>
  <si>
    <t>3.60B</t>
  </si>
  <si>
    <t>1.45B</t>
  </si>
  <si>
    <t>14.26B</t>
  </si>
  <si>
    <t>619.24B</t>
  </si>
  <si>
    <t>68.04B</t>
  </si>
  <si>
    <t>19.08B</t>
  </si>
  <si>
    <t>69.58B</t>
  </si>
  <si>
    <t>7.13B</t>
  </si>
  <si>
    <t>92.83B</t>
  </si>
  <si>
    <t>29.36B</t>
  </si>
  <si>
    <t>5.64B</t>
  </si>
  <si>
    <t>11.30B</t>
  </si>
  <si>
    <t>49.38B</t>
  </si>
  <si>
    <t>21.46B</t>
  </si>
  <si>
    <t>50.09B</t>
  </si>
  <si>
    <t>14.56B</t>
  </si>
  <si>
    <t>12.06B</t>
  </si>
  <si>
    <t>4.51B</t>
  </si>
  <si>
    <t>14.53B</t>
  </si>
  <si>
    <t>54.26B</t>
  </si>
  <si>
    <t>30.04B</t>
  </si>
  <si>
    <t>6.23B</t>
  </si>
  <si>
    <t>5.30B</t>
  </si>
  <si>
    <t>3.09B</t>
  </si>
  <si>
    <t>8.08B</t>
  </si>
  <si>
    <t>8.23B</t>
  </si>
  <si>
    <t>"BURBERRY GROUP UNSP ADR EACH RE"</t>
  </si>
  <si>
    <t>7.55B</t>
  </si>
  <si>
    <t>5.88B</t>
  </si>
  <si>
    <t>98.38B</t>
  </si>
  <si>
    <t>11.92B</t>
  </si>
  <si>
    <t>3.25B</t>
  </si>
  <si>
    <t>34.33B</t>
  </si>
  <si>
    <t>2.83B</t>
  </si>
  <si>
    <t>2.87B</t>
  </si>
  <si>
    <t>1.15B</t>
  </si>
  <si>
    <t>2.84B</t>
  </si>
  <si>
    <t>162.90B</t>
  </si>
  <si>
    <t>42.77B</t>
  </si>
  <si>
    <t>60.19B</t>
  </si>
  <si>
    <t>134.84B</t>
  </si>
  <si>
    <t>35.93B</t>
  </si>
  <si>
    <t>27.25B</t>
  </si>
  <si>
    <t>18.29B</t>
  </si>
  <si>
    <t>70.78B</t>
  </si>
  <si>
    <t>237.71B</t>
  </si>
  <si>
    <t>21.91B</t>
  </si>
  <si>
    <t>60.39B</t>
  </si>
  <si>
    <t>51.04B</t>
  </si>
  <si>
    <t>72.91B</t>
  </si>
  <si>
    <t>229.22B</t>
  </si>
  <si>
    <t>193.68B</t>
  </si>
  <si>
    <t>109.07B</t>
  </si>
  <si>
    <t>58.81B</t>
  </si>
  <si>
    <t>23.04B</t>
  </si>
  <si>
    <t>24.45B</t>
  </si>
  <si>
    <t>18.97B</t>
  </si>
  <si>
    <t>17.06B</t>
  </si>
  <si>
    <t>38.92B</t>
  </si>
  <si>
    <t>27.33B</t>
  </si>
  <si>
    <t>108.30B</t>
  </si>
  <si>
    <t>66.75B</t>
  </si>
  <si>
    <t>20.36B</t>
  </si>
  <si>
    <t>14.17B</t>
  </si>
  <si>
    <t>32.94B</t>
  </si>
  <si>
    <t>24.93B</t>
  </si>
  <si>
    <t>"NINTENDO CO LTD NPV"</t>
  </si>
  <si>
    <t>31.53B</t>
  </si>
  <si>
    <t>2.82B</t>
  </si>
  <si>
    <t>40.11B</t>
  </si>
  <si>
    <t>234.98B</t>
  </si>
  <si>
    <t>24.59B</t>
  </si>
  <si>
    <t>15.89B</t>
  </si>
  <si>
    <t>64.15B</t>
  </si>
  <si>
    <t>323.52B</t>
  </si>
  <si>
    <t>43.81B</t>
  </si>
  <si>
    <t>32.88B</t>
  </si>
  <si>
    <t>265.97B</t>
  </si>
  <si>
    <t>105.81B</t>
  </si>
  <si>
    <t>2.52B</t>
  </si>
  <si>
    <t>3.63B</t>
  </si>
  <si>
    <t>83.78B</t>
  </si>
  <si>
    <t>86.94B</t>
  </si>
  <si>
    <t>47.94B</t>
  </si>
  <si>
    <t>16.33B</t>
  </si>
  <si>
    <t>10.76B</t>
  </si>
  <si>
    <t>8.95B</t>
  </si>
  <si>
    <t>17.96B</t>
  </si>
  <si>
    <t>3.77B</t>
  </si>
  <si>
    <t>17.23B</t>
  </si>
  <si>
    <t>6.03B</t>
  </si>
  <si>
    <t>16.27B</t>
  </si>
  <si>
    <t>3.54B</t>
  </si>
  <si>
    <t>6.49B</t>
  </si>
  <si>
    <t>14.74B</t>
  </si>
  <si>
    <t>5.29B</t>
  </si>
  <si>
    <t>25.04B</t>
  </si>
  <si>
    <t>58.00B</t>
  </si>
  <si>
    <t>12.30B</t>
  </si>
  <si>
    <t>16.13B</t>
  </si>
  <si>
    <t>18.12B</t>
  </si>
  <si>
    <t>34.71B</t>
  </si>
  <si>
    <t>33.06B</t>
  </si>
  <si>
    <t>9.20B</t>
  </si>
  <si>
    <t>61.99B</t>
  </si>
  <si>
    <t>8.79B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</si>
  <si>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</si>
  <si>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</si>
  <si>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</si>
  <si>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</si>
  <si>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</si>
  <si>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</si>
  <si>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</si>
  <si>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</si>
  <si>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</si>
  <si>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</si>
  <si>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</si>
  <si>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</si>
  <si>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</si>
  <si>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</si>
  <si>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</si>
  <si>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</si>
  <si>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</si>
  <si>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</si>
  <si>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</si>
  <si>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</si>
  <si>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</si>
  <si>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</si>
  <si>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</si>
  <si>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</si>
  <si>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</si>
  <si>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</si>
  <si>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</si>
  <si>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</si>
  <si>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</si>
  <si>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</si>
  <si>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</si>
  <si>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</si>
  <si>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</si>
  <si>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</si>
  <si>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</si>
  <si>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</si>
  <si>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</si>
  <si>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27.78B</t>
  </si>
  <si>
    <t>6.91B</t>
  </si>
  <si>
    <t>13.19B</t>
  </si>
  <si>
    <t>17.35B</t>
  </si>
  <si>
    <t>24.75B</t>
  </si>
  <si>
    <t>37.64B</t>
  </si>
  <si>
    <t>44.45B</t>
  </si>
  <si>
    <t>94.88B</t>
  </si>
  <si>
    <t>863.55M</t>
  </si>
  <si>
    <t>133.33B</t>
  </si>
  <si>
    <t>1.53B</t>
  </si>
  <si>
    <t>35.64B</t>
  </si>
  <si>
    <t>149.24B</t>
  </si>
  <si>
    <t>412.98M</t>
  </si>
  <si>
    <t>8.56B</t>
  </si>
  <si>
    <t>49.62B</t>
  </si>
  <si>
    <t>8.25B</t>
  </si>
  <si>
    <t>30.34B</t>
  </si>
  <si>
    <t>10.97B</t>
  </si>
  <si>
    <t>22.37B</t>
  </si>
  <si>
    <t>47.96B</t>
  </si>
  <si>
    <t>31.57B</t>
  </si>
  <si>
    <t>4.54B</t>
  </si>
  <si>
    <t>30.72B</t>
  </si>
  <si>
    <t>14.07B</t>
  </si>
  <si>
    <t>3.53B</t>
  </si>
  <si>
    <t>21.18B</t>
  </si>
  <si>
    <t>56.51B</t>
  </si>
  <si>
    <t>10.00B</t>
  </si>
  <si>
    <t>55.14B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</si>
</sst>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7" totalsRowShown="0" headerRowDxfId="465" dataDxfId="464">
  <autoFilter ref="A1:M7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5" totalsRowShown="0" headerRowDxfId="59" dataDxfId="58">
  <autoFilter ref="A1:M5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.125" defaultRowHeight="24.95" customHeight="1" x14ac:dyDescent="0.4"/>
  <cols>
    <col min="1" max="1" width="15.75" style="21" customWidth="1"/>
    <col min="2" max="2" width="15.75" style="22" customWidth="1"/>
    <col min="3" max="38" width="15.75" style="21" customWidth="1"/>
    <col min="39" max="16384" width="9.1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257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649</v>
      </c>
      <c r="C2" s="25" t="s">
        <v>305</v>
      </c>
      <c r="D2" s="25" t="s">
        <v>336</v>
      </c>
      <c r="E2" s="25" t="s">
        <v>256</v>
      </c>
      <c r="F2" s="25" t="s">
        <v>485</v>
      </c>
      <c r="G2" s="25" t="s">
        <v>581</v>
      </c>
      <c r="H2" s="25" t="s">
        <v>201</v>
      </c>
      <c r="I2" s="25" t="s">
        <v>723</v>
      </c>
      <c r="J2" s="25" t="s">
        <v>648</v>
      </c>
      <c r="K2" s="25" t="s">
        <v>684</v>
      </c>
      <c r="L2" s="25" t="s">
        <v>220</v>
      </c>
      <c r="M2" s="25" t="s">
        <v>202</v>
      </c>
      <c r="N2" s="25" t="s">
        <v>441</v>
      </c>
      <c r="O2" s="25" t="s">
        <v>561</v>
      </c>
      <c r="P2" s="25" t="s">
        <v>482</v>
      </c>
      <c r="Q2" s="25" t="s">
        <v>203</v>
      </c>
      <c r="R2" s="25" t="s">
        <v>507</v>
      </c>
      <c r="S2" s="25" t="s">
        <v>241</v>
      </c>
      <c r="T2" s="25" t="s">
        <v>236</v>
      </c>
      <c r="U2" s="25" t="s">
        <v>665</v>
      </c>
      <c r="V2" s="25" t="s">
        <v>204</v>
      </c>
      <c r="W2" s="25" t="s">
        <v>711</v>
      </c>
      <c r="X2" s="25" t="s">
        <v>205</v>
      </c>
      <c r="Y2" s="25" t="s">
        <v>673</v>
      </c>
      <c r="Z2" s="25" t="s">
        <v>206</v>
      </c>
      <c r="AA2" s="25" t="s">
        <v>207</v>
      </c>
      <c r="AB2" s="25" t="s">
        <v>341</v>
      </c>
      <c r="AC2" s="69" t="s">
        <v>322</v>
      </c>
      <c r="AD2" s="69" t="s">
        <v>208</v>
      </c>
      <c r="AE2" s="69" t="s">
        <v>209</v>
      </c>
      <c r="AF2" s="69" t="s">
        <v>210</v>
      </c>
      <c r="AG2" s="69" t="s">
        <v>380</v>
      </c>
      <c r="AH2" s="69" t="s">
        <v>268</v>
      </c>
      <c r="AI2" s="69" t="s">
        <v>211</v>
      </c>
      <c r="AJ2" s="69" t="s">
        <v>467</v>
      </c>
      <c r="AK2" s="69" t="s">
        <v>531</v>
      </c>
    </row>
    <row r="3" spans="1:37" ht="24.95" customHeight="1" x14ac:dyDescent="0.4">
      <c r="A3" s="24"/>
      <c r="B3" s="2" t="s">
        <v>650</v>
      </c>
      <c r="C3" s="2" t="s">
        <v>123</v>
      </c>
      <c r="D3" s="59" t="s">
        <v>327</v>
      </c>
      <c r="E3" s="2" t="s">
        <v>246</v>
      </c>
      <c r="F3" s="1" t="s">
        <v>468</v>
      </c>
      <c r="G3" s="1" t="s">
        <v>127</v>
      </c>
      <c r="H3" s="2" t="s">
        <v>106</v>
      </c>
      <c r="I3" s="2" t="s">
        <v>712</v>
      </c>
      <c r="J3" s="2" t="s">
        <v>638</v>
      </c>
      <c r="K3" s="2" t="s">
        <v>676</v>
      </c>
      <c r="L3" s="2" t="s">
        <v>212</v>
      </c>
      <c r="M3" s="2" t="s">
        <v>3</v>
      </c>
      <c r="N3" s="59" t="s">
        <v>80</v>
      </c>
      <c r="O3" s="2" t="s">
        <v>19</v>
      </c>
      <c r="P3" s="2" t="s">
        <v>478</v>
      </c>
      <c r="Q3" s="2" t="s">
        <v>71</v>
      </c>
      <c r="R3" s="2" t="s">
        <v>493</v>
      </c>
      <c r="S3" s="61" t="s">
        <v>182</v>
      </c>
      <c r="T3" s="23" t="s">
        <v>224</v>
      </c>
      <c r="U3" s="23" t="s">
        <v>659</v>
      </c>
      <c r="V3" s="83" t="s">
        <v>37</v>
      </c>
      <c r="W3" s="2" t="s">
        <v>699</v>
      </c>
      <c r="X3" s="2" t="s">
        <v>123</v>
      </c>
      <c r="Y3" s="2" t="s">
        <v>522</v>
      </c>
      <c r="Z3" s="33" t="s">
        <v>293</v>
      </c>
      <c r="AA3" s="2" t="s">
        <v>163</v>
      </c>
      <c r="AB3" s="1" t="s">
        <v>118</v>
      </c>
      <c r="AC3" s="1" t="s">
        <v>314</v>
      </c>
      <c r="AD3" s="1" t="s">
        <v>146</v>
      </c>
      <c r="AE3" s="1" t="s">
        <v>75</v>
      </c>
      <c r="AF3" s="2" t="s">
        <v>174</v>
      </c>
      <c r="AG3" s="39" t="s">
        <v>371</v>
      </c>
      <c r="AH3" s="1" t="s">
        <v>260</v>
      </c>
      <c r="AI3" s="95" t="s">
        <v>393</v>
      </c>
      <c r="AJ3" s="1" t="s">
        <v>453</v>
      </c>
      <c r="AK3" s="2" t="s">
        <v>523</v>
      </c>
    </row>
    <row r="4" spans="1:37" ht="24.95" customHeight="1" x14ac:dyDescent="0.4">
      <c r="A4" s="24"/>
      <c r="B4" s="2" t="s">
        <v>651</v>
      </c>
      <c r="C4" s="2" t="s">
        <v>301</v>
      </c>
      <c r="D4" s="2" t="s">
        <v>422</v>
      </c>
      <c r="E4" s="81" t="s">
        <v>247</v>
      </c>
      <c r="F4" s="2" t="s">
        <v>469</v>
      </c>
      <c r="G4" s="2" t="s">
        <v>577</v>
      </c>
      <c r="H4" s="2" t="s">
        <v>99</v>
      </c>
      <c r="I4" s="2" t="s">
        <v>713</v>
      </c>
      <c r="J4" s="2" t="s">
        <v>639</v>
      </c>
      <c r="K4" s="2" t="s">
        <v>677</v>
      </c>
      <c r="L4" s="2" t="s">
        <v>213</v>
      </c>
      <c r="M4" s="81" t="s">
        <v>0</v>
      </c>
      <c r="N4" s="1" t="s">
        <v>433</v>
      </c>
      <c r="O4" s="2" t="s">
        <v>21</v>
      </c>
      <c r="P4" s="59" t="s">
        <v>479</v>
      </c>
      <c r="Q4" s="2" t="s">
        <v>84</v>
      </c>
      <c r="R4" s="2" t="s">
        <v>494</v>
      </c>
      <c r="S4" s="61" t="s">
        <v>278</v>
      </c>
      <c r="T4" s="23" t="s">
        <v>226</v>
      </c>
      <c r="U4" s="23" t="s">
        <v>660</v>
      </c>
      <c r="V4" s="93" t="s">
        <v>33</v>
      </c>
      <c r="W4" s="1" t="s">
        <v>700</v>
      </c>
      <c r="X4" s="2" t="s">
        <v>126</v>
      </c>
      <c r="Y4" s="2" t="s">
        <v>582</v>
      </c>
      <c r="Z4" s="1" t="s">
        <v>86</v>
      </c>
      <c r="AA4" s="2" t="s">
        <v>161</v>
      </c>
      <c r="AB4" s="2" t="s">
        <v>157</v>
      </c>
      <c r="AC4" s="2" t="s">
        <v>315</v>
      </c>
      <c r="AD4" s="1" t="s">
        <v>145</v>
      </c>
      <c r="AE4" s="1" t="s">
        <v>73</v>
      </c>
      <c r="AF4" s="2" t="s">
        <v>177</v>
      </c>
      <c r="AG4" s="39" t="s">
        <v>367</v>
      </c>
      <c r="AH4" s="2" t="s">
        <v>261</v>
      </c>
      <c r="AI4" s="95" t="s">
        <v>3</v>
      </c>
      <c r="AJ4" s="2" t="s">
        <v>454</v>
      </c>
      <c r="AK4" s="2" t="s">
        <v>524</v>
      </c>
    </row>
    <row r="5" spans="1:37" ht="24.95" customHeight="1" x14ac:dyDescent="0.4">
      <c r="A5" s="24"/>
      <c r="B5" s="2" t="s">
        <v>652</v>
      </c>
      <c r="C5" s="2" t="s">
        <v>302</v>
      </c>
      <c r="D5" s="2" t="s">
        <v>325</v>
      </c>
      <c r="E5" s="59" t="s">
        <v>248</v>
      </c>
      <c r="F5" s="2" t="s">
        <v>71</v>
      </c>
      <c r="G5" s="2" t="s">
        <v>578</v>
      </c>
      <c r="H5" s="2" t="s">
        <v>98</v>
      </c>
      <c r="I5" s="2" t="s">
        <v>714</v>
      </c>
      <c r="J5" s="2" t="s">
        <v>640</v>
      </c>
      <c r="K5" s="81" t="s">
        <v>160</v>
      </c>
      <c r="L5" s="2" t="s">
        <v>214</v>
      </c>
      <c r="M5" s="2" t="s">
        <v>1</v>
      </c>
      <c r="N5" s="1" t="s">
        <v>75</v>
      </c>
      <c r="O5" s="2" t="s">
        <v>20</v>
      </c>
      <c r="P5" s="2" t="s">
        <v>483</v>
      </c>
      <c r="Q5" s="1" t="s">
        <v>70</v>
      </c>
      <c r="R5" s="2" t="s">
        <v>495</v>
      </c>
      <c r="S5" s="66" t="s">
        <v>237</v>
      </c>
      <c r="T5" s="23" t="s">
        <v>227</v>
      </c>
      <c r="U5" s="23" t="s">
        <v>661</v>
      </c>
      <c r="V5" s="83" t="s">
        <v>34</v>
      </c>
      <c r="W5" s="2" t="s">
        <v>701</v>
      </c>
      <c r="X5" s="2" t="s">
        <v>125</v>
      </c>
      <c r="Y5" s="2" t="s">
        <v>583</v>
      </c>
      <c r="Z5" s="33" t="s">
        <v>289</v>
      </c>
      <c r="AA5" s="81" t="s">
        <v>160</v>
      </c>
      <c r="AB5" s="27" t="s">
        <v>239</v>
      </c>
      <c r="AC5" s="1" t="s">
        <v>316</v>
      </c>
      <c r="AD5" s="2" t="s">
        <v>148</v>
      </c>
      <c r="AE5" s="2" t="s">
        <v>76</v>
      </c>
      <c r="AF5" s="1" t="s">
        <v>141</v>
      </c>
      <c r="AG5" s="39" t="s">
        <v>370</v>
      </c>
      <c r="AH5" s="2" t="s">
        <v>262</v>
      </c>
      <c r="AI5" s="95" t="s">
        <v>399</v>
      </c>
      <c r="AJ5" s="81" t="s">
        <v>455</v>
      </c>
      <c r="AK5" s="2" t="s">
        <v>525</v>
      </c>
    </row>
    <row r="6" spans="1:37" ht="24.95" customHeight="1" x14ac:dyDescent="0.4">
      <c r="A6" s="24"/>
      <c r="B6" s="2" t="s">
        <v>653</v>
      </c>
      <c r="C6" s="2" t="s">
        <v>306</v>
      </c>
      <c r="D6" s="38" t="s">
        <v>324</v>
      </c>
      <c r="E6" s="81" t="s">
        <v>249</v>
      </c>
      <c r="F6" s="2" t="s">
        <v>470</v>
      </c>
      <c r="G6" s="2" t="s">
        <v>671</v>
      </c>
      <c r="H6" s="2" t="s">
        <v>242</v>
      </c>
      <c r="I6" s="2" t="s">
        <v>715</v>
      </c>
      <c r="J6" s="2" t="s">
        <v>641</v>
      </c>
      <c r="K6" s="71" t="s">
        <v>682</v>
      </c>
      <c r="L6" s="2" t="s">
        <v>215</v>
      </c>
      <c r="M6" s="2" t="s">
        <v>4</v>
      </c>
      <c r="N6" s="2" t="s">
        <v>434</v>
      </c>
      <c r="O6" s="2" t="s">
        <v>22</v>
      </c>
      <c r="P6" s="2"/>
      <c r="Q6" s="1" t="s">
        <v>69</v>
      </c>
      <c r="R6" s="2" t="s">
        <v>496</v>
      </c>
      <c r="S6" s="61" t="s">
        <v>183</v>
      </c>
      <c r="T6" s="23" t="s">
        <v>223</v>
      </c>
      <c r="U6" s="23" t="s">
        <v>662</v>
      </c>
      <c r="V6" s="2" t="s">
        <v>32</v>
      </c>
      <c r="W6" s="2" t="s">
        <v>702</v>
      </c>
      <c r="X6" s="1" t="s">
        <v>127</v>
      </c>
      <c r="Y6" s="2" t="s">
        <v>584</v>
      </c>
      <c r="Z6" s="33" t="s">
        <v>291</v>
      </c>
      <c r="AA6" s="2" t="s">
        <v>164</v>
      </c>
      <c r="AB6" s="2" t="s">
        <v>344</v>
      </c>
      <c r="AC6" s="2" t="s">
        <v>317</v>
      </c>
      <c r="AD6" s="2" t="s">
        <v>150</v>
      </c>
      <c r="AE6" s="81" t="s">
        <v>74</v>
      </c>
      <c r="AF6" s="2" t="s">
        <v>176</v>
      </c>
      <c r="AG6" s="39" t="s">
        <v>368</v>
      </c>
      <c r="AH6" s="2" t="s">
        <v>266</v>
      </c>
      <c r="AI6" s="95" t="s">
        <v>394</v>
      </c>
      <c r="AJ6" s="2" t="s">
        <v>456</v>
      </c>
      <c r="AK6" s="2" t="s">
        <v>526</v>
      </c>
    </row>
    <row r="7" spans="1:37" ht="24.95" customHeight="1" x14ac:dyDescent="0.4">
      <c r="A7" s="24"/>
      <c r="B7" s="2"/>
      <c r="C7" s="1" t="s">
        <v>122</v>
      </c>
      <c r="D7" s="2" t="s">
        <v>424</v>
      </c>
      <c r="E7" s="2" t="s">
        <v>250</v>
      </c>
      <c r="F7" s="2" t="s">
        <v>471</v>
      </c>
      <c r="G7" s="71" t="s">
        <v>674</v>
      </c>
      <c r="H7" s="2" t="s">
        <v>101</v>
      </c>
      <c r="I7" s="2" t="s">
        <v>716</v>
      </c>
      <c r="J7" s="105" t="s">
        <v>758</v>
      </c>
      <c r="K7" s="81" t="s">
        <v>678</v>
      </c>
      <c r="L7" s="2" t="s">
        <v>306</v>
      </c>
      <c r="M7" s="2" t="s">
        <v>6</v>
      </c>
      <c r="N7" s="2" t="s">
        <v>435</v>
      </c>
      <c r="O7" s="2" t="s">
        <v>23</v>
      </c>
      <c r="P7" s="2"/>
      <c r="Q7" s="2" t="s">
        <v>72</v>
      </c>
      <c r="R7" s="2" t="s">
        <v>497</v>
      </c>
      <c r="S7" s="61" t="s">
        <v>187</v>
      </c>
      <c r="T7" s="23" t="s">
        <v>225</v>
      </c>
      <c r="U7" s="23" t="s">
        <v>664</v>
      </c>
      <c r="V7" s="81" t="s">
        <v>31</v>
      </c>
      <c r="W7" s="2" t="s">
        <v>703</v>
      </c>
      <c r="X7" s="2" t="s">
        <v>124</v>
      </c>
      <c r="Y7" s="2" t="s">
        <v>585</v>
      </c>
      <c r="Z7" s="2" t="s">
        <v>290</v>
      </c>
      <c r="AA7" s="2" t="s">
        <v>162</v>
      </c>
      <c r="AB7" s="2" t="s">
        <v>345</v>
      </c>
      <c r="AC7" s="2" t="s">
        <v>532</v>
      </c>
      <c r="AD7" s="2" t="s">
        <v>147</v>
      </c>
      <c r="AE7" s="2" t="s">
        <v>77</v>
      </c>
      <c r="AF7" s="2" t="s">
        <v>312</v>
      </c>
      <c r="AG7" s="39" t="s">
        <v>369</v>
      </c>
      <c r="AH7"/>
      <c r="AI7" s="95" t="s">
        <v>395</v>
      </c>
      <c r="AJ7" s="81" t="s">
        <v>457</v>
      </c>
      <c r="AK7"/>
    </row>
    <row r="8" spans="1:37" ht="24.95" customHeight="1" x14ac:dyDescent="0.4">
      <c r="A8" s="24"/>
      <c r="B8" s="2"/>
      <c r="C8" s="2" t="s">
        <v>308</v>
      </c>
      <c r="D8" s="2" t="s">
        <v>429</v>
      </c>
      <c r="E8" s="2" t="s">
        <v>508</v>
      </c>
      <c r="F8" s="2" t="s">
        <v>544</v>
      </c>
      <c r="G8" s="81" t="s">
        <v>450</v>
      </c>
      <c r="H8" s="1" t="s">
        <v>96</v>
      </c>
      <c r="I8"/>
      <c r="J8" s="2" t="s">
        <v>642</v>
      </c>
      <c r="K8"/>
      <c r="L8" s="2" t="s">
        <v>549</v>
      </c>
      <c r="M8" s="2" t="s">
        <v>2</v>
      </c>
      <c r="N8" s="2" t="s">
        <v>436</v>
      </c>
      <c r="O8" s="2" t="s">
        <v>24</v>
      </c>
      <c r="P8" s="2"/>
      <c r="Q8" s="2" t="s">
        <v>323</v>
      </c>
      <c r="R8" s="2" t="s">
        <v>498</v>
      </c>
      <c r="S8" s="61" t="s">
        <v>196</v>
      </c>
      <c r="T8" s="23" t="s">
        <v>221</v>
      </c>
      <c r="U8" s="23" t="s">
        <v>663</v>
      </c>
      <c r="V8" s="2" t="s">
        <v>35</v>
      </c>
      <c r="W8" s="2" t="s">
        <v>704</v>
      </c>
      <c r="X8" s="1" t="s">
        <v>119</v>
      </c>
      <c r="Y8" s="2" t="s">
        <v>586</v>
      </c>
      <c r="Z8" s="2" t="s">
        <v>89</v>
      </c>
      <c r="AA8" s="2" t="s">
        <v>166</v>
      </c>
      <c r="AB8" s="2" t="s">
        <v>348</v>
      </c>
      <c r="AC8" s="2" t="s">
        <v>533</v>
      </c>
      <c r="AD8" s="1" t="s">
        <v>149</v>
      </c>
      <c r="AE8" s="1" t="s">
        <v>80</v>
      </c>
      <c r="AF8" s="2" t="s">
        <v>337</v>
      </c>
      <c r="AG8" s="45" t="s">
        <v>357</v>
      </c>
      <c r="AH8"/>
      <c r="AI8" s="95" t="s">
        <v>271</v>
      </c>
      <c r="AJ8" s="2" t="s">
        <v>458</v>
      </c>
      <c r="AK8"/>
    </row>
    <row r="9" spans="1:37" ht="24.95" customHeight="1" x14ac:dyDescent="0.4">
      <c r="A9" s="24"/>
      <c r="B9" s="2"/>
      <c r="C9" s="2" t="s">
        <v>685</v>
      </c>
      <c r="D9" s="71" t="s">
        <v>541</v>
      </c>
      <c r="E9" s="2" t="s">
        <v>510</v>
      </c>
      <c r="F9" s="2" t="s">
        <v>545</v>
      </c>
      <c r="G9"/>
      <c r="H9" s="1" t="s">
        <v>94</v>
      </c>
      <c r="I9"/>
      <c r="J9"/>
      <c r="K9"/>
      <c r="L9" s="2" t="s">
        <v>697</v>
      </c>
      <c r="M9" s="2" t="s">
        <v>7</v>
      </c>
      <c r="N9" s="2" t="s">
        <v>77</v>
      </c>
      <c r="O9" s="1" t="s">
        <v>18</v>
      </c>
      <c r="P9" s="2"/>
      <c r="Q9" s="81" t="s">
        <v>476</v>
      </c>
      <c r="R9" s="2" t="s">
        <v>499</v>
      </c>
      <c r="S9" s="61" t="s">
        <v>197</v>
      </c>
      <c r="T9" s="23" t="s">
        <v>222</v>
      </c>
      <c r="U9" s="7"/>
      <c r="V9" s="1" t="s">
        <v>36</v>
      </c>
      <c r="W9" s="2"/>
      <c r="X9" s="1" t="s">
        <v>121</v>
      </c>
      <c r="Y9" s="2" t="s">
        <v>524</v>
      </c>
      <c r="Z9" s="2" t="s">
        <v>88</v>
      </c>
      <c r="AA9" s="2" t="s">
        <v>165</v>
      </c>
      <c r="AB9" s="2" t="s">
        <v>342</v>
      </c>
      <c r="AC9" s="2" t="s">
        <v>657</v>
      </c>
      <c r="AD9" s="1" t="s">
        <v>144</v>
      </c>
      <c r="AE9" s="2" t="s">
        <v>569</v>
      </c>
      <c r="AF9" s="2" t="s">
        <v>175</v>
      </c>
      <c r="AG9" s="45" t="s">
        <v>359</v>
      </c>
      <c r="AH9"/>
      <c r="AI9" s="99" t="s">
        <v>138</v>
      </c>
      <c r="AJ9" s="2" t="s">
        <v>724</v>
      </c>
      <c r="AK9"/>
    </row>
    <row r="10" spans="1:37" ht="24.95" customHeight="1" x14ac:dyDescent="0.4">
      <c r="A10" s="24"/>
      <c r="B10" s="2"/>
      <c r="C10" s="2"/>
      <c r="D10" s="2" t="s">
        <v>329</v>
      </c>
      <c r="E10" s="2" t="s">
        <v>512</v>
      </c>
      <c r="F10" s="2"/>
      <c r="G10"/>
      <c r="H10" s="2" t="s">
        <v>105</v>
      </c>
      <c r="I10"/>
      <c r="J10"/>
      <c r="K10"/>
      <c r="L10" s="2" t="s">
        <v>550</v>
      </c>
      <c r="M10" s="2" t="s">
        <v>5</v>
      </c>
      <c r="N10" s="2"/>
      <c r="O10" s="81" t="s">
        <v>17</v>
      </c>
      <c r="P10" s="2"/>
      <c r="Q10" s="2" t="s">
        <v>470</v>
      </c>
      <c r="R10" s="2" t="s">
        <v>562</v>
      </c>
      <c r="S10" s="61" t="s">
        <v>181</v>
      </c>
      <c r="T10" s="23" t="s">
        <v>567</v>
      </c>
      <c r="U10" s="7"/>
      <c r="V10" s="81" t="s">
        <v>143</v>
      </c>
      <c r="W10" s="2"/>
      <c r="X10" s="1" t="s">
        <v>120</v>
      </c>
      <c r="Y10" s="2" t="s">
        <v>587</v>
      </c>
      <c r="Z10" s="2" t="s">
        <v>87</v>
      </c>
      <c r="AA10"/>
      <c r="AB10" s="2" t="s">
        <v>431</v>
      </c>
      <c r="AC10"/>
      <c r="AD10"/>
      <c r="AE10" s="2" t="s">
        <v>576</v>
      </c>
      <c r="AF10"/>
      <c r="AG10" s="45" t="s">
        <v>360</v>
      </c>
      <c r="AH10"/>
      <c r="AI10" s="95" t="s">
        <v>382</v>
      </c>
      <c r="AJ10" s="2" t="s">
        <v>459</v>
      </c>
      <c r="AK10"/>
    </row>
    <row r="11" spans="1:37" ht="24.95" customHeight="1" x14ac:dyDescent="0.4">
      <c r="A11" s="24"/>
      <c r="B11" s="2"/>
      <c r="C11" s="2"/>
      <c r="D11" s="2" t="s">
        <v>326</v>
      </c>
      <c r="E11" s="2" t="s">
        <v>695</v>
      </c>
      <c r="F11" s="2"/>
      <c r="G11"/>
      <c r="H11" s="81" t="s">
        <v>95</v>
      </c>
      <c r="I11"/>
      <c r="J11"/>
      <c r="K11"/>
      <c r="L11" s="2" t="s">
        <v>551</v>
      </c>
      <c r="M11" s="2" t="s">
        <v>269</v>
      </c>
      <c r="N11" s="2"/>
      <c r="O11" s="2" t="s">
        <v>25</v>
      </c>
      <c r="P11" s="2"/>
      <c r="Q11"/>
      <c r="R11" s="2" t="s">
        <v>565</v>
      </c>
      <c r="S11" s="61" t="s">
        <v>185</v>
      </c>
      <c r="T11" s="23" t="s">
        <v>228</v>
      </c>
      <c r="U11" s="7"/>
      <c r="V11" s="7"/>
      <c r="W11" s="2"/>
      <c r="X11" s="1" t="s">
        <v>122</v>
      </c>
      <c r="Y11" s="2" t="s">
        <v>588</v>
      </c>
      <c r="Z11" s="2" t="s">
        <v>298</v>
      </c>
      <c r="AA11"/>
      <c r="AB11" s="2" t="s">
        <v>514</v>
      </c>
      <c r="AC11"/>
      <c r="AD11"/>
      <c r="AE11" s="2" t="s">
        <v>352</v>
      </c>
      <c r="AF11"/>
      <c r="AG11" s="45" t="s">
        <v>355</v>
      </c>
      <c r="AH11"/>
      <c r="AI11" s="95" t="s">
        <v>391</v>
      </c>
      <c r="AJ11"/>
      <c r="AK11"/>
    </row>
    <row r="12" spans="1:37" ht="24.95" customHeight="1" x14ac:dyDescent="0.4">
      <c r="A12" s="24"/>
      <c r="B12" s="2"/>
      <c r="C12" s="2"/>
      <c r="D12" s="2" t="s">
        <v>423</v>
      </c>
      <c r="E12" s="2" t="s">
        <v>537</v>
      </c>
      <c r="F12" s="2"/>
      <c r="G12"/>
      <c r="H12" s="2" t="s">
        <v>102</v>
      </c>
      <c r="I12"/>
      <c r="J12"/>
      <c r="K12"/>
      <c r="L12"/>
      <c r="M12" s="2" t="s">
        <v>271</v>
      </c>
      <c r="N12" s="2"/>
      <c r="O12" s="2" t="s">
        <v>26</v>
      </c>
      <c r="P12" s="2"/>
      <c r="Q12"/>
      <c r="R12"/>
      <c r="S12" s="61" t="s">
        <v>693</v>
      </c>
      <c r="T12" s="7"/>
      <c r="U12" s="7"/>
      <c r="V12" s="7"/>
      <c r="W12" s="2"/>
      <c r="X12" s="2" t="s">
        <v>273</v>
      </c>
      <c r="Y12" s="2" t="s">
        <v>589</v>
      </c>
      <c r="Z12" s="2" t="s">
        <v>299</v>
      </c>
      <c r="AA12"/>
      <c r="AB12" s="2" t="s">
        <v>515</v>
      </c>
      <c r="AC12"/>
      <c r="AD12"/>
      <c r="AE12" s="2" t="s">
        <v>607</v>
      </c>
      <c r="AF12"/>
      <c r="AG12" s="45" t="s">
        <v>356</v>
      </c>
      <c r="AH12"/>
      <c r="AI12" s="95" t="s">
        <v>281</v>
      </c>
      <c r="AJ12"/>
      <c r="AK12"/>
    </row>
    <row r="13" spans="1:37" ht="24.95" customHeight="1" x14ac:dyDescent="0.4">
      <c r="A13" s="24"/>
      <c r="B13" s="2"/>
      <c r="C13" s="2"/>
      <c r="D13" s="81" t="s">
        <v>328</v>
      </c>
      <c r="E13" s="2"/>
      <c r="F13" s="2"/>
      <c r="G13"/>
      <c r="H13" s="2" t="s">
        <v>691</v>
      </c>
      <c r="I13"/>
      <c r="J13"/>
      <c r="K13"/>
      <c r="L13"/>
      <c r="M13" s="28" t="s">
        <v>281</v>
      </c>
      <c r="N13" s="2"/>
      <c r="O13" s="2" t="s">
        <v>27</v>
      </c>
      <c r="P13" s="2"/>
      <c r="Q13"/>
      <c r="R13"/>
      <c r="S13" s="61" t="s">
        <v>184</v>
      </c>
      <c r="T13" s="7"/>
      <c r="U13" s="7"/>
      <c r="V13" s="7"/>
      <c r="W13" s="2"/>
      <c r="X13" s="2" t="s">
        <v>275</v>
      </c>
      <c r="Y13" s="2" t="s">
        <v>124</v>
      </c>
      <c r="Z13" s="33" t="s">
        <v>292</v>
      </c>
      <c r="AA13"/>
      <c r="AB13" s="2" t="s">
        <v>516</v>
      </c>
      <c r="AC13"/>
      <c r="AD13"/>
      <c r="AE13" s="2" t="s">
        <v>608</v>
      </c>
      <c r="AF13"/>
      <c r="AG13" s="94" t="s">
        <v>358</v>
      </c>
      <c r="AH13"/>
      <c r="AI13" s="95" t="s">
        <v>387</v>
      </c>
      <c r="AJ13"/>
      <c r="AK13"/>
    </row>
    <row r="14" spans="1:37" ht="24.95" customHeight="1" x14ac:dyDescent="0.4">
      <c r="A14" s="24"/>
      <c r="B14" s="2"/>
      <c r="C14" s="2"/>
      <c r="D14" s="2" t="s">
        <v>421</v>
      </c>
      <c r="E14" s="2"/>
      <c r="F14" s="2"/>
      <c r="G14"/>
      <c r="H14" s="2" t="s">
        <v>103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195</v>
      </c>
      <c r="T14" s="7"/>
      <c r="U14" s="7"/>
      <c r="V14" s="7"/>
      <c r="W14" s="2"/>
      <c r="X14" s="81" t="s">
        <v>450</v>
      </c>
      <c r="Y14" s="2" t="s">
        <v>590</v>
      </c>
      <c r="Z14" s="2" t="s">
        <v>687</v>
      </c>
      <c r="AA14"/>
      <c r="AB14" s="2" t="s">
        <v>517</v>
      </c>
      <c r="AC14"/>
      <c r="AD14"/>
      <c r="AE14"/>
      <c r="AF14"/>
      <c r="AG14"/>
      <c r="AH14"/>
      <c r="AI14" s="95" t="s">
        <v>386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486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277</v>
      </c>
      <c r="T15" s="7"/>
      <c r="U15" s="7"/>
      <c r="V15" s="7"/>
      <c r="W15" s="2"/>
      <c r="X15"/>
      <c r="Y15" s="2" t="s">
        <v>591</v>
      </c>
      <c r="Z15"/>
      <c r="AA15"/>
      <c r="AB15" s="2" t="s">
        <v>539</v>
      </c>
      <c r="AC15"/>
      <c r="AD15"/>
      <c r="AE15"/>
      <c r="AF15"/>
      <c r="AG15"/>
      <c r="AH15"/>
      <c r="AI15" s="95" t="s">
        <v>390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97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186</v>
      </c>
      <c r="T16" s="7"/>
      <c r="U16" s="7"/>
      <c r="V16" s="7"/>
      <c r="W16" s="2"/>
      <c r="X16"/>
      <c r="Y16" s="2" t="s">
        <v>126</v>
      </c>
      <c r="Z16"/>
      <c r="AA16"/>
      <c r="AB16"/>
      <c r="AC16"/>
      <c r="AD16"/>
      <c r="AE16"/>
      <c r="AF16"/>
      <c r="AG16"/>
      <c r="AH16"/>
      <c r="AI16" s="95" t="s">
        <v>392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100</v>
      </c>
      <c r="I17"/>
      <c r="J17"/>
      <c r="K17"/>
      <c r="L17"/>
      <c r="M17" s="2"/>
      <c r="N17" s="2"/>
      <c r="O17" s="2" t="s">
        <v>310</v>
      </c>
      <c r="P17" s="2"/>
      <c r="Q17"/>
      <c r="R17"/>
      <c r="S17" s="52" t="s">
        <v>442</v>
      </c>
      <c r="T17" s="7"/>
      <c r="U17" s="7"/>
      <c r="V17" s="7"/>
      <c r="W17" s="2"/>
      <c r="X17"/>
      <c r="Y17" s="2" t="s">
        <v>273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244</v>
      </c>
      <c r="I18"/>
      <c r="J18"/>
      <c r="K18"/>
      <c r="L18"/>
      <c r="M18" s="2"/>
      <c r="N18" s="2"/>
      <c r="O18" s="1" t="s">
        <v>258</v>
      </c>
      <c r="P18" s="2"/>
      <c r="Q18"/>
      <c r="R18"/>
      <c r="S18" s="52" t="s">
        <v>443</v>
      </c>
      <c r="T18" s="7"/>
      <c r="U18" s="7"/>
      <c r="V18" s="7"/>
      <c r="W18" s="2"/>
      <c r="X18"/>
      <c r="Y18" s="1" t="s">
        <v>120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104</v>
      </c>
      <c r="I19"/>
      <c r="J19"/>
      <c r="K19"/>
      <c r="L19"/>
      <c r="M19" s="2"/>
      <c r="N19" s="2"/>
      <c r="O19" s="2"/>
      <c r="P19" s="2"/>
      <c r="Q19"/>
      <c r="R19"/>
      <c r="S19" s="60" t="s">
        <v>444</v>
      </c>
      <c r="T19" s="7"/>
      <c r="U19" s="7"/>
      <c r="V19" s="7"/>
      <c r="W19" s="2"/>
      <c r="X19"/>
      <c r="Y19" s="2" t="s">
        <v>306</v>
      </c>
      <c r="Z19"/>
      <c r="AA19"/>
      <c r="AB19"/>
      <c r="AC19"/>
      <c r="AD19"/>
      <c r="AE19"/>
      <c r="AF19"/>
      <c r="AG19"/>
      <c r="AH19"/>
      <c r="AI19" s="95" t="s">
        <v>398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488</v>
      </c>
      <c r="I20"/>
      <c r="J20"/>
      <c r="K20"/>
      <c r="L20"/>
      <c r="M20" s="2"/>
      <c r="N20" s="2"/>
      <c r="O20" s="2"/>
      <c r="P20" s="2"/>
      <c r="Q20"/>
      <c r="R20"/>
      <c r="S20" s="52" t="s">
        <v>448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689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489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269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492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400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383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397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384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396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381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385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137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401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389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388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G9" sqref="G9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650</v>
      </c>
      <c r="B2" s="2" t="s">
        <v>654</v>
      </c>
      <c r="C2" s="4">
        <v>22.54</v>
      </c>
      <c r="D2" s="4">
        <v>22.36</v>
      </c>
      <c r="E2" s="4">
        <v>22.62</v>
      </c>
      <c r="F2" s="5">
        <v>22.67</v>
      </c>
      <c r="G2" s="6">
        <v>-5.7344508160565751E-3</v>
      </c>
      <c r="H2" s="4" t="s">
        <v>764</v>
      </c>
      <c r="I2" s="5">
        <v>2.7</v>
      </c>
      <c r="J2" s="4">
        <v>18.72</v>
      </c>
      <c r="K2" s="4">
        <v>23.06</v>
      </c>
      <c r="L2" s="70">
        <f>K2*0.9</f>
        <v>20.753999999999998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651</v>
      </c>
      <c r="B3" s="2" t="s">
        <v>655</v>
      </c>
      <c r="C3" s="4">
        <v>83.96</v>
      </c>
      <c r="D3" s="4">
        <v>83.6</v>
      </c>
      <c r="E3" s="4">
        <v>84.34</v>
      </c>
      <c r="F3" s="5">
        <v>84.61</v>
      </c>
      <c r="G3" s="6">
        <v>-7.6823070559036248E-3</v>
      </c>
      <c r="H3" s="4" t="s">
        <v>765</v>
      </c>
      <c r="I3" s="5">
        <v>2.63</v>
      </c>
      <c r="J3" s="4">
        <v>18.36</v>
      </c>
      <c r="K3" s="4">
        <v>82.78</v>
      </c>
      <c r="L3" s="70">
        <f t="shared" ref="L3:L5" si="0">K3*0.9</f>
        <v>74.50200000000001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652</v>
      </c>
      <c r="B4" s="2" t="s">
        <v>656</v>
      </c>
      <c r="C4" s="4">
        <v>114.88</v>
      </c>
      <c r="D4" s="4">
        <v>114.41</v>
      </c>
      <c r="E4" s="4">
        <v>116.08</v>
      </c>
      <c r="F4" s="5">
        <v>117.68</v>
      </c>
      <c r="G4" s="6">
        <v>-2.3793337865397782E-2</v>
      </c>
      <c r="H4" s="4" t="s">
        <v>766</v>
      </c>
      <c r="I4" s="5">
        <v>2.94</v>
      </c>
      <c r="J4" s="4">
        <v>26.72</v>
      </c>
      <c r="K4" s="4">
        <v>113.64</v>
      </c>
      <c r="L4" s="70">
        <f t="shared" si="0"/>
        <v>102.276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653</v>
      </c>
      <c r="B5" s="2" t="s">
        <v>767</v>
      </c>
      <c r="C5" s="4">
        <v>18.27</v>
      </c>
      <c r="D5" s="4">
        <v>18.239999999999998</v>
      </c>
      <c r="E5" s="4">
        <v>18.38</v>
      </c>
      <c r="F5" s="5">
        <v>18.77</v>
      </c>
      <c r="G5" s="6">
        <v>-2.6638252530633989E-2</v>
      </c>
      <c r="H5" s="4" t="s">
        <v>768</v>
      </c>
      <c r="I5" s="5">
        <v>2.36</v>
      </c>
      <c r="J5" s="4">
        <v>15.89</v>
      </c>
      <c r="K5" s="4">
        <v>17.78</v>
      </c>
      <c r="L5" s="70">
        <f t="shared" si="0"/>
        <v>16.002000000000002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L4" sqref="L4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769</v>
      </c>
      <c r="I2" s="5">
        <v>3.42</v>
      </c>
      <c r="J2" s="4">
        <v>22.81</v>
      </c>
      <c r="K2" s="4">
        <v>130.41999999999999</v>
      </c>
      <c r="L2" s="70">
        <f>K2*0.9</f>
        <v>117.37799999999999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301</v>
      </c>
      <c r="B3" s="2" t="s">
        <v>303</v>
      </c>
      <c r="C3" s="4">
        <v>38.909999999999997</v>
      </c>
      <c r="D3" s="4">
        <v>38.86</v>
      </c>
      <c r="E3" s="4">
        <v>39.36</v>
      </c>
      <c r="F3" s="5">
        <v>39.380000000000003</v>
      </c>
      <c r="G3" s="6">
        <v>-1.1934992381919907E-2</v>
      </c>
      <c r="H3" s="4" t="s">
        <v>770</v>
      </c>
      <c r="I3" s="5">
        <v>0.2</v>
      </c>
      <c r="J3" s="4">
        <v>14.68</v>
      </c>
      <c r="K3" s="4">
        <v>37.99</v>
      </c>
      <c r="L3" s="70">
        <f t="shared" ref="L3:L8" si="0">K3*0.9</f>
        <v>34.191000000000003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302</v>
      </c>
      <c r="B4" s="2" t="s">
        <v>304</v>
      </c>
      <c r="C4" s="4">
        <v>74.959999999999994</v>
      </c>
      <c r="D4" s="4">
        <v>74.2</v>
      </c>
      <c r="E4" s="4">
        <v>75.569999999999993</v>
      </c>
      <c r="F4" s="5">
        <v>75.180000000000007</v>
      </c>
      <c r="G4" s="6">
        <v>-2.926310188880195E-3</v>
      </c>
      <c r="H4" s="4" t="s">
        <v>771</v>
      </c>
      <c r="I4" s="5">
        <v>0</v>
      </c>
      <c r="J4" s="4">
        <v>46.39</v>
      </c>
      <c r="K4" s="4">
        <v>66.3</v>
      </c>
      <c r="L4" s="70">
        <f t="shared" si="0"/>
        <v>59.67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306</v>
      </c>
      <c r="B5" s="2" t="s">
        <v>307</v>
      </c>
      <c r="C5" s="4">
        <v>81.040000000000006</v>
      </c>
      <c r="D5" s="4">
        <v>80.98</v>
      </c>
      <c r="E5" s="4">
        <v>82.12</v>
      </c>
      <c r="F5" s="5">
        <v>82.33</v>
      </c>
      <c r="G5" s="6">
        <v>-1.5668650552653856E-2</v>
      </c>
      <c r="H5" s="4" t="s">
        <v>772</v>
      </c>
      <c r="I5" s="5">
        <v>1.6</v>
      </c>
      <c r="J5" s="4">
        <v>15.27</v>
      </c>
      <c r="K5" s="4">
        <v>87.65</v>
      </c>
      <c r="L5" s="70">
        <f t="shared" si="0"/>
        <v>78.885000000000005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122</v>
      </c>
      <c r="B6" s="2" t="s">
        <v>132</v>
      </c>
      <c r="C6" s="4">
        <v>59.45</v>
      </c>
      <c r="D6" s="4">
        <v>59.25</v>
      </c>
      <c r="E6" s="4">
        <v>60.04</v>
      </c>
      <c r="F6" s="5">
        <v>60.07</v>
      </c>
      <c r="G6" s="6">
        <v>-1.0321291826202721E-2</v>
      </c>
      <c r="H6" s="4" t="s">
        <v>773</v>
      </c>
      <c r="I6" s="5">
        <v>0.73</v>
      </c>
      <c r="J6" s="4">
        <v>22.66</v>
      </c>
      <c r="K6" s="4">
        <v>56.3</v>
      </c>
      <c r="L6" s="70">
        <f t="shared" si="0"/>
        <v>50.67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308</v>
      </c>
      <c r="B7" s="2" t="s">
        <v>309</v>
      </c>
      <c r="C7" s="4">
        <v>68.34</v>
      </c>
      <c r="D7" s="4">
        <v>68.31</v>
      </c>
      <c r="E7" s="4">
        <v>69.02</v>
      </c>
      <c r="F7" s="5">
        <v>69.11</v>
      </c>
      <c r="G7" s="6">
        <v>-1.1141658226016439E-2</v>
      </c>
      <c r="H7" s="4" t="s">
        <v>774</v>
      </c>
      <c r="I7" s="5">
        <v>0.23</v>
      </c>
      <c r="J7" s="4">
        <v>30.92</v>
      </c>
      <c r="K7" s="4">
        <v>64.62</v>
      </c>
      <c r="L7" s="70">
        <f t="shared" si="0"/>
        <v>58.158000000000008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685</v>
      </c>
      <c r="B8" s="2" t="s">
        <v>686</v>
      </c>
      <c r="C8" s="4">
        <v>281.97000000000003</v>
      </c>
      <c r="D8" s="4">
        <v>281.04000000000002</v>
      </c>
      <c r="E8" s="4">
        <v>286.17</v>
      </c>
      <c r="F8" s="5">
        <v>284.32</v>
      </c>
      <c r="G8" s="6">
        <v>-8.2653348339897514E-3</v>
      </c>
      <c r="H8" s="4" t="s">
        <v>775</v>
      </c>
      <c r="I8" s="5">
        <v>0</v>
      </c>
      <c r="J8" s="4">
        <v>29.82</v>
      </c>
      <c r="K8" s="4">
        <v>253.24</v>
      </c>
      <c r="L8" s="70">
        <f t="shared" si="0"/>
        <v>227.91600000000003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workbookViewId="0">
      <selection activeCell="Q17" sqref="Q17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2" width="9.125" style="2"/>
    <col min="13" max="13" width="18.75" style="2" customWidth="1"/>
    <col min="14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327</v>
      </c>
      <c r="B2" s="2" t="s">
        <v>335</v>
      </c>
      <c r="C2" s="4">
        <v>25.54</v>
      </c>
      <c r="D2" s="4">
        <v>25.44</v>
      </c>
      <c r="E2" s="4">
        <v>25.98</v>
      </c>
      <c r="F2" s="5">
        <v>25.95</v>
      </c>
      <c r="G2" s="6">
        <v>-1.5799614643545287E-2</v>
      </c>
      <c r="H2" s="4" t="s">
        <v>776</v>
      </c>
      <c r="I2" s="5">
        <v>2.9</v>
      </c>
      <c r="J2" s="4">
        <v>16.09</v>
      </c>
      <c r="K2" s="4">
        <v>27.38</v>
      </c>
      <c r="L2" s="79">
        <f>Table351522[[#This Row],[MA200]]*0.9</f>
        <v>24.641999999999999</v>
      </c>
      <c r="M2" s="80" t="b">
        <f>L2&gt;Table351522[[#This Row],[LatestPrice]]</f>
        <v>0</v>
      </c>
    </row>
    <row r="3" spans="1:13" ht="20.100000000000001" customHeight="1" x14ac:dyDescent="0.25">
      <c r="A3" s="2" t="s">
        <v>422</v>
      </c>
      <c r="B3" s="2" t="s">
        <v>426</v>
      </c>
      <c r="C3" s="4">
        <v>1.24</v>
      </c>
      <c r="D3" s="4">
        <v>1.24</v>
      </c>
      <c r="E3" s="4">
        <v>1.3</v>
      </c>
      <c r="F3" s="5">
        <v>1.29</v>
      </c>
      <c r="G3" s="6">
        <v>-3.8759689922480654E-2</v>
      </c>
      <c r="H3" s="4" t="s">
        <v>777</v>
      </c>
      <c r="I3" s="5">
        <v>0</v>
      </c>
      <c r="J3" s="4" t="s">
        <v>39</v>
      </c>
      <c r="K3" s="4">
        <v>1.29</v>
      </c>
      <c r="L3" s="79">
        <f>Table351522[[#This Row],[MA200]]*0.9</f>
        <v>1.161</v>
      </c>
      <c r="M3" s="80" t="b">
        <f>L3&gt;Table351522[[#This Row],[LatestPrice]]</f>
        <v>0</v>
      </c>
    </row>
    <row r="4" spans="1:13" ht="20.100000000000001" customHeight="1" x14ac:dyDescent="0.25">
      <c r="A4" s="2" t="s">
        <v>325</v>
      </c>
      <c r="B4" s="2" t="s">
        <v>331</v>
      </c>
      <c r="C4" s="4">
        <v>89.6</v>
      </c>
      <c r="D4" s="4">
        <v>88.97</v>
      </c>
      <c r="E4" s="4">
        <v>89.88</v>
      </c>
      <c r="F4" s="5">
        <v>89.61</v>
      </c>
      <c r="G4" s="6">
        <v>-1.1159468809290387E-4</v>
      </c>
      <c r="H4" s="4" t="s">
        <v>778</v>
      </c>
      <c r="I4" s="5">
        <v>3.96</v>
      </c>
      <c r="J4" s="4">
        <v>14.4</v>
      </c>
      <c r="K4" s="4">
        <v>90.26</v>
      </c>
      <c r="L4" s="79">
        <f>Table351522[[#This Row],[MA200]]*0.9</f>
        <v>81.234000000000009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324</v>
      </c>
      <c r="B5" s="2" t="s">
        <v>330</v>
      </c>
      <c r="C5" s="4">
        <v>15.99</v>
      </c>
      <c r="D5" s="4">
        <v>15.86</v>
      </c>
      <c r="E5" s="4">
        <v>16.09</v>
      </c>
      <c r="F5" s="5">
        <v>16.010000000000002</v>
      </c>
      <c r="G5" s="6">
        <v>-1.2492192379763491E-3</v>
      </c>
      <c r="H5" s="4" t="s">
        <v>779</v>
      </c>
      <c r="I5" s="5">
        <v>2.5</v>
      </c>
      <c r="J5" s="4">
        <v>19.739999999999998</v>
      </c>
      <c r="K5" s="4">
        <v>16.920000000000002</v>
      </c>
      <c r="L5" s="79">
        <f>Table351522[[#This Row],[MA200]]*0.9</f>
        <v>15.228000000000002</v>
      </c>
      <c r="M5" s="80" t="b">
        <f>L5&gt;Table351522[[#This Row],[LatestPrice]]</f>
        <v>0</v>
      </c>
    </row>
    <row r="6" spans="1:13" ht="20.100000000000001" customHeight="1" x14ac:dyDescent="0.25">
      <c r="A6" s="2" t="s">
        <v>424</v>
      </c>
      <c r="B6" s="2" t="s">
        <v>428</v>
      </c>
      <c r="C6" s="4">
        <v>110.11</v>
      </c>
      <c r="D6" s="4">
        <v>109.25</v>
      </c>
      <c r="E6" s="4">
        <v>111.23</v>
      </c>
      <c r="F6" s="5">
        <v>110.26</v>
      </c>
      <c r="G6" s="6">
        <v>-1.3604208235081232E-3</v>
      </c>
      <c r="H6" s="4" t="s">
        <v>780</v>
      </c>
      <c r="I6" s="5">
        <v>9.2799999999999994</v>
      </c>
      <c r="J6" s="4">
        <v>11.65</v>
      </c>
      <c r="K6" s="4">
        <v>110.28</v>
      </c>
      <c r="L6" s="79">
        <f>Table351522[[#This Row],[MA200]]*0.9</f>
        <v>99.25200000000001</v>
      </c>
      <c r="M6" s="80" t="b">
        <f>L6&gt;Table351522[[#This Row],[LatestPrice]]</f>
        <v>0</v>
      </c>
    </row>
    <row r="7" spans="1:13" ht="20.100000000000001" customHeight="1" x14ac:dyDescent="0.25">
      <c r="A7" s="2" t="s">
        <v>429</v>
      </c>
      <c r="B7" s="2" t="s">
        <v>430</v>
      </c>
      <c r="C7" s="4">
        <v>5.03</v>
      </c>
      <c r="D7" s="4">
        <v>4.91</v>
      </c>
      <c r="E7" s="4">
        <v>5.0599999999999996</v>
      </c>
      <c r="F7" s="5">
        <v>5.03</v>
      </c>
      <c r="G7" s="6">
        <v>0</v>
      </c>
      <c r="H7" s="4" t="s">
        <v>781</v>
      </c>
      <c r="I7" s="5">
        <v>0</v>
      </c>
      <c r="J7" s="4" t="s">
        <v>39</v>
      </c>
      <c r="K7" s="4">
        <v>4.88</v>
      </c>
      <c r="L7" s="79">
        <f>Table351522[[#This Row],[MA200]]*0.9</f>
        <v>4.3920000000000003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541</v>
      </c>
      <c r="B8" s="71" t="s">
        <v>542</v>
      </c>
      <c r="C8" s="72">
        <v>13.135</v>
      </c>
      <c r="D8" s="72">
        <v>12.9</v>
      </c>
      <c r="E8" s="72">
        <v>13.32</v>
      </c>
      <c r="F8" s="73">
        <v>13.4</v>
      </c>
      <c r="G8" s="74">
        <v>-1.9776119402985116E-2</v>
      </c>
      <c r="H8" s="72" t="s">
        <v>782</v>
      </c>
      <c r="I8" s="73" t="s">
        <v>39</v>
      </c>
      <c r="J8" s="72" t="s">
        <v>39</v>
      </c>
      <c r="K8" s="72">
        <v>14.916</v>
      </c>
      <c r="L8" s="79">
        <f>Table351522[[#This Row],[MA200]]*0.9</f>
        <v>13.4244</v>
      </c>
      <c r="M8" s="80" t="b">
        <f>L8&gt;Table351522[[#This Row],[LatestPrice]]</f>
        <v>1</v>
      </c>
    </row>
    <row r="9" spans="1:13" ht="20.100000000000001" customHeight="1" x14ac:dyDescent="0.25">
      <c r="A9" s="2" t="s">
        <v>329</v>
      </c>
      <c r="B9" s="2" t="s">
        <v>334</v>
      </c>
      <c r="C9" s="4">
        <v>87.38</v>
      </c>
      <c r="D9" s="4">
        <v>87.27</v>
      </c>
      <c r="E9" s="4">
        <v>87.8</v>
      </c>
      <c r="F9" s="5">
        <v>88.15</v>
      </c>
      <c r="G9" s="6">
        <v>-8.7351106069201382E-3</v>
      </c>
      <c r="H9" s="4" t="s">
        <v>783</v>
      </c>
      <c r="I9" s="5">
        <v>2.6</v>
      </c>
      <c r="J9" s="4">
        <v>34.04</v>
      </c>
      <c r="K9" s="4">
        <v>81.209999999999994</v>
      </c>
      <c r="L9" s="79">
        <f>Table351522[[#This Row],[MA200]]*0.9</f>
        <v>73.088999999999999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326</v>
      </c>
      <c r="B10" s="2" t="s">
        <v>332</v>
      </c>
      <c r="C10" s="4">
        <v>103.45</v>
      </c>
      <c r="D10" s="4">
        <v>103.2</v>
      </c>
      <c r="E10" s="4">
        <v>104.52</v>
      </c>
      <c r="F10" s="5">
        <v>104.22</v>
      </c>
      <c r="G10" s="6">
        <v>-7.3882172327767804E-3</v>
      </c>
      <c r="H10" s="4" t="s">
        <v>784</v>
      </c>
      <c r="I10" s="5">
        <v>2.02</v>
      </c>
      <c r="J10" s="4">
        <v>45.53</v>
      </c>
      <c r="K10" s="4">
        <v>99.86</v>
      </c>
      <c r="L10" s="79">
        <f>Table351522[[#This Row],[MA200]]*0.9</f>
        <v>89.873999999999995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423</v>
      </c>
      <c r="B11" s="2" t="s">
        <v>427</v>
      </c>
      <c r="C11" s="4">
        <v>3.98</v>
      </c>
      <c r="D11" s="4">
        <v>3.91</v>
      </c>
      <c r="E11" s="4">
        <v>4.01</v>
      </c>
      <c r="F11" s="5">
        <v>4</v>
      </c>
      <c r="G11" s="6">
        <v>-5.0000000000000044E-3</v>
      </c>
      <c r="H11" s="4" t="s">
        <v>785</v>
      </c>
      <c r="I11" s="5">
        <v>4.7</v>
      </c>
      <c r="J11" s="4">
        <v>12.56</v>
      </c>
      <c r="K11" s="4">
        <v>4.22</v>
      </c>
      <c r="L11" s="79">
        <f>Table351522[[#This Row],[MA200]]*0.9</f>
        <v>3.798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328</v>
      </c>
      <c r="B12" s="2" t="s">
        <v>333</v>
      </c>
      <c r="C12" s="4">
        <v>24.02</v>
      </c>
      <c r="D12" s="4">
        <v>23.72</v>
      </c>
      <c r="E12" s="4">
        <v>24.2</v>
      </c>
      <c r="F12" s="5">
        <v>24.09</v>
      </c>
      <c r="G12" s="6">
        <v>-2.9057700290577122E-3</v>
      </c>
      <c r="H12" s="4" t="s">
        <v>786</v>
      </c>
      <c r="I12" s="5">
        <v>4.99</v>
      </c>
      <c r="J12" s="4">
        <v>29.58</v>
      </c>
      <c r="K12" s="4">
        <v>28.58</v>
      </c>
      <c r="L12" s="79">
        <f>Table351522[[#This Row],[MA200]]*0.9</f>
        <v>25.721999999999998</v>
      </c>
      <c r="M12" s="80" t="b">
        <f>L12&gt;Table351522[[#This Row],[LatestPrice]]</f>
        <v>1</v>
      </c>
    </row>
    <row r="13" spans="1:13" ht="20.100000000000001" customHeight="1" x14ac:dyDescent="0.25">
      <c r="A13" s="2" t="s">
        <v>421</v>
      </c>
      <c r="B13" s="2" t="s">
        <v>425</v>
      </c>
      <c r="C13" s="4">
        <v>5.28</v>
      </c>
      <c r="D13" s="4">
        <v>4.99</v>
      </c>
      <c r="E13" s="4">
        <v>5.28</v>
      </c>
      <c r="F13" s="5">
        <v>5.03</v>
      </c>
      <c r="G13" s="6">
        <v>4.9701789264413515E-2</v>
      </c>
      <c r="H13" s="4" t="s">
        <v>787</v>
      </c>
      <c r="I13" s="5">
        <v>13.26</v>
      </c>
      <c r="J13" s="4">
        <v>72.33</v>
      </c>
      <c r="K13" s="4">
        <v>7.67</v>
      </c>
      <c r="L13" s="79">
        <f>Table351522[[#This Row],[MA200]]*0.9</f>
        <v>6.9030000000000005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246</v>
      </c>
      <c r="B2" s="2" t="s">
        <v>251</v>
      </c>
      <c r="C2" s="4">
        <v>35.49</v>
      </c>
      <c r="D2" s="4">
        <v>35.47</v>
      </c>
      <c r="E2" s="4">
        <v>36.36</v>
      </c>
      <c r="F2" s="5">
        <v>36.409999999999997</v>
      </c>
      <c r="G2" s="6">
        <v>-2.526778357594053E-2</v>
      </c>
      <c r="H2" s="4" t="s">
        <v>788</v>
      </c>
      <c r="I2" s="5">
        <v>1.1000000000000001</v>
      </c>
      <c r="J2" s="4">
        <v>3.35</v>
      </c>
      <c r="K2" s="4">
        <v>35.67</v>
      </c>
      <c r="L2" s="77">
        <f t="shared" ref="L2:L11" si="0">K2*0.9</f>
        <v>32.103000000000002</v>
      </c>
      <c r="M2" s="78" t="b">
        <f t="shared" ref="M2:M11" si="1">L2&gt;C2</f>
        <v>0</v>
      </c>
    </row>
    <row r="3" spans="1:13" ht="20.100000000000001" customHeight="1" x14ac:dyDescent="0.25">
      <c r="A3" s="81" t="s">
        <v>247</v>
      </c>
      <c r="B3" s="2" t="s">
        <v>252</v>
      </c>
      <c r="C3" s="4">
        <v>36.770000000000003</v>
      </c>
      <c r="D3" s="4">
        <v>36.590000000000003</v>
      </c>
      <c r="E3" s="4">
        <v>37.159999999999997</v>
      </c>
      <c r="F3" s="5">
        <v>37.29</v>
      </c>
      <c r="G3" s="6">
        <v>-1.394475730758906E-2</v>
      </c>
      <c r="H3" s="4" t="s">
        <v>789</v>
      </c>
      <c r="I3" s="5">
        <v>2.1800000000000002</v>
      </c>
      <c r="J3" s="4">
        <v>5.99</v>
      </c>
      <c r="K3" s="4">
        <v>41.74</v>
      </c>
      <c r="L3" s="77">
        <f t="shared" si="0"/>
        <v>37.566000000000003</v>
      </c>
      <c r="M3" s="78" t="b">
        <f t="shared" si="1"/>
        <v>1</v>
      </c>
    </row>
    <row r="4" spans="1:13" ht="20.100000000000001" customHeight="1" x14ac:dyDescent="0.25">
      <c r="A4" s="59" t="s">
        <v>248</v>
      </c>
      <c r="B4" s="2" t="s">
        <v>253</v>
      </c>
      <c r="C4" s="4">
        <v>51</v>
      </c>
      <c r="D4" s="4">
        <v>50.9</v>
      </c>
      <c r="E4" s="4">
        <v>51.7</v>
      </c>
      <c r="F4" s="5">
        <v>51.71</v>
      </c>
      <c r="G4" s="6">
        <v>-1.3730419648037147E-2</v>
      </c>
      <c r="H4" s="4" t="s">
        <v>790</v>
      </c>
      <c r="I4" s="5">
        <v>0</v>
      </c>
      <c r="J4" s="4">
        <v>2.79</v>
      </c>
      <c r="K4" s="4">
        <v>49.23</v>
      </c>
      <c r="L4" s="77">
        <f t="shared" si="0"/>
        <v>44.306999999999995</v>
      </c>
      <c r="M4" s="78" t="b">
        <f t="shared" si="1"/>
        <v>0</v>
      </c>
    </row>
    <row r="5" spans="1:13" ht="20.100000000000001" customHeight="1" x14ac:dyDescent="0.25">
      <c r="A5" s="81" t="s">
        <v>249</v>
      </c>
      <c r="B5" s="2" t="s">
        <v>254</v>
      </c>
      <c r="C5" s="4">
        <v>36.590000000000003</v>
      </c>
      <c r="D5" s="4">
        <v>36.51</v>
      </c>
      <c r="E5" s="4">
        <v>36.9</v>
      </c>
      <c r="F5" s="5">
        <v>36.99</v>
      </c>
      <c r="G5" s="6">
        <v>-1.0813733441470628E-2</v>
      </c>
      <c r="H5" s="4" t="s">
        <v>791</v>
      </c>
      <c r="I5" s="5">
        <v>1.0900000000000001</v>
      </c>
      <c r="J5" s="4">
        <v>9.7100000000000009</v>
      </c>
      <c r="K5" s="4">
        <v>41.18</v>
      </c>
      <c r="L5" s="77">
        <f t="shared" si="0"/>
        <v>37.061999999999998</v>
      </c>
      <c r="M5" s="78" t="b">
        <f t="shared" si="1"/>
        <v>1</v>
      </c>
    </row>
    <row r="6" spans="1:13" ht="20.100000000000001" customHeight="1" x14ac:dyDescent="0.25">
      <c r="A6" s="2" t="s">
        <v>250</v>
      </c>
      <c r="B6" s="2" t="s">
        <v>255</v>
      </c>
      <c r="C6" s="4">
        <v>17.149999999999999</v>
      </c>
      <c r="D6" s="4">
        <v>17.12</v>
      </c>
      <c r="E6" s="4">
        <v>17.559999999999999</v>
      </c>
      <c r="F6" s="5">
        <v>17.53</v>
      </c>
      <c r="G6" s="6">
        <v>-2.1677124928693812E-2</v>
      </c>
      <c r="H6" s="4" t="s">
        <v>792</v>
      </c>
      <c r="I6" s="5" t="s">
        <v>39</v>
      </c>
      <c r="J6" s="4">
        <v>7.62</v>
      </c>
      <c r="K6" s="4">
        <v>18.39</v>
      </c>
      <c r="L6" s="77">
        <f t="shared" si="0"/>
        <v>16.551000000000002</v>
      </c>
      <c r="M6" s="78" t="b">
        <f t="shared" si="1"/>
        <v>0</v>
      </c>
    </row>
    <row r="7" spans="1:13" ht="20.100000000000001" customHeight="1" x14ac:dyDescent="0.25">
      <c r="A7" s="2" t="s">
        <v>508</v>
      </c>
      <c r="B7" s="2" t="s">
        <v>509</v>
      </c>
      <c r="C7" s="4">
        <v>37.229999999999997</v>
      </c>
      <c r="D7" s="4">
        <v>37.200000000000003</v>
      </c>
      <c r="E7" s="4">
        <v>37.840000000000003</v>
      </c>
      <c r="F7" s="5">
        <v>37.880000000000003</v>
      </c>
      <c r="G7" s="6">
        <v>-1.7159450897571427E-2</v>
      </c>
      <c r="H7" s="4" t="s">
        <v>793</v>
      </c>
      <c r="I7" s="5" t="s">
        <v>39</v>
      </c>
      <c r="J7" s="4">
        <v>8.69</v>
      </c>
      <c r="K7" s="4">
        <v>44.16</v>
      </c>
      <c r="L7" s="77">
        <f t="shared" si="0"/>
        <v>39.744</v>
      </c>
      <c r="M7" s="78" t="b">
        <f t="shared" si="1"/>
        <v>1</v>
      </c>
    </row>
    <row r="8" spans="1:13" ht="20.100000000000001" customHeight="1" x14ac:dyDescent="0.25">
      <c r="A8" s="2" t="s">
        <v>510</v>
      </c>
      <c r="B8" s="2" t="s">
        <v>511</v>
      </c>
      <c r="C8" s="4">
        <v>22.29</v>
      </c>
      <c r="D8" s="4">
        <v>22.29</v>
      </c>
      <c r="E8" s="4">
        <v>22.52</v>
      </c>
      <c r="F8" s="5">
        <v>22.72</v>
      </c>
      <c r="G8" s="6">
        <v>-1.8926056338028158E-2</v>
      </c>
      <c r="H8" s="4" t="s">
        <v>39</v>
      </c>
      <c r="I8" s="5" t="s">
        <v>39</v>
      </c>
      <c r="J8" s="4" t="s">
        <v>39</v>
      </c>
      <c r="K8" s="4">
        <v>23.28</v>
      </c>
      <c r="L8" s="77">
        <f t="shared" si="0"/>
        <v>20.952000000000002</v>
      </c>
      <c r="M8" s="78" t="b">
        <f t="shared" si="1"/>
        <v>0</v>
      </c>
    </row>
    <row r="9" spans="1:13" ht="20.100000000000001" customHeight="1" x14ac:dyDescent="0.25">
      <c r="A9" s="2" t="s">
        <v>512</v>
      </c>
      <c r="B9" s="2" t="s">
        <v>513</v>
      </c>
      <c r="C9" s="4">
        <v>25.03</v>
      </c>
      <c r="D9" s="4">
        <v>24.87</v>
      </c>
      <c r="E9" s="4">
        <v>25.15</v>
      </c>
      <c r="F9" s="5">
        <v>25.1</v>
      </c>
      <c r="G9" s="6">
        <v>-2.7888446215139553E-3</v>
      </c>
      <c r="H9" s="4" t="s">
        <v>794</v>
      </c>
      <c r="I9" s="5">
        <v>0</v>
      </c>
      <c r="J9" s="4">
        <v>10.43</v>
      </c>
      <c r="K9" s="4">
        <v>27.16</v>
      </c>
      <c r="L9" s="77">
        <f t="shared" si="0"/>
        <v>24.443999999999999</v>
      </c>
      <c r="M9" s="78" t="b">
        <f t="shared" si="1"/>
        <v>0</v>
      </c>
    </row>
    <row r="10" spans="1:13" ht="20.100000000000001" customHeight="1" x14ac:dyDescent="0.25">
      <c r="A10" s="2" t="s">
        <v>695</v>
      </c>
      <c r="B10" s="2" t="s">
        <v>696</v>
      </c>
      <c r="C10" s="4">
        <v>65.7</v>
      </c>
      <c r="D10" s="4">
        <v>65.63</v>
      </c>
      <c r="E10" s="4">
        <v>66.87</v>
      </c>
      <c r="F10" s="5">
        <v>66.81</v>
      </c>
      <c r="G10" s="6">
        <v>-1.6614279299506055E-2</v>
      </c>
      <c r="H10" s="4" t="s">
        <v>606</v>
      </c>
      <c r="I10" s="5">
        <v>1.65</v>
      </c>
      <c r="J10" s="4">
        <v>9.1</v>
      </c>
      <c r="K10" s="4">
        <v>69.59</v>
      </c>
      <c r="L10" s="103">
        <f t="shared" si="0"/>
        <v>62.631000000000007</v>
      </c>
      <c r="M10" s="104" t="b">
        <f>L10&gt;C10</f>
        <v>0</v>
      </c>
    </row>
    <row r="11" spans="1:13" ht="20.100000000000001" customHeight="1" x14ac:dyDescent="0.25">
      <c r="A11" s="2" t="s">
        <v>537</v>
      </c>
      <c r="B11" s="2" t="s">
        <v>538</v>
      </c>
      <c r="C11" s="4">
        <v>46.36</v>
      </c>
      <c r="D11" s="4">
        <v>45.84</v>
      </c>
      <c r="E11" s="4">
        <v>46.67</v>
      </c>
      <c r="F11" s="5">
        <v>46.7</v>
      </c>
      <c r="G11" s="6">
        <v>-7.2805139186296226E-3</v>
      </c>
      <c r="H11" s="4" t="s">
        <v>795</v>
      </c>
      <c r="I11" s="5" t="s">
        <v>39</v>
      </c>
      <c r="J11" s="4">
        <v>10.98</v>
      </c>
      <c r="K11" s="4">
        <v>43.83</v>
      </c>
      <c r="L11" s="77">
        <f t="shared" si="0"/>
        <v>39.447000000000003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468</v>
      </c>
      <c r="B2" s="2" t="s">
        <v>472</v>
      </c>
      <c r="C2" s="4">
        <v>55.18</v>
      </c>
      <c r="D2" s="4">
        <v>55.05</v>
      </c>
      <c r="E2" s="4">
        <v>55.36</v>
      </c>
      <c r="F2" s="5">
        <v>55.47</v>
      </c>
      <c r="G2" s="6">
        <v>-5.2280511988462078E-3</v>
      </c>
      <c r="H2" s="4" t="s">
        <v>796</v>
      </c>
      <c r="I2" s="5">
        <v>1.1599999999999999</v>
      </c>
      <c r="J2" s="4">
        <v>25.55</v>
      </c>
      <c r="K2" s="4">
        <v>57.72</v>
      </c>
      <c r="L2" s="79">
        <f t="shared" ref="L2:L8" si="0">K2*0.89</f>
        <v>51.370800000000003</v>
      </c>
      <c r="M2" s="80" t="b">
        <f t="shared" ref="M2:M8" si="1">L2&gt;C2</f>
        <v>0</v>
      </c>
    </row>
    <row r="3" spans="1:13" ht="20.100000000000001" customHeight="1" x14ac:dyDescent="0.25">
      <c r="A3" s="2" t="s">
        <v>469</v>
      </c>
      <c r="B3" s="2" t="s">
        <v>473</v>
      </c>
      <c r="C3" s="4">
        <v>38.909999999999997</v>
      </c>
      <c r="D3" s="4">
        <v>38.29</v>
      </c>
      <c r="E3" s="4">
        <v>39.17</v>
      </c>
      <c r="F3" s="5">
        <v>38.56</v>
      </c>
      <c r="G3" s="6">
        <v>9.0767634854770299E-3</v>
      </c>
      <c r="H3" s="4" t="s">
        <v>797</v>
      </c>
      <c r="I3" s="5" t="s">
        <v>39</v>
      </c>
      <c r="J3" s="4">
        <v>100.28</v>
      </c>
      <c r="K3" s="4">
        <v>40.51</v>
      </c>
      <c r="L3" s="70">
        <f t="shared" si="0"/>
        <v>36.053899999999999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283</v>
      </c>
      <c r="C4" s="4">
        <v>35.04</v>
      </c>
      <c r="D4" s="4">
        <v>34.880000000000003</v>
      </c>
      <c r="E4" s="4">
        <v>35.74</v>
      </c>
      <c r="F4" s="5">
        <v>35.869999999999997</v>
      </c>
      <c r="G4" s="6">
        <v>-2.3139113465291284E-2</v>
      </c>
      <c r="H4" s="4" t="s">
        <v>798</v>
      </c>
      <c r="I4" s="5">
        <v>3.81</v>
      </c>
      <c r="J4" s="4">
        <v>21.24</v>
      </c>
      <c r="K4" s="4">
        <v>39.76</v>
      </c>
      <c r="L4" s="70">
        <f t="shared" si="0"/>
        <v>35.386400000000002</v>
      </c>
      <c r="M4" s="70" t="b">
        <f t="shared" si="1"/>
        <v>1</v>
      </c>
    </row>
    <row r="5" spans="1:13" ht="20.100000000000001" customHeight="1" x14ac:dyDescent="0.25">
      <c r="A5" s="2" t="s">
        <v>470</v>
      </c>
      <c r="B5" s="2" t="s">
        <v>474</v>
      </c>
      <c r="C5" s="4">
        <v>26.81</v>
      </c>
      <c r="D5" s="4">
        <v>26.46</v>
      </c>
      <c r="E5" s="4">
        <v>27.04</v>
      </c>
      <c r="F5" s="5">
        <v>27</v>
      </c>
      <c r="G5" s="6">
        <v>-7.0370370370370847E-3</v>
      </c>
      <c r="H5" s="4" t="s">
        <v>799</v>
      </c>
      <c r="I5" s="5" t="s">
        <v>39</v>
      </c>
      <c r="J5" s="4">
        <v>9.27</v>
      </c>
      <c r="K5" s="4">
        <v>34.49</v>
      </c>
      <c r="L5" s="70">
        <f t="shared" si="0"/>
        <v>30.696100000000001</v>
      </c>
      <c r="M5" s="70" t="b">
        <f t="shared" si="1"/>
        <v>1</v>
      </c>
    </row>
    <row r="6" spans="1:13" ht="20.100000000000001" customHeight="1" x14ac:dyDescent="0.25">
      <c r="A6" s="2" t="s">
        <v>471</v>
      </c>
      <c r="B6" s="2" t="s">
        <v>475</v>
      </c>
      <c r="C6" s="4">
        <v>22.95</v>
      </c>
      <c r="D6" s="4">
        <v>22.81</v>
      </c>
      <c r="E6" s="4">
        <v>23.39</v>
      </c>
      <c r="F6" s="5">
        <v>22.91</v>
      </c>
      <c r="G6" s="6">
        <v>1.745962461807034E-3</v>
      </c>
      <c r="H6" s="4" t="s">
        <v>800</v>
      </c>
      <c r="I6" s="5">
        <v>1.77</v>
      </c>
      <c r="J6" s="4">
        <v>57.81</v>
      </c>
      <c r="K6" s="4">
        <v>20.3</v>
      </c>
      <c r="L6" s="70">
        <f t="shared" si="0"/>
        <v>18.067</v>
      </c>
      <c r="M6" s="70" t="b">
        <f t="shared" si="1"/>
        <v>0</v>
      </c>
    </row>
    <row r="7" spans="1:13" ht="20.100000000000001" customHeight="1" x14ac:dyDescent="0.25">
      <c r="A7" s="2" t="s">
        <v>544</v>
      </c>
      <c r="B7" s="2" t="s">
        <v>546</v>
      </c>
      <c r="C7" s="4">
        <v>66.099999999999994</v>
      </c>
      <c r="D7" s="4">
        <v>65.3</v>
      </c>
      <c r="E7" s="4">
        <v>66.400000000000006</v>
      </c>
      <c r="F7" s="5">
        <v>65.900000000000006</v>
      </c>
      <c r="G7" s="6">
        <v>3.0349013657054416E-3</v>
      </c>
      <c r="H7" s="4" t="s">
        <v>801</v>
      </c>
      <c r="I7" s="5">
        <v>1.67</v>
      </c>
      <c r="J7" s="4">
        <v>16.440000000000001</v>
      </c>
      <c r="K7" s="4">
        <v>60.2</v>
      </c>
      <c r="L7" s="70">
        <f t="shared" si="0"/>
        <v>53.578000000000003</v>
      </c>
      <c r="M7" s="70" t="b">
        <f t="shared" si="1"/>
        <v>0</v>
      </c>
    </row>
    <row r="8" spans="1:13" ht="20.100000000000001" customHeight="1" x14ac:dyDescent="0.25">
      <c r="A8" s="2" t="s">
        <v>545</v>
      </c>
      <c r="B8" s="2" t="s">
        <v>547</v>
      </c>
      <c r="C8" s="4">
        <v>65.98</v>
      </c>
      <c r="D8" s="4">
        <v>65.760000000000005</v>
      </c>
      <c r="E8" s="4">
        <v>66.67</v>
      </c>
      <c r="F8" s="5">
        <v>66.05</v>
      </c>
      <c r="G8" s="6">
        <v>-1.059803179409435E-3</v>
      </c>
      <c r="H8" s="4" t="s">
        <v>802</v>
      </c>
      <c r="I8" s="5" t="s">
        <v>39</v>
      </c>
      <c r="J8" s="4">
        <v>33.85</v>
      </c>
      <c r="K8" s="4">
        <v>69.349999999999994</v>
      </c>
      <c r="L8" s="70">
        <f t="shared" si="0"/>
        <v>61.721499999999999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7"/>
  <sheetViews>
    <sheetView workbookViewId="0">
      <selection activeCell="G20" sqref="G20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127</v>
      </c>
      <c r="B2" s="2" t="s">
        <v>159</v>
      </c>
      <c r="C2" s="20">
        <v>31.77</v>
      </c>
      <c r="D2" s="20">
        <v>31.58</v>
      </c>
      <c r="E2" s="20">
        <v>31.95</v>
      </c>
      <c r="F2" s="5">
        <v>31.48</v>
      </c>
      <c r="G2" s="26">
        <v>9.2121982210927305E-3</v>
      </c>
      <c r="H2" s="6" t="s">
        <v>994</v>
      </c>
      <c r="I2" s="5">
        <v>4.8099999999999996</v>
      </c>
      <c r="J2" s="4">
        <v>4.07</v>
      </c>
      <c r="K2" s="4">
        <v>30.85</v>
      </c>
      <c r="L2" s="5">
        <f t="shared" ref="L2:L7" si="0">K2*0.9</f>
        <v>27.765000000000001</v>
      </c>
      <c r="M2" s="5" t="b">
        <f t="shared" ref="M2:M7" si="1">L2&gt;C2</f>
        <v>0</v>
      </c>
    </row>
    <row r="3" spans="1:13" ht="20.100000000000001" customHeight="1" x14ac:dyDescent="0.25">
      <c r="A3" s="2" t="s">
        <v>577</v>
      </c>
      <c r="B3" s="2" t="s">
        <v>579</v>
      </c>
      <c r="C3" s="20">
        <v>6.4</v>
      </c>
      <c r="D3" s="20">
        <v>6.14</v>
      </c>
      <c r="E3" s="20">
        <v>6.45</v>
      </c>
      <c r="F3" s="5">
        <v>6.14</v>
      </c>
      <c r="G3" s="26">
        <v>4.2345276872964278E-2</v>
      </c>
      <c r="H3" s="6" t="s">
        <v>995</v>
      </c>
      <c r="I3" s="5">
        <v>0</v>
      </c>
      <c r="J3" s="4">
        <v>12.21</v>
      </c>
      <c r="K3" s="4">
        <v>7.02</v>
      </c>
      <c r="L3" s="5">
        <f t="shared" si="0"/>
        <v>6.3179999999999996</v>
      </c>
      <c r="M3" s="5" t="b">
        <f t="shared" si="1"/>
        <v>0</v>
      </c>
    </row>
    <row r="4" spans="1:13" ht="20.100000000000001" customHeight="1" x14ac:dyDescent="0.25">
      <c r="A4" s="2" t="s">
        <v>578</v>
      </c>
      <c r="B4" s="2" t="s">
        <v>580</v>
      </c>
      <c r="C4" s="20">
        <v>204.03</v>
      </c>
      <c r="D4" s="20">
        <v>199.55</v>
      </c>
      <c r="E4" s="20">
        <v>204.98</v>
      </c>
      <c r="F4" s="5">
        <v>200.7</v>
      </c>
      <c r="G4" s="26">
        <v>1.659192825112114E-2</v>
      </c>
      <c r="H4" s="6" t="s">
        <v>996</v>
      </c>
      <c r="I4" s="5" t="s">
        <v>39</v>
      </c>
      <c r="J4" s="4" t="s">
        <v>39</v>
      </c>
      <c r="K4" s="4">
        <v>222.47</v>
      </c>
      <c r="L4" s="5">
        <f>K4*0.9</f>
        <v>200.22300000000001</v>
      </c>
      <c r="M4" s="5" t="b">
        <f>L4&gt;C4</f>
        <v>0</v>
      </c>
    </row>
    <row r="5" spans="1:13" ht="20.100000000000001" customHeight="1" x14ac:dyDescent="0.25">
      <c r="A5" s="2" t="s">
        <v>671</v>
      </c>
      <c r="B5" s="2" t="s">
        <v>672</v>
      </c>
      <c r="C5" s="20">
        <v>149.12</v>
      </c>
      <c r="D5" s="20">
        <v>146.26</v>
      </c>
      <c r="E5" s="20">
        <v>149.51</v>
      </c>
      <c r="F5" s="5">
        <v>146.74</v>
      </c>
      <c r="G5" s="26">
        <v>1.6219163145699846E-2</v>
      </c>
      <c r="H5" s="6" t="s">
        <v>997</v>
      </c>
      <c r="I5" s="5">
        <v>0.16</v>
      </c>
      <c r="J5" s="4">
        <v>24.08</v>
      </c>
      <c r="K5" s="4">
        <v>157.34</v>
      </c>
      <c r="L5" s="5">
        <f>K5*0.9</f>
        <v>141.60599999999999</v>
      </c>
      <c r="M5" s="5" t="b">
        <f>L5&gt;C5</f>
        <v>0</v>
      </c>
    </row>
    <row r="6" spans="1:13" ht="20.100000000000001" customHeight="1" x14ac:dyDescent="0.25">
      <c r="A6" s="71" t="s">
        <v>674</v>
      </c>
      <c r="B6" s="2" t="s">
        <v>675</v>
      </c>
      <c r="C6" s="20">
        <v>768.34</v>
      </c>
      <c r="D6" s="20">
        <v>762.69</v>
      </c>
      <c r="E6" s="20">
        <v>772.36</v>
      </c>
      <c r="F6" s="5">
        <v>765.76</v>
      </c>
      <c r="G6" s="26">
        <v>3.3692018386962505E-3</v>
      </c>
      <c r="H6" s="6" t="s">
        <v>998</v>
      </c>
      <c r="I6" s="5" t="s">
        <v>39</v>
      </c>
      <c r="J6" s="4">
        <v>18.88</v>
      </c>
      <c r="K6" s="4">
        <v>776.1</v>
      </c>
      <c r="L6" s="5">
        <f>K6*0.9</f>
        <v>698.49</v>
      </c>
      <c r="M6" s="5" t="b">
        <f>L6&gt;C6</f>
        <v>0</v>
      </c>
    </row>
    <row r="7" spans="1:13" ht="20.100000000000001" customHeight="1" x14ac:dyDescent="0.25">
      <c r="A7" s="81" t="s">
        <v>450</v>
      </c>
      <c r="B7" s="2" t="s">
        <v>452</v>
      </c>
      <c r="C7" s="20">
        <v>12.07</v>
      </c>
      <c r="D7" s="20">
        <v>11.99</v>
      </c>
      <c r="E7" s="20">
        <v>12.14</v>
      </c>
      <c r="F7" s="5">
        <v>11.97</v>
      </c>
      <c r="G7" s="26">
        <v>8.3542188805346401E-3</v>
      </c>
      <c r="H7" s="6" t="s">
        <v>999</v>
      </c>
      <c r="I7" s="5">
        <v>5.01</v>
      </c>
      <c r="J7" s="4">
        <v>5.69</v>
      </c>
      <c r="K7" s="4">
        <v>12.94</v>
      </c>
      <c r="L7" s="5">
        <f t="shared" si="0"/>
        <v>11.645999999999999</v>
      </c>
      <c r="M7" s="5" t="b">
        <f t="shared" si="1"/>
        <v>0</v>
      </c>
    </row>
  </sheetData>
  <conditionalFormatting sqref="G3:G6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80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M17" sqref="M17"/>
    </sheetView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106</v>
      </c>
      <c r="B2" s="2" t="s">
        <v>107</v>
      </c>
      <c r="C2" s="11">
        <v>63.27</v>
      </c>
      <c r="D2" s="4">
        <v>63.17</v>
      </c>
      <c r="E2" s="4">
        <v>63.79</v>
      </c>
      <c r="F2" s="5">
        <v>63.35</v>
      </c>
      <c r="G2" s="26">
        <v>-1.2628255722178104E-3</v>
      </c>
      <c r="H2" s="6" t="s">
        <v>805</v>
      </c>
      <c r="I2" s="5">
        <v>3.6</v>
      </c>
      <c r="J2" s="4">
        <v>18.25</v>
      </c>
      <c r="K2" s="4">
        <v>61.66</v>
      </c>
      <c r="L2" s="4">
        <f t="shared" ref="L2:L21" si="0">K2*0.89</f>
        <v>54.877399999999994</v>
      </c>
      <c r="M2" s="4" t="b">
        <f t="shared" ref="M2:M21" si="1">L2&gt;C2</f>
        <v>0</v>
      </c>
    </row>
    <row r="3" spans="1:13" ht="20.100000000000001" customHeight="1" x14ac:dyDescent="0.25">
      <c r="A3" s="2" t="s">
        <v>99</v>
      </c>
      <c r="B3" s="2" t="s">
        <v>108</v>
      </c>
      <c r="C3" s="4">
        <v>41.87</v>
      </c>
      <c r="D3" s="4">
        <v>40.83</v>
      </c>
      <c r="E3" s="4">
        <v>42.03</v>
      </c>
      <c r="F3" s="5">
        <v>41.12</v>
      </c>
      <c r="G3" s="6">
        <v>1.8239299610894943E-2</v>
      </c>
      <c r="H3" s="4" t="s">
        <v>806</v>
      </c>
      <c r="I3" s="5">
        <v>2.5299999999999998</v>
      </c>
      <c r="J3" s="4">
        <v>27.64</v>
      </c>
      <c r="K3" s="4">
        <v>41.08</v>
      </c>
      <c r="L3" s="4">
        <f t="shared" si="0"/>
        <v>36.561199999999999</v>
      </c>
      <c r="M3" s="4" t="b">
        <f t="shared" si="1"/>
        <v>0</v>
      </c>
    </row>
    <row r="4" spans="1:13" ht="20.100000000000001" customHeight="1" x14ac:dyDescent="0.25">
      <c r="A4" s="2" t="s">
        <v>98</v>
      </c>
      <c r="B4" s="2" t="s">
        <v>109</v>
      </c>
      <c r="C4" s="4">
        <v>245.19</v>
      </c>
      <c r="D4" s="4">
        <v>243.72</v>
      </c>
      <c r="E4" s="4">
        <v>246.7</v>
      </c>
      <c r="F4" s="5">
        <v>246.44</v>
      </c>
      <c r="G4" s="6">
        <v>-5.0722285343288431E-3</v>
      </c>
      <c r="H4" s="4" t="s">
        <v>807</v>
      </c>
      <c r="I4" s="5">
        <v>0.1</v>
      </c>
      <c r="J4" s="4">
        <v>23.34</v>
      </c>
      <c r="K4" s="4">
        <v>244.75</v>
      </c>
      <c r="L4" s="4">
        <f t="shared" si="0"/>
        <v>217.82750000000001</v>
      </c>
      <c r="M4" s="4" t="b">
        <f t="shared" si="1"/>
        <v>0</v>
      </c>
    </row>
    <row r="5" spans="1:13" ht="20.100000000000001" customHeight="1" x14ac:dyDescent="0.25">
      <c r="A5" s="2" t="s">
        <v>242</v>
      </c>
      <c r="B5" s="2" t="s">
        <v>243</v>
      </c>
      <c r="C5" s="20">
        <v>131.46</v>
      </c>
      <c r="D5" s="20">
        <v>128.41999999999999</v>
      </c>
      <c r="E5" s="20">
        <v>132.54</v>
      </c>
      <c r="F5" s="5">
        <v>129.69999999999999</v>
      </c>
      <c r="G5" s="26">
        <v>1.3569776407093443E-2</v>
      </c>
      <c r="H5" s="6" t="s">
        <v>808</v>
      </c>
      <c r="I5" s="5" t="s">
        <v>39</v>
      </c>
      <c r="J5" s="4">
        <v>330.3</v>
      </c>
      <c r="K5" s="4">
        <v>136.44</v>
      </c>
      <c r="L5" s="4">
        <f t="shared" si="0"/>
        <v>121.4316</v>
      </c>
      <c r="M5" s="4" t="b">
        <f t="shared" si="1"/>
        <v>0</v>
      </c>
    </row>
    <row r="6" spans="1:13" ht="20.100000000000001" customHeight="1" x14ac:dyDescent="0.25">
      <c r="A6" s="2" t="s">
        <v>101</v>
      </c>
      <c r="B6" s="2" t="s">
        <v>110</v>
      </c>
      <c r="C6" s="11">
        <v>172.96</v>
      </c>
      <c r="D6" s="4">
        <v>171.05</v>
      </c>
      <c r="E6" s="4">
        <v>173.39</v>
      </c>
      <c r="F6" s="5">
        <v>172.64</v>
      </c>
      <c r="G6" s="26">
        <v>1.853568118628485E-3</v>
      </c>
      <c r="H6" s="6" t="s">
        <v>809</v>
      </c>
      <c r="I6" s="5">
        <v>2.3199999999999998</v>
      </c>
      <c r="J6" s="4">
        <v>17.7</v>
      </c>
      <c r="K6" s="4">
        <v>158.72</v>
      </c>
      <c r="L6" s="4">
        <f t="shared" si="0"/>
        <v>141.26079999999999</v>
      </c>
      <c r="M6" s="4" t="b">
        <f t="shared" si="1"/>
        <v>0</v>
      </c>
    </row>
    <row r="7" spans="1:13" s="7" customFormat="1" ht="20.100000000000001" customHeight="1" x14ac:dyDescent="0.25">
      <c r="A7" s="1" t="s">
        <v>96</v>
      </c>
      <c r="B7" s="2" t="s">
        <v>339</v>
      </c>
      <c r="C7" s="4">
        <v>304.51</v>
      </c>
      <c r="D7" s="4">
        <v>300.17</v>
      </c>
      <c r="E7" s="4">
        <v>306.29000000000002</v>
      </c>
      <c r="F7" s="5">
        <v>302.82</v>
      </c>
      <c r="G7" s="6">
        <v>5.5808731259494012E-3</v>
      </c>
      <c r="H7" s="4" t="s">
        <v>810</v>
      </c>
      <c r="I7" s="5" t="s">
        <v>39</v>
      </c>
      <c r="J7" s="4">
        <v>17.79</v>
      </c>
      <c r="K7" s="4">
        <v>273.54000000000002</v>
      </c>
      <c r="L7" s="4">
        <f t="shared" si="0"/>
        <v>243.45060000000001</v>
      </c>
      <c r="M7" s="4" t="b">
        <f t="shared" si="1"/>
        <v>0</v>
      </c>
    </row>
    <row r="8" spans="1:13" ht="20.100000000000001" customHeight="1" x14ac:dyDescent="0.25">
      <c r="A8" s="1" t="s">
        <v>94</v>
      </c>
      <c r="B8" s="2" t="s">
        <v>111</v>
      </c>
      <c r="C8" s="4">
        <v>71.47</v>
      </c>
      <c r="D8" s="4">
        <v>68.2</v>
      </c>
      <c r="E8" s="4">
        <v>72.11</v>
      </c>
      <c r="F8" s="5">
        <v>70.040000000000006</v>
      </c>
      <c r="G8" s="6">
        <v>2.0416904625927934E-2</v>
      </c>
      <c r="H8" s="4" t="s">
        <v>563</v>
      </c>
      <c r="I8" s="5" t="s">
        <v>39</v>
      </c>
      <c r="J8" s="4" t="s">
        <v>39</v>
      </c>
      <c r="K8" s="4">
        <v>47.27</v>
      </c>
      <c r="L8" s="4">
        <f t="shared" si="0"/>
        <v>42.070300000000003</v>
      </c>
      <c r="M8" s="4" t="b">
        <f t="shared" si="1"/>
        <v>0</v>
      </c>
    </row>
    <row r="9" spans="1:13" s="7" customFormat="1" ht="20.100000000000001" customHeight="1" x14ac:dyDescent="0.25">
      <c r="A9" s="2" t="s">
        <v>105</v>
      </c>
      <c r="B9" s="2" t="s">
        <v>112</v>
      </c>
      <c r="C9" s="11">
        <v>108.54</v>
      </c>
      <c r="D9" s="4">
        <v>106.7</v>
      </c>
      <c r="E9" s="4">
        <v>108.88</v>
      </c>
      <c r="F9" s="5">
        <v>107.35</v>
      </c>
      <c r="G9" s="26">
        <v>1.1085235211923726E-2</v>
      </c>
      <c r="H9" s="6" t="s">
        <v>811</v>
      </c>
      <c r="I9" s="5" t="s">
        <v>39</v>
      </c>
      <c r="J9" s="4">
        <v>45.87</v>
      </c>
      <c r="K9" s="4">
        <v>104.86</v>
      </c>
      <c r="L9" s="4">
        <f t="shared" si="0"/>
        <v>93.325400000000002</v>
      </c>
      <c r="M9" s="4" t="b">
        <f t="shared" si="1"/>
        <v>0</v>
      </c>
    </row>
    <row r="10" spans="1:13" ht="20.100000000000001" customHeight="1" x14ac:dyDescent="0.25">
      <c r="A10" s="81" t="s">
        <v>95</v>
      </c>
      <c r="B10" s="2" t="s">
        <v>113</v>
      </c>
      <c r="C10" s="4">
        <v>78.8</v>
      </c>
      <c r="D10" s="4">
        <v>78.41</v>
      </c>
      <c r="E10" s="4">
        <v>79.19</v>
      </c>
      <c r="F10" s="5">
        <v>78.84</v>
      </c>
      <c r="G10" s="6">
        <v>-5.0735667174031272E-4</v>
      </c>
      <c r="H10" s="4" t="s">
        <v>812</v>
      </c>
      <c r="I10" s="5">
        <v>2.42</v>
      </c>
      <c r="J10" s="4">
        <v>6.92</v>
      </c>
      <c r="K10" s="4">
        <v>86.33</v>
      </c>
      <c r="L10" s="4">
        <f t="shared" si="0"/>
        <v>76.833699999999993</v>
      </c>
      <c r="M10" s="4" t="b">
        <f t="shared" si="1"/>
        <v>0</v>
      </c>
    </row>
    <row r="11" spans="1:13" ht="20.100000000000001" customHeight="1" x14ac:dyDescent="0.25">
      <c r="A11" s="2" t="s">
        <v>102</v>
      </c>
      <c r="B11" s="2" t="s">
        <v>114</v>
      </c>
      <c r="C11" s="11">
        <v>78.8</v>
      </c>
      <c r="D11" s="4">
        <v>78.17</v>
      </c>
      <c r="E11" s="4">
        <v>78.91</v>
      </c>
      <c r="F11" s="5">
        <v>78.819999999999993</v>
      </c>
      <c r="G11" s="26">
        <v>-2.5374270489718375E-4</v>
      </c>
      <c r="H11" s="6" t="s">
        <v>813</v>
      </c>
      <c r="I11" s="5">
        <v>2.59</v>
      </c>
      <c r="J11" s="4">
        <v>33.97</v>
      </c>
      <c r="K11" s="4">
        <v>76.540000000000006</v>
      </c>
      <c r="L11" s="4">
        <f t="shared" si="0"/>
        <v>68.12060000000001</v>
      </c>
      <c r="M11" s="4" t="b">
        <f t="shared" si="1"/>
        <v>0</v>
      </c>
    </row>
    <row r="12" spans="1:13" ht="20.100000000000001" customHeight="1" x14ac:dyDescent="0.25">
      <c r="A12" s="2" t="s">
        <v>691</v>
      </c>
      <c r="B12" s="2" t="s">
        <v>692</v>
      </c>
      <c r="C12" s="20">
        <v>408.63</v>
      </c>
      <c r="D12" s="20">
        <v>400.37</v>
      </c>
      <c r="E12" s="20">
        <v>411</v>
      </c>
      <c r="F12" s="5">
        <v>402.75</v>
      </c>
      <c r="G12" s="26">
        <v>1.4599627560521404E-2</v>
      </c>
      <c r="H12" s="6" t="s">
        <v>814</v>
      </c>
      <c r="I12" s="5" t="s">
        <v>39</v>
      </c>
      <c r="J12" s="4">
        <v>63.75</v>
      </c>
      <c r="K12" s="4">
        <v>389.43</v>
      </c>
      <c r="L12" s="20">
        <f>K12*0.89</f>
        <v>346.59270000000004</v>
      </c>
      <c r="M12" s="20" t="b">
        <f>L12&gt;C12</f>
        <v>0</v>
      </c>
    </row>
    <row r="13" spans="1:13" ht="20.100000000000001" customHeight="1" x14ac:dyDescent="0.25">
      <c r="A13" s="2" t="s">
        <v>103</v>
      </c>
      <c r="B13" s="2" t="s">
        <v>115</v>
      </c>
      <c r="C13" s="11">
        <v>62.28</v>
      </c>
      <c r="D13" s="4">
        <v>62.06</v>
      </c>
      <c r="E13" s="4">
        <v>62.62</v>
      </c>
      <c r="F13" s="5">
        <v>62.38</v>
      </c>
      <c r="G13" s="26">
        <v>-1.6030779095864286E-3</v>
      </c>
      <c r="H13" s="6" t="s">
        <v>815</v>
      </c>
      <c r="I13" s="5">
        <v>3</v>
      </c>
      <c r="J13" s="4">
        <v>34.159999999999997</v>
      </c>
      <c r="K13" s="4">
        <v>57.17</v>
      </c>
      <c r="L13" s="4">
        <f t="shared" si="0"/>
        <v>50.881300000000003</v>
      </c>
      <c r="M13" s="4" t="b">
        <f t="shared" si="1"/>
        <v>0</v>
      </c>
    </row>
    <row r="14" spans="1:13" ht="20.100000000000001" customHeight="1" x14ac:dyDescent="0.25">
      <c r="A14" s="1" t="s">
        <v>486</v>
      </c>
      <c r="B14" s="2" t="s">
        <v>487</v>
      </c>
      <c r="C14" s="11">
        <v>24.34</v>
      </c>
      <c r="D14" s="4">
        <v>22.66</v>
      </c>
      <c r="E14" s="4">
        <v>24.45</v>
      </c>
      <c r="F14" s="5">
        <v>21.24</v>
      </c>
      <c r="G14" s="26">
        <v>0.14595103578154434</v>
      </c>
      <c r="H14" s="6" t="s">
        <v>816</v>
      </c>
      <c r="I14" s="5" t="s">
        <v>39</v>
      </c>
      <c r="J14" s="4" t="s">
        <v>39</v>
      </c>
      <c r="K14" s="4">
        <v>18.3</v>
      </c>
      <c r="L14" s="4">
        <f t="shared" si="0"/>
        <v>16.287000000000003</v>
      </c>
      <c r="M14" s="4" t="b">
        <f t="shared" si="1"/>
        <v>0</v>
      </c>
    </row>
    <row r="15" spans="1:13" ht="20.100000000000001" customHeight="1" x14ac:dyDescent="0.25">
      <c r="A15" s="1" t="s">
        <v>97</v>
      </c>
      <c r="B15" s="2" t="s">
        <v>116</v>
      </c>
      <c r="C15" s="4">
        <v>1.71</v>
      </c>
      <c r="D15" s="4">
        <v>1.7</v>
      </c>
      <c r="E15" s="4">
        <v>1.75</v>
      </c>
      <c r="F15" s="5">
        <v>1.75</v>
      </c>
      <c r="G15" s="6">
        <v>-2.2857142857142878E-2</v>
      </c>
      <c r="H15" s="4" t="s">
        <v>817</v>
      </c>
      <c r="I15" s="5" t="s">
        <v>39</v>
      </c>
      <c r="J15" s="4" t="s">
        <v>39</v>
      </c>
      <c r="K15" s="4">
        <v>1.91</v>
      </c>
      <c r="L15" s="4">
        <f t="shared" si="0"/>
        <v>1.6999</v>
      </c>
      <c r="M15" s="4" t="b">
        <f t="shared" si="1"/>
        <v>0</v>
      </c>
    </row>
    <row r="16" spans="1:13" ht="20.100000000000001" customHeight="1" x14ac:dyDescent="0.25">
      <c r="A16" s="2" t="s">
        <v>100</v>
      </c>
      <c r="B16" s="2" t="s">
        <v>117</v>
      </c>
      <c r="C16" s="4">
        <v>33.94</v>
      </c>
      <c r="D16" s="4">
        <v>33.83</v>
      </c>
      <c r="E16" s="4">
        <v>34.22</v>
      </c>
      <c r="F16" s="5">
        <v>34.14</v>
      </c>
      <c r="G16" s="6">
        <v>-5.8582308142941667E-3</v>
      </c>
      <c r="H16" s="4" t="s">
        <v>818</v>
      </c>
      <c r="I16" s="5">
        <v>3.54</v>
      </c>
      <c r="J16" s="4">
        <v>30.09</v>
      </c>
      <c r="K16" s="4">
        <v>33.72</v>
      </c>
      <c r="L16" s="4">
        <f t="shared" si="0"/>
        <v>30.0108</v>
      </c>
      <c r="M16" s="4" t="b">
        <f t="shared" si="1"/>
        <v>0</v>
      </c>
    </row>
    <row r="17" spans="1:13" ht="20.100000000000001" customHeight="1" x14ac:dyDescent="0.25">
      <c r="A17" s="2" t="s">
        <v>244</v>
      </c>
      <c r="B17" s="2" t="s">
        <v>245</v>
      </c>
      <c r="C17" s="20">
        <v>55.6</v>
      </c>
      <c r="D17" s="20">
        <v>55.53</v>
      </c>
      <c r="E17" s="20">
        <v>56.41</v>
      </c>
      <c r="F17" s="5">
        <v>55.97</v>
      </c>
      <c r="G17" s="26">
        <v>-6.6106842951580745E-3</v>
      </c>
      <c r="H17" s="6" t="s">
        <v>819</v>
      </c>
      <c r="I17" s="5">
        <v>2.75</v>
      </c>
      <c r="J17" s="4">
        <v>32.51</v>
      </c>
      <c r="K17" s="4">
        <v>67.98</v>
      </c>
      <c r="L17" s="4">
        <f t="shared" si="0"/>
        <v>60.502200000000002</v>
      </c>
      <c r="M17" s="4" t="b">
        <f t="shared" si="1"/>
        <v>1</v>
      </c>
    </row>
    <row r="18" spans="1:13" ht="20.100000000000001" customHeight="1" x14ac:dyDescent="0.25">
      <c r="A18" s="82" t="s">
        <v>104</v>
      </c>
      <c r="B18" s="83" t="s">
        <v>340</v>
      </c>
      <c r="C18" s="84">
        <v>41.79</v>
      </c>
      <c r="D18" s="84">
        <v>40.93</v>
      </c>
      <c r="E18" s="84">
        <v>41.86</v>
      </c>
      <c r="F18" s="85">
        <v>41.49</v>
      </c>
      <c r="G18" s="86">
        <v>7.2306579898770099E-3</v>
      </c>
      <c r="H18" s="87" t="s">
        <v>820</v>
      </c>
      <c r="I18" s="85">
        <v>0</v>
      </c>
      <c r="J18" s="88">
        <v>26.45</v>
      </c>
      <c r="K18" s="88">
        <v>44.94</v>
      </c>
      <c r="L18" s="88">
        <f t="shared" si="0"/>
        <v>39.996600000000001</v>
      </c>
      <c r="M18" s="88" t="b">
        <f t="shared" si="1"/>
        <v>0</v>
      </c>
    </row>
    <row r="19" spans="1:13" ht="20.100000000000001" customHeight="1" x14ac:dyDescent="0.25">
      <c r="A19" s="83" t="s">
        <v>488</v>
      </c>
      <c r="B19" s="83" t="s">
        <v>490</v>
      </c>
      <c r="C19" s="84">
        <v>51.74</v>
      </c>
      <c r="D19" s="84">
        <v>51.45</v>
      </c>
      <c r="E19" s="84">
        <v>52.01</v>
      </c>
      <c r="F19" s="85">
        <v>51.9</v>
      </c>
      <c r="G19" s="86">
        <v>-3.0828516377648671E-3</v>
      </c>
      <c r="H19" s="87" t="s">
        <v>821</v>
      </c>
      <c r="I19" s="85">
        <v>2.62</v>
      </c>
      <c r="J19" s="88">
        <v>34.56</v>
      </c>
      <c r="K19" s="88">
        <v>53.45</v>
      </c>
      <c r="L19" s="88">
        <f t="shared" si="0"/>
        <v>47.570500000000003</v>
      </c>
      <c r="M19" s="88" t="b">
        <f t="shared" si="1"/>
        <v>0</v>
      </c>
    </row>
    <row r="20" spans="1:13" ht="20.100000000000001" customHeight="1" x14ac:dyDescent="0.25">
      <c r="A20" s="83" t="s">
        <v>489</v>
      </c>
      <c r="B20" s="83" t="s">
        <v>491</v>
      </c>
      <c r="C20" s="84">
        <v>93.3</v>
      </c>
      <c r="D20" s="84">
        <v>92.53</v>
      </c>
      <c r="E20" s="84">
        <v>94.71</v>
      </c>
      <c r="F20" s="85">
        <v>93.95</v>
      </c>
      <c r="G20" s="86">
        <v>-6.9185737094199645E-3</v>
      </c>
      <c r="H20" s="87" t="s">
        <v>822</v>
      </c>
      <c r="I20" s="85">
        <v>0.62</v>
      </c>
      <c r="J20" s="88" t="s">
        <v>39</v>
      </c>
      <c r="K20" s="88">
        <v>103.58</v>
      </c>
      <c r="L20" s="88">
        <f t="shared" si="0"/>
        <v>92.186199999999999</v>
      </c>
      <c r="M20" s="88" t="b">
        <f t="shared" si="1"/>
        <v>0</v>
      </c>
    </row>
    <row r="21" spans="1:13" ht="20.100000000000001" customHeight="1" x14ac:dyDescent="0.25">
      <c r="A21" s="83" t="s">
        <v>492</v>
      </c>
      <c r="B21" s="83" t="s">
        <v>548</v>
      </c>
      <c r="C21" s="84">
        <v>20.85</v>
      </c>
      <c r="D21" s="84">
        <v>20.170000000000002</v>
      </c>
      <c r="E21" s="84">
        <v>20.96</v>
      </c>
      <c r="F21" s="85">
        <v>20.69</v>
      </c>
      <c r="G21" s="86">
        <v>7.7332044465925629E-3</v>
      </c>
      <c r="H21" s="87" t="s">
        <v>823</v>
      </c>
      <c r="I21" s="85" t="s">
        <v>39</v>
      </c>
      <c r="J21" s="88" t="s">
        <v>39</v>
      </c>
      <c r="K21" s="88">
        <v>22.83</v>
      </c>
      <c r="L21" s="88">
        <f t="shared" si="0"/>
        <v>20.3187</v>
      </c>
      <c r="M21" s="88" t="b">
        <f t="shared" si="1"/>
        <v>0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K9" sqref="K9"/>
    </sheetView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712</v>
      </c>
      <c r="B2" s="2" t="s">
        <v>717</v>
      </c>
      <c r="C2" s="4">
        <v>28.13</v>
      </c>
      <c r="D2" s="4">
        <v>27.89</v>
      </c>
      <c r="E2" s="4">
        <v>28.41</v>
      </c>
      <c r="F2" s="5">
        <v>28.32</v>
      </c>
      <c r="G2" s="6">
        <v>-6.7090395480226437E-3</v>
      </c>
      <c r="H2" s="4" t="s">
        <v>824</v>
      </c>
      <c r="I2" s="5" t="s">
        <v>39</v>
      </c>
      <c r="J2" s="4">
        <v>36.869999999999997</v>
      </c>
      <c r="K2" s="4">
        <v>25.23</v>
      </c>
      <c r="L2" s="79">
        <f t="shared" ref="L2:L6" si="0">K2*0.89</f>
        <v>22.454699999999999</v>
      </c>
      <c r="M2" s="80" t="b">
        <f t="shared" ref="M2:M6" si="1">L2&gt;C2</f>
        <v>0</v>
      </c>
    </row>
    <row r="3" spans="1:13" ht="20.100000000000001" customHeight="1" x14ac:dyDescent="0.25">
      <c r="A3" s="2" t="s">
        <v>713</v>
      </c>
      <c r="B3" s="2" t="s">
        <v>718</v>
      </c>
      <c r="C3" s="11">
        <v>35.17</v>
      </c>
      <c r="D3" s="4">
        <v>34.799999999999997</v>
      </c>
      <c r="E3" s="4">
        <v>35.35</v>
      </c>
      <c r="F3" s="5">
        <v>35.590000000000003</v>
      </c>
      <c r="G3" s="26">
        <v>-1.1801067715650511E-2</v>
      </c>
      <c r="H3" s="6" t="s">
        <v>825</v>
      </c>
      <c r="I3" s="5">
        <v>1.1399999999999999</v>
      </c>
      <c r="J3" s="4">
        <v>23.31</v>
      </c>
      <c r="K3" s="4">
        <v>37.1</v>
      </c>
      <c r="L3" s="4">
        <f t="shared" si="0"/>
        <v>33.018999999999998</v>
      </c>
      <c r="M3" s="4" t="b">
        <f t="shared" si="1"/>
        <v>0</v>
      </c>
    </row>
    <row r="4" spans="1:13" ht="20.100000000000001" customHeight="1" x14ac:dyDescent="0.25">
      <c r="A4" s="2" t="s">
        <v>714</v>
      </c>
      <c r="B4" s="2" t="s">
        <v>720</v>
      </c>
      <c r="C4" s="4">
        <v>30.53</v>
      </c>
      <c r="D4" s="4">
        <v>30.41</v>
      </c>
      <c r="E4" s="4">
        <v>30.71</v>
      </c>
      <c r="F4" s="5">
        <v>30.93</v>
      </c>
      <c r="G4" s="6">
        <v>-1.2932428063368851E-2</v>
      </c>
      <c r="H4" s="4" t="s">
        <v>826</v>
      </c>
      <c r="I4" s="5">
        <v>0.91</v>
      </c>
      <c r="J4" s="4">
        <v>26.32</v>
      </c>
      <c r="K4" s="4">
        <v>28.45</v>
      </c>
      <c r="L4" s="4">
        <f t="shared" si="0"/>
        <v>25.320499999999999</v>
      </c>
      <c r="M4" s="4" t="b">
        <f t="shared" si="1"/>
        <v>0</v>
      </c>
    </row>
    <row r="5" spans="1:13" ht="20.100000000000001" customHeight="1" x14ac:dyDescent="0.25">
      <c r="A5" s="2" t="s">
        <v>715</v>
      </c>
      <c r="B5" s="2" t="s">
        <v>721</v>
      </c>
      <c r="C5" s="4">
        <v>33.18</v>
      </c>
      <c r="D5" s="4">
        <v>32.96</v>
      </c>
      <c r="E5" s="4">
        <v>33.35</v>
      </c>
      <c r="F5" s="5">
        <v>33.4</v>
      </c>
      <c r="G5" s="6">
        <v>-6.5868263473053551E-3</v>
      </c>
      <c r="H5" s="4" t="s">
        <v>827</v>
      </c>
      <c r="I5" s="5">
        <v>2.12</v>
      </c>
      <c r="J5" s="4">
        <v>20.36</v>
      </c>
      <c r="K5" s="4">
        <v>30.6</v>
      </c>
      <c r="L5" s="4">
        <f t="shared" si="0"/>
        <v>27.234000000000002</v>
      </c>
      <c r="M5" s="4" t="b">
        <f t="shared" si="1"/>
        <v>0</v>
      </c>
    </row>
    <row r="6" spans="1:13" ht="20.100000000000001" customHeight="1" x14ac:dyDescent="0.25">
      <c r="A6" s="2" t="s">
        <v>716</v>
      </c>
      <c r="B6" s="2" t="s">
        <v>722</v>
      </c>
      <c r="C6" s="20">
        <v>14.14</v>
      </c>
      <c r="D6" s="20">
        <v>14.11</v>
      </c>
      <c r="E6" s="20">
        <v>14.49</v>
      </c>
      <c r="F6" s="5">
        <v>14.5</v>
      </c>
      <c r="G6" s="26">
        <v>-2.4827586206896513E-2</v>
      </c>
      <c r="H6" s="6" t="s">
        <v>828</v>
      </c>
      <c r="I6" s="5" t="s">
        <v>39</v>
      </c>
      <c r="J6" s="4">
        <v>14.3</v>
      </c>
      <c r="K6" s="4">
        <v>13.4</v>
      </c>
      <c r="L6" s="4">
        <f t="shared" si="0"/>
        <v>11.926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style="3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7.8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638</v>
      </c>
      <c r="B2" s="2" t="s">
        <v>643</v>
      </c>
      <c r="C2" s="4">
        <v>44.34</v>
      </c>
      <c r="D2" s="4">
        <v>44.19</v>
      </c>
      <c r="E2" s="4">
        <v>44.95</v>
      </c>
      <c r="F2" s="5">
        <v>45.01</v>
      </c>
      <c r="G2" s="6">
        <v>-1.488558098200388E-2</v>
      </c>
      <c r="H2" s="4" t="s">
        <v>759</v>
      </c>
      <c r="I2" s="5">
        <v>0.36</v>
      </c>
      <c r="J2" s="4">
        <v>11.84</v>
      </c>
      <c r="K2" s="4">
        <v>46.47</v>
      </c>
      <c r="L2" s="79">
        <f t="shared" ref="L2:L7" si="0">K2*0.89</f>
        <v>41.3583</v>
      </c>
      <c r="M2" s="80" t="b">
        <f t="shared" ref="M2:M7" si="1">L2&gt;C2</f>
        <v>0</v>
      </c>
    </row>
    <row r="3" spans="1:13" ht="20.100000000000001" customHeight="1" x14ac:dyDescent="0.25">
      <c r="A3" s="2" t="s">
        <v>639</v>
      </c>
      <c r="B3" s="2" t="s">
        <v>644</v>
      </c>
      <c r="C3" s="11">
        <v>29.97</v>
      </c>
      <c r="D3" s="4">
        <v>29.88</v>
      </c>
      <c r="E3" s="4">
        <v>30.41</v>
      </c>
      <c r="F3" s="5">
        <v>30.47</v>
      </c>
      <c r="G3" s="26">
        <v>-1.6409583196586808E-2</v>
      </c>
      <c r="H3" s="6" t="s">
        <v>760</v>
      </c>
      <c r="I3" s="5">
        <v>1.05</v>
      </c>
      <c r="J3" s="4">
        <v>13.33</v>
      </c>
      <c r="K3" s="4">
        <v>31.05</v>
      </c>
      <c r="L3" s="4">
        <f t="shared" si="0"/>
        <v>27.634500000000003</v>
      </c>
      <c r="M3" s="4" t="b">
        <f t="shared" si="1"/>
        <v>0</v>
      </c>
    </row>
    <row r="4" spans="1:13" ht="20.100000000000001" customHeight="1" x14ac:dyDescent="0.25">
      <c r="A4" s="2" t="s">
        <v>640</v>
      </c>
      <c r="B4" s="2" t="s">
        <v>645</v>
      </c>
      <c r="C4" s="4">
        <v>29.37</v>
      </c>
      <c r="D4" s="4">
        <v>29.19</v>
      </c>
      <c r="E4" s="4">
        <v>29.61</v>
      </c>
      <c r="F4" s="5">
        <v>29.68</v>
      </c>
      <c r="G4" s="6">
        <v>-1.044474393530993E-2</v>
      </c>
      <c r="H4" s="4" t="s">
        <v>761</v>
      </c>
      <c r="I4" s="5" t="s">
        <v>39</v>
      </c>
      <c r="J4" s="4">
        <v>12.64</v>
      </c>
      <c r="K4" s="4">
        <v>28.42</v>
      </c>
      <c r="L4" s="4">
        <f t="shared" si="0"/>
        <v>25.293800000000001</v>
      </c>
      <c r="M4" s="4" t="b">
        <f t="shared" si="1"/>
        <v>0</v>
      </c>
    </row>
    <row r="5" spans="1:13" ht="20.100000000000001" customHeight="1" x14ac:dyDescent="0.25">
      <c r="A5" s="2" t="s">
        <v>641</v>
      </c>
      <c r="B5" s="2" t="s">
        <v>646</v>
      </c>
      <c r="C5" s="4">
        <v>19.57</v>
      </c>
      <c r="D5" s="4">
        <v>19.420000000000002</v>
      </c>
      <c r="E5" s="4">
        <v>19.829999999999998</v>
      </c>
      <c r="F5" s="5">
        <v>19.899999999999999</v>
      </c>
      <c r="G5" s="6">
        <v>-1.6582914572864236E-2</v>
      </c>
      <c r="H5" s="4" t="s">
        <v>762</v>
      </c>
      <c r="I5" s="5">
        <v>1.8</v>
      </c>
      <c r="J5" s="4">
        <v>12.88</v>
      </c>
      <c r="K5" s="4">
        <v>19.37</v>
      </c>
      <c r="L5" s="4">
        <f t="shared" si="0"/>
        <v>17.2393</v>
      </c>
      <c r="M5" s="4" t="b">
        <f t="shared" si="1"/>
        <v>0</v>
      </c>
    </row>
    <row r="6" spans="1:13" ht="20.100000000000001" customHeight="1" x14ac:dyDescent="0.25">
      <c r="A6" s="105" t="s">
        <v>758</v>
      </c>
      <c r="B6" s="2" t="s">
        <v>763</v>
      </c>
      <c r="C6" s="20">
        <v>33.36</v>
      </c>
      <c r="D6" s="20">
        <v>33.14</v>
      </c>
      <c r="E6" s="20">
        <v>34.090000000000003</v>
      </c>
      <c r="F6" s="5">
        <v>34.47</v>
      </c>
      <c r="G6" s="26">
        <v>-3.2201914708442109E-2</v>
      </c>
      <c r="H6" s="6" t="s">
        <v>598</v>
      </c>
      <c r="I6" s="5">
        <v>0.46</v>
      </c>
      <c r="J6" s="4">
        <v>13.22</v>
      </c>
      <c r="K6" s="4">
        <v>35.380000000000003</v>
      </c>
      <c r="L6" s="20">
        <f>K6*0.89</f>
        <v>31.488200000000003</v>
      </c>
      <c r="M6" s="20" t="b">
        <f>L6&gt;C6</f>
        <v>0</v>
      </c>
    </row>
    <row r="7" spans="1:13" ht="20.100000000000001" customHeight="1" x14ac:dyDescent="0.25">
      <c r="A7" s="2" t="s">
        <v>642</v>
      </c>
      <c r="B7" s="2" t="s">
        <v>647</v>
      </c>
      <c r="C7" s="20">
        <v>14.88</v>
      </c>
      <c r="D7" s="20">
        <v>14.82</v>
      </c>
      <c r="E7" s="20">
        <v>15.13</v>
      </c>
      <c r="F7" s="5">
        <v>15.19</v>
      </c>
      <c r="G7" s="26">
        <v>-2.0408163265306038E-2</v>
      </c>
      <c r="H7" s="6" t="s">
        <v>757</v>
      </c>
      <c r="I7" s="5">
        <v>0.66</v>
      </c>
      <c r="J7" s="4">
        <v>15.23</v>
      </c>
      <c r="K7" s="4">
        <v>14.54</v>
      </c>
      <c r="L7" s="4">
        <f t="shared" si="0"/>
        <v>12.9406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E13" sqref="E13"/>
    </sheetView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676</v>
      </c>
      <c r="B2" s="2" t="s">
        <v>679</v>
      </c>
      <c r="C2" s="4">
        <v>48.82</v>
      </c>
      <c r="D2" s="4">
        <v>48.46</v>
      </c>
      <c r="E2" s="4">
        <v>49.23</v>
      </c>
      <c r="F2" s="5">
        <v>48.26</v>
      </c>
      <c r="G2" s="6">
        <v>1.1603812681309621E-2</v>
      </c>
      <c r="H2" s="4" t="s">
        <v>990</v>
      </c>
      <c r="I2" s="5">
        <v>2.9</v>
      </c>
      <c r="J2" s="4">
        <v>15.18</v>
      </c>
      <c r="K2" s="4">
        <v>47.81</v>
      </c>
      <c r="L2" s="77">
        <f t="shared" ref="L2:L6" si="0">K2*0.89</f>
        <v>42.550900000000006</v>
      </c>
      <c r="M2" s="78" t="b">
        <f t="shared" ref="M2:M6" si="1">L2&gt;C2</f>
        <v>0</v>
      </c>
    </row>
    <row r="3" spans="1:13" ht="20.100000000000001" customHeight="1" x14ac:dyDescent="0.25">
      <c r="A3" s="2" t="s">
        <v>677</v>
      </c>
      <c r="B3" s="2" t="s">
        <v>680</v>
      </c>
      <c r="C3" s="4">
        <v>74.95</v>
      </c>
      <c r="D3" s="4">
        <v>73.959999999999994</v>
      </c>
      <c r="E3" s="4">
        <v>75.72</v>
      </c>
      <c r="F3" s="5">
        <v>74.25</v>
      </c>
      <c r="G3" s="6">
        <v>9.4276094276094652E-3</v>
      </c>
      <c r="H3" s="4" t="s">
        <v>935</v>
      </c>
      <c r="I3" s="5">
        <v>2.58</v>
      </c>
      <c r="J3" s="4">
        <v>21.39</v>
      </c>
      <c r="K3" s="4">
        <v>73.739999999999995</v>
      </c>
      <c r="L3" s="77">
        <f t="shared" si="0"/>
        <v>65.628599999999992</v>
      </c>
      <c r="M3" s="4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92.86</v>
      </c>
      <c r="D4" s="4">
        <v>92.21</v>
      </c>
      <c r="E4" s="4">
        <v>93.49</v>
      </c>
      <c r="F4" s="5">
        <v>91.8</v>
      </c>
      <c r="G4" s="6">
        <v>1.1546840958605689E-2</v>
      </c>
      <c r="H4" s="4" t="s">
        <v>991</v>
      </c>
      <c r="I4" s="5">
        <v>1.55</v>
      </c>
      <c r="J4" s="4">
        <v>16.690000000000001</v>
      </c>
      <c r="K4" s="4">
        <v>97.92</v>
      </c>
      <c r="L4" s="77">
        <f t="shared" si="0"/>
        <v>87.148800000000008</v>
      </c>
      <c r="M4" s="4" t="b">
        <f t="shared" si="1"/>
        <v>0</v>
      </c>
    </row>
    <row r="5" spans="1:13" ht="20.100000000000001" customHeight="1" x14ac:dyDescent="0.25">
      <c r="A5" s="71" t="s">
        <v>682</v>
      </c>
      <c r="B5" s="71" t="s">
        <v>683</v>
      </c>
      <c r="C5" s="72">
        <v>9</v>
      </c>
      <c r="D5" s="72">
        <v>8.9700000000000006</v>
      </c>
      <c r="E5" s="72">
        <v>9.1999999999999993</v>
      </c>
      <c r="F5" s="73">
        <v>9.1999999999999993</v>
      </c>
      <c r="G5" s="74">
        <v>-2.1739130434782532E-2</v>
      </c>
      <c r="H5" s="72" t="s">
        <v>992</v>
      </c>
      <c r="I5" s="73" t="s">
        <v>39</v>
      </c>
      <c r="J5" s="72">
        <v>41.86</v>
      </c>
      <c r="K5" s="72">
        <v>9.6199999999999992</v>
      </c>
      <c r="L5" s="101">
        <f>K5*0.89</f>
        <v>8.5617999999999999</v>
      </c>
      <c r="M5" s="102" t="b">
        <f>L5&gt;C5</f>
        <v>0</v>
      </c>
    </row>
    <row r="6" spans="1:13" ht="20.100000000000001" customHeight="1" x14ac:dyDescent="0.25">
      <c r="A6" s="81" t="s">
        <v>678</v>
      </c>
      <c r="B6" s="2" t="s">
        <v>681</v>
      </c>
      <c r="C6" s="4">
        <v>37.700000000000003</v>
      </c>
      <c r="D6" s="4">
        <v>36.93</v>
      </c>
      <c r="E6" s="4">
        <v>38</v>
      </c>
      <c r="F6" s="5">
        <v>37.159999999999997</v>
      </c>
      <c r="G6" s="6">
        <v>1.4531754574811795E-2</v>
      </c>
      <c r="H6" s="4" t="s">
        <v>993</v>
      </c>
      <c r="I6" s="5" t="s">
        <v>39</v>
      </c>
      <c r="J6" s="4">
        <v>16.98</v>
      </c>
      <c r="K6" s="4">
        <v>43.94</v>
      </c>
      <c r="L6" s="77">
        <f t="shared" si="0"/>
        <v>39.1066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212</v>
      </c>
      <c r="B2" s="2" t="s">
        <v>216</v>
      </c>
      <c r="C2" s="4">
        <v>150.75</v>
      </c>
      <c r="D2" s="4">
        <v>149.57</v>
      </c>
      <c r="E2" s="4">
        <v>151.66</v>
      </c>
      <c r="F2" s="5">
        <v>152.16</v>
      </c>
      <c r="G2" s="6">
        <v>-9.2665615141955607E-3</v>
      </c>
      <c r="H2" s="4" t="s">
        <v>830</v>
      </c>
      <c r="I2" s="5">
        <v>2.0299999999999998</v>
      </c>
      <c r="J2" s="4">
        <v>16.03</v>
      </c>
      <c r="K2" s="4">
        <v>141.62</v>
      </c>
      <c r="L2" s="77">
        <f t="shared" ref="L2:L10" si="0">K2*0.89</f>
        <v>126.04180000000001</v>
      </c>
      <c r="M2" s="78" t="b">
        <f t="shared" ref="M2:M10" si="1">L2&gt;C2</f>
        <v>0</v>
      </c>
    </row>
    <row r="3" spans="1:13" ht="20.100000000000001" customHeight="1" x14ac:dyDescent="0.25">
      <c r="A3" s="2" t="s">
        <v>213</v>
      </c>
      <c r="B3" s="2" t="s">
        <v>217</v>
      </c>
      <c r="C3" s="4">
        <v>211</v>
      </c>
      <c r="D3" s="4">
        <v>210.6</v>
      </c>
      <c r="E3" s="4">
        <v>211.91</v>
      </c>
      <c r="F3" s="5">
        <v>211.39</v>
      </c>
      <c r="G3" s="6">
        <v>-1.8449311698755209E-3</v>
      </c>
      <c r="H3" s="4" t="s">
        <v>831</v>
      </c>
      <c r="I3" s="5">
        <v>1.7</v>
      </c>
      <c r="J3" s="4">
        <v>18.98</v>
      </c>
      <c r="K3" s="4">
        <v>209.94</v>
      </c>
      <c r="L3" s="77">
        <f t="shared" si="0"/>
        <v>186.8466</v>
      </c>
      <c r="M3" s="4" t="b">
        <f t="shared" si="1"/>
        <v>0</v>
      </c>
    </row>
    <row r="4" spans="1:13" ht="20.100000000000001" customHeight="1" x14ac:dyDescent="0.25">
      <c r="A4" s="2" t="s">
        <v>214</v>
      </c>
      <c r="B4" s="2" t="s">
        <v>218</v>
      </c>
      <c r="C4" s="4">
        <v>136.76</v>
      </c>
      <c r="D4" s="4">
        <v>136.63999999999999</v>
      </c>
      <c r="E4" s="4">
        <v>137.5</v>
      </c>
      <c r="F4" s="5">
        <v>137.71</v>
      </c>
      <c r="G4" s="6">
        <v>-6.8985549342823107E-3</v>
      </c>
      <c r="H4" s="4" t="s">
        <v>832</v>
      </c>
      <c r="I4" s="5">
        <v>2.13</v>
      </c>
      <c r="J4" s="4">
        <v>19.11</v>
      </c>
      <c r="K4" s="4">
        <v>132.47</v>
      </c>
      <c r="L4" s="77">
        <f t="shared" si="0"/>
        <v>117.89830000000001</v>
      </c>
      <c r="M4" s="4" t="b">
        <f t="shared" si="1"/>
        <v>0</v>
      </c>
    </row>
    <row r="5" spans="1:13" ht="20.100000000000001" customHeight="1" x14ac:dyDescent="0.25">
      <c r="A5" s="2" t="s">
        <v>215</v>
      </c>
      <c r="B5" s="2" t="s">
        <v>219</v>
      </c>
      <c r="C5" s="4">
        <v>237.45</v>
      </c>
      <c r="D5" s="4">
        <v>237.25</v>
      </c>
      <c r="E5" s="4">
        <v>238.64</v>
      </c>
      <c r="F5" s="5">
        <v>239.09</v>
      </c>
      <c r="G5" s="6">
        <v>-6.8593416705007102E-3</v>
      </c>
      <c r="H5" s="4" t="s">
        <v>833</v>
      </c>
      <c r="I5" s="5">
        <v>2.76</v>
      </c>
      <c r="J5" s="4">
        <v>19.77</v>
      </c>
      <c r="K5" s="4">
        <v>239</v>
      </c>
      <c r="L5" s="77">
        <f t="shared" si="0"/>
        <v>212.71</v>
      </c>
      <c r="M5" s="4" t="b">
        <f t="shared" si="1"/>
        <v>0</v>
      </c>
    </row>
    <row r="6" spans="1:13" ht="20.100000000000001" customHeight="1" x14ac:dyDescent="0.25">
      <c r="A6" s="2" t="s">
        <v>306</v>
      </c>
      <c r="B6" s="2" t="s">
        <v>307</v>
      </c>
      <c r="C6" s="4">
        <v>81.040000000000006</v>
      </c>
      <c r="D6" s="4">
        <v>80.98</v>
      </c>
      <c r="E6" s="4">
        <v>82.12</v>
      </c>
      <c r="F6" s="5">
        <v>82.33</v>
      </c>
      <c r="G6" s="6">
        <v>-1.5668650552653856E-2</v>
      </c>
      <c r="H6" s="4" t="s">
        <v>772</v>
      </c>
      <c r="I6" s="5">
        <v>1.6</v>
      </c>
      <c r="J6" s="4">
        <v>15.27</v>
      </c>
      <c r="K6" s="4">
        <v>87.65</v>
      </c>
      <c r="L6" s="77">
        <f t="shared" si="0"/>
        <v>78.008500000000012</v>
      </c>
      <c r="M6" s="4" t="b">
        <f t="shared" si="1"/>
        <v>0</v>
      </c>
    </row>
    <row r="7" spans="1:13" ht="20.100000000000001" customHeight="1" x14ac:dyDescent="0.25">
      <c r="A7" s="2" t="s">
        <v>549</v>
      </c>
      <c r="B7" s="2" t="s">
        <v>552</v>
      </c>
      <c r="C7" s="4">
        <v>89.36</v>
      </c>
      <c r="D7" s="4">
        <v>89.23</v>
      </c>
      <c r="E7" s="4">
        <v>90.3</v>
      </c>
      <c r="F7" s="5">
        <v>90.33</v>
      </c>
      <c r="G7" s="6">
        <v>-1.0738403631130287E-2</v>
      </c>
      <c r="H7" s="4" t="s">
        <v>834</v>
      </c>
      <c r="I7" s="5">
        <v>2.35</v>
      </c>
      <c r="J7" s="4">
        <v>34.61</v>
      </c>
      <c r="K7" s="4">
        <v>82.5</v>
      </c>
      <c r="L7" s="77">
        <f t="shared" si="0"/>
        <v>73.424999999999997</v>
      </c>
      <c r="M7" s="4" t="b">
        <f t="shared" si="1"/>
        <v>0</v>
      </c>
    </row>
    <row r="8" spans="1:13" ht="20.100000000000001" customHeight="1" x14ac:dyDescent="0.25">
      <c r="A8" s="2" t="s">
        <v>697</v>
      </c>
      <c r="B8" s="2" t="s">
        <v>698</v>
      </c>
      <c r="C8" s="4">
        <v>41.53</v>
      </c>
      <c r="D8" s="4">
        <v>41.22</v>
      </c>
      <c r="E8" s="4">
        <v>41.84</v>
      </c>
      <c r="F8" s="5">
        <v>41.78</v>
      </c>
      <c r="G8" s="6">
        <v>-5.983724269985639E-3</v>
      </c>
      <c r="H8" s="4" t="s">
        <v>835</v>
      </c>
      <c r="I8" s="5">
        <v>3.1</v>
      </c>
      <c r="J8" s="4">
        <v>10.91</v>
      </c>
      <c r="K8" s="4">
        <v>47.88</v>
      </c>
      <c r="L8" s="103">
        <f>K8*0.89</f>
        <v>42.613200000000006</v>
      </c>
      <c r="M8" s="20" t="b">
        <f>L8&gt;C8</f>
        <v>1</v>
      </c>
    </row>
    <row r="9" spans="1:13" ht="20.100000000000001" customHeight="1" x14ac:dyDescent="0.25">
      <c r="A9" s="2" t="s">
        <v>550</v>
      </c>
      <c r="B9" s="2" t="s">
        <v>553</v>
      </c>
      <c r="C9" s="4">
        <v>13.8</v>
      </c>
      <c r="D9" s="4">
        <v>13.73</v>
      </c>
      <c r="E9" s="4">
        <v>13.87</v>
      </c>
      <c r="F9" s="5">
        <v>13.87</v>
      </c>
      <c r="G9" s="6">
        <v>-5.0468637346790567E-3</v>
      </c>
      <c r="H9" s="4" t="s">
        <v>755</v>
      </c>
      <c r="I9" s="5">
        <v>1.75</v>
      </c>
      <c r="J9" s="4">
        <v>19.09</v>
      </c>
      <c r="K9" s="4">
        <v>12.48</v>
      </c>
      <c r="L9" s="77">
        <f t="shared" si="0"/>
        <v>11.107200000000001</v>
      </c>
      <c r="M9" s="4" t="b">
        <f t="shared" si="1"/>
        <v>0</v>
      </c>
    </row>
    <row r="10" spans="1:13" ht="20.100000000000001" customHeight="1" x14ac:dyDescent="0.25">
      <c r="A10" s="2" t="s">
        <v>551</v>
      </c>
      <c r="B10" s="2" t="s">
        <v>555</v>
      </c>
      <c r="C10" s="4">
        <v>103.77</v>
      </c>
      <c r="D10" s="4">
        <v>103.74</v>
      </c>
      <c r="E10" s="4">
        <v>105.37</v>
      </c>
      <c r="F10" s="5">
        <v>105.45</v>
      </c>
      <c r="G10" s="6">
        <v>-1.5931721194879154E-2</v>
      </c>
      <c r="H10" s="4" t="s">
        <v>836</v>
      </c>
      <c r="I10" s="5" t="s">
        <v>39</v>
      </c>
      <c r="J10" s="4">
        <v>19.5</v>
      </c>
      <c r="K10" s="4">
        <v>97.29</v>
      </c>
      <c r="L10" s="77">
        <f t="shared" si="0"/>
        <v>86.588100000000011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H16" sqref="H16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64.209999999999994</v>
      </c>
      <c r="D2" s="4">
        <v>63.75</v>
      </c>
      <c r="E2" s="4">
        <v>65.069999999999993</v>
      </c>
      <c r="F2" s="5">
        <v>64.5</v>
      </c>
      <c r="G2" s="6">
        <v>-4.4961240310078488E-3</v>
      </c>
      <c r="H2" s="4" t="s">
        <v>1000</v>
      </c>
      <c r="I2" s="5">
        <v>3.43</v>
      </c>
      <c r="J2" s="4">
        <v>15.85</v>
      </c>
      <c r="K2" s="4">
        <v>66.25</v>
      </c>
      <c r="L2" s="77">
        <f t="shared" ref="L2:L12" si="0">K2*0.89</f>
        <v>58.962499999999999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12.64</v>
      </c>
      <c r="D3" s="4">
        <v>12.54</v>
      </c>
      <c r="E3" s="4">
        <v>12.82</v>
      </c>
      <c r="F3" s="5">
        <v>12.76</v>
      </c>
      <c r="G3" s="6">
        <v>-9.4043887147334804E-3</v>
      </c>
      <c r="H3" s="4" t="s">
        <v>1001</v>
      </c>
      <c r="I3" s="5" t="s">
        <v>39</v>
      </c>
      <c r="J3" s="4" t="s">
        <v>39</v>
      </c>
      <c r="K3" s="4">
        <v>14.18</v>
      </c>
      <c r="L3" s="4">
        <f t="shared" si="0"/>
        <v>12.620200000000001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12.39</v>
      </c>
      <c r="D4" s="4">
        <v>11.69</v>
      </c>
      <c r="E4" s="4">
        <v>12.4</v>
      </c>
      <c r="F4" s="5">
        <v>12.04</v>
      </c>
      <c r="G4" s="6">
        <v>2.9069767441860586E-2</v>
      </c>
      <c r="H4" s="4" t="s">
        <v>837</v>
      </c>
      <c r="I4" s="5">
        <v>0</v>
      </c>
      <c r="J4" s="4" t="s">
        <v>39</v>
      </c>
      <c r="K4" s="4">
        <v>15.58</v>
      </c>
      <c r="L4" s="4">
        <f t="shared" si="0"/>
        <v>13.866200000000001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33.29</v>
      </c>
      <c r="D5" s="4">
        <v>33.01</v>
      </c>
      <c r="E5" s="4">
        <v>33.65</v>
      </c>
      <c r="F5" s="5">
        <v>33.29</v>
      </c>
      <c r="G5" s="6">
        <v>0</v>
      </c>
      <c r="H5" s="4" t="s">
        <v>1002</v>
      </c>
      <c r="I5" s="5">
        <v>3.74</v>
      </c>
      <c r="J5" s="4">
        <v>22.28</v>
      </c>
      <c r="K5" s="4">
        <v>34.96</v>
      </c>
      <c r="L5" s="4">
        <f t="shared" si="0"/>
        <v>31.1144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33.08</v>
      </c>
      <c r="D6" s="4">
        <v>32.9</v>
      </c>
      <c r="E6" s="4">
        <v>33.5</v>
      </c>
      <c r="F6" s="5">
        <v>33.17</v>
      </c>
      <c r="G6" s="6">
        <v>-2.7132951462165633E-3</v>
      </c>
      <c r="H6" s="4" t="s">
        <v>1003</v>
      </c>
      <c r="I6" s="5">
        <v>4.29</v>
      </c>
      <c r="J6" s="4" t="s">
        <v>39</v>
      </c>
      <c r="K6" s="4">
        <v>34.1</v>
      </c>
      <c r="L6" s="4">
        <f t="shared" si="0"/>
        <v>30.349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11.21</v>
      </c>
      <c r="D7" s="4">
        <v>11.04</v>
      </c>
      <c r="E7" s="4">
        <v>11.26</v>
      </c>
      <c r="F7" s="5">
        <v>11.1</v>
      </c>
      <c r="G7" s="6">
        <v>9.9099099099100186E-3</v>
      </c>
      <c r="H7" s="4" t="s">
        <v>1004</v>
      </c>
      <c r="I7" s="5">
        <v>1.05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41.87</v>
      </c>
      <c r="D8" s="4">
        <v>41.64</v>
      </c>
      <c r="E8" s="4">
        <v>42.52</v>
      </c>
      <c r="F8" s="5">
        <v>42.11</v>
      </c>
      <c r="G8" s="6">
        <v>-5.6993588221325572E-3</v>
      </c>
      <c r="H8" s="4" t="s">
        <v>1005</v>
      </c>
      <c r="I8" s="5">
        <v>3.84</v>
      </c>
      <c r="J8" s="4">
        <v>15.12</v>
      </c>
      <c r="K8" s="4">
        <v>44.83</v>
      </c>
      <c r="L8" s="4">
        <f t="shared" si="0"/>
        <v>39.898699999999998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13.85</v>
      </c>
      <c r="D9" s="4">
        <v>13.8</v>
      </c>
      <c r="E9" s="4">
        <v>13.86</v>
      </c>
      <c r="F9" s="5">
        <v>13.81</v>
      </c>
      <c r="G9" s="6">
        <v>2.8964518464879904E-3</v>
      </c>
      <c r="H9" s="4" t="s">
        <v>961</v>
      </c>
      <c r="I9" s="5" t="s">
        <v>39</v>
      </c>
      <c r="J9" s="4" t="s">
        <v>39</v>
      </c>
      <c r="K9" s="4">
        <v>12.6</v>
      </c>
      <c r="L9" s="4">
        <f t="shared" si="0"/>
        <v>11.214</v>
      </c>
      <c r="M9" s="4" t="b">
        <f t="shared" si="1"/>
        <v>0</v>
      </c>
    </row>
    <row r="10" spans="1:13" ht="20.100000000000001" customHeight="1" x14ac:dyDescent="0.25">
      <c r="A10" s="2" t="s">
        <v>269</v>
      </c>
      <c r="B10" s="2" t="s">
        <v>270</v>
      </c>
      <c r="C10" s="4">
        <v>122.32</v>
      </c>
      <c r="D10" s="4">
        <v>121.76</v>
      </c>
      <c r="E10" s="4">
        <v>124.88</v>
      </c>
      <c r="F10" s="5">
        <v>123.7</v>
      </c>
      <c r="G10" s="6">
        <v>-1.1156022635408323E-2</v>
      </c>
      <c r="H10" s="4" t="s">
        <v>1006</v>
      </c>
      <c r="I10" s="5">
        <v>2.75</v>
      </c>
      <c r="J10" s="4">
        <v>21.89</v>
      </c>
      <c r="K10" s="4">
        <v>122.6</v>
      </c>
      <c r="L10" s="4">
        <f t="shared" si="0"/>
        <v>109.11399999999999</v>
      </c>
      <c r="M10" s="4" t="b">
        <f t="shared" si="1"/>
        <v>0</v>
      </c>
    </row>
    <row r="11" spans="1:13" ht="20.100000000000001" customHeight="1" x14ac:dyDescent="0.25">
      <c r="A11" s="2" t="s">
        <v>271</v>
      </c>
      <c r="B11" s="2" t="s">
        <v>272</v>
      </c>
      <c r="C11" s="4">
        <v>23.23</v>
      </c>
      <c r="D11" s="4">
        <v>23.13</v>
      </c>
      <c r="E11" s="4">
        <v>23.77</v>
      </c>
      <c r="F11" s="5">
        <v>23.58</v>
      </c>
      <c r="G11" s="6">
        <v>-1.4843087362171242E-2</v>
      </c>
      <c r="H11" s="4" t="s">
        <v>1007</v>
      </c>
      <c r="I11" s="5">
        <v>4.2699999999999996</v>
      </c>
      <c r="J11" s="4" t="s">
        <v>39</v>
      </c>
      <c r="K11" s="4">
        <v>22.55</v>
      </c>
      <c r="L11" s="4">
        <f t="shared" si="0"/>
        <v>20.069500000000001</v>
      </c>
      <c r="M11" s="4" t="b">
        <f t="shared" si="1"/>
        <v>0</v>
      </c>
    </row>
    <row r="12" spans="1:13" ht="20.100000000000001" customHeight="1" x14ac:dyDescent="0.25">
      <c r="A12" s="28" t="s">
        <v>281</v>
      </c>
      <c r="B12" s="28" t="s">
        <v>282</v>
      </c>
      <c r="C12" s="29">
        <v>80.040000000000006</v>
      </c>
      <c r="D12" s="29">
        <v>79.510000000000005</v>
      </c>
      <c r="E12" s="29">
        <v>80.94</v>
      </c>
      <c r="F12" s="30">
        <v>80.31</v>
      </c>
      <c r="G12" s="31">
        <v>-3.3619723571161253E-3</v>
      </c>
      <c r="H12" s="29" t="s">
        <v>1008</v>
      </c>
      <c r="I12" s="30">
        <v>4.22</v>
      </c>
      <c r="J12" s="29">
        <v>21.16</v>
      </c>
      <c r="K12" s="29">
        <v>81.22</v>
      </c>
      <c r="L12" s="4">
        <f t="shared" si="0"/>
        <v>72.285799999999995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76.069999999999993</v>
      </c>
      <c r="D2" s="4">
        <v>75</v>
      </c>
      <c r="E2" s="4">
        <v>77.239999999999995</v>
      </c>
      <c r="F2" s="5">
        <v>77.02</v>
      </c>
      <c r="G2" s="6">
        <v>-1.2334458582186483E-2</v>
      </c>
      <c r="H2" s="4" t="s">
        <v>838</v>
      </c>
      <c r="I2" s="5">
        <v>1.45</v>
      </c>
      <c r="J2" s="4">
        <v>15.07</v>
      </c>
      <c r="K2" s="4">
        <v>69.06</v>
      </c>
      <c r="L2" s="79">
        <f t="shared" ref="L2:L8" si="0">K2*0.89</f>
        <v>61.4634</v>
      </c>
      <c r="M2" s="80" t="b">
        <f t="shared" ref="M2:M8" si="1">L2&gt;C2</f>
        <v>0</v>
      </c>
    </row>
    <row r="3" spans="1:13" ht="20.100000000000001" customHeight="1" x14ac:dyDescent="0.25">
      <c r="A3" s="1" t="s">
        <v>433</v>
      </c>
      <c r="B3" s="2" t="s">
        <v>437</v>
      </c>
      <c r="C3" s="4">
        <v>114.92</v>
      </c>
      <c r="D3" s="4">
        <v>114.04</v>
      </c>
      <c r="E3" s="4">
        <v>116.13</v>
      </c>
      <c r="F3" s="5">
        <v>115.57</v>
      </c>
      <c r="G3" s="6">
        <v>-5.6242969628795669E-3</v>
      </c>
      <c r="H3" s="4" t="s">
        <v>839</v>
      </c>
      <c r="I3" s="5">
        <v>1.97</v>
      </c>
      <c r="J3" s="4">
        <v>13.4</v>
      </c>
      <c r="K3" s="4">
        <v>101.83</v>
      </c>
      <c r="L3" s="70">
        <f t="shared" si="0"/>
        <v>90.628699999999995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353</v>
      </c>
      <c r="C4" s="4">
        <v>171.24</v>
      </c>
      <c r="D4" s="4">
        <v>169.85</v>
      </c>
      <c r="E4" s="4">
        <v>172.99</v>
      </c>
      <c r="F4" s="5">
        <v>172.72</v>
      </c>
      <c r="G4" s="6">
        <v>-8.5687818434459807E-3</v>
      </c>
      <c r="H4" s="4" t="s">
        <v>840</v>
      </c>
      <c r="I4" s="5">
        <v>1.2</v>
      </c>
      <c r="J4" s="4" t="s">
        <v>39</v>
      </c>
      <c r="K4" s="4">
        <v>156.76</v>
      </c>
      <c r="L4" s="70">
        <f t="shared" si="0"/>
        <v>139.5164</v>
      </c>
      <c r="M4" s="70" t="b">
        <f t="shared" si="1"/>
        <v>0</v>
      </c>
    </row>
    <row r="5" spans="1:13" ht="20.100000000000001" customHeight="1" x14ac:dyDescent="0.25">
      <c r="A5" s="2" t="s">
        <v>434</v>
      </c>
      <c r="B5" s="2" t="s">
        <v>438</v>
      </c>
      <c r="C5" s="4">
        <v>62.05</v>
      </c>
      <c r="D5" s="4">
        <v>61.46</v>
      </c>
      <c r="E5" s="4">
        <v>62.85</v>
      </c>
      <c r="F5" s="5">
        <v>62.65</v>
      </c>
      <c r="G5" s="6">
        <v>-9.577015163607365E-3</v>
      </c>
      <c r="H5" s="4" t="s">
        <v>841</v>
      </c>
      <c r="I5" s="5">
        <v>2.68</v>
      </c>
      <c r="J5" s="4">
        <v>29.31</v>
      </c>
      <c r="K5" s="4">
        <v>58.87</v>
      </c>
      <c r="L5" s="70">
        <f t="shared" si="0"/>
        <v>52.394300000000001</v>
      </c>
      <c r="M5" s="70" t="b">
        <f t="shared" si="1"/>
        <v>0</v>
      </c>
    </row>
    <row r="6" spans="1:13" ht="20.100000000000001" customHeight="1" x14ac:dyDescent="0.25">
      <c r="A6" s="2" t="s">
        <v>435</v>
      </c>
      <c r="B6" s="2" t="s">
        <v>439</v>
      </c>
      <c r="C6" s="4">
        <v>69.36</v>
      </c>
      <c r="D6" s="4">
        <v>68.48</v>
      </c>
      <c r="E6" s="4">
        <v>69.97</v>
      </c>
      <c r="F6" s="5">
        <v>69.22</v>
      </c>
      <c r="G6" s="6">
        <v>2.0225368390638628E-3</v>
      </c>
      <c r="H6" s="4" t="s">
        <v>842</v>
      </c>
      <c r="I6" s="5">
        <v>2.2400000000000002</v>
      </c>
      <c r="J6" s="4">
        <v>23.37</v>
      </c>
      <c r="K6" s="4">
        <v>61.97</v>
      </c>
      <c r="L6" s="70">
        <f t="shared" si="0"/>
        <v>55.153300000000002</v>
      </c>
      <c r="M6" s="70" t="b">
        <f t="shared" si="1"/>
        <v>0</v>
      </c>
    </row>
    <row r="7" spans="1:13" ht="20.100000000000001" customHeight="1" x14ac:dyDescent="0.25">
      <c r="A7" s="2" t="s">
        <v>436</v>
      </c>
      <c r="B7" s="2" t="s">
        <v>440</v>
      </c>
      <c r="C7" s="4">
        <v>55.76</v>
      </c>
      <c r="D7" s="4">
        <v>54.98</v>
      </c>
      <c r="E7" s="4">
        <v>56.67</v>
      </c>
      <c r="F7" s="5">
        <v>56.53</v>
      </c>
      <c r="G7" s="6">
        <v>-1.3621086148947517E-2</v>
      </c>
      <c r="H7" s="4" t="s">
        <v>843</v>
      </c>
      <c r="I7" s="5" t="s">
        <v>39</v>
      </c>
      <c r="J7" s="4" t="s">
        <v>39</v>
      </c>
      <c r="K7" s="4">
        <v>52.45</v>
      </c>
      <c r="L7" s="70">
        <f t="shared" si="0"/>
        <v>46.680500000000002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62.99</v>
      </c>
      <c r="D8" s="4">
        <v>62.37</v>
      </c>
      <c r="E8" s="4">
        <v>63.44</v>
      </c>
      <c r="F8" s="5">
        <v>62.54</v>
      </c>
      <c r="G8" s="6">
        <v>7.1953949472338156E-3</v>
      </c>
      <c r="H8" s="4" t="s">
        <v>844</v>
      </c>
      <c r="I8" s="5">
        <v>3.44</v>
      </c>
      <c r="J8" s="4">
        <v>18.45</v>
      </c>
      <c r="K8" s="4">
        <v>55.27</v>
      </c>
      <c r="L8" s="70">
        <f t="shared" si="0"/>
        <v>49.190300000000001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/>
  </sheetViews>
  <sheetFormatPr defaultColWidth="9.125" defaultRowHeight="20.100000000000001" customHeight="1" x14ac:dyDescent="0.25"/>
  <cols>
    <col min="1" max="1" width="9.125" style="2" bestFit="1" customWidth="1"/>
    <col min="2" max="2" width="36.875" style="2" bestFit="1" customWidth="1"/>
    <col min="3" max="3" width="14" style="2" bestFit="1" customWidth="1"/>
    <col min="4" max="4" width="11.875" style="2" bestFit="1" customWidth="1"/>
    <col min="5" max="5" width="12.25" style="2" bestFit="1" customWidth="1"/>
    <col min="6" max="6" width="16.875" style="9" bestFit="1" customWidth="1"/>
    <col min="7" max="7" width="12.125" style="32" bestFit="1" customWidth="1"/>
    <col min="8" max="8" width="14" style="2" customWidth="1"/>
    <col min="9" max="9" width="11.125" style="9" bestFit="1" customWidth="1"/>
    <col min="10" max="10" width="9" style="2" bestFit="1" customWidth="1"/>
    <col min="11" max="16384" width="9.1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57.52</v>
      </c>
      <c r="D2" s="4">
        <v>55.8</v>
      </c>
      <c r="E2" s="4">
        <v>57.68</v>
      </c>
      <c r="F2" s="5">
        <v>56.93</v>
      </c>
      <c r="G2" s="6">
        <v>1.036360442648873E-2</v>
      </c>
      <c r="H2" s="4" t="s">
        <v>845</v>
      </c>
      <c r="I2" s="5">
        <v>0.36</v>
      </c>
      <c r="J2" s="4" t="s">
        <v>39</v>
      </c>
      <c r="K2" s="4">
        <v>51.3</v>
      </c>
      <c r="L2" s="79">
        <f t="shared" ref="L2:L17" si="0">K2*0.9</f>
        <v>46.17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7.35</v>
      </c>
      <c r="D3" s="4">
        <v>7.06</v>
      </c>
      <c r="E3" s="4">
        <v>7.37</v>
      </c>
      <c r="F3" s="5">
        <v>7.25</v>
      </c>
      <c r="G3" s="6">
        <v>1.3793103448275813E-2</v>
      </c>
      <c r="H3" s="4" t="s">
        <v>846</v>
      </c>
      <c r="I3" s="5">
        <v>0</v>
      </c>
      <c r="J3" s="4" t="s">
        <v>39</v>
      </c>
      <c r="K3" s="4">
        <v>4.9800000000000004</v>
      </c>
      <c r="L3" s="4">
        <f t="shared" si="0"/>
        <v>4.4820000000000002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24.3</v>
      </c>
      <c r="D4" s="4">
        <v>24.02</v>
      </c>
      <c r="E4" s="4">
        <v>24.74</v>
      </c>
      <c r="F4" s="5">
        <v>25.04</v>
      </c>
      <c r="G4" s="6">
        <v>-2.9552715654952016E-2</v>
      </c>
      <c r="H4" s="4" t="s">
        <v>847</v>
      </c>
      <c r="I4" s="5">
        <v>0.32</v>
      </c>
      <c r="J4" s="4" t="s">
        <v>39</v>
      </c>
      <c r="K4" s="4">
        <v>24.03</v>
      </c>
      <c r="L4" s="4">
        <f t="shared" si="0"/>
        <v>21.627000000000002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39.869999999999997</v>
      </c>
      <c r="D5" s="4">
        <v>39.5</v>
      </c>
      <c r="E5" s="4">
        <v>39.979999999999997</v>
      </c>
      <c r="F5" s="5">
        <v>40.03</v>
      </c>
      <c r="G5" s="6">
        <v>-3.9970022483138568E-3</v>
      </c>
      <c r="H5" s="4" t="s">
        <v>848</v>
      </c>
      <c r="I5" s="5">
        <v>3.73</v>
      </c>
      <c r="J5" s="4" t="s">
        <v>39</v>
      </c>
      <c r="K5" s="4">
        <v>42.52</v>
      </c>
      <c r="L5" s="4">
        <f t="shared" si="0"/>
        <v>38.268000000000001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40.99</v>
      </c>
      <c r="D6" s="4">
        <v>39.92</v>
      </c>
      <c r="E6" s="4">
        <v>41.13</v>
      </c>
      <c r="F6" s="5">
        <v>40.9</v>
      </c>
      <c r="G6" s="6">
        <v>2.2004889975550958E-3</v>
      </c>
      <c r="H6" s="4" t="s">
        <v>849</v>
      </c>
      <c r="I6" s="5">
        <v>0.6</v>
      </c>
      <c r="J6" s="4" t="s">
        <v>39</v>
      </c>
      <c r="K6" s="4">
        <v>34.78</v>
      </c>
      <c r="L6" s="4">
        <f t="shared" si="0"/>
        <v>31.302000000000003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90.97</v>
      </c>
      <c r="D7" s="4">
        <v>89.27</v>
      </c>
      <c r="E7" s="4">
        <v>91.46</v>
      </c>
      <c r="F7" s="5">
        <v>90.95</v>
      </c>
      <c r="G7" s="6">
        <v>2.1990104452991775E-4</v>
      </c>
      <c r="H7" s="4" t="s">
        <v>850</v>
      </c>
      <c r="I7" s="5">
        <v>0.74</v>
      </c>
      <c r="J7" s="4" t="s">
        <v>39</v>
      </c>
      <c r="K7" s="4">
        <v>81.39</v>
      </c>
      <c r="L7" s="4">
        <f t="shared" si="0"/>
        <v>73.251000000000005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46.48</v>
      </c>
      <c r="D8" s="4">
        <v>45.66</v>
      </c>
      <c r="E8" s="4">
        <v>46.79</v>
      </c>
      <c r="F8" s="5">
        <v>46.65</v>
      </c>
      <c r="G8" s="6">
        <v>-3.6441586280814941E-3</v>
      </c>
      <c r="H8" s="4" t="s">
        <v>851</v>
      </c>
      <c r="I8" s="5">
        <v>2.13</v>
      </c>
      <c r="J8" s="4" t="s">
        <v>39</v>
      </c>
      <c r="K8" s="4">
        <v>55.52</v>
      </c>
      <c r="L8" s="4">
        <f t="shared" si="0"/>
        <v>49.968000000000004</v>
      </c>
      <c r="M8" s="4" t="b">
        <f t="shared" si="1"/>
        <v>1</v>
      </c>
    </row>
    <row r="9" spans="1:13" ht="20.100000000000001" customHeight="1" x14ac:dyDescent="0.25">
      <c r="A9" s="81" t="s">
        <v>17</v>
      </c>
      <c r="B9" s="2" t="s">
        <v>46</v>
      </c>
      <c r="C9" s="4">
        <v>14.24</v>
      </c>
      <c r="D9" s="4">
        <v>13.9</v>
      </c>
      <c r="E9" s="4">
        <v>14.28</v>
      </c>
      <c r="F9" s="5">
        <v>14.26</v>
      </c>
      <c r="G9" s="6">
        <v>-1.4025245441794932E-3</v>
      </c>
      <c r="H9" s="4" t="s">
        <v>852</v>
      </c>
      <c r="I9" s="5">
        <v>1.4</v>
      </c>
      <c r="J9" s="4" t="s">
        <v>39</v>
      </c>
      <c r="K9" s="4">
        <v>13.39</v>
      </c>
      <c r="L9" s="4">
        <f t="shared" si="0"/>
        <v>12.051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26.19</v>
      </c>
      <c r="D10" s="4">
        <v>25.17</v>
      </c>
      <c r="E10" s="4">
        <v>26.28</v>
      </c>
      <c r="F10" s="5">
        <v>25.89</v>
      </c>
      <c r="G10" s="26">
        <v>1.1587485515643132E-2</v>
      </c>
      <c r="H10" s="6" t="s">
        <v>853</v>
      </c>
      <c r="I10" s="5">
        <v>5.0599999999999996</v>
      </c>
      <c r="J10" s="4" t="s">
        <v>39</v>
      </c>
      <c r="K10" s="4">
        <v>28.61</v>
      </c>
      <c r="L10" s="4">
        <f t="shared" si="0"/>
        <v>25.748999999999999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33.799999999999997</v>
      </c>
      <c r="D11" s="4">
        <v>33.270000000000003</v>
      </c>
      <c r="E11" s="4">
        <v>33.880000000000003</v>
      </c>
      <c r="F11" s="5">
        <v>33.92</v>
      </c>
      <c r="G11" s="26">
        <v>-3.5377358490567379E-3</v>
      </c>
      <c r="H11" s="6" t="s">
        <v>854</v>
      </c>
      <c r="I11" s="5">
        <v>1.18</v>
      </c>
      <c r="J11" s="4" t="s">
        <v>39</v>
      </c>
      <c r="K11" s="4">
        <v>34.729999999999997</v>
      </c>
      <c r="L11" s="4">
        <f t="shared" si="0"/>
        <v>31.256999999999998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71.03</v>
      </c>
      <c r="D12" s="4">
        <v>70.930000000000007</v>
      </c>
      <c r="E12" s="4">
        <v>71.8</v>
      </c>
      <c r="F12" s="5">
        <v>72.27</v>
      </c>
      <c r="G12" s="26">
        <v>-1.7157880171578731E-2</v>
      </c>
      <c r="H12" s="6" t="s">
        <v>855</v>
      </c>
      <c r="I12" s="5">
        <v>4.2300000000000004</v>
      </c>
      <c r="J12" s="4" t="s">
        <v>39</v>
      </c>
      <c r="K12" s="4">
        <v>74.23</v>
      </c>
      <c r="L12" s="4">
        <f t="shared" si="0"/>
        <v>66.807000000000002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177.12</v>
      </c>
      <c r="D13" s="4">
        <v>174.09</v>
      </c>
      <c r="E13" s="4">
        <v>177.46</v>
      </c>
      <c r="F13" s="5">
        <v>178.48</v>
      </c>
      <c r="G13" s="26">
        <v>-7.6199013895113478E-3</v>
      </c>
      <c r="H13" s="6" t="s">
        <v>856</v>
      </c>
      <c r="I13" s="5">
        <v>0.05</v>
      </c>
      <c r="J13" s="4" t="s">
        <v>39</v>
      </c>
      <c r="K13" s="4">
        <v>157.31</v>
      </c>
      <c r="L13" s="4">
        <f t="shared" si="0"/>
        <v>141.57900000000001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37.380000000000003</v>
      </c>
      <c r="D14" s="4">
        <v>36.950000000000003</v>
      </c>
      <c r="E14" s="4">
        <v>38.39</v>
      </c>
      <c r="F14" s="5">
        <v>39.369999999999997</v>
      </c>
      <c r="G14" s="26">
        <v>-5.0546101092202055E-2</v>
      </c>
      <c r="H14" s="6" t="s">
        <v>857</v>
      </c>
      <c r="I14" s="5">
        <v>0.2</v>
      </c>
      <c r="J14" s="4" t="s">
        <v>39</v>
      </c>
      <c r="K14" s="4">
        <v>39.35</v>
      </c>
      <c r="L14" s="4">
        <f t="shared" si="0"/>
        <v>35.414999999999999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13.68</v>
      </c>
      <c r="D15" s="4">
        <v>13.57</v>
      </c>
      <c r="E15" s="4">
        <v>13.96</v>
      </c>
      <c r="F15" s="5">
        <v>14.08</v>
      </c>
      <c r="G15" s="26">
        <v>-2.8409090909090936E-2</v>
      </c>
      <c r="H15" s="6" t="s">
        <v>858</v>
      </c>
      <c r="I15" s="5">
        <v>0</v>
      </c>
      <c r="J15" s="4" t="s">
        <v>39</v>
      </c>
      <c r="K15" s="4">
        <v>11.99</v>
      </c>
      <c r="L15" s="4">
        <f t="shared" si="0"/>
        <v>10.791</v>
      </c>
      <c r="M15" s="4" t="b">
        <f t="shared" si="1"/>
        <v>0</v>
      </c>
    </row>
    <row r="16" spans="1:13" ht="20.100000000000001" customHeight="1" x14ac:dyDescent="0.25">
      <c r="A16" s="2" t="s">
        <v>310</v>
      </c>
      <c r="B16" s="2" t="s">
        <v>311</v>
      </c>
      <c r="C16" s="20">
        <v>10</v>
      </c>
      <c r="D16" s="20">
        <v>9.9</v>
      </c>
      <c r="E16" s="20">
        <v>10.07</v>
      </c>
      <c r="F16" s="5">
        <v>10.14</v>
      </c>
      <c r="G16" s="26">
        <v>-1.3806706114398477E-2</v>
      </c>
      <c r="H16" s="6" t="s">
        <v>39</v>
      </c>
      <c r="I16" s="5" t="s">
        <v>39</v>
      </c>
      <c r="J16" s="4" t="s">
        <v>39</v>
      </c>
      <c r="K16" s="4">
        <v>10.74</v>
      </c>
      <c r="L16" s="4">
        <f t="shared" si="0"/>
        <v>9.6660000000000004</v>
      </c>
      <c r="M16" s="4" t="b">
        <f t="shared" si="1"/>
        <v>0</v>
      </c>
    </row>
    <row r="17" spans="1:13" ht="20.100000000000001" customHeight="1" x14ac:dyDescent="0.25">
      <c r="A17" s="1" t="s">
        <v>258</v>
      </c>
      <c r="B17" s="2" t="s">
        <v>259</v>
      </c>
      <c r="C17" s="20">
        <v>59</v>
      </c>
      <c r="D17" s="20">
        <v>57.82</v>
      </c>
      <c r="E17" s="20">
        <v>59.07</v>
      </c>
      <c r="F17" s="5">
        <v>58.35</v>
      </c>
      <c r="G17" s="26">
        <v>1.1139674378748904E-2</v>
      </c>
      <c r="H17" s="6" t="s">
        <v>859</v>
      </c>
      <c r="I17" s="5">
        <v>2.88</v>
      </c>
      <c r="J17" s="4">
        <v>173.53</v>
      </c>
      <c r="K17" s="4">
        <v>60.14</v>
      </c>
      <c r="L17" s="4">
        <f t="shared" si="0"/>
        <v>54.126000000000005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ColWidth="9.125" defaultRowHeight="20.100000000000001" customHeight="1" x14ac:dyDescent="0.25"/>
  <cols>
    <col min="1" max="1" width="9.125" style="2" bestFit="1" customWidth="1"/>
    <col min="2" max="2" width="36.875" style="2" bestFit="1" customWidth="1"/>
    <col min="3" max="3" width="14" style="2" bestFit="1" customWidth="1"/>
    <col min="4" max="4" width="11.875" style="2" bestFit="1" customWidth="1"/>
    <col min="5" max="5" width="12.25" style="2" bestFit="1" customWidth="1"/>
    <col min="6" max="6" width="16.875" style="9" bestFit="1" customWidth="1"/>
    <col min="7" max="7" width="12.125" style="32" bestFit="1" customWidth="1"/>
    <col min="8" max="8" width="14" style="2" customWidth="1"/>
    <col min="9" max="9" width="11.125" style="9" bestFit="1" customWidth="1"/>
    <col min="10" max="10" width="9" style="2" bestFit="1" customWidth="1"/>
    <col min="11" max="16384" width="9.1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478</v>
      </c>
      <c r="B2" s="2" t="s">
        <v>480</v>
      </c>
      <c r="C2" s="4">
        <v>213.37</v>
      </c>
      <c r="D2" s="4">
        <v>212.57</v>
      </c>
      <c r="E2" s="4">
        <v>213.69</v>
      </c>
      <c r="F2" s="5">
        <v>214.19</v>
      </c>
      <c r="G2" s="6">
        <v>-3.8283766749147635E-3</v>
      </c>
      <c r="H2" s="4" t="s">
        <v>39</v>
      </c>
      <c r="I2" s="5">
        <v>2.2000000000000002</v>
      </c>
      <c r="J2" s="4" t="s">
        <v>39</v>
      </c>
      <c r="K2" s="4">
        <v>209.87</v>
      </c>
      <c r="L2" s="79">
        <f t="shared" ref="L2:L4" si="0">K2*0.89</f>
        <v>186.7843</v>
      </c>
      <c r="M2" s="80" t="b">
        <f t="shared" ref="M2:M4" si="1">L2&gt;C2</f>
        <v>0</v>
      </c>
    </row>
    <row r="3" spans="1:13" ht="20.100000000000001" customHeight="1" x14ac:dyDescent="0.25">
      <c r="A3" s="59" t="s">
        <v>479</v>
      </c>
      <c r="B3" s="2" t="s">
        <v>481</v>
      </c>
      <c r="C3" s="4">
        <v>47.61</v>
      </c>
      <c r="D3" s="4">
        <v>47.52</v>
      </c>
      <c r="E3" s="4">
        <v>47.79</v>
      </c>
      <c r="F3" s="5">
        <v>48.46</v>
      </c>
      <c r="G3" s="6">
        <v>-1.7540239372678526E-2</v>
      </c>
      <c r="H3" s="4" t="s">
        <v>39</v>
      </c>
      <c r="I3" s="5">
        <v>7</v>
      </c>
      <c r="J3" s="4" t="s">
        <v>39</v>
      </c>
      <c r="K3" s="4">
        <v>48.26</v>
      </c>
      <c r="L3" s="4">
        <f t="shared" si="0"/>
        <v>42.9514</v>
      </c>
      <c r="M3" s="4" t="b">
        <f t="shared" si="1"/>
        <v>0</v>
      </c>
    </row>
    <row r="4" spans="1:13" ht="20.100000000000001" customHeight="1" x14ac:dyDescent="0.25">
      <c r="A4" s="2" t="s">
        <v>483</v>
      </c>
      <c r="B4" s="2" t="s">
        <v>484</v>
      </c>
      <c r="C4" s="20">
        <v>36.799999999999997</v>
      </c>
      <c r="D4" s="20">
        <v>36.5</v>
      </c>
      <c r="E4" s="20">
        <v>36.880000000000003</v>
      </c>
      <c r="F4" s="5">
        <v>37.049999999999997</v>
      </c>
      <c r="G4" s="26">
        <v>-6.7476383265856954E-3</v>
      </c>
      <c r="H4" s="6" t="s">
        <v>39</v>
      </c>
      <c r="I4" s="5">
        <v>4.8</v>
      </c>
      <c r="J4" s="4" t="s">
        <v>39</v>
      </c>
      <c r="K4" s="4">
        <v>35.159999999999997</v>
      </c>
      <c r="L4" s="4">
        <f t="shared" si="0"/>
        <v>31.292399999999997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71</v>
      </c>
      <c r="B2" s="2" t="s">
        <v>283</v>
      </c>
      <c r="C2" s="4">
        <v>35.04</v>
      </c>
      <c r="D2" s="4">
        <v>34.880000000000003</v>
      </c>
      <c r="E2" s="4">
        <v>35.74</v>
      </c>
      <c r="F2" s="5">
        <v>35.869999999999997</v>
      </c>
      <c r="G2" s="6">
        <v>-2.3139113465291284E-2</v>
      </c>
      <c r="H2" s="4" t="s">
        <v>798</v>
      </c>
      <c r="I2" s="5">
        <v>3.81</v>
      </c>
      <c r="J2" s="5">
        <v>21.24</v>
      </c>
      <c r="K2" s="5">
        <v>39.76</v>
      </c>
      <c r="L2" s="89">
        <f t="shared" ref="L2:L9" si="0">K2*0.9</f>
        <v>35.783999999999999</v>
      </c>
      <c r="M2" s="90" t="b">
        <f t="shared" ref="M2:M9" si="1">L2&gt;C2</f>
        <v>1</v>
      </c>
    </row>
    <row r="3" spans="1:13" ht="20.100000000000001" customHeight="1" x14ac:dyDescent="0.25">
      <c r="A3" s="2" t="s">
        <v>84</v>
      </c>
      <c r="B3" s="2" t="s">
        <v>284</v>
      </c>
      <c r="C3" s="4">
        <v>10.1</v>
      </c>
      <c r="D3" s="4">
        <v>9.9499999999999993</v>
      </c>
      <c r="E3" s="4">
        <v>10.220000000000001</v>
      </c>
      <c r="F3" s="5">
        <v>10.1</v>
      </c>
      <c r="G3" s="6">
        <v>0</v>
      </c>
      <c r="H3" s="4" t="s">
        <v>451</v>
      </c>
      <c r="I3" s="5">
        <v>0</v>
      </c>
      <c r="J3" s="5" t="s">
        <v>39</v>
      </c>
      <c r="K3" s="5">
        <v>9.44</v>
      </c>
      <c r="L3" s="5">
        <f t="shared" si="0"/>
        <v>8.4960000000000004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285</v>
      </c>
      <c r="C4" s="4">
        <v>18.62</v>
      </c>
      <c r="D4" s="4">
        <v>18.41</v>
      </c>
      <c r="E4" s="4">
        <v>18.73</v>
      </c>
      <c r="F4" s="5">
        <v>18.850000000000001</v>
      </c>
      <c r="G4" s="6">
        <v>-1.2201591511936361E-2</v>
      </c>
      <c r="H4" s="4" t="s">
        <v>719</v>
      </c>
      <c r="I4" s="5">
        <v>0</v>
      </c>
      <c r="J4" s="5">
        <v>23.3</v>
      </c>
      <c r="K4" s="5">
        <v>21.83</v>
      </c>
      <c r="L4" s="5">
        <f t="shared" si="0"/>
        <v>19.646999999999998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286</v>
      </c>
      <c r="C5" s="4">
        <v>47.85</v>
      </c>
      <c r="D5" s="4">
        <v>47.14</v>
      </c>
      <c r="E5" s="4">
        <v>47.94</v>
      </c>
      <c r="F5" s="5">
        <v>47.68</v>
      </c>
      <c r="G5" s="6">
        <v>3.5654362416107739E-3</v>
      </c>
      <c r="H5" s="4" t="s">
        <v>860</v>
      </c>
      <c r="I5" s="5" t="s">
        <v>39</v>
      </c>
      <c r="J5" s="5">
        <v>10.8</v>
      </c>
      <c r="K5" s="5">
        <v>50.83</v>
      </c>
      <c r="L5" s="5">
        <f t="shared" si="0"/>
        <v>45.747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287</v>
      </c>
      <c r="C6" s="4">
        <v>100.07</v>
      </c>
      <c r="D6" s="4">
        <v>99.15</v>
      </c>
      <c r="E6" s="4">
        <v>100.25</v>
      </c>
      <c r="F6" s="5">
        <v>100.06</v>
      </c>
      <c r="G6" s="6">
        <v>9.9940035978322056E-5</v>
      </c>
      <c r="H6" s="4" t="s">
        <v>861</v>
      </c>
      <c r="I6" s="5">
        <v>2</v>
      </c>
      <c r="J6" s="5">
        <v>27.35</v>
      </c>
      <c r="K6" s="5">
        <v>96.4</v>
      </c>
      <c r="L6" s="5">
        <f t="shared" si="0"/>
        <v>86.76</v>
      </c>
      <c r="M6" s="5" t="b">
        <f t="shared" si="1"/>
        <v>0</v>
      </c>
    </row>
    <row r="7" spans="1:13" ht="20.100000000000001" customHeight="1" x14ac:dyDescent="0.25">
      <c r="A7" s="2" t="s">
        <v>323</v>
      </c>
      <c r="B7" s="19" t="s">
        <v>862</v>
      </c>
      <c r="C7" s="4">
        <v>17.09</v>
      </c>
      <c r="D7" s="4">
        <v>16.97</v>
      </c>
      <c r="E7" s="4">
        <v>17.09</v>
      </c>
      <c r="F7" s="5">
        <v>16.78</v>
      </c>
      <c r="G7" s="6">
        <v>1.8474374255065477E-2</v>
      </c>
      <c r="H7" s="6" t="s">
        <v>863</v>
      </c>
      <c r="I7" s="5">
        <v>3</v>
      </c>
      <c r="J7" s="5">
        <v>18.739999999999998</v>
      </c>
      <c r="K7" s="5">
        <v>17.329999999999998</v>
      </c>
      <c r="L7" s="5">
        <f t="shared" si="0"/>
        <v>15.597</v>
      </c>
      <c r="M7" s="5" t="b">
        <f t="shared" si="1"/>
        <v>0</v>
      </c>
    </row>
    <row r="8" spans="1:13" ht="20.100000000000001" customHeight="1" x14ac:dyDescent="0.25">
      <c r="A8" s="81" t="s">
        <v>476</v>
      </c>
      <c r="B8" s="19" t="s">
        <v>477</v>
      </c>
      <c r="C8" s="4">
        <v>77.77</v>
      </c>
      <c r="D8" s="4">
        <v>77.36</v>
      </c>
      <c r="E8" s="4">
        <v>79.3</v>
      </c>
      <c r="F8" s="5">
        <v>79</v>
      </c>
      <c r="G8" s="6">
        <v>-1.5569620253164607E-2</v>
      </c>
      <c r="H8" s="6" t="s">
        <v>864</v>
      </c>
      <c r="I8" s="5">
        <v>1.32</v>
      </c>
      <c r="J8" s="5">
        <v>11.85</v>
      </c>
      <c r="K8" s="5">
        <v>98.3</v>
      </c>
      <c r="L8" s="5">
        <f t="shared" si="0"/>
        <v>88.47</v>
      </c>
      <c r="M8" s="5" t="b">
        <f t="shared" si="1"/>
        <v>1</v>
      </c>
    </row>
    <row r="9" spans="1:13" ht="15.75" x14ac:dyDescent="0.25">
      <c r="A9" s="2" t="s">
        <v>470</v>
      </c>
      <c r="B9" s="19" t="s">
        <v>474</v>
      </c>
      <c r="C9" s="4">
        <v>26.81</v>
      </c>
      <c r="D9" s="4">
        <v>26.46</v>
      </c>
      <c r="E9" s="4">
        <v>27.04</v>
      </c>
      <c r="F9" s="5">
        <v>27</v>
      </c>
      <c r="G9" s="6">
        <v>-7.0370370370370847E-3</v>
      </c>
      <c r="H9" s="6" t="s">
        <v>799</v>
      </c>
      <c r="I9" s="5" t="s">
        <v>39</v>
      </c>
      <c r="J9" s="5">
        <v>9.27</v>
      </c>
      <c r="K9" s="5">
        <v>34.49</v>
      </c>
      <c r="L9" s="5">
        <f t="shared" si="0"/>
        <v>31.041000000000004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/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493</v>
      </c>
      <c r="B2" s="2" t="s">
        <v>500</v>
      </c>
      <c r="C2" s="4">
        <v>115.28</v>
      </c>
      <c r="D2" s="4">
        <v>114.83</v>
      </c>
      <c r="E2" s="4">
        <v>116.26</v>
      </c>
      <c r="F2" s="5">
        <v>116.14</v>
      </c>
      <c r="G2" s="6">
        <v>-7.4048562080247923E-3</v>
      </c>
      <c r="H2" s="4" t="s">
        <v>865</v>
      </c>
      <c r="I2" s="5">
        <v>3.09</v>
      </c>
      <c r="J2" s="5">
        <v>22.01</v>
      </c>
      <c r="K2" s="5">
        <v>122.37</v>
      </c>
      <c r="L2" s="89">
        <f t="shared" ref="L2:L10" si="0">K2*0.9</f>
        <v>110.13300000000001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494</v>
      </c>
      <c r="B3" s="2" t="s">
        <v>501</v>
      </c>
      <c r="C3" s="4">
        <v>409.32</v>
      </c>
      <c r="D3" s="4">
        <v>406.5</v>
      </c>
      <c r="E3" s="4">
        <v>414.89</v>
      </c>
      <c r="F3" s="5">
        <v>413.96</v>
      </c>
      <c r="G3" s="6">
        <v>-1.1208812445646889E-2</v>
      </c>
      <c r="H3" s="4" t="s">
        <v>866</v>
      </c>
      <c r="I3" s="5" t="s">
        <v>39</v>
      </c>
      <c r="J3" s="5">
        <v>58.97</v>
      </c>
      <c r="K3" s="5">
        <v>435.79</v>
      </c>
      <c r="L3" s="5">
        <f t="shared" si="0"/>
        <v>392.21100000000001</v>
      </c>
      <c r="M3" s="5" t="b">
        <f t="shared" si="1"/>
        <v>0</v>
      </c>
    </row>
    <row r="4" spans="1:13" ht="20.100000000000001" customHeight="1" x14ac:dyDescent="0.25">
      <c r="A4" s="2" t="s">
        <v>495</v>
      </c>
      <c r="B4" s="2" t="s">
        <v>502</v>
      </c>
      <c r="C4" s="4">
        <v>99.34</v>
      </c>
      <c r="D4" s="4">
        <v>98.35</v>
      </c>
      <c r="E4" s="4">
        <v>99.97</v>
      </c>
      <c r="F4" s="5">
        <v>98.51</v>
      </c>
      <c r="G4" s="6">
        <v>8.425540554258433E-3</v>
      </c>
      <c r="H4" s="4" t="s">
        <v>867</v>
      </c>
      <c r="I4" s="5">
        <v>1.22</v>
      </c>
      <c r="J4" s="5">
        <v>30.21</v>
      </c>
      <c r="K4" s="5">
        <v>80.73</v>
      </c>
      <c r="L4" s="5">
        <f t="shared" si="0"/>
        <v>72.657000000000011</v>
      </c>
      <c r="M4" s="5" t="b">
        <f t="shared" si="1"/>
        <v>0</v>
      </c>
    </row>
    <row r="5" spans="1:13" ht="20.100000000000001" customHeight="1" x14ac:dyDescent="0.25">
      <c r="A5" s="2" t="s">
        <v>496</v>
      </c>
      <c r="B5" s="2" t="s">
        <v>503</v>
      </c>
      <c r="C5" s="4">
        <v>88.04</v>
      </c>
      <c r="D5" s="4">
        <v>87.08</v>
      </c>
      <c r="E5" s="4">
        <v>88.07</v>
      </c>
      <c r="F5" s="5">
        <v>87.79</v>
      </c>
      <c r="G5" s="6">
        <v>2.8477047499715228E-3</v>
      </c>
      <c r="H5" s="4" t="s">
        <v>868</v>
      </c>
      <c r="I5" s="5">
        <v>2.12</v>
      </c>
      <c r="J5" s="5">
        <v>26.53</v>
      </c>
      <c r="K5" s="5">
        <v>83.81</v>
      </c>
      <c r="L5" s="5">
        <f t="shared" si="0"/>
        <v>75.429000000000002</v>
      </c>
      <c r="M5" s="5" t="b">
        <f t="shared" si="1"/>
        <v>0</v>
      </c>
    </row>
    <row r="6" spans="1:13" ht="20.100000000000001" customHeight="1" x14ac:dyDescent="0.25">
      <c r="A6" s="2" t="s">
        <v>497</v>
      </c>
      <c r="B6" s="2" t="s">
        <v>504</v>
      </c>
      <c r="C6" s="4">
        <v>10.85</v>
      </c>
      <c r="D6" s="4">
        <v>10.74</v>
      </c>
      <c r="E6" s="4">
        <v>10.91</v>
      </c>
      <c r="F6" s="5">
        <v>10.81</v>
      </c>
      <c r="G6" s="6">
        <v>3.7002775208139819E-3</v>
      </c>
      <c r="H6" s="4" t="s">
        <v>869</v>
      </c>
      <c r="I6" s="5">
        <v>2.31</v>
      </c>
      <c r="J6" s="5">
        <v>20.91</v>
      </c>
      <c r="K6" s="5">
        <v>10.199999999999999</v>
      </c>
      <c r="L6" s="5">
        <f t="shared" si="0"/>
        <v>9.18</v>
      </c>
      <c r="M6" s="5" t="b">
        <f t="shared" si="1"/>
        <v>0</v>
      </c>
    </row>
    <row r="7" spans="1:13" ht="20.100000000000001" customHeight="1" x14ac:dyDescent="0.25">
      <c r="A7" s="2" t="s">
        <v>498</v>
      </c>
      <c r="B7" s="19" t="s">
        <v>505</v>
      </c>
      <c r="C7" s="4">
        <v>26.14</v>
      </c>
      <c r="D7" s="4">
        <v>26.1</v>
      </c>
      <c r="E7" s="4">
        <v>26.32</v>
      </c>
      <c r="F7" s="5">
        <v>26.24</v>
      </c>
      <c r="G7" s="6">
        <v>-3.8109756097560164E-3</v>
      </c>
      <c r="H7" s="6" t="s">
        <v>756</v>
      </c>
      <c r="I7" s="5">
        <v>1.68</v>
      </c>
      <c r="J7" s="5">
        <v>20.34</v>
      </c>
      <c r="K7" s="5">
        <v>30.35</v>
      </c>
      <c r="L7" s="5">
        <f t="shared" si="0"/>
        <v>27.315000000000001</v>
      </c>
      <c r="M7" s="5" t="b">
        <f t="shared" si="1"/>
        <v>1</v>
      </c>
    </row>
    <row r="8" spans="1:13" ht="20.100000000000001" customHeight="1" x14ac:dyDescent="0.25">
      <c r="A8" s="2" t="s">
        <v>499</v>
      </c>
      <c r="B8" s="19" t="s">
        <v>506</v>
      </c>
      <c r="C8" s="4">
        <v>77.61</v>
      </c>
      <c r="D8" s="4">
        <v>77.33</v>
      </c>
      <c r="E8" s="4">
        <v>78.33</v>
      </c>
      <c r="F8" s="5">
        <v>78.260000000000005</v>
      </c>
      <c r="G8" s="6">
        <v>-8.3056478405316332E-3</v>
      </c>
      <c r="H8" s="6" t="s">
        <v>870</v>
      </c>
      <c r="I8" s="5">
        <v>1.03</v>
      </c>
      <c r="J8" s="5">
        <v>32.93</v>
      </c>
      <c r="K8" s="5">
        <v>64.83</v>
      </c>
      <c r="L8" s="5">
        <f t="shared" si="0"/>
        <v>58.347000000000001</v>
      </c>
      <c r="M8" s="5" t="b">
        <f t="shared" si="1"/>
        <v>0</v>
      </c>
    </row>
    <row r="9" spans="1:13" ht="18" customHeight="1" x14ac:dyDescent="0.25">
      <c r="A9" s="2" t="s">
        <v>562</v>
      </c>
      <c r="B9" s="19" t="s">
        <v>564</v>
      </c>
      <c r="C9" s="4">
        <v>54.2</v>
      </c>
      <c r="D9" s="4">
        <v>53.7</v>
      </c>
      <c r="E9" s="4">
        <v>54.79</v>
      </c>
      <c r="F9" s="5">
        <v>53.84</v>
      </c>
      <c r="G9" s="6">
        <v>6.6864784546805242E-3</v>
      </c>
      <c r="H9" s="6" t="s">
        <v>871</v>
      </c>
      <c r="I9" s="5">
        <v>0</v>
      </c>
      <c r="J9" s="5">
        <v>28.14</v>
      </c>
      <c r="K9" s="5">
        <v>54.85</v>
      </c>
      <c r="L9" s="5">
        <f t="shared" si="0"/>
        <v>49.365000000000002</v>
      </c>
      <c r="M9" s="5" t="b">
        <f t="shared" si="1"/>
        <v>0</v>
      </c>
    </row>
    <row r="10" spans="1:13" ht="15.75" x14ac:dyDescent="0.25">
      <c r="A10" s="2" t="s">
        <v>565</v>
      </c>
      <c r="B10" s="19" t="s">
        <v>566</v>
      </c>
      <c r="C10" s="4">
        <v>155.09</v>
      </c>
      <c r="D10" s="4">
        <v>154.47999999999999</v>
      </c>
      <c r="E10" s="4">
        <v>157.49</v>
      </c>
      <c r="F10" s="5">
        <v>157.37</v>
      </c>
      <c r="G10" s="6">
        <v>-1.4488148948338319E-2</v>
      </c>
      <c r="H10" s="6" t="s">
        <v>872</v>
      </c>
      <c r="I10" s="5" t="s">
        <v>39</v>
      </c>
      <c r="J10" s="5">
        <v>29.19</v>
      </c>
      <c r="K10" s="5">
        <v>149.46</v>
      </c>
      <c r="L10" s="5">
        <f t="shared" si="0"/>
        <v>134.51400000000001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/>
  </sheetViews>
  <sheetFormatPr defaultRowHeight="20.100000000000001" customHeight="1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61" t="s">
        <v>182</v>
      </c>
      <c r="B2" s="61" t="s">
        <v>189</v>
      </c>
      <c r="C2" s="62">
        <v>15.49</v>
      </c>
      <c r="D2" s="62">
        <v>15.48</v>
      </c>
      <c r="E2" s="62">
        <v>15.68</v>
      </c>
      <c r="F2" s="63">
        <v>15.67</v>
      </c>
      <c r="G2" s="64">
        <v>-1.1486917677089963E-2</v>
      </c>
      <c r="H2" s="62" t="s">
        <v>873</v>
      </c>
      <c r="I2" s="63">
        <v>1.92</v>
      </c>
      <c r="J2" s="63">
        <v>12.98</v>
      </c>
      <c r="K2" s="63">
        <v>14.21</v>
      </c>
      <c r="L2" s="89">
        <f t="shared" ref="L2:L19" si="0">K2*0.9</f>
        <v>12.789000000000001</v>
      </c>
      <c r="M2" s="90" t="b">
        <f t="shared" ref="M2:M19" si="1">L2&gt;C2</f>
        <v>0</v>
      </c>
    </row>
    <row r="3" spans="1:13" ht="20.100000000000001" customHeight="1" x14ac:dyDescent="0.25">
      <c r="A3" s="61" t="s">
        <v>278</v>
      </c>
      <c r="B3" s="65" t="s">
        <v>279</v>
      </c>
      <c r="C3" s="62">
        <v>40.06</v>
      </c>
      <c r="D3" s="62">
        <v>40</v>
      </c>
      <c r="E3" s="62">
        <v>40.56</v>
      </c>
      <c r="F3" s="63">
        <v>40.85</v>
      </c>
      <c r="G3" s="64">
        <v>-1.9339045287637677E-2</v>
      </c>
      <c r="H3" s="64" t="s">
        <v>874</v>
      </c>
      <c r="I3" s="63">
        <v>1.86</v>
      </c>
      <c r="J3" s="63">
        <v>14.37</v>
      </c>
      <c r="K3" s="63">
        <v>39.43</v>
      </c>
      <c r="L3" s="5">
        <f t="shared" si="0"/>
        <v>35.487000000000002</v>
      </c>
      <c r="M3" s="5" t="b">
        <f t="shared" si="1"/>
        <v>0</v>
      </c>
    </row>
    <row r="4" spans="1:13" ht="20.100000000000001" customHeight="1" x14ac:dyDescent="0.25">
      <c r="A4" s="66" t="s">
        <v>237</v>
      </c>
      <c r="B4" s="65" t="s">
        <v>238</v>
      </c>
      <c r="C4" s="62">
        <v>365.97</v>
      </c>
      <c r="D4" s="62">
        <v>360.11</v>
      </c>
      <c r="E4" s="62">
        <v>366.58</v>
      </c>
      <c r="F4" s="63">
        <v>365.5</v>
      </c>
      <c r="G4" s="64">
        <v>1.2859097127223729E-3</v>
      </c>
      <c r="H4" s="64" t="s">
        <v>875</v>
      </c>
      <c r="I4" s="63">
        <v>2.5099999999999998</v>
      </c>
      <c r="J4" s="63">
        <v>19.5</v>
      </c>
      <c r="K4" s="63">
        <v>352.83</v>
      </c>
      <c r="L4" s="5">
        <f t="shared" si="0"/>
        <v>317.54699999999997</v>
      </c>
      <c r="M4" s="5" t="b">
        <f t="shared" si="1"/>
        <v>0</v>
      </c>
    </row>
    <row r="5" spans="1:13" ht="20.100000000000001" customHeight="1" x14ac:dyDescent="0.25">
      <c r="A5" s="61" t="s">
        <v>183</v>
      </c>
      <c r="B5" s="61" t="s">
        <v>190</v>
      </c>
      <c r="C5" s="62">
        <v>46.41</v>
      </c>
      <c r="D5" s="62">
        <v>46.24</v>
      </c>
      <c r="E5" s="62">
        <v>46.79</v>
      </c>
      <c r="F5" s="63">
        <v>47.08</v>
      </c>
      <c r="G5" s="64">
        <v>-1.4231096006796978E-2</v>
      </c>
      <c r="H5" s="62" t="s">
        <v>876</v>
      </c>
      <c r="I5" s="63">
        <v>0.66</v>
      </c>
      <c r="J5" s="63">
        <v>9.82</v>
      </c>
      <c r="K5" s="63">
        <v>44.23</v>
      </c>
      <c r="L5" s="5">
        <f t="shared" si="0"/>
        <v>39.806999999999995</v>
      </c>
      <c r="M5" s="5" t="b">
        <f t="shared" si="1"/>
        <v>0</v>
      </c>
    </row>
    <row r="6" spans="1:13" ht="20.100000000000001" customHeight="1" x14ac:dyDescent="0.25">
      <c r="A6" s="61" t="s">
        <v>187</v>
      </c>
      <c r="B6" s="61" t="s">
        <v>194</v>
      </c>
      <c r="C6" s="62">
        <v>70.209999999999994</v>
      </c>
      <c r="D6" s="62">
        <v>69.78</v>
      </c>
      <c r="E6" s="62">
        <v>70.61</v>
      </c>
      <c r="F6" s="63">
        <v>70.989999999999995</v>
      </c>
      <c r="G6" s="64">
        <v>-1.0987463022960997E-2</v>
      </c>
      <c r="H6" s="62" t="s">
        <v>877</v>
      </c>
      <c r="I6" s="63">
        <v>2.25</v>
      </c>
      <c r="J6" s="63">
        <v>9.91</v>
      </c>
      <c r="K6" s="63">
        <v>69</v>
      </c>
      <c r="L6" s="5">
        <f t="shared" si="0"/>
        <v>62.1</v>
      </c>
      <c r="M6" s="5" t="b">
        <f t="shared" si="1"/>
        <v>0</v>
      </c>
    </row>
    <row r="7" spans="1:13" ht="20.100000000000001" customHeight="1" x14ac:dyDescent="0.25">
      <c r="A7" s="61" t="s">
        <v>196</v>
      </c>
      <c r="B7" s="65" t="s">
        <v>199</v>
      </c>
      <c r="C7" s="62">
        <v>13.09</v>
      </c>
      <c r="D7" s="62">
        <v>12.94</v>
      </c>
      <c r="E7" s="62">
        <v>13.12</v>
      </c>
      <c r="F7" s="63">
        <v>13.73</v>
      </c>
      <c r="G7" s="64">
        <v>-4.6613255644573963E-2</v>
      </c>
      <c r="H7" s="64" t="s">
        <v>878</v>
      </c>
      <c r="I7" s="63">
        <v>5.37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197</v>
      </c>
      <c r="B8" s="65" t="s">
        <v>200</v>
      </c>
      <c r="C8" s="62">
        <v>13.38</v>
      </c>
      <c r="D8" s="62">
        <v>13.27</v>
      </c>
      <c r="E8" s="62">
        <v>13.48</v>
      </c>
      <c r="F8" s="63">
        <v>14.76</v>
      </c>
      <c r="G8" s="64">
        <v>-9.3495934959349533E-2</v>
      </c>
      <c r="H8" s="64" t="s">
        <v>879</v>
      </c>
      <c r="I8" s="63">
        <v>0</v>
      </c>
      <c r="J8" s="63" t="s">
        <v>39</v>
      </c>
      <c r="K8" s="63">
        <v>16.07</v>
      </c>
      <c r="L8" s="5">
        <f t="shared" si="0"/>
        <v>14.463000000000001</v>
      </c>
      <c r="M8" s="5" t="b">
        <f t="shared" si="1"/>
        <v>1</v>
      </c>
    </row>
    <row r="9" spans="1:13" ht="20.100000000000001" customHeight="1" x14ac:dyDescent="0.25">
      <c r="A9" s="61" t="s">
        <v>181</v>
      </c>
      <c r="B9" s="61" t="s">
        <v>188</v>
      </c>
      <c r="C9" s="62">
        <v>166</v>
      </c>
      <c r="D9" s="62">
        <v>165.61</v>
      </c>
      <c r="E9" s="62">
        <v>168.05</v>
      </c>
      <c r="F9" s="63">
        <v>168.08</v>
      </c>
      <c r="G9" s="64">
        <v>-1.2375059495478418E-2</v>
      </c>
      <c r="H9" s="62" t="s">
        <v>880</v>
      </c>
      <c r="I9" s="63">
        <v>1.56</v>
      </c>
      <c r="J9" s="63">
        <v>15.74</v>
      </c>
      <c r="K9" s="63">
        <v>157.94</v>
      </c>
      <c r="L9" s="5">
        <f t="shared" si="0"/>
        <v>142.14600000000002</v>
      </c>
      <c r="M9" s="5" t="b">
        <f t="shared" si="1"/>
        <v>0</v>
      </c>
    </row>
    <row r="10" spans="1:13" ht="20.100000000000001" customHeight="1" x14ac:dyDescent="0.25">
      <c r="A10" s="61" t="s">
        <v>185</v>
      </c>
      <c r="B10" s="61" t="s">
        <v>192</v>
      </c>
      <c r="C10" s="62">
        <v>65.819999999999993</v>
      </c>
      <c r="D10" s="62">
        <v>65.44</v>
      </c>
      <c r="E10" s="62">
        <v>66.260000000000005</v>
      </c>
      <c r="F10" s="63">
        <v>66.64</v>
      </c>
      <c r="G10" s="64">
        <v>-1.2304921968787626E-2</v>
      </c>
      <c r="H10" s="62" t="s">
        <v>881</v>
      </c>
      <c r="I10" s="63">
        <v>2.88</v>
      </c>
      <c r="J10" s="63">
        <v>11.15</v>
      </c>
      <c r="K10" s="63">
        <v>62.84</v>
      </c>
      <c r="L10" s="5">
        <f t="shared" si="0"/>
        <v>56.556000000000004</v>
      </c>
      <c r="M10" s="5" t="b">
        <f t="shared" si="1"/>
        <v>0</v>
      </c>
    </row>
    <row r="11" spans="1:13" ht="20.100000000000001" customHeight="1" x14ac:dyDescent="0.25">
      <c r="A11" s="61" t="s">
        <v>693</v>
      </c>
      <c r="B11" s="65" t="s">
        <v>694</v>
      </c>
      <c r="C11" s="62">
        <v>43.71</v>
      </c>
      <c r="D11" s="62">
        <v>43.46</v>
      </c>
      <c r="E11" s="62">
        <v>43.88</v>
      </c>
      <c r="F11" s="63">
        <v>44.11</v>
      </c>
      <c r="G11" s="64">
        <v>-9.068238494672377E-3</v>
      </c>
      <c r="H11" s="64" t="s">
        <v>882</v>
      </c>
      <c r="I11" s="63">
        <v>2.4</v>
      </c>
      <c r="J11" s="63">
        <v>11.84</v>
      </c>
      <c r="K11" s="63">
        <v>40.76</v>
      </c>
      <c r="L11" s="5">
        <f>K11*0.9</f>
        <v>36.683999999999997</v>
      </c>
      <c r="M11" s="5" t="b">
        <f>L11&gt;C11</f>
        <v>0</v>
      </c>
    </row>
    <row r="12" spans="1:13" ht="20.100000000000001" customHeight="1" x14ac:dyDescent="0.25">
      <c r="A12" s="61" t="s">
        <v>184</v>
      </c>
      <c r="B12" s="61" t="s">
        <v>191</v>
      </c>
      <c r="C12" s="62">
        <v>31.59</v>
      </c>
      <c r="D12" s="62">
        <v>31.38</v>
      </c>
      <c r="E12" s="62">
        <v>31.8</v>
      </c>
      <c r="F12" s="63">
        <v>31.95</v>
      </c>
      <c r="G12" s="64">
        <v>-1.12676056338028E-2</v>
      </c>
      <c r="H12" s="62" t="s">
        <v>883</v>
      </c>
      <c r="I12" s="63">
        <v>2.5299999999999998</v>
      </c>
      <c r="J12" s="63">
        <v>14.61</v>
      </c>
      <c r="K12" s="63">
        <v>27.22</v>
      </c>
      <c r="L12" s="5">
        <f t="shared" si="0"/>
        <v>24.498000000000001</v>
      </c>
      <c r="M12" s="5" t="b">
        <f t="shared" si="1"/>
        <v>0</v>
      </c>
    </row>
    <row r="13" spans="1:13" ht="20.100000000000001" customHeight="1" x14ac:dyDescent="0.25">
      <c r="A13" s="61" t="s">
        <v>195</v>
      </c>
      <c r="B13" s="65" t="s">
        <v>198</v>
      </c>
      <c r="C13" s="62">
        <v>13.77</v>
      </c>
      <c r="D13" s="62">
        <v>13.72</v>
      </c>
      <c r="E13" s="62">
        <v>13.83</v>
      </c>
      <c r="F13" s="63">
        <v>14.26</v>
      </c>
      <c r="G13" s="64">
        <v>-3.436185133239833E-2</v>
      </c>
      <c r="H13" s="64" t="s">
        <v>884</v>
      </c>
      <c r="I13" s="63">
        <v>6.19</v>
      </c>
      <c r="J13" s="63">
        <v>10.75</v>
      </c>
      <c r="K13" s="63">
        <v>14.84</v>
      </c>
      <c r="L13" s="5">
        <f t="shared" si="0"/>
        <v>13.356</v>
      </c>
      <c r="M13" s="5" t="b">
        <f t="shared" si="1"/>
        <v>0</v>
      </c>
    </row>
    <row r="14" spans="1:13" ht="20.100000000000001" customHeight="1" x14ac:dyDescent="0.25">
      <c r="A14" s="61" t="s">
        <v>277</v>
      </c>
      <c r="B14" s="65" t="s">
        <v>280</v>
      </c>
      <c r="C14" s="62">
        <v>42.6</v>
      </c>
      <c r="D14" s="62">
        <v>42.41</v>
      </c>
      <c r="E14" s="62">
        <v>42.79</v>
      </c>
      <c r="F14" s="63">
        <v>43.03</v>
      </c>
      <c r="G14" s="64">
        <v>-9.9930281199163314E-3</v>
      </c>
      <c r="H14" s="64" t="s">
        <v>885</v>
      </c>
      <c r="I14" s="63">
        <v>2.38</v>
      </c>
      <c r="J14" s="63">
        <v>13.35</v>
      </c>
      <c r="K14" s="63">
        <v>41.72</v>
      </c>
      <c r="L14" s="5">
        <f t="shared" si="0"/>
        <v>37.548000000000002</v>
      </c>
      <c r="M14" s="5" t="b">
        <f t="shared" si="1"/>
        <v>0</v>
      </c>
    </row>
    <row r="15" spans="1:13" ht="20.100000000000001" customHeight="1" x14ac:dyDescent="0.25">
      <c r="A15" s="67" t="s">
        <v>186</v>
      </c>
      <c r="B15" s="61" t="s">
        <v>193</v>
      </c>
      <c r="C15" s="62">
        <v>45.43</v>
      </c>
      <c r="D15" s="62">
        <v>45.25</v>
      </c>
      <c r="E15" s="62">
        <v>45.87</v>
      </c>
      <c r="F15" s="63">
        <v>46.15</v>
      </c>
      <c r="G15" s="64">
        <v>-1.5601300108342337E-2</v>
      </c>
      <c r="H15" s="62" t="s">
        <v>886</v>
      </c>
      <c r="I15" s="63">
        <v>3.29</v>
      </c>
      <c r="J15" s="63">
        <v>11.22</v>
      </c>
      <c r="K15" s="63">
        <v>48.74</v>
      </c>
      <c r="L15" s="5">
        <f t="shared" si="0"/>
        <v>43.866</v>
      </c>
      <c r="M15" s="5" t="b">
        <f t="shared" si="1"/>
        <v>0</v>
      </c>
    </row>
    <row r="16" spans="1:13" ht="20.100000000000001" customHeight="1" x14ac:dyDescent="0.25">
      <c r="A16" s="52" t="s">
        <v>442</v>
      </c>
      <c r="B16" s="52" t="s">
        <v>445</v>
      </c>
      <c r="C16" s="53">
        <v>82.07</v>
      </c>
      <c r="D16" s="53">
        <v>81.42</v>
      </c>
      <c r="E16" s="53">
        <v>82.26</v>
      </c>
      <c r="F16" s="54">
        <v>82.01</v>
      </c>
      <c r="G16" s="55">
        <v>7.3161809535407952E-4</v>
      </c>
      <c r="H16" s="53" t="s">
        <v>887</v>
      </c>
      <c r="I16" s="54">
        <v>0.68</v>
      </c>
      <c r="J16" s="53">
        <v>34.880000000000003</v>
      </c>
      <c r="K16" s="53">
        <v>77.88</v>
      </c>
      <c r="L16" s="5">
        <f t="shared" si="0"/>
        <v>70.091999999999999</v>
      </c>
      <c r="M16" s="5" t="b">
        <f t="shared" si="1"/>
        <v>0</v>
      </c>
    </row>
    <row r="17" spans="1:13" ht="20.100000000000001" customHeight="1" x14ac:dyDescent="0.25">
      <c r="A17" s="52" t="s">
        <v>443</v>
      </c>
      <c r="B17" s="52" t="s">
        <v>446</v>
      </c>
      <c r="C17" s="53">
        <v>99.36</v>
      </c>
      <c r="D17" s="53">
        <v>98.59</v>
      </c>
      <c r="E17" s="53">
        <v>99.69</v>
      </c>
      <c r="F17" s="54">
        <v>99.47</v>
      </c>
      <c r="G17" s="55">
        <v>-1.105861063637272E-3</v>
      </c>
      <c r="H17" s="53" t="s">
        <v>888</v>
      </c>
      <c r="I17" s="54">
        <v>0.77</v>
      </c>
      <c r="J17" s="53">
        <v>29.15</v>
      </c>
      <c r="K17" s="53">
        <v>94.31</v>
      </c>
      <c r="L17" s="5">
        <f t="shared" si="0"/>
        <v>84.879000000000005</v>
      </c>
      <c r="M17" s="5" t="b">
        <f t="shared" si="1"/>
        <v>0</v>
      </c>
    </row>
    <row r="18" spans="1:13" ht="20.100000000000001" customHeight="1" x14ac:dyDescent="0.25">
      <c r="A18" s="60" t="s">
        <v>444</v>
      </c>
      <c r="B18" s="52" t="s">
        <v>447</v>
      </c>
      <c r="C18" s="56">
        <v>63.66</v>
      </c>
      <c r="D18" s="53">
        <v>63.16</v>
      </c>
      <c r="E18" s="53">
        <v>63.95</v>
      </c>
      <c r="F18" s="54">
        <v>63.83</v>
      </c>
      <c r="G18" s="57">
        <v>-2.663324455585175E-3</v>
      </c>
      <c r="H18" s="55" t="s">
        <v>889</v>
      </c>
      <c r="I18" s="54">
        <v>1.82</v>
      </c>
      <c r="J18" s="53">
        <v>11.26</v>
      </c>
      <c r="K18" s="53">
        <v>63.06</v>
      </c>
      <c r="L18" s="5">
        <f t="shared" si="0"/>
        <v>56.754000000000005</v>
      </c>
      <c r="M18" s="5" t="b">
        <f t="shared" si="1"/>
        <v>0</v>
      </c>
    </row>
    <row r="19" spans="1:13" ht="20.100000000000001" customHeight="1" x14ac:dyDescent="0.25">
      <c r="A19" s="52" t="s">
        <v>448</v>
      </c>
      <c r="B19" s="52" t="s">
        <v>449</v>
      </c>
      <c r="C19" s="58">
        <v>57.09</v>
      </c>
      <c r="D19" s="58">
        <v>56.92</v>
      </c>
      <c r="E19" s="58">
        <v>57.5</v>
      </c>
      <c r="F19" s="54">
        <v>57.69</v>
      </c>
      <c r="G19" s="57">
        <v>-1.0400416016640568E-2</v>
      </c>
      <c r="H19" s="55" t="s">
        <v>890</v>
      </c>
      <c r="I19" s="54">
        <v>2.09</v>
      </c>
      <c r="J19" s="53">
        <v>10.73</v>
      </c>
      <c r="K19" s="53">
        <v>54.6</v>
      </c>
      <c r="L19" s="5">
        <f t="shared" si="0"/>
        <v>49.14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224</v>
      </c>
      <c r="B2" s="2" t="s">
        <v>231</v>
      </c>
      <c r="C2" s="4">
        <v>42.03</v>
      </c>
      <c r="D2" s="4">
        <v>41.73</v>
      </c>
      <c r="E2" s="4">
        <v>42.07</v>
      </c>
      <c r="F2" s="5">
        <v>42.28</v>
      </c>
      <c r="G2" s="6">
        <v>-5.9129612109744562E-3</v>
      </c>
      <c r="H2" s="4" t="s">
        <v>891</v>
      </c>
      <c r="I2" s="5">
        <v>2.86</v>
      </c>
      <c r="J2" s="5">
        <v>17</v>
      </c>
      <c r="K2" s="5">
        <v>40.69</v>
      </c>
      <c r="L2" s="89">
        <f t="shared" ref="L2:L10" si="0">K2*0.9</f>
        <v>36.621000000000002</v>
      </c>
      <c r="M2" s="90" t="b">
        <f t="shared" ref="M2:M10" si="1">L2&gt;C2</f>
        <v>0</v>
      </c>
    </row>
    <row r="3" spans="1:13" ht="20.100000000000001" customHeight="1" x14ac:dyDescent="0.25">
      <c r="A3" s="23" t="s">
        <v>226</v>
      </c>
      <c r="B3" s="2" t="s">
        <v>233</v>
      </c>
      <c r="C3" s="4">
        <v>43.25</v>
      </c>
      <c r="D3" s="4">
        <v>43.07</v>
      </c>
      <c r="E3" s="4">
        <v>43.59</v>
      </c>
      <c r="F3" s="5">
        <v>43.66</v>
      </c>
      <c r="G3" s="6">
        <v>-9.3907466788821954E-3</v>
      </c>
      <c r="H3" s="4" t="s">
        <v>892</v>
      </c>
      <c r="I3" s="5">
        <v>2.29</v>
      </c>
      <c r="J3" s="5" t="s">
        <v>39</v>
      </c>
      <c r="K3" s="5">
        <v>45.75</v>
      </c>
      <c r="L3" s="5">
        <f t="shared" si="0"/>
        <v>41.175000000000004</v>
      </c>
      <c r="M3" s="5" t="b">
        <f t="shared" si="1"/>
        <v>0</v>
      </c>
    </row>
    <row r="4" spans="1:13" ht="20.100000000000001" customHeight="1" x14ac:dyDescent="0.25">
      <c r="A4" s="23" t="s">
        <v>227</v>
      </c>
      <c r="B4" s="2" t="s">
        <v>234</v>
      </c>
      <c r="C4" s="4">
        <v>55.38</v>
      </c>
      <c r="D4" s="4">
        <v>55.06</v>
      </c>
      <c r="E4" s="4">
        <v>55.6</v>
      </c>
      <c r="F4" s="5">
        <v>55.78</v>
      </c>
      <c r="G4" s="6">
        <v>-7.1710290426675975E-3</v>
      </c>
      <c r="H4" s="4" t="s">
        <v>893</v>
      </c>
      <c r="I4" s="5">
        <v>2.5099999999999998</v>
      </c>
      <c r="J4" s="5">
        <v>30.6</v>
      </c>
      <c r="K4" s="5">
        <v>62.49</v>
      </c>
      <c r="L4" s="5">
        <f t="shared" si="0"/>
        <v>56.241</v>
      </c>
      <c r="M4" s="5" t="b">
        <f t="shared" si="1"/>
        <v>1</v>
      </c>
    </row>
    <row r="5" spans="1:13" ht="20.100000000000001" customHeight="1" x14ac:dyDescent="0.25">
      <c r="A5" s="23" t="s">
        <v>223</v>
      </c>
      <c r="B5" s="2" t="s">
        <v>230</v>
      </c>
      <c r="C5" s="4">
        <v>65.19</v>
      </c>
      <c r="D5" s="4">
        <v>64.83</v>
      </c>
      <c r="E5" s="4">
        <v>65.459999999999994</v>
      </c>
      <c r="F5" s="5">
        <v>65.540000000000006</v>
      </c>
      <c r="G5" s="6">
        <v>-5.3402502288679961E-3</v>
      </c>
      <c r="H5" s="4" t="s">
        <v>894</v>
      </c>
      <c r="I5" s="5">
        <v>2.93</v>
      </c>
      <c r="J5" s="5">
        <v>23.53</v>
      </c>
      <c r="K5" s="5">
        <v>65.86</v>
      </c>
      <c r="L5" s="5">
        <f t="shared" si="0"/>
        <v>59.274000000000001</v>
      </c>
      <c r="M5" s="5" t="b">
        <f t="shared" si="1"/>
        <v>0</v>
      </c>
    </row>
    <row r="6" spans="1:13" ht="20.100000000000001" customHeight="1" x14ac:dyDescent="0.25">
      <c r="A6" s="23" t="s">
        <v>225</v>
      </c>
      <c r="B6" s="2" t="s">
        <v>232</v>
      </c>
      <c r="C6" s="4">
        <v>78.02</v>
      </c>
      <c r="D6" s="4">
        <v>77.59</v>
      </c>
      <c r="E6" s="4">
        <v>78.31</v>
      </c>
      <c r="F6" s="5">
        <v>78.260000000000005</v>
      </c>
      <c r="G6" s="6">
        <v>-3.0667007411194617E-3</v>
      </c>
      <c r="H6" s="4" t="s">
        <v>895</v>
      </c>
      <c r="I6" s="5">
        <v>2.66</v>
      </c>
      <c r="J6" s="5">
        <v>44.63</v>
      </c>
      <c r="K6" s="5">
        <v>78.47</v>
      </c>
      <c r="L6" s="5">
        <f t="shared" si="0"/>
        <v>70.623000000000005</v>
      </c>
      <c r="M6" s="5" t="b">
        <f t="shared" si="1"/>
        <v>0</v>
      </c>
    </row>
    <row r="7" spans="1:13" ht="20.100000000000001" customHeight="1" x14ac:dyDescent="0.25">
      <c r="A7" s="23" t="s">
        <v>221</v>
      </c>
      <c r="B7" s="2" t="s">
        <v>350</v>
      </c>
      <c r="C7" s="4">
        <v>88.94</v>
      </c>
      <c r="D7" s="4">
        <v>87.65</v>
      </c>
      <c r="E7" s="4">
        <v>89.13</v>
      </c>
      <c r="F7" s="5">
        <v>89.17</v>
      </c>
      <c r="G7" s="6">
        <v>-2.5793428283055284E-3</v>
      </c>
      <c r="H7" s="4" t="s">
        <v>896</v>
      </c>
      <c r="I7" s="5">
        <v>2.74</v>
      </c>
      <c r="J7" s="5">
        <v>65.209999999999994</v>
      </c>
      <c r="K7" s="5">
        <v>83.73</v>
      </c>
      <c r="L7" s="5">
        <f t="shared" si="0"/>
        <v>75.356999999999999</v>
      </c>
      <c r="M7" s="5" t="b">
        <f t="shared" si="1"/>
        <v>0</v>
      </c>
    </row>
    <row r="8" spans="1:13" ht="20.100000000000001" customHeight="1" x14ac:dyDescent="0.25">
      <c r="A8" s="23" t="s">
        <v>222</v>
      </c>
      <c r="B8" s="2" t="s">
        <v>229</v>
      </c>
      <c r="C8" s="4">
        <v>42.91</v>
      </c>
      <c r="D8" s="4">
        <v>42.53</v>
      </c>
      <c r="E8" s="4">
        <v>43.06</v>
      </c>
      <c r="F8" s="5">
        <v>43.02</v>
      </c>
      <c r="G8" s="6">
        <v>-2.5569502556951774E-3</v>
      </c>
      <c r="H8" s="4" t="s">
        <v>897</v>
      </c>
      <c r="I8" s="5">
        <v>1.79</v>
      </c>
      <c r="J8" s="5">
        <v>9.09</v>
      </c>
      <c r="K8" s="5">
        <v>43.33</v>
      </c>
      <c r="L8" s="5">
        <f t="shared" si="0"/>
        <v>38.997</v>
      </c>
      <c r="M8" s="5" t="b">
        <f t="shared" si="1"/>
        <v>0</v>
      </c>
    </row>
    <row r="9" spans="1:13" ht="20.100000000000001" customHeight="1" x14ac:dyDescent="0.25">
      <c r="A9" s="23" t="s">
        <v>567</v>
      </c>
      <c r="B9" s="19" t="s">
        <v>568</v>
      </c>
      <c r="C9" s="4">
        <v>95.48</v>
      </c>
      <c r="D9" s="4">
        <v>95.32</v>
      </c>
      <c r="E9" s="4">
        <v>96.63</v>
      </c>
      <c r="F9" s="5">
        <v>96.01</v>
      </c>
      <c r="G9" s="6">
        <v>-5.5202583064264251E-3</v>
      </c>
      <c r="H9" s="6" t="s">
        <v>898</v>
      </c>
      <c r="I9" s="5">
        <v>2.58</v>
      </c>
      <c r="J9" s="5">
        <v>27.96</v>
      </c>
      <c r="K9" s="5">
        <v>98.75</v>
      </c>
      <c r="L9" s="5">
        <f>K9*0.9</f>
        <v>88.875</v>
      </c>
      <c r="M9" s="5" t="b">
        <f>L9&gt;C9</f>
        <v>0</v>
      </c>
    </row>
    <row r="10" spans="1:13" ht="20.100000000000001" customHeight="1" x14ac:dyDescent="0.25">
      <c r="A10" s="23" t="s">
        <v>228</v>
      </c>
      <c r="B10" s="19" t="s">
        <v>235</v>
      </c>
      <c r="C10" s="4">
        <v>76.75</v>
      </c>
      <c r="D10" s="4">
        <v>76.3</v>
      </c>
      <c r="E10" s="4">
        <v>77.13</v>
      </c>
      <c r="F10" s="5">
        <v>77.290000000000006</v>
      </c>
      <c r="G10" s="6">
        <v>-6.9866735670850852E-3</v>
      </c>
      <c r="H10" s="6" t="s">
        <v>899</v>
      </c>
      <c r="I10" s="5">
        <v>2.13</v>
      </c>
      <c r="J10" s="5">
        <v>28.88</v>
      </c>
      <c r="K10" s="5">
        <v>84.7</v>
      </c>
      <c r="L10" s="5">
        <f t="shared" si="0"/>
        <v>76.23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659</v>
      </c>
      <c r="B2" s="2" t="s">
        <v>666</v>
      </c>
      <c r="C2" s="4">
        <v>44.42</v>
      </c>
      <c r="D2" s="4">
        <v>44.05</v>
      </c>
      <c r="E2" s="4">
        <v>44.67</v>
      </c>
      <c r="F2" s="5">
        <v>44.59</v>
      </c>
      <c r="G2" s="6">
        <v>-3.812514016595687E-3</v>
      </c>
      <c r="H2" s="4" t="s">
        <v>900</v>
      </c>
      <c r="I2" s="5">
        <v>0.57999999999999996</v>
      </c>
      <c r="J2" s="5">
        <v>44.73</v>
      </c>
      <c r="K2" s="5">
        <v>37.65</v>
      </c>
      <c r="L2" s="89">
        <f t="shared" ref="L2:L7" si="0">K2*0.9</f>
        <v>33.884999999999998</v>
      </c>
      <c r="M2" s="90" t="b">
        <f t="shared" ref="M2:M7" si="1">L2&gt;C2</f>
        <v>0</v>
      </c>
    </row>
    <row r="3" spans="1:13" ht="20.100000000000001" customHeight="1" x14ac:dyDescent="0.25">
      <c r="A3" s="23" t="s">
        <v>660</v>
      </c>
      <c r="B3" s="2" t="s">
        <v>667</v>
      </c>
      <c r="C3" s="4">
        <v>82.89</v>
      </c>
      <c r="D3" s="4">
        <v>82.16</v>
      </c>
      <c r="E3" s="4">
        <v>83.36</v>
      </c>
      <c r="F3" s="5">
        <v>83.37</v>
      </c>
      <c r="G3" s="6">
        <v>-5.7574667146456033E-3</v>
      </c>
      <c r="H3" s="4" t="s">
        <v>901</v>
      </c>
      <c r="I3" s="5" t="s">
        <v>39</v>
      </c>
      <c r="J3" s="5">
        <v>23.35</v>
      </c>
      <c r="K3" s="5">
        <v>72.66</v>
      </c>
      <c r="L3" s="5">
        <f t="shared" si="0"/>
        <v>65.394000000000005</v>
      </c>
      <c r="M3" s="5" t="b">
        <f t="shared" si="1"/>
        <v>0</v>
      </c>
    </row>
    <row r="4" spans="1:13" ht="20.100000000000001" customHeight="1" x14ac:dyDescent="0.25">
      <c r="A4" s="23" t="s">
        <v>661</v>
      </c>
      <c r="B4" s="2" t="s">
        <v>668</v>
      </c>
      <c r="C4" s="4">
        <v>44.73</v>
      </c>
      <c r="D4" s="4">
        <v>44.39</v>
      </c>
      <c r="E4" s="4">
        <v>45.26</v>
      </c>
      <c r="F4" s="5">
        <v>45.23</v>
      </c>
      <c r="G4" s="6">
        <v>-1.1054609772275039E-2</v>
      </c>
      <c r="H4" s="4" t="s">
        <v>557</v>
      </c>
      <c r="I4" s="5" t="s">
        <v>39</v>
      </c>
      <c r="J4" s="5">
        <v>186.38</v>
      </c>
      <c r="K4" s="5">
        <v>38.32</v>
      </c>
      <c r="L4" s="5">
        <f t="shared" si="0"/>
        <v>34.488</v>
      </c>
      <c r="M4" s="5" t="b">
        <f t="shared" si="1"/>
        <v>0</v>
      </c>
    </row>
    <row r="5" spans="1:13" ht="20.100000000000001" customHeight="1" x14ac:dyDescent="0.25">
      <c r="A5" s="23" t="s">
        <v>662</v>
      </c>
      <c r="B5" s="2" t="s">
        <v>902</v>
      </c>
      <c r="C5" s="4">
        <v>262.5</v>
      </c>
      <c r="D5" s="4">
        <v>262.5</v>
      </c>
      <c r="E5" s="4">
        <v>264</v>
      </c>
      <c r="F5" s="5">
        <v>265.5</v>
      </c>
      <c r="G5" s="6">
        <v>-1.1299435028248588E-2</v>
      </c>
      <c r="H5" s="4" t="s">
        <v>903</v>
      </c>
      <c r="I5" s="5">
        <v>0.56999999999999995</v>
      </c>
      <c r="J5" s="5" t="s">
        <v>39</v>
      </c>
      <c r="K5" s="5">
        <v>174.33</v>
      </c>
      <c r="L5" s="5">
        <f t="shared" si="0"/>
        <v>156.89700000000002</v>
      </c>
      <c r="M5" s="5" t="b">
        <f t="shared" si="1"/>
        <v>0</v>
      </c>
    </row>
    <row r="6" spans="1:13" ht="20.100000000000001" customHeight="1" x14ac:dyDescent="0.25">
      <c r="A6" s="23" t="s">
        <v>664</v>
      </c>
      <c r="B6" s="19" t="s">
        <v>669</v>
      </c>
      <c r="C6" s="4">
        <v>27.09</v>
      </c>
      <c r="D6" s="4">
        <v>26.9</v>
      </c>
      <c r="E6" s="4">
        <v>27.26</v>
      </c>
      <c r="F6" s="5">
        <v>27.25</v>
      </c>
      <c r="G6" s="6">
        <v>-5.8715596330275281E-3</v>
      </c>
      <c r="H6" s="6" t="s">
        <v>904</v>
      </c>
      <c r="I6" s="5">
        <v>5.48</v>
      </c>
      <c r="J6" s="5">
        <v>7.14</v>
      </c>
      <c r="K6" s="5">
        <v>29.65</v>
      </c>
      <c r="L6" s="5">
        <f>K6*0.9</f>
        <v>26.684999999999999</v>
      </c>
      <c r="M6" s="5" t="b">
        <f>L6&gt;C6</f>
        <v>0</v>
      </c>
    </row>
    <row r="7" spans="1:13" ht="20.100000000000001" customHeight="1" x14ac:dyDescent="0.25">
      <c r="A7" s="23" t="s">
        <v>663</v>
      </c>
      <c r="B7" s="2" t="s">
        <v>670</v>
      </c>
      <c r="C7" s="4">
        <v>31.79</v>
      </c>
      <c r="D7" s="4">
        <v>31.7</v>
      </c>
      <c r="E7" s="4">
        <v>32.049999999999997</v>
      </c>
      <c r="F7" s="5">
        <v>32.47</v>
      </c>
      <c r="G7" s="6">
        <v>-2.0942408376963342E-2</v>
      </c>
      <c r="H7" s="4" t="s">
        <v>905</v>
      </c>
      <c r="I7" s="5">
        <v>0.55000000000000004</v>
      </c>
      <c r="J7" s="5">
        <v>48.39</v>
      </c>
      <c r="K7" s="5">
        <v>28.26</v>
      </c>
      <c r="L7" s="5">
        <f t="shared" si="0"/>
        <v>25.434000000000001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B12" sqref="B12"/>
    </sheetView>
  </sheetViews>
  <sheetFormatPr defaultColWidth="19.75" defaultRowHeight="20.100000000000001" customHeight="1" x14ac:dyDescent="0.25"/>
  <cols>
    <col min="1" max="1" width="9.125" style="7" bestFit="1" customWidth="1"/>
    <col min="2" max="2" width="36.625" style="7" bestFit="1" customWidth="1"/>
    <col min="3" max="3" width="14" style="7" bestFit="1" customWidth="1"/>
    <col min="4" max="4" width="11.875" style="7" bestFit="1" customWidth="1"/>
    <col min="5" max="5" width="12.25" style="7" bestFit="1" customWidth="1"/>
    <col min="6" max="6" width="16.875" style="7" bestFit="1" customWidth="1"/>
    <col min="7" max="7" width="12.125" style="7" bestFit="1" customWidth="1"/>
    <col min="8" max="8" width="14" style="7" bestFit="1" customWidth="1"/>
    <col min="9" max="9" width="11.125" style="10" bestFit="1" customWidth="1"/>
    <col min="10" max="10" width="10" style="10" bestFit="1" customWidth="1"/>
    <col min="11" max="11" width="10.125" style="10" bestFit="1" customWidth="1"/>
    <col min="12" max="16384" width="19.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80.78</v>
      </c>
      <c r="D2" s="88">
        <v>79.34</v>
      </c>
      <c r="E2" s="88">
        <v>81.64</v>
      </c>
      <c r="F2" s="85">
        <v>81.25</v>
      </c>
      <c r="G2" s="87">
        <v>-5.7846153846153707E-3</v>
      </c>
      <c r="H2" s="88" t="s">
        <v>982</v>
      </c>
      <c r="I2" s="85">
        <v>1.63</v>
      </c>
      <c r="J2" s="85">
        <v>10.9</v>
      </c>
      <c r="K2" s="85">
        <v>83.29</v>
      </c>
      <c r="L2" s="91">
        <f t="shared" ref="L2:L8" si="0">K2*0.9</f>
        <v>74.961000000000013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77.7</v>
      </c>
      <c r="D3" s="88">
        <v>76.78</v>
      </c>
      <c r="E3" s="88">
        <v>78</v>
      </c>
      <c r="F3" s="85">
        <v>76.900000000000006</v>
      </c>
      <c r="G3" s="87">
        <v>1.0403120936280846E-2</v>
      </c>
      <c r="H3" s="88" t="s">
        <v>983</v>
      </c>
      <c r="I3" s="85">
        <v>2.2999999999999998</v>
      </c>
      <c r="J3" s="85">
        <v>17.989999999999998</v>
      </c>
      <c r="K3" s="85">
        <v>80.34</v>
      </c>
      <c r="L3" s="85">
        <f t="shared" si="0"/>
        <v>72.306000000000012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166.75</v>
      </c>
      <c r="D4" s="88">
        <v>163.57</v>
      </c>
      <c r="E4" s="88">
        <v>167.21</v>
      </c>
      <c r="F4" s="85">
        <v>164.42</v>
      </c>
      <c r="G4" s="87">
        <v>1.4171025422698045E-2</v>
      </c>
      <c r="H4" s="88" t="s">
        <v>984</v>
      </c>
      <c r="I4" s="85">
        <v>0.67</v>
      </c>
      <c r="J4" s="85">
        <v>17.32</v>
      </c>
      <c r="K4" s="85">
        <v>178.82</v>
      </c>
      <c r="L4" s="85">
        <f t="shared" si="0"/>
        <v>160.93799999999999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70.53</v>
      </c>
      <c r="D5" s="4">
        <v>68.7</v>
      </c>
      <c r="E5" s="4">
        <v>70.81</v>
      </c>
      <c r="F5" s="5">
        <v>69.84</v>
      </c>
      <c r="G5" s="6">
        <v>9.8797250859106196E-3</v>
      </c>
      <c r="H5" s="4" t="s">
        <v>985</v>
      </c>
      <c r="I5" s="5" t="s">
        <v>39</v>
      </c>
      <c r="J5" s="5">
        <v>17.43</v>
      </c>
      <c r="K5" s="5">
        <v>73.67</v>
      </c>
      <c r="L5" s="5">
        <f t="shared" si="0"/>
        <v>66.302999999999997</v>
      </c>
      <c r="M5" s="5" t="b">
        <f t="shared" si="1"/>
        <v>0</v>
      </c>
    </row>
    <row r="6" spans="1:13" ht="20.100000000000001" customHeight="1" x14ac:dyDescent="0.25">
      <c r="A6" s="81" t="s">
        <v>31</v>
      </c>
      <c r="B6" s="2" t="s">
        <v>63</v>
      </c>
      <c r="C6" s="4">
        <v>88.99</v>
      </c>
      <c r="D6" s="4">
        <v>88.46</v>
      </c>
      <c r="E6" s="4">
        <v>89.91</v>
      </c>
      <c r="F6" s="5">
        <v>89.55</v>
      </c>
      <c r="G6" s="6">
        <v>-6.2534896705751233E-3</v>
      </c>
      <c r="H6" s="4" t="s">
        <v>986</v>
      </c>
      <c r="I6" s="5">
        <v>1.88</v>
      </c>
      <c r="J6" s="5">
        <v>20.47</v>
      </c>
      <c r="K6" s="5">
        <v>97.44</v>
      </c>
      <c r="L6" s="5">
        <f t="shared" si="0"/>
        <v>87.695999999999998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28.07</v>
      </c>
      <c r="D7" s="4">
        <v>27.21</v>
      </c>
      <c r="E7" s="4">
        <v>28.13</v>
      </c>
      <c r="F7" s="5">
        <v>27.73</v>
      </c>
      <c r="G7" s="6">
        <v>1.2261089073205909E-2</v>
      </c>
      <c r="H7" s="4" t="s">
        <v>987</v>
      </c>
      <c r="I7" s="5" t="s">
        <v>39</v>
      </c>
      <c r="J7" s="5">
        <v>29</v>
      </c>
      <c r="K7" s="5">
        <v>24.85</v>
      </c>
      <c r="L7" s="5">
        <f t="shared" si="0"/>
        <v>22.365000000000002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140</v>
      </c>
      <c r="D8" s="4">
        <v>138.41999999999999</v>
      </c>
      <c r="E8" s="4">
        <v>140.47999999999999</v>
      </c>
      <c r="F8" s="5">
        <v>138.32</v>
      </c>
      <c r="G8" s="6">
        <v>1.2145748987854301E-2</v>
      </c>
      <c r="H8" s="4" t="s">
        <v>988</v>
      </c>
      <c r="I8" s="5">
        <v>1.78</v>
      </c>
      <c r="J8" s="5">
        <v>21.91</v>
      </c>
      <c r="K8" s="5">
        <v>135.91999999999999</v>
      </c>
      <c r="L8" s="5">
        <f t="shared" si="0"/>
        <v>122.32799999999999</v>
      </c>
      <c r="M8" s="5" t="b">
        <f t="shared" si="1"/>
        <v>0</v>
      </c>
    </row>
    <row r="9" spans="1:13" ht="20.100000000000001" customHeight="1" x14ac:dyDescent="0.25">
      <c r="A9" s="81" t="s">
        <v>143</v>
      </c>
      <c r="B9" s="19" t="s">
        <v>288</v>
      </c>
      <c r="C9" s="4">
        <v>32.340000000000003</v>
      </c>
      <c r="D9" s="4">
        <v>31.6</v>
      </c>
      <c r="E9" s="4">
        <v>32.520000000000003</v>
      </c>
      <c r="F9" s="5">
        <v>31.72</v>
      </c>
      <c r="G9" s="6">
        <v>1.9546027742749199E-2</v>
      </c>
      <c r="H9" s="6" t="s">
        <v>989</v>
      </c>
      <c r="I9" s="5" t="s">
        <v>39</v>
      </c>
      <c r="J9" s="5">
        <v>24.26</v>
      </c>
      <c r="K9" s="5">
        <v>32.69</v>
      </c>
      <c r="L9" s="5">
        <f>K9*0.9</f>
        <v>29.420999999999999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ColWidth="9.125" defaultRowHeight="20.100000000000001" customHeight="1" x14ac:dyDescent="0.25"/>
  <cols>
    <col min="1" max="1" width="9.125" style="2"/>
    <col min="2" max="2" width="35.75" style="2" bestFit="1" customWidth="1"/>
    <col min="3" max="3" width="14" style="4" bestFit="1" customWidth="1"/>
    <col min="4" max="4" width="11.875" style="4" bestFit="1" customWidth="1"/>
    <col min="5" max="5" width="12.25" style="4" bestFit="1" customWidth="1"/>
    <col min="6" max="6" width="16.875" style="9" bestFit="1" customWidth="1"/>
    <col min="7" max="7" width="12.125" style="12" customWidth="1"/>
    <col min="8" max="8" width="14" style="4" bestFit="1" customWidth="1"/>
    <col min="9" max="9" width="11.125" style="5" bestFit="1" customWidth="1"/>
    <col min="10" max="10" width="6.75" style="2" bestFit="1" customWidth="1"/>
    <col min="11" max="11" width="10.125" style="2" bestFit="1" customWidth="1"/>
    <col min="12" max="16384" width="9.1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699</v>
      </c>
      <c r="B2" s="2" t="s">
        <v>705</v>
      </c>
      <c r="C2" s="4">
        <v>88.05</v>
      </c>
      <c r="D2" s="4">
        <v>87.3</v>
      </c>
      <c r="E2" s="4">
        <v>88.11</v>
      </c>
      <c r="F2" s="5">
        <v>88.06</v>
      </c>
      <c r="G2" s="6">
        <v>-1.1355893708840695E-4</v>
      </c>
      <c r="H2" s="4" t="s">
        <v>906</v>
      </c>
      <c r="I2" s="5">
        <v>3.04</v>
      </c>
      <c r="J2" s="4">
        <v>23.84</v>
      </c>
      <c r="K2" s="4">
        <v>83.76</v>
      </c>
      <c r="L2" s="79">
        <f t="shared" ref="L2:L7" si="0">K2*0.89</f>
        <v>74.546400000000006</v>
      </c>
      <c r="M2" s="80" t="b">
        <f t="shared" ref="M2:M7" si="1">L2&gt;C2</f>
        <v>0</v>
      </c>
    </row>
    <row r="3" spans="1:13" ht="20.100000000000001" customHeight="1" x14ac:dyDescent="0.25">
      <c r="A3" s="1" t="s">
        <v>700</v>
      </c>
      <c r="B3" s="2" t="s">
        <v>706</v>
      </c>
      <c r="C3" s="4">
        <v>50.99</v>
      </c>
      <c r="D3" s="4">
        <v>50.13</v>
      </c>
      <c r="E3" s="4">
        <v>51.06</v>
      </c>
      <c r="F3" s="5">
        <v>50.83</v>
      </c>
      <c r="G3" s="6">
        <v>3.1477473932717626E-3</v>
      </c>
      <c r="H3" s="4" t="s">
        <v>907</v>
      </c>
      <c r="I3" s="5">
        <v>1.52</v>
      </c>
      <c r="J3" s="4">
        <v>49.46</v>
      </c>
      <c r="K3" s="4">
        <v>47.74</v>
      </c>
      <c r="L3" s="70">
        <f t="shared" si="0"/>
        <v>42.488600000000005</v>
      </c>
      <c r="M3" s="70" t="b">
        <f t="shared" si="1"/>
        <v>0</v>
      </c>
    </row>
    <row r="4" spans="1:13" ht="20.100000000000001" customHeight="1" x14ac:dyDescent="0.25">
      <c r="A4" s="2" t="s">
        <v>701</v>
      </c>
      <c r="B4" s="2" t="s">
        <v>707</v>
      </c>
      <c r="C4" s="4">
        <v>122.73</v>
      </c>
      <c r="D4" s="4">
        <v>121.75</v>
      </c>
      <c r="E4" s="4">
        <v>123.21</v>
      </c>
      <c r="F4" s="5">
        <v>122.54</v>
      </c>
      <c r="G4" s="6">
        <v>1.5505141178390543E-3</v>
      </c>
      <c r="H4" s="4" t="s">
        <v>908</v>
      </c>
      <c r="I4" s="5">
        <v>2.61</v>
      </c>
      <c r="J4" s="4">
        <v>24.95</v>
      </c>
      <c r="K4" s="4">
        <v>130.21</v>
      </c>
      <c r="L4" s="70">
        <f t="shared" si="0"/>
        <v>115.88690000000001</v>
      </c>
      <c r="M4" s="70" t="b">
        <f t="shared" si="1"/>
        <v>0</v>
      </c>
    </row>
    <row r="5" spans="1:13" ht="20.100000000000001" customHeight="1" x14ac:dyDescent="0.25">
      <c r="A5" s="2" t="s">
        <v>702</v>
      </c>
      <c r="B5" s="2" t="s">
        <v>708</v>
      </c>
      <c r="C5" s="4">
        <v>71.959999999999994</v>
      </c>
      <c r="D5" s="4">
        <v>71.38</v>
      </c>
      <c r="E5" s="4">
        <v>72.08</v>
      </c>
      <c r="F5" s="5">
        <v>72.099999999999994</v>
      </c>
      <c r="G5" s="6">
        <v>-1.9417475728155419E-3</v>
      </c>
      <c r="H5" s="4" t="s">
        <v>909</v>
      </c>
      <c r="I5" s="5">
        <v>2.16</v>
      </c>
      <c r="J5" s="4">
        <v>46.34</v>
      </c>
      <c r="K5" s="4">
        <v>71.91</v>
      </c>
      <c r="L5" s="70">
        <f t="shared" si="0"/>
        <v>63.999899999999997</v>
      </c>
      <c r="M5" s="70" t="b">
        <f t="shared" si="1"/>
        <v>0</v>
      </c>
    </row>
    <row r="6" spans="1:13" ht="20.100000000000001" customHeight="1" x14ac:dyDescent="0.25">
      <c r="A6" s="2" t="s">
        <v>703</v>
      </c>
      <c r="B6" s="2" t="s">
        <v>709</v>
      </c>
      <c r="C6" s="4">
        <v>118.25</v>
      </c>
      <c r="D6" s="4">
        <v>118.12</v>
      </c>
      <c r="E6" s="4">
        <v>119.14</v>
      </c>
      <c r="F6" s="5">
        <v>118.63</v>
      </c>
      <c r="G6" s="6">
        <v>-3.20323695523894E-3</v>
      </c>
      <c r="H6" s="4" t="s">
        <v>910</v>
      </c>
      <c r="I6" s="5">
        <v>2.7</v>
      </c>
      <c r="J6" s="4">
        <v>22.04</v>
      </c>
      <c r="K6" s="4">
        <v>115.71</v>
      </c>
      <c r="L6" s="70">
        <f t="shared" si="0"/>
        <v>102.9819</v>
      </c>
      <c r="M6" s="70" t="b">
        <f t="shared" si="1"/>
        <v>0</v>
      </c>
    </row>
    <row r="7" spans="1:13" ht="20.100000000000001" customHeight="1" x14ac:dyDescent="0.25">
      <c r="A7" s="2" t="s">
        <v>704</v>
      </c>
      <c r="B7" s="2" t="s">
        <v>710</v>
      </c>
      <c r="C7" s="4">
        <v>121.81</v>
      </c>
      <c r="D7" s="4">
        <v>121.2</v>
      </c>
      <c r="E7" s="4">
        <v>122.81</v>
      </c>
      <c r="F7" s="5">
        <v>122.44</v>
      </c>
      <c r="G7" s="6">
        <v>-5.1453773276706584E-3</v>
      </c>
      <c r="H7" s="4" t="s">
        <v>911</v>
      </c>
      <c r="I7" s="5">
        <v>3.02</v>
      </c>
      <c r="J7" s="4">
        <v>22.59</v>
      </c>
      <c r="K7" s="4">
        <v>131.19</v>
      </c>
      <c r="L7" s="70">
        <f t="shared" si="0"/>
        <v>116.7591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769</v>
      </c>
      <c r="I2" s="5">
        <v>3.42</v>
      </c>
      <c r="J2" s="4">
        <v>22.81</v>
      </c>
      <c r="K2" s="4">
        <v>130.41999999999999</v>
      </c>
      <c r="L2" s="5">
        <f t="shared" ref="L2:L13" si="0">K2*0.9</f>
        <v>117.37799999999999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126</v>
      </c>
      <c r="B3" s="2" t="s">
        <v>136</v>
      </c>
      <c r="C3" s="4">
        <v>51.09</v>
      </c>
      <c r="D3" s="4">
        <v>50.85</v>
      </c>
      <c r="E3" s="4">
        <v>51.36</v>
      </c>
      <c r="F3" s="5">
        <v>51.58</v>
      </c>
      <c r="G3" s="6">
        <v>-9.4998061264054846E-3</v>
      </c>
      <c r="H3" s="4" t="s">
        <v>912</v>
      </c>
      <c r="I3" s="5">
        <v>3.68</v>
      </c>
      <c r="J3" s="4">
        <v>18.09</v>
      </c>
      <c r="K3" s="4">
        <v>53.32</v>
      </c>
      <c r="L3" s="5">
        <f t="shared" si="0"/>
        <v>47.988</v>
      </c>
      <c r="M3" s="5" t="b">
        <f t="shared" si="1"/>
        <v>0</v>
      </c>
    </row>
    <row r="4" spans="1:13" ht="20.100000000000001" customHeight="1" x14ac:dyDescent="0.25">
      <c r="A4" s="2" t="s">
        <v>125</v>
      </c>
      <c r="B4" s="2" t="s">
        <v>135</v>
      </c>
      <c r="C4" s="11">
        <v>29.68</v>
      </c>
      <c r="D4" s="4">
        <v>29.54</v>
      </c>
      <c r="E4" s="4">
        <v>29.75</v>
      </c>
      <c r="F4" s="5">
        <v>29.75</v>
      </c>
      <c r="G4" s="26">
        <v>-2.352941176470598E-3</v>
      </c>
      <c r="H4" s="6" t="s">
        <v>913</v>
      </c>
      <c r="I4" s="5">
        <v>3.1</v>
      </c>
      <c r="J4" s="4">
        <v>25.09</v>
      </c>
      <c r="K4" s="4">
        <v>30.86</v>
      </c>
      <c r="L4" s="5">
        <f t="shared" si="0"/>
        <v>27.774000000000001</v>
      </c>
      <c r="M4" s="5" t="b">
        <f t="shared" si="1"/>
        <v>0</v>
      </c>
    </row>
    <row r="5" spans="1:13" ht="20.100000000000001" customHeight="1" x14ac:dyDescent="0.25">
      <c r="A5" s="1" t="s">
        <v>127</v>
      </c>
      <c r="B5" s="2" t="s">
        <v>159</v>
      </c>
      <c r="C5" s="20">
        <v>30.97</v>
      </c>
      <c r="D5" s="20">
        <v>30.6</v>
      </c>
      <c r="E5" s="20">
        <v>31.13</v>
      </c>
      <c r="F5" s="5">
        <v>31.12</v>
      </c>
      <c r="G5" s="26">
        <v>-4.8200514138818165E-3</v>
      </c>
      <c r="H5" s="6" t="s">
        <v>803</v>
      </c>
      <c r="I5" s="5">
        <v>4.95</v>
      </c>
      <c r="J5" s="4">
        <v>3.97</v>
      </c>
      <c r="K5" s="4">
        <v>30.77</v>
      </c>
      <c r="L5" s="5">
        <f t="shared" si="0"/>
        <v>27.693000000000001</v>
      </c>
      <c r="M5" s="5" t="b">
        <f t="shared" si="1"/>
        <v>0</v>
      </c>
    </row>
    <row r="6" spans="1:13" ht="20.100000000000001" customHeight="1" x14ac:dyDescent="0.25">
      <c r="A6" s="2" t="s">
        <v>124</v>
      </c>
      <c r="B6" s="2" t="s">
        <v>134</v>
      </c>
      <c r="C6" s="4">
        <v>175.06</v>
      </c>
      <c r="D6" s="4">
        <v>174.38</v>
      </c>
      <c r="E6" s="4">
        <v>175.95</v>
      </c>
      <c r="F6" s="5">
        <v>176.59</v>
      </c>
      <c r="G6" s="6">
        <v>-8.6641372671159237E-3</v>
      </c>
      <c r="H6" s="4" t="s">
        <v>914</v>
      </c>
      <c r="I6" s="5">
        <v>2.5099999999999998</v>
      </c>
      <c r="J6" s="4">
        <v>22.34</v>
      </c>
      <c r="K6" s="4">
        <v>171.43</v>
      </c>
      <c r="L6" s="5">
        <f t="shared" si="0"/>
        <v>154.28700000000001</v>
      </c>
      <c r="M6" s="5" t="b">
        <f t="shared" si="1"/>
        <v>0</v>
      </c>
    </row>
    <row r="7" spans="1:13" ht="20.100000000000001" customHeight="1" x14ac:dyDescent="0.25">
      <c r="A7" s="1" t="s">
        <v>119</v>
      </c>
      <c r="B7" s="2" t="s">
        <v>129</v>
      </c>
      <c r="C7" s="11">
        <v>32.17</v>
      </c>
      <c r="D7" s="4">
        <v>31.86</v>
      </c>
      <c r="E7" s="4">
        <v>32.369999999999997</v>
      </c>
      <c r="F7" s="5">
        <v>32.53</v>
      </c>
      <c r="G7" s="26">
        <v>-1.1066707654472777E-2</v>
      </c>
      <c r="H7" s="6" t="s">
        <v>915</v>
      </c>
      <c r="I7" s="5">
        <v>3.2</v>
      </c>
      <c r="J7" s="4">
        <v>19.32</v>
      </c>
      <c r="K7" s="4">
        <v>32.99</v>
      </c>
      <c r="L7" s="5">
        <f t="shared" si="0"/>
        <v>29.691000000000003</v>
      </c>
      <c r="M7" s="5" t="b">
        <f t="shared" si="1"/>
        <v>0</v>
      </c>
    </row>
    <row r="8" spans="1:13" ht="20.100000000000001" customHeight="1" x14ac:dyDescent="0.25">
      <c r="A8" s="1" t="s">
        <v>121</v>
      </c>
      <c r="B8" s="2" t="s">
        <v>131</v>
      </c>
      <c r="C8" s="4">
        <v>23.8</v>
      </c>
      <c r="D8" s="4">
        <v>23.1</v>
      </c>
      <c r="E8" s="4">
        <v>23.87</v>
      </c>
      <c r="F8" s="5">
        <v>23.42</v>
      </c>
      <c r="G8" s="6">
        <v>1.6225448334756573E-2</v>
      </c>
      <c r="H8" s="4" t="s">
        <v>916</v>
      </c>
      <c r="I8" s="5">
        <v>1.89</v>
      </c>
      <c r="J8" s="4">
        <v>6.15</v>
      </c>
      <c r="K8" s="4">
        <v>19.899999999999999</v>
      </c>
      <c r="L8" s="5">
        <f t="shared" si="0"/>
        <v>17.91</v>
      </c>
      <c r="M8" s="5" t="b">
        <f t="shared" si="1"/>
        <v>0</v>
      </c>
    </row>
    <row r="9" spans="1:13" ht="20.100000000000001" customHeight="1" x14ac:dyDescent="0.25">
      <c r="A9" s="1" t="s">
        <v>120</v>
      </c>
      <c r="B9" s="2" t="s">
        <v>130</v>
      </c>
      <c r="C9" s="4">
        <v>100.1</v>
      </c>
      <c r="D9" s="4">
        <v>99.85</v>
      </c>
      <c r="E9" s="4">
        <v>102.57</v>
      </c>
      <c r="F9" s="5">
        <v>102.71</v>
      </c>
      <c r="G9" s="6">
        <v>-2.5411352351280298E-2</v>
      </c>
      <c r="H9" s="4" t="s">
        <v>917</v>
      </c>
      <c r="I9" s="5">
        <v>2.6</v>
      </c>
      <c r="J9" s="4">
        <v>11.81</v>
      </c>
      <c r="K9" s="4">
        <v>102.73</v>
      </c>
      <c r="L9" s="5">
        <f t="shared" si="0"/>
        <v>92.457000000000008</v>
      </c>
      <c r="M9" s="5" t="b">
        <f t="shared" si="1"/>
        <v>0</v>
      </c>
    </row>
    <row r="10" spans="1:13" ht="20.100000000000001" customHeight="1" x14ac:dyDescent="0.25">
      <c r="A10" s="1" t="s">
        <v>122</v>
      </c>
      <c r="B10" s="2" t="s">
        <v>132</v>
      </c>
      <c r="C10" s="11">
        <v>59.45</v>
      </c>
      <c r="D10" s="4">
        <v>59.25</v>
      </c>
      <c r="E10" s="4">
        <v>60.04</v>
      </c>
      <c r="F10" s="5">
        <v>60.07</v>
      </c>
      <c r="G10" s="26">
        <v>-1.0321291826202721E-2</v>
      </c>
      <c r="H10" s="6" t="s">
        <v>773</v>
      </c>
      <c r="I10" s="5">
        <v>0.73</v>
      </c>
      <c r="J10" s="4">
        <v>22.66</v>
      </c>
      <c r="K10" s="4">
        <v>56.3</v>
      </c>
      <c r="L10" s="5">
        <f t="shared" si="0"/>
        <v>50.67</v>
      </c>
      <c r="M10" s="5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20">
        <v>114.26</v>
      </c>
      <c r="D11" s="20">
        <v>113.49</v>
      </c>
      <c r="E11" s="20">
        <v>114.86</v>
      </c>
      <c r="F11" s="5">
        <v>115.28</v>
      </c>
      <c r="G11" s="26">
        <v>-8.8480222068007975E-3</v>
      </c>
      <c r="H11" s="6" t="s">
        <v>918</v>
      </c>
      <c r="I11" s="5">
        <v>2.09</v>
      </c>
      <c r="J11" s="4">
        <v>18.079999999999998</v>
      </c>
      <c r="K11" s="4">
        <v>114.33</v>
      </c>
      <c r="L11" s="5">
        <f t="shared" si="0"/>
        <v>102.89700000000001</v>
      </c>
      <c r="M11" s="5" t="b">
        <f t="shared" si="1"/>
        <v>0</v>
      </c>
    </row>
    <row r="12" spans="1:13" ht="20.100000000000001" customHeight="1" x14ac:dyDescent="0.25">
      <c r="A12" s="2" t="s">
        <v>275</v>
      </c>
      <c r="B12" s="2" t="s">
        <v>276</v>
      </c>
      <c r="C12" s="20">
        <v>82.05</v>
      </c>
      <c r="D12" s="20">
        <v>81.209999999999994</v>
      </c>
      <c r="E12" s="20">
        <v>82.08</v>
      </c>
      <c r="F12" s="5">
        <v>82.03</v>
      </c>
      <c r="G12" s="26">
        <v>2.4381323905883239E-4</v>
      </c>
      <c r="H12" s="6" t="s">
        <v>919</v>
      </c>
      <c r="I12" s="5">
        <v>3.8</v>
      </c>
      <c r="J12" s="4">
        <v>54.7</v>
      </c>
      <c r="K12" s="4">
        <v>76.790000000000006</v>
      </c>
      <c r="L12" s="5">
        <f t="shared" si="0"/>
        <v>69.111000000000004</v>
      </c>
      <c r="M12" s="5" t="b">
        <f t="shared" si="1"/>
        <v>0</v>
      </c>
    </row>
    <row r="13" spans="1:13" ht="20.100000000000001" customHeight="1" x14ac:dyDescent="0.25">
      <c r="A13" s="81" t="s">
        <v>450</v>
      </c>
      <c r="B13" s="2" t="s">
        <v>452</v>
      </c>
      <c r="C13" s="20">
        <v>12.11</v>
      </c>
      <c r="D13" s="20">
        <v>12.01</v>
      </c>
      <c r="E13" s="20">
        <v>12.13</v>
      </c>
      <c r="F13" s="5">
        <v>12.11</v>
      </c>
      <c r="G13" s="26">
        <v>0</v>
      </c>
      <c r="H13" s="6" t="s">
        <v>804</v>
      </c>
      <c r="I13" s="5">
        <v>4.9400000000000004</v>
      </c>
      <c r="J13" s="4">
        <v>5.71</v>
      </c>
      <c r="K13" s="4">
        <v>13.05</v>
      </c>
      <c r="L13" s="5">
        <f t="shared" si="0"/>
        <v>11.745000000000001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522</v>
      </c>
      <c r="B2" s="2" t="s">
        <v>592</v>
      </c>
      <c r="C2" s="4">
        <v>63.31</v>
      </c>
      <c r="D2" s="4">
        <v>62.97</v>
      </c>
      <c r="E2" s="4">
        <v>63.48</v>
      </c>
      <c r="F2" s="5">
        <v>63.83</v>
      </c>
      <c r="G2" s="6">
        <v>-8.1466395112015678E-3</v>
      </c>
      <c r="H2" s="4" t="s">
        <v>920</v>
      </c>
      <c r="I2" s="5">
        <v>2.0099999999999998</v>
      </c>
      <c r="J2" s="4">
        <v>11.66</v>
      </c>
      <c r="K2" s="4">
        <v>64.5</v>
      </c>
      <c r="L2" s="5">
        <f t="shared" ref="L2:L18" si="0">K2*0.9</f>
        <v>58.050000000000004</v>
      </c>
      <c r="M2" s="5" t="b">
        <f t="shared" ref="M2:M13" si="1">L2&gt;C2</f>
        <v>0</v>
      </c>
    </row>
    <row r="3" spans="1:13" ht="20.100000000000001" customHeight="1" x14ac:dyDescent="0.25">
      <c r="A3" s="2" t="s">
        <v>582</v>
      </c>
      <c r="B3" s="2" t="s">
        <v>593</v>
      </c>
      <c r="C3" s="4">
        <v>59.4</v>
      </c>
      <c r="D3" s="4">
        <v>58.2</v>
      </c>
      <c r="E3" s="4">
        <v>59.42</v>
      </c>
      <c r="F3" s="5">
        <v>59.01</v>
      </c>
      <c r="G3" s="6">
        <v>6.609049313675658E-3</v>
      </c>
      <c r="H3" s="4" t="s">
        <v>921</v>
      </c>
      <c r="I3" s="5">
        <v>2.31</v>
      </c>
      <c r="J3" s="4" t="s">
        <v>39</v>
      </c>
      <c r="K3" s="4">
        <v>58.81</v>
      </c>
      <c r="L3" s="5">
        <f t="shared" si="0"/>
        <v>52.929000000000002</v>
      </c>
      <c r="M3" s="5" t="b">
        <f t="shared" si="1"/>
        <v>0</v>
      </c>
    </row>
    <row r="4" spans="1:13" ht="20.100000000000001" customHeight="1" x14ac:dyDescent="0.25">
      <c r="A4" s="2" t="s">
        <v>583</v>
      </c>
      <c r="B4" s="2" t="s">
        <v>594</v>
      </c>
      <c r="C4" s="11">
        <v>49.96</v>
      </c>
      <c r="D4" s="4">
        <v>49.63</v>
      </c>
      <c r="E4" s="4">
        <v>50.09</v>
      </c>
      <c r="F4" s="5">
        <v>50.26</v>
      </c>
      <c r="G4" s="26">
        <v>-5.9689614007162189E-3</v>
      </c>
      <c r="H4" s="6" t="s">
        <v>922</v>
      </c>
      <c r="I4" s="5">
        <v>1.25</v>
      </c>
      <c r="J4" s="4">
        <v>26.67</v>
      </c>
      <c r="K4" s="4">
        <v>44.54</v>
      </c>
      <c r="L4" s="5">
        <f t="shared" si="0"/>
        <v>40.085999999999999</v>
      </c>
      <c r="M4" s="5" t="b">
        <f t="shared" si="1"/>
        <v>0</v>
      </c>
    </row>
    <row r="5" spans="1:13" ht="20.100000000000001" customHeight="1" x14ac:dyDescent="0.25">
      <c r="A5" s="2" t="s">
        <v>584</v>
      </c>
      <c r="B5" s="2" t="s">
        <v>595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585</v>
      </c>
      <c r="B6" s="2" t="s">
        <v>596</v>
      </c>
      <c r="C6" s="4">
        <v>177.19</v>
      </c>
      <c r="D6" s="4">
        <v>175.39</v>
      </c>
      <c r="E6" s="4">
        <v>177.55</v>
      </c>
      <c r="F6" s="5">
        <v>178.19</v>
      </c>
      <c r="G6" s="6">
        <v>-5.6119872046691737E-3</v>
      </c>
      <c r="H6" s="4" t="s">
        <v>923</v>
      </c>
      <c r="I6" s="5">
        <v>0.67</v>
      </c>
      <c r="J6" s="4">
        <v>26.65</v>
      </c>
      <c r="K6" s="4">
        <v>174.5</v>
      </c>
      <c r="L6" s="5">
        <f t="shared" si="0"/>
        <v>157.05000000000001</v>
      </c>
      <c r="M6" s="5" t="b">
        <f t="shared" si="1"/>
        <v>0</v>
      </c>
    </row>
    <row r="7" spans="1:13" ht="20.100000000000001" customHeight="1" x14ac:dyDescent="0.25">
      <c r="A7" s="2" t="s">
        <v>586</v>
      </c>
      <c r="B7" s="2" t="s">
        <v>597</v>
      </c>
      <c r="C7" s="11">
        <v>24.93</v>
      </c>
      <c r="D7" s="4">
        <v>24.49</v>
      </c>
      <c r="E7" s="4">
        <v>24.95</v>
      </c>
      <c r="F7" s="5">
        <v>24.94</v>
      </c>
      <c r="G7" s="26">
        <v>-4.0096230954296563E-4</v>
      </c>
      <c r="H7" s="6" t="s">
        <v>924</v>
      </c>
      <c r="I7" s="5" t="s">
        <v>39</v>
      </c>
      <c r="J7" s="4">
        <v>16.84</v>
      </c>
      <c r="K7" s="4">
        <v>23.76</v>
      </c>
      <c r="L7" s="5">
        <f t="shared" si="0"/>
        <v>21.384</v>
      </c>
      <c r="M7" s="5" t="b">
        <f t="shared" si="1"/>
        <v>0</v>
      </c>
    </row>
    <row r="8" spans="1:13" ht="20.100000000000001" customHeight="1" x14ac:dyDescent="0.25">
      <c r="A8" s="2" t="s">
        <v>524</v>
      </c>
      <c r="B8" s="2" t="s">
        <v>528</v>
      </c>
      <c r="C8" s="4">
        <v>50.26</v>
      </c>
      <c r="D8" s="4">
        <v>49.77</v>
      </c>
      <c r="E8" s="4">
        <v>50.32</v>
      </c>
      <c r="F8" s="5">
        <v>50.24</v>
      </c>
      <c r="G8" s="6">
        <v>3.9808917197444306E-4</v>
      </c>
      <c r="H8" s="4" t="s">
        <v>925</v>
      </c>
      <c r="I8" s="5">
        <v>2.5499999999999998</v>
      </c>
      <c r="J8" s="4">
        <v>24.15</v>
      </c>
      <c r="K8" s="4">
        <v>49.16</v>
      </c>
      <c r="L8" s="5">
        <f t="shared" si="0"/>
        <v>44.244</v>
      </c>
      <c r="M8" s="5" t="b">
        <f t="shared" si="1"/>
        <v>0</v>
      </c>
    </row>
    <row r="9" spans="1:13" ht="20.100000000000001" customHeight="1" x14ac:dyDescent="0.25">
      <c r="A9" s="2" t="s">
        <v>587</v>
      </c>
      <c r="B9" s="2" t="s">
        <v>599</v>
      </c>
      <c r="C9" s="4">
        <v>49.67</v>
      </c>
      <c r="D9" s="4">
        <v>49.15</v>
      </c>
      <c r="E9" s="4">
        <v>49.86</v>
      </c>
      <c r="F9" s="5">
        <v>50.14</v>
      </c>
      <c r="G9" s="6">
        <v>-9.3737534902273399E-3</v>
      </c>
      <c r="H9" s="4" t="s">
        <v>926</v>
      </c>
      <c r="I9" s="5" t="s">
        <v>39</v>
      </c>
      <c r="J9" s="4">
        <v>28.79</v>
      </c>
      <c r="K9" s="4">
        <v>48.64</v>
      </c>
      <c r="L9" s="5">
        <f t="shared" si="0"/>
        <v>43.776000000000003</v>
      </c>
      <c r="M9" s="5" t="b">
        <f t="shared" si="1"/>
        <v>0</v>
      </c>
    </row>
    <row r="10" spans="1:13" ht="20.100000000000001" customHeight="1" x14ac:dyDescent="0.25">
      <c r="A10" s="2" t="s">
        <v>588</v>
      </c>
      <c r="B10" s="2" t="s">
        <v>600</v>
      </c>
      <c r="C10" s="11">
        <v>121.52</v>
      </c>
      <c r="D10" s="4">
        <v>120.86</v>
      </c>
      <c r="E10" s="4">
        <v>121.89</v>
      </c>
      <c r="F10" s="5">
        <v>122.56</v>
      </c>
      <c r="G10" s="26">
        <v>-8.4856396866841242E-3</v>
      </c>
      <c r="H10" s="6" t="s">
        <v>927</v>
      </c>
      <c r="I10" s="5">
        <v>2.06</v>
      </c>
      <c r="J10" s="4">
        <v>20.63</v>
      </c>
      <c r="K10" s="4">
        <v>113.82</v>
      </c>
      <c r="L10" s="5">
        <f t="shared" si="0"/>
        <v>102.438</v>
      </c>
      <c r="M10" s="5" t="b">
        <f t="shared" si="1"/>
        <v>0</v>
      </c>
    </row>
    <row r="11" spans="1:13" ht="20.100000000000001" customHeight="1" x14ac:dyDescent="0.25">
      <c r="A11" s="2" t="s">
        <v>589</v>
      </c>
      <c r="B11" s="2" t="s">
        <v>601</v>
      </c>
      <c r="C11" s="20">
        <v>66.11</v>
      </c>
      <c r="D11" s="20">
        <v>65.3</v>
      </c>
      <c r="E11" s="20">
        <v>66.27</v>
      </c>
      <c r="F11" s="5">
        <v>66.099999999999994</v>
      </c>
      <c r="G11" s="26">
        <v>1.5128593040854941E-4</v>
      </c>
      <c r="H11" s="6" t="s">
        <v>928</v>
      </c>
      <c r="I11" s="5">
        <v>2.7</v>
      </c>
      <c r="J11" s="4">
        <v>11.94</v>
      </c>
      <c r="K11" s="4">
        <v>65.349999999999994</v>
      </c>
      <c r="L11" s="5">
        <f t="shared" si="0"/>
        <v>58.814999999999998</v>
      </c>
      <c r="M11" s="5" t="b">
        <f t="shared" si="1"/>
        <v>0</v>
      </c>
    </row>
    <row r="12" spans="1:13" ht="20.100000000000001" customHeight="1" x14ac:dyDescent="0.25">
      <c r="A12" s="2" t="s">
        <v>124</v>
      </c>
      <c r="B12" s="2" t="s">
        <v>134</v>
      </c>
      <c r="C12" s="20">
        <v>175.06</v>
      </c>
      <c r="D12" s="20">
        <v>174.38</v>
      </c>
      <c r="E12" s="20">
        <v>175.95</v>
      </c>
      <c r="F12" s="5">
        <v>176.59</v>
      </c>
      <c r="G12" s="26">
        <v>-8.6641372671159237E-3</v>
      </c>
      <c r="H12" s="6" t="s">
        <v>914</v>
      </c>
      <c r="I12" s="5">
        <v>2.5099999999999998</v>
      </c>
      <c r="J12" s="4">
        <v>22.34</v>
      </c>
      <c r="K12" s="4">
        <v>171.43</v>
      </c>
      <c r="L12" s="5">
        <f t="shared" si="0"/>
        <v>154.28700000000001</v>
      </c>
      <c r="M12" s="5" t="b">
        <f t="shared" si="1"/>
        <v>0</v>
      </c>
    </row>
    <row r="13" spans="1:13" ht="20.100000000000001" customHeight="1" x14ac:dyDescent="0.25">
      <c r="A13" s="2" t="s">
        <v>590</v>
      </c>
      <c r="B13" s="2" t="s">
        <v>602</v>
      </c>
      <c r="C13" s="20">
        <v>48.53</v>
      </c>
      <c r="D13" s="20">
        <v>48.4</v>
      </c>
      <c r="E13" s="20">
        <v>49.06</v>
      </c>
      <c r="F13" s="5">
        <v>49.26</v>
      </c>
      <c r="G13" s="26">
        <v>-1.4819326025172492E-2</v>
      </c>
      <c r="H13" s="6" t="s">
        <v>929</v>
      </c>
      <c r="I13" s="5">
        <v>2.76</v>
      </c>
      <c r="J13" s="4">
        <v>17.75</v>
      </c>
      <c r="K13" s="4">
        <v>49.98</v>
      </c>
      <c r="L13" s="5">
        <f t="shared" si="0"/>
        <v>44.981999999999999</v>
      </c>
      <c r="M13" s="5" t="b">
        <f t="shared" si="1"/>
        <v>0</v>
      </c>
    </row>
    <row r="14" spans="1:13" ht="20.100000000000001" customHeight="1" x14ac:dyDescent="0.25">
      <c r="A14" s="2" t="s">
        <v>591</v>
      </c>
      <c r="B14" s="2" t="s">
        <v>603</v>
      </c>
      <c r="C14" s="20">
        <v>113.89</v>
      </c>
      <c r="D14" s="20">
        <v>113.27</v>
      </c>
      <c r="E14" s="20">
        <v>114.59</v>
      </c>
      <c r="F14" s="5">
        <v>115.45</v>
      </c>
      <c r="G14" s="26">
        <v>-1.3512343005630163E-2</v>
      </c>
      <c r="H14" s="6" t="s">
        <v>930</v>
      </c>
      <c r="I14" s="5">
        <v>2.5299999999999998</v>
      </c>
      <c r="J14" s="4">
        <v>20.260000000000002</v>
      </c>
      <c r="K14" s="4">
        <v>114.63</v>
      </c>
      <c r="L14" s="5">
        <f t="shared" si="0"/>
        <v>103.167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126</v>
      </c>
      <c r="B15" s="2" t="s">
        <v>136</v>
      </c>
      <c r="C15" s="20">
        <v>51.09</v>
      </c>
      <c r="D15" s="20">
        <v>50.85</v>
      </c>
      <c r="E15" s="20">
        <v>51.36</v>
      </c>
      <c r="F15" s="5">
        <v>51.58</v>
      </c>
      <c r="G15" s="26">
        <v>-9.4998061264054846E-3</v>
      </c>
      <c r="H15" s="6" t="s">
        <v>912</v>
      </c>
      <c r="I15" s="5">
        <v>3.68</v>
      </c>
      <c r="J15" s="4">
        <v>18.09</v>
      </c>
      <c r="K15" s="4">
        <v>53.32</v>
      </c>
      <c r="L15" s="5">
        <f t="shared" si="0"/>
        <v>47.988</v>
      </c>
      <c r="M15" s="5" t="b">
        <f t="shared" si="2"/>
        <v>0</v>
      </c>
    </row>
    <row r="16" spans="1:13" ht="20.100000000000001" customHeight="1" x14ac:dyDescent="0.25">
      <c r="A16" s="2" t="s">
        <v>273</v>
      </c>
      <c r="B16" s="2" t="s">
        <v>274</v>
      </c>
      <c r="C16" s="20">
        <v>114.26</v>
      </c>
      <c r="D16" s="20">
        <v>113.49</v>
      </c>
      <c r="E16" s="20">
        <v>114.86</v>
      </c>
      <c r="F16" s="5">
        <v>115.28</v>
      </c>
      <c r="G16" s="26">
        <v>-8.8480222068007975E-3</v>
      </c>
      <c r="H16" s="6" t="s">
        <v>918</v>
      </c>
      <c r="I16" s="5">
        <v>2.09</v>
      </c>
      <c r="J16" s="4">
        <v>18.079999999999998</v>
      </c>
      <c r="K16" s="4">
        <v>114.33</v>
      </c>
      <c r="L16" s="5">
        <f t="shared" si="0"/>
        <v>102.89700000000001</v>
      </c>
      <c r="M16" s="5" t="b">
        <f t="shared" si="2"/>
        <v>0</v>
      </c>
    </row>
    <row r="17" spans="1:13" ht="20.100000000000001" customHeight="1" x14ac:dyDescent="0.25">
      <c r="A17" s="1" t="s">
        <v>120</v>
      </c>
      <c r="B17" s="2" t="s">
        <v>130</v>
      </c>
      <c r="C17" s="20">
        <v>100.1</v>
      </c>
      <c r="D17" s="20">
        <v>99.85</v>
      </c>
      <c r="E17" s="20">
        <v>102.57</v>
      </c>
      <c r="F17" s="5">
        <v>102.71</v>
      </c>
      <c r="G17" s="26">
        <v>-2.5411352351280298E-2</v>
      </c>
      <c r="H17" s="6" t="s">
        <v>917</v>
      </c>
      <c r="I17" s="5">
        <v>2.6</v>
      </c>
      <c r="J17" s="4">
        <v>11.81</v>
      </c>
      <c r="K17" s="4">
        <v>102.73</v>
      </c>
      <c r="L17" s="5">
        <f t="shared" si="0"/>
        <v>92.457000000000008</v>
      </c>
      <c r="M17" s="5" t="b">
        <f t="shared" si="2"/>
        <v>0</v>
      </c>
    </row>
    <row r="18" spans="1:13" ht="20.100000000000001" customHeight="1" x14ac:dyDescent="0.25">
      <c r="A18" s="2" t="s">
        <v>306</v>
      </c>
      <c r="B18" s="2" t="s">
        <v>307</v>
      </c>
      <c r="C18" s="20">
        <v>81.040000000000006</v>
      </c>
      <c r="D18" s="20">
        <v>80.98</v>
      </c>
      <c r="E18" s="20">
        <v>82.12</v>
      </c>
      <c r="F18" s="5">
        <v>82.33</v>
      </c>
      <c r="G18" s="26">
        <v>-1.5668650552653856E-2</v>
      </c>
      <c r="H18" s="6" t="s">
        <v>772</v>
      </c>
      <c r="I18" s="5">
        <v>1.6</v>
      </c>
      <c r="J18" s="4">
        <v>15.27</v>
      </c>
      <c r="K18" s="4">
        <v>87.65</v>
      </c>
      <c r="L18" s="5">
        <f t="shared" si="0"/>
        <v>78.885000000000005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33" t="s">
        <v>293</v>
      </c>
      <c r="B2" s="33" t="s">
        <v>296</v>
      </c>
      <c r="C2" s="34">
        <v>87.86</v>
      </c>
      <c r="D2" s="34">
        <v>87.45</v>
      </c>
      <c r="E2" s="34">
        <v>88.16</v>
      </c>
      <c r="F2" s="35">
        <v>87.88</v>
      </c>
      <c r="G2" s="36">
        <v>-2.2758306781970895E-4</v>
      </c>
      <c r="H2" s="34" t="s">
        <v>931</v>
      </c>
      <c r="I2" s="35">
        <v>2.2799999999999998</v>
      </c>
      <c r="J2" s="34">
        <v>12.97</v>
      </c>
      <c r="K2" s="34">
        <v>83.76</v>
      </c>
      <c r="L2" s="5">
        <f t="shared" ref="L2:L12" si="0">K2*0.9</f>
        <v>75.384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67.41</v>
      </c>
      <c r="D3" s="4">
        <v>67.239999999999995</v>
      </c>
      <c r="E3" s="4">
        <v>67.77</v>
      </c>
      <c r="F3" s="5">
        <v>67.819999999999993</v>
      </c>
      <c r="G3" s="6">
        <v>-6.0454143320553908E-3</v>
      </c>
      <c r="H3" s="4" t="s">
        <v>932</v>
      </c>
      <c r="I3" s="5">
        <v>1.96</v>
      </c>
      <c r="J3" s="4">
        <v>16.98</v>
      </c>
      <c r="K3" s="4">
        <v>67.540000000000006</v>
      </c>
      <c r="L3" s="5">
        <f t="shared" si="0"/>
        <v>60.786000000000008</v>
      </c>
      <c r="M3" s="5" t="b">
        <f t="shared" si="1"/>
        <v>0</v>
      </c>
    </row>
    <row r="4" spans="1:13" ht="20.100000000000001" customHeight="1" x14ac:dyDescent="0.25">
      <c r="A4" s="33" t="s">
        <v>289</v>
      </c>
      <c r="B4" s="33" t="s">
        <v>604</v>
      </c>
      <c r="C4" s="34">
        <v>124.71</v>
      </c>
      <c r="D4" s="34">
        <v>123.88</v>
      </c>
      <c r="E4" s="34">
        <v>125.47</v>
      </c>
      <c r="F4" s="35">
        <v>125.42</v>
      </c>
      <c r="G4" s="36">
        <v>-5.660979110189826E-3</v>
      </c>
      <c r="H4" s="34" t="s">
        <v>933</v>
      </c>
      <c r="I4" s="35">
        <v>0</v>
      </c>
      <c r="J4" s="34">
        <v>20.66</v>
      </c>
      <c r="K4" s="34">
        <v>124.03</v>
      </c>
      <c r="L4" s="5">
        <f t="shared" si="0"/>
        <v>111.62700000000001</v>
      </c>
      <c r="M4" s="5" t="b">
        <f t="shared" si="1"/>
        <v>0</v>
      </c>
    </row>
    <row r="5" spans="1:13" ht="20.100000000000001" customHeight="1" x14ac:dyDescent="0.25">
      <c r="A5" s="33" t="s">
        <v>291</v>
      </c>
      <c r="B5" s="33" t="s">
        <v>295</v>
      </c>
      <c r="C5" s="34">
        <v>74.73</v>
      </c>
      <c r="D5" s="34">
        <v>74.44</v>
      </c>
      <c r="E5" s="34">
        <v>75.680000000000007</v>
      </c>
      <c r="F5" s="35">
        <v>75.73</v>
      </c>
      <c r="G5" s="36">
        <v>-1.3204806549584048E-2</v>
      </c>
      <c r="H5" s="34" t="s">
        <v>934</v>
      </c>
      <c r="I5" s="35">
        <v>2.54</v>
      </c>
      <c r="J5" s="34">
        <v>19.36</v>
      </c>
      <c r="K5" s="34">
        <v>70.31</v>
      </c>
      <c r="L5" s="5">
        <f t="shared" si="0"/>
        <v>63.279000000000003</v>
      </c>
      <c r="M5" s="5" t="b">
        <f t="shared" si="1"/>
        <v>0</v>
      </c>
    </row>
    <row r="6" spans="1:13" ht="20.100000000000001" customHeight="1" x14ac:dyDescent="0.25">
      <c r="A6" s="2" t="s">
        <v>290</v>
      </c>
      <c r="B6" s="2" t="s">
        <v>297</v>
      </c>
      <c r="C6" s="4">
        <v>41.8</v>
      </c>
      <c r="D6" s="4">
        <v>41.61</v>
      </c>
      <c r="E6" s="4">
        <v>42.06</v>
      </c>
      <c r="F6" s="5">
        <v>42.15</v>
      </c>
      <c r="G6" s="6">
        <v>-8.3036773428232843E-3</v>
      </c>
      <c r="H6" s="4" t="s">
        <v>935</v>
      </c>
      <c r="I6" s="5">
        <v>1.99</v>
      </c>
      <c r="J6" s="4">
        <v>12.82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31.13</v>
      </c>
      <c r="D7" s="4">
        <v>30.92</v>
      </c>
      <c r="E7" s="4">
        <v>31.44</v>
      </c>
      <c r="F7" s="5">
        <v>31.09</v>
      </c>
      <c r="G7" s="6">
        <v>1.2865873271148006E-3</v>
      </c>
      <c r="H7" s="4" t="s">
        <v>936</v>
      </c>
      <c r="I7" s="5">
        <v>2.89</v>
      </c>
      <c r="J7" s="4">
        <v>17.29</v>
      </c>
      <c r="K7" s="4">
        <v>33.15</v>
      </c>
      <c r="L7" s="5">
        <f t="shared" si="0"/>
        <v>29.835000000000001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79.42</v>
      </c>
      <c r="D8" s="4">
        <v>78.989999999999995</v>
      </c>
      <c r="E8" s="4">
        <v>80.040000000000006</v>
      </c>
      <c r="F8" s="5">
        <v>80.45</v>
      </c>
      <c r="G8" s="6">
        <v>-1.280298321939094E-2</v>
      </c>
      <c r="H8" s="4" t="s">
        <v>937</v>
      </c>
      <c r="I8" s="5">
        <v>3.52</v>
      </c>
      <c r="J8" s="4">
        <v>8.16</v>
      </c>
      <c r="K8" s="4">
        <v>75.05</v>
      </c>
      <c r="L8" s="5">
        <f t="shared" si="0"/>
        <v>67.545000000000002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114.67</v>
      </c>
      <c r="D9" s="4">
        <v>113.6</v>
      </c>
      <c r="E9" s="4">
        <v>115.1</v>
      </c>
      <c r="F9" s="5">
        <v>114.94</v>
      </c>
      <c r="G9" s="6">
        <v>-2.3490516791369064E-3</v>
      </c>
      <c r="H9" s="4" t="s">
        <v>938</v>
      </c>
      <c r="I9" s="5">
        <v>2.36</v>
      </c>
      <c r="J9" s="4">
        <v>11.04</v>
      </c>
      <c r="K9" s="4">
        <v>114.84</v>
      </c>
      <c r="L9" s="5">
        <f t="shared" si="0"/>
        <v>103.35600000000001</v>
      </c>
      <c r="M9" s="5" t="b">
        <f t="shared" si="1"/>
        <v>0</v>
      </c>
    </row>
    <row r="10" spans="1:13" ht="20.100000000000001" customHeight="1" x14ac:dyDescent="0.25">
      <c r="A10" s="2" t="s">
        <v>298</v>
      </c>
      <c r="B10" s="2" t="s">
        <v>605</v>
      </c>
      <c r="C10" s="4">
        <v>33.450000000000003</v>
      </c>
      <c r="D10" s="4">
        <v>33.36</v>
      </c>
      <c r="E10" s="4">
        <v>33.729999999999997</v>
      </c>
      <c r="F10" s="5">
        <v>33.86</v>
      </c>
      <c r="G10" s="6">
        <v>-1.2108682811576982E-2</v>
      </c>
      <c r="H10" s="4" t="s">
        <v>939</v>
      </c>
      <c r="I10" s="5">
        <v>2.36</v>
      </c>
      <c r="J10" s="4">
        <v>30.86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299</v>
      </c>
      <c r="B11" s="2" t="s">
        <v>300</v>
      </c>
      <c r="C11" s="4">
        <v>57.9</v>
      </c>
      <c r="D11" s="4">
        <v>57.72</v>
      </c>
      <c r="E11" s="4">
        <v>58.26</v>
      </c>
      <c r="F11" s="5">
        <v>58.59</v>
      </c>
      <c r="G11" s="6">
        <v>-1.1776753712237666E-2</v>
      </c>
      <c r="H11" s="4" t="s">
        <v>940</v>
      </c>
      <c r="I11" s="5">
        <v>2.2000000000000002</v>
      </c>
      <c r="J11" s="4" t="s">
        <v>39</v>
      </c>
      <c r="K11" s="4">
        <v>55.39</v>
      </c>
      <c r="L11" s="5">
        <f t="shared" si="0"/>
        <v>49.850999999999999</v>
      </c>
      <c r="M11" s="5" t="b">
        <f t="shared" si="1"/>
        <v>0</v>
      </c>
    </row>
    <row r="12" spans="1:13" ht="20.100000000000001" customHeight="1" x14ac:dyDescent="0.25">
      <c r="A12" s="33" t="s">
        <v>292</v>
      </c>
      <c r="B12" s="33" t="s">
        <v>294</v>
      </c>
      <c r="C12" s="34">
        <v>812.08</v>
      </c>
      <c r="D12" s="34">
        <v>810.52</v>
      </c>
      <c r="E12" s="34">
        <v>819.86</v>
      </c>
      <c r="F12" s="35">
        <v>819.92</v>
      </c>
      <c r="G12" s="36">
        <v>-9.5619084788758878E-3</v>
      </c>
      <c r="H12" s="34" t="s">
        <v>598</v>
      </c>
      <c r="I12" s="35">
        <v>0.12</v>
      </c>
      <c r="J12" s="34">
        <v>8.01</v>
      </c>
      <c r="K12" s="34">
        <v>813.13</v>
      </c>
      <c r="L12" s="5">
        <f t="shared" si="0"/>
        <v>731.81700000000001</v>
      </c>
      <c r="M12" s="5" t="b">
        <f t="shared" si="1"/>
        <v>0</v>
      </c>
    </row>
    <row r="13" spans="1:13" ht="20.100000000000001" customHeight="1" x14ac:dyDescent="0.25">
      <c r="A13" s="2" t="s">
        <v>687</v>
      </c>
      <c r="B13" s="33" t="s">
        <v>688</v>
      </c>
      <c r="C13" s="34">
        <v>49.65</v>
      </c>
      <c r="D13" s="34">
        <v>49.4</v>
      </c>
      <c r="E13" s="34">
        <v>50.14</v>
      </c>
      <c r="F13" s="35">
        <v>50.02</v>
      </c>
      <c r="G13" s="36">
        <v>-7.39704118352668E-3</v>
      </c>
      <c r="H13" s="34" t="s">
        <v>941</v>
      </c>
      <c r="I13" s="35">
        <v>3.08</v>
      </c>
      <c r="J13" s="34">
        <v>22.51</v>
      </c>
      <c r="K13" s="34">
        <v>46.75</v>
      </c>
      <c r="L13" s="5">
        <f t="shared" ref="L13" si="2">K13*0.9</f>
        <v>42.075000000000003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163</v>
      </c>
      <c r="B2" s="2" t="s">
        <v>167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942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161</v>
      </c>
      <c r="B3" s="2" t="s">
        <v>168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943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829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164</v>
      </c>
      <c r="B5" s="2" t="s">
        <v>170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944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162</v>
      </c>
      <c r="B6" s="2" t="s">
        <v>171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945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166</v>
      </c>
      <c r="B7" s="2" t="s">
        <v>172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946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165</v>
      </c>
      <c r="B8" s="2" t="s">
        <v>173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947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118</v>
      </c>
      <c r="B2" s="2" t="s">
        <v>128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948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157</v>
      </c>
      <c r="B3" s="2" t="s">
        <v>158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949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239</v>
      </c>
      <c r="B4" s="2" t="s">
        <v>240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950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344</v>
      </c>
      <c r="B5" s="2" t="s">
        <v>346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951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345</v>
      </c>
      <c r="B6" s="2" t="s">
        <v>347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851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348</v>
      </c>
      <c r="B7" s="2" t="s">
        <v>349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952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342</v>
      </c>
      <c r="B8" s="2" t="s">
        <v>343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953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431</v>
      </c>
      <c r="B9" s="2" t="s">
        <v>432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816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514</v>
      </c>
      <c r="B10" s="2" t="s">
        <v>518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954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515</v>
      </c>
      <c r="B11" s="2" t="s">
        <v>519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955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516</v>
      </c>
      <c r="B12" s="2" t="s">
        <v>520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956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517</v>
      </c>
      <c r="B13" s="2" t="s">
        <v>521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957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539</v>
      </c>
      <c r="B14" s="2" t="s">
        <v>540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772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314</v>
      </c>
      <c r="B2" s="2" t="s">
        <v>318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958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315</v>
      </c>
      <c r="B3" s="2" t="s">
        <v>319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959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316</v>
      </c>
      <c r="B4" s="2" t="s">
        <v>320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960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317</v>
      </c>
      <c r="B5" s="2" t="s">
        <v>321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961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532</v>
      </c>
      <c r="B6" s="2" t="s">
        <v>534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962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533</v>
      </c>
      <c r="B7" s="2" t="s">
        <v>535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963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657</v>
      </c>
      <c r="B8" s="2" t="s">
        <v>658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964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146</v>
      </c>
      <c r="B2" s="2" t="s">
        <v>151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965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145</v>
      </c>
      <c r="B3" s="2" t="s">
        <v>152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966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148</v>
      </c>
      <c r="B4" s="2" t="s">
        <v>351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967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150</v>
      </c>
      <c r="B5" s="2" t="s">
        <v>153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556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147</v>
      </c>
      <c r="B6" s="2" t="s">
        <v>154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968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149</v>
      </c>
      <c r="B7" s="2" t="s">
        <v>155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969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144</v>
      </c>
      <c r="B8" s="2" t="s">
        <v>156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970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1.95" customHeight="1" thickTop="1" x14ac:dyDescent="0.25">
      <c r="A2" s="1" t="s">
        <v>75</v>
      </c>
      <c r="B2" s="2" t="s">
        <v>353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559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570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571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572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560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558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569</v>
      </c>
      <c r="B8" s="2" t="s">
        <v>573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574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576</v>
      </c>
      <c r="B9" s="19" t="s">
        <v>609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610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352</v>
      </c>
      <c r="B10" s="2" t="s">
        <v>354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575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607</v>
      </c>
      <c r="B11" s="2" t="s">
        <v>611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612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608</v>
      </c>
      <c r="B12" s="2" t="s">
        <v>613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614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174</v>
      </c>
      <c r="B2" s="2" t="s">
        <v>178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615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177</v>
      </c>
      <c r="B3" s="2" t="s">
        <v>179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616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141</v>
      </c>
      <c r="B4" s="2" t="s">
        <v>142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617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176</v>
      </c>
      <c r="B5" s="2" t="s">
        <v>180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618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312</v>
      </c>
      <c r="B6" s="19" t="s">
        <v>313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337</v>
      </c>
      <c r="B7" s="19" t="s">
        <v>338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619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175</v>
      </c>
      <c r="B8" s="2" t="s">
        <v>620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3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style="18" bestFit="1" customWidth="1"/>
    <col min="8" max="8" width="14" bestFit="1" customWidth="1"/>
    <col min="9" max="9" width="11.125" bestFit="1" customWidth="1"/>
    <col min="10" max="10" width="9" bestFit="1" customWidth="1"/>
    <col min="11" max="11" width="10.125" bestFit="1" customWidth="1"/>
    <col min="12" max="12" width="20.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377</v>
      </c>
      <c r="M1" s="75" t="s">
        <v>536</v>
      </c>
      <c r="N1" s="76" t="s">
        <v>543</v>
      </c>
    </row>
    <row r="2" spans="1:14" ht="20.100000000000001" customHeight="1" thickTop="1" x14ac:dyDescent="0.25">
      <c r="A2" s="39" t="s">
        <v>371</v>
      </c>
      <c r="B2" s="39" t="s">
        <v>376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621</v>
      </c>
      <c r="I2" s="41" t="s">
        <v>39</v>
      </c>
      <c r="J2" s="40">
        <v>64.69</v>
      </c>
      <c r="K2" s="40">
        <v>73.38</v>
      </c>
      <c r="L2" s="4" t="s">
        <v>379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367</v>
      </c>
      <c r="B3" s="39" t="s">
        <v>372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622</v>
      </c>
      <c r="I3" s="41">
        <v>1.45</v>
      </c>
      <c r="J3" s="40">
        <v>19.93</v>
      </c>
      <c r="K3" s="40">
        <v>40.03</v>
      </c>
      <c r="L3" s="4" t="s">
        <v>379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370</v>
      </c>
      <c r="B4" s="39" t="s">
        <v>375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623</v>
      </c>
      <c r="I4" s="41">
        <v>1.08</v>
      </c>
      <c r="J4" s="40">
        <v>30.35</v>
      </c>
      <c r="K4" s="40">
        <v>106.01</v>
      </c>
      <c r="L4" s="4" t="s">
        <v>379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368</v>
      </c>
      <c r="B5" s="39" t="s">
        <v>373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624</v>
      </c>
      <c r="I5" s="41" t="s">
        <v>39</v>
      </c>
      <c r="J5" s="40">
        <v>231.79</v>
      </c>
      <c r="K5" s="40">
        <v>76.95</v>
      </c>
      <c r="L5" s="4" t="s">
        <v>379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369</v>
      </c>
      <c r="B6" s="39" t="s">
        <v>374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625</v>
      </c>
      <c r="I6" s="41">
        <v>0</v>
      </c>
      <c r="J6" s="40">
        <v>58.51</v>
      </c>
      <c r="K6" s="40">
        <v>94.99</v>
      </c>
      <c r="L6" s="4" t="s">
        <v>379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357</v>
      </c>
      <c r="B7" s="45" t="s">
        <v>363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626</v>
      </c>
      <c r="I7" s="47" t="s">
        <v>39</v>
      </c>
      <c r="J7" s="46" t="s">
        <v>39</v>
      </c>
      <c r="K7" s="46">
        <v>37.03</v>
      </c>
      <c r="L7" s="4" t="s">
        <v>378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359</v>
      </c>
      <c r="B8" s="45" t="s">
        <v>365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627</v>
      </c>
      <c r="I8" s="47">
        <v>0</v>
      </c>
      <c r="J8" s="46">
        <v>25.17</v>
      </c>
      <c r="K8" s="46">
        <v>84.83</v>
      </c>
      <c r="L8" s="4" t="s">
        <v>378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360</v>
      </c>
      <c r="B9" s="45" t="s">
        <v>366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628</v>
      </c>
      <c r="I9" s="47" t="s">
        <v>39</v>
      </c>
      <c r="J9" s="46">
        <v>64.42</v>
      </c>
      <c r="K9" s="46">
        <v>64.78</v>
      </c>
      <c r="L9" s="4" t="s">
        <v>378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355</v>
      </c>
      <c r="B10" s="45" t="s">
        <v>361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629</v>
      </c>
      <c r="I10" s="47" t="s">
        <v>39</v>
      </c>
      <c r="J10" s="46">
        <v>30.88</v>
      </c>
      <c r="K10" s="46">
        <v>747.86</v>
      </c>
      <c r="L10" s="4" t="s">
        <v>378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356</v>
      </c>
      <c r="B11" s="45" t="s">
        <v>362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630</v>
      </c>
      <c r="I11" s="47" t="s">
        <v>39</v>
      </c>
      <c r="J11" s="46">
        <v>60.47</v>
      </c>
      <c r="K11" s="46">
        <v>116.08</v>
      </c>
      <c r="L11" s="4" t="s">
        <v>378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358</v>
      </c>
      <c r="B12" s="45" t="s">
        <v>364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631</v>
      </c>
      <c r="I12" s="47" t="s">
        <v>39</v>
      </c>
      <c r="J12" s="46">
        <v>30.37</v>
      </c>
      <c r="K12" s="46">
        <v>53.59</v>
      </c>
      <c r="L12" s="4" t="s">
        <v>378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L1" sqref="L1:M2"/>
    </sheetView>
  </sheetViews>
  <sheetFormatPr defaultRowHeight="15" x14ac:dyDescent="0.25"/>
  <cols>
    <col min="2" max="2" width="33.87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bestFit="1" customWidth="1"/>
    <col min="9" max="9" width="11.125" bestFit="1" customWidth="1"/>
    <col min="10" max="10" width="10" style="3" bestFit="1" customWidth="1"/>
    <col min="11" max="11" width="10.1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260</v>
      </c>
      <c r="B2" s="2" t="s">
        <v>263</v>
      </c>
      <c r="C2" s="4">
        <v>4.5599999999999996</v>
      </c>
      <c r="D2" s="4">
        <v>4.5</v>
      </c>
      <c r="E2" s="4">
        <v>4.63</v>
      </c>
      <c r="F2" s="5">
        <v>4.54</v>
      </c>
      <c r="G2" s="6">
        <v>4.4052863436122407E-3</v>
      </c>
      <c r="H2" s="4" t="s">
        <v>634</v>
      </c>
      <c r="I2" s="5">
        <v>9.25</v>
      </c>
      <c r="J2" s="5" t="s">
        <v>39</v>
      </c>
      <c r="K2" s="5">
        <v>5.12</v>
      </c>
      <c r="L2" s="5">
        <f>K2*0.9</f>
        <v>4.6080000000000005</v>
      </c>
      <c r="M2" s="5" t="b">
        <f t="shared" ref="M2:M5" si="0">L2&gt;C2</f>
        <v>1</v>
      </c>
    </row>
    <row r="3" spans="1:13" ht="20.100000000000001" customHeight="1" x14ac:dyDescent="0.25">
      <c r="A3" s="2" t="s">
        <v>261</v>
      </c>
      <c r="B3" s="2" t="s">
        <v>264</v>
      </c>
      <c r="C3" s="4">
        <v>27.94</v>
      </c>
      <c r="D3" s="4">
        <v>27.77</v>
      </c>
      <c r="E3" s="4">
        <v>28.1</v>
      </c>
      <c r="F3" s="5">
        <v>27.74</v>
      </c>
      <c r="G3" s="6">
        <v>7.2098053352560509E-3</v>
      </c>
      <c r="H3" s="4" t="s">
        <v>635</v>
      </c>
      <c r="I3" s="5">
        <v>7.79</v>
      </c>
      <c r="J3" s="5">
        <v>15.64</v>
      </c>
      <c r="K3" s="5">
        <v>29.81</v>
      </c>
      <c r="L3" s="5">
        <f t="shared" ref="L3:L5" si="1">K3*0.9</f>
        <v>26.829000000000001</v>
      </c>
      <c r="M3" s="5" t="b">
        <f t="shared" si="0"/>
        <v>0</v>
      </c>
    </row>
    <row r="4" spans="1:13" ht="20.100000000000001" customHeight="1" x14ac:dyDescent="0.25">
      <c r="A4" s="2" t="s">
        <v>262</v>
      </c>
      <c r="B4" s="2" t="s">
        <v>265</v>
      </c>
      <c r="C4" s="4">
        <v>40.950000000000003</v>
      </c>
      <c r="D4" s="4">
        <v>40.74</v>
      </c>
      <c r="E4" s="4">
        <v>41.38</v>
      </c>
      <c r="F4" s="5">
        <v>40.96</v>
      </c>
      <c r="G4" s="6">
        <v>-2.4414062499995143E-4</v>
      </c>
      <c r="H4" s="4" t="s">
        <v>633</v>
      </c>
      <c r="I4" s="5">
        <v>4.7</v>
      </c>
      <c r="J4" s="5">
        <v>17.66</v>
      </c>
      <c r="K4" s="5">
        <v>40.03</v>
      </c>
      <c r="L4" s="5">
        <f t="shared" si="1"/>
        <v>36.027000000000001</v>
      </c>
      <c r="M4" s="5" t="b">
        <f t="shared" si="0"/>
        <v>0</v>
      </c>
    </row>
    <row r="5" spans="1:13" ht="20.100000000000001" customHeight="1" x14ac:dyDescent="0.25">
      <c r="A5" s="2" t="s">
        <v>266</v>
      </c>
      <c r="B5" s="2" t="s">
        <v>267</v>
      </c>
      <c r="C5" s="4">
        <v>52.88</v>
      </c>
      <c r="D5" s="4">
        <v>52.52</v>
      </c>
      <c r="E5" s="4">
        <v>53.14</v>
      </c>
      <c r="F5" s="5">
        <v>52.56</v>
      </c>
      <c r="G5" s="6">
        <v>6.0882800608828055E-3</v>
      </c>
      <c r="H5" s="4" t="s">
        <v>632</v>
      </c>
      <c r="I5" s="5">
        <v>4.32</v>
      </c>
      <c r="J5" s="5">
        <v>14.94</v>
      </c>
      <c r="K5" s="5">
        <v>52.72</v>
      </c>
      <c r="L5" s="5">
        <f t="shared" si="1"/>
        <v>47.448</v>
      </c>
      <c r="M5" s="5" t="b">
        <f t="shared" si="0"/>
        <v>0</v>
      </c>
    </row>
    <row r="6" spans="1:13" ht="20.100000000000001" customHeight="1" x14ac:dyDescent="0.25"/>
    <row r="7" spans="1:13" ht="20.100000000000001" customHeight="1" x14ac:dyDescent="0.25"/>
    <row r="8" spans="1:13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95" t="s">
        <v>393</v>
      </c>
      <c r="B2" s="95" t="s">
        <v>414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726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727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399</v>
      </c>
      <c r="B4" s="95" t="s">
        <v>419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728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394</v>
      </c>
      <c r="B5" s="95" t="s">
        <v>415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729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395</v>
      </c>
      <c r="B6" s="95" t="s">
        <v>416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730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271</v>
      </c>
      <c r="B7" s="95" t="s">
        <v>272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731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138</v>
      </c>
      <c r="B8" s="95" t="s">
        <v>140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732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382</v>
      </c>
      <c r="B9" s="95" t="s">
        <v>403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733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391</v>
      </c>
      <c r="B10" s="95" t="s">
        <v>412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734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281</v>
      </c>
      <c r="B11" s="95" t="s">
        <v>282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735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387</v>
      </c>
      <c r="B12" s="95" t="s">
        <v>408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736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386</v>
      </c>
      <c r="B13" s="95" t="s">
        <v>407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737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390</v>
      </c>
      <c r="B14" s="95" t="s">
        <v>411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738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392</v>
      </c>
      <c r="B15" s="95" t="s">
        <v>413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739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740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741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398</v>
      </c>
      <c r="B18" s="95" t="s">
        <v>636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689</v>
      </c>
      <c r="B19" s="95" t="s">
        <v>690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742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269</v>
      </c>
      <c r="B20" s="95" t="s">
        <v>270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743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400</v>
      </c>
      <c r="B21" s="95" t="s">
        <v>420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744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554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383</v>
      </c>
      <c r="B23" s="95" t="s">
        <v>404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745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746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397</v>
      </c>
      <c r="B25" s="95" t="s">
        <v>418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747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384</v>
      </c>
      <c r="B26" s="95" t="s">
        <v>405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748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396</v>
      </c>
      <c r="B27" s="95" t="s">
        <v>417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749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381</v>
      </c>
      <c r="B28" s="95" t="s">
        <v>402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750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385</v>
      </c>
      <c r="B29" s="95" t="s">
        <v>406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751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137</v>
      </c>
      <c r="B30" s="95" t="s">
        <v>139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752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401</v>
      </c>
      <c r="B31" s="95" t="s">
        <v>637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389</v>
      </c>
      <c r="B32" s="95" t="s">
        <v>410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753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388</v>
      </c>
      <c r="B33" s="95" t="s">
        <v>409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754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453</v>
      </c>
      <c r="B2" s="2" t="s">
        <v>460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971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454</v>
      </c>
      <c r="B3" s="2" t="s">
        <v>461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972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455</v>
      </c>
      <c r="B4" s="2" t="s">
        <v>462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973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456</v>
      </c>
      <c r="B5" s="2" t="s">
        <v>463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974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457</v>
      </c>
      <c r="B6" s="2" t="s">
        <v>464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975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458</v>
      </c>
      <c r="B7" s="2" t="s">
        <v>465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976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724</v>
      </c>
      <c r="B8" s="2" t="s">
        <v>725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977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459</v>
      </c>
      <c r="B9" s="2" t="s">
        <v>466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978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5" bestFit="1" customWidth="1"/>
    <col min="3" max="3" width="14" bestFit="1" customWidth="1"/>
    <col min="4" max="4" width="11.875" bestFit="1" customWidth="1"/>
    <col min="5" max="5" width="12.25" bestFit="1" customWidth="1"/>
    <col min="6" max="6" width="16.875" bestFit="1" customWidth="1"/>
    <col min="7" max="7" width="12.125" bestFit="1" customWidth="1"/>
    <col min="8" max="8" width="14" style="3" bestFit="1" customWidth="1"/>
    <col min="9" max="9" width="11.125" bestFit="1" customWidth="1"/>
    <col min="10" max="10" width="6.75" bestFit="1" customWidth="1"/>
    <col min="11" max="11" width="10.1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523</v>
      </c>
      <c r="B2" s="2" t="s">
        <v>527</v>
      </c>
      <c r="C2" s="4">
        <v>62.81</v>
      </c>
      <c r="D2" s="4">
        <v>62.48</v>
      </c>
      <c r="E2" s="4">
        <v>62.9</v>
      </c>
      <c r="F2" s="5">
        <v>62.83</v>
      </c>
      <c r="G2" s="6">
        <v>-3.183192742319914E-4</v>
      </c>
      <c r="H2" s="5" t="s">
        <v>979</v>
      </c>
      <c r="I2" s="5">
        <v>2.61</v>
      </c>
      <c r="J2" s="4">
        <v>24.54</v>
      </c>
      <c r="K2" s="4">
        <v>62.07</v>
      </c>
      <c r="L2" s="100">
        <f t="shared" ref="L2:L5" si="0">K2*0.9</f>
        <v>55.863</v>
      </c>
      <c r="M2" s="100" t="b">
        <f t="shared" ref="M2:M5" si="1">L2&gt;C2</f>
        <v>0</v>
      </c>
    </row>
    <row r="3" spans="1:13" ht="20.100000000000001" customHeight="1" x14ac:dyDescent="0.25">
      <c r="A3" s="2" t="s">
        <v>524</v>
      </c>
      <c r="B3" s="2" t="s">
        <v>528</v>
      </c>
      <c r="C3" s="4">
        <v>50.26</v>
      </c>
      <c r="D3" s="4">
        <v>49.77</v>
      </c>
      <c r="E3" s="4">
        <v>50.32</v>
      </c>
      <c r="F3" s="5">
        <v>50.24</v>
      </c>
      <c r="G3" s="6">
        <v>3.9808917197444306E-4</v>
      </c>
      <c r="H3" s="5" t="s">
        <v>925</v>
      </c>
      <c r="I3" s="5">
        <v>2.5499999999999998</v>
      </c>
      <c r="J3" s="4">
        <v>24.15</v>
      </c>
      <c r="K3" s="4">
        <v>49.16</v>
      </c>
      <c r="L3" s="100">
        <f t="shared" si="0"/>
        <v>44.244</v>
      </c>
      <c r="M3" s="100" t="b">
        <f t="shared" si="1"/>
        <v>0</v>
      </c>
    </row>
    <row r="4" spans="1:13" ht="20.100000000000001" customHeight="1" x14ac:dyDescent="0.25">
      <c r="A4" s="2" t="s">
        <v>525</v>
      </c>
      <c r="B4" s="2" t="s">
        <v>529</v>
      </c>
      <c r="C4" s="4">
        <v>81.239999999999995</v>
      </c>
      <c r="D4" s="4">
        <v>80.73</v>
      </c>
      <c r="E4" s="4">
        <v>82.39</v>
      </c>
      <c r="F4" s="5">
        <v>81.760000000000005</v>
      </c>
      <c r="G4" s="6">
        <v>-6.3600782778866216E-3</v>
      </c>
      <c r="H4" s="5" t="s">
        <v>980</v>
      </c>
      <c r="I4" s="5" t="s">
        <v>39</v>
      </c>
      <c r="J4" s="4">
        <v>28.6</v>
      </c>
      <c r="K4" s="4">
        <v>103.72</v>
      </c>
      <c r="L4" s="100">
        <f t="shared" si="0"/>
        <v>93.347999999999999</v>
      </c>
      <c r="M4" s="100" t="b">
        <f t="shared" si="1"/>
        <v>1</v>
      </c>
    </row>
    <row r="5" spans="1:13" ht="20.100000000000001" customHeight="1" x14ac:dyDescent="0.25">
      <c r="A5" s="2" t="s">
        <v>526</v>
      </c>
      <c r="B5" s="2" t="s">
        <v>530</v>
      </c>
      <c r="C5" s="4">
        <v>75.489999999999995</v>
      </c>
      <c r="D5" s="4">
        <v>75.010000000000005</v>
      </c>
      <c r="E5" s="4">
        <v>76.599999999999994</v>
      </c>
      <c r="F5" s="5">
        <v>76.72</v>
      </c>
      <c r="G5" s="6">
        <v>-1.6032325338894735E-2</v>
      </c>
      <c r="H5" s="5" t="s">
        <v>981</v>
      </c>
      <c r="I5" s="5">
        <v>0.76</v>
      </c>
      <c r="J5" s="4" t="s">
        <v>39</v>
      </c>
      <c r="K5" s="4">
        <v>69.989999999999995</v>
      </c>
      <c r="L5" s="100">
        <f t="shared" si="0"/>
        <v>62.991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2016-10-01T19:32:58Z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