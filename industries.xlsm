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3" l="1"/>
  <c r="M13" i="3" s="1"/>
  <c r="L10" i="3"/>
  <c r="M10" i="3" s="1"/>
  <c r="L11" i="3"/>
  <c r="M11" i="3" s="1"/>
  <c r="L12" i="3"/>
  <c r="M12" i="3" s="1"/>
  <c r="L7" i="40" l="1"/>
  <c r="M7" i="40" s="1"/>
  <c r="L5" i="19"/>
  <c r="M5" i="19" s="1"/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6" i="19"/>
  <c r="M6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M5" i="38" s="1"/>
  <c r="L6" i="38"/>
  <c r="M6" i="38" s="1"/>
  <c r="L7" i="38"/>
  <c r="M7" i="38" s="1"/>
  <c r="L8" i="38"/>
  <c r="M8" i="38" s="1"/>
  <c r="L9" i="38"/>
  <c r="M9" i="38" s="1"/>
  <c r="L10" i="38"/>
  <c r="M10" i="38" s="1"/>
  <c r="L11" i="38"/>
  <c r="M11" i="38" s="1"/>
  <c r="L12" i="38"/>
  <c r="M12" i="38" s="1"/>
  <c r="L13" i="38"/>
  <c r="M13" i="38" s="1"/>
  <c r="L4" i="40"/>
  <c r="M4" i="40" s="1"/>
  <c r="L8" i="40"/>
  <c r="M8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M2" i="17" s="1"/>
  <c r="L3" i="17"/>
  <c r="M3" i="17" s="1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<sst xmlns="http://schemas.openxmlformats.org/spreadsheetml/2006/main" count="2052" uniqueCount="1018">
  <si>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</si>
  <si>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</si>
  <si>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</si>
  <si>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</si>
  <si>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</si>
  <si>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</si>
  <si>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</si>
  <si>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</si>
  <si>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</si>
  <si>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</si>
  <si>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</si>
  <si>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</si>
  <si>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</si>
  <si>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</si>
  <si>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</si>
  <si>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</si>
  <si>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</si>
  <si>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</si>
  <si>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</si>
  <si>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</si>
  <si>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</si>
  <si>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</si>
  <si>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</si>
  <si>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</si>
  <si>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</si>
  <si>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</si>
  <si>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</si>
  <si>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</si>
  <si>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</si>
  <si>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</si>
  <si>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</si>
  <si>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</si>
  <si>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</si>
  <si>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</si>
  <si>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</si>
  <si>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</si>
  <si>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</si>
  <si>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</si>
  <si>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</si>
  <si>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</si>
  <si>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</si>
  <si>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</si>
  <si>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</si>
  <si>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</si>
  <si>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</si>
  <si>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</si>
  <si>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</si>
  <si>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</si>
  <si>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</si>
  <si>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</si>
  <si>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</si>
  <si>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</si>
  <si>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</si>
  <si>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</si>
  <si>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</si>
  <si>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</si>
  <si>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</si>
  <si>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</si>
  <si>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</si>
  <si>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</si>
  <si>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</si>
  <si>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</si>
  <si>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</si>
  <si>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</si>
  <si>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</si>
  <si>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</si>
  <si>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</si>
  <si>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</si>
  <si>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</si>
  <si>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</si>
  <si>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</si>
  <si>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</si>
  <si>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</si>
  <si>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</si>
  <si>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</si>
  <si>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</si>
  <si>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</si>
  <si>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</si>
  <si>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</si>
  <si>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</si>
  <si>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</si>
  <si>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</si>
  <si>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</si>
  <si>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</si>
  <si>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</si>
  <si>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</si>
  <si>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</si>
  <si>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</si>
  <si>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</si>
  <si>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</si>
  <si>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</si>
  <si>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</si>
  <si>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</si>
  <si>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</si>
  <si>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</si>
  <si>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</si>
  <si>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</si>
  <si>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</si>
  <si>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</si>
  <si>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</si>
  <si>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</si>
  <si>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</si>
  <si>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</si>
  <si>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</si>
  <si>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</si>
  <si>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</si>
  <si>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</si>
  <si>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</si>
  <si>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</si>
  <si>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</si>
  <si>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</si>
  <si>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</si>
  <si>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</si>
  <si>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</si>
  <si>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</si>
  <si>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</si>
  <si>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</si>
  <si>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</si>
  <si>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</si>
  <si>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</si>
  <si>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</si>
  <si>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</si>
  <si>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</si>
  <si>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</si>
  <si>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</si>
  <si>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</si>
  <si>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</si>
  <si>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</si>
  <si>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</si>
  <si>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</si>
  <si>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</si>
  <si>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</si>
  <si>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</si>
  <si>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</si>
  <si>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</si>
  <si>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</si>
  <si>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</si>
  <si>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</si>
  <si>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</si>
  <si>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</si>
  <si>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</si>
  <si>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</si>
  <si>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</si>
  <si>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</si>
  <si>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</si>
  <si>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</si>
  <si>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</si>
  <si>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</si>
  <si>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</si>
  <si>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</si>
  <si>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</si>
  <si>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</si>
  <si>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</si>
  <si>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</si>
  <si>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</si>
  <si>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</si>
  <si>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</si>
  <si>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</si>
  <si>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</si>
  <si>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</si>
  <si>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</si>
  <si>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</si>
  <si>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</si>
  <si>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</si>
  <si>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</si>
  <si>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</si>
  <si>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</si>
  <si>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</si>
  <si>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</si>
  <si>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</si>
  <si>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</si>
  <si>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</si>
  <si>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</si>
  <si>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</si>
  <si>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</si>
  <si>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</si>
  <si>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</si>
  <si>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</si>
  <si>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</si>
  <si>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</si>
  <si>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</si>
  <si>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</si>
  <si>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</si>
  <si>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</si>
  <si>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</si>
  <si>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</si>
  <si>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</si>
  <si>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</si>
  <si>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</si>
  <si>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</si>
  <si>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</si>
  <si>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</si>
  <si>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</si>
  <si>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</si>
  <si>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</si>
  <si>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</si>
  <si>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</si>
  <si>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</si>
  <si>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</si>
  <si>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</si>
  <si>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</si>
  <si>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</si>
  <si>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</si>
  <si>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</si>
  <si>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</si>
  <si>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</si>
  <si>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</si>
  <si>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</si>
  <si>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</si>
  <si>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</si>
  <si>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</si>
  <si>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</si>
  <si>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</si>
  <si>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</si>
  <si>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</si>
  <si>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</si>
  <si>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</si>
  <si>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</si>
  <si>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</si>
  <si>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</si>
  <si>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</si>
  <si>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</si>
  <si>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</si>
  <si>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</si>
  <si>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</si>
  <si>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</si>
  <si>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</si>
  <si>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</si>
  <si>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</si>
  <si>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</si>
  <si>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</si>
  <si>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</si>
  <si>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</si>
  <si>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</si>
  <si>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</si>
  <si>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</si>
  <si>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</si>
  <si>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</si>
  <si>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</si>
  <si>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</si>
  <si>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</si>
  <si>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</si>
  <si>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</si>
  <si>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</si>
  <si>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</si>
  <si>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</si>
  <si>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</si>
  <si>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</si>
  <si>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</si>
  <si>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</si>
  <si>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</si>
  <si>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</si>
  <si>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</si>
  <si>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</si>
  <si>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</si>
  <si>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</si>
  <si>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</si>
  <si>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</si>
  <si>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</si>
  <si>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</si>
  <si>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</si>
  <si>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</si>
  <si>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</si>
  <si>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</si>
  <si>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</si>
  <si>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</si>
  <si>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</si>
  <si>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</si>
  <si>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</si>
  <si>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</si>
  <si>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</si>
  <si>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</si>
  <si>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</si>
  <si>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</si>
  <si>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</si>
  <si>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</si>
  <si>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</si>
  <si>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</si>
  <si>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</si>
  <si>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</si>
  <si>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</si>
  <si>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</si>
  <si>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</si>
  <si>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</si>
  <si>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</si>
  <si>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</si>
  <si>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</si>
  <si>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</si>
  <si>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</si>
  <si>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</si>
  <si>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</si>
  <si>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</si>
  <si>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</si>
  <si>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</si>
  <si>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</si>
  <si>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</si>
  <si>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</si>
  <si>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</si>
  <si>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</si>
  <si>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</si>
  <si>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</si>
  <si>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</si>
  <si>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</si>
  <si>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</si>
  <si>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</si>
  <si>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</si>
  <si>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</si>
  <si>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</si>
  <si>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</si>
  <si>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</si>
  <si>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</si>
  <si>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</si>
  <si>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</si>
  <si>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</si>
  <si>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</si>
  <si>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</si>
  <si>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</si>
  <si>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</si>
  <si>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</si>
  <si>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</si>
  <si>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</si>
  <si>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</si>
  <si>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</si>
  <si>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</si>
  <si>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</si>
  <si>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</si>
  <si>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</si>
  <si>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</si>
  <si>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</si>
  <si>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</si>
  <si>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</si>
  <si>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</si>
  <si>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</si>
  <si>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</si>
  <si>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</si>
  <si>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</si>
  <si>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</si>
  <si>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</si>
  <si>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</si>
  <si>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</si>
  <si>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</si>
  <si>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</si>
  <si>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</si>
  <si>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</si>
  <si>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</si>
  <si>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</si>
  <si>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</si>
  <si>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</si>
  <si>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</si>
  <si>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</si>
  <si>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</si>
  <si>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</si>
  <si>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</si>
  <si>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</si>
  <si>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</si>
  <si>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</si>
  <si>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</si>
  <si>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</si>
  <si>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</si>
  <si>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</si>
  <si>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</si>
  <si>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</si>
  <si>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</si>
  <si>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</si>
  <si>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</si>
  <si>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</si>
  <si>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</si>
  <si>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</si>
  <si>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</si>
  <si>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</si>
  <si>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</si>
  <si>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</si>
  <si>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</si>
  <si>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</si>
  <si>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</si>
  <si>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</si>
  <si>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</si>
  <si>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</si>
  <si>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</si>
  <si>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</si>
  <si>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</si>
  <si>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</si>
  <si>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</si>
  <si>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</si>
  <si>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</si>
  <si>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</si>
  <si>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</si>
  <si>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</si>
  <si>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</si>
  <si>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</si>
  <si>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</si>
  <si>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</si>
  <si>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</si>
  <si>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</si>
  <si>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</si>
  <si>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</si>
  <si>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</si>
  <si>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</si>
  <si>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</si>
  <si>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</si>
  <si>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</si>
  <si>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</si>
  <si>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</si>
  <si>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</si>
  <si>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</si>
  <si>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</si>
  <si>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</si>
  <si>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</si>
  <si>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</si>
  <si>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</si>
  <si>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</si>
  <si>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</si>
  <si>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</si>
  <si>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</si>
  <si>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</si>
  <si>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</si>
  <si>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</si>
  <si>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</si>
  <si>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</si>
  <si>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</si>
  <si>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</si>
  <si>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</si>
  <si>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</si>
  <si>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</si>
  <si>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</si>
  <si>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</si>
  <si>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</si>
  <si>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</si>
  <si>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</si>
  <si>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</si>
  <si>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</si>
  <si>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</si>
  <si>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</si>
  <si>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</si>
  <si>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</si>
  <si>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</si>
  <si>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</si>
  <si>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</si>
  <si>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</si>
  <si>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</si>
  <si>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</si>
  <si>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</si>
  <si>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</si>
  <si>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</si>
  <si>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</si>
  <si>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</si>
  <si>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</si>
  <si>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</si>
  <si>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</si>
  <si>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</si>
  <si>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</si>
  <si>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</si>
  <si>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</si>
  <si>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</si>
  <si>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</si>
  <si>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</si>
  <si>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</si>
  <si>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</si>
  <si>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</si>
  <si>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</si>
  <si>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</si>
  <si>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</si>
  <si>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</si>
  <si>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</si>
  <si>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</si>
  <si>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</si>
  <si>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</si>
  <si>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</si>
  <si>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</si>
  <si>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</si>
  <si>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</si>
  <si>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</si>
  <si>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</si>
  <si>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</si>
  <si>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</si>
  <si>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</si>
  <si>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</si>
  <si>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</si>
  <si>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</si>
  <si>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</si>
  <si>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</si>
  <si>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</si>
  <si>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</si>
  <si>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</si>
  <si>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</si>
  <si>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</si>
  <si>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</si>
  <si>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</si>
  <si>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</si>
  <si>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</si>
  <si>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</si>
  <si>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</si>
  <si>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</si>
  <si>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</si>
  <si>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</si>
  <si>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</si>
  <si>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</si>
  <si>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</si>
  <si>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</si>
  <si>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</si>
  <si>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</si>
  <si>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</si>
  <si>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</si>
  <si>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</si>
  <si>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</si>
  <si>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</si>
  <si>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</si>
  <si>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</si>
  <si>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</si>
  <si>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</si>
  <si>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</si>
  <si>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</si>
  <si>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</si>
  <si>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</si>
  <si>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</si>
  <si>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</si>
  <si>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</si>
  <si>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</si>
  <si>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</si>
  <si>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</si>
  <si>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</si>
  <si>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</si>
  <si>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</si>
  <si>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</si>
  <si>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</si>
  <si>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</si>
  <si>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</si>
  <si>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</si>
  <si>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</si>
  <si>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</si>
  <si>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</si>
  <si>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</si>
  <si>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</si>
  <si>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</si>
  <si>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</si>
  <si>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</si>
  <si>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</si>
  <si>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</si>
  <si>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</si>
  <si>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</si>
  <si>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</si>
  <si>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</si>
  <si>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</si>
  <si>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</si>
  <si>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</si>
  <si>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</si>
  <si>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</si>
  <si>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</si>
  <si>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</si>
  <si>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</si>
  <si>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</si>
  <si>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13.99B</t>
  </si>
  <si>
    <t>68.55B</t>
  </si>
  <si>
    <t>93.36B</t>
  </si>
  <si>
    <t>E_P</t>
  </si>
  <si>
    <t>PLKI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</si>
  <si>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</si>
  <si>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</si>
  <si>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</si>
  <si>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</si>
  <si>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</si>
  <si>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</si>
  <si>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</si>
  <si>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</si>
  <si>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</si>
  <si>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</si>
  <si>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</si>
  <si>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</si>
  <si>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</si>
  <si>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</si>
  <si>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</si>
  <si>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</si>
  <si>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</si>
  <si>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</si>
  <si>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</si>
  <si>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</si>
  <si>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</si>
  <si>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</si>
  <si>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</si>
  <si>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</si>
  <si>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</si>
  <si>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</si>
  <si>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</si>
  <si>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</si>
  <si>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</si>
  <si>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</si>
  <si>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</si>
  <si>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"Roper Technologies, Inc. Common"</t>
  </si>
  <si>
    <t>"Quanta Services, Inc. Common St"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</si>
  <si>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</si>
  <si>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</si>
  <si>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</si>
  <si>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</si>
  <si>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</si>
  <si>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</si>
  <si>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</si>
  <si>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</si>
  <si>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</si>
  <si>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</si>
  <si>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</si>
  <si>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</si>
  <si>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</si>
  <si>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</si>
  <si>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</si>
  <si>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</si>
  <si>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</si>
  <si>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</si>
  <si>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</si>
  <si>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</si>
  <si>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</si>
  <si>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</si>
  <si>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</si>
  <si>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</si>
  <si>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</si>
  <si>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</si>
  <si>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</si>
  <si>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</si>
  <si>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</si>
  <si>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</si>
  <si>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</si>
  <si>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</si>
  <si>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</si>
  <si>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</si>
  <si>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</si>
  <si>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</si>
  <si>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</si>
  <si>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</si>
  <si>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</si>
  <si>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</si>
  <si>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</si>
  <si>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</si>
  <si>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</si>
  <si>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</si>
  <si>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</si>
  <si>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</si>
  <si>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</si>
  <si>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</si>
  <si>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</si>
  <si>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</si>
  <si>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</si>
  <si>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</si>
  <si>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</si>
  <si>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</si>
  <si>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</si>
  <si>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</si>
  <si>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</si>
  <si>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</si>
  <si>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</si>
  <si>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</si>
  <si>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</si>
  <si>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</si>
  <si>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</si>
  <si>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</si>
  <si>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</si>
  <si>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</si>
  <si>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</si>
  <si>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</si>
  <si>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</si>
  <si>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</si>
  <si>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</si>
  <si>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</si>
  <si>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</si>
  <si>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</si>
  <si>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</si>
  <si>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</si>
  <si>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</si>
  <si>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</si>
  <si>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</si>
  <si>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</si>
  <si>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</si>
  <si>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</si>
  <si>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</si>
  <si>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</si>
  <si>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</si>
  <si>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</si>
  <si>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</si>
  <si>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</si>
  <si>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</si>
  <si>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</si>
  <si>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</si>
  <si>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</si>
  <si>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</si>
  <si>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</si>
  <si>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</si>
  <si>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</si>
  <si>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</si>
  <si>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</si>
  <si>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</si>
  <si>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</si>
  <si>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</si>
  <si>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</si>
  <si>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</si>
  <si>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</si>
  <si>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</si>
  <si>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</si>
  <si>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</si>
  <si>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</si>
  <si>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</si>
  <si>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</si>
  <si>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</si>
  <si>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</si>
  <si>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</si>
  <si>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</si>
  <si>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</si>
  <si>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</si>
  <si>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</si>
  <si>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</si>
  <si>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</si>
  <si>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</si>
  <si>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</si>
  <si>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</si>
  <si>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</si>
  <si>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</si>
  <si>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</si>
  <si>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</si>
  <si>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</si>
  <si>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</si>
  <si>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</si>
  <si>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</si>
  <si>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</si>
  <si>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</si>
  <si>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</si>
  <si>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</si>
  <si>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</si>
  <si>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</si>
  <si>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</si>
  <si>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</si>
  <si>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</si>
  <si>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</si>
  <si>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</si>
  <si>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</si>
  <si>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</si>
  <si>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</si>
  <si>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</si>
  <si>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</si>
  <si>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</si>
  <si>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</si>
  <si>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</si>
  <si>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CAA</t>
  </si>
  <si>
    <t>"CalAtlantic Group, Inc. Common "</t>
  </si>
  <si>
    <t>"PUBLICIS GROUPE SA ADR EACH REP"</t>
  </si>
  <si>
    <t>10.53B</t>
  </si>
  <si>
    <t>1.49B</t>
  </si>
  <si>
    <t>148.75B</t>
  </si>
  <si>
    <t>14.56B</t>
  </si>
  <si>
    <t>5.30B</t>
  </si>
  <si>
    <t>"BURBERRY GROUP UNSP ADR EACH RE"</t>
  </si>
  <si>
    <t>3.25B</t>
  </si>
  <si>
    <t>"NINTENDO CO LTD NPV"</t>
  </si>
  <si>
    <t>17.23B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</si>
  <si>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</si>
  <si>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</si>
  <si>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</si>
  <si>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</si>
  <si>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</si>
  <si>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</si>
  <si>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</si>
  <si>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</si>
  <si>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</si>
  <si>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</si>
  <si>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</si>
  <si>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</si>
  <si>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</si>
  <si>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</si>
  <si>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</si>
  <si>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</si>
  <si>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</si>
  <si>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</si>
  <si>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</si>
  <si>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</si>
  <si>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</si>
  <si>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</si>
  <si>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</si>
  <si>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</si>
  <si>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</si>
  <si>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</si>
  <si>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</si>
  <si>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</si>
  <si>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</si>
  <si>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</si>
  <si>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</si>
  <si>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</si>
  <si>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</si>
  <si>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</si>
  <si>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</si>
  <si>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</si>
  <si>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</si>
  <si>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</si>
  <si>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</si>
  <si>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</si>
  <si>
    <t>35.64B</t>
  </si>
  <si>
    <t>CHTR</t>
  </si>
  <si>
    <t>4.88B</t>
  </si>
  <si>
    <t>14.98B</t>
  </si>
  <si>
    <t>249.83B</t>
  </si>
  <si>
    <t>"Charter Communications, Inc."</t>
  </si>
  <si>
    <t>73.14B</t>
  </si>
  <si>
    <t>211.89B</t>
  </si>
  <si>
    <t>LKQ</t>
  </si>
  <si>
    <t>"LKQ Corporation"</t>
  </si>
  <si>
    <t>TMO</t>
  </si>
  <si>
    <t>DGX</t>
  </si>
  <si>
    <t>PDCO</t>
  </si>
  <si>
    <t>HSIC</t>
  </si>
  <si>
    <t>"Thermo Fisher Scientific Inc Co"</t>
  </si>
  <si>
    <t>"Quest Diagnostics Incorporated "</t>
  </si>
  <si>
    <t>"Patterson Companies, Inc."</t>
  </si>
  <si>
    <t>"Henry Schein, Inc."</t>
  </si>
  <si>
    <t>"WPP plc - American Depositary S"</t>
  </si>
  <si>
    <t>45.25B</t>
  </si>
  <si>
    <t>"Under Armour, Inc. Class C Comm"</t>
  </si>
  <si>
    <t>"OncoSec Medical Incorporated"</t>
  </si>
  <si>
    <t>"Endo International plc - Ordina"</t>
  </si>
  <si>
    <t>3.49B</t>
  </si>
  <si>
    <t>9.78B</t>
  </si>
  <si>
    <t>10.21B</t>
  </si>
  <si>
    <t>9.36B</t>
  </si>
  <si>
    <t>20.12B</t>
  </si>
  <si>
    <t>29.42B</t>
  </si>
  <si>
    <t>15.46B</t>
  </si>
  <si>
    <t>98.02B</t>
  </si>
  <si>
    <t>13.37B</t>
  </si>
  <si>
    <t>2.60B</t>
  </si>
  <si>
    <t>11.71B</t>
  </si>
  <si>
    <t>4.29B</t>
  </si>
  <si>
    <t>5.25B</t>
  </si>
  <si>
    <t>13.46B</t>
  </si>
  <si>
    <t>10.94B</t>
  </si>
  <si>
    <t>156.17M</t>
  </si>
  <si>
    <t>15.88B</t>
  </si>
  <si>
    <t>1.99B</t>
  </si>
  <si>
    <t>49.37B</t>
  </si>
  <si>
    <t>3593.69B</t>
  </si>
  <si>
    <t>37.98B</t>
  </si>
  <si>
    <t>47.20B</t>
  </si>
  <si>
    <t>5.81B</t>
  </si>
  <si>
    <t>7.92B</t>
  </si>
  <si>
    <t>721.61M</t>
  </si>
  <si>
    <t>24.69B</t>
  </si>
  <si>
    <t>37.50B</t>
  </si>
  <si>
    <t>23.58B</t>
  </si>
  <si>
    <t>31.49B</t>
  </si>
  <si>
    <t>7.04B</t>
  </si>
  <si>
    <t>3.92B</t>
  </si>
  <si>
    <t>6.94B</t>
  </si>
  <si>
    <t>11.63B</t>
  </si>
  <si>
    <t>3.07B</t>
  </si>
  <si>
    <t>87.55B</t>
  </si>
  <si>
    <t>11.61B</t>
  </si>
  <si>
    <t>9.84B</t>
  </si>
  <si>
    <t>1.21B</t>
  </si>
  <si>
    <t>703.31M</t>
  </si>
  <si>
    <t>9.34B</t>
  </si>
  <si>
    <t>9.31B</t>
  </si>
  <si>
    <t>56.92B</t>
  </si>
  <si>
    <t>12.54B</t>
  </si>
  <si>
    <t>12.87B</t>
  </si>
  <si>
    <t>22.32B</t>
  </si>
  <si>
    <t>50.19B</t>
  </si>
  <si>
    <t>100.74B</t>
  </si>
  <si>
    <t>60.26B</t>
  </si>
  <si>
    <t>81.07B</t>
  </si>
  <si>
    <t>30.66B</t>
  </si>
  <si>
    <t>116.14B</t>
  </si>
  <si>
    <t>61.95B</t>
  </si>
  <si>
    <t>2.49B</t>
  </si>
  <si>
    <t>91.07B</t>
  </si>
  <si>
    <t>96.27B</t>
  </si>
  <si>
    <t>81.87B</t>
  </si>
  <si>
    <t>38.60B</t>
  </si>
  <si>
    <t>171.88B</t>
  </si>
  <si>
    <t>1.16B</t>
  </si>
  <si>
    <t>26.84M</t>
  </si>
  <si>
    <t>197.34B</t>
  </si>
  <si>
    <t>93.96B</t>
  </si>
  <si>
    <t>19.65B</t>
  </si>
  <si>
    <t>34.48B</t>
  </si>
  <si>
    <t>11.15B</t>
  </si>
  <si>
    <t>2.64B</t>
  </si>
  <si>
    <t>54.90B</t>
  </si>
  <si>
    <t>24.65B</t>
  </si>
  <si>
    <t>1.17B</t>
  </si>
  <si>
    <t>10.63B</t>
  </si>
  <si>
    <t>5.04B</t>
  </si>
  <si>
    <t>6.35B</t>
  </si>
  <si>
    <t>1.38B</t>
  </si>
  <si>
    <t>38.81B</t>
  </si>
  <si>
    <t>18.26B</t>
  </si>
  <si>
    <t>171.97B</t>
  </si>
  <si>
    <t>436.24M</t>
  </si>
  <si>
    <t>54.07B</t>
  </si>
  <si>
    <t>40.57B</t>
  </si>
  <si>
    <t>42.87B</t>
  </si>
  <si>
    <t>74.57B</t>
  </si>
  <si>
    <t>12.65B</t>
  </si>
  <si>
    <t>7.51B</t>
  </si>
  <si>
    <t>3.83B</t>
  </si>
  <si>
    <t>4.34B</t>
  </si>
  <si>
    <t>31.09B</t>
  </si>
  <si>
    <t>4.39B</t>
  </si>
  <si>
    <t>32.72B</t>
  </si>
  <si>
    <t>13.03B</t>
  </si>
  <si>
    <t>4.61B</t>
  </si>
  <si>
    <t>22.27B</t>
  </si>
  <si>
    <t>"Talen Energy Corporation"</t>
  </si>
  <si>
    <t>55.63B</t>
  </si>
  <si>
    <t>10.95B</t>
  </si>
  <si>
    <t>53.19B</t>
  </si>
  <si>
    <t>14.55B</t>
  </si>
  <si>
    <t>634.76B</t>
  </si>
  <si>
    <t>"Broadcom Limited - Ordinary Sha"</t>
  </si>
  <si>
    <t>72.00B</t>
  </si>
  <si>
    <t>22.39B</t>
  </si>
  <si>
    <t>74.96B</t>
  </si>
  <si>
    <t>98.77B</t>
  </si>
  <si>
    <t>39.82B</t>
  </si>
  <si>
    <t>10.20B</t>
  </si>
  <si>
    <t>62.68B</t>
  </si>
  <si>
    <t>24.30B</t>
  </si>
  <si>
    <t>60.75B</t>
  </si>
  <si>
    <t>18.44B</t>
  </si>
  <si>
    <t>14.78B</t>
  </si>
  <si>
    <t>5.36B</t>
  </si>
  <si>
    <t>16.08B</t>
  </si>
  <si>
    <t>52.79B</t>
  </si>
  <si>
    <t>30.88B</t>
  </si>
  <si>
    <t>8.20B</t>
  </si>
  <si>
    <t>4.91B</t>
  </si>
  <si>
    <t>2.08B</t>
  </si>
  <si>
    <t>2.32B</t>
  </si>
  <si>
    <t>6.95B</t>
  </si>
  <si>
    <t>7.10B</t>
  </si>
  <si>
    <t>5.62B</t>
  </si>
  <si>
    <t>100.90B</t>
  </si>
  <si>
    <t>11.89B</t>
  </si>
  <si>
    <t>23.73B</t>
  </si>
  <si>
    <t>3.57B</t>
  </si>
  <si>
    <t>3.13B</t>
  </si>
  <si>
    <t>1.28B</t>
  </si>
  <si>
    <t>2.73B</t>
  </si>
  <si>
    <t>241.98B</t>
  </si>
  <si>
    <t>50.48B</t>
  </si>
  <si>
    <t>61.88B</t>
  </si>
  <si>
    <t>169.93B</t>
  </si>
  <si>
    <t>44.52B</t>
  </si>
  <si>
    <t>33.12B</t>
  </si>
  <si>
    <t>26.45B</t>
  </si>
  <si>
    <t>102.31B</t>
  </si>
  <si>
    <t>309.58B</t>
  </si>
  <si>
    <t>27.76B</t>
  </si>
  <si>
    <t>82.05B</t>
  </si>
  <si>
    <t>63.28B</t>
  </si>
  <si>
    <t>87.86B</t>
  </si>
  <si>
    <t>277.44B</t>
  </si>
  <si>
    <t>189.94B</t>
  </si>
  <si>
    <t>118.44B</t>
  </si>
  <si>
    <t>70.13B</t>
  </si>
  <si>
    <t>28.26B</t>
  </si>
  <si>
    <t>25.06B</t>
  </si>
  <si>
    <t>"ConAgra Brands, Inc. Common Sto"</t>
  </si>
  <si>
    <t>16.76B</t>
  </si>
  <si>
    <t>18.95B</t>
  </si>
  <si>
    <t>35.43B</t>
  </si>
  <si>
    <t>25.05B</t>
  </si>
  <si>
    <t>105.94B</t>
  </si>
  <si>
    <t>68.88B</t>
  </si>
  <si>
    <t>22.25B</t>
  </si>
  <si>
    <t>13.00B</t>
  </si>
  <si>
    <t>28.95B</t>
  </si>
  <si>
    <t>24.25B</t>
  </si>
  <si>
    <t>4.41B</t>
  </si>
  <si>
    <t>24.87B</t>
  </si>
  <si>
    <t>39.15B</t>
  </si>
  <si>
    <t>18.62B</t>
  </si>
  <si>
    <t>24.00B</t>
  </si>
  <si>
    <t>33.28B</t>
  </si>
  <si>
    <t>44.27B</t>
  </si>
  <si>
    <t>87.43B</t>
  </si>
  <si>
    <t>806.46M</t>
  </si>
  <si>
    <t>154.00B</t>
  </si>
  <si>
    <t>1.63B</t>
  </si>
  <si>
    <t>57.79B</t>
  </si>
  <si>
    <t>12.85B</t>
  </si>
  <si>
    <t>3.93B</t>
  </si>
  <si>
    <t>12.80B</t>
  </si>
  <si>
    <t>224.81B</t>
  </si>
  <si>
    <t>22.67B</t>
  </si>
  <si>
    <t>15.39B</t>
  </si>
  <si>
    <t>58.56B</t>
  </si>
  <si>
    <t>311.77B</t>
  </si>
  <si>
    <t>41.04B</t>
  </si>
  <si>
    <t>36.72B</t>
  </si>
  <si>
    <t>277.42B</t>
  </si>
  <si>
    <t>106.69B</t>
  </si>
  <si>
    <t>3.44B</t>
  </si>
  <si>
    <t>4.28B</t>
  </si>
  <si>
    <t>90.76B</t>
  </si>
  <si>
    <t>89.98B</t>
  </si>
  <si>
    <t>55.28B</t>
  </si>
  <si>
    <t>19.96B</t>
  </si>
  <si>
    <t>10.67B</t>
  </si>
  <si>
    <t>8.75B</t>
  </si>
  <si>
    <t>"JOHNSON CONTROLS INTERNATIONAL "</t>
  </si>
  <si>
    <t>5.28B</t>
  </si>
  <si>
    <t>19.46B</t>
  </si>
  <si>
    <t>7.02B</t>
  </si>
  <si>
    <t>19.51B</t>
  </si>
  <si>
    <t>4.12B</t>
  </si>
  <si>
    <t>6.28B</t>
  </si>
  <si>
    <t>18.21B</t>
  </si>
  <si>
    <t>5.41B</t>
  </si>
  <si>
    <t>27.21B</t>
  </si>
  <si>
    <t>60.61B</t>
  </si>
  <si>
    <t>11.54B</t>
  </si>
  <si>
    <t>21.05B</t>
  </si>
  <si>
    <t>33.25B</t>
  </si>
  <si>
    <t>68.15B</t>
  </si>
  <si>
    <t>9.40B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</si>
</sst>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66675</xdr:colOff>
      <xdr:row>11</xdr:row>
      <xdr:rowOff>152400</xdr:rowOff>
    </xdr:from>
    <xdr:to>
      <xdr:col>18</xdr:col>
      <xdr:colOff>323850</xdr:colOff>
      <xdr:row>20</xdr:row>
      <xdr:rowOff>152400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2705100"/>
          <a:ext cx="16287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8" totalsRowShown="0" headerRowDxfId="465" dataDxfId="464">
  <autoFilter ref="A1:M8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13" totalsRowShown="0" headerRowDxfId="240" dataDxfId="239">
  <autoFilter ref="A1:M13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6" totalsRowShown="0" headerRowDxfId="59" dataDxfId="58">
  <autoFilter ref="A1:M6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topLeftCell="T1" zoomScale="85" zoomScaleNormal="85" workbookViewId="0">
      <pane ySplit="1" topLeftCell="A2" activePane="bottomLeft" state="frozen"/>
      <selection pane="bottomLeft"/>
    </sheetView>
  </sheetViews>
  <sheetFormatPr defaultColWidth="9.140625"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254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634</v>
      </c>
      <c r="C2" s="25" t="s">
        <v>302</v>
      </c>
      <c r="D2" s="25" t="s">
        <v>333</v>
      </c>
      <c r="E2" s="25" t="s">
        <v>253</v>
      </c>
      <c r="F2" s="25" t="s">
        <v>480</v>
      </c>
      <c r="G2" s="25" t="s">
        <v>573</v>
      </c>
      <c r="H2" s="25" t="s">
        <v>199</v>
      </c>
      <c r="I2" s="25" t="s">
        <v>706</v>
      </c>
      <c r="J2" s="25" t="s">
        <v>633</v>
      </c>
      <c r="K2" s="25" t="s">
        <v>668</v>
      </c>
      <c r="L2" s="25" t="s">
        <v>218</v>
      </c>
      <c r="M2" s="25" t="s">
        <v>200</v>
      </c>
      <c r="N2" s="25" t="s">
        <v>438</v>
      </c>
      <c r="O2" s="25" t="s">
        <v>554</v>
      </c>
      <c r="P2" s="25" t="s">
        <v>477</v>
      </c>
      <c r="Q2" s="25" t="s">
        <v>201</v>
      </c>
      <c r="R2" s="25" t="s">
        <v>502</v>
      </c>
      <c r="S2" s="25" t="s">
        <v>238</v>
      </c>
      <c r="T2" s="25" t="s">
        <v>233</v>
      </c>
      <c r="U2" s="25" t="s">
        <v>649</v>
      </c>
      <c r="V2" s="25" t="s">
        <v>202</v>
      </c>
      <c r="W2" s="25" t="s">
        <v>695</v>
      </c>
      <c r="X2" s="25" t="s">
        <v>203</v>
      </c>
      <c r="Y2" s="25" t="s">
        <v>657</v>
      </c>
      <c r="Z2" s="25" t="s">
        <v>204</v>
      </c>
      <c r="AA2" s="25" t="s">
        <v>205</v>
      </c>
      <c r="AB2" s="25" t="s">
        <v>338</v>
      </c>
      <c r="AC2" s="69" t="s">
        <v>319</v>
      </c>
      <c r="AD2" s="69" t="s">
        <v>206</v>
      </c>
      <c r="AE2" s="69" t="s">
        <v>207</v>
      </c>
      <c r="AF2" s="69" t="s">
        <v>208</v>
      </c>
      <c r="AG2" s="69" t="s">
        <v>377</v>
      </c>
      <c r="AH2" s="69" t="s">
        <v>265</v>
      </c>
      <c r="AI2" s="69" t="s">
        <v>209</v>
      </c>
      <c r="AJ2" s="69" t="s">
        <v>463</v>
      </c>
      <c r="AK2" s="69" t="s">
        <v>526</v>
      </c>
    </row>
    <row r="3" spans="1:37" ht="24.95" customHeight="1" x14ac:dyDescent="0.4">
      <c r="A3" s="24"/>
      <c r="B3" s="2" t="s">
        <v>635</v>
      </c>
      <c r="C3" s="2" t="s">
        <v>121</v>
      </c>
      <c r="D3" s="59" t="s">
        <v>324</v>
      </c>
      <c r="E3" s="2" t="s">
        <v>243</v>
      </c>
      <c r="F3" s="1" t="s">
        <v>464</v>
      </c>
      <c r="G3" s="1" t="s">
        <v>125</v>
      </c>
      <c r="H3" s="2" t="s">
        <v>105</v>
      </c>
      <c r="I3" s="2" t="s">
        <v>696</v>
      </c>
      <c r="J3" s="2" t="s">
        <v>623</v>
      </c>
      <c r="K3" s="2" t="s">
        <v>660</v>
      </c>
      <c r="L3" s="2" t="s">
        <v>210</v>
      </c>
      <c r="M3" s="2" t="s">
        <v>3</v>
      </c>
      <c r="N3" s="59" t="s">
        <v>79</v>
      </c>
      <c r="O3" s="2" t="s">
        <v>19</v>
      </c>
      <c r="P3" s="2" t="s">
        <v>473</v>
      </c>
      <c r="Q3" s="2" t="s">
        <v>70</v>
      </c>
      <c r="R3" s="2" t="s">
        <v>488</v>
      </c>
      <c r="S3" s="61" t="s">
        <v>180</v>
      </c>
      <c r="T3" s="23" t="s">
        <v>222</v>
      </c>
      <c r="U3" s="23" t="s">
        <v>643</v>
      </c>
      <c r="V3" s="83" t="s">
        <v>37</v>
      </c>
      <c r="W3" s="2" t="s">
        <v>683</v>
      </c>
      <c r="X3" s="2" t="s">
        <v>121</v>
      </c>
      <c r="Y3" s="2" t="s">
        <v>517</v>
      </c>
      <c r="Z3" s="33" t="s">
        <v>290</v>
      </c>
      <c r="AA3" s="2" t="s">
        <v>161</v>
      </c>
      <c r="AB3" s="1" t="s">
        <v>116</v>
      </c>
      <c r="AC3" s="1" t="s">
        <v>311</v>
      </c>
      <c r="AD3" s="1" t="s">
        <v>144</v>
      </c>
      <c r="AE3" s="1" t="s">
        <v>74</v>
      </c>
      <c r="AF3" s="2" t="s">
        <v>172</v>
      </c>
      <c r="AG3" s="39" t="s">
        <v>368</v>
      </c>
      <c r="AH3" s="1" t="s">
        <v>257</v>
      </c>
      <c r="AI3" s="95" t="s">
        <v>390</v>
      </c>
      <c r="AJ3" s="1" t="s">
        <v>449</v>
      </c>
      <c r="AK3" s="2" t="s">
        <v>518</v>
      </c>
    </row>
    <row r="4" spans="1:37" ht="24.95" customHeight="1" x14ac:dyDescent="0.4">
      <c r="A4" s="24"/>
      <c r="B4" s="2" t="s">
        <v>636</v>
      </c>
      <c r="C4" s="2" t="s">
        <v>298</v>
      </c>
      <c r="D4" s="2" t="s">
        <v>419</v>
      </c>
      <c r="E4" s="81" t="s">
        <v>244</v>
      </c>
      <c r="F4" s="2" t="s">
        <v>465</v>
      </c>
      <c r="G4" s="2" t="s">
        <v>569</v>
      </c>
      <c r="H4" s="2" t="s">
        <v>98</v>
      </c>
      <c r="I4" s="2" t="s">
        <v>697</v>
      </c>
      <c r="J4" s="2" t="s">
        <v>624</v>
      </c>
      <c r="K4" s="2" t="s">
        <v>661</v>
      </c>
      <c r="L4" s="2" t="s">
        <v>211</v>
      </c>
      <c r="M4" s="81" t="s">
        <v>0</v>
      </c>
      <c r="N4" s="1" t="s">
        <v>430</v>
      </c>
      <c r="O4" s="2" t="s">
        <v>21</v>
      </c>
      <c r="P4" s="59" t="s">
        <v>474</v>
      </c>
      <c r="Q4" s="2" t="s">
        <v>83</v>
      </c>
      <c r="R4" s="2" t="s">
        <v>489</v>
      </c>
      <c r="S4" s="61" t="s">
        <v>275</v>
      </c>
      <c r="T4" s="23" t="s">
        <v>224</v>
      </c>
      <c r="U4" s="23" t="s">
        <v>644</v>
      </c>
      <c r="V4" s="93" t="s">
        <v>33</v>
      </c>
      <c r="W4" s="1" t="s">
        <v>684</v>
      </c>
      <c r="X4" s="2" t="s">
        <v>124</v>
      </c>
      <c r="Y4" s="2" t="s">
        <v>574</v>
      </c>
      <c r="Z4" s="1" t="s">
        <v>85</v>
      </c>
      <c r="AA4" s="2" t="s">
        <v>159</v>
      </c>
      <c r="AB4" s="2" t="s">
        <v>155</v>
      </c>
      <c r="AC4" s="2" t="s">
        <v>312</v>
      </c>
      <c r="AD4" s="1" t="s">
        <v>143</v>
      </c>
      <c r="AE4" s="1" t="s">
        <v>72</v>
      </c>
      <c r="AF4" s="2" t="s">
        <v>175</v>
      </c>
      <c r="AG4" s="39" t="s">
        <v>364</v>
      </c>
      <c r="AH4" s="2" t="s">
        <v>258</v>
      </c>
      <c r="AI4" s="95" t="s">
        <v>3</v>
      </c>
      <c r="AJ4" s="2" t="s">
        <v>450</v>
      </c>
      <c r="AK4" s="2" t="s">
        <v>519</v>
      </c>
    </row>
    <row r="5" spans="1:37" ht="24.95" customHeight="1" x14ac:dyDescent="0.4">
      <c r="A5" s="24"/>
      <c r="B5" s="2" t="s">
        <v>637</v>
      </c>
      <c r="C5" s="2" t="s">
        <v>299</v>
      </c>
      <c r="D5" s="2" t="s">
        <v>322</v>
      </c>
      <c r="E5" s="59" t="s">
        <v>245</v>
      </c>
      <c r="F5" s="2" t="s">
        <v>70</v>
      </c>
      <c r="G5" s="2" t="s">
        <v>570</v>
      </c>
      <c r="H5" s="2" t="s">
        <v>97</v>
      </c>
      <c r="I5" s="2" t="s">
        <v>698</v>
      </c>
      <c r="J5" s="2" t="s">
        <v>625</v>
      </c>
      <c r="K5" s="81" t="s">
        <v>158</v>
      </c>
      <c r="L5" s="2" t="s">
        <v>212</v>
      </c>
      <c r="M5" s="2" t="s">
        <v>1</v>
      </c>
      <c r="N5" s="1" t="s">
        <v>74</v>
      </c>
      <c r="O5" s="2" t="s">
        <v>20</v>
      </c>
      <c r="P5" s="2" t="s">
        <v>478</v>
      </c>
      <c r="Q5" s="1" t="s">
        <v>69</v>
      </c>
      <c r="R5" s="2" t="s">
        <v>490</v>
      </c>
      <c r="S5" s="66" t="s">
        <v>234</v>
      </c>
      <c r="T5" s="23" t="s">
        <v>225</v>
      </c>
      <c r="U5" s="23" t="s">
        <v>645</v>
      </c>
      <c r="V5" s="83" t="s">
        <v>34</v>
      </c>
      <c r="W5" s="2" t="s">
        <v>685</v>
      </c>
      <c r="X5" s="2" t="s">
        <v>123</v>
      </c>
      <c r="Y5" s="2" t="s">
        <v>575</v>
      </c>
      <c r="Z5" s="33" t="s">
        <v>286</v>
      </c>
      <c r="AA5" s="81" t="s">
        <v>158</v>
      </c>
      <c r="AB5" s="27" t="s">
        <v>236</v>
      </c>
      <c r="AC5" s="1" t="s">
        <v>313</v>
      </c>
      <c r="AD5" s="2" t="s">
        <v>146</v>
      </c>
      <c r="AE5" s="2" t="s">
        <v>75</v>
      </c>
      <c r="AF5" s="1" t="s">
        <v>139</v>
      </c>
      <c r="AG5" s="39" t="s">
        <v>367</v>
      </c>
      <c r="AH5" s="2" t="s">
        <v>259</v>
      </c>
      <c r="AI5" s="95" t="s">
        <v>396</v>
      </c>
      <c r="AJ5" s="81" t="s">
        <v>451</v>
      </c>
      <c r="AK5" s="2" t="s">
        <v>520</v>
      </c>
    </row>
    <row r="6" spans="1:37" ht="24.95" customHeight="1" x14ac:dyDescent="0.4">
      <c r="A6" s="24"/>
      <c r="B6" s="2" t="s">
        <v>638</v>
      </c>
      <c r="C6" s="2" t="s">
        <v>303</v>
      </c>
      <c r="D6" s="38" t="s">
        <v>321</v>
      </c>
      <c r="E6" s="81" t="s">
        <v>246</v>
      </c>
      <c r="F6" s="2" t="s">
        <v>466</v>
      </c>
      <c r="G6" s="2" t="s">
        <v>655</v>
      </c>
      <c r="H6" s="2" t="s">
        <v>239</v>
      </c>
      <c r="I6" s="2" t="s">
        <v>699</v>
      </c>
      <c r="J6" s="2" t="s">
        <v>626</v>
      </c>
      <c r="K6" s="71" t="s">
        <v>666</v>
      </c>
      <c r="L6" s="2" t="s">
        <v>213</v>
      </c>
      <c r="M6" s="2" t="s">
        <v>4</v>
      </c>
      <c r="N6" s="2" t="s">
        <v>431</v>
      </c>
      <c r="O6" s="2" t="s">
        <v>22</v>
      </c>
      <c r="P6" s="2"/>
      <c r="Q6" s="1" t="s">
        <v>68</v>
      </c>
      <c r="R6" s="2" t="s">
        <v>491</v>
      </c>
      <c r="S6" s="61" t="s">
        <v>181</v>
      </c>
      <c r="T6" s="23" t="s">
        <v>221</v>
      </c>
      <c r="U6" s="23" t="s">
        <v>646</v>
      </c>
      <c r="V6" s="2" t="s">
        <v>32</v>
      </c>
      <c r="W6" s="2" t="s">
        <v>686</v>
      </c>
      <c r="X6" s="1" t="s">
        <v>125</v>
      </c>
      <c r="Y6" s="2" t="s">
        <v>576</v>
      </c>
      <c r="Z6" s="33" t="s">
        <v>288</v>
      </c>
      <c r="AA6" s="2" t="s">
        <v>162</v>
      </c>
      <c r="AB6" s="2" t="s">
        <v>341</v>
      </c>
      <c r="AC6" s="2" t="s">
        <v>314</v>
      </c>
      <c r="AD6" s="2" t="s">
        <v>148</v>
      </c>
      <c r="AE6" s="81" t="s">
        <v>73</v>
      </c>
      <c r="AF6" s="2" t="s">
        <v>174</v>
      </c>
      <c r="AG6" s="39" t="s">
        <v>365</v>
      </c>
      <c r="AH6" s="105" t="s">
        <v>791</v>
      </c>
      <c r="AI6" s="95" t="s">
        <v>391</v>
      </c>
      <c r="AJ6" s="2" t="s">
        <v>452</v>
      </c>
      <c r="AK6" s="2" t="s">
        <v>521</v>
      </c>
    </row>
    <row r="7" spans="1:37" ht="24.95" customHeight="1" x14ac:dyDescent="0.4">
      <c r="A7" s="24"/>
      <c r="B7" s="2"/>
      <c r="C7" s="1" t="s">
        <v>120</v>
      </c>
      <c r="D7" s="2" t="s">
        <v>421</v>
      </c>
      <c r="E7" s="2" t="s">
        <v>247</v>
      </c>
      <c r="F7" s="2" t="s">
        <v>467</v>
      </c>
      <c r="G7" s="71" t="s">
        <v>658</v>
      </c>
      <c r="H7" s="2" t="s">
        <v>100</v>
      </c>
      <c r="I7" s="2" t="s">
        <v>700</v>
      </c>
      <c r="J7" s="105" t="s">
        <v>738</v>
      </c>
      <c r="K7" s="81" t="s">
        <v>662</v>
      </c>
      <c r="L7" s="2" t="s">
        <v>303</v>
      </c>
      <c r="M7" s="2" t="s">
        <v>6</v>
      </c>
      <c r="N7" s="2" t="s">
        <v>432</v>
      </c>
      <c r="O7" s="2" t="s">
        <v>23</v>
      </c>
      <c r="P7" s="2"/>
      <c r="Q7" s="2" t="s">
        <v>71</v>
      </c>
      <c r="R7" s="2" t="s">
        <v>492</v>
      </c>
      <c r="S7" s="61" t="s">
        <v>185</v>
      </c>
      <c r="T7" s="23" t="s">
        <v>223</v>
      </c>
      <c r="U7" s="23" t="s">
        <v>648</v>
      </c>
      <c r="V7" s="81" t="s">
        <v>31</v>
      </c>
      <c r="W7" s="2" t="s">
        <v>687</v>
      </c>
      <c r="X7" s="2" t="s">
        <v>122</v>
      </c>
      <c r="Y7" s="2" t="s">
        <v>577</v>
      </c>
      <c r="Z7" s="2" t="s">
        <v>287</v>
      </c>
      <c r="AA7" s="2" t="s">
        <v>160</v>
      </c>
      <c r="AB7" s="2" t="s">
        <v>342</v>
      </c>
      <c r="AC7" s="2" t="s">
        <v>527</v>
      </c>
      <c r="AD7" s="2" t="s">
        <v>145</v>
      </c>
      <c r="AE7" s="2" t="s">
        <v>76</v>
      </c>
      <c r="AF7" s="2" t="s">
        <v>309</v>
      </c>
      <c r="AG7" s="39" t="s">
        <v>366</v>
      </c>
      <c r="AH7" s="2" t="s">
        <v>263</v>
      </c>
      <c r="AI7" s="95" t="s">
        <v>392</v>
      </c>
      <c r="AJ7" s="81" t="s">
        <v>453</v>
      </c>
      <c r="AK7"/>
    </row>
    <row r="8" spans="1:37" ht="24.95" customHeight="1" x14ac:dyDescent="0.4">
      <c r="A8" s="24"/>
      <c r="B8" s="2"/>
      <c r="C8" s="2" t="s">
        <v>305</v>
      </c>
      <c r="D8" s="2" t="s">
        <v>426</v>
      </c>
      <c r="E8" s="2" t="s">
        <v>503</v>
      </c>
      <c r="F8" s="2" t="s">
        <v>539</v>
      </c>
      <c r="G8" s="2" t="s">
        <v>798</v>
      </c>
      <c r="H8" s="1" t="s">
        <v>95</v>
      </c>
      <c r="I8"/>
      <c r="J8" s="2" t="s">
        <v>627</v>
      </c>
      <c r="K8"/>
      <c r="L8" s="2" t="s">
        <v>543</v>
      </c>
      <c r="M8" s="2" t="s">
        <v>2</v>
      </c>
      <c r="N8" s="2" t="s">
        <v>433</v>
      </c>
      <c r="O8" s="2" t="s">
        <v>24</v>
      </c>
      <c r="P8" s="2"/>
      <c r="Q8" s="2" t="s">
        <v>320</v>
      </c>
      <c r="R8" s="2" t="s">
        <v>493</v>
      </c>
      <c r="S8" s="61" t="s">
        <v>194</v>
      </c>
      <c r="T8" s="23" t="s">
        <v>219</v>
      </c>
      <c r="U8" s="23" t="s">
        <v>647</v>
      </c>
      <c r="V8" s="2" t="s">
        <v>35</v>
      </c>
      <c r="W8" s="2" t="s">
        <v>688</v>
      </c>
      <c r="X8" s="1" t="s">
        <v>117</v>
      </c>
      <c r="Y8" s="2" t="s">
        <v>578</v>
      </c>
      <c r="Z8" s="2" t="s">
        <v>88</v>
      </c>
      <c r="AA8" s="2" t="s">
        <v>164</v>
      </c>
      <c r="AB8" s="2" t="s">
        <v>345</v>
      </c>
      <c r="AC8" s="2" t="s">
        <v>528</v>
      </c>
      <c r="AD8" s="1" t="s">
        <v>147</v>
      </c>
      <c r="AE8" s="1" t="s">
        <v>79</v>
      </c>
      <c r="AF8" s="2" t="s">
        <v>334</v>
      </c>
      <c r="AG8" s="45" t="s">
        <v>354</v>
      </c>
      <c r="AH8"/>
      <c r="AI8" s="95" t="s">
        <v>268</v>
      </c>
      <c r="AJ8" s="2" t="s">
        <v>454</v>
      </c>
      <c r="AK8"/>
    </row>
    <row r="9" spans="1:37" ht="24.95" customHeight="1" x14ac:dyDescent="0.4">
      <c r="A9" s="24"/>
      <c r="B9" s="2"/>
      <c r="C9" s="2" t="s">
        <v>669</v>
      </c>
      <c r="D9" s="71" t="s">
        <v>536</v>
      </c>
      <c r="E9" s="2" t="s">
        <v>505</v>
      </c>
      <c r="F9" s="2" t="s">
        <v>540</v>
      </c>
      <c r="G9" s="81" t="s">
        <v>447</v>
      </c>
      <c r="H9" s="1" t="s">
        <v>93</v>
      </c>
      <c r="I9"/>
      <c r="J9"/>
      <c r="K9"/>
      <c r="L9" s="2" t="s">
        <v>681</v>
      </c>
      <c r="M9" s="2" t="s">
        <v>7</v>
      </c>
      <c r="N9" s="2" t="s">
        <v>76</v>
      </c>
      <c r="O9" s="1" t="s">
        <v>18</v>
      </c>
      <c r="P9" s="2"/>
      <c r="Q9" s="81" t="s">
        <v>471</v>
      </c>
      <c r="R9" s="2" t="s">
        <v>494</v>
      </c>
      <c r="S9" s="61" t="s">
        <v>195</v>
      </c>
      <c r="T9" s="23" t="s">
        <v>220</v>
      </c>
      <c r="U9" s="7"/>
      <c r="V9" s="1" t="s">
        <v>36</v>
      </c>
      <c r="W9" s="2"/>
      <c r="X9" s="1" t="s">
        <v>119</v>
      </c>
      <c r="Y9" s="2" t="s">
        <v>519</v>
      </c>
      <c r="Z9" s="2" t="s">
        <v>87</v>
      </c>
      <c r="AA9" s="2" t="s">
        <v>163</v>
      </c>
      <c r="AB9" s="2" t="s">
        <v>339</v>
      </c>
      <c r="AC9" s="2" t="s">
        <v>641</v>
      </c>
      <c r="AD9" s="1" t="s">
        <v>142</v>
      </c>
      <c r="AE9" s="2" t="s">
        <v>561</v>
      </c>
      <c r="AF9" s="2" t="s">
        <v>173</v>
      </c>
      <c r="AG9" s="45" t="s">
        <v>356</v>
      </c>
      <c r="AH9"/>
      <c r="AI9" s="99" t="s">
        <v>136</v>
      </c>
      <c r="AJ9" s="2" t="s">
        <v>707</v>
      </c>
      <c r="AK9"/>
    </row>
    <row r="10" spans="1:37" ht="24.95" customHeight="1" x14ac:dyDescent="0.4">
      <c r="A10" s="24"/>
      <c r="B10" s="2"/>
      <c r="C10" s="2"/>
      <c r="D10" s="2" t="s">
        <v>326</v>
      </c>
      <c r="E10" s="2" t="s">
        <v>507</v>
      </c>
      <c r="F10" s="2"/>
      <c r="G10"/>
      <c r="H10" s="2" t="s">
        <v>104</v>
      </c>
      <c r="I10"/>
      <c r="J10"/>
      <c r="K10"/>
      <c r="L10" s="2" t="s">
        <v>544</v>
      </c>
      <c r="M10" s="2" t="s">
        <v>5</v>
      </c>
      <c r="N10" s="2"/>
      <c r="O10" s="81" t="s">
        <v>17</v>
      </c>
      <c r="P10" s="2"/>
      <c r="Q10" s="2" t="s">
        <v>466</v>
      </c>
      <c r="R10" s="2" t="s">
        <v>555</v>
      </c>
      <c r="S10" s="61" t="s">
        <v>179</v>
      </c>
      <c r="T10" s="23" t="s">
        <v>559</v>
      </c>
      <c r="U10" s="7"/>
      <c r="V10" s="2" t="s">
        <v>141</v>
      </c>
      <c r="W10" s="2"/>
      <c r="X10" s="1" t="s">
        <v>118</v>
      </c>
      <c r="Y10" s="2" t="s">
        <v>579</v>
      </c>
      <c r="Z10" s="2" t="s">
        <v>86</v>
      </c>
      <c r="AA10"/>
      <c r="AB10" s="2" t="s">
        <v>428</v>
      </c>
      <c r="AC10"/>
      <c r="AD10"/>
      <c r="AE10" s="2" t="s">
        <v>568</v>
      </c>
      <c r="AF10"/>
      <c r="AG10" s="45" t="s">
        <v>357</v>
      </c>
      <c r="AH10"/>
      <c r="AI10" s="95" t="s">
        <v>379</v>
      </c>
      <c r="AJ10" s="2" t="s">
        <v>455</v>
      </c>
      <c r="AK10"/>
    </row>
    <row r="11" spans="1:37" ht="24.95" customHeight="1" x14ac:dyDescent="0.4">
      <c r="A11" s="24"/>
      <c r="B11" s="2"/>
      <c r="C11" s="2"/>
      <c r="D11" s="2" t="s">
        <v>323</v>
      </c>
      <c r="E11" s="2" t="s">
        <v>679</v>
      </c>
      <c r="F11" s="2"/>
      <c r="G11"/>
      <c r="H11" s="81" t="s">
        <v>94</v>
      </c>
      <c r="I11"/>
      <c r="J11"/>
      <c r="K11"/>
      <c r="L11" s="2" t="s">
        <v>545</v>
      </c>
      <c r="M11" s="2" t="s">
        <v>266</v>
      </c>
      <c r="N11" s="2"/>
      <c r="O11" s="2" t="s">
        <v>25</v>
      </c>
      <c r="P11" s="2"/>
      <c r="Q11"/>
      <c r="R11" s="2" t="s">
        <v>557</v>
      </c>
      <c r="S11" s="61" t="s">
        <v>183</v>
      </c>
      <c r="T11" s="23" t="s">
        <v>226</v>
      </c>
      <c r="U11" s="7"/>
      <c r="V11" s="2" t="s">
        <v>800</v>
      </c>
      <c r="W11" s="2"/>
      <c r="X11" s="1" t="s">
        <v>120</v>
      </c>
      <c r="Y11" s="2" t="s">
        <v>580</v>
      </c>
      <c r="Z11" s="2" t="s">
        <v>295</v>
      </c>
      <c r="AA11"/>
      <c r="AB11" s="2" t="s">
        <v>509</v>
      </c>
      <c r="AC11"/>
      <c r="AD11"/>
      <c r="AE11" s="2" t="s">
        <v>349</v>
      </c>
      <c r="AF11"/>
      <c r="AG11" s="45" t="s">
        <v>352</v>
      </c>
      <c r="AH11"/>
      <c r="AI11" s="95" t="s">
        <v>388</v>
      </c>
      <c r="AJ11"/>
      <c r="AK11"/>
    </row>
    <row r="12" spans="1:37" ht="24.95" customHeight="1" x14ac:dyDescent="0.4">
      <c r="A12" s="24"/>
      <c r="B12" s="2"/>
      <c r="C12" s="2"/>
      <c r="D12" s="2" t="s">
        <v>420</v>
      </c>
      <c r="E12" s="2" t="s">
        <v>532</v>
      </c>
      <c r="F12" s="2"/>
      <c r="G12"/>
      <c r="H12" s="2" t="s">
        <v>101</v>
      </c>
      <c r="I12"/>
      <c r="J12"/>
      <c r="K12"/>
      <c r="L12"/>
      <c r="M12" s="2" t="s">
        <v>268</v>
      </c>
      <c r="N12" s="2"/>
      <c r="O12" s="2" t="s">
        <v>26</v>
      </c>
      <c r="P12" s="2"/>
      <c r="Q12"/>
      <c r="R12"/>
      <c r="S12" s="61" t="s">
        <v>677</v>
      </c>
      <c r="T12" s="7"/>
      <c r="U12" s="7"/>
      <c r="V12" s="2" t="s">
        <v>801</v>
      </c>
      <c r="W12" s="2"/>
      <c r="X12" s="2" t="s">
        <v>270</v>
      </c>
      <c r="Y12" s="2" t="s">
        <v>581</v>
      </c>
      <c r="Z12" s="2" t="s">
        <v>296</v>
      </c>
      <c r="AA12"/>
      <c r="AB12" s="2" t="s">
        <v>510</v>
      </c>
      <c r="AC12"/>
      <c r="AD12"/>
      <c r="AE12" s="2" t="s">
        <v>596</v>
      </c>
      <c r="AF12"/>
      <c r="AG12" s="45" t="s">
        <v>353</v>
      </c>
      <c r="AH12"/>
      <c r="AI12" s="95" t="s">
        <v>278</v>
      </c>
      <c r="AJ12"/>
      <c r="AK12"/>
    </row>
    <row r="13" spans="1:37" ht="24.95" customHeight="1" x14ac:dyDescent="0.4">
      <c r="A13" s="24"/>
      <c r="B13" s="2"/>
      <c r="C13" s="2"/>
      <c r="D13" s="81" t="s">
        <v>325</v>
      </c>
      <c r="E13" s="2"/>
      <c r="F13" s="2"/>
      <c r="G13"/>
      <c r="H13" s="2" t="s">
        <v>675</v>
      </c>
      <c r="I13"/>
      <c r="J13"/>
      <c r="K13"/>
      <c r="L13"/>
      <c r="M13" s="28" t="s">
        <v>278</v>
      </c>
      <c r="N13" s="2"/>
      <c r="O13" s="2" t="s">
        <v>27</v>
      </c>
      <c r="P13" s="2"/>
      <c r="Q13"/>
      <c r="R13"/>
      <c r="S13" s="61" t="s">
        <v>182</v>
      </c>
      <c r="T13" s="7"/>
      <c r="U13" s="7"/>
      <c r="V13" s="2" t="s">
        <v>802</v>
      </c>
      <c r="W13" s="2"/>
      <c r="X13" s="2" t="s">
        <v>272</v>
      </c>
      <c r="Y13" s="2" t="s">
        <v>122</v>
      </c>
      <c r="Z13" s="33" t="s">
        <v>289</v>
      </c>
      <c r="AA13"/>
      <c r="AB13" s="2" t="s">
        <v>511</v>
      </c>
      <c r="AC13"/>
      <c r="AD13"/>
      <c r="AE13" s="2" t="s">
        <v>597</v>
      </c>
      <c r="AF13"/>
      <c r="AG13" s="94" t="s">
        <v>355</v>
      </c>
      <c r="AH13"/>
      <c r="AI13" s="95" t="s">
        <v>384</v>
      </c>
      <c r="AJ13"/>
      <c r="AK13"/>
    </row>
    <row r="14" spans="1:37" ht="24.95" customHeight="1" x14ac:dyDescent="0.4">
      <c r="A14" s="24"/>
      <c r="B14" s="2"/>
      <c r="C14" s="2"/>
      <c r="D14" s="2" t="s">
        <v>418</v>
      </c>
      <c r="E14" s="2"/>
      <c r="F14" s="2"/>
      <c r="G14"/>
      <c r="H14" s="2" t="s">
        <v>102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193</v>
      </c>
      <c r="T14" s="7"/>
      <c r="U14" s="7"/>
      <c r="V14" s="2" t="s">
        <v>803</v>
      </c>
      <c r="W14" s="2"/>
      <c r="X14" s="81" t="s">
        <v>447</v>
      </c>
      <c r="Y14" s="2" t="s">
        <v>582</v>
      </c>
      <c r="Z14" s="2" t="s">
        <v>671</v>
      </c>
      <c r="AA14"/>
      <c r="AB14" s="2" t="s">
        <v>512</v>
      </c>
      <c r="AC14"/>
      <c r="AD14"/>
      <c r="AE14"/>
      <c r="AF14"/>
      <c r="AG14"/>
      <c r="AH14"/>
      <c r="AI14" s="95" t="s">
        <v>383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481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274</v>
      </c>
      <c r="T15" s="7"/>
      <c r="U15" s="7"/>
      <c r="V15" s="7"/>
      <c r="W15" s="2"/>
      <c r="X15"/>
      <c r="Y15" s="2" t="s">
        <v>583</v>
      </c>
      <c r="Z15"/>
      <c r="AA15"/>
      <c r="AB15" s="2" t="s">
        <v>534</v>
      </c>
      <c r="AC15"/>
      <c r="AD15"/>
      <c r="AE15"/>
      <c r="AF15"/>
      <c r="AG15"/>
      <c r="AH15"/>
      <c r="AI15" s="95" t="s">
        <v>387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96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184</v>
      </c>
      <c r="T16" s="7"/>
      <c r="U16" s="7"/>
      <c r="V16" s="7"/>
      <c r="W16" s="2"/>
      <c r="X16"/>
      <c r="Y16" s="2" t="s">
        <v>124</v>
      </c>
      <c r="Z16"/>
      <c r="AA16"/>
      <c r="AB16"/>
      <c r="AC16"/>
      <c r="AD16"/>
      <c r="AE16"/>
      <c r="AF16"/>
      <c r="AG16"/>
      <c r="AH16"/>
      <c r="AI16" s="95" t="s">
        <v>389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99</v>
      </c>
      <c r="I17"/>
      <c r="J17"/>
      <c r="K17"/>
      <c r="L17"/>
      <c r="M17" s="2"/>
      <c r="N17" s="2"/>
      <c r="O17" s="2" t="s">
        <v>307</v>
      </c>
      <c r="P17" s="2"/>
      <c r="Q17"/>
      <c r="R17"/>
      <c r="S17" s="52" t="s">
        <v>439</v>
      </c>
      <c r="T17" s="7"/>
      <c r="U17" s="7"/>
      <c r="V17" s="7"/>
      <c r="W17" s="2"/>
      <c r="X17"/>
      <c r="Y17" s="2" t="s">
        <v>270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241</v>
      </c>
      <c r="I18"/>
      <c r="J18"/>
      <c r="K18"/>
      <c r="L18"/>
      <c r="M18" s="2"/>
      <c r="N18" s="2"/>
      <c r="O18" s="1" t="s">
        <v>255</v>
      </c>
      <c r="P18" s="2"/>
      <c r="Q18"/>
      <c r="R18"/>
      <c r="S18" s="52" t="s">
        <v>440</v>
      </c>
      <c r="T18" s="7"/>
      <c r="U18" s="7"/>
      <c r="V18" s="7"/>
      <c r="W18" s="2"/>
      <c r="X18"/>
      <c r="Y18" s="1" t="s">
        <v>118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103</v>
      </c>
      <c r="I19"/>
      <c r="J19"/>
      <c r="K19"/>
      <c r="L19"/>
      <c r="M19" s="2"/>
      <c r="N19" s="2"/>
      <c r="O19" s="2"/>
      <c r="P19" s="2"/>
      <c r="Q19"/>
      <c r="R19"/>
      <c r="S19" s="60" t="s">
        <v>441</v>
      </c>
      <c r="T19" s="7"/>
      <c r="U19" s="7"/>
      <c r="V19" s="7"/>
      <c r="W19" s="2"/>
      <c r="X19"/>
      <c r="Y19" s="2" t="s">
        <v>303</v>
      </c>
      <c r="Z19"/>
      <c r="AA19"/>
      <c r="AB19"/>
      <c r="AC19"/>
      <c r="AD19"/>
      <c r="AE19"/>
      <c r="AF19"/>
      <c r="AG19"/>
      <c r="AH19"/>
      <c r="AI19" s="95" t="s">
        <v>395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483</v>
      </c>
      <c r="I20"/>
      <c r="J20"/>
      <c r="K20"/>
      <c r="L20"/>
      <c r="M20" s="2"/>
      <c r="N20" s="2"/>
      <c r="O20" s="2"/>
      <c r="P20" s="2"/>
      <c r="Q20"/>
      <c r="R20"/>
      <c r="S20" s="52" t="s">
        <v>445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673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484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266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487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397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380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394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381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393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378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382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135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398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386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385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M8" sqref="M8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13" t="s">
        <v>531</v>
      </c>
      <c r="M1" s="13" t="s">
        <v>538</v>
      </c>
    </row>
    <row r="2" spans="1:13" ht="20.100000000000001" customHeight="1" x14ac:dyDescent="0.25">
      <c r="A2" s="2" t="s">
        <v>635</v>
      </c>
      <c r="B2" s="2" t="s">
        <v>639</v>
      </c>
      <c r="C2" s="4">
        <v>23.58</v>
      </c>
      <c r="D2" s="4">
        <v>23.54</v>
      </c>
      <c r="E2" s="4">
        <v>23.86</v>
      </c>
      <c r="F2" s="5">
        <v>23.69</v>
      </c>
      <c r="G2" s="6">
        <v>-4.6433094132546631E-3</v>
      </c>
      <c r="H2" s="4" t="s">
        <v>816</v>
      </c>
      <c r="I2" s="5">
        <v>2.54</v>
      </c>
      <c r="J2" s="4">
        <v>17.64</v>
      </c>
      <c r="K2" s="4">
        <v>23.08</v>
      </c>
      <c r="L2" s="70">
        <f>K2*0.9</f>
        <v>20.771999999999998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636</v>
      </c>
      <c r="B3" s="2" t="s">
        <v>640</v>
      </c>
      <c r="C3" s="4">
        <v>85.31</v>
      </c>
      <c r="D3" s="4">
        <v>85.02</v>
      </c>
      <c r="E3" s="4">
        <v>86.12</v>
      </c>
      <c r="F3" s="5">
        <v>85.45</v>
      </c>
      <c r="G3" s="6">
        <v>-1.6383850204798195E-3</v>
      </c>
      <c r="H3" s="4" t="s">
        <v>817</v>
      </c>
      <c r="I3" s="5">
        <v>2.58</v>
      </c>
      <c r="J3" s="4">
        <v>18.29</v>
      </c>
      <c r="K3" s="4">
        <v>83.87</v>
      </c>
      <c r="L3" s="70">
        <f t="shared" ref="L3:L5" si="0">K3*0.9</f>
        <v>75.483000000000004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637</v>
      </c>
      <c r="B4" s="2" t="s">
        <v>808</v>
      </c>
      <c r="C4" s="4">
        <v>114.56</v>
      </c>
      <c r="D4" s="4">
        <v>113.98</v>
      </c>
      <c r="E4" s="4">
        <v>115.01</v>
      </c>
      <c r="F4" s="5">
        <v>114.56</v>
      </c>
      <c r="G4" s="6">
        <v>0</v>
      </c>
      <c r="H4" s="4" t="s">
        <v>818</v>
      </c>
      <c r="I4" s="5">
        <v>2.89</v>
      </c>
      <c r="J4" s="4">
        <v>29.22</v>
      </c>
      <c r="K4" s="4">
        <v>111.04</v>
      </c>
      <c r="L4" s="70">
        <f t="shared" si="0"/>
        <v>99.936000000000007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638</v>
      </c>
      <c r="B5" s="2" t="s">
        <v>740</v>
      </c>
      <c r="C5" s="4">
        <v>17.39</v>
      </c>
      <c r="D5" s="4">
        <v>17.32</v>
      </c>
      <c r="E5" s="4">
        <v>17.43</v>
      </c>
      <c r="F5" s="5">
        <v>17.39</v>
      </c>
      <c r="G5" s="6">
        <v>0</v>
      </c>
      <c r="H5" s="4" t="s">
        <v>819</v>
      </c>
      <c r="I5" s="5">
        <v>2.5499999999999998</v>
      </c>
      <c r="J5" s="4">
        <v>16.05</v>
      </c>
      <c r="K5" s="4">
        <v>17.600000000000001</v>
      </c>
      <c r="L5" s="70">
        <f t="shared" si="0"/>
        <v>15.840000000000002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13" t="s">
        <v>531</v>
      </c>
      <c r="M1" s="13" t="s">
        <v>538</v>
      </c>
    </row>
    <row r="2" spans="1:13" ht="20.100000000000001" customHeight="1" x14ac:dyDescent="0.25">
      <c r="A2" s="2" t="s">
        <v>121</v>
      </c>
      <c r="B2" s="2" t="s">
        <v>131</v>
      </c>
      <c r="C2" s="4">
        <v>158.83000000000001</v>
      </c>
      <c r="D2" s="4">
        <v>158.34</v>
      </c>
      <c r="E2" s="4">
        <v>159.58000000000001</v>
      </c>
      <c r="F2" s="5">
        <v>158.29</v>
      </c>
      <c r="G2" s="6">
        <v>3.4114599785205666E-3</v>
      </c>
      <c r="H2" s="4" t="s">
        <v>820</v>
      </c>
      <c r="I2" s="5">
        <v>3.58</v>
      </c>
      <c r="J2" s="4">
        <v>24.27</v>
      </c>
      <c r="K2" s="4">
        <v>139.85</v>
      </c>
      <c r="L2" s="70">
        <f>K2*0.9</f>
        <v>125.86499999999999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298</v>
      </c>
      <c r="B3" s="2" t="s">
        <v>300</v>
      </c>
      <c r="C3" s="4">
        <v>49.49</v>
      </c>
      <c r="D3" s="4">
        <v>49.26</v>
      </c>
      <c r="E3" s="4">
        <v>49.97</v>
      </c>
      <c r="F3" s="5">
        <v>49.77</v>
      </c>
      <c r="G3" s="6">
        <v>-5.6258790436005852E-3</v>
      </c>
      <c r="H3" s="4" t="s">
        <v>821</v>
      </c>
      <c r="I3" s="5">
        <v>0.16</v>
      </c>
      <c r="J3" s="4">
        <v>13.88</v>
      </c>
      <c r="K3" s="4">
        <v>41.88</v>
      </c>
      <c r="L3" s="70">
        <f t="shared" ref="L3:L8" si="0">K3*0.9</f>
        <v>37.692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299</v>
      </c>
      <c r="B4" s="2" t="s">
        <v>301</v>
      </c>
      <c r="C4" s="4">
        <v>87.85</v>
      </c>
      <c r="D4" s="4">
        <v>86.1</v>
      </c>
      <c r="E4" s="4">
        <v>88.5</v>
      </c>
      <c r="F4" s="5">
        <v>86.2</v>
      </c>
      <c r="G4" s="6">
        <v>1.9141531322505703E-2</v>
      </c>
      <c r="H4" s="4" t="s">
        <v>822</v>
      </c>
      <c r="I4" s="5">
        <v>0</v>
      </c>
      <c r="J4" s="4">
        <v>25.71</v>
      </c>
      <c r="K4" s="4">
        <v>76.400000000000006</v>
      </c>
      <c r="L4" s="70">
        <f t="shared" si="0"/>
        <v>68.760000000000005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303</v>
      </c>
      <c r="B5" s="2" t="s">
        <v>304</v>
      </c>
      <c r="C5" s="4">
        <v>89.93</v>
      </c>
      <c r="D5" s="4">
        <v>89.85</v>
      </c>
      <c r="E5" s="4">
        <v>90.98</v>
      </c>
      <c r="F5" s="5">
        <v>90.4</v>
      </c>
      <c r="G5" s="6">
        <v>-5.1991150442477745E-3</v>
      </c>
      <c r="H5" s="4" t="s">
        <v>823</v>
      </c>
      <c r="I5" s="5">
        <v>1.47</v>
      </c>
      <c r="J5" s="4">
        <v>16.329999999999998</v>
      </c>
      <c r="K5" s="4">
        <v>86.53</v>
      </c>
      <c r="L5" s="70">
        <f t="shared" si="0"/>
        <v>77.87700000000001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120</v>
      </c>
      <c r="B6" s="2" t="s">
        <v>130</v>
      </c>
      <c r="C6" s="4">
        <v>69.58</v>
      </c>
      <c r="D6" s="4">
        <v>69.010000000000005</v>
      </c>
      <c r="E6" s="4">
        <v>69.78</v>
      </c>
      <c r="F6" s="5">
        <v>69.58</v>
      </c>
      <c r="G6" s="6">
        <v>0</v>
      </c>
      <c r="H6" s="4" t="s">
        <v>824</v>
      </c>
      <c r="I6" s="5">
        <v>0.64</v>
      </c>
      <c r="J6" s="4">
        <v>24.41</v>
      </c>
      <c r="K6" s="4">
        <v>62.25</v>
      </c>
      <c r="L6" s="70">
        <f t="shared" si="0"/>
        <v>56.024999999999999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305</v>
      </c>
      <c r="B7" s="2" t="s">
        <v>306</v>
      </c>
      <c r="C7" s="4">
        <v>78.03</v>
      </c>
      <c r="D7" s="4">
        <v>77.33</v>
      </c>
      <c r="E7" s="4">
        <v>78.150000000000006</v>
      </c>
      <c r="F7" s="5">
        <v>77.349999999999994</v>
      </c>
      <c r="G7" s="6">
        <v>8.7912087912088797E-3</v>
      </c>
      <c r="H7" s="4" t="s">
        <v>825</v>
      </c>
      <c r="I7" s="5">
        <v>0.23</v>
      </c>
      <c r="J7" s="4">
        <v>34.07</v>
      </c>
      <c r="K7" s="4">
        <v>71.58</v>
      </c>
      <c r="L7" s="70">
        <f t="shared" si="0"/>
        <v>64.421999999999997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669</v>
      </c>
      <c r="B8" s="2" t="s">
        <v>670</v>
      </c>
      <c r="C8" s="4">
        <v>252.24</v>
      </c>
      <c r="D8" s="4">
        <v>249.79</v>
      </c>
      <c r="E8" s="4">
        <v>253.61</v>
      </c>
      <c r="F8" s="5">
        <v>253.61</v>
      </c>
      <c r="G8" s="6">
        <v>-5.4019951894641559E-3</v>
      </c>
      <c r="H8" s="4" t="s">
        <v>826</v>
      </c>
      <c r="I8" s="5">
        <v>0</v>
      </c>
      <c r="J8" s="4">
        <v>24.28</v>
      </c>
      <c r="K8" s="4">
        <v>270.26</v>
      </c>
      <c r="L8" s="70">
        <f t="shared" si="0"/>
        <v>243.23400000000001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59" t="s">
        <v>324</v>
      </c>
      <c r="B2" s="2" t="s">
        <v>332</v>
      </c>
      <c r="C2" s="4">
        <v>31.25</v>
      </c>
      <c r="D2" s="4">
        <v>30.93</v>
      </c>
      <c r="E2" s="4">
        <v>31.78</v>
      </c>
      <c r="F2" s="5">
        <v>31.41</v>
      </c>
      <c r="G2" s="6">
        <v>-5.0939191340337517E-3</v>
      </c>
      <c r="H2" s="4" t="s">
        <v>827</v>
      </c>
      <c r="I2" s="5">
        <v>3.52</v>
      </c>
      <c r="J2" s="4">
        <v>24.9</v>
      </c>
      <c r="K2" s="4">
        <v>27.27</v>
      </c>
      <c r="L2" s="79">
        <f>Table351522[[#This Row],[MA200]]*0.9</f>
        <v>24.542999999999999</v>
      </c>
      <c r="M2" s="80" t="b">
        <f>L2&gt;Table351522[[#This Row],[LatestPrice]]</f>
        <v>0</v>
      </c>
    </row>
    <row r="3" spans="1:13" ht="20.100000000000001" customHeight="1" x14ac:dyDescent="0.25">
      <c r="A3" s="2" t="s">
        <v>419</v>
      </c>
      <c r="B3" s="2" t="s">
        <v>423</v>
      </c>
      <c r="C3" s="4">
        <v>2.08</v>
      </c>
      <c r="D3" s="4">
        <v>2.0299999999999998</v>
      </c>
      <c r="E3" s="4">
        <v>2.17</v>
      </c>
      <c r="F3" s="5">
        <v>2.13</v>
      </c>
      <c r="G3" s="6">
        <v>-2.3474178403755788E-2</v>
      </c>
      <c r="H3" s="4" t="s">
        <v>828</v>
      </c>
      <c r="I3" s="5">
        <v>0</v>
      </c>
      <c r="J3" s="4" t="s">
        <v>39</v>
      </c>
      <c r="K3" s="4">
        <v>1.44</v>
      </c>
      <c r="L3" s="79">
        <f>Table351522[[#This Row],[MA200]]*0.9</f>
        <v>1.296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322</v>
      </c>
      <c r="B4" s="2" t="s">
        <v>328</v>
      </c>
      <c r="C4" s="4">
        <v>105.38</v>
      </c>
      <c r="D4" s="4">
        <v>104.43</v>
      </c>
      <c r="E4" s="4">
        <v>105.84</v>
      </c>
      <c r="F4" s="5">
        <v>105.5</v>
      </c>
      <c r="G4" s="6">
        <v>-1.1374407582938819E-3</v>
      </c>
      <c r="H4" s="4" t="s">
        <v>744</v>
      </c>
      <c r="I4" s="5">
        <v>3.47</v>
      </c>
      <c r="J4" s="4">
        <v>20.07</v>
      </c>
      <c r="K4" s="4">
        <v>94.77</v>
      </c>
      <c r="L4" s="79">
        <f>Table351522[[#This Row],[MA200]]*0.9</f>
        <v>85.292999999999992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321</v>
      </c>
      <c r="B5" s="2" t="s">
        <v>327</v>
      </c>
      <c r="C5" s="4">
        <v>18.91</v>
      </c>
      <c r="D5" s="4">
        <v>18.739999999999998</v>
      </c>
      <c r="E5" s="4">
        <v>19.07</v>
      </c>
      <c r="F5" s="5">
        <v>18.98</v>
      </c>
      <c r="G5" s="6">
        <v>-3.6880927291886344E-3</v>
      </c>
      <c r="H5" s="4" t="s">
        <v>829</v>
      </c>
      <c r="I5" s="5">
        <v>2.11</v>
      </c>
      <c r="J5" s="4">
        <v>33.18</v>
      </c>
      <c r="K5" s="4">
        <v>17.03</v>
      </c>
      <c r="L5" s="79">
        <f>Table351522[[#This Row],[MA200]]*0.9</f>
        <v>15.327000000000002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421</v>
      </c>
      <c r="B6" s="2" t="s">
        <v>425</v>
      </c>
      <c r="C6" s="4">
        <v>106.47</v>
      </c>
      <c r="D6" s="4">
        <v>105.69</v>
      </c>
      <c r="E6" s="4">
        <v>106.47</v>
      </c>
      <c r="F6" s="5">
        <v>106.37</v>
      </c>
      <c r="G6" s="6">
        <v>9.4011469399261363E-4</v>
      </c>
      <c r="H6" s="4" t="s">
        <v>830</v>
      </c>
      <c r="I6" s="5">
        <v>6.65</v>
      </c>
      <c r="J6" s="4">
        <v>12.9</v>
      </c>
      <c r="K6" s="4">
        <v>108.53</v>
      </c>
      <c r="L6" s="79">
        <f>Table351522[[#This Row],[MA200]]*0.9</f>
        <v>97.677000000000007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426</v>
      </c>
      <c r="B7" s="2" t="s">
        <v>427</v>
      </c>
      <c r="C7" s="4">
        <v>9.58</v>
      </c>
      <c r="D7" s="4">
        <v>9.2200000000000006</v>
      </c>
      <c r="E7" s="4">
        <v>9.73</v>
      </c>
      <c r="F7" s="5">
        <v>9.44</v>
      </c>
      <c r="G7" s="6">
        <v>1.4830508474576332E-2</v>
      </c>
      <c r="H7" s="4" t="s">
        <v>831</v>
      </c>
      <c r="I7" s="5">
        <v>0</v>
      </c>
      <c r="J7" s="4" t="s">
        <v>39</v>
      </c>
      <c r="K7" s="4">
        <v>6.51</v>
      </c>
      <c r="L7" s="79">
        <f>Table351522[[#This Row],[MA200]]*0.9</f>
        <v>5.859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536</v>
      </c>
      <c r="B8" s="71" t="s">
        <v>537</v>
      </c>
      <c r="C8" s="72">
        <v>17.055</v>
      </c>
      <c r="D8" s="72">
        <v>16.885000000000002</v>
      </c>
      <c r="E8" s="72">
        <v>17.3</v>
      </c>
      <c r="F8" s="73">
        <v>17.344999999999999</v>
      </c>
      <c r="G8" s="74">
        <v>-1.671951571057937E-2</v>
      </c>
      <c r="H8" s="72" t="s">
        <v>832</v>
      </c>
      <c r="I8" s="73" t="s">
        <v>39</v>
      </c>
      <c r="J8" s="72" t="s">
        <v>39</v>
      </c>
      <c r="K8" s="72">
        <v>13.981999999999999</v>
      </c>
      <c r="L8" s="79">
        <f>Table351522[[#This Row],[MA200]]*0.9</f>
        <v>12.5838</v>
      </c>
      <c r="M8" s="80" t="b">
        <f>L8&gt;Table351522[[#This Row],[LatestPrice]]</f>
        <v>0</v>
      </c>
    </row>
    <row r="9" spans="1:13" ht="20.100000000000001" customHeight="1" x14ac:dyDescent="0.25">
      <c r="A9" s="2" t="s">
        <v>326</v>
      </c>
      <c r="B9" s="2" t="s">
        <v>331</v>
      </c>
      <c r="C9" s="4">
        <v>82.64</v>
      </c>
      <c r="D9" s="4">
        <v>82.5</v>
      </c>
      <c r="E9" s="4">
        <v>83.02</v>
      </c>
      <c r="F9" s="5">
        <v>82.76</v>
      </c>
      <c r="G9" s="6">
        <v>-1.4499758337361592E-3</v>
      </c>
      <c r="H9" s="4" t="s">
        <v>833</v>
      </c>
      <c r="I9" s="5">
        <v>2.78</v>
      </c>
      <c r="J9" s="4">
        <v>32.19</v>
      </c>
      <c r="K9" s="4">
        <v>81.37</v>
      </c>
      <c r="L9" s="79">
        <f>Table351522[[#This Row],[MA200]]*0.9</f>
        <v>73.233000000000004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323</v>
      </c>
      <c r="B10" s="2" t="s">
        <v>329</v>
      </c>
      <c r="C10" s="4">
        <v>107.62</v>
      </c>
      <c r="D10" s="4">
        <v>107.05</v>
      </c>
      <c r="E10" s="4">
        <v>107.9</v>
      </c>
      <c r="F10" s="5">
        <v>107.33</v>
      </c>
      <c r="G10" s="6">
        <v>2.7019472654430843E-3</v>
      </c>
      <c r="H10" s="4" t="s">
        <v>834</v>
      </c>
      <c r="I10" s="5">
        <v>2.0099999999999998</v>
      </c>
      <c r="J10" s="4">
        <v>29.51</v>
      </c>
      <c r="K10" s="4">
        <v>103.95</v>
      </c>
      <c r="L10" s="79">
        <f>Table351522[[#This Row],[MA200]]*0.9</f>
        <v>93.555000000000007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420</v>
      </c>
      <c r="B11" s="2" t="s">
        <v>424</v>
      </c>
      <c r="C11" s="4">
        <v>4.5599999999999996</v>
      </c>
      <c r="D11" s="4">
        <v>4.54</v>
      </c>
      <c r="E11" s="4">
        <v>4.58</v>
      </c>
      <c r="F11" s="5">
        <v>4.5599999999999996</v>
      </c>
      <c r="G11" s="6">
        <v>0</v>
      </c>
      <c r="H11" s="4" t="s">
        <v>835</v>
      </c>
      <c r="I11" s="5">
        <v>4.75</v>
      </c>
      <c r="J11" s="4" t="s">
        <v>39</v>
      </c>
      <c r="K11" s="4">
        <v>3.99</v>
      </c>
      <c r="L11" s="79">
        <f>Table351522[[#This Row],[MA200]]*0.9</f>
        <v>3.5910000000000002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325</v>
      </c>
      <c r="B12" s="2" t="s">
        <v>330</v>
      </c>
      <c r="C12" s="4">
        <v>33.979999999999997</v>
      </c>
      <c r="D12" s="4">
        <v>33.340000000000003</v>
      </c>
      <c r="E12" s="4">
        <v>34.700000000000003</v>
      </c>
      <c r="F12" s="5">
        <v>34.51</v>
      </c>
      <c r="G12" s="6">
        <v>-1.5357867284845006E-2</v>
      </c>
      <c r="H12" s="4" t="s">
        <v>836</v>
      </c>
      <c r="I12" s="5">
        <v>3.53</v>
      </c>
      <c r="J12" s="4">
        <v>113.27</v>
      </c>
      <c r="K12" s="4">
        <v>26.11</v>
      </c>
      <c r="L12" s="79">
        <f>Table351522[[#This Row],[MA200]]*0.9</f>
        <v>23.498999999999999</v>
      </c>
      <c r="M12" s="80" t="b">
        <f>L12&gt;Table351522[[#This Row],[LatestPrice]]</f>
        <v>0</v>
      </c>
    </row>
    <row r="13" spans="1:13" ht="20.100000000000001" customHeight="1" x14ac:dyDescent="0.25">
      <c r="A13" s="2" t="s">
        <v>418</v>
      </c>
      <c r="B13" s="2" t="s">
        <v>422</v>
      </c>
      <c r="C13" s="4">
        <v>6.37</v>
      </c>
      <c r="D13" s="4">
        <v>6.26</v>
      </c>
      <c r="E13" s="4">
        <v>6.45</v>
      </c>
      <c r="F13" s="5">
        <v>6.34</v>
      </c>
      <c r="G13" s="6">
        <v>4.7318611987382094E-3</v>
      </c>
      <c r="H13" s="4" t="s">
        <v>837</v>
      </c>
      <c r="I13" s="5">
        <v>10.73</v>
      </c>
      <c r="J13" s="4">
        <v>93.68</v>
      </c>
      <c r="K13" s="4">
        <v>5.99</v>
      </c>
      <c r="L13" s="79">
        <f>Table351522[[#This Row],[MA200]]*0.9</f>
        <v>5.391</v>
      </c>
      <c r="M13" s="80" t="b">
        <f>L13&gt;Table351522[[#This Row],[LatestPrice]]</f>
        <v>0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243</v>
      </c>
      <c r="B2" s="2" t="s">
        <v>248</v>
      </c>
      <c r="C2" s="4">
        <v>47.65</v>
      </c>
      <c r="D2" s="4">
        <v>47.54</v>
      </c>
      <c r="E2" s="4">
        <v>48.43</v>
      </c>
      <c r="F2" s="5">
        <v>47.65</v>
      </c>
      <c r="G2" s="6">
        <v>0</v>
      </c>
      <c r="H2" s="4" t="s">
        <v>838</v>
      </c>
      <c r="I2" s="5">
        <v>0.84</v>
      </c>
      <c r="J2" s="4">
        <v>4.9400000000000004</v>
      </c>
      <c r="K2" s="4">
        <v>38.96</v>
      </c>
      <c r="L2" s="77">
        <f t="shared" ref="L2:L11" si="0">K2*0.9</f>
        <v>35.064</v>
      </c>
      <c r="M2" s="78" t="b">
        <f t="shared" ref="M2:M11" si="1">L2&gt;C2</f>
        <v>0</v>
      </c>
    </row>
    <row r="3" spans="1:13" ht="20.100000000000001" customHeight="1" x14ac:dyDescent="0.25">
      <c r="A3" s="81" t="s">
        <v>244</v>
      </c>
      <c r="B3" s="2" t="s">
        <v>249</v>
      </c>
      <c r="C3" s="4">
        <v>51.23</v>
      </c>
      <c r="D3" s="4">
        <v>50.78</v>
      </c>
      <c r="E3" s="4">
        <v>51.64</v>
      </c>
      <c r="F3" s="5">
        <v>50.89</v>
      </c>
      <c r="G3" s="6">
        <v>6.6810768323835E-3</v>
      </c>
      <c r="H3" s="4" t="s">
        <v>839</v>
      </c>
      <c r="I3" s="5">
        <v>1.58</v>
      </c>
      <c r="J3" s="4">
        <v>8.85</v>
      </c>
      <c r="K3" s="4">
        <v>42.12</v>
      </c>
      <c r="L3" s="77">
        <f t="shared" si="0"/>
        <v>37.908000000000001</v>
      </c>
      <c r="M3" s="78" t="b">
        <f t="shared" si="1"/>
        <v>0</v>
      </c>
    </row>
    <row r="4" spans="1:13" ht="20.100000000000001" customHeight="1" x14ac:dyDescent="0.25">
      <c r="A4" s="59" t="s">
        <v>245</v>
      </c>
      <c r="B4" s="2" t="s">
        <v>250</v>
      </c>
      <c r="C4" s="4">
        <v>74.319999999999993</v>
      </c>
      <c r="D4" s="4">
        <v>73.89</v>
      </c>
      <c r="E4" s="4">
        <v>74.75</v>
      </c>
      <c r="F4" s="5">
        <v>74</v>
      </c>
      <c r="G4" s="6">
        <v>4.3243243243242325E-3</v>
      </c>
      <c r="H4" s="4" t="s">
        <v>840</v>
      </c>
      <c r="I4" s="5">
        <v>0</v>
      </c>
      <c r="J4" s="4">
        <v>9.49</v>
      </c>
      <c r="K4" s="4">
        <v>56.62</v>
      </c>
      <c r="L4" s="77">
        <f t="shared" si="0"/>
        <v>50.957999999999998</v>
      </c>
      <c r="M4" s="78" t="b">
        <f t="shared" si="1"/>
        <v>0</v>
      </c>
    </row>
    <row r="5" spans="1:13" ht="20.100000000000001" customHeight="1" x14ac:dyDescent="0.25">
      <c r="A5" s="81" t="s">
        <v>246</v>
      </c>
      <c r="B5" s="2" t="s">
        <v>251</v>
      </c>
      <c r="C5" s="4">
        <v>51.15</v>
      </c>
      <c r="D5" s="4">
        <v>50.78</v>
      </c>
      <c r="E5" s="4">
        <v>51.34</v>
      </c>
      <c r="F5" s="5">
        <v>51.01</v>
      </c>
      <c r="G5" s="6">
        <v>2.7445598902176155E-3</v>
      </c>
      <c r="H5" s="4" t="s">
        <v>841</v>
      </c>
      <c r="I5" s="5">
        <v>0.78</v>
      </c>
      <c r="J5" s="4">
        <v>14.54</v>
      </c>
      <c r="K5" s="4">
        <v>41.94</v>
      </c>
      <c r="L5" s="77">
        <f t="shared" si="0"/>
        <v>37.746000000000002</v>
      </c>
      <c r="M5" s="78" t="b">
        <f t="shared" si="1"/>
        <v>0</v>
      </c>
    </row>
    <row r="6" spans="1:13" ht="20.100000000000001" customHeight="1" x14ac:dyDescent="0.25">
      <c r="A6" s="2" t="s">
        <v>247</v>
      </c>
      <c r="B6" s="2" t="s">
        <v>252</v>
      </c>
      <c r="C6" s="4">
        <v>21.76</v>
      </c>
      <c r="D6" s="4">
        <v>21.67</v>
      </c>
      <c r="E6" s="4">
        <v>22.11</v>
      </c>
      <c r="F6" s="5">
        <v>21.76</v>
      </c>
      <c r="G6" s="6">
        <v>0</v>
      </c>
      <c r="H6" s="4" t="s">
        <v>842</v>
      </c>
      <c r="I6" s="5" t="s">
        <v>39</v>
      </c>
      <c r="J6" s="4">
        <v>9.66</v>
      </c>
      <c r="K6" s="4">
        <v>18.39</v>
      </c>
      <c r="L6" s="77">
        <f t="shared" si="0"/>
        <v>16.551000000000002</v>
      </c>
      <c r="M6" s="78" t="b">
        <f t="shared" si="1"/>
        <v>0</v>
      </c>
    </row>
    <row r="7" spans="1:13" ht="20.100000000000001" customHeight="1" x14ac:dyDescent="0.25">
      <c r="A7" s="2" t="s">
        <v>503</v>
      </c>
      <c r="B7" s="2" t="s">
        <v>504</v>
      </c>
      <c r="C7" s="4">
        <v>56.58</v>
      </c>
      <c r="D7" s="4">
        <v>56.22</v>
      </c>
      <c r="E7" s="4">
        <v>56.95</v>
      </c>
      <c r="F7" s="5">
        <v>56.58</v>
      </c>
      <c r="G7" s="6">
        <v>0</v>
      </c>
      <c r="H7" s="4" t="s">
        <v>843</v>
      </c>
      <c r="I7" s="5" t="s">
        <v>39</v>
      </c>
      <c r="J7" s="4">
        <v>13.84</v>
      </c>
      <c r="K7" s="4">
        <v>46.6</v>
      </c>
      <c r="L7" s="77">
        <f t="shared" si="0"/>
        <v>41.940000000000005</v>
      </c>
      <c r="M7" s="78" t="b">
        <f t="shared" si="1"/>
        <v>0</v>
      </c>
    </row>
    <row r="8" spans="1:13" ht="20.100000000000001" customHeight="1" x14ac:dyDescent="0.25">
      <c r="A8" s="2" t="s">
        <v>505</v>
      </c>
      <c r="B8" s="2" t="s">
        <v>506</v>
      </c>
      <c r="C8" s="4">
        <v>28.524999999999999</v>
      </c>
      <c r="D8" s="4">
        <v>28.524999999999999</v>
      </c>
      <c r="E8" s="4">
        <v>28.66</v>
      </c>
      <c r="F8" s="5">
        <v>28.5</v>
      </c>
      <c r="G8" s="6">
        <v>8.7719298245609049E-4</v>
      </c>
      <c r="H8" s="4" t="s">
        <v>39</v>
      </c>
      <c r="I8" s="5" t="s">
        <v>39</v>
      </c>
      <c r="J8" s="4" t="s">
        <v>39</v>
      </c>
      <c r="K8" s="4">
        <v>24.498000000000001</v>
      </c>
      <c r="L8" s="77">
        <f t="shared" si="0"/>
        <v>22.048200000000001</v>
      </c>
      <c r="M8" s="78" t="b">
        <f t="shared" si="1"/>
        <v>0</v>
      </c>
    </row>
    <row r="9" spans="1:13" ht="20.100000000000001" customHeight="1" x14ac:dyDescent="0.25">
      <c r="A9" s="2" t="s">
        <v>507</v>
      </c>
      <c r="B9" s="2" t="s">
        <v>508</v>
      </c>
      <c r="C9" s="4">
        <v>24.05</v>
      </c>
      <c r="D9" s="4">
        <v>23.81</v>
      </c>
      <c r="E9" s="4">
        <v>24.09</v>
      </c>
      <c r="F9" s="5">
        <v>23.68</v>
      </c>
      <c r="G9" s="6">
        <v>1.5625000000000042E-2</v>
      </c>
      <c r="H9" s="4" t="s">
        <v>844</v>
      </c>
      <c r="I9" s="5">
        <v>1.57</v>
      </c>
      <c r="J9" s="4">
        <v>7.63</v>
      </c>
      <c r="K9" s="4">
        <v>24.78</v>
      </c>
      <c r="L9" s="77">
        <f t="shared" si="0"/>
        <v>22.302000000000003</v>
      </c>
      <c r="M9" s="78" t="b">
        <f t="shared" si="1"/>
        <v>0</v>
      </c>
    </row>
    <row r="10" spans="1:13" ht="20.100000000000001" customHeight="1" x14ac:dyDescent="0.25">
      <c r="A10" s="2" t="s">
        <v>679</v>
      </c>
      <c r="B10" s="2" t="s">
        <v>680</v>
      </c>
      <c r="C10" s="4">
        <v>94.32</v>
      </c>
      <c r="D10" s="4">
        <v>93.09</v>
      </c>
      <c r="E10" s="4">
        <v>94.4</v>
      </c>
      <c r="F10" s="5">
        <v>93.26</v>
      </c>
      <c r="G10" s="6">
        <v>1.1366073343341068E-2</v>
      </c>
      <c r="H10" s="4" t="s">
        <v>845</v>
      </c>
      <c r="I10" s="5">
        <v>1.17</v>
      </c>
      <c r="J10" s="4">
        <v>13.23</v>
      </c>
      <c r="K10" s="4">
        <v>73.069999999999993</v>
      </c>
      <c r="L10" s="103">
        <f t="shared" si="0"/>
        <v>65.762999999999991</v>
      </c>
      <c r="M10" s="104" t="b">
        <f>L10&gt;C10</f>
        <v>0</v>
      </c>
    </row>
    <row r="11" spans="1:13" ht="20.100000000000001" customHeight="1" x14ac:dyDescent="0.25">
      <c r="A11" s="2" t="s">
        <v>532</v>
      </c>
      <c r="B11" s="2" t="s">
        <v>533</v>
      </c>
      <c r="C11" s="4">
        <v>57.55</v>
      </c>
      <c r="D11" s="4">
        <v>55.85</v>
      </c>
      <c r="E11" s="4">
        <v>57.6</v>
      </c>
      <c r="F11" s="5">
        <v>57.55</v>
      </c>
      <c r="G11" s="6">
        <v>0</v>
      </c>
      <c r="H11" s="4" t="s">
        <v>846</v>
      </c>
      <c r="I11" s="5" t="s">
        <v>39</v>
      </c>
      <c r="J11" s="4">
        <v>11.6</v>
      </c>
      <c r="K11" s="4">
        <v>47.79</v>
      </c>
      <c r="L11" s="77">
        <f t="shared" si="0"/>
        <v>43.011000000000003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464</v>
      </c>
      <c r="B2" s="2" t="s">
        <v>468</v>
      </c>
      <c r="C2" s="4">
        <v>52.92</v>
      </c>
      <c r="D2" s="4">
        <v>52.23</v>
      </c>
      <c r="E2" s="4">
        <v>52.93</v>
      </c>
      <c r="F2" s="5">
        <v>52.4</v>
      </c>
      <c r="G2" s="6">
        <v>9.9236641221374638E-3</v>
      </c>
      <c r="H2" s="4" t="s">
        <v>847</v>
      </c>
      <c r="I2" s="5">
        <v>1.36</v>
      </c>
      <c r="J2" s="4">
        <v>23.33</v>
      </c>
      <c r="K2" s="4">
        <v>53.85</v>
      </c>
      <c r="L2" s="79">
        <f t="shared" ref="L2:L8" si="0">K2*0.89</f>
        <v>47.926500000000004</v>
      </c>
      <c r="M2" s="80" t="b">
        <f t="shared" ref="M2:M8" si="1">L2&gt;C2</f>
        <v>0</v>
      </c>
    </row>
    <row r="3" spans="1:13" ht="20.100000000000001" customHeight="1" x14ac:dyDescent="0.25">
      <c r="A3" s="2" t="s">
        <v>465</v>
      </c>
      <c r="B3" s="2" t="s">
        <v>810</v>
      </c>
      <c r="C3" s="4">
        <v>26.5</v>
      </c>
      <c r="D3" s="4">
        <v>26.12</v>
      </c>
      <c r="E3" s="4">
        <v>26.92</v>
      </c>
      <c r="F3" s="5">
        <v>26.84</v>
      </c>
      <c r="G3" s="6">
        <v>-1.266766020864381E-2</v>
      </c>
      <c r="H3" s="4" t="s">
        <v>848</v>
      </c>
      <c r="I3" s="5" t="s">
        <v>39</v>
      </c>
      <c r="J3" s="4">
        <v>58.89</v>
      </c>
      <c r="K3" s="4">
        <v>31.66</v>
      </c>
      <c r="L3" s="70">
        <f t="shared" si="0"/>
        <v>28.177400000000002</v>
      </c>
      <c r="M3" s="70" t="b">
        <f t="shared" si="1"/>
        <v>1</v>
      </c>
    </row>
    <row r="4" spans="1:13" ht="20.100000000000001" customHeight="1" x14ac:dyDescent="0.25">
      <c r="A4" s="2" t="s">
        <v>70</v>
      </c>
      <c r="B4" s="2" t="s">
        <v>280</v>
      </c>
      <c r="C4" s="4">
        <v>35.08</v>
      </c>
      <c r="D4" s="4">
        <v>34.89</v>
      </c>
      <c r="E4" s="4">
        <v>35.33</v>
      </c>
      <c r="F4" s="5">
        <v>35.11</v>
      </c>
      <c r="G4" s="6">
        <v>-8.5445741953862539E-4</v>
      </c>
      <c r="H4" s="4" t="s">
        <v>849</v>
      </c>
      <c r="I4" s="5">
        <v>3.85</v>
      </c>
      <c r="J4" s="4">
        <v>20.399999999999999</v>
      </c>
      <c r="K4" s="4">
        <v>37.93</v>
      </c>
      <c r="L4" s="70">
        <f t="shared" si="0"/>
        <v>33.7577</v>
      </c>
      <c r="M4" s="70" t="b">
        <f t="shared" si="1"/>
        <v>0</v>
      </c>
    </row>
    <row r="5" spans="1:13" ht="20.100000000000001" customHeight="1" x14ac:dyDescent="0.25">
      <c r="A5" s="2" t="s">
        <v>466</v>
      </c>
      <c r="B5" s="2" t="s">
        <v>469</v>
      </c>
      <c r="C5" s="4">
        <v>25.16</v>
      </c>
      <c r="D5" s="4">
        <v>24.78</v>
      </c>
      <c r="E5" s="4">
        <v>25.34</v>
      </c>
      <c r="F5" s="5">
        <v>25.16</v>
      </c>
      <c r="G5" s="6">
        <v>0</v>
      </c>
      <c r="H5" s="4" t="s">
        <v>850</v>
      </c>
      <c r="I5" s="5" t="s">
        <v>39</v>
      </c>
      <c r="J5" s="4">
        <v>12.24</v>
      </c>
      <c r="K5" s="4">
        <v>29.64</v>
      </c>
      <c r="L5" s="70">
        <f t="shared" si="0"/>
        <v>26.3796</v>
      </c>
      <c r="M5" s="70" t="b">
        <f t="shared" si="1"/>
        <v>1</v>
      </c>
    </row>
    <row r="6" spans="1:13" ht="20.100000000000001" customHeight="1" x14ac:dyDescent="0.25">
      <c r="A6" s="2" t="s">
        <v>467</v>
      </c>
      <c r="B6" s="2" t="s">
        <v>470</v>
      </c>
      <c r="C6" s="4">
        <v>17.34</v>
      </c>
      <c r="D6" s="4">
        <v>17.190000000000001</v>
      </c>
      <c r="E6" s="4">
        <v>17.59</v>
      </c>
      <c r="F6" s="5">
        <v>17.34</v>
      </c>
      <c r="G6" s="6">
        <v>0</v>
      </c>
      <c r="H6" s="4" t="s">
        <v>851</v>
      </c>
      <c r="I6" s="5">
        <v>2.54</v>
      </c>
      <c r="J6" s="4" t="s">
        <v>39</v>
      </c>
      <c r="K6" s="4">
        <v>21.9</v>
      </c>
      <c r="L6" s="70">
        <f t="shared" si="0"/>
        <v>19.491</v>
      </c>
      <c r="M6" s="70" t="b">
        <f t="shared" si="1"/>
        <v>1</v>
      </c>
    </row>
    <row r="7" spans="1:13" ht="20.100000000000001" customHeight="1" x14ac:dyDescent="0.25">
      <c r="A7" s="2" t="s">
        <v>539</v>
      </c>
      <c r="B7" s="2" t="s">
        <v>541</v>
      </c>
      <c r="C7" s="4">
        <v>70.55</v>
      </c>
      <c r="D7" s="4">
        <v>70.010000000000005</v>
      </c>
      <c r="E7" s="4">
        <v>70.819999999999993</v>
      </c>
      <c r="F7" s="5">
        <v>70.349999999999994</v>
      </c>
      <c r="G7" s="6">
        <v>2.8429282160625851E-3</v>
      </c>
      <c r="H7" s="4" t="s">
        <v>852</v>
      </c>
      <c r="I7" s="5">
        <v>1.56</v>
      </c>
      <c r="J7" s="4">
        <v>15.23</v>
      </c>
      <c r="K7" s="4">
        <v>67.010000000000005</v>
      </c>
      <c r="L7" s="70">
        <f t="shared" si="0"/>
        <v>59.638900000000007</v>
      </c>
      <c r="M7" s="70" t="b">
        <f t="shared" si="1"/>
        <v>0</v>
      </c>
    </row>
    <row r="8" spans="1:13" ht="20.100000000000001" customHeight="1" x14ac:dyDescent="0.25">
      <c r="A8" s="2" t="s">
        <v>540</v>
      </c>
      <c r="B8" s="2" t="s">
        <v>542</v>
      </c>
      <c r="C8" s="4">
        <v>67.92</v>
      </c>
      <c r="D8" s="4">
        <v>67.599999999999994</v>
      </c>
      <c r="E8" s="4">
        <v>69.25</v>
      </c>
      <c r="F8" s="5">
        <v>67.92</v>
      </c>
      <c r="G8" s="6">
        <v>0</v>
      </c>
      <c r="H8" s="4" t="s">
        <v>853</v>
      </c>
      <c r="I8" s="5" t="s">
        <v>39</v>
      </c>
      <c r="J8" s="4">
        <v>32.799999999999997</v>
      </c>
      <c r="K8" s="4">
        <v>67.09</v>
      </c>
      <c r="L8" s="70">
        <f t="shared" si="0"/>
        <v>59.710100000000004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8"/>
  <sheetViews>
    <sheetView workbookViewId="0">
      <selection activeCell="M11" sqref="M1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125</v>
      </c>
      <c r="B2" s="2" t="s">
        <v>157</v>
      </c>
      <c r="C2" s="20">
        <v>37.340000000000003</v>
      </c>
      <c r="D2" s="20">
        <v>37.15</v>
      </c>
      <c r="E2" s="20">
        <v>37.770000000000003</v>
      </c>
      <c r="F2" s="5">
        <v>37.51</v>
      </c>
      <c r="G2" s="26">
        <v>-4.5321247667287285E-3</v>
      </c>
      <c r="H2" s="6" t="s">
        <v>854</v>
      </c>
      <c r="I2" s="5">
        <v>4.07</v>
      </c>
      <c r="J2" s="4">
        <v>4.26</v>
      </c>
      <c r="K2" s="4">
        <v>32.6</v>
      </c>
      <c r="L2" s="5">
        <f t="shared" ref="L2:L8" si="0">K2*0.9</f>
        <v>29.340000000000003</v>
      </c>
      <c r="M2" s="5" t="b">
        <f t="shared" ref="M2:M8" si="1">L2&gt;C2</f>
        <v>0</v>
      </c>
    </row>
    <row r="3" spans="1:13" ht="20.100000000000001" customHeight="1" x14ac:dyDescent="0.25">
      <c r="A3" s="2" t="s">
        <v>569</v>
      </c>
      <c r="B3" s="2" t="s">
        <v>571</v>
      </c>
      <c r="C3" s="20">
        <v>9.73</v>
      </c>
      <c r="D3" s="20">
        <v>9.5</v>
      </c>
      <c r="E3" s="20">
        <v>9.83</v>
      </c>
      <c r="F3" s="5">
        <v>9.9499999999999993</v>
      </c>
      <c r="G3" s="26">
        <v>-2.2110552763818982E-2</v>
      </c>
      <c r="H3" s="6" t="s">
        <v>855</v>
      </c>
      <c r="I3" s="5">
        <v>0</v>
      </c>
      <c r="J3" s="4">
        <v>8.77</v>
      </c>
      <c r="K3" s="4">
        <v>7.23</v>
      </c>
      <c r="L3" s="5">
        <f t="shared" si="0"/>
        <v>6.5070000000000006</v>
      </c>
      <c r="M3" s="5" t="b">
        <f t="shared" si="1"/>
        <v>0</v>
      </c>
    </row>
    <row r="4" spans="1:13" ht="20.100000000000001" customHeight="1" x14ac:dyDescent="0.25">
      <c r="A4" s="2" t="s">
        <v>570</v>
      </c>
      <c r="B4" s="2" t="s">
        <v>572</v>
      </c>
      <c r="C4" s="20">
        <v>237.75</v>
      </c>
      <c r="D4" s="20">
        <v>229.59</v>
      </c>
      <c r="E4" s="20">
        <v>237.85</v>
      </c>
      <c r="F4" s="5">
        <v>237.75</v>
      </c>
      <c r="G4" s="26">
        <v>0</v>
      </c>
      <c r="H4" s="6" t="s">
        <v>790</v>
      </c>
      <c r="I4" s="5" t="s">
        <v>39</v>
      </c>
      <c r="J4" s="4" t="s">
        <v>39</v>
      </c>
      <c r="K4" s="4">
        <v>207.26</v>
      </c>
      <c r="L4" s="5">
        <f>K4*0.9</f>
        <v>186.53399999999999</v>
      </c>
      <c r="M4" s="5" t="b">
        <f>L4&gt;C4</f>
        <v>0</v>
      </c>
    </row>
    <row r="5" spans="1:13" ht="20.100000000000001" customHeight="1" x14ac:dyDescent="0.25">
      <c r="A5" s="2" t="s">
        <v>655</v>
      </c>
      <c r="B5" s="2" t="s">
        <v>656</v>
      </c>
      <c r="C5" s="20">
        <v>174.79</v>
      </c>
      <c r="D5" s="20">
        <v>173.52</v>
      </c>
      <c r="E5" s="20">
        <v>175.86</v>
      </c>
      <c r="F5" s="5">
        <v>174.47</v>
      </c>
      <c r="G5" s="26">
        <v>1.8341262108098422E-3</v>
      </c>
      <c r="H5" s="6" t="s">
        <v>856</v>
      </c>
      <c r="I5" s="5">
        <v>0.14000000000000001</v>
      </c>
      <c r="J5" s="4">
        <v>28.64</v>
      </c>
      <c r="K5" s="4">
        <v>159.4</v>
      </c>
      <c r="L5" s="5">
        <f>K5*0.9</f>
        <v>143.46</v>
      </c>
      <c r="M5" s="5" t="b">
        <f>L5&gt;C5</f>
        <v>0</v>
      </c>
    </row>
    <row r="6" spans="1:13" ht="20.100000000000001" customHeight="1" x14ac:dyDescent="0.25">
      <c r="A6" s="71" t="s">
        <v>658</v>
      </c>
      <c r="B6" s="2" t="s">
        <v>659</v>
      </c>
      <c r="C6" s="20">
        <v>779.81</v>
      </c>
      <c r="D6" s="20">
        <v>779.81</v>
      </c>
      <c r="E6" s="20">
        <v>793.3</v>
      </c>
      <c r="F6" s="5">
        <v>790.27</v>
      </c>
      <c r="G6" s="26">
        <v>-1.3235982638844998E-2</v>
      </c>
      <c r="H6" s="6" t="s">
        <v>857</v>
      </c>
      <c r="I6" s="5" t="s">
        <v>39</v>
      </c>
      <c r="J6" s="4">
        <v>18.64</v>
      </c>
      <c r="K6" s="4">
        <v>775.52</v>
      </c>
      <c r="L6" s="5">
        <f>K6*0.9</f>
        <v>697.96799999999996</v>
      </c>
      <c r="M6" s="5" t="b">
        <f>L6&gt;C6</f>
        <v>0</v>
      </c>
    </row>
    <row r="7" spans="1:13" ht="20.100000000000001" customHeight="1" x14ac:dyDescent="0.25">
      <c r="A7" s="2" t="s">
        <v>798</v>
      </c>
      <c r="B7" s="2" t="s">
        <v>799</v>
      </c>
      <c r="C7" s="20">
        <v>31.8</v>
      </c>
      <c r="D7" s="20">
        <v>31.43</v>
      </c>
      <c r="E7" s="20">
        <v>31.86</v>
      </c>
      <c r="F7" s="5">
        <v>31.8</v>
      </c>
      <c r="G7" s="26">
        <v>0</v>
      </c>
      <c r="H7" s="6" t="s">
        <v>814</v>
      </c>
      <c r="I7" s="5" t="s">
        <v>39</v>
      </c>
      <c r="J7" s="4">
        <v>20.78</v>
      </c>
      <c r="K7" s="4">
        <v>33.47</v>
      </c>
      <c r="L7" s="5">
        <f>K7*0.9</f>
        <v>30.123000000000001</v>
      </c>
      <c r="M7" s="5" t="b">
        <f>L7&gt;C7</f>
        <v>0</v>
      </c>
    </row>
    <row r="8" spans="1:13" ht="20.100000000000001" customHeight="1" x14ac:dyDescent="0.25">
      <c r="A8" s="81" t="s">
        <v>447</v>
      </c>
      <c r="B8" s="2" t="s">
        <v>448</v>
      </c>
      <c r="C8" s="20">
        <v>12.63</v>
      </c>
      <c r="D8" s="20">
        <v>12.5</v>
      </c>
      <c r="E8" s="20">
        <v>12.67</v>
      </c>
      <c r="F8" s="5">
        <v>12.59</v>
      </c>
      <c r="G8" s="26">
        <v>3.1771247021446327E-3</v>
      </c>
      <c r="H8" s="6" t="s">
        <v>858</v>
      </c>
      <c r="I8" s="5">
        <v>4.75</v>
      </c>
      <c r="J8" s="4">
        <v>6.98</v>
      </c>
      <c r="K8" s="4">
        <v>12.4</v>
      </c>
      <c r="L8" s="5">
        <f t="shared" si="0"/>
        <v>11.16</v>
      </c>
      <c r="M8" s="5" t="b">
        <f t="shared" si="1"/>
        <v>0</v>
      </c>
    </row>
  </sheetData>
  <conditionalFormatting sqref="G3:G7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105</v>
      </c>
      <c r="B2" s="2" t="s">
        <v>106</v>
      </c>
      <c r="C2" s="11">
        <v>61.99</v>
      </c>
      <c r="D2" s="4">
        <v>61.05</v>
      </c>
      <c r="E2" s="4">
        <v>62.41</v>
      </c>
      <c r="F2" s="5">
        <v>61.28</v>
      </c>
      <c r="G2" s="26">
        <v>1.1586161879895576E-2</v>
      </c>
      <c r="H2" s="6" t="s">
        <v>859</v>
      </c>
      <c r="I2" s="5">
        <v>4.13</v>
      </c>
      <c r="J2" s="4">
        <v>16.760000000000002</v>
      </c>
      <c r="K2" s="4">
        <v>62.9</v>
      </c>
      <c r="L2" s="4">
        <f t="shared" ref="L2:L21" si="0">K2*0.89</f>
        <v>55.981000000000002</v>
      </c>
      <c r="M2" s="4" t="b">
        <f t="shared" ref="M2:M21" si="1">L2&gt;C2</f>
        <v>0</v>
      </c>
    </row>
    <row r="3" spans="1:13" ht="20.100000000000001" customHeight="1" x14ac:dyDescent="0.25">
      <c r="A3" s="2" t="s">
        <v>98</v>
      </c>
      <c r="B3" s="2" t="s">
        <v>107</v>
      </c>
      <c r="C3" s="4">
        <v>40.93</v>
      </c>
      <c r="D3" s="4">
        <v>40.69</v>
      </c>
      <c r="E3" s="4">
        <v>41.36</v>
      </c>
      <c r="F3" s="5">
        <v>40.72</v>
      </c>
      <c r="G3" s="6">
        <v>5.157170923379196E-3</v>
      </c>
      <c r="H3" s="4" t="s">
        <v>860</v>
      </c>
      <c r="I3" s="5">
        <v>2.59</v>
      </c>
      <c r="J3" s="4">
        <v>44.68</v>
      </c>
      <c r="K3" s="4">
        <v>41.21</v>
      </c>
      <c r="L3" s="4">
        <f t="shared" si="0"/>
        <v>36.676900000000003</v>
      </c>
      <c r="M3" s="4" t="b">
        <f t="shared" si="1"/>
        <v>0</v>
      </c>
    </row>
    <row r="4" spans="1:13" ht="20.100000000000001" customHeight="1" x14ac:dyDescent="0.25">
      <c r="A4" s="2" t="s">
        <v>97</v>
      </c>
      <c r="B4" s="2" t="s">
        <v>108</v>
      </c>
      <c r="C4" s="4">
        <v>216.14</v>
      </c>
      <c r="D4" s="4">
        <v>215.71</v>
      </c>
      <c r="E4" s="4">
        <v>217.98</v>
      </c>
      <c r="F4" s="5">
        <v>216.24</v>
      </c>
      <c r="G4" s="6">
        <v>-4.624491305957396E-4</v>
      </c>
      <c r="H4" s="4" t="s">
        <v>861</v>
      </c>
      <c r="I4" s="5">
        <v>1.3</v>
      </c>
      <c r="J4" s="4">
        <v>6.06</v>
      </c>
      <c r="K4" s="4">
        <v>225.48</v>
      </c>
      <c r="L4" s="4">
        <f t="shared" si="0"/>
        <v>200.6772</v>
      </c>
      <c r="M4" s="4" t="b">
        <f t="shared" si="1"/>
        <v>0</v>
      </c>
    </row>
    <row r="5" spans="1:13" ht="20.100000000000001" customHeight="1" x14ac:dyDescent="0.25">
      <c r="A5" s="2" t="s">
        <v>239</v>
      </c>
      <c r="B5" s="2" t="s">
        <v>240</v>
      </c>
      <c r="C5" s="20">
        <v>136.93</v>
      </c>
      <c r="D5" s="20">
        <v>135.41</v>
      </c>
      <c r="E5" s="20">
        <v>139.97</v>
      </c>
      <c r="F5" s="5">
        <v>136.93</v>
      </c>
      <c r="G5" s="26">
        <v>0</v>
      </c>
      <c r="H5" s="6" t="s">
        <v>862</v>
      </c>
      <c r="I5" s="5" t="s">
        <v>39</v>
      </c>
      <c r="J5" s="4">
        <v>83.49</v>
      </c>
      <c r="K5" s="4">
        <v>125.32</v>
      </c>
      <c r="L5" s="4">
        <f t="shared" si="0"/>
        <v>111.53479999999999</v>
      </c>
      <c r="M5" s="4" t="b">
        <f t="shared" si="1"/>
        <v>0</v>
      </c>
    </row>
    <row r="6" spans="1:13" ht="20.100000000000001" customHeight="1" x14ac:dyDescent="0.25">
      <c r="A6" s="2" t="s">
        <v>100</v>
      </c>
      <c r="B6" s="2" t="s">
        <v>109</v>
      </c>
      <c r="C6" s="11">
        <v>156.12</v>
      </c>
      <c r="D6" s="4">
        <v>154.88999999999999</v>
      </c>
      <c r="E6" s="4">
        <v>157.21</v>
      </c>
      <c r="F6" s="5">
        <v>156.12</v>
      </c>
      <c r="G6" s="26">
        <v>0</v>
      </c>
      <c r="H6" s="6" t="s">
        <v>863</v>
      </c>
      <c r="I6" s="5">
        <v>2.95</v>
      </c>
      <c r="J6" s="4">
        <v>15.63</v>
      </c>
      <c r="K6" s="4">
        <v>159.07</v>
      </c>
      <c r="L6" s="4">
        <f t="shared" si="0"/>
        <v>141.57229999999998</v>
      </c>
      <c r="M6" s="4" t="b">
        <f t="shared" si="1"/>
        <v>0</v>
      </c>
    </row>
    <row r="7" spans="1:13" s="7" customFormat="1" ht="20.100000000000001" customHeight="1" x14ac:dyDescent="0.25">
      <c r="A7" s="1" t="s">
        <v>95</v>
      </c>
      <c r="B7" s="2" t="s">
        <v>336</v>
      </c>
      <c r="C7" s="4">
        <v>284.75</v>
      </c>
      <c r="D7" s="4">
        <v>284.25</v>
      </c>
      <c r="E7" s="4">
        <v>289.86</v>
      </c>
      <c r="F7" s="5">
        <v>284.75</v>
      </c>
      <c r="G7" s="6">
        <v>0</v>
      </c>
      <c r="H7" s="4" t="s">
        <v>864</v>
      </c>
      <c r="I7" s="5" t="s">
        <v>39</v>
      </c>
      <c r="J7" s="4">
        <v>16.100000000000001</v>
      </c>
      <c r="K7" s="4">
        <v>292.61</v>
      </c>
      <c r="L7" s="4">
        <f t="shared" si="0"/>
        <v>260.42290000000003</v>
      </c>
      <c r="M7" s="4" t="b">
        <f t="shared" si="1"/>
        <v>0</v>
      </c>
    </row>
    <row r="8" spans="1:13" ht="20.100000000000001" customHeight="1" x14ac:dyDescent="0.25">
      <c r="A8" s="1" t="s">
        <v>93</v>
      </c>
      <c r="B8" s="2" t="s">
        <v>110</v>
      </c>
      <c r="C8" s="4">
        <v>66.75</v>
      </c>
      <c r="D8" s="4">
        <v>65.95</v>
      </c>
      <c r="E8" s="4">
        <v>68.5</v>
      </c>
      <c r="F8" s="5">
        <v>66.75</v>
      </c>
      <c r="G8" s="6">
        <v>0</v>
      </c>
      <c r="H8" s="4" t="s">
        <v>865</v>
      </c>
      <c r="I8" s="5" t="s">
        <v>39</v>
      </c>
      <c r="J8" s="4" t="s">
        <v>39</v>
      </c>
      <c r="K8" s="4">
        <v>57.78</v>
      </c>
      <c r="L8" s="4">
        <f t="shared" si="0"/>
        <v>51.424199999999999</v>
      </c>
      <c r="M8" s="4" t="b">
        <f t="shared" si="1"/>
        <v>0</v>
      </c>
    </row>
    <row r="9" spans="1:13" s="7" customFormat="1" ht="20.100000000000001" customHeight="1" x14ac:dyDescent="0.25">
      <c r="A9" s="2" t="s">
        <v>104</v>
      </c>
      <c r="B9" s="2" t="s">
        <v>111</v>
      </c>
      <c r="C9" s="11">
        <v>117.48</v>
      </c>
      <c r="D9" s="4">
        <v>116.82</v>
      </c>
      <c r="E9" s="4">
        <v>118.7</v>
      </c>
      <c r="F9" s="5">
        <v>117.48</v>
      </c>
      <c r="G9" s="26">
        <v>0</v>
      </c>
      <c r="H9" s="6" t="s">
        <v>866</v>
      </c>
      <c r="I9" s="5" t="s">
        <v>39</v>
      </c>
      <c r="J9" s="4">
        <v>44.62</v>
      </c>
      <c r="K9" s="4">
        <v>109.36</v>
      </c>
      <c r="L9" s="4">
        <f t="shared" si="0"/>
        <v>97.330399999999997</v>
      </c>
      <c r="M9" s="4" t="b">
        <f t="shared" si="1"/>
        <v>0</v>
      </c>
    </row>
    <row r="10" spans="1:13" ht="20.100000000000001" customHeight="1" x14ac:dyDescent="0.25">
      <c r="A10" s="81" t="s">
        <v>94</v>
      </c>
      <c r="B10" s="2" t="s">
        <v>112</v>
      </c>
      <c r="C10" s="4">
        <v>73.069999999999993</v>
      </c>
      <c r="D10" s="4">
        <v>73</v>
      </c>
      <c r="E10" s="4">
        <v>73.78</v>
      </c>
      <c r="F10" s="5">
        <v>73.069999999999993</v>
      </c>
      <c r="G10" s="6">
        <v>0</v>
      </c>
      <c r="H10" s="4" t="s">
        <v>867</v>
      </c>
      <c r="I10" s="5">
        <v>2.57</v>
      </c>
      <c r="J10" s="4">
        <v>6.76</v>
      </c>
      <c r="K10" s="4">
        <v>77.97</v>
      </c>
      <c r="L10" s="4">
        <f t="shared" si="0"/>
        <v>69.393299999999996</v>
      </c>
      <c r="M10" s="4" t="b">
        <f t="shared" si="1"/>
        <v>0</v>
      </c>
    </row>
    <row r="11" spans="1:13" ht="20.100000000000001" customHeight="1" x14ac:dyDescent="0.25">
      <c r="A11" s="2" t="s">
        <v>101</v>
      </c>
      <c r="B11" s="2" t="s">
        <v>113</v>
      </c>
      <c r="C11" s="11">
        <v>77.400000000000006</v>
      </c>
      <c r="D11" s="4">
        <v>76.38</v>
      </c>
      <c r="E11" s="4">
        <v>78.12</v>
      </c>
      <c r="F11" s="5">
        <v>77.150000000000006</v>
      </c>
      <c r="G11" s="26">
        <v>3.2404406999351908E-3</v>
      </c>
      <c r="H11" s="6" t="s">
        <v>868</v>
      </c>
      <c r="I11" s="5">
        <v>2.69</v>
      </c>
      <c r="J11" s="4">
        <v>33.67</v>
      </c>
      <c r="K11" s="4">
        <v>77.19</v>
      </c>
      <c r="L11" s="4">
        <f t="shared" si="0"/>
        <v>68.699100000000001</v>
      </c>
      <c r="M11" s="4" t="b">
        <f t="shared" si="1"/>
        <v>0</v>
      </c>
    </row>
    <row r="12" spans="1:13" ht="20.100000000000001" customHeight="1" x14ac:dyDescent="0.25">
      <c r="A12" s="2" t="s">
        <v>675</v>
      </c>
      <c r="B12" s="2" t="s">
        <v>676</v>
      </c>
      <c r="C12" s="20">
        <v>368.16</v>
      </c>
      <c r="D12" s="20">
        <v>364.43</v>
      </c>
      <c r="E12" s="20">
        <v>373.48</v>
      </c>
      <c r="F12" s="5">
        <v>368.16</v>
      </c>
      <c r="G12" s="26">
        <v>0</v>
      </c>
      <c r="H12" s="6" t="s">
        <v>869</v>
      </c>
      <c r="I12" s="5" t="s">
        <v>39</v>
      </c>
      <c r="J12" s="4">
        <v>53.68</v>
      </c>
      <c r="K12" s="4">
        <v>387.73</v>
      </c>
      <c r="L12" s="20">
        <f>K12*0.89</f>
        <v>345.0797</v>
      </c>
      <c r="M12" s="20" t="b">
        <f>L12&gt;C12</f>
        <v>0</v>
      </c>
    </row>
    <row r="13" spans="1:13" ht="20.100000000000001" customHeight="1" x14ac:dyDescent="0.25">
      <c r="A13" s="2" t="s">
        <v>102</v>
      </c>
      <c r="B13" s="2" t="s">
        <v>114</v>
      </c>
      <c r="C13" s="11">
        <v>62.34</v>
      </c>
      <c r="D13" s="4">
        <v>62.1</v>
      </c>
      <c r="E13" s="4">
        <v>62.68</v>
      </c>
      <c r="F13" s="5">
        <v>62.21</v>
      </c>
      <c r="G13" s="26">
        <v>2.0896961903231403E-3</v>
      </c>
      <c r="H13" s="6" t="s">
        <v>870</v>
      </c>
      <c r="I13" s="5">
        <v>3.02</v>
      </c>
      <c r="J13" s="4">
        <v>31.84</v>
      </c>
      <c r="K13" s="4">
        <v>61.18</v>
      </c>
      <c r="L13" s="4">
        <f t="shared" si="0"/>
        <v>54.450200000000002</v>
      </c>
      <c r="M13" s="4" t="b">
        <f t="shared" si="1"/>
        <v>0</v>
      </c>
    </row>
    <row r="14" spans="1:13" ht="20.100000000000001" customHeight="1" x14ac:dyDescent="0.25">
      <c r="A14" s="1" t="s">
        <v>481</v>
      </c>
      <c r="B14" s="2" t="s">
        <v>482</v>
      </c>
      <c r="C14" s="11">
        <v>18.88</v>
      </c>
      <c r="D14" s="4">
        <v>18.73</v>
      </c>
      <c r="E14" s="4">
        <v>19.07</v>
      </c>
      <c r="F14" s="5">
        <v>18.88</v>
      </c>
      <c r="G14" s="26">
        <v>0</v>
      </c>
      <c r="H14" s="6" t="s">
        <v>871</v>
      </c>
      <c r="I14" s="5" t="s">
        <v>39</v>
      </c>
      <c r="J14" s="4" t="s">
        <v>39</v>
      </c>
      <c r="K14" s="4">
        <v>20.95</v>
      </c>
      <c r="L14" s="4">
        <f t="shared" si="0"/>
        <v>18.645499999999998</v>
      </c>
      <c r="M14" s="4" t="b">
        <f t="shared" si="1"/>
        <v>0</v>
      </c>
    </row>
    <row r="15" spans="1:13" ht="20.100000000000001" customHeight="1" x14ac:dyDescent="0.25">
      <c r="A15" s="1" t="s">
        <v>96</v>
      </c>
      <c r="B15" s="2" t="s">
        <v>811</v>
      </c>
      <c r="C15" s="4">
        <v>1.36</v>
      </c>
      <c r="D15" s="4">
        <v>1.31</v>
      </c>
      <c r="E15" s="4">
        <v>1.38</v>
      </c>
      <c r="F15" s="5">
        <v>1.36</v>
      </c>
      <c r="G15" s="6">
        <v>0</v>
      </c>
      <c r="H15" s="4" t="s">
        <v>872</v>
      </c>
      <c r="I15" s="5" t="s">
        <v>39</v>
      </c>
      <c r="J15" s="4" t="s">
        <v>39</v>
      </c>
      <c r="K15" s="4">
        <v>1.64</v>
      </c>
      <c r="L15" s="4">
        <f t="shared" si="0"/>
        <v>1.4596</v>
      </c>
      <c r="M15" s="4" t="b">
        <f t="shared" si="1"/>
        <v>1</v>
      </c>
    </row>
    <row r="16" spans="1:13" ht="20.100000000000001" customHeight="1" x14ac:dyDescent="0.25">
      <c r="A16" s="2" t="s">
        <v>99</v>
      </c>
      <c r="B16" s="2" t="s">
        <v>115</v>
      </c>
      <c r="C16" s="4">
        <v>32.520000000000003</v>
      </c>
      <c r="D16" s="4">
        <v>32.33</v>
      </c>
      <c r="E16" s="4">
        <v>32.78</v>
      </c>
      <c r="F16" s="5">
        <v>32.6</v>
      </c>
      <c r="G16" s="6">
        <v>-2.4539877300612974E-3</v>
      </c>
      <c r="H16" s="4" t="s">
        <v>873</v>
      </c>
      <c r="I16" s="5">
        <v>3.94</v>
      </c>
      <c r="J16" s="4">
        <v>32.65</v>
      </c>
      <c r="K16" s="4">
        <v>33.71</v>
      </c>
      <c r="L16" s="4">
        <f t="shared" si="0"/>
        <v>30.001900000000003</v>
      </c>
      <c r="M16" s="4" t="b">
        <f t="shared" si="1"/>
        <v>0</v>
      </c>
    </row>
    <row r="17" spans="1:13" ht="20.100000000000001" customHeight="1" x14ac:dyDescent="0.25">
      <c r="A17" s="2" t="s">
        <v>241</v>
      </c>
      <c r="B17" s="2" t="s">
        <v>242</v>
      </c>
      <c r="C17" s="20">
        <v>56.22</v>
      </c>
      <c r="D17" s="20">
        <v>56.05</v>
      </c>
      <c r="E17" s="20">
        <v>56.73</v>
      </c>
      <c r="F17" s="5">
        <v>56.55</v>
      </c>
      <c r="G17" s="26">
        <v>-5.8355437665782196E-3</v>
      </c>
      <c r="H17" s="6" t="s">
        <v>874</v>
      </c>
      <c r="I17" s="5">
        <v>2.77</v>
      </c>
      <c r="J17" s="4">
        <v>28.12</v>
      </c>
      <c r="K17" s="4">
        <v>59.44</v>
      </c>
      <c r="L17" s="4">
        <f t="shared" si="0"/>
        <v>52.901600000000002</v>
      </c>
      <c r="M17" s="4" t="b">
        <f t="shared" si="1"/>
        <v>0</v>
      </c>
    </row>
    <row r="18" spans="1:13" ht="20.100000000000001" customHeight="1" x14ac:dyDescent="0.25">
      <c r="A18" s="82" t="s">
        <v>103</v>
      </c>
      <c r="B18" s="83" t="s">
        <v>337</v>
      </c>
      <c r="C18" s="84">
        <v>36.729999999999997</v>
      </c>
      <c r="D18" s="84">
        <v>36.35</v>
      </c>
      <c r="E18" s="84">
        <v>37.020000000000003</v>
      </c>
      <c r="F18" s="85">
        <v>36.729999999999997</v>
      </c>
      <c r="G18" s="86">
        <v>0</v>
      </c>
      <c r="H18" s="87" t="s">
        <v>875</v>
      </c>
      <c r="I18" s="85">
        <v>0</v>
      </c>
      <c r="J18" s="88">
        <v>73.61</v>
      </c>
      <c r="K18" s="88">
        <v>40.96</v>
      </c>
      <c r="L18" s="88">
        <f t="shared" si="0"/>
        <v>36.4544</v>
      </c>
      <c r="M18" s="88" t="b">
        <f t="shared" si="1"/>
        <v>0</v>
      </c>
    </row>
    <row r="19" spans="1:13" ht="20.100000000000001" customHeight="1" x14ac:dyDescent="0.25">
      <c r="A19" s="83" t="s">
        <v>483</v>
      </c>
      <c r="B19" s="83" t="s">
        <v>485</v>
      </c>
      <c r="C19" s="84">
        <v>33.97</v>
      </c>
      <c r="D19" s="84">
        <v>33.86</v>
      </c>
      <c r="E19" s="84">
        <v>34.47</v>
      </c>
      <c r="F19" s="85">
        <v>33.94</v>
      </c>
      <c r="G19" s="86">
        <v>8.839127872716894E-4</v>
      </c>
      <c r="H19" s="87" t="s">
        <v>876</v>
      </c>
      <c r="I19" s="85">
        <v>4</v>
      </c>
      <c r="J19" s="88">
        <v>19.760000000000002</v>
      </c>
      <c r="K19" s="88">
        <v>45.51</v>
      </c>
      <c r="L19" s="88">
        <f t="shared" si="0"/>
        <v>40.503900000000002</v>
      </c>
      <c r="M19" s="88" t="b">
        <f t="shared" si="1"/>
        <v>1</v>
      </c>
    </row>
    <row r="20" spans="1:13" ht="20.100000000000001" customHeight="1" x14ac:dyDescent="0.25">
      <c r="A20" s="83" t="s">
        <v>484</v>
      </c>
      <c r="B20" s="83" t="s">
        <v>486</v>
      </c>
      <c r="C20" s="84">
        <v>77.8</v>
      </c>
      <c r="D20" s="84">
        <v>77.75</v>
      </c>
      <c r="E20" s="84">
        <v>79.34</v>
      </c>
      <c r="F20" s="85">
        <v>78.180000000000007</v>
      </c>
      <c r="G20" s="86">
        <v>-4.8605781529804251E-3</v>
      </c>
      <c r="H20" s="87" t="s">
        <v>877</v>
      </c>
      <c r="I20" s="85">
        <v>0.75</v>
      </c>
      <c r="J20" s="88" t="s">
        <v>39</v>
      </c>
      <c r="K20" s="88">
        <v>89.06</v>
      </c>
      <c r="L20" s="88">
        <f t="shared" si="0"/>
        <v>79.263400000000004</v>
      </c>
      <c r="M20" s="88" t="b">
        <f t="shared" si="1"/>
        <v>1</v>
      </c>
    </row>
    <row r="21" spans="1:13" ht="20.100000000000001" customHeight="1" x14ac:dyDescent="0.25">
      <c r="A21" s="83" t="s">
        <v>487</v>
      </c>
      <c r="B21" s="83" t="s">
        <v>812</v>
      </c>
      <c r="C21" s="84">
        <v>13.19</v>
      </c>
      <c r="D21" s="84">
        <v>13.07</v>
      </c>
      <c r="E21" s="84">
        <v>14.11</v>
      </c>
      <c r="F21" s="85">
        <v>13.19</v>
      </c>
      <c r="G21" s="86">
        <v>0</v>
      </c>
      <c r="H21" s="87" t="s">
        <v>605</v>
      </c>
      <c r="I21" s="85" t="s">
        <v>39</v>
      </c>
      <c r="J21" s="88" t="s">
        <v>39</v>
      </c>
      <c r="K21" s="88">
        <v>18.510000000000002</v>
      </c>
      <c r="L21" s="88">
        <f t="shared" si="0"/>
        <v>16.4739</v>
      </c>
      <c r="M21" s="88" t="b">
        <f t="shared" si="1"/>
        <v>1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696</v>
      </c>
      <c r="B2" s="2" t="s">
        <v>701</v>
      </c>
      <c r="C2" s="4">
        <v>36.93</v>
      </c>
      <c r="D2" s="4">
        <v>36.72</v>
      </c>
      <c r="E2" s="4">
        <v>37.39</v>
      </c>
      <c r="F2" s="5">
        <v>36.93</v>
      </c>
      <c r="G2" s="6">
        <v>0</v>
      </c>
      <c r="H2" s="4" t="s">
        <v>566</v>
      </c>
      <c r="I2" s="5">
        <v>0</v>
      </c>
      <c r="J2" s="4">
        <v>20.38</v>
      </c>
      <c r="K2" s="4">
        <v>28.77</v>
      </c>
      <c r="L2" s="79">
        <f t="shared" ref="L2:L6" si="0">K2*0.89</f>
        <v>25.6053</v>
      </c>
      <c r="M2" s="80" t="b">
        <f t="shared" ref="M2:M6" si="1">L2&gt;C2</f>
        <v>0</v>
      </c>
    </row>
    <row r="3" spans="1:13" ht="20.100000000000001" customHeight="1" x14ac:dyDescent="0.25">
      <c r="A3" s="2" t="s">
        <v>697</v>
      </c>
      <c r="B3" s="2" t="s">
        <v>702</v>
      </c>
      <c r="C3" s="11">
        <v>38.78</v>
      </c>
      <c r="D3" s="4">
        <v>38.6</v>
      </c>
      <c r="E3" s="4">
        <v>39.299999999999997</v>
      </c>
      <c r="F3" s="5">
        <v>38.78</v>
      </c>
      <c r="G3" s="26">
        <v>0</v>
      </c>
      <c r="H3" s="6" t="s">
        <v>878</v>
      </c>
      <c r="I3" s="5">
        <v>1.03</v>
      </c>
      <c r="J3" s="4">
        <v>26.58</v>
      </c>
      <c r="K3" s="4">
        <v>35.950000000000003</v>
      </c>
      <c r="L3" s="4">
        <f t="shared" si="0"/>
        <v>31.995500000000003</v>
      </c>
      <c r="M3" s="4" t="b">
        <f t="shared" si="1"/>
        <v>0</v>
      </c>
    </row>
    <row r="4" spans="1:13" ht="20.100000000000001" customHeight="1" x14ac:dyDescent="0.25">
      <c r="A4" s="2" t="s">
        <v>698</v>
      </c>
      <c r="B4" s="2" t="s">
        <v>703</v>
      </c>
      <c r="C4" s="4">
        <v>41.41</v>
      </c>
      <c r="D4" s="4">
        <v>41.3</v>
      </c>
      <c r="E4" s="4">
        <v>41.85</v>
      </c>
      <c r="F4" s="5">
        <v>41.26</v>
      </c>
      <c r="G4" s="6">
        <v>3.6354823073194036E-3</v>
      </c>
      <c r="H4" s="4" t="s">
        <v>879</v>
      </c>
      <c r="I4" s="5">
        <v>0.68</v>
      </c>
      <c r="J4" s="4">
        <v>33.4</v>
      </c>
      <c r="K4" s="4">
        <v>32.9</v>
      </c>
      <c r="L4" s="4">
        <f t="shared" si="0"/>
        <v>29.280999999999999</v>
      </c>
      <c r="M4" s="4" t="b">
        <f t="shared" si="1"/>
        <v>0</v>
      </c>
    </row>
    <row r="5" spans="1:13" ht="20.100000000000001" customHeight="1" x14ac:dyDescent="0.25">
      <c r="A5" s="2" t="s">
        <v>699</v>
      </c>
      <c r="B5" s="2" t="s">
        <v>704</v>
      </c>
      <c r="C5" s="4">
        <v>46.86</v>
      </c>
      <c r="D5" s="4">
        <v>46.65</v>
      </c>
      <c r="E5" s="4">
        <v>47.41</v>
      </c>
      <c r="F5" s="5">
        <v>46.86</v>
      </c>
      <c r="G5" s="6">
        <v>0</v>
      </c>
      <c r="H5" s="4" t="s">
        <v>880</v>
      </c>
      <c r="I5" s="5">
        <v>1.54</v>
      </c>
      <c r="J5" s="4">
        <v>29.66</v>
      </c>
      <c r="K5" s="4">
        <v>34.9</v>
      </c>
      <c r="L5" s="4">
        <f t="shared" si="0"/>
        <v>31.061</v>
      </c>
      <c r="M5" s="4" t="b">
        <f t="shared" si="1"/>
        <v>0</v>
      </c>
    </row>
    <row r="6" spans="1:13" ht="20.100000000000001" customHeight="1" x14ac:dyDescent="0.25">
      <c r="A6" s="2" t="s">
        <v>700</v>
      </c>
      <c r="B6" s="2" t="s">
        <v>705</v>
      </c>
      <c r="C6" s="20">
        <v>13.81</v>
      </c>
      <c r="D6" s="20">
        <v>13.6</v>
      </c>
      <c r="E6" s="20">
        <v>13.88</v>
      </c>
      <c r="F6" s="5">
        <v>13.64</v>
      </c>
      <c r="G6" s="26">
        <v>1.2463343108504393E-2</v>
      </c>
      <c r="H6" s="6" t="s">
        <v>881</v>
      </c>
      <c r="I6" s="5" t="s">
        <v>39</v>
      </c>
      <c r="J6" s="4">
        <v>21.89</v>
      </c>
      <c r="K6" s="4">
        <v>14.23</v>
      </c>
      <c r="L6" s="4">
        <f t="shared" si="0"/>
        <v>12.6647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623</v>
      </c>
      <c r="B2" s="2" t="s">
        <v>628</v>
      </c>
      <c r="C2" s="4">
        <v>44.46</v>
      </c>
      <c r="D2" s="4">
        <v>44.17</v>
      </c>
      <c r="E2" s="4">
        <v>44.7</v>
      </c>
      <c r="F2" s="5">
        <v>44.43</v>
      </c>
      <c r="G2" s="6">
        <v>6.7521944632007965E-4</v>
      </c>
      <c r="H2" s="4" t="s">
        <v>566</v>
      </c>
      <c r="I2" s="5">
        <v>0.36</v>
      </c>
      <c r="J2" s="4">
        <v>11.18</v>
      </c>
      <c r="K2" s="4">
        <v>44.52</v>
      </c>
      <c r="L2" s="79">
        <f t="shared" ref="L2:L7" si="0">K2*0.89</f>
        <v>39.622800000000005</v>
      </c>
      <c r="M2" s="80" t="b">
        <f t="shared" ref="M2:M7" si="1">L2&gt;C2</f>
        <v>0</v>
      </c>
    </row>
    <row r="3" spans="1:13" ht="20.100000000000001" customHeight="1" x14ac:dyDescent="0.25">
      <c r="A3" s="2" t="s">
        <v>624</v>
      </c>
      <c r="B3" s="2" t="s">
        <v>629</v>
      </c>
      <c r="C3" s="11">
        <v>28.5</v>
      </c>
      <c r="D3" s="4">
        <v>28.42</v>
      </c>
      <c r="E3" s="4">
        <v>28.8</v>
      </c>
      <c r="F3" s="5">
        <v>28.69</v>
      </c>
      <c r="G3" s="26">
        <v>-6.622516556291435E-3</v>
      </c>
      <c r="H3" s="6" t="s">
        <v>882</v>
      </c>
      <c r="I3" s="5">
        <v>1.4</v>
      </c>
      <c r="J3" s="4">
        <v>12.08</v>
      </c>
      <c r="K3" s="4">
        <v>30.22</v>
      </c>
      <c r="L3" s="4">
        <f t="shared" si="0"/>
        <v>26.895799999999998</v>
      </c>
      <c r="M3" s="4" t="b">
        <f t="shared" si="1"/>
        <v>0</v>
      </c>
    </row>
    <row r="4" spans="1:13" ht="20.100000000000001" customHeight="1" x14ac:dyDescent="0.25">
      <c r="A4" s="2" t="s">
        <v>625</v>
      </c>
      <c r="B4" s="2" t="s">
        <v>630</v>
      </c>
      <c r="C4" s="4">
        <v>31.02</v>
      </c>
      <c r="D4" s="4">
        <v>30.81</v>
      </c>
      <c r="E4" s="4">
        <v>31.36</v>
      </c>
      <c r="F4" s="5">
        <v>30.92</v>
      </c>
      <c r="G4" s="6">
        <v>3.2341526520051054E-3</v>
      </c>
      <c r="H4" s="4" t="s">
        <v>883</v>
      </c>
      <c r="I4" s="5" t="s">
        <v>39</v>
      </c>
      <c r="J4" s="4">
        <v>14.23</v>
      </c>
      <c r="K4" s="4">
        <v>29.34</v>
      </c>
      <c r="L4" s="4">
        <f t="shared" si="0"/>
        <v>26.1126</v>
      </c>
      <c r="M4" s="4" t="b">
        <f t="shared" si="1"/>
        <v>0</v>
      </c>
    </row>
    <row r="5" spans="1:13" ht="20.100000000000001" customHeight="1" x14ac:dyDescent="0.25">
      <c r="A5" s="2" t="s">
        <v>626</v>
      </c>
      <c r="B5" s="2" t="s">
        <v>631</v>
      </c>
      <c r="C5" s="4">
        <v>19.190000000000001</v>
      </c>
      <c r="D5" s="4">
        <v>19</v>
      </c>
      <c r="E5" s="4">
        <v>19.21</v>
      </c>
      <c r="F5" s="5">
        <v>19.010000000000002</v>
      </c>
      <c r="G5" s="6">
        <v>9.468700683850589E-3</v>
      </c>
      <c r="H5" s="4" t="s">
        <v>884</v>
      </c>
      <c r="I5" s="5">
        <v>1.88</v>
      </c>
      <c r="J5" s="4">
        <v>12.07</v>
      </c>
      <c r="K5" s="4">
        <v>19.78</v>
      </c>
      <c r="L5" s="4">
        <f t="shared" si="0"/>
        <v>17.604200000000002</v>
      </c>
      <c r="M5" s="4" t="b">
        <f t="shared" si="1"/>
        <v>0</v>
      </c>
    </row>
    <row r="6" spans="1:13" ht="20.100000000000001" customHeight="1" x14ac:dyDescent="0.25">
      <c r="A6" s="105" t="s">
        <v>738</v>
      </c>
      <c r="B6" s="2" t="s">
        <v>739</v>
      </c>
      <c r="C6" s="20">
        <v>33.76</v>
      </c>
      <c r="D6" s="20">
        <v>33.56</v>
      </c>
      <c r="E6" s="20">
        <v>34.31</v>
      </c>
      <c r="F6" s="5">
        <v>33.85</v>
      </c>
      <c r="G6" s="26">
        <v>-2.6587887740030548E-3</v>
      </c>
      <c r="H6" s="6" t="s">
        <v>843</v>
      </c>
      <c r="I6" s="5">
        <v>0.47</v>
      </c>
      <c r="J6" s="4">
        <v>11.67</v>
      </c>
      <c r="K6" s="4">
        <v>34.840000000000003</v>
      </c>
      <c r="L6" s="20">
        <f>K6*0.89</f>
        <v>31.007600000000004</v>
      </c>
      <c r="M6" s="20" t="b">
        <f>L6&gt;C6</f>
        <v>0</v>
      </c>
    </row>
    <row r="7" spans="1:13" ht="20.100000000000001" customHeight="1" x14ac:dyDescent="0.25">
      <c r="A7" s="2" t="s">
        <v>627</v>
      </c>
      <c r="B7" s="2" t="s">
        <v>632</v>
      </c>
      <c r="C7" s="20">
        <v>16.25</v>
      </c>
      <c r="D7" s="20">
        <v>16.07</v>
      </c>
      <c r="E7" s="20">
        <v>16.829999999999998</v>
      </c>
      <c r="F7" s="5">
        <v>16.649999999999999</v>
      </c>
      <c r="G7" s="26">
        <v>-2.4024024024023941E-2</v>
      </c>
      <c r="H7" s="6" t="s">
        <v>885</v>
      </c>
      <c r="I7" s="5">
        <v>0.62</v>
      </c>
      <c r="J7" s="4">
        <v>14.51</v>
      </c>
      <c r="K7" s="4">
        <v>15.72</v>
      </c>
      <c r="L7" s="4">
        <f t="shared" si="0"/>
        <v>13.9908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660</v>
      </c>
      <c r="B2" s="2" t="s">
        <v>663</v>
      </c>
      <c r="C2" s="4">
        <v>53.46</v>
      </c>
      <c r="D2" s="4">
        <v>53.19</v>
      </c>
      <c r="E2" s="4">
        <v>53.75</v>
      </c>
      <c r="F2" s="5">
        <v>53.64</v>
      </c>
      <c r="G2" s="6">
        <v>-3.3557046979865719E-3</v>
      </c>
      <c r="H2" s="4" t="s">
        <v>886</v>
      </c>
      <c r="I2" s="5">
        <v>2.62</v>
      </c>
      <c r="J2" s="4">
        <v>14.37</v>
      </c>
      <c r="K2" s="4">
        <v>48.4</v>
      </c>
      <c r="L2" s="77">
        <f t="shared" ref="L2:L6" si="0">K2*0.89</f>
        <v>43.076000000000001</v>
      </c>
      <c r="M2" s="78" t="b">
        <f t="shared" ref="M2:M6" si="1">L2&gt;C2</f>
        <v>0</v>
      </c>
    </row>
    <row r="3" spans="1:13" ht="20.100000000000001" customHeight="1" x14ac:dyDescent="0.25">
      <c r="A3" s="2" t="s">
        <v>661</v>
      </c>
      <c r="B3" s="2" t="s">
        <v>664</v>
      </c>
      <c r="C3" s="4">
        <v>85.09</v>
      </c>
      <c r="D3" s="4">
        <v>84.89</v>
      </c>
      <c r="E3" s="4">
        <v>86.03</v>
      </c>
      <c r="F3" s="5">
        <v>85.89</v>
      </c>
      <c r="G3" s="6">
        <v>-9.3142391430899654E-3</v>
      </c>
      <c r="H3" s="4" t="s">
        <v>887</v>
      </c>
      <c r="I3" s="5">
        <v>2.2599999999999998</v>
      </c>
      <c r="J3" s="4">
        <v>15.05</v>
      </c>
      <c r="K3" s="4">
        <v>75.06</v>
      </c>
      <c r="L3" s="77">
        <f t="shared" si="0"/>
        <v>66.803399999999996</v>
      </c>
      <c r="M3" s="4" t="b">
        <f t="shared" si="1"/>
        <v>0</v>
      </c>
    </row>
    <row r="4" spans="1:13" ht="20.100000000000001" customHeight="1" x14ac:dyDescent="0.25">
      <c r="A4" s="81" t="s">
        <v>158</v>
      </c>
      <c r="B4" s="2" t="s">
        <v>167</v>
      </c>
      <c r="C4" s="4">
        <v>108.06</v>
      </c>
      <c r="D4" s="4">
        <v>106.9</v>
      </c>
      <c r="E4" s="4">
        <v>108.35</v>
      </c>
      <c r="F4" s="5">
        <v>107.53</v>
      </c>
      <c r="G4" s="6">
        <v>4.9288570631451792E-3</v>
      </c>
      <c r="H4" s="4" t="s">
        <v>888</v>
      </c>
      <c r="I4" s="5">
        <v>1.44</v>
      </c>
      <c r="J4" s="4">
        <v>18.86</v>
      </c>
      <c r="K4" s="4">
        <v>97.36</v>
      </c>
      <c r="L4" s="77">
        <f t="shared" si="0"/>
        <v>86.650400000000005</v>
      </c>
      <c r="M4" s="4" t="b">
        <f t="shared" si="1"/>
        <v>0</v>
      </c>
    </row>
    <row r="5" spans="1:13" ht="20.100000000000001" customHeight="1" x14ac:dyDescent="0.25">
      <c r="A5" s="71" t="s">
        <v>666</v>
      </c>
      <c r="B5" s="71" t="s">
        <v>667</v>
      </c>
      <c r="C5" s="72">
        <v>9.49</v>
      </c>
      <c r="D5" s="72">
        <v>9.35</v>
      </c>
      <c r="E5" s="72">
        <v>9.57</v>
      </c>
      <c r="F5" s="73">
        <v>9.49</v>
      </c>
      <c r="G5" s="74">
        <v>0</v>
      </c>
      <c r="H5" s="72" t="s">
        <v>889</v>
      </c>
      <c r="I5" s="73" t="s">
        <v>39</v>
      </c>
      <c r="J5" s="72">
        <v>33.770000000000003</v>
      </c>
      <c r="K5" s="72">
        <v>9.2799999999999994</v>
      </c>
      <c r="L5" s="101">
        <f>K5*0.89</f>
        <v>8.2591999999999999</v>
      </c>
      <c r="M5" s="102" t="b">
        <f>L5&gt;C5</f>
        <v>0</v>
      </c>
    </row>
    <row r="6" spans="1:13" ht="20.100000000000001" customHeight="1" x14ac:dyDescent="0.25">
      <c r="A6" s="81" t="s">
        <v>662</v>
      </c>
      <c r="B6" s="2" t="s">
        <v>665</v>
      </c>
      <c r="C6" s="4">
        <v>44.95</v>
      </c>
      <c r="D6" s="4">
        <v>44.84</v>
      </c>
      <c r="E6" s="4">
        <v>45.49</v>
      </c>
      <c r="F6" s="5">
        <v>44.95</v>
      </c>
      <c r="G6" s="6">
        <v>0</v>
      </c>
      <c r="H6" s="4" t="s">
        <v>815</v>
      </c>
      <c r="I6" s="5" t="s">
        <v>39</v>
      </c>
      <c r="J6" s="4">
        <v>17.12</v>
      </c>
      <c r="K6" s="4">
        <v>39.630000000000003</v>
      </c>
      <c r="L6" s="77">
        <f t="shared" si="0"/>
        <v>35.270700000000005</v>
      </c>
      <c r="M6" s="4" t="b">
        <f t="shared" si="1"/>
        <v>0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210</v>
      </c>
      <c r="B2" s="2" t="s">
        <v>214</v>
      </c>
      <c r="C2" s="4">
        <v>177.89</v>
      </c>
      <c r="D2" s="4">
        <v>176.41</v>
      </c>
      <c r="E2" s="4">
        <v>178.08</v>
      </c>
      <c r="F2" s="5">
        <v>176.52</v>
      </c>
      <c r="G2" s="6">
        <v>7.7611602084748247E-3</v>
      </c>
      <c r="H2" s="4" t="s">
        <v>890</v>
      </c>
      <c r="I2" s="5">
        <v>1.71</v>
      </c>
      <c r="J2" s="4">
        <v>19.04</v>
      </c>
      <c r="K2" s="4">
        <v>157.15</v>
      </c>
      <c r="L2" s="77">
        <f t="shared" ref="L2:L10" si="0">K2*0.89</f>
        <v>139.86350000000002</v>
      </c>
      <c r="M2" s="78" t="b">
        <f t="shared" ref="M2:M10" si="1">L2&gt;C2</f>
        <v>0</v>
      </c>
    </row>
    <row r="3" spans="1:13" ht="20.100000000000001" customHeight="1" x14ac:dyDescent="0.25">
      <c r="A3" s="2" t="s">
        <v>211</v>
      </c>
      <c r="B3" s="2" t="s">
        <v>215</v>
      </c>
      <c r="C3" s="4">
        <v>230.17</v>
      </c>
      <c r="D3" s="4">
        <v>228.5</v>
      </c>
      <c r="E3" s="4">
        <v>230.99</v>
      </c>
      <c r="F3" s="5">
        <v>229.15</v>
      </c>
      <c r="G3" s="6">
        <v>4.4512328169320613E-3</v>
      </c>
      <c r="H3" s="4" t="s">
        <v>891</v>
      </c>
      <c r="I3" s="5">
        <v>1.56</v>
      </c>
      <c r="J3" s="4">
        <v>19.64</v>
      </c>
      <c r="K3" s="4">
        <v>224.95</v>
      </c>
      <c r="L3" s="77">
        <f t="shared" si="0"/>
        <v>200.2055</v>
      </c>
      <c r="M3" s="4" t="b">
        <f t="shared" si="1"/>
        <v>0</v>
      </c>
    </row>
    <row r="4" spans="1:13" ht="20.100000000000001" customHeight="1" x14ac:dyDescent="0.25">
      <c r="A4" s="2" t="s">
        <v>212</v>
      </c>
      <c r="B4" s="2" t="s">
        <v>216</v>
      </c>
      <c r="C4" s="4">
        <v>145.99</v>
      </c>
      <c r="D4" s="4">
        <v>145.41999999999999</v>
      </c>
      <c r="E4" s="4">
        <v>146.41</v>
      </c>
      <c r="F4" s="5">
        <v>145.63999999999999</v>
      </c>
      <c r="G4" s="6">
        <v>2.4031859379292967E-3</v>
      </c>
      <c r="H4" s="4" t="s">
        <v>892</v>
      </c>
      <c r="I4" s="5">
        <v>2.0099999999999998</v>
      </c>
      <c r="J4" s="4">
        <v>19.489999999999998</v>
      </c>
      <c r="K4" s="4">
        <v>140.99</v>
      </c>
      <c r="L4" s="77">
        <f t="shared" si="0"/>
        <v>125.48110000000001</v>
      </c>
      <c r="M4" s="4" t="b">
        <f t="shared" si="1"/>
        <v>0</v>
      </c>
    </row>
    <row r="5" spans="1:13" ht="20.100000000000001" customHeight="1" x14ac:dyDescent="0.25">
      <c r="A5" s="2" t="s">
        <v>213</v>
      </c>
      <c r="B5" s="2" t="s">
        <v>217</v>
      </c>
      <c r="C5" s="4">
        <v>254.53</v>
      </c>
      <c r="D5" s="4">
        <v>252.02</v>
      </c>
      <c r="E5" s="4">
        <v>255.95</v>
      </c>
      <c r="F5" s="5">
        <v>252.62</v>
      </c>
      <c r="G5" s="6">
        <v>7.5607632016467287E-3</v>
      </c>
      <c r="H5" s="4" t="s">
        <v>893</v>
      </c>
      <c r="I5" s="5">
        <v>2.86</v>
      </c>
      <c r="J5" s="4">
        <v>14.89</v>
      </c>
      <c r="K5" s="4">
        <v>250.3</v>
      </c>
      <c r="L5" s="77">
        <f t="shared" si="0"/>
        <v>222.76700000000002</v>
      </c>
      <c r="M5" s="4" t="b">
        <f t="shared" si="1"/>
        <v>0</v>
      </c>
    </row>
    <row r="6" spans="1:13" ht="20.100000000000001" customHeight="1" x14ac:dyDescent="0.25">
      <c r="A6" s="2" t="s">
        <v>303</v>
      </c>
      <c r="B6" s="2" t="s">
        <v>304</v>
      </c>
      <c r="C6" s="4">
        <v>89.93</v>
      </c>
      <c r="D6" s="4">
        <v>89.85</v>
      </c>
      <c r="E6" s="4">
        <v>90.98</v>
      </c>
      <c r="F6" s="5">
        <v>90.4</v>
      </c>
      <c r="G6" s="6">
        <v>-5.1991150442477745E-3</v>
      </c>
      <c r="H6" s="4" t="s">
        <v>823</v>
      </c>
      <c r="I6" s="5">
        <v>1.47</v>
      </c>
      <c r="J6" s="4">
        <v>16.329999999999998</v>
      </c>
      <c r="K6" s="4">
        <v>86.53</v>
      </c>
      <c r="L6" s="77">
        <f t="shared" si="0"/>
        <v>77.011700000000005</v>
      </c>
      <c r="M6" s="4" t="b">
        <f t="shared" si="1"/>
        <v>0</v>
      </c>
    </row>
    <row r="7" spans="1:13" ht="20.100000000000001" customHeight="1" x14ac:dyDescent="0.25">
      <c r="A7" s="2" t="s">
        <v>543</v>
      </c>
      <c r="B7" s="2" t="s">
        <v>546</v>
      </c>
      <c r="C7" s="4">
        <v>101.76</v>
      </c>
      <c r="D7" s="4">
        <v>101.19</v>
      </c>
      <c r="E7" s="4">
        <v>102</v>
      </c>
      <c r="F7" s="5">
        <v>101.79</v>
      </c>
      <c r="G7" s="6">
        <v>-2.9472443265547829E-4</v>
      </c>
      <c r="H7" s="4" t="s">
        <v>894</v>
      </c>
      <c r="I7" s="5">
        <v>2.08</v>
      </c>
      <c r="J7" s="4">
        <v>38.03</v>
      </c>
      <c r="K7" s="4">
        <v>94.14</v>
      </c>
      <c r="L7" s="77">
        <f t="shared" si="0"/>
        <v>83.784599999999998</v>
      </c>
      <c r="M7" s="4" t="b">
        <f t="shared" si="1"/>
        <v>0</v>
      </c>
    </row>
    <row r="8" spans="1:13" ht="20.100000000000001" customHeight="1" x14ac:dyDescent="0.25">
      <c r="A8" s="2" t="s">
        <v>681</v>
      </c>
      <c r="B8" s="2" t="s">
        <v>682</v>
      </c>
      <c r="C8" s="4">
        <v>49.96</v>
      </c>
      <c r="D8" s="4">
        <v>49.81</v>
      </c>
      <c r="E8" s="4">
        <v>50.21</v>
      </c>
      <c r="F8" s="5">
        <v>49.99</v>
      </c>
      <c r="G8" s="6">
        <v>-6.0012002400482373E-4</v>
      </c>
      <c r="H8" s="4" t="s">
        <v>895</v>
      </c>
      <c r="I8" s="5">
        <v>2.56</v>
      </c>
      <c r="J8" s="4">
        <v>12.99</v>
      </c>
      <c r="K8" s="4">
        <v>46.37</v>
      </c>
      <c r="L8" s="103">
        <f>K8*0.89</f>
        <v>41.269300000000001</v>
      </c>
      <c r="M8" s="20" t="b">
        <f>L8&gt;C8</f>
        <v>0</v>
      </c>
    </row>
    <row r="9" spans="1:13" ht="20.100000000000001" customHeight="1" x14ac:dyDescent="0.25">
      <c r="A9" s="2" t="s">
        <v>544</v>
      </c>
      <c r="B9" s="2" t="s">
        <v>547</v>
      </c>
      <c r="C9" s="4">
        <v>14.25</v>
      </c>
      <c r="D9" s="4">
        <v>14.21</v>
      </c>
      <c r="E9" s="4">
        <v>14.31</v>
      </c>
      <c r="F9" s="5">
        <v>14.22</v>
      </c>
      <c r="G9" s="6">
        <v>2.1097046413501657E-3</v>
      </c>
      <c r="H9" s="4" t="s">
        <v>896</v>
      </c>
      <c r="I9" s="5">
        <v>1.71</v>
      </c>
      <c r="J9" s="4">
        <v>21.96</v>
      </c>
      <c r="K9" s="4">
        <v>13.91</v>
      </c>
      <c r="L9" s="77">
        <f t="shared" si="0"/>
        <v>12.379900000000001</v>
      </c>
      <c r="M9" s="4" t="b">
        <f t="shared" si="1"/>
        <v>0</v>
      </c>
    </row>
    <row r="10" spans="1:13" ht="20.100000000000001" customHeight="1" x14ac:dyDescent="0.25">
      <c r="A10" s="2" t="s">
        <v>545</v>
      </c>
      <c r="B10" s="2" t="s">
        <v>549</v>
      </c>
      <c r="C10" s="4">
        <v>124.26</v>
      </c>
      <c r="D10" s="4">
        <v>121.84</v>
      </c>
      <c r="E10" s="4">
        <v>124.6</v>
      </c>
      <c r="F10" s="5">
        <v>122.61</v>
      </c>
      <c r="G10" s="6">
        <v>1.3457303645705944E-2</v>
      </c>
      <c r="H10" s="4" t="s">
        <v>897</v>
      </c>
      <c r="I10" s="5" t="s">
        <v>39</v>
      </c>
      <c r="J10" s="4">
        <v>22.76</v>
      </c>
      <c r="K10" s="4">
        <v>111.06</v>
      </c>
      <c r="L10" s="77">
        <f t="shared" si="0"/>
        <v>98.843400000000003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63.23</v>
      </c>
      <c r="D2" s="4">
        <v>62.75</v>
      </c>
      <c r="E2" s="4">
        <v>63.3</v>
      </c>
      <c r="F2" s="5">
        <v>63.29</v>
      </c>
      <c r="G2" s="6">
        <v>-9.4801706430719347E-4</v>
      </c>
      <c r="H2" s="4" t="s">
        <v>898</v>
      </c>
      <c r="I2" s="5">
        <v>3.73</v>
      </c>
      <c r="J2" s="4">
        <v>44.03</v>
      </c>
      <c r="K2" s="4">
        <v>64.48</v>
      </c>
      <c r="L2" s="77">
        <f t="shared" ref="L2:L12" si="0">K2*0.89</f>
        <v>57.387200000000007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12.23</v>
      </c>
      <c r="D3" s="4">
        <v>12.09</v>
      </c>
      <c r="E3" s="4">
        <v>12.24</v>
      </c>
      <c r="F3" s="5">
        <v>12.13</v>
      </c>
      <c r="G3" s="6">
        <v>8.2440230832646032E-3</v>
      </c>
      <c r="H3" s="4" t="s">
        <v>899</v>
      </c>
      <c r="I3" s="5" t="s">
        <v>39</v>
      </c>
      <c r="J3" s="4">
        <v>244.6</v>
      </c>
      <c r="K3" s="4">
        <v>12.63</v>
      </c>
      <c r="L3" s="4">
        <f t="shared" si="0"/>
        <v>11.2407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9.86</v>
      </c>
      <c r="D4" s="4">
        <v>9.4499999999999993</v>
      </c>
      <c r="E4" s="4">
        <v>9.9700000000000006</v>
      </c>
      <c r="F4" s="5">
        <v>9.48</v>
      </c>
      <c r="G4" s="6">
        <v>4.0084388185653901E-2</v>
      </c>
      <c r="H4" s="4" t="s">
        <v>871</v>
      </c>
      <c r="I4" s="5" t="s">
        <v>39</v>
      </c>
      <c r="J4" s="4" t="s">
        <v>39</v>
      </c>
      <c r="K4" s="4">
        <v>11.95</v>
      </c>
      <c r="L4" s="4">
        <f t="shared" si="0"/>
        <v>10.6355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35.44</v>
      </c>
      <c r="D5" s="4">
        <v>35.24</v>
      </c>
      <c r="E5" s="4">
        <v>35.64</v>
      </c>
      <c r="F5" s="5">
        <v>35.44</v>
      </c>
      <c r="G5" s="6">
        <v>0</v>
      </c>
      <c r="H5" s="4" t="s">
        <v>900</v>
      </c>
      <c r="I5" s="5">
        <v>3.59</v>
      </c>
      <c r="J5" s="4">
        <v>26.57</v>
      </c>
      <c r="K5" s="4">
        <v>34.340000000000003</v>
      </c>
      <c r="L5" s="4">
        <f t="shared" si="0"/>
        <v>30.562600000000003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30.61</v>
      </c>
      <c r="D6" s="4">
        <v>30.41</v>
      </c>
      <c r="E6" s="4">
        <v>30.72</v>
      </c>
      <c r="F6" s="5">
        <v>30.68</v>
      </c>
      <c r="G6" s="6">
        <v>-2.2816166883963588E-3</v>
      </c>
      <c r="H6" s="4" t="s">
        <v>901</v>
      </c>
      <c r="I6" s="5">
        <v>4.7</v>
      </c>
      <c r="J6" s="4" t="s">
        <v>39</v>
      </c>
      <c r="K6" s="4">
        <v>32.89</v>
      </c>
      <c r="L6" s="4">
        <f t="shared" si="0"/>
        <v>29.272100000000002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14.6</v>
      </c>
      <c r="D7" s="4">
        <v>14.3</v>
      </c>
      <c r="E7" s="4">
        <v>14.63</v>
      </c>
      <c r="F7" s="5">
        <v>14.38</v>
      </c>
      <c r="G7" s="6">
        <v>1.5299026425591019E-2</v>
      </c>
      <c r="H7" s="4" t="s">
        <v>902</v>
      </c>
      <c r="I7" s="5">
        <v>0.82</v>
      </c>
      <c r="J7" s="4" t="s">
        <v>39</v>
      </c>
      <c r="K7" s="4">
        <v>12.41</v>
      </c>
      <c r="L7" s="4">
        <f t="shared" si="0"/>
        <v>11.0449</v>
      </c>
      <c r="M7" s="4" t="b">
        <f t="shared" si="1"/>
        <v>0</v>
      </c>
    </row>
    <row r="8" spans="1:13" ht="20.100000000000001" customHeight="1" x14ac:dyDescent="0.25">
      <c r="A8" s="2" t="s">
        <v>7</v>
      </c>
      <c r="B8" s="2" t="s">
        <v>59</v>
      </c>
      <c r="C8" s="4">
        <v>44.03</v>
      </c>
      <c r="D8" s="4">
        <v>43.76</v>
      </c>
      <c r="E8" s="4">
        <v>44.1</v>
      </c>
      <c r="F8" s="5">
        <v>44.07</v>
      </c>
      <c r="G8" s="6">
        <v>-9.0764692534602107E-4</v>
      </c>
      <c r="H8" s="4" t="s">
        <v>903</v>
      </c>
      <c r="I8" s="5">
        <v>3.72</v>
      </c>
      <c r="J8" s="4">
        <v>17.329999999999998</v>
      </c>
      <c r="K8" s="4">
        <v>43</v>
      </c>
      <c r="L8" s="4">
        <f t="shared" si="0"/>
        <v>38.270000000000003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904</v>
      </c>
      <c r="C9" s="4">
        <v>14</v>
      </c>
      <c r="D9" s="4" t="s">
        <v>39</v>
      </c>
      <c r="E9" s="4" t="s">
        <v>39</v>
      </c>
      <c r="F9" s="5">
        <v>14</v>
      </c>
      <c r="G9" s="6">
        <v>0</v>
      </c>
      <c r="H9" s="4" t="s">
        <v>39</v>
      </c>
      <c r="I9" s="5" t="s">
        <v>39</v>
      </c>
      <c r="J9" s="4" t="s">
        <v>39</v>
      </c>
      <c r="K9" s="4">
        <v>13.84</v>
      </c>
      <c r="L9" s="4">
        <f t="shared" si="0"/>
        <v>12.317600000000001</v>
      </c>
      <c r="M9" s="4" t="b">
        <f t="shared" si="1"/>
        <v>0</v>
      </c>
    </row>
    <row r="10" spans="1:13" ht="20.100000000000001" customHeight="1" x14ac:dyDescent="0.25">
      <c r="A10" s="2" t="s">
        <v>266</v>
      </c>
      <c r="B10" s="2" t="s">
        <v>267</v>
      </c>
      <c r="C10" s="4">
        <v>119.05</v>
      </c>
      <c r="D10" s="4">
        <v>117.88</v>
      </c>
      <c r="E10" s="4">
        <v>119.42</v>
      </c>
      <c r="F10" s="5">
        <v>119.5</v>
      </c>
      <c r="G10" s="6">
        <v>-3.7656903765690614E-3</v>
      </c>
      <c r="H10" s="4" t="s">
        <v>905</v>
      </c>
      <c r="I10" s="5">
        <v>2.92</v>
      </c>
      <c r="J10" s="4">
        <v>22.5</v>
      </c>
      <c r="K10" s="4">
        <v>122.67</v>
      </c>
      <c r="L10" s="4">
        <f t="shared" si="0"/>
        <v>109.1763</v>
      </c>
      <c r="M10" s="4" t="b">
        <f t="shared" si="1"/>
        <v>0</v>
      </c>
    </row>
    <row r="11" spans="1:13" ht="20.100000000000001" customHeight="1" x14ac:dyDescent="0.25">
      <c r="A11" s="2" t="s">
        <v>268</v>
      </c>
      <c r="B11" s="2" t="s">
        <v>269</v>
      </c>
      <c r="C11" s="4">
        <v>25.42</v>
      </c>
      <c r="D11" s="4">
        <v>25.25</v>
      </c>
      <c r="E11" s="4">
        <v>25.46</v>
      </c>
      <c r="F11" s="5">
        <v>25.33</v>
      </c>
      <c r="G11" s="6">
        <v>3.5530990919859225E-3</v>
      </c>
      <c r="H11" s="4" t="s">
        <v>906</v>
      </c>
      <c r="I11" s="5">
        <v>4.21</v>
      </c>
      <c r="J11" s="4" t="s">
        <v>39</v>
      </c>
      <c r="K11" s="4">
        <v>23.48</v>
      </c>
      <c r="L11" s="4">
        <f t="shared" si="0"/>
        <v>20.897200000000002</v>
      </c>
      <c r="M11" s="4" t="b">
        <f t="shared" si="1"/>
        <v>0</v>
      </c>
    </row>
    <row r="12" spans="1:13" ht="20.100000000000001" customHeight="1" x14ac:dyDescent="0.25">
      <c r="A12" s="28" t="s">
        <v>278</v>
      </c>
      <c r="B12" s="28" t="s">
        <v>279</v>
      </c>
      <c r="C12" s="29">
        <v>77.209999999999994</v>
      </c>
      <c r="D12" s="29">
        <v>76.77</v>
      </c>
      <c r="E12" s="29">
        <v>77.48</v>
      </c>
      <c r="F12" s="30">
        <v>77.540000000000006</v>
      </c>
      <c r="G12" s="31">
        <v>-4.2558679391283532E-3</v>
      </c>
      <c r="H12" s="29" t="s">
        <v>907</v>
      </c>
      <c r="I12" s="30">
        <v>4.43</v>
      </c>
      <c r="J12" s="29">
        <v>18.68</v>
      </c>
      <c r="K12" s="29">
        <v>79.680000000000007</v>
      </c>
      <c r="L12" s="4">
        <f t="shared" si="0"/>
        <v>70.915200000000013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59" t="s">
        <v>79</v>
      </c>
      <c r="B2" s="2" t="s">
        <v>80</v>
      </c>
      <c r="C2" s="4">
        <v>78.33</v>
      </c>
      <c r="D2" s="4">
        <v>76.69</v>
      </c>
      <c r="E2" s="4">
        <v>78.489999999999995</v>
      </c>
      <c r="F2" s="5">
        <v>78.33</v>
      </c>
      <c r="G2" s="6">
        <v>0</v>
      </c>
      <c r="H2" s="4" t="s">
        <v>908</v>
      </c>
      <c r="I2" s="5">
        <v>1.43</v>
      </c>
      <c r="J2" s="4">
        <v>15.12</v>
      </c>
      <c r="K2" s="4">
        <v>72.77</v>
      </c>
      <c r="L2" s="79">
        <f t="shared" ref="L2:L8" si="0">K2*0.89</f>
        <v>64.765299999999996</v>
      </c>
      <c r="M2" s="80" t="b">
        <f t="shared" ref="M2:M8" si="1">L2&gt;C2</f>
        <v>0</v>
      </c>
    </row>
    <row r="3" spans="1:13" ht="20.100000000000001" customHeight="1" x14ac:dyDescent="0.25">
      <c r="A3" s="1" t="s">
        <v>430</v>
      </c>
      <c r="B3" s="2" t="s">
        <v>434</v>
      </c>
      <c r="C3" s="4">
        <v>119.04</v>
      </c>
      <c r="D3" s="4">
        <v>118.81</v>
      </c>
      <c r="E3" s="4">
        <v>119.62</v>
      </c>
      <c r="F3" s="5">
        <v>119.04</v>
      </c>
      <c r="G3" s="6">
        <v>0</v>
      </c>
      <c r="H3" s="4" t="s">
        <v>909</v>
      </c>
      <c r="I3" s="5">
        <v>1.92</v>
      </c>
      <c r="J3" s="4">
        <v>14.32</v>
      </c>
      <c r="K3" s="4">
        <v>108.94</v>
      </c>
      <c r="L3" s="70">
        <f t="shared" si="0"/>
        <v>96.956599999999995</v>
      </c>
      <c r="M3" s="70" t="b">
        <f t="shared" si="1"/>
        <v>0</v>
      </c>
    </row>
    <row r="4" spans="1:13" ht="20.100000000000001" customHeight="1" x14ac:dyDescent="0.25">
      <c r="A4" s="1" t="s">
        <v>74</v>
      </c>
      <c r="B4" s="2" t="s">
        <v>910</v>
      </c>
      <c r="C4" s="4">
        <v>180.45</v>
      </c>
      <c r="D4" s="4">
        <v>178.39</v>
      </c>
      <c r="E4" s="4">
        <v>180.78</v>
      </c>
      <c r="F4" s="5">
        <v>180.45</v>
      </c>
      <c r="G4" s="6">
        <v>0</v>
      </c>
      <c r="H4" s="4" t="s">
        <v>911</v>
      </c>
      <c r="I4" s="5">
        <v>2.2599999999999998</v>
      </c>
      <c r="J4" s="4" t="s">
        <v>39</v>
      </c>
      <c r="K4" s="4">
        <v>169.4</v>
      </c>
      <c r="L4" s="70">
        <f t="shared" si="0"/>
        <v>150.76600000000002</v>
      </c>
      <c r="M4" s="70" t="b">
        <f t="shared" si="1"/>
        <v>0</v>
      </c>
    </row>
    <row r="5" spans="1:13" ht="20.100000000000001" customHeight="1" x14ac:dyDescent="0.25">
      <c r="A5" s="2" t="s">
        <v>431</v>
      </c>
      <c r="B5" s="2" t="s">
        <v>435</v>
      </c>
      <c r="C5" s="4">
        <v>72.67</v>
      </c>
      <c r="D5" s="4">
        <v>72.11</v>
      </c>
      <c r="E5" s="4">
        <v>72.88</v>
      </c>
      <c r="F5" s="5">
        <v>72.67</v>
      </c>
      <c r="G5" s="6">
        <v>0</v>
      </c>
      <c r="H5" s="4" t="s">
        <v>912</v>
      </c>
      <c r="I5" s="5">
        <v>2.31</v>
      </c>
      <c r="J5" s="4">
        <v>26.33</v>
      </c>
      <c r="K5" s="4">
        <v>64.650000000000006</v>
      </c>
      <c r="L5" s="70">
        <f t="shared" si="0"/>
        <v>57.538500000000006</v>
      </c>
      <c r="M5" s="70" t="b">
        <f t="shared" si="1"/>
        <v>0</v>
      </c>
    </row>
    <row r="6" spans="1:13" ht="20.100000000000001" customHeight="1" x14ac:dyDescent="0.25">
      <c r="A6" s="2" t="s">
        <v>432</v>
      </c>
      <c r="B6" s="2" t="s">
        <v>436</v>
      </c>
      <c r="C6" s="4">
        <v>75</v>
      </c>
      <c r="D6" s="4">
        <v>74.73</v>
      </c>
      <c r="E6" s="4">
        <v>75.3</v>
      </c>
      <c r="F6" s="5">
        <v>75</v>
      </c>
      <c r="G6" s="6">
        <v>0</v>
      </c>
      <c r="H6" s="4" t="s">
        <v>913</v>
      </c>
      <c r="I6" s="5">
        <v>2.67</v>
      </c>
      <c r="J6" s="4">
        <v>23.81</v>
      </c>
      <c r="K6" s="4">
        <v>69.39</v>
      </c>
      <c r="L6" s="70">
        <f t="shared" si="0"/>
        <v>61.757100000000001</v>
      </c>
      <c r="M6" s="70" t="b">
        <f t="shared" si="1"/>
        <v>0</v>
      </c>
    </row>
    <row r="7" spans="1:13" ht="20.100000000000001" customHeight="1" x14ac:dyDescent="0.25">
      <c r="A7" s="2" t="s">
        <v>433</v>
      </c>
      <c r="B7" s="2" t="s">
        <v>437</v>
      </c>
      <c r="C7" s="4">
        <v>58.57</v>
      </c>
      <c r="D7" s="4">
        <v>56.63</v>
      </c>
      <c r="E7" s="4">
        <v>58.98</v>
      </c>
      <c r="F7" s="5">
        <v>58.57</v>
      </c>
      <c r="G7" s="6">
        <v>0</v>
      </c>
      <c r="H7" s="4" t="s">
        <v>768</v>
      </c>
      <c r="I7" s="5" t="s">
        <v>39</v>
      </c>
      <c r="J7" s="4" t="s">
        <v>39</v>
      </c>
      <c r="K7" s="4">
        <v>55.48</v>
      </c>
      <c r="L7" s="70">
        <f t="shared" si="0"/>
        <v>49.377199999999995</v>
      </c>
      <c r="M7" s="70" t="b">
        <f t="shared" si="1"/>
        <v>0</v>
      </c>
    </row>
    <row r="8" spans="1:13" ht="20.100000000000001" customHeight="1" x14ac:dyDescent="0.25">
      <c r="A8" s="2" t="s">
        <v>76</v>
      </c>
      <c r="B8" s="2" t="s">
        <v>82</v>
      </c>
      <c r="C8" s="4">
        <v>66.88</v>
      </c>
      <c r="D8" s="4">
        <v>66.16</v>
      </c>
      <c r="E8" s="4">
        <v>67.08</v>
      </c>
      <c r="F8" s="5">
        <v>66.88</v>
      </c>
      <c r="G8" s="6">
        <v>0</v>
      </c>
      <c r="H8" s="4" t="s">
        <v>914</v>
      </c>
      <c r="I8" s="5">
        <v>3.17</v>
      </c>
      <c r="J8" s="4">
        <v>17.55</v>
      </c>
      <c r="K8" s="4">
        <v>63.4</v>
      </c>
      <c r="L8" s="70">
        <f t="shared" si="0"/>
        <v>56.426000000000002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O16" sqref="O16"/>
    </sheetView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71.239999999999995</v>
      </c>
      <c r="D2" s="4">
        <v>70.67</v>
      </c>
      <c r="E2" s="4">
        <v>71.91</v>
      </c>
      <c r="F2" s="5">
        <v>71.489999999999995</v>
      </c>
      <c r="G2" s="6">
        <v>-3.4969925863757171E-3</v>
      </c>
      <c r="H2" s="4" t="s">
        <v>915</v>
      </c>
      <c r="I2" s="5">
        <v>0.28000000000000003</v>
      </c>
      <c r="J2" s="4" t="s">
        <v>39</v>
      </c>
      <c r="K2" s="4">
        <v>60.86</v>
      </c>
      <c r="L2" s="79">
        <f t="shared" ref="L2:L17" si="0">K2*0.9</f>
        <v>54.774000000000001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6.92</v>
      </c>
      <c r="D3" s="4">
        <v>6.86</v>
      </c>
      <c r="E3" s="4">
        <v>6.94</v>
      </c>
      <c r="F3" s="5">
        <v>6.93</v>
      </c>
      <c r="G3" s="6">
        <v>-1.4430014430014122E-3</v>
      </c>
      <c r="H3" s="4" t="s">
        <v>745</v>
      </c>
      <c r="I3" s="5">
        <v>0</v>
      </c>
      <c r="J3" s="4" t="s">
        <v>39</v>
      </c>
      <c r="K3" s="4">
        <v>6.16</v>
      </c>
      <c r="L3" s="4">
        <f t="shared" si="0"/>
        <v>5.5440000000000005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21.92</v>
      </c>
      <c r="D4" s="4">
        <v>21.77</v>
      </c>
      <c r="E4" s="4">
        <v>22.39</v>
      </c>
      <c r="F4" s="5">
        <v>22.27</v>
      </c>
      <c r="G4" s="6">
        <v>-1.5716210148181316E-2</v>
      </c>
      <c r="H4" s="4" t="s">
        <v>916</v>
      </c>
      <c r="I4" s="5">
        <v>0.36</v>
      </c>
      <c r="J4" s="4" t="s">
        <v>39</v>
      </c>
      <c r="K4" s="4">
        <v>23.71</v>
      </c>
      <c r="L4" s="4">
        <f t="shared" si="0"/>
        <v>21.339000000000002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50.59</v>
      </c>
      <c r="D5" s="4">
        <v>49.84</v>
      </c>
      <c r="E5" s="4">
        <v>50.87</v>
      </c>
      <c r="F5" s="5">
        <v>50.15</v>
      </c>
      <c r="G5" s="6">
        <v>8.7736789631107648E-3</v>
      </c>
      <c r="H5" s="4" t="s">
        <v>917</v>
      </c>
      <c r="I5" s="5">
        <v>1.98</v>
      </c>
      <c r="J5" s="4" t="s">
        <v>39</v>
      </c>
      <c r="K5" s="4">
        <v>44.23</v>
      </c>
      <c r="L5" s="4">
        <f t="shared" si="0"/>
        <v>39.806999999999995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46.41</v>
      </c>
      <c r="D6" s="4">
        <v>45.93</v>
      </c>
      <c r="E6" s="4">
        <v>46.74</v>
      </c>
      <c r="F6" s="5">
        <v>46.46</v>
      </c>
      <c r="G6" s="6">
        <v>-1.0761945759794288E-3</v>
      </c>
      <c r="H6" s="4" t="s">
        <v>918</v>
      </c>
      <c r="I6" s="5">
        <v>0.52</v>
      </c>
      <c r="J6" s="4" t="s">
        <v>39</v>
      </c>
      <c r="K6" s="4">
        <v>42.55</v>
      </c>
      <c r="L6" s="4">
        <f t="shared" si="0"/>
        <v>38.295000000000002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105.39</v>
      </c>
      <c r="D7" s="4">
        <v>104.26</v>
      </c>
      <c r="E7" s="4">
        <v>106.08</v>
      </c>
      <c r="F7" s="5">
        <v>105.37</v>
      </c>
      <c r="G7" s="6">
        <v>1.8980734554423478E-4</v>
      </c>
      <c r="H7" s="4" t="s">
        <v>919</v>
      </c>
      <c r="I7" s="5">
        <v>0.64</v>
      </c>
      <c r="J7" s="4" t="s">
        <v>39</v>
      </c>
      <c r="K7" s="4">
        <v>93.31</v>
      </c>
      <c r="L7" s="4">
        <f t="shared" si="0"/>
        <v>83.978999999999999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58.89</v>
      </c>
      <c r="D8" s="4">
        <v>58.25</v>
      </c>
      <c r="E8" s="4">
        <v>59.87</v>
      </c>
      <c r="F8" s="5">
        <v>58.85</v>
      </c>
      <c r="G8" s="6">
        <v>6.7969413763804842E-4</v>
      </c>
      <c r="H8" s="4" t="s">
        <v>920</v>
      </c>
      <c r="I8" s="5">
        <v>1.7</v>
      </c>
      <c r="J8" s="4" t="s">
        <v>39</v>
      </c>
      <c r="K8" s="4">
        <v>54.65</v>
      </c>
      <c r="L8" s="4">
        <f t="shared" si="0"/>
        <v>49.185000000000002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17.45</v>
      </c>
      <c r="D9" s="4">
        <v>17.239999999999998</v>
      </c>
      <c r="E9" s="4">
        <v>17.489999999999998</v>
      </c>
      <c r="F9" s="5">
        <v>17.440000000000001</v>
      </c>
      <c r="G9" s="6">
        <v>5.733944954127299E-4</v>
      </c>
      <c r="H9" s="4" t="s">
        <v>921</v>
      </c>
      <c r="I9" s="5">
        <v>1.1499999999999999</v>
      </c>
      <c r="J9" s="4" t="s">
        <v>39</v>
      </c>
      <c r="K9" s="4">
        <v>15.58</v>
      </c>
      <c r="L9" s="4">
        <f t="shared" si="0"/>
        <v>14.022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31.13</v>
      </c>
      <c r="D10" s="4">
        <v>30.37</v>
      </c>
      <c r="E10" s="4">
        <v>31.25</v>
      </c>
      <c r="F10" s="5">
        <v>30.92</v>
      </c>
      <c r="G10" s="26">
        <v>6.7917205692107794E-3</v>
      </c>
      <c r="H10" s="6" t="s">
        <v>922</v>
      </c>
      <c r="I10" s="5">
        <v>3.21</v>
      </c>
      <c r="J10" s="4" t="s">
        <v>39</v>
      </c>
      <c r="K10" s="4">
        <v>29.55</v>
      </c>
      <c r="L10" s="4">
        <f t="shared" si="0"/>
        <v>26.595000000000002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37.39</v>
      </c>
      <c r="D11" s="4">
        <v>36.799999999999997</v>
      </c>
      <c r="E11" s="4">
        <v>37.57</v>
      </c>
      <c r="F11" s="5">
        <v>37.18</v>
      </c>
      <c r="G11" s="26">
        <v>5.6481979558902868E-3</v>
      </c>
      <c r="H11" s="6" t="s">
        <v>923</v>
      </c>
      <c r="I11" s="5">
        <v>1.07</v>
      </c>
      <c r="J11" s="4" t="s">
        <v>39</v>
      </c>
      <c r="K11" s="4">
        <v>36.24</v>
      </c>
      <c r="L11" s="4">
        <f t="shared" si="0"/>
        <v>32.616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69.08</v>
      </c>
      <c r="D12" s="4">
        <v>68.66</v>
      </c>
      <c r="E12" s="4">
        <v>69.38</v>
      </c>
      <c r="F12" s="5">
        <v>69.03</v>
      </c>
      <c r="G12" s="26">
        <v>7.2432275822102211E-4</v>
      </c>
      <c r="H12" s="6" t="s">
        <v>924</v>
      </c>
      <c r="I12" s="5">
        <v>4.4000000000000004</v>
      </c>
      <c r="J12" s="4" t="s">
        <v>39</v>
      </c>
      <c r="K12" s="4">
        <v>72.83</v>
      </c>
      <c r="L12" s="4">
        <f t="shared" si="0"/>
        <v>65.546999999999997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181.97</v>
      </c>
      <c r="D13" s="4">
        <v>180.55</v>
      </c>
      <c r="E13" s="4">
        <v>182.84</v>
      </c>
      <c r="F13" s="5">
        <v>182.56</v>
      </c>
      <c r="G13" s="26">
        <v>-3.2318141980718852E-3</v>
      </c>
      <c r="H13" s="6" t="s">
        <v>925</v>
      </c>
      <c r="I13" s="5">
        <v>0.04</v>
      </c>
      <c r="J13" s="4" t="s">
        <v>39</v>
      </c>
      <c r="K13" s="4">
        <v>176.55</v>
      </c>
      <c r="L13" s="4">
        <f t="shared" si="0"/>
        <v>158.89500000000001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33.64</v>
      </c>
      <c r="D14" s="4">
        <v>33.42</v>
      </c>
      <c r="E14" s="4">
        <v>34.17</v>
      </c>
      <c r="F14" s="5">
        <v>33.99</v>
      </c>
      <c r="G14" s="26">
        <v>-1.0297146219476357E-2</v>
      </c>
      <c r="H14" s="6" t="s">
        <v>926</v>
      </c>
      <c r="I14" s="5">
        <v>0.24</v>
      </c>
      <c r="J14" s="4" t="s">
        <v>39</v>
      </c>
      <c r="K14" s="4">
        <v>37.96</v>
      </c>
      <c r="L14" s="4">
        <f t="shared" si="0"/>
        <v>34.164000000000001</v>
      </c>
      <c r="M14" s="4" t="b">
        <f t="shared" si="1"/>
        <v>1</v>
      </c>
    </row>
    <row r="15" spans="1:13" ht="20.100000000000001" customHeight="1" x14ac:dyDescent="0.25">
      <c r="A15" s="2" t="s">
        <v>30</v>
      </c>
      <c r="B15" s="2" t="s">
        <v>52</v>
      </c>
      <c r="C15" s="11">
        <v>10.039999999999999</v>
      </c>
      <c r="D15" s="4">
        <v>9.89</v>
      </c>
      <c r="E15" s="4">
        <v>10.130000000000001</v>
      </c>
      <c r="F15" s="5">
        <v>10.1</v>
      </c>
      <c r="G15" s="26">
        <v>-5.9405940594059901E-3</v>
      </c>
      <c r="H15" s="6" t="s">
        <v>927</v>
      </c>
      <c r="I15" s="5">
        <v>0</v>
      </c>
      <c r="J15" s="4" t="s">
        <v>39</v>
      </c>
      <c r="K15" s="4">
        <v>12.51</v>
      </c>
      <c r="L15" s="4">
        <f t="shared" si="0"/>
        <v>11.259</v>
      </c>
      <c r="M15" s="4" t="b">
        <f t="shared" si="1"/>
        <v>1</v>
      </c>
    </row>
    <row r="16" spans="1:13" ht="20.100000000000001" customHeight="1" x14ac:dyDescent="0.25">
      <c r="A16" s="2" t="s">
        <v>307</v>
      </c>
      <c r="B16" s="2" t="s">
        <v>308</v>
      </c>
      <c r="C16" s="20">
        <v>11.41</v>
      </c>
      <c r="D16" s="20">
        <v>11.37</v>
      </c>
      <c r="E16" s="20">
        <v>11.53</v>
      </c>
      <c r="F16" s="5">
        <v>11.54</v>
      </c>
      <c r="G16" s="26">
        <v>-1.1265164644713953E-2</v>
      </c>
      <c r="H16" s="6" t="s">
        <v>39</v>
      </c>
      <c r="I16" s="5" t="s">
        <v>39</v>
      </c>
      <c r="J16" s="4" t="s">
        <v>39</v>
      </c>
      <c r="K16" s="4">
        <v>10.83</v>
      </c>
      <c r="L16" s="4">
        <f t="shared" si="0"/>
        <v>9.7469999999999999</v>
      </c>
      <c r="M16" s="4" t="b">
        <f t="shared" si="1"/>
        <v>0</v>
      </c>
    </row>
    <row r="17" spans="1:13" ht="20.100000000000001" customHeight="1" x14ac:dyDescent="0.25">
      <c r="A17" s="1" t="s">
        <v>255</v>
      </c>
      <c r="B17" s="2" t="s">
        <v>256</v>
      </c>
      <c r="C17" s="20">
        <v>61.13</v>
      </c>
      <c r="D17" s="20">
        <v>60.57</v>
      </c>
      <c r="E17" s="20">
        <v>61.4</v>
      </c>
      <c r="F17" s="5">
        <v>60.95</v>
      </c>
      <c r="G17" s="26">
        <v>2.9532403609515948E-3</v>
      </c>
      <c r="H17" s="6" t="s">
        <v>747</v>
      </c>
      <c r="I17" s="5">
        <v>2.75</v>
      </c>
      <c r="J17" s="4">
        <v>77.38</v>
      </c>
      <c r="K17" s="4">
        <v>60.39</v>
      </c>
      <c r="L17" s="4">
        <f t="shared" si="0"/>
        <v>54.350999999999999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473</v>
      </c>
      <c r="B2" s="2" t="s">
        <v>475</v>
      </c>
      <c r="C2" s="4">
        <v>227.05</v>
      </c>
      <c r="D2" s="4">
        <v>226.69</v>
      </c>
      <c r="E2" s="4">
        <v>227.4</v>
      </c>
      <c r="F2" s="5">
        <v>226.53</v>
      </c>
      <c r="G2" s="6">
        <v>2.2955016995541882E-3</v>
      </c>
      <c r="H2" s="4" t="s">
        <v>39</v>
      </c>
      <c r="I2" s="5" t="s">
        <v>39</v>
      </c>
      <c r="J2" s="4" t="s">
        <v>39</v>
      </c>
      <c r="K2" s="4">
        <v>217.66</v>
      </c>
      <c r="L2" s="79">
        <f t="shared" ref="L2:L4" si="0">K2*0.89</f>
        <v>193.7174</v>
      </c>
      <c r="M2" s="80" t="b">
        <f t="shared" ref="M2:M4" si="1">L2&gt;C2</f>
        <v>0</v>
      </c>
    </row>
    <row r="3" spans="1:13" ht="20.100000000000001" customHeight="1" x14ac:dyDescent="0.25">
      <c r="A3" s="59" t="s">
        <v>474</v>
      </c>
      <c r="B3" s="2" t="s">
        <v>476</v>
      </c>
      <c r="C3" s="4">
        <v>49.03</v>
      </c>
      <c r="D3" s="4">
        <v>48.89</v>
      </c>
      <c r="E3" s="4">
        <v>49.08</v>
      </c>
      <c r="F3" s="5">
        <v>48.82</v>
      </c>
      <c r="G3" s="6">
        <v>4.3015157722245158E-3</v>
      </c>
      <c r="H3" s="4" t="s">
        <v>39</v>
      </c>
      <c r="I3" s="5" t="s">
        <v>39</v>
      </c>
      <c r="J3" s="4" t="s">
        <v>39</v>
      </c>
      <c r="K3" s="4">
        <v>47.63</v>
      </c>
      <c r="L3" s="4">
        <f t="shared" si="0"/>
        <v>42.390700000000002</v>
      </c>
      <c r="M3" s="4" t="b">
        <f t="shared" si="1"/>
        <v>0</v>
      </c>
    </row>
    <row r="4" spans="1:13" ht="20.100000000000001" customHeight="1" x14ac:dyDescent="0.25">
      <c r="A4" s="2" t="s">
        <v>478</v>
      </c>
      <c r="B4" s="2" t="s">
        <v>479</v>
      </c>
      <c r="C4" s="20">
        <v>37.24</v>
      </c>
      <c r="D4" s="20">
        <v>37.15</v>
      </c>
      <c r="E4" s="20">
        <v>37.29</v>
      </c>
      <c r="F4" s="5">
        <v>37.28</v>
      </c>
      <c r="G4" s="26">
        <v>-1.072961373390535E-3</v>
      </c>
      <c r="H4" s="6" t="s">
        <v>39</v>
      </c>
      <c r="I4" s="5" t="s">
        <v>39</v>
      </c>
      <c r="J4" s="4" t="s">
        <v>39</v>
      </c>
      <c r="K4" s="4">
        <v>36.880000000000003</v>
      </c>
      <c r="L4" s="4">
        <f t="shared" si="0"/>
        <v>32.8232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70</v>
      </c>
      <c r="B2" s="2" t="s">
        <v>280</v>
      </c>
      <c r="C2" s="4">
        <v>35.08</v>
      </c>
      <c r="D2" s="4">
        <v>34.89</v>
      </c>
      <c r="E2" s="4">
        <v>35.33</v>
      </c>
      <c r="F2" s="5">
        <v>35.11</v>
      </c>
      <c r="G2" s="6">
        <v>-8.5445741953862539E-4</v>
      </c>
      <c r="H2" s="4" t="s">
        <v>849</v>
      </c>
      <c r="I2" s="5">
        <v>3.85</v>
      </c>
      <c r="J2" s="5">
        <v>20.399999999999999</v>
      </c>
      <c r="K2" s="5">
        <v>37.93</v>
      </c>
      <c r="L2" s="89">
        <f t="shared" ref="L2:L9" si="0">K2*0.9</f>
        <v>34.137</v>
      </c>
      <c r="M2" s="90" t="b">
        <f t="shared" ref="M2:M9" si="1">L2&gt;C2</f>
        <v>0</v>
      </c>
    </row>
    <row r="3" spans="1:13" ht="20.100000000000001" customHeight="1" x14ac:dyDescent="0.25">
      <c r="A3" s="2" t="s">
        <v>83</v>
      </c>
      <c r="B3" s="2" t="s">
        <v>281</v>
      </c>
      <c r="C3" s="4">
        <v>6.76</v>
      </c>
      <c r="D3" s="4">
        <v>6.73</v>
      </c>
      <c r="E3" s="4">
        <v>7.02</v>
      </c>
      <c r="F3" s="5">
        <v>6.94</v>
      </c>
      <c r="G3" s="6">
        <v>-2.5936599423631211E-2</v>
      </c>
      <c r="H3" s="4" t="s">
        <v>928</v>
      </c>
      <c r="I3" s="5">
        <v>0</v>
      </c>
      <c r="J3" s="5" t="s">
        <v>39</v>
      </c>
      <c r="K3" s="5">
        <v>9.15</v>
      </c>
      <c r="L3" s="5">
        <f t="shared" si="0"/>
        <v>8.2350000000000012</v>
      </c>
      <c r="M3" s="5" t="b">
        <f t="shared" si="1"/>
        <v>1</v>
      </c>
    </row>
    <row r="4" spans="1:13" ht="20.100000000000001" customHeight="1" x14ac:dyDescent="0.25">
      <c r="A4" s="1" t="s">
        <v>69</v>
      </c>
      <c r="B4" s="2" t="s">
        <v>282</v>
      </c>
      <c r="C4" s="4">
        <v>18.100000000000001</v>
      </c>
      <c r="D4" s="4">
        <v>17.809999999999999</v>
      </c>
      <c r="E4" s="4">
        <v>18.43</v>
      </c>
      <c r="F4" s="5">
        <v>18.16</v>
      </c>
      <c r="G4" s="6">
        <v>-3.3039647577091805E-3</v>
      </c>
      <c r="H4" s="4" t="s">
        <v>929</v>
      </c>
      <c r="I4" s="5">
        <v>0</v>
      </c>
      <c r="J4" s="5">
        <v>18.149999999999999</v>
      </c>
      <c r="K4" s="5">
        <v>17.96</v>
      </c>
      <c r="L4" s="5">
        <f t="shared" si="0"/>
        <v>16.164000000000001</v>
      </c>
      <c r="M4" s="5" t="b">
        <f t="shared" si="1"/>
        <v>0</v>
      </c>
    </row>
    <row r="5" spans="1:13" ht="20.100000000000001" customHeight="1" x14ac:dyDescent="0.25">
      <c r="A5" s="1" t="s">
        <v>68</v>
      </c>
      <c r="B5" s="2" t="s">
        <v>283</v>
      </c>
      <c r="C5" s="4">
        <v>42.39</v>
      </c>
      <c r="D5" s="4">
        <v>42.29</v>
      </c>
      <c r="E5" s="4">
        <v>43.18</v>
      </c>
      <c r="F5" s="5">
        <v>42.65</v>
      </c>
      <c r="G5" s="6">
        <v>-6.0961313012895197E-3</v>
      </c>
      <c r="H5" s="4" t="s">
        <v>930</v>
      </c>
      <c r="I5" s="5" t="s">
        <v>39</v>
      </c>
      <c r="J5" s="5">
        <v>9.66</v>
      </c>
      <c r="K5" s="5">
        <v>48.28</v>
      </c>
      <c r="L5" s="5">
        <f t="shared" si="0"/>
        <v>43.452000000000005</v>
      </c>
      <c r="M5" s="5" t="b">
        <f t="shared" si="1"/>
        <v>1</v>
      </c>
    </row>
    <row r="6" spans="1:13" ht="20.100000000000001" customHeight="1" x14ac:dyDescent="0.25">
      <c r="A6" s="2" t="s">
        <v>71</v>
      </c>
      <c r="B6" s="2" t="s">
        <v>284</v>
      </c>
      <c r="C6" s="4">
        <v>86.32</v>
      </c>
      <c r="D6" s="4">
        <v>85.79</v>
      </c>
      <c r="E6" s="4">
        <v>87.36</v>
      </c>
      <c r="F6" s="5">
        <v>86.39</v>
      </c>
      <c r="G6" s="6">
        <v>-8.1027896747317264E-4</v>
      </c>
      <c r="H6" s="4" t="s">
        <v>931</v>
      </c>
      <c r="I6" s="5">
        <v>2.3199999999999998</v>
      </c>
      <c r="J6" s="5">
        <v>37.08</v>
      </c>
      <c r="K6" s="5">
        <v>100.16</v>
      </c>
      <c r="L6" s="5">
        <f t="shared" si="0"/>
        <v>90.144000000000005</v>
      </c>
      <c r="M6" s="5" t="b">
        <f t="shared" si="1"/>
        <v>1</v>
      </c>
    </row>
    <row r="7" spans="1:13" ht="20.100000000000001" customHeight="1" x14ac:dyDescent="0.25">
      <c r="A7" s="2" t="s">
        <v>320</v>
      </c>
      <c r="B7" s="19" t="s">
        <v>746</v>
      </c>
      <c r="C7" s="4">
        <v>19.670000000000002</v>
      </c>
      <c r="D7" s="4">
        <v>19.489999999999998</v>
      </c>
      <c r="E7" s="4">
        <v>19.77</v>
      </c>
      <c r="F7" s="5">
        <v>19.670000000000002</v>
      </c>
      <c r="G7" s="6">
        <v>0</v>
      </c>
      <c r="H7" s="6" t="s">
        <v>39</v>
      </c>
      <c r="I7" s="5">
        <v>2.4500000000000002</v>
      </c>
      <c r="J7" s="5" t="s">
        <v>39</v>
      </c>
      <c r="K7" s="5">
        <v>0</v>
      </c>
      <c r="L7" s="5">
        <f t="shared" si="0"/>
        <v>0</v>
      </c>
      <c r="M7" s="5" t="b">
        <f t="shared" si="1"/>
        <v>0</v>
      </c>
    </row>
    <row r="8" spans="1:13" ht="20.100000000000001" customHeight="1" x14ac:dyDescent="0.25">
      <c r="A8" s="81" t="s">
        <v>471</v>
      </c>
      <c r="B8" s="19" t="s">
        <v>472</v>
      </c>
      <c r="C8" s="4">
        <v>80.78</v>
      </c>
      <c r="D8" s="4">
        <v>79.959999999999994</v>
      </c>
      <c r="E8" s="4">
        <v>85.3</v>
      </c>
      <c r="F8" s="5">
        <v>84.36</v>
      </c>
      <c r="G8" s="6">
        <v>-4.2437174016121362E-2</v>
      </c>
      <c r="H8" s="6" t="s">
        <v>932</v>
      </c>
      <c r="I8" s="5">
        <v>1.29</v>
      </c>
      <c r="J8" s="5">
        <v>12.09</v>
      </c>
      <c r="K8" s="5">
        <v>86.14</v>
      </c>
      <c r="L8" s="5">
        <f t="shared" si="0"/>
        <v>77.525999999999996</v>
      </c>
      <c r="M8" s="5" t="b">
        <f t="shared" si="1"/>
        <v>0</v>
      </c>
    </row>
    <row r="9" spans="1:13" ht="15.75" x14ac:dyDescent="0.25">
      <c r="A9" s="2" t="s">
        <v>466</v>
      </c>
      <c r="B9" s="19" t="s">
        <v>469</v>
      </c>
      <c r="C9" s="4">
        <v>25.16</v>
      </c>
      <c r="D9" s="4">
        <v>24.78</v>
      </c>
      <c r="E9" s="4">
        <v>25.34</v>
      </c>
      <c r="F9" s="5">
        <v>25.16</v>
      </c>
      <c r="G9" s="6">
        <v>0</v>
      </c>
      <c r="H9" s="6" t="s">
        <v>850</v>
      </c>
      <c r="I9" s="5" t="s">
        <v>39</v>
      </c>
      <c r="J9" s="5">
        <v>12.24</v>
      </c>
      <c r="K9" s="5">
        <v>29.64</v>
      </c>
      <c r="L9" s="5">
        <f t="shared" si="0"/>
        <v>26.676000000000002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488</v>
      </c>
      <c r="B2" s="2" t="s">
        <v>495</v>
      </c>
      <c r="C2" s="4">
        <v>121.5</v>
      </c>
      <c r="D2" s="4">
        <v>121.1</v>
      </c>
      <c r="E2" s="4">
        <v>122.24</v>
      </c>
      <c r="F2" s="5">
        <v>122.1</v>
      </c>
      <c r="G2" s="6">
        <v>-4.9140049140048679E-3</v>
      </c>
      <c r="H2" s="4" t="s">
        <v>933</v>
      </c>
      <c r="I2" s="5">
        <v>3.09</v>
      </c>
      <c r="J2" s="5">
        <v>22.83</v>
      </c>
      <c r="K2" s="5">
        <v>118.09</v>
      </c>
      <c r="L2" s="89">
        <f t="shared" ref="L2:L10" si="0">K2*0.9</f>
        <v>106.28100000000001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489</v>
      </c>
      <c r="B3" s="2" t="s">
        <v>496</v>
      </c>
      <c r="C3" s="4">
        <v>410.75</v>
      </c>
      <c r="D3" s="4">
        <v>409.01</v>
      </c>
      <c r="E3" s="4">
        <v>413.95</v>
      </c>
      <c r="F3" s="5">
        <v>409.35</v>
      </c>
      <c r="G3" s="6">
        <v>3.4200561866372962E-3</v>
      </c>
      <c r="H3" s="4" t="s">
        <v>934</v>
      </c>
      <c r="I3" s="5" t="s">
        <v>39</v>
      </c>
      <c r="J3" s="5">
        <v>165.89</v>
      </c>
      <c r="K3" s="5">
        <v>402.56</v>
      </c>
      <c r="L3" s="5">
        <f t="shared" si="0"/>
        <v>362.30400000000003</v>
      </c>
      <c r="M3" s="5" t="b">
        <f t="shared" si="1"/>
        <v>0</v>
      </c>
    </row>
    <row r="4" spans="1:13" ht="20.100000000000001" customHeight="1" x14ac:dyDescent="0.25">
      <c r="A4" s="2" t="s">
        <v>490</v>
      </c>
      <c r="B4" s="2" t="s">
        <v>497</v>
      </c>
      <c r="C4" s="4">
        <v>107.93</v>
      </c>
      <c r="D4" s="4">
        <v>107.18</v>
      </c>
      <c r="E4" s="4">
        <v>109.47</v>
      </c>
      <c r="F4" s="5">
        <v>107.93</v>
      </c>
      <c r="G4" s="6">
        <v>0</v>
      </c>
      <c r="H4" s="4" t="s">
        <v>813</v>
      </c>
      <c r="I4" s="5">
        <v>1.48</v>
      </c>
      <c r="J4" s="5">
        <v>29.68</v>
      </c>
      <c r="K4" s="5">
        <v>97.99</v>
      </c>
      <c r="L4" s="5">
        <f t="shared" si="0"/>
        <v>88.191000000000003</v>
      </c>
      <c r="M4" s="5" t="b">
        <f t="shared" si="1"/>
        <v>0</v>
      </c>
    </row>
    <row r="5" spans="1:13" ht="20.100000000000001" customHeight="1" x14ac:dyDescent="0.25">
      <c r="A5" s="2" t="s">
        <v>491</v>
      </c>
      <c r="B5" s="2" t="s">
        <v>498</v>
      </c>
      <c r="C5" s="4">
        <v>64.66</v>
      </c>
      <c r="D5" s="4">
        <v>64.42</v>
      </c>
      <c r="E5" s="4">
        <v>64.89</v>
      </c>
      <c r="F5" s="5">
        <v>64.66</v>
      </c>
      <c r="G5" s="6">
        <v>0</v>
      </c>
      <c r="H5" s="4" t="s">
        <v>935</v>
      </c>
      <c r="I5" s="5">
        <v>2.68</v>
      </c>
      <c r="J5" s="5">
        <v>16.63</v>
      </c>
      <c r="K5" s="5">
        <v>63.38</v>
      </c>
      <c r="L5" s="5">
        <f t="shared" si="0"/>
        <v>57.042000000000002</v>
      </c>
      <c r="M5" s="5" t="b">
        <f t="shared" si="1"/>
        <v>0</v>
      </c>
    </row>
    <row r="6" spans="1:13" ht="20.100000000000001" customHeight="1" x14ac:dyDescent="0.25">
      <c r="A6" s="2" t="s">
        <v>492</v>
      </c>
      <c r="B6" s="2" t="s">
        <v>499</v>
      </c>
      <c r="C6" s="4">
        <v>13.89</v>
      </c>
      <c r="D6" s="4">
        <v>13.76</v>
      </c>
      <c r="E6" s="4">
        <v>14.01</v>
      </c>
      <c r="F6" s="5">
        <v>13.89</v>
      </c>
      <c r="G6" s="6">
        <v>0</v>
      </c>
      <c r="H6" s="4" t="s">
        <v>936</v>
      </c>
      <c r="I6" s="5">
        <v>1.87</v>
      </c>
      <c r="J6" s="5">
        <v>20.190000000000001</v>
      </c>
      <c r="K6" s="5">
        <v>11.05</v>
      </c>
      <c r="L6" s="5">
        <f t="shared" si="0"/>
        <v>9.9450000000000003</v>
      </c>
      <c r="M6" s="5" t="b">
        <f t="shared" si="1"/>
        <v>0</v>
      </c>
    </row>
    <row r="7" spans="1:13" ht="20.100000000000001" customHeight="1" x14ac:dyDescent="0.25">
      <c r="A7" s="2" t="s">
        <v>493</v>
      </c>
      <c r="B7" s="19" t="s">
        <v>500</v>
      </c>
      <c r="C7" s="4">
        <v>26.43</v>
      </c>
      <c r="D7" s="4">
        <v>25.99</v>
      </c>
      <c r="E7" s="4">
        <v>26.86</v>
      </c>
      <c r="F7" s="5">
        <v>26.43</v>
      </c>
      <c r="G7" s="6">
        <v>0</v>
      </c>
      <c r="H7" s="6" t="s">
        <v>871</v>
      </c>
      <c r="I7" s="5">
        <v>2.12</v>
      </c>
      <c r="J7" s="5">
        <v>19.77</v>
      </c>
      <c r="K7" s="5">
        <v>26.87</v>
      </c>
      <c r="L7" s="5">
        <f t="shared" si="0"/>
        <v>24.183</v>
      </c>
      <c r="M7" s="5" t="b">
        <f t="shared" si="1"/>
        <v>0</v>
      </c>
    </row>
    <row r="8" spans="1:13" ht="20.100000000000001" customHeight="1" x14ac:dyDescent="0.25">
      <c r="A8" s="2" t="s">
        <v>494</v>
      </c>
      <c r="B8" s="19" t="s">
        <v>501</v>
      </c>
      <c r="C8" s="4">
        <v>84.84</v>
      </c>
      <c r="D8" s="4">
        <v>84.28</v>
      </c>
      <c r="E8" s="4">
        <v>86.9</v>
      </c>
      <c r="F8" s="5">
        <v>84.84</v>
      </c>
      <c r="G8" s="6">
        <v>0</v>
      </c>
      <c r="H8" s="6" t="s">
        <v>937</v>
      </c>
      <c r="I8" s="5">
        <v>0.94</v>
      </c>
      <c r="J8" s="5">
        <v>34.17</v>
      </c>
      <c r="K8" s="5">
        <v>78.239999999999995</v>
      </c>
      <c r="L8" s="5">
        <f t="shared" si="0"/>
        <v>70.415999999999997</v>
      </c>
      <c r="M8" s="5" t="b">
        <f t="shared" si="1"/>
        <v>0</v>
      </c>
    </row>
    <row r="9" spans="1:13" ht="18" customHeight="1" x14ac:dyDescent="0.25">
      <c r="A9" s="2" t="s">
        <v>555</v>
      </c>
      <c r="B9" s="19" t="s">
        <v>556</v>
      </c>
      <c r="C9" s="4">
        <v>61.87</v>
      </c>
      <c r="D9" s="4">
        <v>61.17</v>
      </c>
      <c r="E9" s="4">
        <v>62.33</v>
      </c>
      <c r="F9" s="5">
        <v>61.87</v>
      </c>
      <c r="G9" s="6">
        <v>0</v>
      </c>
      <c r="H9" s="6" t="s">
        <v>938</v>
      </c>
      <c r="I9" s="5">
        <v>0</v>
      </c>
      <c r="J9" s="5">
        <v>31.63</v>
      </c>
      <c r="K9" s="5">
        <v>56.51</v>
      </c>
      <c r="L9" s="5">
        <f t="shared" si="0"/>
        <v>50.859000000000002</v>
      </c>
      <c r="M9" s="5" t="b">
        <f t="shared" si="1"/>
        <v>0</v>
      </c>
    </row>
    <row r="10" spans="1:13" ht="15.75" x14ac:dyDescent="0.25">
      <c r="A10" s="2" t="s">
        <v>557</v>
      </c>
      <c r="B10" s="19" t="s">
        <v>558</v>
      </c>
      <c r="C10" s="4">
        <v>150.05000000000001</v>
      </c>
      <c r="D10" s="4">
        <v>149.35</v>
      </c>
      <c r="E10" s="4">
        <v>154</v>
      </c>
      <c r="F10" s="5">
        <v>150.05000000000001</v>
      </c>
      <c r="G10" s="6">
        <v>0</v>
      </c>
      <c r="H10" s="6" t="s">
        <v>939</v>
      </c>
      <c r="I10" s="5" t="s">
        <v>39</v>
      </c>
      <c r="J10" s="5">
        <v>27</v>
      </c>
      <c r="K10" s="5">
        <v>154.58000000000001</v>
      </c>
      <c r="L10" s="5">
        <f t="shared" si="0"/>
        <v>139.12200000000001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J15" sqref="J15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61" t="s">
        <v>180</v>
      </c>
      <c r="B2" s="61" t="s">
        <v>187</v>
      </c>
      <c r="C2" s="62">
        <v>23.01</v>
      </c>
      <c r="D2" s="62">
        <v>22.8</v>
      </c>
      <c r="E2" s="62">
        <v>23.41</v>
      </c>
      <c r="F2" s="63">
        <v>22.92</v>
      </c>
      <c r="G2" s="64">
        <v>3.926701570680622E-3</v>
      </c>
      <c r="H2" s="62" t="s">
        <v>940</v>
      </c>
      <c r="I2" s="63">
        <v>1.3</v>
      </c>
      <c r="J2" s="63">
        <v>15.34</v>
      </c>
      <c r="K2" s="63">
        <v>17.34</v>
      </c>
      <c r="L2" s="89">
        <f t="shared" ref="L2:L19" si="0">K2*0.9</f>
        <v>15.606</v>
      </c>
      <c r="M2" s="90" t="b">
        <f t="shared" ref="M2:M19" si="1">L2&gt;C2</f>
        <v>0</v>
      </c>
    </row>
    <row r="3" spans="1:13" ht="20.100000000000001" customHeight="1" x14ac:dyDescent="0.25">
      <c r="A3" s="61" t="s">
        <v>275</v>
      </c>
      <c r="B3" s="65" t="s">
        <v>276</v>
      </c>
      <c r="C3" s="62">
        <v>47.74</v>
      </c>
      <c r="D3" s="62">
        <v>47.54</v>
      </c>
      <c r="E3" s="62">
        <v>48.16</v>
      </c>
      <c r="F3" s="63">
        <v>47.46</v>
      </c>
      <c r="G3" s="64">
        <v>5.8997050147492867E-3</v>
      </c>
      <c r="H3" s="64" t="s">
        <v>941</v>
      </c>
      <c r="I3" s="63">
        <v>1.59</v>
      </c>
      <c r="J3" s="63">
        <v>16.16</v>
      </c>
      <c r="K3" s="63">
        <v>42.75</v>
      </c>
      <c r="L3" s="5">
        <f t="shared" si="0"/>
        <v>38.475000000000001</v>
      </c>
      <c r="M3" s="5" t="b">
        <f t="shared" si="1"/>
        <v>0</v>
      </c>
    </row>
    <row r="4" spans="1:13" ht="20.100000000000001" customHeight="1" x14ac:dyDescent="0.25">
      <c r="A4" s="66" t="s">
        <v>234</v>
      </c>
      <c r="B4" s="65" t="s">
        <v>235</v>
      </c>
      <c r="C4" s="62">
        <v>379.35</v>
      </c>
      <c r="D4" s="62">
        <v>375.95</v>
      </c>
      <c r="E4" s="62">
        <v>386.95</v>
      </c>
      <c r="F4" s="63">
        <v>378.29</v>
      </c>
      <c r="G4" s="64">
        <v>2.8020830579714036E-3</v>
      </c>
      <c r="H4" s="64" t="s">
        <v>942</v>
      </c>
      <c r="I4" s="63">
        <v>2.41</v>
      </c>
      <c r="J4" s="63">
        <v>19.920000000000002</v>
      </c>
      <c r="K4" s="63">
        <v>365.71</v>
      </c>
      <c r="L4" s="5">
        <f t="shared" si="0"/>
        <v>329.13900000000001</v>
      </c>
      <c r="M4" s="5" t="b">
        <f t="shared" si="1"/>
        <v>0</v>
      </c>
    </row>
    <row r="5" spans="1:13" ht="20.100000000000001" customHeight="1" x14ac:dyDescent="0.25">
      <c r="A5" s="61" t="s">
        <v>181</v>
      </c>
      <c r="B5" s="61" t="s">
        <v>188</v>
      </c>
      <c r="C5" s="62">
        <v>59.63</v>
      </c>
      <c r="D5" s="62">
        <v>59.38</v>
      </c>
      <c r="E5" s="62">
        <v>60.32</v>
      </c>
      <c r="F5" s="63">
        <v>59.23</v>
      </c>
      <c r="G5" s="64">
        <v>6.7533344588891729E-3</v>
      </c>
      <c r="H5" s="62" t="s">
        <v>943</v>
      </c>
      <c r="I5" s="63">
        <v>1.07</v>
      </c>
      <c r="J5" s="63">
        <v>12.97</v>
      </c>
      <c r="K5" s="63">
        <v>50.2</v>
      </c>
      <c r="L5" s="5">
        <f t="shared" si="0"/>
        <v>45.180000000000007</v>
      </c>
      <c r="M5" s="5" t="b">
        <f t="shared" si="1"/>
        <v>0</v>
      </c>
    </row>
    <row r="6" spans="1:13" ht="20.100000000000001" customHeight="1" x14ac:dyDescent="0.25">
      <c r="A6" s="61" t="s">
        <v>185</v>
      </c>
      <c r="B6" s="61" t="s">
        <v>192</v>
      </c>
      <c r="C6" s="62">
        <v>88.85</v>
      </c>
      <c r="D6" s="62">
        <v>88.42</v>
      </c>
      <c r="E6" s="62">
        <v>89.74</v>
      </c>
      <c r="F6" s="63">
        <v>87.89</v>
      </c>
      <c r="G6" s="64">
        <v>1.0922744339515232E-2</v>
      </c>
      <c r="H6" s="62" t="s">
        <v>944</v>
      </c>
      <c r="I6" s="63">
        <v>1.8</v>
      </c>
      <c r="J6" s="63">
        <v>12.7</v>
      </c>
      <c r="K6" s="63">
        <v>75.239999999999995</v>
      </c>
      <c r="L6" s="5">
        <f t="shared" si="0"/>
        <v>67.715999999999994</v>
      </c>
      <c r="M6" s="5" t="b">
        <f t="shared" si="1"/>
        <v>0</v>
      </c>
    </row>
    <row r="7" spans="1:13" ht="20.100000000000001" customHeight="1" x14ac:dyDescent="0.25">
      <c r="A7" s="61" t="s">
        <v>194</v>
      </c>
      <c r="B7" s="65" t="s">
        <v>197</v>
      </c>
      <c r="C7" s="62">
        <v>15.86</v>
      </c>
      <c r="D7" s="62">
        <v>15.78</v>
      </c>
      <c r="E7" s="62">
        <v>16.170000000000002</v>
      </c>
      <c r="F7" s="63">
        <v>15.62</v>
      </c>
      <c r="G7" s="64">
        <v>1.5364916773367493E-2</v>
      </c>
      <c r="H7" s="64" t="s">
        <v>945</v>
      </c>
      <c r="I7" s="63">
        <v>4.54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195</v>
      </c>
      <c r="B8" s="65" t="s">
        <v>198</v>
      </c>
      <c r="C8" s="62">
        <v>19.18</v>
      </c>
      <c r="D8" s="62">
        <v>19.04</v>
      </c>
      <c r="E8" s="62">
        <v>19.399999999999999</v>
      </c>
      <c r="F8" s="63">
        <v>18.72</v>
      </c>
      <c r="G8" s="64">
        <v>2.4572649572649621E-2</v>
      </c>
      <c r="H8" s="64" t="s">
        <v>946</v>
      </c>
      <c r="I8" s="63">
        <v>0</v>
      </c>
      <c r="J8" s="63" t="s">
        <v>39</v>
      </c>
      <c r="K8" s="63">
        <v>15.01</v>
      </c>
      <c r="L8" s="5">
        <f t="shared" si="0"/>
        <v>13.509</v>
      </c>
      <c r="M8" s="5" t="b">
        <f t="shared" si="1"/>
        <v>0</v>
      </c>
    </row>
    <row r="9" spans="1:13" ht="20.100000000000001" customHeight="1" x14ac:dyDescent="0.25">
      <c r="A9" s="61" t="s">
        <v>179</v>
      </c>
      <c r="B9" s="61" t="s">
        <v>186</v>
      </c>
      <c r="C9" s="62">
        <v>244.3</v>
      </c>
      <c r="D9" s="62">
        <v>242.91</v>
      </c>
      <c r="E9" s="62">
        <v>247.77</v>
      </c>
      <c r="F9" s="63">
        <v>243.84</v>
      </c>
      <c r="G9" s="64">
        <v>1.8864829396325786E-3</v>
      </c>
      <c r="H9" s="62" t="s">
        <v>947</v>
      </c>
      <c r="I9" s="63">
        <v>1.06</v>
      </c>
      <c r="J9" s="63">
        <v>19.61</v>
      </c>
      <c r="K9" s="63">
        <v>185.78</v>
      </c>
      <c r="L9" s="5">
        <f t="shared" si="0"/>
        <v>167.202</v>
      </c>
      <c r="M9" s="5" t="b">
        <f t="shared" si="1"/>
        <v>0</v>
      </c>
    </row>
    <row r="10" spans="1:13" ht="20.100000000000001" customHeight="1" x14ac:dyDescent="0.25">
      <c r="A10" s="61" t="s">
        <v>183</v>
      </c>
      <c r="B10" s="61" t="s">
        <v>190</v>
      </c>
      <c r="C10" s="62">
        <v>86.7</v>
      </c>
      <c r="D10" s="62">
        <v>86.1</v>
      </c>
      <c r="E10" s="62">
        <v>88.17</v>
      </c>
      <c r="F10" s="63">
        <v>86.24</v>
      </c>
      <c r="G10" s="64">
        <v>5.3339517625232841E-3</v>
      </c>
      <c r="H10" s="62" t="s">
        <v>948</v>
      </c>
      <c r="I10" s="63">
        <v>2.21</v>
      </c>
      <c r="J10" s="63">
        <v>14.01</v>
      </c>
      <c r="K10" s="63">
        <v>71.739999999999995</v>
      </c>
      <c r="L10" s="5">
        <f t="shared" si="0"/>
        <v>64.566000000000003</v>
      </c>
      <c r="M10" s="5" t="b">
        <f t="shared" si="1"/>
        <v>0</v>
      </c>
    </row>
    <row r="11" spans="1:13" ht="20.100000000000001" customHeight="1" x14ac:dyDescent="0.25">
      <c r="A11" s="61" t="s">
        <v>677</v>
      </c>
      <c r="B11" s="65" t="s">
        <v>678</v>
      </c>
      <c r="C11" s="62">
        <v>55.97</v>
      </c>
      <c r="D11" s="62">
        <v>55.72</v>
      </c>
      <c r="E11" s="62">
        <v>56.97</v>
      </c>
      <c r="F11" s="63">
        <v>55.49</v>
      </c>
      <c r="G11" s="64">
        <v>8.6502072445485099E-3</v>
      </c>
      <c r="H11" s="64" t="s">
        <v>949</v>
      </c>
      <c r="I11" s="63">
        <v>1.86</v>
      </c>
      <c r="J11" s="63">
        <v>15.5</v>
      </c>
      <c r="K11" s="63">
        <v>46.83</v>
      </c>
      <c r="L11" s="5">
        <f>K11*0.9</f>
        <v>42.146999999999998</v>
      </c>
      <c r="M11" s="5" t="b">
        <f>L11&gt;C11</f>
        <v>0</v>
      </c>
    </row>
    <row r="12" spans="1:13" ht="20.100000000000001" customHeight="1" x14ac:dyDescent="0.25">
      <c r="A12" s="61" t="s">
        <v>182</v>
      </c>
      <c r="B12" s="61" t="s">
        <v>189</v>
      </c>
      <c r="C12" s="62">
        <v>43.81</v>
      </c>
      <c r="D12" s="62">
        <v>43.49</v>
      </c>
      <c r="E12" s="62">
        <v>44.6</v>
      </c>
      <c r="F12" s="63">
        <v>43.63</v>
      </c>
      <c r="G12" s="64">
        <v>4.1256016502406534E-3</v>
      </c>
      <c r="H12" s="62" t="s">
        <v>950</v>
      </c>
      <c r="I12" s="63">
        <v>1.83</v>
      </c>
      <c r="J12" s="63">
        <v>17.61</v>
      </c>
      <c r="K12" s="63">
        <v>34.229999999999997</v>
      </c>
      <c r="L12" s="5">
        <f t="shared" si="0"/>
        <v>30.806999999999999</v>
      </c>
      <c r="M12" s="5" t="b">
        <f t="shared" si="1"/>
        <v>0</v>
      </c>
    </row>
    <row r="13" spans="1:13" ht="20.100000000000001" customHeight="1" x14ac:dyDescent="0.25">
      <c r="A13" s="61" t="s">
        <v>193</v>
      </c>
      <c r="B13" s="65" t="s">
        <v>196</v>
      </c>
      <c r="C13" s="62">
        <v>17.059999999999999</v>
      </c>
      <c r="D13" s="62">
        <v>17</v>
      </c>
      <c r="E13" s="62">
        <v>17.190000000000001</v>
      </c>
      <c r="F13" s="63">
        <v>16.670000000000002</v>
      </c>
      <c r="G13" s="64">
        <v>2.3395320935812657E-2</v>
      </c>
      <c r="H13" s="64" t="s">
        <v>951</v>
      </c>
      <c r="I13" s="63">
        <v>5.15</v>
      </c>
      <c r="J13" s="63">
        <v>18.98</v>
      </c>
      <c r="K13" s="63">
        <v>14.45</v>
      </c>
      <c r="L13" s="5">
        <f t="shared" si="0"/>
        <v>13.004999999999999</v>
      </c>
      <c r="M13" s="5" t="b">
        <f t="shared" si="1"/>
        <v>0</v>
      </c>
    </row>
    <row r="14" spans="1:13" ht="20.100000000000001" customHeight="1" x14ac:dyDescent="0.25">
      <c r="A14" s="61" t="s">
        <v>274</v>
      </c>
      <c r="B14" s="65" t="s">
        <v>277</v>
      </c>
      <c r="C14" s="62">
        <v>51.69</v>
      </c>
      <c r="D14" s="62">
        <v>51.49</v>
      </c>
      <c r="E14" s="62">
        <v>52.14</v>
      </c>
      <c r="F14" s="63">
        <v>51.43</v>
      </c>
      <c r="G14" s="64">
        <v>5.0554151273575348E-3</v>
      </c>
      <c r="H14" s="64" t="s">
        <v>952</v>
      </c>
      <c r="I14" s="63">
        <v>2.17</v>
      </c>
      <c r="J14" s="63">
        <v>16</v>
      </c>
      <c r="K14" s="63">
        <v>45.42</v>
      </c>
      <c r="L14" s="5">
        <f t="shared" si="0"/>
        <v>40.878</v>
      </c>
      <c r="M14" s="5" t="b">
        <f t="shared" si="1"/>
        <v>0</v>
      </c>
    </row>
    <row r="15" spans="1:13" ht="20.100000000000001" customHeight="1" x14ac:dyDescent="0.25">
      <c r="A15" s="67" t="s">
        <v>184</v>
      </c>
      <c r="B15" s="61" t="s">
        <v>191</v>
      </c>
      <c r="C15" s="62">
        <v>55.31</v>
      </c>
      <c r="D15" s="62">
        <v>54.65</v>
      </c>
      <c r="E15" s="62">
        <v>56.2</v>
      </c>
      <c r="F15" s="63">
        <v>54.5</v>
      </c>
      <c r="G15" s="64">
        <v>1.4862385321100959E-2</v>
      </c>
      <c r="H15" s="62" t="s">
        <v>953</v>
      </c>
      <c r="I15" s="63">
        <v>2.79</v>
      </c>
      <c r="J15" s="63">
        <v>13.86</v>
      </c>
      <c r="K15" s="63">
        <v>49.4</v>
      </c>
      <c r="L15" s="5">
        <f t="shared" si="0"/>
        <v>44.46</v>
      </c>
      <c r="M15" s="5" t="b">
        <f t="shared" si="1"/>
        <v>0</v>
      </c>
    </row>
    <row r="16" spans="1:13" ht="20.100000000000001" customHeight="1" x14ac:dyDescent="0.25">
      <c r="A16" s="52" t="s">
        <v>439</v>
      </c>
      <c r="B16" s="52" t="s">
        <v>442</v>
      </c>
      <c r="C16" s="53">
        <v>81.17</v>
      </c>
      <c r="D16" s="53">
        <v>80.790000000000006</v>
      </c>
      <c r="E16" s="53">
        <v>81.849999999999994</v>
      </c>
      <c r="F16" s="54">
        <v>81.37</v>
      </c>
      <c r="G16" s="55">
        <v>-2.4579083200196982E-3</v>
      </c>
      <c r="H16" s="53" t="s">
        <v>954</v>
      </c>
      <c r="I16" s="54">
        <v>0.81</v>
      </c>
      <c r="J16" s="53">
        <v>32.07</v>
      </c>
      <c r="K16" s="53">
        <v>80.180000000000007</v>
      </c>
      <c r="L16" s="5">
        <f t="shared" si="0"/>
        <v>72.162000000000006</v>
      </c>
      <c r="M16" s="5" t="b">
        <f t="shared" si="1"/>
        <v>0</v>
      </c>
    </row>
    <row r="17" spans="1:13" ht="20.100000000000001" customHeight="1" x14ac:dyDescent="0.25">
      <c r="A17" s="52" t="s">
        <v>440</v>
      </c>
      <c r="B17" s="52" t="s">
        <v>443</v>
      </c>
      <c r="C17" s="53">
        <v>108.7</v>
      </c>
      <c r="D17" s="53">
        <v>108.53</v>
      </c>
      <c r="E17" s="53">
        <v>109.4</v>
      </c>
      <c r="F17" s="54">
        <v>108.71</v>
      </c>
      <c r="G17" s="55">
        <v>-9.1987857602712775E-5</v>
      </c>
      <c r="H17" s="53" t="s">
        <v>955</v>
      </c>
      <c r="I17" s="54">
        <v>0.81</v>
      </c>
      <c r="J17" s="53">
        <v>30.05</v>
      </c>
      <c r="K17" s="53">
        <v>100.18</v>
      </c>
      <c r="L17" s="5">
        <f t="shared" si="0"/>
        <v>90.162000000000006</v>
      </c>
      <c r="M17" s="5" t="b">
        <f t="shared" si="1"/>
        <v>0</v>
      </c>
    </row>
    <row r="18" spans="1:13" ht="20.100000000000001" customHeight="1" x14ac:dyDescent="0.25">
      <c r="A18" s="60" t="s">
        <v>441</v>
      </c>
      <c r="B18" s="52" t="s">
        <v>444</v>
      </c>
      <c r="C18" s="56">
        <v>76.62</v>
      </c>
      <c r="D18" s="53">
        <v>76.41</v>
      </c>
      <c r="E18" s="53">
        <v>77.63</v>
      </c>
      <c r="F18" s="54">
        <v>76.88</v>
      </c>
      <c r="G18" s="57">
        <v>-3.3818938605617967E-3</v>
      </c>
      <c r="H18" s="55" t="s">
        <v>956</v>
      </c>
      <c r="I18" s="54">
        <v>1.67</v>
      </c>
      <c r="J18" s="53">
        <v>13.61</v>
      </c>
      <c r="K18" s="53">
        <v>67.34</v>
      </c>
      <c r="L18" s="5">
        <f t="shared" si="0"/>
        <v>60.606000000000002</v>
      </c>
      <c r="M18" s="5" t="b">
        <f t="shared" si="1"/>
        <v>0</v>
      </c>
    </row>
    <row r="19" spans="1:13" ht="20.100000000000001" customHeight="1" x14ac:dyDescent="0.25">
      <c r="A19" s="52" t="s">
        <v>445</v>
      </c>
      <c r="B19" s="52" t="s">
        <v>446</v>
      </c>
      <c r="C19" s="58">
        <v>71.66</v>
      </c>
      <c r="D19" s="58">
        <v>71.39</v>
      </c>
      <c r="E19" s="58">
        <v>72.84</v>
      </c>
      <c r="F19" s="54">
        <v>71.31</v>
      </c>
      <c r="G19" s="57">
        <v>4.9081475248912397E-3</v>
      </c>
      <c r="H19" s="55" t="s">
        <v>957</v>
      </c>
      <c r="I19" s="54">
        <v>1.67</v>
      </c>
      <c r="J19" s="53">
        <v>13.04</v>
      </c>
      <c r="K19" s="53">
        <v>60.99</v>
      </c>
      <c r="L19" s="5">
        <f t="shared" si="0"/>
        <v>54.891000000000005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3" t="s">
        <v>222</v>
      </c>
      <c r="B2" s="2" t="s">
        <v>229</v>
      </c>
      <c r="C2" s="4">
        <v>43.56</v>
      </c>
      <c r="D2" s="4">
        <v>43.33</v>
      </c>
      <c r="E2" s="4">
        <v>43.78</v>
      </c>
      <c r="F2" s="5">
        <v>43.44</v>
      </c>
      <c r="G2" s="6">
        <v>2.7624309392266242E-3</v>
      </c>
      <c r="H2" s="4" t="s">
        <v>958</v>
      </c>
      <c r="I2" s="5">
        <v>2.75</v>
      </c>
      <c r="J2" s="5">
        <v>16.46</v>
      </c>
      <c r="K2" s="5">
        <v>43.77</v>
      </c>
      <c r="L2" s="89">
        <f t="shared" ref="L2:L10" si="0">K2*0.9</f>
        <v>39.393000000000001</v>
      </c>
      <c r="M2" s="90" t="b">
        <f t="shared" ref="M2:M10" si="1">L2&gt;C2</f>
        <v>0</v>
      </c>
    </row>
    <row r="3" spans="1:13" ht="20.100000000000001" customHeight="1" x14ac:dyDescent="0.25">
      <c r="A3" s="23" t="s">
        <v>224</v>
      </c>
      <c r="B3" s="2" t="s">
        <v>959</v>
      </c>
      <c r="C3" s="4">
        <v>38.51</v>
      </c>
      <c r="D3" s="4">
        <v>38.39</v>
      </c>
      <c r="E3" s="4">
        <v>38.81</v>
      </c>
      <c r="F3" s="5">
        <v>38.51</v>
      </c>
      <c r="G3" s="6">
        <v>0</v>
      </c>
      <c r="H3" s="4" t="s">
        <v>960</v>
      </c>
      <c r="I3" s="5">
        <v>2.08</v>
      </c>
      <c r="J3" s="5">
        <v>27.16</v>
      </c>
      <c r="K3" s="5">
        <v>36.770000000000003</v>
      </c>
      <c r="L3" s="5">
        <f t="shared" si="0"/>
        <v>33.093000000000004</v>
      </c>
      <c r="M3" s="5" t="b">
        <f t="shared" si="1"/>
        <v>0</v>
      </c>
    </row>
    <row r="4" spans="1:13" ht="20.100000000000001" customHeight="1" x14ac:dyDescent="0.25">
      <c r="A4" s="23" t="s">
        <v>225</v>
      </c>
      <c r="B4" s="2" t="s">
        <v>231</v>
      </c>
      <c r="C4" s="4">
        <v>61.72</v>
      </c>
      <c r="D4" s="4">
        <v>61.05</v>
      </c>
      <c r="E4" s="4">
        <v>61.81</v>
      </c>
      <c r="F4" s="5">
        <v>61.57</v>
      </c>
      <c r="G4" s="6">
        <v>2.4362514211466392E-3</v>
      </c>
      <c r="H4" s="4" t="s">
        <v>961</v>
      </c>
      <c r="I4" s="5">
        <v>2.27</v>
      </c>
      <c r="J4" s="5">
        <v>29</v>
      </c>
      <c r="K4" s="5">
        <v>58.47</v>
      </c>
      <c r="L4" s="5">
        <f t="shared" si="0"/>
        <v>52.622999999999998</v>
      </c>
      <c r="M4" s="5" t="b">
        <f t="shared" si="1"/>
        <v>0</v>
      </c>
    </row>
    <row r="5" spans="1:13" ht="20.100000000000001" customHeight="1" x14ac:dyDescent="0.25">
      <c r="A5" s="23" t="s">
        <v>221</v>
      </c>
      <c r="B5" s="2" t="s">
        <v>228</v>
      </c>
      <c r="C5" s="4">
        <v>61.08</v>
      </c>
      <c r="D5" s="4">
        <v>60.92</v>
      </c>
      <c r="E5" s="4">
        <v>61.47</v>
      </c>
      <c r="F5" s="5">
        <v>61.27</v>
      </c>
      <c r="G5" s="6">
        <v>-3.1010282356782248E-3</v>
      </c>
      <c r="H5" s="4" t="s">
        <v>962</v>
      </c>
      <c r="I5" s="5">
        <v>3.14</v>
      </c>
      <c r="J5" s="5">
        <v>22.81</v>
      </c>
      <c r="K5" s="5">
        <v>65.5</v>
      </c>
      <c r="L5" s="5">
        <f t="shared" si="0"/>
        <v>58.95</v>
      </c>
      <c r="M5" s="5" t="b">
        <f t="shared" si="1"/>
        <v>0</v>
      </c>
    </row>
    <row r="6" spans="1:13" ht="20.100000000000001" customHeight="1" x14ac:dyDescent="0.25">
      <c r="A6" s="23" t="s">
        <v>223</v>
      </c>
      <c r="B6" s="2" t="s">
        <v>230</v>
      </c>
      <c r="C6" s="4">
        <v>71.38</v>
      </c>
      <c r="D6" s="4">
        <v>71.05</v>
      </c>
      <c r="E6" s="4">
        <v>71.900000000000006</v>
      </c>
      <c r="F6" s="5">
        <v>71.92</v>
      </c>
      <c r="G6" s="6">
        <v>-7.5083426028921887E-3</v>
      </c>
      <c r="H6" s="4" t="s">
        <v>963</v>
      </c>
      <c r="I6" s="5">
        <v>2.91</v>
      </c>
      <c r="J6" s="5">
        <v>35.92</v>
      </c>
      <c r="K6" s="5">
        <v>77.47</v>
      </c>
      <c r="L6" s="5">
        <f t="shared" si="0"/>
        <v>69.722999999999999</v>
      </c>
      <c r="M6" s="5" t="b">
        <f t="shared" si="1"/>
        <v>0</v>
      </c>
    </row>
    <row r="7" spans="1:13" ht="20.100000000000001" customHeight="1" x14ac:dyDescent="0.25">
      <c r="A7" s="23" t="s">
        <v>219</v>
      </c>
      <c r="B7" s="2" t="s">
        <v>347</v>
      </c>
      <c r="C7" s="4">
        <v>87.03</v>
      </c>
      <c r="D7" s="4">
        <v>86.58</v>
      </c>
      <c r="E7" s="4">
        <v>87.43</v>
      </c>
      <c r="F7" s="5">
        <v>87.03</v>
      </c>
      <c r="G7" s="6">
        <v>0</v>
      </c>
      <c r="H7" s="4" t="s">
        <v>964</v>
      </c>
      <c r="I7" s="5">
        <v>2.76</v>
      </c>
      <c r="J7" s="5">
        <v>38.31</v>
      </c>
      <c r="K7" s="5">
        <v>86.93</v>
      </c>
      <c r="L7" s="5">
        <f t="shared" si="0"/>
        <v>78.237000000000009</v>
      </c>
      <c r="M7" s="5" t="b">
        <f t="shared" si="1"/>
        <v>0</v>
      </c>
    </row>
    <row r="8" spans="1:13" ht="20.100000000000001" customHeight="1" x14ac:dyDescent="0.25">
      <c r="A8" s="23" t="s">
        <v>220</v>
      </c>
      <c r="B8" s="2" t="s">
        <v>227</v>
      </c>
      <c r="C8" s="4">
        <v>44.6</v>
      </c>
      <c r="D8" s="4">
        <v>44.41</v>
      </c>
      <c r="E8" s="4">
        <v>45.17</v>
      </c>
      <c r="F8" s="5">
        <v>44.6</v>
      </c>
      <c r="G8" s="6">
        <v>0</v>
      </c>
      <c r="H8" s="4" t="s">
        <v>965</v>
      </c>
      <c r="I8" s="5">
        <v>1.7</v>
      </c>
      <c r="J8" s="5">
        <v>85.11</v>
      </c>
      <c r="K8" s="5">
        <v>43.57</v>
      </c>
      <c r="L8" s="5">
        <f t="shared" si="0"/>
        <v>39.213000000000001</v>
      </c>
      <c r="M8" s="5" t="b">
        <f t="shared" si="1"/>
        <v>0</v>
      </c>
    </row>
    <row r="9" spans="1:13" ht="20.100000000000001" customHeight="1" x14ac:dyDescent="0.25">
      <c r="A9" s="23" t="s">
        <v>559</v>
      </c>
      <c r="B9" s="19" t="s">
        <v>560</v>
      </c>
      <c r="C9" s="4">
        <v>104.85</v>
      </c>
      <c r="D9" s="4">
        <v>104.35</v>
      </c>
      <c r="E9" s="4">
        <v>105.24</v>
      </c>
      <c r="F9" s="5">
        <v>104.68</v>
      </c>
      <c r="G9" s="6">
        <v>1.6239969430644583E-3</v>
      </c>
      <c r="H9" s="6" t="s">
        <v>966</v>
      </c>
      <c r="I9" s="5">
        <v>2.36</v>
      </c>
      <c r="J9" s="5">
        <v>27.77</v>
      </c>
      <c r="K9" s="5">
        <v>102.43</v>
      </c>
      <c r="L9" s="5">
        <f>K9*0.9</f>
        <v>92.187000000000012</v>
      </c>
      <c r="M9" s="5" t="b">
        <f>L9&gt;C9</f>
        <v>0</v>
      </c>
    </row>
    <row r="10" spans="1:13" ht="20.100000000000001" customHeight="1" x14ac:dyDescent="0.25">
      <c r="A10" s="23" t="s">
        <v>226</v>
      </c>
      <c r="B10" s="19" t="s">
        <v>232</v>
      </c>
      <c r="C10" s="4">
        <v>70.39</v>
      </c>
      <c r="D10" s="4">
        <v>70.13</v>
      </c>
      <c r="E10" s="4">
        <v>70.989999999999995</v>
      </c>
      <c r="F10" s="5">
        <v>70.59</v>
      </c>
      <c r="G10" s="6">
        <v>-2.8332625017708293E-3</v>
      </c>
      <c r="H10" s="6" t="s">
        <v>967</v>
      </c>
      <c r="I10" s="5">
        <v>2.34</v>
      </c>
      <c r="J10" s="5">
        <v>26.16</v>
      </c>
      <c r="K10" s="5">
        <v>79.569999999999993</v>
      </c>
      <c r="L10" s="5">
        <f t="shared" si="0"/>
        <v>71.613</v>
      </c>
      <c r="M10" s="5" t="b">
        <f t="shared" si="1"/>
        <v>1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3" t="s">
        <v>643</v>
      </c>
      <c r="B2" s="2" t="s">
        <v>650</v>
      </c>
      <c r="C2" s="4">
        <v>38.950000000000003</v>
      </c>
      <c r="D2" s="4">
        <v>38.590000000000003</v>
      </c>
      <c r="E2" s="4">
        <v>39.36</v>
      </c>
      <c r="F2" s="5">
        <v>38.950000000000003</v>
      </c>
      <c r="G2" s="6">
        <v>0</v>
      </c>
      <c r="H2" s="4" t="s">
        <v>968</v>
      </c>
      <c r="I2" s="5">
        <v>0.67</v>
      </c>
      <c r="J2" s="5">
        <v>33.81</v>
      </c>
      <c r="K2" s="5">
        <v>40.67</v>
      </c>
      <c r="L2" s="89">
        <f t="shared" ref="L2:L7" si="0">K2*0.9</f>
        <v>36.603000000000002</v>
      </c>
      <c r="M2" s="90" t="b">
        <f t="shared" ref="M2:M7" si="1">L2&gt;C2</f>
        <v>0</v>
      </c>
    </row>
    <row r="3" spans="1:13" ht="20.100000000000001" customHeight="1" x14ac:dyDescent="0.25">
      <c r="A3" s="23" t="s">
        <v>644</v>
      </c>
      <c r="B3" s="2" t="s">
        <v>651</v>
      </c>
      <c r="C3" s="4">
        <v>80.349999999999994</v>
      </c>
      <c r="D3" s="4">
        <v>79.13</v>
      </c>
      <c r="E3" s="4">
        <v>81.260000000000005</v>
      </c>
      <c r="F3" s="5">
        <v>80.349999999999994</v>
      </c>
      <c r="G3" s="6">
        <v>0</v>
      </c>
      <c r="H3" s="4" t="s">
        <v>969</v>
      </c>
      <c r="I3" s="5" t="s">
        <v>39</v>
      </c>
      <c r="J3" s="5">
        <v>20.48</v>
      </c>
      <c r="K3" s="5">
        <v>79.84</v>
      </c>
      <c r="L3" s="5">
        <f t="shared" si="0"/>
        <v>71.856000000000009</v>
      </c>
      <c r="M3" s="5" t="b">
        <f t="shared" si="1"/>
        <v>0</v>
      </c>
    </row>
    <row r="4" spans="1:13" ht="20.100000000000001" customHeight="1" x14ac:dyDescent="0.25">
      <c r="A4" s="23" t="s">
        <v>645</v>
      </c>
      <c r="B4" s="2" t="s">
        <v>652</v>
      </c>
      <c r="C4" s="4">
        <v>51.61</v>
      </c>
      <c r="D4" s="4">
        <v>50.51</v>
      </c>
      <c r="E4" s="4">
        <v>51.73</v>
      </c>
      <c r="F4" s="5">
        <v>51.61</v>
      </c>
      <c r="G4" s="6">
        <v>0</v>
      </c>
      <c r="H4" s="4" t="s">
        <v>970</v>
      </c>
      <c r="I4" s="5" t="s">
        <v>39</v>
      </c>
      <c r="J4" s="5">
        <v>2716.32</v>
      </c>
      <c r="K4" s="5">
        <v>44.36</v>
      </c>
      <c r="L4" s="5">
        <f t="shared" si="0"/>
        <v>39.923999999999999</v>
      </c>
      <c r="M4" s="5" t="b">
        <f t="shared" si="1"/>
        <v>0</v>
      </c>
    </row>
    <row r="5" spans="1:13" ht="20.100000000000001" customHeight="1" x14ac:dyDescent="0.25">
      <c r="A5" s="23" t="s">
        <v>646</v>
      </c>
      <c r="B5" s="2" t="s">
        <v>748</v>
      </c>
      <c r="C5" s="4">
        <v>207</v>
      </c>
      <c r="D5" s="4">
        <v>205</v>
      </c>
      <c r="E5" s="4">
        <v>211.86</v>
      </c>
      <c r="F5" s="5">
        <v>207</v>
      </c>
      <c r="G5" s="6">
        <v>0</v>
      </c>
      <c r="H5" s="4" t="s">
        <v>971</v>
      </c>
      <c r="I5" s="5">
        <v>0.71</v>
      </c>
      <c r="J5" s="5">
        <v>66.52</v>
      </c>
      <c r="K5" s="5">
        <v>228.73</v>
      </c>
      <c r="L5" s="5">
        <f t="shared" si="0"/>
        <v>205.857</v>
      </c>
      <c r="M5" s="5" t="b">
        <f t="shared" si="1"/>
        <v>0</v>
      </c>
    </row>
    <row r="6" spans="1:13" ht="20.100000000000001" customHeight="1" x14ac:dyDescent="0.25">
      <c r="A6" s="23" t="s">
        <v>648</v>
      </c>
      <c r="B6" s="19" t="s">
        <v>653</v>
      </c>
      <c r="C6" s="4">
        <v>22.73</v>
      </c>
      <c r="D6" s="4">
        <v>22.27</v>
      </c>
      <c r="E6" s="4">
        <v>23.19</v>
      </c>
      <c r="F6" s="5">
        <v>24.72</v>
      </c>
      <c r="G6" s="6">
        <v>-8.0501618122977292E-2</v>
      </c>
      <c r="H6" s="6" t="s">
        <v>929</v>
      </c>
      <c r="I6" s="5">
        <v>6.51</v>
      </c>
      <c r="J6" s="5">
        <v>6.05</v>
      </c>
      <c r="K6" s="5">
        <v>26.78</v>
      </c>
      <c r="L6" s="5">
        <f>K6*0.9</f>
        <v>24.102</v>
      </c>
      <c r="M6" s="5" t="b">
        <f>L6&gt;C6</f>
        <v>1</v>
      </c>
    </row>
    <row r="7" spans="1:13" ht="20.100000000000001" customHeight="1" x14ac:dyDescent="0.25">
      <c r="A7" s="23" t="s">
        <v>647</v>
      </c>
      <c r="B7" s="2" t="s">
        <v>654</v>
      </c>
      <c r="C7" s="4">
        <v>31.02</v>
      </c>
      <c r="D7" s="4">
        <v>30.81</v>
      </c>
      <c r="E7" s="4">
        <v>31.08</v>
      </c>
      <c r="F7" s="5">
        <v>30.87</v>
      </c>
      <c r="G7" s="6">
        <v>4.8590864917395071E-3</v>
      </c>
      <c r="H7" s="4" t="s">
        <v>972</v>
      </c>
      <c r="I7" s="5">
        <v>0.56999999999999995</v>
      </c>
      <c r="J7" s="5">
        <v>80.16</v>
      </c>
      <c r="K7" s="5">
        <v>31.06</v>
      </c>
      <c r="L7" s="5">
        <f t="shared" si="0"/>
        <v>27.954000000000001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83" t="s">
        <v>37</v>
      </c>
      <c r="B2" s="83" t="s">
        <v>60</v>
      </c>
      <c r="C2" s="88">
        <v>84.62</v>
      </c>
      <c r="D2" s="88">
        <v>83.51</v>
      </c>
      <c r="E2" s="88">
        <v>85.12</v>
      </c>
      <c r="F2" s="85">
        <v>83.86</v>
      </c>
      <c r="G2" s="87">
        <v>9.0627235869306603E-3</v>
      </c>
      <c r="H2" s="88" t="s">
        <v>973</v>
      </c>
      <c r="I2" s="85">
        <v>1.73</v>
      </c>
      <c r="J2" s="85">
        <v>13.39</v>
      </c>
      <c r="K2" s="85">
        <v>81.94</v>
      </c>
      <c r="L2" s="91">
        <f t="shared" ref="L2:L8" si="0">K2*0.9</f>
        <v>73.745999999999995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61</v>
      </c>
      <c r="C3" s="88">
        <v>75</v>
      </c>
      <c r="D3" s="88">
        <v>74.260000000000005</v>
      </c>
      <c r="E3" s="88">
        <v>75.14</v>
      </c>
      <c r="F3" s="85">
        <v>74.19</v>
      </c>
      <c r="G3" s="87">
        <v>1.0917913465426638E-2</v>
      </c>
      <c r="H3" s="88" t="s">
        <v>974</v>
      </c>
      <c r="I3" s="85">
        <v>2.39</v>
      </c>
      <c r="J3" s="85">
        <v>18.16</v>
      </c>
      <c r="K3" s="85">
        <v>76.47</v>
      </c>
      <c r="L3" s="85">
        <f t="shared" si="0"/>
        <v>68.823000000000008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64</v>
      </c>
      <c r="C4" s="88">
        <v>147.18</v>
      </c>
      <c r="D4" s="88">
        <v>145.06</v>
      </c>
      <c r="E4" s="88">
        <v>147.76</v>
      </c>
      <c r="F4" s="85">
        <v>144.68</v>
      </c>
      <c r="G4" s="87">
        <v>1.7279513408902405E-2</v>
      </c>
      <c r="H4" s="88" t="s">
        <v>975</v>
      </c>
      <c r="I4" s="85">
        <v>0.76</v>
      </c>
      <c r="J4" s="85">
        <v>17.64</v>
      </c>
      <c r="K4" s="85">
        <v>165.91</v>
      </c>
      <c r="L4" s="85">
        <f t="shared" si="0"/>
        <v>149.31899999999999</v>
      </c>
      <c r="M4" s="85" t="b">
        <f t="shared" si="1"/>
        <v>1</v>
      </c>
    </row>
    <row r="5" spans="1:13" ht="20.100000000000001" customHeight="1" x14ac:dyDescent="0.25">
      <c r="A5" s="2" t="s">
        <v>32</v>
      </c>
      <c r="B5" s="2" t="s">
        <v>63</v>
      </c>
      <c r="C5" s="4">
        <v>71.8</v>
      </c>
      <c r="D5" s="4">
        <v>71.510000000000005</v>
      </c>
      <c r="E5" s="4">
        <v>72.13</v>
      </c>
      <c r="F5" s="5">
        <v>71.8</v>
      </c>
      <c r="G5" s="6">
        <v>0</v>
      </c>
      <c r="H5" s="4" t="s">
        <v>976</v>
      </c>
      <c r="I5" s="5">
        <v>0</v>
      </c>
      <c r="J5" s="5">
        <v>16.97</v>
      </c>
      <c r="K5" s="5">
        <v>73.27</v>
      </c>
      <c r="L5" s="5">
        <f t="shared" si="0"/>
        <v>65.942999999999998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62</v>
      </c>
      <c r="C6" s="4">
        <v>81.98</v>
      </c>
      <c r="D6" s="4">
        <v>81.75</v>
      </c>
      <c r="E6" s="4">
        <v>82.91</v>
      </c>
      <c r="F6" s="5">
        <v>82.6</v>
      </c>
      <c r="G6" s="6">
        <v>-7.5060532687650167E-3</v>
      </c>
      <c r="H6" s="4" t="s">
        <v>977</v>
      </c>
      <c r="I6" s="5">
        <v>2.44</v>
      </c>
      <c r="J6" s="5">
        <v>17.57</v>
      </c>
      <c r="K6" s="5">
        <v>87.47</v>
      </c>
      <c r="L6" s="5">
        <f t="shared" si="0"/>
        <v>78.722999999999999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65</v>
      </c>
      <c r="C7" s="4">
        <v>26.2</v>
      </c>
      <c r="D7" s="4">
        <v>26</v>
      </c>
      <c r="E7" s="4">
        <v>26.6</v>
      </c>
      <c r="F7" s="5">
        <v>25.9</v>
      </c>
      <c r="G7" s="6">
        <v>1.1583011583011612E-2</v>
      </c>
      <c r="H7" s="4" t="s">
        <v>978</v>
      </c>
      <c r="I7" s="5" t="s">
        <v>39</v>
      </c>
      <c r="J7" s="5">
        <v>23.88</v>
      </c>
      <c r="K7" s="5">
        <v>25.46</v>
      </c>
      <c r="L7" s="5">
        <f t="shared" si="0"/>
        <v>22.914000000000001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66</v>
      </c>
      <c r="C8" s="4">
        <v>161.80000000000001</v>
      </c>
      <c r="D8" s="4">
        <v>161.41</v>
      </c>
      <c r="E8" s="4">
        <v>162.74</v>
      </c>
      <c r="F8" s="5">
        <v>162.36000000000001</v>
      </c>
      <c r="G8" s="6">
        <v>-3.4491254003449264E-3</v>
      </c>
      <c r="H8" s="4" t="s">
        <v>979</v>
      </c>
      <c r="I8" s="5">
        <v>1.55</v>
      </c>
      <c r="J8" s="5">
        <v>23.9</v>
      </c>
      <c r="K8" s="5">
        <v>145.69999999999999</v>
      </c>
      <c r="L8" s="5">
        <f t="shared" si="0"/>
        <v>131.13</v>
      </c>
      <c r="M8" s="5" t="b">
        <f t="shared" si="1"/>
        <v>0</v>
      </c>
    </row>
    <row r="9" spans="1:13" ht="20.100000000000001" customHeight="1" x14ac:dyDescent="0.25">
      <c r="A9" s="2" t="s">
        <v>141</v>
      </c>
      <c r="B9" s="19" t="s">
        <v>285</v>
      </c>
      <c r="C9" s="4">
        <v>32.520000000000003</v>
      </c>
      <c r="D9" s="4">
        <v>32.04</v>
      </c>
      <c r="E9" s="4">
        <v>32.54</v>
      </c>
      <c r="F9" s="5">
        <v>32.520000000000003</v>
      </c>
      <c r="G9" s="6">
        <v>0</v>
      </c>
      <c r="H9" s="6" t="s">
        <v>980</v>
      </c>
      <c r="I9" s="5" t="s">
        <v>39</v>
      </c>
      <c r="J9" s="5">
        <v>24.11</v>
      </c>
      <c r="K9" s="5">
        <v>31.63</v>
      </c>
      <c r="L9" s="5">
        <f>K9*0.9</f>
        <v>28.466999999999999</v>
      </c>
      <c r="M9" s="5" t="b">
        <f t="shared" si="1"/>
        <v>0</v>
      </c>
    </row>
    <row r="10" spans="1:13" ht="20.100000000000001" customHeight="1" x14ac:dyDescent="0.25">
      <c r="A10" s="2" t="s">
        <v>800</v>
      </c>
      <c r="B10" s="19" t="s">
        <v>804</v>
      </c>
      <c r="C10" s="4">
        <v>146.29</v>
      </c>
      <c r="D10" s="4">
        <v>145.52000000000001</v>
      </c>
      <c r="E10" s="4">
        <v>147.02000000000001</v>
      </c>
      <c r="F10" s="5">
        <v>145.97</v>
      </c>
      <c r="G10" s="6">
        <v>2.1922312804000354E-3</v>
      </c>
      <c r="H10" s="6" t="s">
        <v>981</v>
      </c>
      <c r="I10" s="5">
        <v>0.41</v>
      </c>
      <c r="J10" s="5">
        <v>29.24</v>
      </c>
      <c r="K10" s="5">
        <v>150.37</v>
      </c>
      <c r="L10" s="5">
        <f t="shared" ref="L10:L13" si="2">K10*0.9</f>
        <v>135.333</v>
      </c>
      <c r="M10" s="5" t="b">
        <f t="shared" ref="M10:M12" si="3">L10&gt;C10</f>
        <v>0</v>
      </c>
    </row>
    <row r="11" spans="1:13" ht="20.100000000000001" customHeight="1" x14ac:dyDescent="0.25">
      <c r="A11" s="2" t="s">
        <v>801</v>
      </c>
      <c r="B11" s="19" t="s">
        <v>805</v>
      </c>
      <c r="C11" s="4">
        <v>92.7</v>
      </c>
      <c r="D11" s="4">
        <v>92.43</v>
      </c>
      <c r="E11" s="4">
        <v>93.68</v>
      </c>
      <c r="F11" s="5">
        <v>93.12</v>
      </c>
      <c r="G11" s="6">
        <v>-4.5103092783505333E-3</v>
      </c>
      <c r="H11" s="6" t="s">
        <v>982</v>
      </c>
      <c r="I11" s="5">
        <v>1.94</v>
      </c>
      <c r="J11" s="5">
        <v>19.670000000000002</v>
      </c>
      <c r="K11" s="5">
        <v>85.58</v>
      </c>
      <c r="L11" s="5">
        <f t="shared" si="2"/>
        <v>77.022000000000006</v>
      </c>
      <c r="M11" s="5" t="b">
        <f t="shared" si="3"/>
        <v>0</v>
      </c>
    </row>
    <row r="12" spans="1:13" ht="20.100000000000001" customHeight="1" x14ac:dyDescent="0.25">
      <c r="A12" s="2" t="s">
        <v>802</v>
      </c>
      <c r="B12" s="19" t="s">
        <v>806</v>
      </c>
      <c r="C12" s="4">
        <v>41.28</v>
      </c>
      <c r="D12" s="4">
        <v>40.229999999999997</v>
      </c>
      <c r="E12" s="4">
        <v>41.43</v>
      </c>
      <c r="F12" s="5">
        <v>41.28</v>
      </c>
      <c r="G12" s="6">
        <v>0</v>
      </c>
      <c r="H12" s="6" t="s">
        <v>983</v>
      </c>
      <c r="I12" s="5">
        <v>2.33</v>
      </c>
      <c r="J12" s="5">
        <v>19.16</v>
      </c>
      <c r="K12" s="5">
        <v>45.01</v>
      </c>
      <c r="L12" s="5">
        <f t="shared" si="2"/>
        <v>40.509</v>
      </c>
      <c r="M12" s="5" t="b">
        <f t="shared" si="3"/>
        <v>0</v>
      </c>
    </row>
    <row r="13" spans="1:13" ht="20.100000000000001" customHeight="1" x14ac:dyDescent="0.25">
      <c r="A13" s="2" t="s">
        <v>803</v>
      </c>
      <c r="B13" s="19" t="s">
        <v>807</v>
      </c>
      <c r="C13" s="4">
        <v>159.05000000000001</v>
      </c>
      <c r="D13" s="4">
        <v>157.05000000000001</v>
      </c>
      <c r="E13" s="4">
        <v>159.1</v>
      </c>
      <c r="F13" s="5">
        <v>159.05000000000001</v>
      </c>
      <c r="G13" s="6">
        <v>0</v>
      </c>
      <c r="H13" s="6" t="s">
        <v>984</v>
      </c>
      <c r="I13" s="5" t="s">
        <v>39</v>
      </c>
      <c r="J13" s="5">
        <v>26.41</v>
      </c>
      <c r="K13" s="5">
        <v>162.18</v>
      </c>
      <c r="L13" s="5">
        <f t="shared" si="2"/>
        <v>145.96200000000002</v>
      </c>
      <c r="M13" s="5" t="b">
        <f t="shared" ref="M13" si="4">L13&gt;C13</f>
        <v>0</v>
      </c>
    </row>
  </sheetData>
  <conditionalFormatting sqref="G1:G1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683</v>
      </c>
      <c r="B2" s="2" t="s">
        <v>689</v>
      </c>
      <c r="C2" s="4">
        <v>84.01</v>
      </c>
      <c r="D2" s="4">
        <v>83.44</v>
      </c>
      <c r="E2" s="4">
        <v>84.02</v>
      </c>
      <c r="F2" s="5">
        <v>83.84</v>
      </c>
      <c r="G2" s="6">
        <v>2.0276717557252111E-3</v>
      </c>
      <c r="H2" s="4" t="s">
        <v>985</v>
      </c>
      <c r="I2" s="5">
        <v>3.19</v>
      </c>
      <c r="J2" s="4">
        <v>22.41</v>
      </c>
      <c r="K2" s="4">
        <v>85.88</v>
      </c>
      <c r="L2" s="79">
        <f t="shared" ref="L2:L7" si="0">K2*0.89</f>
        <v>76.433199999999999</v>
      </c>
      <c r="M2" s="80" t="b">
        <f t="shared" ref="M2:M7" si="1">L2&gt;C2</f>
        <v>0</v>
      </c>
    </row>
    <row r="3" spans="1:13" ht="20.100000000000001" customHeight="1" x14ac:dyDescent="0.25">
      <c r="A3" s="1" t="s">
        <v>684</v>
      </c>
      <c r="B3" s="2" t="s">
        <v>690</v>
      </c>
      <c r="C3" s="4">
        <v>47</v>
      </c>
      <c r="D3" s="4">
        <v>46.74</v>
      </c>
      <c r="E3" s="4">
        <v>47.4</v>
      </c>
      <c r="F3" s="5">
        <v>47.12</v>
      </c>
      <c r="G3" s="6">
        <v>-2.5466893039048696E-3</v>
      </c>
      <c r="H3" s="4" t="s">
        <v>986</v>
      </c>
      <c r="I3" s="5">
        <v>1.62</v>
      </c>
      <c r="J3" s="4">
        <v>45.81</v>
      </c>
      <c r="K3" s="4">
        <v>49.8</v>
      </c>
      <c r="L3" s="70">
        <f t="shared" si="0"/>
        <v>44.321999999999996</v>
      </c>
      <c r="M3" s="70" t="b">
        <f t="shared" si="1"/>
        <v>0</v>
      </c>
    </row>
    <row r="4" spans="1:13" ht="20.100000000000001" customHeight="1" x14ac:dyDescent="0.25">
      <c r="A4" s="2" t="s">
        <v>685</v>
      </c>
      <c r="B4" s="2" t="s">
        <v>691</v>
      </c>
      <c r="C4" s="4">
        <v>119.53</v>
      </c>
      <c r="D4" s="4">
        <v>118.82</v>
      </c>
      <c r="E4" s="4">
        <v>119.54</v>
      </c>
      <c r="F4" s="5">
        <v>119.09</v>
      </c>
      <c r="G4" s="6">
        <v>3.69468469224954E-3</v>
      </c>
      <c r="H4" s="4" t="s">
        <v>987</v>
      </c>
      <c r="I4" s="5">
        <v>2.68</v>
      </c>
      <c r="J4" s="4">
        <v>24.06</v>
      </c>
      <c r="K4" s="4">
        <v>124.52</v>
      </c>
      <c r="L4" s="70">
        <f t="shared" si="0"/>
        <v>110.8228</v>
      </c>
      <c r="M4" s="70" t="b">
        <f t="shared" si="1"/>
        <v>0</v>
      </c>
    </row>
    <row r="5" spans="1:13" ht="20.100000000000001" customHeight="1" x14ac:dyDescent="0.25">
      <c r="A5" s="2" t="s">
        <v>686</v>
      </c>
      <c r="B5" s="2" t="s">
        <v>692</v>
      </c>
      <c r="C5" s="4">
        <v>65.88</v>
      </c>
      <c r="D5" s="4">
        <v>65.61</v>
      </c>
      <c r="E5" s="4">
        <v>66.03</v>
      </c>
      <c r="F5" s="5">
        <v>65.849999999999994</v>
      </c>
      <c r="G5" s="6">
        <v>4.5558086560366196E-4</v>
      </c>
      <c r="H5" s="4" t="s">
        <v>988</v>
      </c>
      <c r="I5" s="5">
        <v>2.37</v>
      </c>
      <c r="J5" s="4">
        <v>43.09</v>
      </c>
      <c r="K5" s="4">
        <v>70.95</v>
      </c>
      <c r="L5" s="70">
        <f t="shared" si="0"/>
        <v>63.145500000000006</v>
      </c>
      <c r="M5" s="70" t="b">
        <f t="shared" si="1"/>
        <v>0</v>
      </c>
    </row>
    <row r="6" spans="1:13" ht="20.100000000000001" customHeight="1" x14ac:dyDescent="0.25">
      <c r="A6" s="2" t="s">
        <v>687</v>
      </c>
      <c r="B6" s="2" t="s">
        <v>693</v>
      </c>
      <c r="C6" s="4">
        <v>114.6</v>
      </c>
      <c r="D6" s="4">
        <v>114.44</v>
      </c>
      <c r="E6" s="4">
        <v>115.02</v>
      </c>
      <c r="F6" s="5">
        <v>114.62</v>
      </c>
      <c r="G6" s="6">
        <v>-1.7448961786782613E-4</v>
      </c>
      <c r="H6" s="4" t="s">
        <v>989</v>
      </c>
      <c r="I6" s="5">
        <v>2.79</v>
      </c>
      <c r="J6" s="4">
        <v>20.12</v>
      </c>
      <c r="K6" s="4">
        <v>118.28</v>
      </c>
      <c r="L6" s="70">
        <f t="shared" si="0"/>
        <v>105.2692</v>
      </c>
      <c r="M6" s="70" t="b">
        <f t="shared" si="1"/>
        <v>0</v>
      </c>
    </row>
    <row r="7" spans="1:13" ht="20.100000000000001" customHeight="1" x14ac:dyDescent="0.25">
      <c r="A7" s="2" t="s">
        <v>688</v>
      </c>
      <c r="B7" s="2" t="s">
        <v>694</v>
      </c>
      <c r="C7" s="4">
        <v>114.59</v>
      </c>
      <c r="D7" s="4">
        <v>114.19</v>
      </c>
      <c r="E7" s="4">
        <v>114.89</v>
      </c>
      <c r="F7" s="5">
        <v>114.46</v>
      </c>
      <c r="G7" s="6">
        <v>1.1357679538704323E-3</v>
      </c>
      <c r="H7" s="4" t="s">
        <v>990</v>
      </c>
      <c r="I7" s="5">
        <v>3.21</v>
      </c>
      <c r="J7" s="4">
        <v>20.84</v>
      </c>
      <c r="K7" s="4">
        <v>122.52</v>
      </c>
      <c r="L7" s="70">
        <f t="shared" si="0"/>
        <v>109.0428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121</v>
      </c>
      <c r="B2" s="2" t="s">
        <v>131</v>
      </c>
      <c r="C2" s="4">
        <v>158.83000000000001</v>
      </c>
      <c r="D2" s="4">
        <v>158.34</v>
      </c>
      <c r="E2" s="4">
        <v>159.58000000000001</v>
      </c>
      <c r="F2" s="5">
        <v>158.29</v>
      </c>
      <c r="G2" s="6">
        <v>3.4114599785205666E-3</v>
      </c>
      <c r="H2" s="4" t="s">
        <v>820</v>
      </c>
      <c r="I2" s="5">
        <v>3.58</v>
      </c>
      <c r="J2" s="4">
        <v>24.27</v>
      </c>
      <c r="K2" s="4">
        <v>139.85</v>
      </c>
      <c r="L2" s="5">
        <f t="shared" ref="L2:L13" si="0">K2*0.9</f>
        <v>125.86499999999999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124</v>
      </c>
      <c r="B3" s="2" t="s">
        <v>134</v>
      </c>
      <c r="C3" s="4">
        <v>57.12</v>
      </c>
      <c r="D3" s="4">
        <v>56.93</v>
      </c>
      <c r="E3" s="4">
        <v>57.7</v>
      </c>
      <c r="F3" s="5">
        <v>57.47</v>
      </c>
      <c r="G3" s="6">
        <v>-6.0901339829476497E-3</v>
      </c>
      <c r="H3" s="4" t="s">
        <v>991</v>
      </c>
      <c r="I3" s="5">
        <v>3.36</v>
      </c>
      <c r="J3" s="4">
        <v>22.67</v>
      </c>
      <c r="K3" s="4">
        <v>53.83</v>
      </c>
      <c r="L3" s="5">
        <f t="shared" si="0"/>
        <v>48.447000000000003</v>
      </c>
      <c r="M3" s="5" t="b">
        <f t="shared" si="1"/>
        <v>0</v>
      </c>
    </row>
    <row r="4" spans="1:13" ht="20.100000000000001" customHeight="1" x14ac:dyDescent="0.25">
      <c r="A4" s="2" t="s">
        <v>123</v>
      </c>
      <c r="B4" s="2" t="s">
        <v>133</v>
      </c>
      <c r="C4" s="11">
        <v>31.36</v>
      </c>
      <c r="D4" s="4">
        <v>31.25</v>
      </c>
      <c r="E4" s="4">
        <v>31.45</v>
      </c>
      <c r="F4" s="5">
        <v>31.39</v>
      </c>
      <c r="G4" s="26">
        <v>-9.5571838165024324E-4</v>
      </c>
      <c r="H4" s="6" t="s">
        <v>992</v>
      </c>
      <c r="I4" s="5">
        <v>3.06</v>
      </c>
      <c r="J4" s="4">
        <v>26.96</v>
      </c>
      <c r="K4" s="4">
        <v>30.77</v>
      </c>
      <c r="L4" s="5">
        <f t="shared" si="0"/>
        <v>27.693000000000001</v>
      </c>
      <c r="M4" s="5" t="b">
        <f t="shared" si="1"/>
        <v>0</v>
      </c>
    </row>
    <row r="5" spans="1:13" ht="20.100000000000001" customHeight="1" x14ac:dyDescent="0.25">
      <c r="A5" s="1" t="s">
        <v>125</v>
      </c>
      <c r="B5" s="2" t="s">
        <v>157</v>
      </c>
      <c r="C5" s="20">
        <v>37.340000000000003</v>
      </c>
      <c r="D5" s="20">
        <v>37.15</v>
      </c>
      <c r="E5" s="20">
        <v>37.770000000000003</v>
      </c>
      <c r="F5" s="5">
        <v>37.51</v>
      </c>
      <c r="G5" s="26">
        <v>-4.5321247667287285E-3</v>
      </c>
      <c r="H5" s="6" t="s">
        <v>854</v>
      </c>
      <c r="I5" s="5">
        <v>4.07</v>
      </c>
      <c r="J5" s="4">
        <v>4.26</v>
      </c>
      <c r="K5" s="4">
        <v>32.6</v>
      </c>
      <c r="L5" s="5">
        <f t="shared" si="0"/>
        <v>29.340000000000003</v>
      </c>
      <c r="M5" s="5" t="b">
        <f t="shared" si="1"/>
        <v>0</v>
      </c>
    </row>
    <row r="6" spans="1:13" ht="20.100000000000001" customHeight="1" x14ac:dyDescent="0.25">
      <c r="A6" s="2" t="s">
        <v>122</v>
      </c>
      <c r="B6" s="2" t="s">
        <v>132</v>
      </c>
      <c r="C6" s="4">
        <v>177.39</v>
      </c>
      <c r="D6" s="4">
        <v>176.83</v>
      </c>
      <c r="E6" s="4">
        <v>177.91</v>
      </c>
      <c r="F6" s="5">
        <v>177.44</v>
      </c>
      <c r="G6" s="6">
        <v>-2.8178539224533007E-4</v>
      </c>
      <c r="H6" s="4" t="s">
        <v>993</v>
      </c>
      <c r="I6" s="5">
        <v>2.5</v>
      </c>
      <c r="J6" s="4">
        <v>22.37</v>
      </c>
      <c r="K6" s="4">
        <v>175.65</v>
      </c>
      <c r="L6" s="5">
        <f t="shared" si="0"/>
        <v>158.08500000000001</v>
      </c>
      <c r="M6" s="5" t="b">
        <f t="shared" si="1"/>
        <v>0</v>
      </c>
    </row>
    <row r="7" spans="1:13" ht="20.100000000000001" customHeight="1" x14ac:dyDescent="0.25">
      <c r="A7" s="1" t="s">
        <v>117</v>
      </c>
      <c r="B7" s="2" t="s">
        <v>127</v>
      </c>
      <c r="C7" s="11">
        <v>44.2</v>
      </c>
      <c r="D7" s="4">
        <v>43.05</v>
      </c>
      <c r="E7" s="4">
        <v>44.55</v>
      </c>
      <c r="F7" s="5">
        <v>42.85</v>
      </c>
      <c r="G7" s="26">
        <v>3.1505250875145892E-2</v>
      </c>
      <c r="H7" s="6" t="s">
        <v>994</v>
      </c>
      <c r="I7" s="5">
        <v>2.35</v>
      </c>
      <c r="J7" s="4">
        <v>38.14</v>
      </c>
      <c r="K7" s="4">
        <v>35.380000000000003</v>
      </c>
      <c r="L7" s="5">
        <f t="shared" si="0"/>
        <v>31.842000000000002</v>
      </c>
      <c r="M7" s="5" t="b">
        <f t="shared" si="1"/>
        <v>0</v>
      </c>
    </row>
    <row r="8" spans="1:13" ht="20.100000000000001" customHeight="1" x14ac:dyDescent="0.25">
      <c r="A8" s="1" t="s">
        <v>119</v>
      </c>
      <c r="B8" s="2" t="s">
        <v>129</v>
      </c>
      <c r="C8" s="4">
        <v>28.14</v>
      </c>
      <c r="D8" s="4">
        <v>27.87</v>
      </c>
      <c r="E8" s="4">
        <v>28.4</v>
      </c>
      <c r="F8" s="5">
        <v>27.94</v>
      </c>
      <c r="G8" s="6">
        <v>7.1581961345740614E-3</v>
      </c>
      <c r="H8" s="4" t="s">
        <v>995</v>
      </c>
      <c r="I8" s="5">
        <v>1.57</v>
      </c>
      <c r="J8" s="4">
        <v>9.0399999999999991</v>
      </c>
      <c r="K8" s="4">
        <v>24.48</v>
      </c>
      <c r="L8" s="5">
        <f t="shared" si="0"/>
        <v>22.032</v>
      </c>
      <c r="M8" s="5" t="b">
        <f t="shared" si="1"/>
        <v>0</v>
      </c>
    </row>
    <row r="9" spans="1:13" ht="20.100000000000001" customHeight="1" x14ac:dyDescent="0.25">
      <c r="A9" s="1" t="s">
        <v>118</v>
      </c>
      <c r="B9" s="2" t="s">
        <v>128</v>
      </c>
      <c r="C9" s="4">
        <v>110.22</v>
      </c>
      <c r="D9" s="4">
        <v>109.85</v>
      </c>
      <c r="E9" s="4">
        <v>111.26</v>
      </c>
      <c r="F9" s="5">
        <v>110.82</v>
      </c>
      <c r="G9" s="6">
        <v>-5.4141851651325961E-3</v>
      </c>
      <c r="H9" s="4" t="s">
        <v>996</v>
      </c>
      <c r="I9" s="5">
        <v>2.38</v>
      </c>
      <c r="J9" s="4">
        <v>12.59</v>
      </c>
      <c r="K9" s="4">
        <v>105.62</v>
      </c>
      <c r="L9" s="5">
        <f t="shared" si="0"/>
        <v>95.058000000000007</v>
      </c>
      <c r="M9" s="5" t="b">
        <f t="shared" si="1"/>
        <v>0</v>
      </c>
    </row>
    <row r="10" spans="1:13" ht="20.100000000000001" customHeight="1" x14ac:dyDescent="0.25">
      <c r="A10" s="1" t="s">
        <v>120</v>
      </c>
      <c r="B10" s="2" t="s">
        <v>130</v>
      </c>
      <c r="C10" s="11">
        <v>69.58</v>
      </c>
      <c r="D10" s="4">
        <v>69.010000000000005</v>
      </c>
      <c r="E10" s="4">
        <v>69.78</v>
      </c>
      <c r="F10" s="5">
        <v>69.58</v>
      </c>
      <c r="G10" s="26">
        <v>0</v>
      </c>
      <c r="H10" s="6" t="s">
        <v>824</v>
      </c>
      <c r="I10" s="5">
        <v>0.64</v>
      </c>
      <c r="J10" s="4">
        <v>24.41</v>
      </c>
      <c r="K10" s="4">
        <v>62.25</v>
      </c>
      <c r="L10" s="5">
        <f t="shared" si="0"/>
        <v>56.024999999999999</v>
      </c>
      <c r="M10" s="5" t="b">
        <f t="shared" si="1"/>
        <v>0</v>
      </c>
    </row>
    <row r="11" spans="1:13" ht="20.100000000000001" customHeight="1" x14ac:dyDescent="0.25">
      <c r="A11" s="2" t="s">
        <v>270</v>
      </c>
      <c r="B11" s="2" t="s">
        <v>271</v>
      </c>
      <c r="C11" s="20">
        <v>118.07</v>
      </c>
      <c r="D11" s="20">
        <v>117.61</v>
      </c>
      <c r="E11" s="20">
        <v>118.31</v>
      </c>
      <c r="F11" s="5">
        <v>117.63</v>
      </c>
      <c r="G11" s="26">
        <v>3.7405423786448845E-3</v>
      </c>
      <c r="H11" s="6" t="s">
        <v>997</v>
      </c>
      <c r="I11" s="5">
        <v>2.25</v>
      </c>
      <c r="J11" s="4">
        <v>18.48</v>
      </c>
      <c r="K11" s="4">
        <v>114.65</v>
      </c>
      <c r="L11" s="5">
        <f t="shared" si="0"/>
        <v>103.185</v>
      </c>
      <c r="M11" s="5" t="b">
        <f t="shared" si="1"/>
        <v>0</v>
      </c>
    </row>
    <row r="12" spans="1:13" ht="20.100000000000001" customHeight="1" x14ac:dyDescent="0.25">
      <c r="A12" s="2" t="s">
        <v>272</v>
      </c>
      <c r="B12" s="2" t="s">
        <v>273</v>
      </c>
      <c r="C12" s="20">
        <v>94.48</v>
      </c>
      <c r="D12" s="20">
        <v>93.68</v>
      </c>
      <c r="E12" s="20">
        <v>94.62</v>
      </c>
      <c r="F12" s="5">
        <v>93.99</v>
      </c>
      <c r="G12" s="26">
        <v>5.2133205660177583E-3</v>
      </c>
      <c r="H12" s="6" t="s">
        <v>998</v>
      </c>
      <c r="I12" s="5">
        <v>3.26</v>
      </c>
      <c r="J12" s="4">
        <v>91.91</v>
      </c>
      <c r="K12" s="4">
        <v>86.41</v>
      </c>
      <c r="L12" s="5">
        <f t="shared" si="0"/>
        <v>77.769000000000005</v>
      </c>
      <c r="M12" s="5" t="b">
        <f t="shared" si="1"/>
        <v>0</v>
      </c>
    </row>
    <row r="13" spans="1:13" ht="20.100000000000001" customHeight="1" x14ac:dyDescent="0.25">
      <c r="A13" s="81" t="s">
        <v>447</v>
      </c>
      <c r="B13" s="2" t="s">
        <v>448</v>
      </c>
      <c r="C13" s="20">
        <v>12.63</v>
      </c>
      <c r="D13" s="20">
        <v>12.5</v>
      </c>
      <c r="E13" s="20">
        <v>12.67</v>
      </c>
      <c r="F13" s="5">
        <v>12.59</v>
      </c>
      <c r="G13" s="26">
        <v>3.1771247021446327E-3</v>
      </c>
      <c r="H13" s="6" t="s">
        <v>858</v>
      </c>
      <c r="I13" s="5">
        <v>4.75</v>
      </c>
      <c r="J13" s="4">
        <v>6.98</v>
      </c>
      <c r="K13" s="4">
        <v>12.4</v>
      </c>
      <c r="L13" s="5">
        <f t="shared" si="0"/>
        <v>11.16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517</v>
      </c>
      <c r="B2" s="2" t="s">
        <v>584</v>
      </c>
      <c r="C2" s="4">
        <v>77.27</v>
      </c>
      <c r="D2" s="4">
        <v>76.81</v>
      </c>
      <c r="E2" s="4">
        <v>77.7</v>
      </c>
      <c r="F2" s="5">
        <v>76.64</v>
      </c>
      <c r="G2" s="6">
        <v>8.2202505219206093E-3</v>
      </c>
      <c r="H2" s="4" t="s">
        <v>999</v>
      </c>
      <c r="I2" s="5">
        <v>2.0699999999999998</v>
      </c>
      <c r="J2" s="4">
        <v>13.41</v>
      </c>
      <c r="K2" s="4">
        <v>69.64</v>
      </c>
      <c r="L2" s="5">
        <f t="shared" ref="L2:L18" si="0">K2*0.9</f>
        <v>62.676000000000002</v>
      </c>
      <c r="M2" s="5" t="b">
        <f t="shared" ref="M2:M13" si="1">L2&gt;C2</f>
        <v>0</v>
      </c>
    </row>
    <row r="3" spans="1:13" ht="20.100000000000001" customHeight="1" x14ac:dyDescent="0.25">
      <c r="A3" s="2" t="s">
        <v>574</v>
      </c>
      <c r="B3" s="2" t="s">
        <v>585</v>
      </c>
      <c r="C3" s="4">
        <v>58.71</v>
      </c>
      <c r="D3" s="4">
        <v>58.07</v>
      </c>
      <c r="E3" s="4">
        <v>58.83</v>
      </c>
      <c r="F3" s="5">
        <v>57.27</v>
      </c>
      <c r="G3" s="6">
        <v>2.5144054478784664E-2</v>
      </c>
      <c r="H3" s="4" t="s">
        <v>1000</v>
      </c>
      <c r="I3" s="5">
        <v>2.35</v>
      </c>
      <c r="J3" s="4" t="s">
        <v>39</v>
      </c>
      <c r="K3" s="4">
        <v>60.18</v>
      </c>
      <c r="L3" s="5">
        <f t="shared" si="0"/>
        <v>54.161999999999999</v>
      </c>
      <c r="M3" s="5" t="b">
        <f t="shared" si="1"/>
        <v>0</v>
      </c>
    </row>
    <row r="4" spans="1:13" ht="20.100000000000001" customHeight="1" x14ac:dyDescent="0.25">
      <c r="A4" s="2" t="s">
        <v>575</v>
      </c>
      <c r="B4" s="2" t="s">
        <v>586</v>
      </c>
      <c r="C4" s="11">
        <v>48.76</v>
      </c>
      <c r="D4" s="4">
        <v>48.07</v>
      </c>
      <c r="E4" s="4">
        <v>49.15</v>
      </c>
      <c r="F4" s="5">
        <v>48.3</v>
      </c>
      <c r="G4" s="26">
        <v>9.523809523809542E-3</v>
      </c>
      <c r="H4" s="6" t="s">
        <v>1001</v>
      </c>
      <c r="I4" s="5">
        <v>1.27</v>
      </c>
      <c r="J4" s="4">
        <v>27.06</v>
      </c>
      <c r="K4" s="4">
        <v>49.7</v>
      </c>
      <c r="L4" s="5">
        <f t="shared" si="0"/>
        <v>44.730000000000004</v>
      </c>
      <c r="M4" s="5" t="b">
        <f t="shared" si="1"/>
        <v>0</v>
      </c>
    </row>
    <row r="5" spans="1:13" ht="20.100000000000001" customHeight="1" x14ac:dyDescent="0.25">
      <c r="A5" s="2" t="s">
        <v>576</v>
      </c>
      <c r="B5" s="2" t="s">
        <v>1002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577</v>
      </c>
      <c r="B6" s="2" t="s">
        <v>587</v>
      </c>
      <c r="C6" s="4">
        <v>188.5</v>
      </c>
      <c r="D6" s="4">
        <v>188.12</v>
      </c>
      <c r="E6" s="4">
        <v>190.01</v>
      </c>
      <c r="F6" s="5">
        <v>187.66</v>
      </c>
      <c r="G6" s="6">
        <v>4.4761803261217275E-3</v>
      </c>
      <c r="H6" s="4" t="s">
        <v>784</v>
      </c>
      <c r="I6" s="5">
        <v>0.74</v>
      </c>
      <c r="J6" s="4">
        <v>28.15</v>
      </c>
      <c r="K6" s="4">
        <v>177.48</v>
      </c>
      <c r="L6" s="5">
        <f t="shared" si="0"/>
        <v>159.732</v>
      </c>
      <c r="M6" s="5" t="b">
        <f t="shared" si="1"/>
        <v>0</v>
      </c>
    </row>
    <row r="7" spans="1:13" ht="20.100000000000001" customHeight="1" x14ac:dyDescent="0.25">
      <c r="A7" s="2" t="s">
        <v>578</v>
      </c>
      <c r="B7" s="2" t="s">
        <v>588</v>
      </c>
      <c r="C7" s="11">
        <v>34.89</v>
      </c>
      <c r="D7" s="4">
        <v>34.409999999999997</v>
      </c>
      <c r="E7" s="4">
        <v>35.03</v>
      </c>
      <c r="F7" s="5">
        <v>34.4</v>
      </c>
      <c r="G7" s="26">
        <v>1.4244186046511686E-2</v>
      </c>
      <c r="H7" s="6" t="s">
        <v>1003</v>
      </c>
      <c r="I7" s="5" t="s">
        <v>39</v>
      </c>
      <c r="J7" s="4">
        <v>52.47</v>
      </c>
      <c r="K7" s="4">
        <v>28.7</v>
      </c>
      <c r="L7" s="5">
        <f t="shared" si="0"/>
        <v>25.83</v>
      </c>
      <c r="M7" s="5" t="b">
        <f t="shared" si="1"/>
        <v>0</v>
      </c>
    </row>
    <row r="8" spans="1:13" ht="20.100000000000001" customHeight="1" x14ac:dyDescent="0.25">
      <c r="A8" s="2" t="s">
        <v>519</v>
      </c>
      <c r="B8" s="2" t="s">
        <v>523</v>
      </c>
      <c r="C8" s="4">
        <v>57.24</v>
      </c>
      <c r="D8" s="4">
        <v>57.08</v>
      </c>
      <c r="E8" s="4">
        <v>57.48</v>
      </c>
      <c r="F8" s="5">
        <v>57.1</v>
      </c>
      <c r="G8" s="6">
        <v>2.4518388791593794E-3</v>
      </c>
      <c r="H8" s="4" t="s">
        <v>1004</v>
      </c>
      <c r="I8" s="5">
        <v>2.2400000000000002</v>
      </c>
      <c r="J8" s="4">
        <v>33.28</v>
      </c>
      <c r="K8" s="4">
        <v>52.72</v>
      </c>
      <c r="L8" s="5">
        <f t="shared" si="0"/>
        <v>47.448</v>
      </c>
      <c r="M8" s="5" t="b">
        <f t="shared" si="1"/>
        <v>0</v>
      </c>
    </row>
    <row r="9" spans="1:13" ht="20.100000000000001" customHeight="1" x14ac:dyDescent="0.25">
      <c r="A9" s="2" t="s">
        <v>579</v>
      </c>
      <c r="B9" s="2" t="s">
        <v>589</v>
      </c>
      <c r="C9" s="4">
        <v>58.16</v>
      </c>
      <c r="D9" s="4">
        <v>57.24</v>
      </c>
      <c r="E9" s="4">
        <v>58.2</v>
      </c>
      <c r="F9" s="5">
        <v>57.39</v>
      </c>
      <c r="G9" s="6">
        <v>1.3416971597839276E-2</v>
      </c>
      <c r="H9" s="4" t="s">
        <v>1005</v>
      </c>
      <c r="I9" s="5">
        <v>0</v>
      </c>
      <c r="J9" s="4">
        <v>33.619999999999997</v>
      </c>
      <c r="K9" s="4">
        <v>54.17</v>
      </c>
      <c r="L9" s="5">
        <f t="shared" si="0"/>
        <v>48.753</v>
      </c>
      <c r="M9" s="5" t="b">
        <f t="shared" si="1"/>
        <v>0</v>
      </c>
    </row>
    <row r="10" spans="1:13" ht="20.100000000000001" customHeight="1" x14ac:dyDescent="0.25">
      <c r="A10" s="2" t="s">
        <v>580</v>
      </c>
      <c r="B10" s="2" t="s">
        <v>590</v>
      </c>
      <c r="C10" s="11">
        <v>146.25</v>
      </c>
      <c r="D10" s="4">
        <v>144.31</v>
      </c>
      <c r="E10" s="4">
        <v>146.34</v>
      </c>
      <c r="F10" s="5">
        <v>143.75</v>
      </c>
      <c r="G10" s="26">
        <v>1.7391304347826087E-2</v>
      </c>
      <c r="H10" s="6" t="s">
        <v>1006</v>
      </c>
      <c r="I10" s="5">
        <v>1.72</v>
      </c>
      <c r="J10" s="4">
        <v>24.25</v>
      </c>
      <c r="K10" s="4">
        <v>126.66</v>
      </c>
      <c r="L10" s="5">
        <f t="shared" si="0"/>
        <v>113.994</v>
      </c>
      <c r="M10" s="5" t="b">
        <f t="shared" si="1"/>
        <v>0</v>
      </c>
    </row>
    <row r="11" spans="1:13" ht="20.100000000000001" customHeight="1" x14ac:dyDescent="0.25">
      <c r="A11" s="2" t="s">
        <v>581</v>
      </c>
      <c r="B11" s="2" t="s">
        <v>591</v>
      </c>
      <c r="C11" s="20">
        <v>77.03</v>
      </c>
      <c r="D11" s="20">
        <v>76.430000000000007</v>
      </c>
      <c r="E11" s="20">
        <v>77.430000000000007</v>
      </c>
      <c r="F11" s="5">
        <v>76.209999999999994</v>
      </c>
      <c r="G11" s="26">
        <v>1.0759742815903523E-2</v>
      </c>
      <c r="H11" s="6" t="s">
        <v>1007</v>
      </c>
      <c r="I11" s="5">
        <v>2.2799999999999998</v>
      </c>
      <c r="J11" s="4">
        <v>14.19</v>
      </c>
      <c r="K11" s="4">
        <v>69.760000000000005</v>
      </c>
      <c r="L11" s="5">
        <f t="shared" si="0"/>
        <v>62.784000000000006</v>
      </c>
      <c r="M11" s="5" t="b">
        <f t="shared" si="1"/>
        <v>0</v>
      </c>
    </row>
    <row r="12" spans="1:13" ht="20.100000000000001" customHeight="1" x14ac:dyDescent="0.25">
      <c r="A12" s="2" t="s">
        <v>122</v>
      </c>
      <c r="B12" s="2" t="s">
        <v>132</v>
      </c>
      <c r="C12" s="20">
        <v>177.39</v>
      </c>
      <c r="D12" s="20">
        <v>176.83</v>
      </c>
      <c r="E12" s="20">
        <v>177.91</v>
      </c>
      <c r="F12" s="5">
        <v>177.44</v>
      </c>
      <c r="G12" s="26">
        <v>-2.8178539224533007E-4</v>
      </c>
      <c r="H12" s="6" t="s">
        <v>993</v>
      </c>
      <c r="I12" s="5">
        <v>2.5</v>
      </c>
      <c r="J12" s="4">
        <v>22.37</v>
      </c>
      <c r="K12" s="4">
        <v>175.65</v>
      </c>
      <c r="L12" s="5">
        <f t="shared" si="0"/>
        <v>158.08500000000001</v>
      </c>
      <c r="M12" s="5" t="b">
        <f t="shared" si="1"/>
        <v>0</v>
      </c>
    </row>
    <row r="13" spans="1:13" ht="20.100000000000001" customHeight="1" x14ac:dyDescent="0.25">
      <c r="A13" s="2" t="s">
        <v>582</v>
      </c>
      <c r="B13" s="2" t="s">
        <v>592</v>
      </c>
      <c r="C13" s="20">
        <v>47</v>
      </c>
      <c r="D13" s="20">
        <v>46.86</v>
      </c>
      <c r="E13" s="20">
        <v>47.44</v>
      </c>
      <c r="F13" s="5">
        <v>46.99</v>
      </c>
      <c r="G13" s="26">
        <v>2.1281123643324132E-4</v>
      </c>
      <c r="H13" s="6" t="s">
        <v>1008</v>
      </c>
      <c r="I13" s="5">
        <v>2.89</v>
      </c>
      <c r="J13" s="4">
        <v>17.190000000000001</v>
      </c>
      <c r="K13" s="4">
        <v>49.43</v>
      </c>
      <c r="L13" s="5">
        <f t="shared" si="0"/>
        <v>44.487000000000002</v>
      </c>
      <c r="M13" s="5" t="b">
        <f t="shared" si="1"/>
        <v>0</v>
      </c>
    </row>
    <row r="14" spans="1:13" ht="20.100000000000001" customHeight="1" x14ac:dyDescent="0.25">
      <c r="A14" s="2" t="s">
        <v>583</v>
      </c>
      <c r="B14" s="2" t="s">
        <v>593</v>
      </c>
      <c r="C14" s="20">
        <v>141.99</v>
      </c>
      <c r="D14" s="20">
        <v>140.84</v>
      </c>
      <c r="E14" s="20">
        <v>142.24</v>
      </c>
      <c r="F14" s="5">
        <v>140.76</v>
      </c>
      <c r="G14" s="26">
        <v>8.7382779198637277E-3</v>
      </c>
      <c r="H14" s="6" t="s">
        <v>1009</v>
      </c>
      <c r="I14" s="5">
        <v>2.14</v>
      </c>
      <c r="J14" s="4">
        <v>25.54</v>
      </c>
      <c r="K14" s="4">
        <v>123.18</v>
      </c>
      <c r="L14" s="5">
        <f t="shared" si="0"/>
        <v>110.86200000000001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124</v>
      </c>
      <c r="B15" s="2" t="s">
        <v>134</v>
      </c>
      <c r="C15" s="20">
        <v>57.12</v>
      </c>
      <c r="D15" s="20">
        <v>56.93</v>
      </c>
      <c r="E15" s="20">
        <v>57.7</v>
      </c>
      <c r="F15" s="5">
        <v>57.47</v>
      </c>
      <c r="G15" s="26">
        <v>-6.0901339829476497E-3</v>
      </c>
      <c r="H15" s="6" t="s">
        <v>991</v>
      </c>
      <c r="I15" s="5">
        <v>3.36</v>
      </c>
      <c r="J15" s="4">
        <v>22.67</v>
      </c>
      <c r="K15" s="4">
        <v>53.83</v>
      </c>
      <c r="L15" s="5">
        <f t="shared" si="0"/>
        <v>48.447000000000003</v>
      </c>
      <c r="M15" s="5" t="b">
        <f t="shared" si="2"/>
        <v>0</v>
      </c>
    </row>
    <row r="16" spans="1:13" ht="20.100000000000001" customHeight="1" x14ac:dyDescent="0.25">
      <c r="A16" s="2" t="s">
        <v>270</v>
      </c>
      <c r="B16" s="2" t="s">
        <v>271</v>
      </c>
      <c r="C16" s="20">
        <v>118.07</v>
      </c>
      <c r="D16" s="20">
        <v>117.61</v>
      </c>
      <c r="E16" s="20">
        <v>118.31</v>
      </c>
      <c r="F16" s="5">
        <v>117.63</v>
      </c>
      <c r="G16" s="26">
        <v>3.7405423786448845E-3</v>
      </c>
      <c r="H16" s="6" t="s">
        <v>997</v>
      </c>
      <c r="I16" s="5">
        <v>2.25</v>
      </c>
      <c r="J16" s="4">
        <v>18.48</v>
      </c>
      <c r="K16" s="4">
        <v>114.65</v>
      </c>
      <c r="L16" s="5">
        <f t="shared" si="0"/>
        <v>103.185</v>
      </c>
      <c r="M16" s="5" t="b">
        <f t="shared" si="2"/>
        <v>0</v>
      </c>
    </row>
    <row r="17" spans="1:13" ht="20.100000000000001" customHeight="1" x14ac:dyDescent="0.25">
      <c r="A17" s="1" t="s">
        <v>118</v>
      </c>
      <c r="B17" s="2" t="s">
        <v>128</v>
      </c>
      <c r="C17" s="20">
        <v>110.22</v>
      </c>
      <c r="D17" s="20">
        <v>109.85</v>
      </c>
      <c r="E17" s="20">
        <v>111.26</v>
      </c>
      <c r="F17" s="5">
        <v>110.82</v>
      </c>
      <c r="G17" s="26">
        <v>-5.4141851651325961E-3</v>
      </c>
      <c r="H17" s="6" t="s">
        <v>996</v>
      </c>
      <c r="I17" s="5">
        <v>2.38</v>
      </c>
      <c r="J17" s="4">
        <v>12.59</v>
      </c>
      <c r="K17" s="4">
        <v>105.62</v>
      </c>
      <c r="L17" s="5">
        <f t="shared" si="0"/>
        <v>95.058000000000007</v>
      </c>
      <c r="M17" s="5" t="b">
        <f t="shared" si="2"/>
        <v>0</v>
      </c>
    </row>
    <row r="18" spans="1:13" ht="20.100000000000001" customHeight="1" x14ac:dyDescent="0.25">
      <c r="A18" s="2" t="s">
        <v>303</v>
      </c>
      <c r="B18" s="2" t="s">
        <v>304</v>
      </c>
      <c r="C18" s="20">
        <v>89.93</v>
      </c>
      <c r="D18" s="20">
        <v>89.85</v>
      </c>
      <c r="E18" s="20">
        <v>90.98</v>
      </c>
      <c r="F18" s="5">
        <v>90.4</v>
      </c>
      <c r="G18" s="26">
        <v>-5.1991150442477745E-3</v>
      </c>
      <c r="H18" s="6" t="s">
        <v>823</v>
      </c>
      <c r="I18" s="5">
        <v>1.47</v>
      </c>
      <c r="J18" s="4">
        <v>16.329999999999998</v>
      </c>
      <c r="K18" s="4">
        <v>86.53</v>
      </c>
      <c r="L18" s="5">
        <f t="shared" si="0"/>
        <v>77.87700000000001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33" t="s">
        <v>290</v>
      </c>
      <c r="B2" s="33" t="s">
        <v>293</v>
      </c>
      <c r="C2" s="34">
        <v>94.83</v>
      </c>
      <c r="D2" s="34">
        <v>94.6</v>
      </c>
      <c r="E2" s="34">
        <v>96.03</v>
      </c>
      <c r="F2" s="35">
        <v>94.83</v>
      </c>
      <c r="G2" s="36">
        <v>0</v>
      </c>
      <c r="H2" s="34" t="s">
        <v>1010</v>
      </c>
      <c r="I2" s="35">
        <v>2.2400000000000002</v>
      </c>
      <c r="J2" s="34">
        <v>10.17</v>
      </c>
      <c r="K2" s="34">
        <v>87.82</v>
      </c>
      <c r="L2" s="5">
        <f t="shared" ref="L2:L12" si="0">K2*0.9</f>
        <v>79.037999999999997</v>
      </c>
      <c r="M2" s="5" t="b">
        <f t="shared" ref="M2:M12" si="1">L2&gt;C2</f>
        <v>0</v>
      </c>
    </row>
    <row r="3" spans="1:13" ht="20.100000000000001" customHeight="1" x14ac:dyDescent="0.25">
      <c r="A3" s="1" t="s">
        <v>85</v>
      </c>
      <c r="B3" s="2" t="s">
        <v>92</v>
      </c>
      <c r="C3" s="4">
        <v>73.89</v>
      </c>
      <c r="D3" s="4">
        <v>73.8</v>
      </c>
      <c r="E3" s="4">
        <v>74.349999999999994</v>
      </c>
      <c r="F3" s="5">
        <v>73.680000000000007</v>
      </c>
      <c r="G3" s="6">
        <v>2.8501628664494264E-3</v>
      </c>
      <c r="H3" s="4" t="s">
        <v>1011</v>
      </c>
      <c r="I3" s="5">
        <v>1.79</v>
      </c>
      <c r="J3" s="4">
        <v>20.010000000000002</v>
      </c>
      <c r="K3" s="4">
        <v>69.89</v>
      </c>
      <c r="L3" s="5">
        <f t="shared" si="0"/>
        <v>62.901000000000003</v>
      </c>
      <c r="M3" s="5" t="b">
        <f t="shared" si="1"/>
        <v>0</v>
      </c>
    </row>
    <row r="4" spans="1:13" ht="20.100000000000001" customHeight="1" x14ac:dyDescent="0.25">
      <c r="A4" s="33" t="s">
        <v>286</v>
      </c>
      <c r="B4" s="33" t="s">
        <v>594</v>
      </c>
      <c r="C4" s="34">
        <v>130.25</v>
      </c>
      <c r="D4" s="34">
        <v>129.97</v>
      </c>
      <c r="E4" s="34">
        <v>130.75</v>
      </c>
      <c r="F4" s="35">
        <v>129.79</v>
      </c>
      <c r="G4" s="36">
        <v>3.5441867632329763E-3</v>
      </c>
      <c r="H4" s="34" t="s">
        <v>1012</v>
      </c>
      <c r="I4" s="35">
        <v>2.12</v>
      </c>
      <c r="J4" s="34">
        <v>17.45</v>
      </c>
      <c r="K4" s="34">
        <v>127.44</v>
      </c>
      <c r="L4" s="5">
        <f t="shared" si="0"/>
        <v>114.696</v>
      </c>
      <c r="M4" s="5" t="b">
        <f t="shared" si="1"/>
        <v>0</v>
      </c>
    </row>
    <row r="5" spans="1:13" ht="20.100000000000001" customHeight="1" x14ac:dyDescent="0.25">
      <c r="A5" s="33" t="s">
        <v>288</v>
      </c>
      <c r="B5" s="33" t="s">
        <v>292</v>
      </c>
      <c r="C5" s="34">
        <v>70.06</v>
      </c>
      <c r="D5" s="34">
        <v>69.78</v>
      </c>
      <c r="E5" s="34">
        <v>70.87</v>
      </c>
      <c r="F5" s="35">
        <v>70.06</v>
      </c>
      <c r="G5" s="36">
        <v>0</v>
      </c>
      <c r="H5" s="34" t="s">
        <v>1013</v>
      </c>
      <c r="I5" s="35">
        <v>2.74</v>
      </c>
      <c r="J5" s="34">
        <v>18.010000000000002</v>
      </c>
      <c r="K5" s="34">
        <v>74.88</v>
      </c>
      <c r="L5" s="5">
        <f t="shared" si="0"/>
        <v>67.391999999999996</v>
      </c>
      <c r="M5" s="5" t="b">
        <f t="shared" si="1"/>
        <v>0</v>
      </c>
    </row>
    <row r="6" spans="1:13" ht="20.100000000000001" customHeight="1" x14ac:dyDescent="0.25">
      <c r="A6" s="2" t="s">
        <v>287</v>
      </c>
      <c r="B6" s="2" t="s">
        <v>294</v>
      </c>
      <c r="C6" s="4">
        <v>48.33</v>
      </c>
      <c r="D6" s="4">
        <v>48.28</v>
      </c>
      <c r="E6" s="4">
        <v>48.91</v>
      </c>
      <c r="F6" s="5">
        <v>48.23</v>
      </c>
      <c r="G6" s="6">
        <v>2.0733982998134238E-3</v>
      </c>
      <c r="H6" s="4" t="s">
        <v>887</v>
      </c>
      <c r="I6" s="5">
        <v>1.9</v>
      </c>
      <c r="J6" s="4">
        <v>13.94</v>
      </c>
      <c r="K6" s="4">
        <v>44.11</v>
      </c>
      <c r="L6" s="5">
        <f t="shared" si="0"/>
        <v>39.698999999999998</v>
      </c>
      <c r="M6" s="5" t="b">
        <f t="shared" si="1"/>
        <v>0</v>
      </c>
    </row>
    <row r="7" spans="1:13" ht="20.100000000000001" customHeight="1" x14ac:dyDescent="0.25">
      <c r="A7" s="2" t="s">
        <v>88</v>
      </c>
      <c r="B7" s="2" t="s">
        <v>91</v>
      </c>
      <c r="C7" s="4">
        <v>36.25</v>
      </c>
      <c r="D7" s="4">
        <v>36.22</v>
      </c>
      <c r="E7" s="4">
        <v>36.5</v>
      </c>
      <c r="F7" s="5">
        <v>36.200000000000003</v>
      </c>
      <c r="G7" s="6">
        <v>1.3812154696131811E-3</v>
      </c>
      <c r="H7" s="4" t="s">
        <v>1014</v>
      </c>
      <c r="I7" s="5">
        <v>2.4500000000000002</v>
      </c>
      <c r="J7" s="4">
        <v>21.69</v>
      </c>
      <c r="K7" s="4">
        <v>33.020000000000003</v>
      </c>
      <c r="L7" s="5">
        <f t="shared" si="0"/>
        <v>29.718000000000004</v>
      </c>
      <c r="M7" s="5" t="b">
        <f t="shared" si="1"/>
        <v>0</v>
      </c>
    </row>
    <row r="8" spans="1:13" ht="20.100000000000001" customHeight="1" x14ac:dyDescent="0.25">
      <c r="A8" s="2" t="s">
        <v>87</v>
      </c>
      <c r="B8" s="2" t="s">
        <v>90</v>
      </c>
      <c r="C8" s="4">
        <v>105.23</v>
      </c>
      <c r="D8" s="4">
        <v>104.54</v>
      </c>
      <c r="E8" s="4">
        <v>106.46</v>
      </c>
      <c r="F8" s="5">
        <v>104.22</v>
      </c>
      <c r="G8" s="6">
        <v>9.6910381884475639E-3</v>
      </c>
      <c r="H8" s="4" t="s">
        <v>809</v>
      </c>
      <c r="I8" s="5">
        <v>2.66</v>
      </c>
      <c r="J8" s="4">
        <v>9.92</v>
      </c>
      <c r="K8" s="4">
        <v>86.62</v>
      </c>
      <c r="L8" s="5">
        <f t="shared" si="0"/>
        <v>77.958000000000013</v>
      </c>
      <c r="M8" s="5" t="b">
        <f t="shared" si="1"/>
        <v>0</v>
      </c>
    </row>
    <row r="9" spans="1:13" ht="20.100000000000001" customHeight="1" x14ac:dyDescent="0.25">
      <c r="A9" s="2" t="s">
        <v>86</v>
      </c>
      <c r="B9" s="2" t="s">
        <v>89</v>
      </c>
      <c r="C9" s="4">
        <v>117.05</v>
      </c>
      <c r="D9" s="4">
        <v>116.7</v>
      </c>
      <c r="E9" s="4">
        <v>117.85</v>
      </c>
      <c r="F9" s="5">
        <v>116.75</v>
      </c>
      <c r="G9" s="6">
        <v>2.5695931477515816E-3</v>
      </c>
      <c r="H9" s="4" t="s">
        <v>1015</v>
      </c>
      <c r="I9" s="5">
        <v>2.29</v>
      </c>
      <c r="J9" s="4">
        <v>11.87</v>
      </c>
      <c r="K9" s="4">
        <v>115.82</v>
      </c>
      <c r="L9" s="5">
        <f t="shared" si="0"/>
        <v>104.238</v>
      </c>
      <c r="M9" s="5" t="b">
        <f t="shared" si="1"/>
        <v>0</v>
      </c>
    </row>
    <row r="10" spans="1:13" ht="20.100000000000001" customHeight="1" x14ac:dyDescent="0.25">
      <c r="A10" s="2" t="s">
        <v>295</v>
      </c>
      <c r="B10" s="2" t="s">
        <v>595</v>
      </c>
      <c r="C10" s="4">
        <v>37.26</v>
      </c>
      <c r="D10" s="4">
        <v>37</v>
      </c>
      <c r="E10" s="4">
        <v>37.46</v>
      </c>
      <c r="F10" s="5">
        <v>36.92</v>
      </c>
      <c r="G10" s="6">
        <v>9.209100758396432E-3</v>
      </c>
      <c r="H10" s="4" t="s">
        <v>714</v>
      </c>
      <c r="I10" s="5">
        <v>2.15</v>
      </c>
      <c r="J10" s="4">
        <v>29.38</v>
      </c>
      <c r="K10" s="4">
        <v>34.840000000000003</v>
      </c>
      <c r="L10" s="5">
        <f t="shared" si="0"/>
        <v>31.356000000000005</v>
      </c>
      <c r="M10" s="5" t="b">
        <f t="shared" si="1"/>
        <v>0</v>
      </c>
    </row>
    <row r="11" spans="1:13" ht="20.100000000000001" customHeight="1" x14ac:dyDescent="0.25">
      <c r="A11" s="2" t="s">
        <v>296</v>
      </c>
      <c r="B11" s="2" t="s">
        <v>297</v>
      </c>
      <c r="C11" s="4">
        <v>66.349999999999994</v>
      </c>
      <c r="D11" s="4">
        <v>66.12</v>
      </c>
      <c r="E11" s="4">
        <v>66.91</v>
      </c>
      <c r="F11" s="5">
        <v>66.25</v>
      </c>
      <c r="G11" s="6">
        <v>1.5094339622640652E-3</v>
      </c>
      <c r="H11" s="4" t="s">
        <v>1016</v>
      </c>
      <c r="I11" s="5">
        <v>1.93</v>
      </c>
      <c r="J11" s="4">
        <v>216.12</v>
      </c>
      <c r="K11" s="4">
        <v>60.17</v>
      </c>
      <c r="L11" s="5">
        <f t="shared" si="0"/>
        <v>54.153000000000006</v>
      </c>
      <c r="M11" s="5" t="b">
        <f t="shared" si="1"/>
        <v>0</v>
      </c>
    </row>
    <row r="12" spans="1:13" ht="20.100000000000001" customHeight="1" x14ac:dyDescent="0.25">
      <c r="A12" s="33" t="s">
        <v>289</v>
      </c>
      <c r="B12" s="33" t="s">
        <v>291</v>
      </c>
      <c r="C12" s="34">
        <v>844.24</v>
      </c>
      <c r="D12" s="34">
        <v>841</v>
      </c>
      <c r="E12" s="34">
        <v>846.9</v>
      </c>
      <c r="F12" s="35">
        <v>843.23</v>
      </c>
      <c r="G12" s="36">
        <v>1.1977752214698135E-3</v>
      </c>
      <c r="H12" s="34" t="s">
        <v>550</v>
      </c>
      <c r="I12" s="35">
        <v>0.12</v>
      </c>
      <c r="J12" s="34">
        <v>6.2</v>
      </c>
      <c r="K12" s="34">
        <v>832.08</v>
      </c>
      <c r="L12" s="5">
        <f t="shared" si="0"/>
        <v>748.87200000000007</v>
      </c>
      <c r="M12" s="5" t="b">
        <f t="shared" si="1"/>
        <v>0</v>
      </c>
    </row>
    <row r="13" spans="1:13" ht="20.100000000000001" customHeight="1" x14ac:dyDescent="0.25">
      <c r="A13" s="2" t="s">
        <v>671</v>
      </c>
      <c r="B13" s="33" t="s">
        <v>672</v>
      </c>
      <c r="C13" s="34">
        <v>52.81</v>
      </c>
      <c r="D13" s="34">
        <v>52.65</v>
      </c>
      <c r="E13" s="34">
        <v>53.04</v>
      </c>
      <c r="F13" s="35">
        <v>52.58</v>
      </c>
      <c r="G13" s="36">
        <v>4.3742868010651194E-3</v>
      </c>
      <c r="H13" s="34" t="s">
        <v>1017</v>
      </c>
      <c r="I13" s="35">
        <v>2.88</v>
      </c>
      <c r="J13" s="34">
        <v>24.61</v>
      </c>
      <c r="K13" s="34">
        <v>49.94</v>
      </c>
      <c r="L13" s="5">
        <f t="shared" ref="L13" si="2">K13*0.9</f>
        <v>44.945999999999998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161</v>
      </c>
      <c r="B2" s="2" t="s">
        <v>165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750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159</v>
      </c>
      <c r="B3" s="2" t="s">
        <v>166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751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158</v>
      </c>
      <c r="B4" s="2" t="s">
        <v>167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743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162</v>
      </c>
      <c r="B5" s="2" t="s">
        <v>168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752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160</v>
      </c>
      <c r="B6" s="2" t="s">
        <v>169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753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164</v>
      </c>
      <c r="B7" s="2" t="s">
        <v>170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754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163</v>
      </c>
      <c r="B8" s="2" t="s">
        <v>171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755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116</v>
      </c>
      <c r="B2" s="2" t="s">
        <v>126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756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155</v>
      </c>
      <c r="B3" s="2" t="s">
        <v>156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757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236</v>
      </c>
      <c r="B4" s="2" t="s">
        <v>237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758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341</v>
      </c>
      <c r="B5" s="2" t="s">
        <v>343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759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342</v>
      </c>
      <c r="B6" s="2" t="s">
        <v>344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744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345</v>
      </c>
      <c r="B7" s="2" t="s">
        <v>346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760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339</v>
      </c>
      <c r="B8" s="2" t="s">
        <v>340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761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428</v>
      </c>
      <c r="B9" s="2" t="s">
        <v>429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742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509</v>
      </c>
      <c r="B10" s="2" t="s">
        <v>513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762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510</v>
      </c>
      <c r="B11" s="2" t="s">
        <v>514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763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511</v>
      </c>
      <c r="B12" s="2" t="s">
        <v>515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764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512</v>
      </c>
      <c r="B13" s="2" t="s">
        <v>516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765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534</v>
      </c>
      <c r="B14" s="2" t="s">
        <v>535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741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311</v>
      </c>
      <c r="B2" s="2" t="s">
        <v>315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766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312</v>
      </c>
      <c r="B3" s="2" t="s">
        <v>316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767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313</v>
      </c>
      <c r="B4" s="2" t="s">
        <v>317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768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314</v>
      </c>
      <c r="B5" s="2" t="s">
        <v>318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769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527</v>
      </c>
      <c r="B6" s="2" t="s">
        <v>529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770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528</v>
      </c>
      <c r="B7" s="2" t="s">
        <v>530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771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641</v>
      </c>
      <c r="B8" s="2" t="s">
        <v>642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772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144</v>
      </c>
      <c r="B2" s="2" t="s">
        <v>149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773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143</v>
      </c>
      <c r="B3" s="2" t="s">
        <v>150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774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146</v>
      </c>
      <c r="B4" s="2" t="s">
        <v>348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775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148</v>
      </c>
      <c r="B5" s="2" t="s">
        <v>151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550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145</v>
      </c>
      <c r="B6" s="2" t="s">
        <v>152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776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147</v>
      </c>
      <c r="B7" s="2" t="s">
        <v>153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777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142</v>
      </c>
      <c r="B8" s="2" t="s">
        <v>154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778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1.95" customHeight="1" thickTop="1" x14ac:dyDescent="0.25">
      <c r="A2" s="1" t="s">
        <v>74</v>
      </c>
      <c r="B2" s="2" t="s">
        <v>350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552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72</v>
      </c>
      <c r="B3" s="2" t="s">
        <v>77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562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75</v>
      </c>
      <c r="B4" s="2" t="s">
        <v>81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563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73</v>
      </c>
      <c r="B5" s="2" t="s">
        <v>78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564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76</v>
      </c>
      <c r="B6" s="2" t="s">
        <v>82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553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79</v>
      </c>
      <c r="B7" s="2" t="s">
        <v>80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551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561</v>
      </c>
      <c r="B8" s="2" t="s">
        <v>565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566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568</v>
      </c>
      <c r="B9" s="19" t="s">
        <v>598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599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349</v>
      </c>
      <c r="B10" s="2" t="s">
        <v>351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567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596</v>
      </c>
      <c r="B11" s="2" t="s">
        <v>600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601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597</v>
      </c>
      <c r="B12" s="2" t="s">
        <v>602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603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172</v>
      </c>
      <c r="B2" s="2" t="s">
        <v>176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604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175</v>
      </c>
      <c r="B3" s="2" t="s">
        <v>177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605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139</v>
      </c>
      <c r="B4" s="2" t="s">
        <v>140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606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174</v>
      </c>
      <c r="B5" s="2" t="s">
        <v>178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607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309</v>
      </c>
      <c r="B6" s="19" t="s">
        <v>310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334</v>
      </c>
      <c r="B7" s="19" t="s">
        <v>335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608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173</v>
      </c>
      <c r="B8" s="2" t="s">
        <v>609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84</v>
      </c>
      <c r="L1" s="13" t="s">
        <v>374</v>
      </c>
      <c r="M1" s="75" t="s">
        <v>531</v>
      </c>
      <c r="N1" s="76" t="s">
        <v>538</v>
      </c>
    </row>
    <row r="2" spans="1:14" ht="20.100000000000001" customHeight="1" thickTop="1" x14ac:dyDescent="0.25">
      <c r="A2" s="39" t="s">
        <v>368</v>
      </c>
      <c r="B2" s="39" t="s">
        <v>373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610</v>
      </c>
      <c r="I2" s="41" t="s">
        <v>39</v>
      </c>
      <c r="J2" s="40">
        <v>64.69</v>
      </c>
      <c r="K2" s="40">
        <v>73.38</v>
      </c>
      <c r="L2" s="4" t="s">
        <v>376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364</v>
      </c>
      <c r="B3" s="39" t="s">
        <v>369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611</v>
      </c>
      <c r="I3" s="41">
        <v>1.45</v>
      </c>
      <c r="J3" s="40">
        <v>19.93</v>
      </c>
      <c r="K3" s="40">
        <v>40.03</v>
      </c>
      <c r="L3" s="4" t="s">
        <v>376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367</v>
      </c>
      <c r="B4" s="39" t="s">
        <v>372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612</v>
      </c>
      <c r="I4" s="41">
        <v>1.08</v>
      </c>
      <c r="J4" s="40">
        <v>30.35</v>
      </c>
      <c r="K4" s="40">
        <v>106.01</v>
      </c>
      <c r="L4" s="4" t="s">
        <v>376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365</v>
      </c>
      <c r="B5" s="39" t="s">
        <v>370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613</v>
      </c>
      <c r="I5" s="41" t="s">
        <v>39</v>
      </c>
      <c r="J5" s="40">
        <v>231.79</v>
      </c>
      <c r="K5" s="40">
        <v>76.95</v>
      </c>
      <c r="L5" s="4" t="s">
        <v>376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366</v>
      </c>
      <c r="B6" s="39" t="s">
        <v>371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614</v>
      </c>
      <c r="I6" s="41">
        <v>0</v>
      </c>
      <c r="J6" s="40">
        <v>58.51</v>
      </c>
      <c r="K6" s="40">
        <v>94.99</v>
      </c>
      <c r="L6" s="4" t="s">
        <v>376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354</v>
      </c>
      <c r="B7" s="45" t="s">
        <v>360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615</v>
      </c>
      <c r="I7" s="47" t="s">
        <v>39</v>
      </c>
      <c r="J7" s="46" t="s">
        <v>39</v>
      </c>
      <c r="K7" s="46">
        <v>37.03</v>
      </c>
      <c r="L7" s="4" t="s">
        <v>375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356</v>
      </c>
      <c r="B8" s="45" t="s">
        <v>362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616</v>
      </c>
      <c r="I8" s="47">
        <v>0</v>
      </c>
      <c r="J8" s="46">
        <v>25.17</v>
      </c>
      <c r="K8" s="46">
        <v>84.83</v>
      </c>
      <c r="L8" s="4" t="s">
        <v>375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357</v>
      </c>
      <c r="B9" s="45" t="s">
        <v>363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617</v>
      </c>
      <c r="I9" s="47" t="s">
        <v>39</v>
      </c>
      <c r="J9" s="46">
        <v>64.42</v>
      </c>
      <c r="K9" s="46">
        <v>64.78</v>
      </c>
      <c r="L9" s="4" t="s">
        <v>375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352</v>
      </c>
      <c r="B10" s="45" t="s">
        <v>358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618</v>
      </c>
      <c r="I10" s="47" t="s">
        <v>39</v>
      </c>
      <c r="J10" s="46">
        <v>30.88</v>
      </c>
      <c r="K10" s="46">
        <v>747.86</v>
      </c>
      <c r="L10" s="4" t="s">
        <v>375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353</v>
      </c>
      <c r="B11" s="45" t="s">
        <v>359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619</v>
      </c>
      <c r="I11" s="47" t="s">
        <v>39</v>
      </c>
      <c r="J11" s="46">
        <v>60.47</v>
      </c>
      <c r="K11" s="46">
        <v>116.08</v>
      </c>
      <c r="L11" s="4" t="s">
        <v>375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355</v>
      </c>
      <c r="B12" s="45" t="s">
        <v>361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620</v>
      </c>
      <c r="I12" s="47" t="s">
        <v>39</v>
      </c>
      <c r="J12" s="46">
        <v>30.37</v>
      </c>
      <c r="K12" s="46">
        <v>53.59</v>
      </c>
      <c r="L12" s="4" t="s">
        <v>375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H10" sqref="H10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257</v>
      </c>
      <c r="B2" s="2" t="s">
        <v>260</v>
      </c>
      <c r="C2" s="4">
        <v>4.16</v>
      </c>
      <c r="D2" s="4">
        <v>4.1500000000000004</v>
      </c>
      <c r="E2" s="4">
        <v>4.3099999999999996</v>
      </c>
      <c r="F2" s="5">
        <v>4.25</v>
      </c>
      <c r="G2" s="6">
        <v>-2.1176470588235262E-2</v>
      </c>
      <c r="H2" s="4" t="s">
        <v>792</v>
      </c>
      <c r="I2" s="5">
        <v>10.1</v>
      </c>
      <c r="J2" s="5" t="s">
        <v>39</v>
      </c>
      <c r="K2" s="5">
        <v>5.0199999999999996</v>
      </c>
      <c r="L2" s="5">
        <f>K2*0.9</f>
        <v>4.5179999999999998</v>
      </c>
      <c r="M2" s="5" t="b">
        <f t="shared" ref="M2:M6" si="0">L2&gt;C2</f>
        <v>1</v>
      </c>
    </row>
    <row r="3" spans="1:13" ht="20.100000000000001" customHeight="1" x14ac:dyDescent="0.25">
      <c r="A3" s="2" t="s">
        <v>258</v>
      </c>
      <c r="B3" s="2" t="s">
        <v>261</v>
      </c>
      <c r="C3" s="4">
        <v>27.43</v>
      </c>
      <c r="D3" s="4">
        <v>27.42</v>
      </c>
      <c r="E3" s="4">
        <v>27.81</v>
      </c>
      <c r="F3" s="5">
        <v>27.52</v>
      </c>
      <c r="G3" s="6">
        <v>-3.2703488372092973E-3</v>
      </c>
      <c r="H3" s="4" t="s">
        <v>793</v>
      </c>
      <c r="I3" s="5">
        <v>7.87</v>
      </c>
      <c r="J3" s="5">
        <v>15.36</v>
      </c>
      <c r="K3" s="5">
        <v>29.36</v>
      </c>
      <c r="L3" s="5">
        <f t="shared" ref="L3:L6" si="1">K3*0.9</f>
        <v>26.423999999999999</v>
      </c>
      <c r="M3" s="5" t="b">
        <f t="shared" si="0"/>
        <v>0</v>
      </c>
    </row>
    <row r="4" spans="1:13" ht="20.100000000000001" customHeight="1" x14ac:dyDescent="0.25">
      <c r="A4" s="2" t="s">
        <v>259</v>
      </c>
      <c r="B4" s="2" t="s">
        <v>262</v>
      </c>
      <c r="C4" s="4">
        <v>40.61</v>
      </c>
      <c r="D4" s="4">
        <v>40.6</v>
      </c>
      <c r="E4" s="4">
        <v>41.04</v>
      </c>
      <c r="F4" s="5">
        <v>40.729999999999997</v>
      </c>
      <c r="G4" s="6">
        <v>-2.9462312791553513E-3</v>
      </c>
      <c r="H4" s="4" t="s">
        <v>794</v>
      </c>
      <c r="I4" s="5">
        <v>4.7300000000000004</v>
      </c>
      <c r="J4" s="5">
        <v>17.510000000000002</v>
      </c>
      <c r="K4" s="5">
        <v>40.479999999999997</v>
      </c>
      <c r="L4" s="5">
        <f t="shared" si="1"/>
        <v>36.431999999999995</v>
      </c>
      <c r="M4" s="5" t="b">
        <f t="shared" si="0"/>
        <v>0</v>
      </c>
    </row>
    <row r="5" spans="1:13" ht="20.100000000000001" customHeight="1" x14ac:dyDescent="0.25">
      <c r="A5" s="105" t="s">
        <v>791</v>
      </c>
      <c r="B5" s="19" t="s">
        <v>795</v>
      </c>
      <c r="C5" s="4">
        <v>269.97000000000003</v>
      </c>
      <c r="D5" s="4">
        <v>268.89999999999998</v>
      </c>
      <c r="E5" s="4">
        <v>272.41000000000003</v>
      </c>
      <c r="F5" s="5">
        <v>271.83</v>
      </c>
      <c r="G5" s="6">
        <v>-6.8425118640325086E-3</v>
      </c>
      <c r="H5" s="6" t="s">
        <v>796</v>
      </c>
      <c r="I5" s="5" t="s">
        <v>39</v>
      </c>
      <c r="J5" s="5">
        <v>12.06</v>
      </c>
      <c r="K5" s="5">
        <v>230.87</v>
      </c>
      <c r="L5" s="5">
        <f>K5*0.9</f>
        <v>207.78300000000002</v>
      </c>
      <c r="M5" s="5" t="b">
        <f>L5&gt;C5</f>
        <v>0</v>
      </c>
    </row>
    <row r="6" spans="1:13" ht="20.100000000000001" customHeight="1" x14ac:dyDescent="0.25">
      <c r="A6" s="2" t="s">
        <v>263</v>
      </c>
      <c r="B6" s="2" t="s">
        <v>264</v>
      </c>
      <c r="C6" s="4">
        <v>51.98</v>
      </c>
      <c r="D6" s="4">
        <v>51.96</v>
      </c>
      <c r="E6" s="4">
        <v>52.57</v>
      </c>
      <c r="F6" s="5">
        <v>52.12</v>
      </c>
      <c r="G6" s="6">
        <v>-2.6861089792785987E-3</v>
      </c>
      <c r="H6" s="4" t="s">
        <v>797</v>
      </c>
      <c r="I6" s="5">
        <v>4.4400000000000004</v>
      </c>
      <c r="J6" s="5">
        <v>14.68</v>
      </c>
      <c r="K6" s="5">
        <v>52.83</v>
      </c>
      <c r="L6" s="5">
        <f t="shared" si="1"/>
        <v>47.546999999999997</v>
      </c>
      <c r="M6" s="5" t="b">
        <f t="shared" si="0"/>
        <v>0</v>
      </c>
    </row>
    <row r="7" spans="1:13" ht="20.100000000000001" customHeight="1" x14ac:dyDescent="0.25"/>
    <row r="8" spans="1:13" ht="20.100000000000001" customHeight="1" x14ac:dyDescent="0.25"/>
  </sheetData>
  <conditionalFormatting sqref="G1:G6">
    <cfRule type="colorScale" priority="9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95" t="s">
        <v>390</v>
      </c>
      <c r="B2" s="95" t="s">
        <v>411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709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710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396</v>
      </c>
      <c r="B4" s="95" t="s">
        <v>416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711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391</v>
      </c>
      <c r="B5" s="95" t="s">
        <v>412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712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392</v>
      </c>
      <c r="B6" s="95" t="s">
        <v>413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713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268</v>
      </c>
      <c r="B7" s="95" t="s">
        <v>269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714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136</v>
      </c>
      <c r="B8" s="95" t="s">
        <v>138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715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379</v>
      </c>
      <c r="B9" s="95" t="s">
        <v>400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716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388</v>
      </c>
      <c r="B10" s="95" t="s">
        <v>409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717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278</v>
      </c>
      <c r="B11" s="95" t="s">
        <v>279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718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384</v>
      </c>
      <c r="B12" s="95" t="s">
        <v>405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719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383</v>
      </c>
      <c r="B13" s="95" t="s">
        <v>404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720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387</v>
      </c>
      <c r="B14" s="95" t="s">
        <v>408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721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389</v>
      </c>
      <c r="B15" s="95" t="s">
        <v>410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722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723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724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395</v>
      </c>
      <c r="B18" s="95" t="s">
        <v>621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673</v>
      </c>
      <c r="B19" s="95" t="s">
        <v>674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725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266</v>
      </c>
      <c r="B20" s="95" t="s">
        <v>267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726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397</v>
      </c>
      <c r="B21" s="95" t="s">
        <v>417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727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548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380</v>
      </c>
      <c r="B23" s="95" t="s">
        <v>401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728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729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394</v>
      </c>
      <c r="B25" s="95" t="s">
        <v>415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730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381</v>
      </c>
      <c r="B26" s="95" t="s">
        <v>402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731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393</v>
      </c>
      <c r="B27" s="95" t="s">
        <v>414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732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378</v>
      </c>
      <c r="B28" s="95" t="s">
        <v>399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733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382</v>
      </c>
      <c r="B29" s="95" t="s">
        <v>403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734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135</v>
      </c>
      <c r="B30" s="95" t="s">
        <v>137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735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398</v>
      </c>
      <c r="B31" s="95" t="s">
        <v>622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386</v>
      </c>
      <c r="B32" s="95" t="s">
        <v>407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736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385</v>
      </c>
      <c r="B33" s="95" t="s">
        <v>406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737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1" t="s">
        <v>449</v>
      </c>
      <c r="B2" s="2" t="s">
        <v>456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779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450</v>
      </c>
      <c r="B3" s="2" t="s">
        <v>457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780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451</v>
      </c>
      <c r="B4" s="2" t="s">
        <v>458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781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452</v>
      </c>
      <c r="B5" s="2" t="s">
        <v>459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782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453</v>
      </c>
      <c r="B6" s="2" t="s">
        <v>460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783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454</v>
      </c>
      <c r="B7" s="2" t="s">
        <v>461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784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707</v>
      </c>
      <c r="B8" s="2" t="s">
        <v>708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785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455</v>
      </c>
      <c r="B9" s="2" t="s">
        <v>462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786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67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84</v>
      </c>
      <c r="L1" s="75" t="s">
        <v>531</v>
      </c>
      <c r="M1" s="76" t="s">
        <v>538</v>
      </c>
    </row>
    <row r="2" spans="1:13" ht="20.100000000000001" customHeight="1" thickTop="1" x14ac:dyDescent="0.25">
      <c r="A2" s="2" t="s">
        <v>518</v>
      </c>
      <c r="B2" s="2" t="s">
        <v>522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787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519</v>
      </c>
      <c r="B3" s="2" t="s">
        <v>523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749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520</v>
      </c>
      <c r="B4" s="2" t="s">
        <v>524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788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521</v>
      </c>
      <c r="B5" s="2" t="s">
        <v>525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789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2017-01-17T02:41:52Z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