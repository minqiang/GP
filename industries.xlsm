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4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3" i="6"/>
  <c r="M13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6" i="41"/>
  <c r="M6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5" i="19"/>
  <c r="M5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L13" i="28"/>
  <c r="M13" i="28" s="1"/>
  <c r="L14" i="28"/>
  <c r="M14" i="28" s="1"/>
  <c r="M4" i="28"/>
  <c r="M5" i="28"/>
  <c r="M12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L4" i="38"/>
  <c r="M4" i="38" s="1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M12" i="38" s="1"/>
  <c r="L13" i="38"/>
  <c r="M13" i="38" s="1"/>
  <c r="M3" i="38"/>
  <c r="M5" i="38"/>
  <c r="M11" i="38"/>
  <c r="L4" i="40"/>
  <c r="M4" i="40" s="1"/>
  <c r="L7" i="40"/>
  <c r="M7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L2" i="3"/>
  <c r="L3" i="3"/>
  <c r="L4" i="3"/>
  <c r="L5" i="3"/>
  <c r="L6" i="3"/>
  <c r="L7" i="3"/>
  <c r="M7" i="3" s="1"/>
  <c r="L8" i="3"/>
  <c r="M8" i="3" s="1"/>
  <c r="M9" i="3"/>
  <c r="M2" i="3"/>
  <c r="M3" i="3"/>
  <c r="M4" i="3"/>
  <c r="M5" i="3"/>
  <c r="M6" i="3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L4" i="2"/>
  <c r="L5" i="2"/>
  <c r="L6" i="2"/>
  <c r="M6" i="2" s="1"/>
  <c r="L7" i="2"/>
  <c r="M7" i="2" s="1"/>
  <c r="L8" i="2"/>
  <c r="M8" i="2" s="1"/>
  <c r="L9" i="2"/>
  <c r="M9" i="2" s="1"/>
  <c r="L10" i="2"/>
  <c r="M10" i="2" s="1"/>
  <c r="L11" i="2"/>
  <c r="L12" i="2"/>
  <c r="L13" i="2"/>
  <c r="M13" i="2" s="1"/>
  <c r="L14" i="2"/>
  <c r="M14" i="2" s="1"/>
  <c r="L15" i="2"/>
  <c r="M15" i="2" s="1"/>
  <c r="L16" i="2"/>
  <c r="M16" i="2" s="1"/>
  <c r="L17" i="2"/>
  <c r="L2" i="4"/>
  <c r="M2" i="4" s="1"/>
  <c r="L3" i="4"/>
  <c r="M3" i="4" s="1"/>
  <c r="L4" i="4"/>
  <c r="L5" i="4"/>
  <c r="L6" i="4"/>
  <c r="M6" i="4" s="1"/>
  <c r="L7" i="4"/>
  <c r="M7" i="4" s="1"/>
  <c r="L8" i="4"/>
  <c r="M8" i="4" s="1"/>
  <c r="L9" i="4"/>
  <c r="M9" i="4" s="1"/>
  <c r="L2" i="37"/>
  <c r="M2" i="37" s="1"/>
  <c r="L3" i="37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M14" i="13"/>
  <c r="M3" i="37"/>
  <c r="M4" i="4"/>
  <c r="M5" i="4"/>
  <c r="L2" i="36"/>
  <c r="M2" i="36" s="1"/>
  <c r="L3" i="36"/>
  <c r="M3" i="36" s="1"/>
  <c r="L4" i="36"/>
  <c r="M4" i="36" s="1"/>
  <c r="M3" i="2"/>
  <c r="M4" i="2"/>
  <c r="M5" i="2"/>
  <c r="M17" i="2"/>
  <c r="M11" i="2"/>
  <c r="M12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M5" i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M2" i="6" s="1"/>
  <c r="L3" i="6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M3" i="6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L3" i="26"/>
  <c r="M3" i="26" s="1"/>
  <c r="L4" i="26"/>
  <c r="M4" i="26" s="1"/>
  <c r="L5" i="26"/>
  <c r="M5" i="26" s="1"/>
  <c r="L6" i="26"/>
  <c r="M6" i="26" s="1"/>
  <c r="L7" i="26"/>
  <c r="M7" i="26" s="1"/>
  <c r="L8" i="26"/>
  <c r="M8" i="26" s="1"/>
  <c r="L9" i="26"/>
  <c r="M9" i="26" s="1"/>
  <c r="L10" i="26"/>
  <c r="M10" i="26" s="1"/>
  <c r="L11" i="26"/>
  <c r="M11" i="26" s="1"/>
  <c r="L12" i="26"/>
  <c r="M12" i="26" s="1"/>
  <c r="L13" i="26"/>
  <c r="M13" i="26" s="1"/>
  <c r="L2" i="26"/>
  <c r="M2" i="26" s="1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<sst xmlns="http://schemas.openxmlformats.org/spreadsheetml/2006/main" count="2025" uniqueCount="1006">
  <si>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</si>
  <si>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</si>
  <si>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</si>
  <si>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</si>
  <si>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</si>
  <si>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</si>
  <si>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</si>
  <si>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</si>
  <si>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</si>
  <si>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</si>
  <si>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</si>
  <si>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</si>
  <si>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</si>
  <si>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</si>
  <si>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</si>
  <si>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</si>
  <si>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</si>
  <si>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</si>
  <si>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</si>
  <si>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</si>
  <si>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</si>
  <si>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</si>
  <si>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</si>
  <si>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</si>
  <si>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</si>
  <si>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</si>
  <si>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</si>
  <si>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</si>
  <si>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</si>
  <si>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</si>
  <si>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</si>
  <si>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</si>
  <si>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</si>
  <si>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</si>
  <si>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</si>
  <si>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</si>
  <si>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</si>
  <si>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</si>
  <si>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</si>
  <si>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</si>
  <si>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</si>
  <si>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</si>
  <si>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</si>
  <si>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</si>
  <si>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</si>
  <si>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</si>
  <si>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</si>
  <si>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</si>
  <si>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</si>
  <si>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</si>
  <si>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</si>
  <si>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</si>
  <si>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</si>
  <si>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</si>
  <si>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</si>
  <si>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</si>
  <si>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</si>
  <si>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</si>
  <si>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</si>
  <si>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</si>
  <si>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</si>
  <si>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</si>
  <si>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</si>
  <si>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</si>
  <si>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</si>
  <si>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</si>
  <si>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</si>
  <si>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</si>
  <si>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</si>
  <si>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</si>
  <si>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</si>
  <si>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</si>
  <si>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</si>
  <si>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</si>
  <si>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</si>
  <si>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</si>
  <si>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</si>
  <si>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</si>
  <si>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</si>
  <si>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</si>
  <si>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</si>
  <si>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</si>
  <si>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</si>
  <si>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</si>
  <si>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</si>
  <si>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</si>
  <si>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</si>
  <si>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</si>
  <si>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</si>
  <si>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</si>
  <si>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</si>
  <si>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</si>
  <si>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</si>
  <si>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</si>
  <si>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</si>
  <si>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</si>
  <si>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</si>
  <si>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</si>
  <si>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</si>
  <si>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</si>
  <si>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</si>
  <si>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</si>
  <si>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</si>
  <si>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</si>
  <si>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</si>
  <si>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</si>
  <si>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</si>
  <si>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</si>
  <si>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</si>
  <si>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</si>
  <si>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</si>
  <si>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</si>
  <si>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</si>
  <si>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</si>
  <si>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</si>
  <si>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</si>
  <si>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</si>
  <si>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</si>
  <si>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</si>
  <si>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</si>
  <si>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</si>
  <si>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</si>
  <si>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</si>
  <si>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</si>
  <si>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</si>
  <si>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</si>
  <si>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</si>
  <si>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</si>
  <si>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</si>
  <si>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</si>
  <si>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</si>
  <si>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</si>
  <si>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</si>
  <si>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</si>
  <si>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</si>
  <si>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</si>
  <si>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</si>
  <si>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</si>
  <si>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</si>
  <si>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</si>
  <si>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</si>
  <si>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</si>
  <si>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</si>
  <si>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</si>
  <si>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</si>
  <si>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</si>
  <si>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</si>
  <si>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</si>
  <si>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</si>
  <si>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</si>
  <si>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</si>
  <si>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</si>
  <si>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</si>
  <si>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</si>
  <si>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</si>
  <si>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</si>
  <si>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</si>
  <si>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</si>
  <si>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</si>
  <si>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</si>
  <si>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</si>
  <si>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</si>
  <si>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</si>
  <si>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</si>
  <si>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</si>
  <si>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</si>
  <si>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</si>
  <si>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</si>
  <si>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</si>
  <si>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</si>
  <si>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</si>
  <si>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</si>
  <si>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</si>
  <si>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</si>
  <si>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</si>
  <si>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</si>
  <si>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</si>
  <si>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</si>
  <si>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</si>
  <si>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</si>
  <si>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</si>
  <si>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</si>
  <si>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</si>
  <si>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</si>
  <si>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</si>
  <si>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</si>
  <si>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</si>
  <si>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</si>
  <si>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</si>
  <si>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</si>
  <si>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</si>
  <si>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</si>
  <si>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</si>
  <si>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</si>
  <si>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</si>
  <si>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</si>
  <si>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</si>
  <si>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</si>
  <si>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</si>
  <si>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</si>
  <si>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</si>
  <si>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</si>
  <si>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</si>
  <si>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</si>
  <si>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</si>
  <si>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</si>
  <si>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</si>
  <si>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</si>
  <si>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</si>
  <si>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</si>
  <si>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</si>
  <si>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</si>
  <si>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</si>
  <si>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</si>
  <si>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</si>
  <si>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</si>
  <si>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</si>
  <si>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</si>
  <si>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</si>
  <si>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</si>
  <si>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</si>
  <si>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</si>
  <si>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</si>
  <si>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</si>
  <si>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</si>
  <si>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</si>
  <si>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</si>
  <si>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</si>
  <si>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</si>
  <si>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</si>
  <si>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</si>
  <si>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</si>
  <si>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</si>
  <si>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</si>
  <si>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</si>
  <si>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</si>
  <si>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</si>
  <si>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</si>
  <si>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</si>
  <si>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</si>
  <si>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</si>
  <si>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</si>
  <si>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</si>
  <si>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</si>
  <si>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</si>
  <si>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</si>
  <si>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</si>
  <si>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</si>
  <si>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</si>
  <si>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</si>
  <si>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</si>
  <si>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</si>
  <si>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</si>
  <si>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</si>
  <si>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</si>
  <si>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</si>
  <si>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</si>
  <si>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</si>
  <si>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</si>
  <si>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</si>
  <si>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</si>
  <si>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</si>
  <si>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</si>
  <si>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</si>
  <si>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</si>
  <si>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</si>
  <si>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</si>
  <si>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</si>
  <si>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</si>
  <si>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</si>
  <si>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</si>
  <si>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</si>
  <si>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</si>
  <si>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</si>
  <si>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</si>
  <si>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</si>
  <si>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</si>
  <si>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</si>
  <si>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</si>
  <si>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</si>
  <si>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</si>
  <si>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</si>
  <si>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</si>
  <si>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</si>
  <si>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</si>
  <si>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</si>
  <si>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</si>
  <si>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</si>
  <si>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</si>
  <si>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</si>
  <si>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</si>
  <si>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</si>
  <si>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</si>
  <si>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</si>
  <si>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</si>
  <si>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</si>
  <si>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</si>
  <si>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</si>
  <si>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</si>
  <si>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</si>
  <si>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</si>
  <si>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</si>
  <si>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</si>
  <si>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</si>
  <si>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</si>
  <si>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</si>
  <si>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</si>
  <si>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</si>
  <si>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</si>
  <si>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</si>
  <si>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</si>
  <si>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</si>
  <si>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</si>
  <si>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</si>
  <si>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</si>
  <si>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</si>
  <si>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</si>
  <si>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</si>
  <si>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</si>
  <si>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</si>
  <si>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</si>
  <si>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</si>
  <si>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</si>
  <si>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</si>
  <si>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</si>
  <si>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</si>
  <si>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"BURBERRY GROUP PLC"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</si>
  <si>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</si>
  <si>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</si>
  <si>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</si>
  <si>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</si>
  <si>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</si>
  <si>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</si>
  <si>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</si>
  <si>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</si>
  <si>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</si>
  <si>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</si>
  <si>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</si>
  <si>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</si>
  <si>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</si>
  <si>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</si>
  <si>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</si>
  <si>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</si>
  <si>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</si>
  <si>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</si>
  <si>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</si>
  <si>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</si>
  <si>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</si>
  <si>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</si>
  <si>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</si>
  <si>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</si>
  <si>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</si>
  <si>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</si>
  <si>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</si>
  <si>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18.78B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</si>
  <si>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</si>
  <si>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</si>
  <si>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</si>
  <si>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</si>
  <si>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</si>
  <si>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</si>
  <si>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</si>
  <si>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</si>
  <si>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</si>
  <si>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</si>
  <si>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</si>
  <si>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</si>
  <si>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</si>
  <si>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</si>
  <si>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</si>
  <si>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</si>
  <si>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</si>
  <si>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</si>
  <si>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</si>
  <si>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</si>
  <si>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</si>
  <si>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</si>
  <si>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</si>
  <si>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</si>
  <si>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</si>
  <si>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</si>
  <si>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</si>
  <si>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</si>
  <si>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</si>
  <si>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</si>
  <si>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</si>
  <si>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</si>
  <si>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</si>
  <si>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</si>
  <si>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</si>
  <si>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</si>
  <si>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</si>
  <si>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</si>
  <si>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</si>
  <si>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</si>
  <si>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</si>
  <si>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</si>
  <si>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</si>
  <si>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</si>
  <si>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</si>
  <si>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</si>
  <si>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</si>
  <si>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</si>
  <si>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</si>
  <si>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</si>
  <si>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</si>
  <si>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</si>
  <si>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</si>
  <si>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</si>
  <si>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</si>
  <si>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</si>
  <si>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</si>
  <si>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</si>
  <si>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</si>
  <si>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</si>
  <si>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</si>
  <si>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</si>
  <si>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</si>
  <si>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</si>
  <si>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</si>
  <si>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</si>
  <si>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</si>
  <si>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</si>
  <si>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</si>
  <si>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</si>
  <si>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</si>
  <si>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</si>
  <si>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</si>
  <si>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</si>
  <si>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</si>
  <si>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</si>
  <si>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</si>
  <si>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</si>
  <si>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</si>
  <si>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</si>
  <si>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1.76B</t>
  </si>
  <si>
    <t>130.11B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</si>
  <si>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</si>
  <si>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</si>
  <si>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</si>
  <si>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</si>
  <si>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</si>
  <si>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</si>
  <si>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</si>
  <si>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</si>
  <si>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</si>
  <si>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</si>
  <si>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</si>
  <si>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</si>
  <si>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</si>
  <si>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</si>
  <si>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</si>
  <si>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</si>
  <si>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</si>
  <si>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</si>
  <si>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</si>
  <si>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4.61B</t>
  </si>
  <si>
    <t>1.51B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</si>
  <si>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</si>
  <si>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</si>
  <si>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</si>
  <si>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</si>
  <si>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</si>
  <si>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</si>
  <si>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</si>
  <si>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</si>
  <si>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</si>
  <si>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</si>
  <si>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</si>
  <si>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</si>
  <si>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</si>
  <si>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</si>
  <si>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</si>
  <si>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</si>
  <si>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</si>
  <si>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</si>
  <si>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</si>
  <si>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</si>
  <si>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</si>
  <si>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</si>
  <si>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</si>
  <si>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"Under Armour, Inc. Class A Comm"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</si>
  <si>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</si>
  <si>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</si>
  <si>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</si>
  <si>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</si>
  <si>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</si>
  <si>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</si>
  <si>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</si>
  <si>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</si>
  <si>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</si>
  <si>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</si>
  <si>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</si>
  <si>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</si>
  <si>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</si>
  <si>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</si>
  <si>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</si>
  <si>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</si>
  <si>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</si>
  <si>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</si>
  <si>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</si>
  <si>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</si>
  <si>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</si>
  <si>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</si>
  <si>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</si>
  <si>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</si>
  <si>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</si>
  <si>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</si>
  <si>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</si>
  <si>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</si>
  <si>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</si>
  <si>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</si>
  <si>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</si>
  <si>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</si>
  <si>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</si>
  <si>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</si>
  <si>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</si>
  <si>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</si>
  <si>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</si>
  <si>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</si>
  <si>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</si>
  <si>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</si>
  <si>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</si>
  <si>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</si>
  <si>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</si>
  <si>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</si>
  <si>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</si>
  <si>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</si>
  <si>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</si>
  <si>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</si>
  <si>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</si>
  <si>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</si>
  <si>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</si>
  <si>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</si>
  <si>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</si>
  <si>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</si>
  <si>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</si>
  <si>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</si>
  <si>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</si>
  <si>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</si>
  <si>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</si>
  <si>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</si>
  <si>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6.93B</t>
  </si>
  <si>
    <t>"Sealed Air Corporation Common S"</t>
  </si>
  <si>
    <t>"Westrock Company Common Stock"</t>
  </si>
  <si>
    <t>3.56B</t>
  </si>
  <si>
    <t>Target</t>
  </si>
  <si>
    <t>HA</t>
  </si>
  <si>
    <t>"Hawaiian Holdings, Inc."</t>
  </si>
  <si>
    <t>TCK</t>
  </si>
  <si>
    <t>"Teck Resources Ltd Ordinary Sha"</t>
  </si>
  <si>
    <t>OCI.AS</t>
  </si>
  <si>
    <t>15.10B</t>
  </si>
  <si>
    <t>40.55B</t>
  </si>
  <si>
    <t>"OCI"</t>
  </si>
  <si>
    <t>81.82B</t>
  </si>
  <si>
    <t>11.05B</t>
  </si>
  <si>
    <t>3.92B</t>
  </si>
  <si>
    <t>4.66B</t>
  </si>
  <si>
    <t>Buy?</t>
  </si>
  <si>
    <t>subsidiary of CF</t>
  </si>
  <si>
    <t>10.64B</t>
  </si>
  <si>
    <t>1.35B</t>
  </si>
  <si>
    <t>FL</t>
  </si>
  <si>
    <t>LULU</t>
  </si>
  <si>
    <t>"Foot Locker, Inc."</t>
  </si>
  <si>
    <t>"lululemon athletica inc."</t>
  </si>
  <si>
    <t>2.92B</t>
  </si>
  <si>
    <t>2.45B</t>
  </si>
  <si>
    <t>8.30B</t>
  </si>
  <si>
    <t>8.49B</t>
  </si>
  <si>
    <t>7.81B</t>
  </si>
  <si>
    <t>6.20B</t>
  </si>
  <si>
    <t>"Endo International plc"</t>
  </si>
  <si>
    <t>HRS</t>
  </si>
  <si>
    <t>CAE</t>
  </si>
  <si>
    <t>TDY</t>
  </si>
  <si>
    <t>46.83B</t>
  </si>
  <si>
    <t>38.08B</t>
  </si>
  <si>
    <t>41.35B</t>
  </si>
  <si>
    <t>73.70B</t>
  </si>
  <si>
    <t>"Harris Corporation Common Stock"</t>
  </si>
  <si>
    <t>11.64B</t>
  </si>
  <si>
    <t>"CAE Inc. Ordinary Shares"</t>
  </si>
  <si>
    <t>3.88B</t>
  </si>
  <si>
    <t>"Teledyne Technologies Incorpora"</t>
  </si>
  <si>
    <t>3.79B</t>
  </si>
  <si>
    <t>32.08B</t>
  </si>
  <si>
    <t>4.48B</t>
  </si>
  <si>
    <t>1.46B</t>
  </si>
  <si>
    <t>31.44B</t>
  </si>
  <si>
    <t>13.95B</t>
  </si>
  <si>
    <t>3.78B</t>
  </si>
  <si>
    <t>21.74B</t>
  </si>
  <si>
    <t>1.77B</t>
  </si>
  <si>
    <t>56.88B</t>
  </si>
  <si>
    <t>9.75B</t>
  </si>
  <si>
    <t>55.28B</t>
  </si>
  <si>
    <t>13.99B</t>
  </si>
  <si>
    <t>580.50B</t>
  </si>
  <si>
    <t>68.55B</t>
  </si>
  <si>
    <t>19.42B</t>
  </si>
  <si>
    <t>69.90B</t>
  </si>
  <si>
    <t>7.37B</t>
  </si>
  <si>
    <t>93.36B</t>
  </si>
  <si>
    <t>28.84B</t>
  </si>
  <si>
    <t>5.06B</t>
  </si>
  <si>
    <t>11.35B</t>
  </si>
  <si>
    <t>50.68B</t>
  </si>
  <si>
    <t>23.18B</t>
  </si>
  <si>
    <t>48.96B</t>
  </si>
  <si>
    <t>16.62B</t>
  </si>
  <si>
    <t>13.12B</t>
  </si>
  <si>
    <t>14.73B</t>
  </si>
  <si>
    <t>59.21B</t>
  </si>
  <si>
    <t>31.16B</t>
  </si>
  <si>
    <t>6.75B</t>
  </si>
  <si>
    <t>5.40B</t>
  </si>
  <si>
    <t>E_P</t>
  </si>
  <si>
    <t>PLKI</t>
  </si>
  <si>
    <t>98.84B</t>
  </si>
  <si>
    <t>11.89B</t>
  </si>
  <si>
    <t>3.32B</t>
  </si>
  <si>
    <t>35.58B</t>
  </si>
  <si>
    <t>2.66B</t>
  </si>
  <si>
    <t>1.33B</t>
  </si>
  <si>
    <t>2.80B</t>
  </si>
  <si>
    <t>"Popeyes Louisiana Kitchen, Inc."</t>
  </si>
  <si>
    <t>1.17B</t>
  </si>
  <si>
    <t>BWLD</t>
  </si>
  <si>
    <t>"Buffalo Wild Wings, Inc."</t>
  </si>
  <si>
    <t>2.96B</t>
  </si>
  <si>
    <t>168.26B</t>
  </si>
  <si>
    <t>44.47B</t>
  </si>
  <si>
    <t>61.48B</t>
  </si>
  <si>
    <t>138.03B</t>
  </si>
  <si>
    <t>36.66B</t>
  </si>
  <si>
    <t>27.62B</t>
  </si>
  <si>
    <t>20.37B</t>
  </si>
  <si>
    <t>72.14B</t>
  </si>
  <si>
    <t>243.74B</t>
  </si>
  <si>
    <t>60.97B</t>
  </si>
  <si>
    <t>54.52B</t>
  </si>
  <si>
    <t>75.58B</t>
  </si>
  <si>
    <t>255.05B</t>
  </si>
  <si>
    <t>193.52B</t>
  </si>
  <si>
    <t>107.46B</t>
  </si>
  <si>
    <t>60.22B</t>
  </si>
  <si>
    <t>24.23B</t>
  </si>
  <si>
    <t>25.49B</t>
  </si>
  <si>
    <t>20.46B</t>
  </si>
  <si>
    <t>17.78B</t>
  </si>
  <si>
    <t>42.35B</t>
  </si>
  <si>
    <t>28.87B</t>
  </si>
  <si>
    <t>109.11B</t>
  </si>
  <si>
    <t>68.74B</t>
  </si>
  <si>
    <t>15.55B</t>
  </si>
  <si>
    <t>HSY</t>
  </si>
  <si>
    <t>"The Hershey Company Common Stoc"</t>
  </si>
  <si>
    <t>21.17B</t>
  </si>
  <si>
    <t>25.40B</t>
  </si>
  <si>
    <t>100.05B</t>
  </si>
  <si>
    <t>45.72B</t>
  </si>
  <si>
    <t>41.30B</t>
  </si>
  <si>
    <t>798.33M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</si>
  <si>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</si>
  <si>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</si>
  <si>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</si>
  <si>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</si>
  <si>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</si>
  <si>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</si>
  <si>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</si>
  <si>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</si>
  <si>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</si>
  <si>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</si>
  <si>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50.23B</t>
  </si>
  <si>
    <t>"Fiat Chrysler Automobiles N.V. "</t>
  </si>
  <si>
    <t>"Tesla Motors, Inc."</t>
  </si>
  <si>
    <t>49.67B</t>
  </si>
  <si>
    <t>Auto</t>
  </si>
  <si>
    <t>34.05B</t>
  </si>
  <si>
    <t>280.40B</t>
  </si>
  <si>
    <t>109.28B</t>
  </si>
  <si>
    <t>3.70B</t>
  </si>
  <si>
    <t>89.49B</t>
  </si>
  <si>
    <t>88.56B</t>
  </si>
  <si>
    <t>47.73B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</si>
  <si>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</si>
  <si>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</si>
  <si>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</si>
  <si>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</si>
  <si>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</si>
  <si>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</si>
  <si>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</si>
  <si>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</si>
  <si>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</si>
  <si>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</si>
  <si>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</si>
  <si>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17.68B</t>
  </si>
  <si>
    <t>"Pentair plc. Ordinary Share"</t>
  </si>
  <si>
    <t>11.59B</t>
  </si>
  <si>
    <t>"Xylem Inc. Common Stock New"</t>
  </si>
  <si>
    <t>9.12B</t>
  </si>
  <si>
    <t>"Tyco International plc (Ireland"</t>
  </si>
  <si>
    <t>19.43B</t>
  </si>
  <si>
    <t>"Roper Technologies, Inc. Common"</t>
  </si>
  <si>
    <t>18.46B</t>
  </si>
  <si>
    <t>"Quanta Services, Inc. Common St"</t>
  </si>
  <si>
    <t>3.95B</t>
  </si>
  <si>
    <t>17.51B</t>
  </si>
  <si>
    <t>"Jacobs Engineering Group Inc. C"</t>
  </si>
  <si>
    <t>6.34B</t>
  </si>
  <si>
    <t>"Parker-Hannifin Corporation Com"</t>
  </si>
  <si>
    <t>16.54B</t>
  </si>
  <si>
    <t>"Ryder System, Inc. Common Stock"</t>
  </si>
  <si>
    <t>"Leggett &amp; Platt, Incorporated C"</t>
  </si>
  <si>
    <t>"Rockwell Automation, Inc. Commo"</t>
  </si>
  <si>
    <t>15.15B</t>
  </si>
  <si>
    <t>5.43B</t>
  </si>
  <si>
    <t>25.61B</t>
  </si>
  <si>
    <t>"D/B/A Chubb Limited New Common "</t>
  </si>
  <si>
    <t>59.44B</t>
  </si>
  <si>
    <t>12.81B</t>
  </si>
  <si>
    <t>15.82B</t>
  </si>
  <si>
    <t>18.89B</t>
  </si>
  <si>
    <t>34.74B</t>
  </si>
  <si>
    <t>34.26B</t>
  </si>
  <si>
    <t>"XL Group Ltd."</t>
  </si>
  <si>
    <t>9.56B</t>
  </si>
  <si>
    <t>64.09B</t>
  </si>
  <si>
    <t>4.03B</t>
  </si>
  <si>
    <t>23.22B</t>
  </si>
  <si>
    <t>159.57B</t>
  </si>
  <si>
    <t>151.74B</t>
  </si>
  <si>
    <t>10.83B</t>
  </si>
  <si>
    <t>45.73B</t>
  </si>
  <si>
    <t>8.09B</t>
  </si>
  <si>
    <t>15.83B</t>
  </si>
  <si>
    <t>13.32B</t>
  </si>
  <si>
    <t>13.92B</t>
  </si>
  <si>
    <t>2.77B</t>
  </si>
  <si>
    <t>540.74M</t>
  </si>
  <si>
    <t>15.61B</t>
  </si>
  <si>
    <t>5.93B</t>
  </si>
  <si>
    <t>5.56B</t>
  </si>
  <si>
    <t>1.53B</t>
  </si>
  <si>
    <t>1.86B</t>
  </si>
  <si>
    <t>11.71B</t>
  </si>
  <si>
    <t>1.48B</t>
  </si>
  <si>
    <t>15.23B</t>
  </si>
  <si>
    <t>9.79B</t>
  </si>
  <si>
    <t>20.20B</t>
  </si>
  <si>
    <t>7.44B</t>
  </si>
  <si>
    <t>12.07B</t>
  </si>
  <si>
    <t>50.51B</t>
  </si>
  <si>
    <t>22.84B</t>
  </si>
  <si>
    <t>26.62B</t>
  </si>
  <si>
    <t>10.34B</t>
  </si>
  <si>
    <t>27.64B</t>
  </si>
  <si>
    <t>79.36B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</si>
  <si>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</si>
  <si>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</si>
  <si>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</si>
  <si>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</si>
  <si>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</si>
  <si>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</si>
  <si>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</si>
  <si>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</si>
  <si>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</si>
  <si>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</si>
  <si>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</si>
  <si>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</si>
  <si>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</si>
  <si>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</si>
  <si>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</si>
  <si>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</si>
  <si>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</si>
  <si>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</si>
  <si>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</si>
  <si>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</si>
  <si>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</si>
  <si>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</si>
  <si>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</si>
  <si>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</si>
  <si>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</si>
  <si>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215.55B</t>
  </si>
  <si>
    <t>251.92B</t>
  </si>
  <si>
    <t>5.35B</t>
  </si>
  <si>
    <t>15.25B</t>
  </si>
  <si>
    <t>"AGL Resources, Inc."</t>
  </si>
  <si>
    <t>"TECO Energy, Inc."</t>
  </si>
  <si>
    <t>28.46B</t>
  </si>
  <si>
    <t>7.16B</t>
  </si>
  <si>
    <t>13.71B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</si>
  <si>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</si>
  <si>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</si>
  <si>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</si>
  <si>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</si>
  <si>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</si>
  <si>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</si>
  <si>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</si>
  <si>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</si>
  <si>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</si>
  <si>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</si>
  <si>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</si>
  <si>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</si>
  <si>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</si>
  <si>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</si>
  <si>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</si>
  <si>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</si>
  <si>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</si>
  <si>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"Omnicom Group Inc. Common Stock"</t>
  </si>
  <si>
    <t>"WPP plc"</t>
  </si>
  <si>
    <t>"PUBLICIS GROUPE S.A."</t>
  </si>
  <si>
    <t>AVY</t>
  </si>
  <si>
    <t>"Avery Dennison Corporation Comm"</t>
  </si>
  <si>
    <t>6.94B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</si>
  <si>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</si>
  <si>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</si>
  <si>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</si>
  <si>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</si>
  <si>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</si>
  <si>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</si>
  <si>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</si>
  <si>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</si>
  <si>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31.73B</t>
  </si>
  <si>
    <t>"Electronic Arts Inc."</t>
  </si>
  <si>
    <t>25.10B</t>
  </si>
  <si>
    <t>"Take-Two Interactive Software, "</t>
  </si>
  <si>
    <t>"NINTENDO CO LTD-ORD-"</t>
  </si>
  <si>
    <t>27.76B</t>
  </si>
  <si>
    <t>"Gamestop Corporation Common Sto"</t>
  </si>
  <si>
    <t>2.95B</t>
  </si>
  <si>
    <t>"Sony Corporation Common Stock"</t>
  </si>
  <si>
    <t>41.18B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</si>
  <si>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</si>
  <si>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</si>
  <si>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</si>
  <si>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</si>
  <si>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</si>
  <si>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</si>
  <si>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</si>
  <si>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</si>
  <si>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</si>
  <si>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34.56B</t>
  </si>
  <si>
    <t>"Royal Caribbean Cruises Ltd. Co"</t>
  </si>
  <si>
    <t>15.07B</t>
  </si>
  <si>
    <t>"Norwegian Cruise Line Holdings "</t>
  </si>
  <si>
    <t>LIND</t>
  </si>
  <si>
    <t>"Lindblad Expeditions Holdings I"</t>
  </si>
  <si>
    <t>435.01M</t>
  </si>
  <si>
    <t>Cruise</t>
  </si>
  <si>
    <t>TDG</t>
  </si>
  <si>
    <t>"Transdigm Group Incorporated Tr"</t>
  </si>
  <si>
    <t>AJG</t>
  </si>
  <si>
    <t>"Arthur J. Gallagher &amp; Co. Commo"</t>
  </si>
  <si>
    <t>8.85B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</si>
  <si>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</si>
  <si>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</si>
  <si>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</si>
  <si>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</si>
  <si>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</si>
  <si>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</si>
  <si>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22.04B</t>
  </si>
  <si>
    <t>ALK</t>
  </si>
  <si>
    <t>"Alaska Air Group, Inc. Common S"</t>
  </si>
  <si>
    <t>LDOS</t>
  </si>
  <si>
    <t>"Leidos Holdings, Inc. Common St"</t>
  </si>
  <si>
    <t>3.00B</t>
  </si>
  <si>
    <t>PG</t>
  </si>
  <si>
    <t>NWL</t>
  </si>
  <si>
    <t>CLX</t>
  </si>
  <si>
    <t>CL</t>
  </si>
  <si>
    <t>JNJ</t>
  </si>
  <si>
    <t>KMB</t>
  </si>
  <si>
    <t>"Procter &amp; Gamble Company (The) "</t>
  </si>
  <si>
    <t>235.38B</t>
  </si>
  <si>
    <t>"Newell Brands Inc. Common Stock"</t>
  </si>
  <si>
    <t>25.83B</t>
  </si>
  <si>
    <t>"Clorox Company (The) Common Sto"</t>
  </si>
  <si>
    <t>17.09B</t>
  </si>
  <si>
    <t>"Colgate-Palmolive Company Commo"</t>
  </si>
  <si>
    <t>66.76B</t>
  </si>
  <si>
    <t>"Johnson &amp; Johnson Common Stock"</t>
  </si>
  <si>
    <t>326.44B</t>
  </si>
  <si>
    <t>"Kimberly-Clark Corporation Comm"</t>
  </si>
  <si>
    <t>46.33B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</si>
  <si>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</si>
  <si>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</si>
  <si>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</si>
  <si>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</si>
  <si>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</si>
  <si>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</si>
  <si>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</si>
  <si>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</si>
  <si>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2.38B</t>
  </si>
  <si>
    <t>"Charles Schwab Corporation (The"</t>
  </si>
  <si>
    <t>"TD Ameritrade Holding Corporati"</t>
  </si>
  <si>
    <t>"KCG Holdings, Inc. Class A Comm"</t>
  </si>
  <si>
    <t>Brokers</t>
  </si>
  <si>
    <t>SFM</t>
  </si>
  <si>
    <t>224.03B</t>
  </si>
  <si>
    <t>40.41B</t>
  </si>
  <si>
    <t>29.72B</t>
  </si>
  <si>
    <t>9.27B</t>
  </si>
  <si>
    <t>20.22B</t>
  </si>
  <si>
    <t>19.44B</t>
  </si>
  <si>
    <t>"Sprouts Farmers Market, Inc."</t>
  </si>
  <si>
    <t>68.18B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</si>
  <si>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</si>
  <si>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</si>
  <si>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</si>
  <si>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</si>
  <si>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</si>
  <si>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</si>
  <si>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</si>
  <si>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</si>
  <si>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</si>
  <si>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</si>
  <si>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</si>
  <si>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</si>
  <si>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</si>
  <si>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</si>
  <si>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</si>
  <si>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</si>
  <si>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</si>
  <si>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</si>
  <si>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</si>
  <si>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</si>
  <si>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</si>
  <si>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</si>
  <si>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</si>
  <si>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</si>
  <si>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</si>
  <si>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</si>
  <si>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</si>
  <si>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</si>
  <si>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</si>
  <si>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8.97B</t>
  </si>
  <si>
    <t>19.81B</t>
  </si>
  <si>
    <t>29.89B</t>
  </si>
  <si>
    <t>16.81B</t>
  </si>
  <si>
    <t>80.18B</t>
  </si>
  <si>
    <t>10.73B</t>
  </si>
  <si>
    <t>2.17B</t>
  </si>
  <si>
    <t>10.57B</t>
  </si>
  <si>
    <t>3.71B</t>
  </si>
  <si>
    <t>4.55B</t>
  </si>
  <si>
    <t>9.46B</t>
  </si>
  <si>
    <t>99.85M</t>
  </si>
  <si>
    <t>13.16B</t>
  </si>
  <si>
    <t>14.25B</t>
  </si>
  <si>
    <t>2.16B</t>
  </si>
  <si>
    <t>26.75B</t>
  </si>
  <si>
    <t>3016.34B</t>
  </si>
  <si>
    <t>40.68B</t>
  </si>
  <si>
    <t>46.72B</t>
  </si>
  <si>
    <t>5.16B</t>
  </si>
  <si>
    <t>5.83B</t>
  </si>
  <si>
    <t>646.84M</t>
  </si>
  <si>
    <t>92.82B</t>
  </si>
  <si>
    <t>16.77B</t>
  </si>
  <si>
    <t>10.21B</t>
  </si>
  <si>
    <t>1.31B</t>
  </si>
  <si>
    <t>969.84M</t>
  </si>
  <si>
    <t>8.61B</t>
  </si>
  <si>
    <t>8.88B</t>
  </si>
  <si>
    <t>47.61B</t>
  </si>
  <si>
    <t>8.60B</t>
  </si>
  <si>
    <t>28.92B</t>
  </si>
  <si>
    <t>11.25B</t>
  </si>
  <si>
    <t>21.12B</t>
  </si>
  <si>
    <t>49.19B</t>
  </si>
  <si>
    <t>103.18B</t>
  </si>
  <si>
    <t>60.28B</t>
  </si>
  <si>
    <t>93.60B</t>
  </si>
  <si>
    <t>28.01B</t>
  </si>
  <si>
    <t>124.64B</t>
  </si>
  <si>
    <t>64.88B</t>
  </si>
  <si>
    <t>1.99B</t>
  </si>
  <si>
    <t>80.98B</t>
  </si>
  <si>
    <t>103.00B</t>
  </si>
  <si>
    <t>82.75B</t>
  </si>
  <si>
    <t>40.22B</t>
  </si>
  <si>
    <t>172.80B</t>
  </si>
  <si>
    <t>30.48M</t>
  </si>
  <si>
    <t>206.84B</t>
  </si>
  <si>
    <t>93.00B</t>
  </si>
  <si>
    <t>21.34B</t>
  </si>
  <si>
    <t>45.89B</t>
  </si>
  <si>
    <t>12.71B</t>
  </si>
  <si>
    <t>4.46B</t>
  </si>
  <si>
    <t>7.35B</t>
  </si>
  <si>
    <t>16.87B</t>
  </si>
  <si>
    <t>1.24B</t>
  </si>
  <si>
    <t>9.90B</t>
  </si>
  <si>
    <t>4.81B</t>
  </si>
  <si>
    <t>6.89B</t>
  </si>
  <si>
    <t>1.25B</t>
  </si>
  <si>
    <t>20.32B</t>
  </si>
  <si>
    <t>29.14B</t>
  </si>
  <si>
    <t>17.17B</t>
  </si>
  <si>
    <t>23.46B</t>
  </si>
  <si>
    <t>2.75B</t>
  </si>
  <si>
    <t>7.38B</t>
  </si>
  <si>
    <t>2.55B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</si>
</sst>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3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/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7" totalsRowShown="0" headerRowDxfId="465" dataDxfId="464">
  <autoFilter ref="A1:M7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2" totalsRowShown="0" headerRowDxfId="450" dataDxfId="449">
  <autoFilter ref="A1:M22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6" totalsRowShown="0" headerRowDxfId="420" dataDxfId="419">
  <autoFilter ref="A1:M6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9" totalsRowShown="0" headerRowDxfId="240" dataDxfId="239">
  <autoFilter ref="A1:M9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5" totalsRowShown="0" headerRowDxfId="59" dataDxfId="58">
  <autoFilter ref="A1:M5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zoomScale="85" zoomScaleNormal="85" workbookViewId="0">
      <pane ySplit="1" topLeftCell="A2" activePane="bottomLeft" state="frozen"/>
      <selection pane="bottomLeft" activeCell="E2" sqref="E2"/>
    </sheetView>
  </sheetViews>
  <sheetFormatPr defaultRowHeight="24.95" customHeight="1" x14ac:dyDescent="0.4"/>
  <cols>
    <col min="1" max="1" width="15.7109375" style="21" customWidth="1"/>
    <col min="2" max="2" width="15.7109375" style="22" customWidth="1"/>
    <col min="3" max="38" width="15.7109375" style="21" customWidth="1"/>
    <col min="39" max="16384" width="9.1406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259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805</v>
      </c>
      <c r="C2" s="25" t="s">
        <v>307</v>
      </c>
      <c r="D2" s="25" t="s">
        <v>339</v>
      </c>
      <c r="E2" s="25" t="s">
        <v>258</v>
      </c>
      <c r="F2" s="25" t="s">
        <v>493</v>
      </c>
      <c r="G2" s="25" t="s">
        <v>679</v>
      </c>
      <c r="H2" s="25" t="s">
        <v>203</v>
      </c>
      <c r="I2" s="25" t="s">
        <v>899</v>
      </c>
      <c r="J2" s="25" t="s">
        <v>804</v>
      </c>
      <c r="K2" s="25" t="s">
        <v>851</v>
      </c>
      <c r="L2" s="25" t="s">
        <v>222</v>
      </c>
      <c r="M2" s="25" t="s">
        <v>204</v>
      </c>
      <c r="N2" s="25" t="s">
        <v>447</v>
      </c>
      <c r="O2" s="25" t="s">
        <v>618</v>
      </c>
      <c r="P2" s="25" t="s">
        <v>490</v>
      </c>
      <c r="Q2" s="25" t="s">
        <v>205</v>
      </c>
      <c r="R2" s="25" t="s">
        <v>515</v>
      </c>
      <c r="S2" s="25" t="s">
        <v>243</v>
      </c>
      <c r="T2" s="25" t="s">
        <v>238</v>
      </c>
      <c r="U2" s="25" t="s">
        <v>823</v>
      </c>
      <c r="V2" s="25" t="s">
        <v>206</v>
      </c>
      <c r="W2" s="25" t="s">
        <v>887</v>
      </c>
      <c r="X2" s="25" t="s">
        <v>207</v>
      </c>
      <c r="Y2" s="25" t="s">
        <v>837</v>
      </c>
      <c r="Z2" s="25" t="s">
        <v>208</v>
      </c>
      <c r="AA2" s="25" t="s">
        <v>209</v>
      </c>
      <c r="AB2" s="25" t="s">
        <v>344</v>
      </c>
      <c r="AC2" s="69" t="s">
        <v>324</v>
      </c>
      <c r="AD2" s="69" t="s">
        <v>210</v>
      </c>
      <c r="AE2" s="69" t="s">
        <v>211</v>
      </c>
      <c r="AF2" s="69" t="s">
        <v>212</v>
      </c>
      <c r="AG2" s="69" t="s">
        <v>384</v>
      </c>
      <c r="AH2" s="69" t="s">
        <v>270</v>
      </c>
      <c r="AI2" s="69" t="s">
        <v>213</v>
      </c>
      <c r="AJ2" s="69" t="s">
        <v>475</v>
      </c>
      <c r="AK2" s="69" t="s">
        <v>539</v>
      </c>
    </row>
    <row r="3" spans="1:37" ht="24.95" customHeight="1" x14ac:dyDescent="0.4">
      <c r="A3" s="24"/>
      <c r="B3" s="2" t="s">
        <v>806</v>
      </c>
      <c r="C3" s="2" t="s">
        <v>125</v>
      </c>
      <c r="D3" s="59" t="s">
        <v>330</v>
      </c>
      <c r="E3" s="2" t="s">
        <v>248</v>
      </c>
      <c r="F3" s="1" t="s">
        <v>476</v>
      </c>
      <c r="G3" s="1" t="s">
        <v>129</v>
      </c>
      <c r="H3" s="1" t="s">
        <v>94</v>
      </c>
      <c r="I3" s="2" t="s">
        <v>888</v>
      </c>
      <c r="J3" s="2" t="s">
        <v>794</v>
      </c>
      <c r="K3" s="2" t="s">
        <v>840</v>
      </c>
      <c r="L3" s="2" t="s">
        <v>214</v>
      </c>
      <c r="M3" s="2" t="s">
        <v>3</v>
      </c>
      <c r="N3" s="59" t="s">
        <v>80</v>
      </c>
      <c r="O3" s="2" t="s">
        <v>19</v>
      </c>
      <c r="P3" s="2" t="s">
        <v>486</v>
      </c>
      <c r="Q3" s="2" t="s">
        <v>71</v>
      </c>
      <c r="R3" s="2" t="s">
        <v>501</v>
      </c>
      <c r="S3" s="61" t="s">
        <v>184</v>
      </c>
      <c r="T3" s="23" t="s">
        <v>226</v>
      </c>
      <c r="U3" s="23" t="s">
        <v>817</v>
      </c>
      <c r="V3" s="83" t="s">
        <v>37</v>
      </c>
      <c r="W3" s="2" t="s">
        <v>869</v>
      </c>
      <c r="X3" s="2" t="s">
        <v>125</v>
      </c>
      <c r="Y3" s="2" t="s">
        <v>530</v>
      </c>
      <c r="Z3" s="33" t="s">
        <v>295</v>
      </c>
      <c r="AA3" s="2" t="s">
        <v>165</v>
      </c>
      <c r="AB3" s="1" t="s">
        <v>120</v>
      </c>
      <c r="AC3" s="1" t="s">
        <v>316</v>
      </c>
      <c r="AD3" s="1" t="s">
        <v>148</v>
      </c>
      <c r="AE3" s="1" t="s">
        <v>75</v>
      </c>
      <c r="AF3" s="2" t="s">
        <v>176</v>
      </c>
      <c r="AG3" s="39" t="s">
        <v>375</v>
      </c>
      <c r="AH3" s="1" t="s">
        <v>262</v>
      </c>
      <c r="AI3" s="95" t="s">
        <v>397</v>
      </c>
      <c r="AJ3" s="1" t="s">
        <v>461</v>
      </c>
      <c r="AK3" s="2" t="s">
        <v>531</v>
      </c>
    </row>
    <row r="4" spans="1:37" ht="24.95" customHeight="1" x14ac:dyDescent="0.4">
      <c r="A4" s="24"/>
      <c r="B4" s="2" t="s">
        <v>807</v>
      </c>
      <c r="C4" s="2" t="s">
        <v>303</v>
      </c>
      <c r="D4" s="2" t="s">
        <v>426</v>
      </c>
      <c r="E4" s="81" t="s">
        <v>249</v>
      </c>
      <c r="F4" s="2" t="s">
        <v>477</v>
      </c>
      <c r="G4" s="2" t="s">
        <v>673</v>
      </c>
      <c r="H4" s="2" t="s">
        <v>107</v>
      </c>
      <c r="I4" s="2" t="s">
        <v>889</v>
      </c>
      <c r="J4" s="2" t="s">
        <v>795</v>
      </c>
      <c r="K4" s="2" t="s">
        <v>841</v>
      </c>
      <c r="L4" s="2" t="s">
        <v>215</v>
      </c>
      <c r="M4" s="81" t="s">
        <v>0</v>
      </c>
      <c r="N4" s="1" t="s">
        <v>439</v>
      </c>
      <c r="O4" s="2" t="s">
        <v>21</v>
      </c>
      <c r="P4" s="59" t="s">
        <v>487</v>
      </c>
      <c r="Q4" s="2" t="s">
        <v>84</v>
      </c>
      <c r="R4" s="2" t="s">
        <v>502</v>
      </c>
      <c r="S4" s="61" t="s">
        <v>280</v>
      </c>
      <c r="T4" s="23" t="s">
        <v>228</v>
      </c>
      <c r="U4" s="23" t="s">
        <v>818</v>
      </c>
      <c r="V4" s="93" t="s">
        <v>33</v>
      </c>
      <c r="W4" s="1" t="s">
        <v>870</v>
      </c>
      <c r="X4" s="2" t="s">
        <v>128</v>
      </c>
      <c r="Y4" s="2" t="s">
        <v>687</v>
      </c>
      <c r="Z4" s="1" t="s">
        <v>86</v>
      </c>
      <c r="AA4" s="2" t="s">
        <v>163</v>
      </c>
      <c r="AB4" s="2" t="s">
        <v>159</v>
      </c>
      <c r="AC4" s="2" t="s">
        <v>317</v>
      </c>
      <c r="AD4" s="1" t="s">
        <v>147</v>
      </c>
      <c r="AE4" s="1" t="s">
        <v>73</v>
      </c>
      <c r="AF4" s="2" t="s">
        <v>179</v>
      </c>
      <c r="AG4" s="39" t="s">
        <v>371</v>
      </c>
      <c r="AH4" s="2" t="s">
        <v>263</v>
      </c>
      <c r="AI4" s="95" t="s">
        <v>3</v>
      </c>
      <c r="AJ4" s="2" t="s">
        <v>462</v>
      </c>
      <c r="AK4" s="2" t="s">
        <v>532</v>
      </c>
    </row>
    <row r="5" spans="1:37" ht="24.95" customHeight="1" x14ac:dyDescent="0.4">
      <c r="A5" s="24"/>
      <c r="B5" s="2" t="s">
        <v>808</v>
      </c>
      <c r="C5" s="2" t="s">
        <v>304</v>
      </c>
      <c r="D5" s="2" t="s">
        <v>328</v>
      </c>
      <c r="E5" s="59" t="s">
        <v>250</v>
      </c>
      <c r="F5" s="2" t="s">
        <v>71</v>
      </c>
      <c r="G5" s="2" t="s">
        <v>674</v>
      </c>
      <c r="H5" s="2" t="s">
        <v>100</v>
      </c>
      <c r="I5" s="2" t="s">
        <v>890</v>
      </c>
      <c r="J5" s="2" t="s">
        <v>796</v>
      </c>
      <c r="K5" s="81" t="s">
        <v>162</v>
      </c>
      <c r="L5" s="2" t="s">
        <v>216</v>
      </c>
      <c r="M5" s="2" t="s">
        <v>1</v>
      </c>
      <c r="N5" s="1" t="s">
        <v>75</v>
      </c>
      <c r="O5" s="2" t="s">
        <v>20</v>
      </c>
      <c r="P5" s="2" t="s">
        <v>491</v>
      </c>
      <c r="Q5" s="1" t="s">
        <v>70</v>
      </c>
      <c r="R5" s="2" t="s">
        <v>503</v>
      </c>
      <c r="S5" s="66" t="s">
        <v>239</v>
      </c>
      <c r="T5" s="23" t="s">
        <v>229</v>
      </c>
      <c r="U5" s="23" t="s">
        <v>819</v>
      </c>
      <c r="V5" s="83" t="s">
        <v>34</v>
      </c>
      <c r="W5" s="2" t="s">
        <v>871</v>
      </c>
      <c r="X5" s="2" t="s">
        <v>127</v>
      </c>
      <c r="Y5" s="2" t="s">
        <v>688</v>
      </c>
      <c r="Z5" s="33" t="s">
        <v>291</v>
      </c>
      <c r="AA5" s="81" t="s">
        <v>162</v>
      </c>
      <c r="AB5" s="27" t="s">
        <v>241</v>
      </c>
      <c r="AC5" s="1" t="s">
        <v>318</v>
      </c>
      <c r="AD5" s="2" t="s">
        <v>150</v>
      </c>
      <c r="AE5" s="2" t="s">
        <v>76</v>
      </c>
      <c r="AF5" s="1" t="s">
        <v>143</v>
      </c>
      <c r="AG5" s="39" t="s">
        <v>374</v>
      </c>
      <c r="AH5" s="2" t="s">
        <v>264</v>
      </c>
      <c r="AI5" s="95" t="s">
        <v>403</v>
      </c>
      <c r="AJ5" s="81" t="s">
        <v>463</v>
      </c>
      <c r="AK5" s="2" t="s">
        <v>533</v>
      </c>
    </row>
    <row r="6" spans="1:37" ht="24.95" customHeight="1" x14ac:dyDescent="0.4">
      <c r="A6" s="24"/>
      <c r="B6" s="2" t="s">
        <v>809</v>
      </c>
      <c r="C6" s="2" t="s">
        <v>308</v>
      </c>
      <c r="D6" s="38" t="s">
        <v>327</v>
      </c>
      <c r="E6" s="81" t="s">
        <v>251</v>
      </c>
      <c r="F6" s="2" t="s">
        <v>478</v>
      </c>
      <c r="G6" s="2" t="s">
        <v>835</v>
      </c>
      <c r="H6" s="2" t="s">
        <v>99</v>
      </c>
      <c r="I6" s="2" t="s">
        <v>891</v>
      </c>
      <c r="J6" s="2" t="s">
        <v>797</v>
      </c>
      <c r="K6" s="71" t="s">
        <v>848</v>
      </c>
      <c r="L6" s="2" t="s">
        <v>217</v>
      </c>
      <c r="M6" s="2" t="s">
        <v>4</v>
      </c>
      <c r="N6" s="2" t="s">
        <v>440</v>
      </c>
      <c r="O6" s="2" t="s">
        <v>22</v>
      </c>
      <c r="P6" s="2"/>
      <c r="Q6" s="1" t="s">
        <v>69</v>
      </c>
      <c r="R6" s="2" t="s">
        <v>504</v>
      </c>
      <c r="S6" s="61" t="s">
        <v>185</v>
      </c>
      <c r="T6" s="23" t="s">
        <v>225</v>
      </c>
      <c r="U6" s="23" t="s">
        <v>820</v>
      </c>
      <c r="V6" s="2" t="s">
        <v>32</v>
      </c>
      <c r="W6" s="2" t="s">
        <v>872</v>
      </c>
      <c r="X6" s="1" t="s">
        <v>129</v>
      </c>
      <c r="Y6" s="2" t="s">
        <v>689</v>
      </c>
      <c r="Z6" s="33" t="s">
        <v>293</v>
      </c>
      <c r="AA6" s="2" t="s">
        <v>166</v>
      </c>
      <c r="AB6" s="2" t="s">
        <v>347</v>
      </c>
      <c r="AC6" s="2" t="s">
        <v>319</v>
      </c>
      <c r="AD6" s="2" t="s">
        <v>152</v>
      </c>
      <c r="AE6" s="81" t="s">
        <v>74</v>
      </c>
      <c r="AF6" s="2" t="s">
        <v>178</v>
      </c>
      <c r="AG6" s="39" t="s">
        <v>372</v>
      </c>
      <c r="AH6" s="2" t="s">
        <v>268</v>
      </c>
      <c r="AI6" s="95" t="s">
        <v>398</v>
      </c>
      <c r="AJ6" s="2" t="s">
        <v>464</v>
      </c>
      <c r="AK6" s="2" t="s">
        <v>534</v>
      </c>
    </row>
    <row r="7" spans="1:37" ht="24.95" customHeight="1" x14ac:dyDescent="0.4">
      <c r="A7" s="24"/>
      <c r="B7" s="2"/>
      <c r="C7" s="1" t="s">
        <v>124</v>
      </c>
      <c r="D7" s="2" t="s">
        <v>428</v>
      </c>
      <c r="E7" s="2" t="s">
        <v>252</v>
      </c>
      <c r="F7" s="2" t="s">
        <v>479</v>
      </c>
      <c r="G7" s="71" t="s">
        <v>838</v>
      </c>
      <c r="H7" s="2" t="s">
        <v>244</v>
      </c>
      <c r="I7" s="2" t="s">
        <v>892</v>
      </c>
      <c r="J7" s="2" t="s">
        <v>798</v>
      </c>
      <c r="K7" s="2" t="s">
        <v>842</v>
      </c>
      <c r="L7" s="2" t="s">
        <v>308</v>
      </c>
      <c r="M7" s="2" t="s">
        <v>6</v>
      </c>
      <c r="N7" s="2" t="s">
        <v>441</v>
      </c>
      <c r="O7" s="2" t="s">
        <v>23</v>
      </c>
      <c r="P7" s="2"/>
      <c r="Q7" s="2" t="s">
        <v>72</v>
      </c>
      <c r="R7" s="2" t="s">
        <v>505</v>
      </c>
      <c r="S7" s="61" t="s">
        <v>189</v>
      </c>
      <c r="T7" s="23" t="s">
        <v>227</v>
      </c>
      <c r="U7" s="23" t="s">
        <v>822</v>
      </c>
      <c r="V7" s="2" t="s">
        <v>31</v>
      </c>
      <c r="W7" s="2" t="s">
        <v>873</v>
      </c>
      <c r="X7" s="2" t="s">
        <v>126</v>
      </c>
      <c r="Y7" s="2" t="s">
        <v>690</v>
      </c>
      <c r="Z7" s="2" t="s">
        <v>292</v>
      </c>
      <c r="AA7" s="2" t="s">
        <v>164</v>
      </c>
      <c r="AB7" s="2" t="s">
        <v>348</v>
      </c>
      <c r="AC7" s="2" t="s">
        <v>540</v>
      </c>
      <c r="AD7" s="2" t="s">
        <v>149</v>
      </c>
      <c r="AE7" s="2" t="s">
        <v>77</v>
      </c>
      <c r="AF7" s="2" t="s">
        <v>314</v>
      </c>
      <c r="AG7" s="39" t="s">
        <v>373</v>
      </c>
      <c r="AH7"/>
      <c r="AI7" s="95" t="s">
        <v>399</v>
      </c>
      <c r="AJ7" s="81" t="s">
        <v>465</v>
      </c>
      <c r="AK7"/>
    </row>
    <row r="8" spans="1:37" ht="24.95" customHeight="1" x14ac:dyDescent="0.4">
      <c r="A8" s="24"/>
      <c r="B8" s="2"/>
      <c r="C8" s="2" t="s">
        <v>310</v>
      </c>
      <c r="D8" s="2" t="s">
        <v>433</v>
      </c>
      <c r="E8" s="2" t="s">
        <v>516</v>
      </c>
      <c r="F8" s="2" t="s">
        <v>563</v>
      </c>
      <c r="G8" s="81" t="s">
        <v>458</v>
      </c>
      <c r="H8" s="2" t="s">
        <v>102</v>
      </c>
      <c r="I8"/>
      <c r="J8"/>
      <c r="K8"/>
      <c r="L8" s="2" t="s">
        <v>574</v>
      </c>
      <c r="M8" s="2" t="s">
        <v>2</v>
      </c>
      <c r="N8" s="2" t="s">
        <v>442</v>
      </c>
      <c r="O8" s="2" t="s">
        <v>24</v>
      </c>
      <c r="P8" s="2"/>
      <c r="Q8" s="2" t="s">
        <v>325</v>
      </c>
      <c r="R8" s="2" t="s">
        <v>506</v>
      </c>
      <c r="S8" s="61" t="s">
        <v>198</v>
      </c>
      <c r="T8" s="23" t="s">
        <v>223</v>
      </c>
      <c r="U8" s="23" t="s">
        <v>821</v>
      </c>
      <c r="V8" s="2" t="s">
        <v>35</v>
      </c>
      <c r="W8" s="2" t="s">
        <v>874</v>
      </c>
      <c r="X8" s="1" t="s">
        <v>121</v>
      </c>
      <c r="Y8" s="2" t="s">
        <v>691</v>
      </c>
      <c r="Z8" s="2" t="s">
        <v>89</v>
      </c>
      <c r="AA8" s="2" t="s">
        <v>168</v>
      </c>
      <c r="AB8" s="2" t="s">
        <v>351</v>
      </c>
      <c r="AC8" s="2" t="s">
        <v>541</v>
      </c>
      <c r="AD8" s="1" t="s">
        <v>151</v>
      </c>
      <c r="AE8" s="1" t="s">
        <v>80</v>
      </c>
      <c r="AF8" s="2" t="s">
        <v>340</v>
      </c>
      <c r="AG8" s="45" t="s">
        <v>361</v>
      </c>
      <c r="AH8"/>
      <c r="AI8" s="95" t="s">
        <v>273</v>
      </c>
      <c r="AJ8" s="2" t="s">
        <v>466</v>
      </c>
      <c r="AK8"/>
    </row>
    <row r="9" spans="1:37" ht="24.95" customHeight="1" x14ac:dyDescent="0.4">
      <c r="A9" s="24"/>
      <c r="B9" s="2"/>
      <c r="C9" s="2" t="s">
        <v>852</v>
      </c>
      <c r="D9" s="71" t="s">
        <v>551</v>
      </c>
      <c r="E9" s="2" t="s">
        <v>518</v>
      </c>
      <c r="F9" s="2" t="s">
        <v>564</v>
      </c>
      <c r="G9"/>
      <c r="H9" s="1" t="s">
        <v>97</v>
      </c>
      <c r="I9"/>
      <c r="J9"/>
      <c r="K9"/>
      <c r="L9" s="2" t="s">
        <v>866</v>
      </c>
      <c r="M9" s="2" t="s">
        <v>7</v>
      </c>
      <c r="N9" s="2" t="s">
        <v>77</v>
      </c>
      <c r="O9" s="1" t="s">
        <v>18</v>
      </c>
      <c r="P9" s="2"/>
      <c r="Q9" s="81" t="s">
        <v>484</v>
      </c>
      <c r="R9" s="2" t="s">
        <v>507</v>
      </c>
      <c r="S9" s="61" t="s">
        <v>199</v>
      </c>
      <c r="T9" s="23" t="s">
        <v>224</v>
      </c>
      <c r="U9" s="7"/>
      <c r="V9" s="1" t="s">
        <v>36</v>
      </c>
      <c r="W9" s="2"/>
      <c r="X9" s="1" t="s">
        <v>123</v>
      </c>
      <c r="Y9" s="2" t="s">
        <v>532</v>
      </c>
      <c r="Z9" s="2" t="s">
        <v>88</v>
      </c>
      <c r="AA9" s="2" t="s">
        <v>167</v>
      </c>
      <c r="AB9" s="2" t="s">
        <v>345</v>
      </c>
      <c r="AC9" s="2" t="s">
        <v>814</v>
      </c>
      <c r="AD9" s="1" t="s">
        <v>146</v>
      </c>
      <c r="AE9" s="2" t="s">
        <v>665</v>
      </c>
      <c r="AF9" s="2" t="s">
        <v>177</v>
      </c>
      <c r="AG9" s="45" t="s">
        <v>363</v>
      </c>
      <c r="AH9"/>
      <c r="AI9" s="99" t="s">
        <v>140</v>
      </c>
      <c r="AJ9" s="2" t="s">
        <v>900</v>
      </c>
      <c r="AK9"/>
    </row>
    <row r="10" spans="1:37" ht="24.95" customHeight="1" x14ac:dyDescent="0.4">
      <c r="A10" s="24"/>
      <c r="B10" s="2"/>
      <c r="C10" s="2"/>
      <c r="D10" s="2" t="s">
        <v>332</v>
      </c>
      <c r="E10" s="2" t="s">
        <v>520</v>
      </c>
      <c r="F10" s="2"/>
      <c r="G10"/>
      <c r="H10" s="1" t="s">
        <v>95</v>
      </c>
      <c r="I10"/>
      <c r="J10"/>
      <c r="K10"/>
      <c r="L10" s="2" t="s">
        <v>575</v>
      </c>
      <c r="M10" s="2" t="s">
        <v>5</v>
      </c>
      <c r="N10" s="2"/>
      <c r="O10" s="81" t="s">
        <v>17</v>
      </c>
      <c r="P10" s="2"/>
      <c r="Q10" s="2" t="s">
        <v>478</v>
      </c>
      <c r="R10" s="2" t="s">
        <v>619</v>
      </c>
      <c r="S10" s="61" t="s">
        <v>183</v>
      </c>
      <c r="T10" s="23" t="s">
        <v>657</v>
      </c>
      <c r="U10" s="7"/>
      <c r="V10" s="81" t="s">
        <v>145</v>
      </c>
      <c r="W10" s="2"/>
      <c r="X10" s="1" t="s">
        <v>122</v>
      </c>
      <c r="Y10" s="2" t="s">
        <v>692</v>
      </c>
      <c r="Z10" s="2" t="s">
        <v>87</v>
      </c>
      <c r="AA10"/>
      <c r="AB10" s="2" t="s">
        <v>437</v>
      </c>
      <c r="AC10"/>
      <c r="AD10"/>
      <c r="AE10" s="2" t="s">
        <v>672</v>
      </c>
      <c r="AF10"/>
      <c r="AG10" s="45" t="s">
        <v>364</v>
      </c>
      <c r="AH10"/>
      <c r="AI10" s="95" t="s">
        <v>386</v>
      </c>
      <c r="AJ10" s="2" t="s">
        <v>467</v>
      </c>
      <c r="AK10"/>
    </row>
    <row r="11" spans="1:37" ht="24.95" customHeight="1" x14ac:dyDescent="0.4">
      <c r="A11" s="24"/>
      <c r="B11" s="2"/>
      <c r="C11" s="2"/>
      <c r="D11" s="2" t="s">
        <v>329</v>
      </c>
      <c r="E11" s="2" t="s">
        <v>864</v>
      </c>
      <c r="F11" s="2"/>
      <c r="G11"/>
      <c r="H11" s="2" t="s">
        <v>106</v>
      </c>
      <c r="I11"/>
      <c r="J11"/>
      <c r="K11"/>
      <c r="L11" s="2" t="s">
        <v>576</v>
      </c>
      <c r="M11" s="2" t="s">
        <v>271</v>
      </c>
      <c r="N11" s="2"/>
      <c r="O11" s="2" t="s">
        <v>25</v>
      </c>
      <c r="P11" s="2"/>
      <c r="Q11"/>
      <c r="R11" s="2" t="s">
        <v>629</v>
      </c>
      <c r="S11" s="61" t="s">
        <v>187</v>
      </c>
      <c r="T11" s="23" t="s">
        <v>230</v>
      </c>
      <c r="U11" s="7"/>
      <c r="V11" s="7"/>
      <c r="W11" s="2"/>
      <c r="X11" s="1" t="s">
        <v>124</v>
      </c>
      <c r="Y11" s="2" t="s">
        <v>693</v>
      </c>
      <c r="Z11" s="2" t="s">
        <v>300</v>
      </c>
      <c r="AA11"/>
      <c r="AB11" s="2" t="s">
        <v>522</v>
      </c>
      <c r="AC11"/>
      <c r="AD11"/>
      <c r="AE11" s="2" t="s">
        <v>356</v>
      </c>
      <c r="AF11"/>
      <c r="AG11" s="45" t="s">
        <v>359</v>
      </c>
      <c r="AH11"/>
      <c r="AI11" s="95" t="s">
        <v>395</v>
      </c>
      <c r="AJ11"/>
      <c r="AK11"/>
    </row>
    <row r="12" spans="1:37" ht="24.95" customHeight="1" x14ac:dyDescent="0.4">
      <c r="A12" s="24"/>
      <c r="B12" s="2"/>
      <c r="C12" s="2"/>
      <c r="D12" s="2" t="s">
        <v>427</v>
      </c>
      <c r="E12" s="2" t="s">
        <v>547</v>
      </c>
      <c r="F12" s="2"/>
      <c r="G12"/>
      <c r="H12" s="81" t="s">
        <v>96</v>
      </c>
      <c r="I12"/>
      <c r="J12"/>
      <c r="K12"/>
      <c r="L12"/>
      <c r="M12" s="2" t="s">
        <v>273</v>
      </c>
      <c r="N12" s="2"/>
      <c r="O12" s="2" t="s">
        <v>26</v>
      </c>
      <c r="P12" s="2"/>
      <c r="Q12"/>
      <c r="R12"/>
      <c r="S12" s="61" t="s">
        <v>861</v>
      </c>
      <c r="T12" s="7"/>
      <c r="U12" s="7"/>
      <c r="V12" s="7"/>
      <c r="W12" s="2"/>
      <c r="X12" s="2" t="s">
        <v>275</v>
      </c>
      <c r="Y12" s="2" t="s">
        <v>694</v>
      </c>
      <c r="Z12" s="2" t="s">
        <v>301</v>
      </c>
      <c r="AA12"/>
      <c r="AB12" s="2" t="s">
        <v>523</v>
      </c>
      <c r="AC12"/>
      <c r="AD12"/>
      <c r="AE12" s="2" t="s">
        <v>760</v>
      </c>
      <c r="AF12"/>
      <c r="AG12" s="45" t="s">
        <v>360</v>
      </c>
      <c r="AH12"/>
      <c r="AI12" s="95" t="s">
        <v>283</v>
      </c>
      <c r="AJ12"/>
      <c r="AK12"/>
    </row>
    <row r="13" spans="1:37" ht="24.95" customHeight="1" x14ac:dyDescent="0.4">
      <c r="A13" s="24"/>
      <c r="B13" s="2"/>
      <c r="C13" s="2"/>
      <c r="D13" s="81" t="s">
        <v>331</v>
      </c>
      <c r="E13" s="2"/>
      <c r="F13" s="2"/>
      <c r="G13"/>
      <c r="H13" s="2" t="s">
        <v>103</v>
      </c>
      <c r="I13"/>
      <c r="J13"/>
      <c r="K13"/>
      <c r="L13"/>
      <c r="M13" s="28" t="s">
        <v>283</v>
      </c>
      <c r="N13" s="2"/>
      <c r="O13" s="2" t="s">
        <v>27</v>
      </c>
      <c r="P13" s="2"/>
      <c r="Q13"/>
      <c r="R13"/>
      <c r="S13" s="61" t="s">
        <v>186</v>
      </c>
      <c r="T13" s="7"/>
      <c r="U13" s="7"/>
      <c r="V13" s="7"/>
      <c r="W13" s="2"/>
      <c r="X13" s="2" t="s">
        <v>277</v>
      </c>
      <c r="Y13" s="2" t="s">
        <v>126</v>
      </c>
      <c r="Z13" s="33" t="s">
        <v>294</v>
      </c>
      <c r="AA13"/>
      <c r="AB13" s="2" t="s">
        <v>524</v>
      </c>
      <c r="AC13"/>
      <c r="AD13"/>
      <c r="AE13" s="2" t="s">
        <v>761</v>
      </c>
      <c r="AF13"/>
      <c r="AG13" s="94" t="s">
        <v>362</v>
      </c>
      <c r="AH13"/>
      <c r="AI13" s="95" t="s">
        <v>391</v>
      </c>
      <c r="AJ13"/>
      <c r="AK13"/>
    </row>
    <row r="14" spans="1:37" ht="24.95" customHeight="1" x14ac:dyDescent="0.4">
      <c r="A14" s="24"/>
      <c r="B14" s="2"/>
      <c r="C14" s="2"/>
      <c r="D14" s="2" t="s">
        <v>425</v>
      </c>
      <c r="E14" s="2"/>
      <c r="F14" s="2"/>
      <c r="G14"/>
      <c r="H14" s="2" t="s">
        <v>859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197</v>
      </c>
      <c r="T14" s="7"/>
      <c r="U14" s="7"/>
      <c r="V14" s="7"/>
      <c r="W14" s="2"/>
      <c r="X14" s="81" t="s">
        <v>458</v>
      </c>
      <c r="Y14" s="2" t="s">
        <v>695</v>
      </c>
      <c r="Z14" s="2" t="s">
        <v>854</v>
      </c>
      <c r="AA14"/>
      <c r="AB14" s="2" t="s">
        <v>525</v>
      </c>
      <c r="AC14"/>
      <c r="AD14"/>
      <c r="AE14"/>
      <c r="AF14"/>
      <c r="AG14"/>
      <c r="AH14"/>
      <c r="AI14" s="95" t="s">
        <v>390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2" t="s">
        <v>104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279</v>
      </c>
      <c r="T15" s="7"/>
      <c r="U15" s="7"/>
      <c r="V15" s="7"/>
      <c r="W15" s="2"/>
      <c r="X15"/>
      <c r="Y15" s="2" t="s">
        <v>696</v>
      </c>
      <c r="Z15"/>
      <c r="AA15"/>
      <c r="AB15" s="2" t="s">
        <v>549</v>
      </c>
      <c r="AC15"/>
      <c r="AD15"/>
      <c r="AE15"/>
      <c r="AF15"/>
      <c r="AG15"/>
      <c r="AH15"/>
      <c r="AI15" s="95" t="s">
        <v>394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494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188</v>
      </c>
      <c r="T16" s="7"/>
      <c r="U16" s="7"/>
      <c r="V16" s="7"/>
      <c r="W16" s="2"/>
      <c r="X16"/>
      <c r="Y16" s="2" t="s">
        <v>128</v>
      </c>
      <c r="Z16"/>
      <c r="AA16"/>
      <c r="AB16"/>
      <c r="AC16"/>
      <c r="AD16"/>
      <c r="AE16"/>
      <c r="AF16"/>
      <c r="AG16"/>
      <c r="AH16"/>
      <c r="AI16" s="95" t="s">
        <v>396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1" t="s">
        <v>98</v>
      </c>
      <c r="I17"/>
      <c r="J17"/>
      <c r="K17"/>
      <c r="L17"/>
      <c r="M17" s="2"/>
      <c r="N17" s="2"/>
      <c r="O17" s="2" t="s">
        <v>312</v>
      </c>
      <c r="P17" s="2"/>
      <c r="Q17"/>
      <c r="R17"/>
      <c r="S17" s="52" t="s">
        <v>448</v>
      </c>
      <c r="T17" s="7"/>
      <c r="U17" s="7"/>
      <c r="V17" s="7"/>
      <c r="W17" s="2"/>
      <c r="X17"/>
      <c r="Y17" s="2" t="s">
        <v>275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101</v>
      </c>
      <c r="I18"/>
      <c r="J18"/>
      <c r="K18"/>
      <c r="L18"/>
      <c r="M18" s="2"/>
      <c r="N18" s="2"/>
      <c r="O18" s="1" t="s">
        <v>260</v>
      </c>
      <c r="P18" s="2"/>
      <c r="Q18"/>
      <c r="R18"/>
      <c r="S18" s="52" t="s">
        <v>449</v>
      </c>
      <c r="T18" s="7"/>
      <c r="U18" s="7"/>
      <c r="V18" s="7"/>
      <c r="W18" s="2"/>
      <c r="X18"/>
      <c r="Y18" s="1" t="s">
        <v>122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2" t="s">
        <v>246</v>
      </c>
      <c r="I19"/>
      <c r="J19"/>
      <c r="K19"/>
      <c r="L19"/>
      <c r="M19" s="2"/>
      <c r="N19" s="2"/>
      <c r="O19" s="2"/>
      <c r="P19" s="2"/>
      <c r="Q19"/>
      <c r="R19"/>
      <c r="S19" s="60" t="s">
        <v>450</v>
      </c>
      <c r="T19" s="7"/>
      <c r="U19" s="7"/>
      <c r="V19" s="7"/>
      <c r="W19" s="2"/>
      <c r="X19"/>
      <c r="Y19" s="2" t="s">
        <v>308</v>
      </c>
      <c r="Z19"/>
      <c r="AA19"/>
      <c r="AB19"/>
      <c r="AC19"/>
      <c r="AD19"/>
      <c r="AE19"/>
      <c r="AF19"/>
      <c r="AG19"/>
      <c r="AH19"/>
      <c r="AI19" s="95" t="s">
        <v>402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2" t="s">
        <v>105</v>
      </c>
      <c r="I20"/>
      <c r="J20"/>
      <c r="K20"/>
      <c r="L20"/>
      <c r="M20" s="2"/>
      <c r="N20" s="2"/>
      <c r="O20" s="2"/>
      <c r="P20" s="2"/>
      <c r="Q20"/>
      <c r="R20"/>
      <c r="S20" s="52" t="s">
        <v>454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857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496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271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497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404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 s="83" t="s">
        <v>500</v>
      </c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387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401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388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400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385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389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139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405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393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392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546</v>
      </c>
      <c r="M1" s="13" t="s">
        <v>559</v>
      </c>
    </row>
    <row r="2" spans="1:13" ht="20.100000000000001" customHeight="1" x14ac:dyDescent="0.25">
      <c r="A2" s="2" t="s">
        <v>806</v>
      </c>
      <c r="B2" s="2" t="s">
        <v>810</v>
      </c>
      <c r="C2" s="4">
        <v>22.38</v>
      </c>
      <c r="D2" s="4">
        <v>22.34</v>
      </c>
      <c r="E2" s="4">
        <v>23.03</v>
      </c>
      <c r="F2" s="5">
        <v>23.01</v>
      </c>
      <c r="G2" s="6">
        <v>-2.7379400260756304E-2</v>
      </c>
      <c r="H2" s="4" t="s">
        <v>938</v>
      </c>
      <c r="I2" s="5">
        <v>2.61</v>
      </c>
      <c r="J2" s="4">
        <v>18.59</v>
      </c>
      <c r="K2" s="4">
        <v>23.01</v>
      </c>
      <c r="L2" s="70">
        <f>K2*0.9</f>
        <v>20.709000000000003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807</v>
      </c>
      <c r="B3" s="2" t="s">
        <v>811</v>
      </c>
      <c r="C3" s="4">
        <v>83.75</v>
      </c>
      <c r="D3" s="4">
        <v>83.74</v>
      </c>
      <c r="E3" s="4">
        <v>85.47</v>
      </c>
      <c r="F3" s="5">
        <v>86.06</v>
      </c>
      <c r="G3" s="6">
        <v>-2.6841738322100885E-2</v>
      </c>
      <c r="H3" s="4" t="s">
        <v>939</v>
      </c>
      <c r="I3" s="5">
        <v>2.56</v>
      </c>
      <c r="J3" s="4">
        <v>18.32</v>
      </c>
      <c r="K3" s="4">
        <v>82.6</v>
      </c>
      <c r="L3" s="70">
        <f t="shared" ref="L3:L5" si="0">K3*0.9</f>
        <v>74.34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808</v>
      </c>
      <c r="B4" s="2" t="s">
        <v>812</v>
      </c>
      <c r="C4" s="4">
        <v>116.41</v>
      </c>
      <c r="D4" s="4">
        <v>116.31</v>
      </c>
      <c r="E4" s="4">
        <v>118.53</v>
      </c>
      <c r="F4" s="5">
        <v>118.81</v>
      </c>
      <c r="G4" s="6">
        <v>-2.0200319838397488E-2</v>
      </c>
      <c r="H4" s="4" t="s">
        <v>940</v>
      </c>
      <c r="I4" s="5">
        <v>2.87</v>
      </c>
      <c r="J4" s="4">
        <v>27.52</v>
      </c>
      <c r="K4" s="4">
        <v>113.33</v>
      </c>
      <c r="L4" s="70">
        <f t="shared" si="0"/>
        <v>101.997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809</v>
      </c>
      <c r="B5" s="2" t="s">
        <v>813</v>
      </c>
      <c r="C5" s="4">
        <v>18.91</v>
      </c>
      <c r="D5" s="4">
        <v>18.829999999999998</v>
      </c>
      <c r="E5" s="4">
        <v>19.059999999999999</v>
      </c>
      <c r="F5" s="5">
        <v>19.170000000000002</v>
      </c>
      <c r="G5" s="6">
        <v>-1.3562858633281249E-2</v>
      </c>
      <c r="H5" s="4" t="s">
        <v>941</v>
      </c>
      <c r="I5" s="5">
        <v>2.31</v>
      </c>
      <c r="J5" s="4">
        <v>16.440000000000001</v>
      </c>
      <c r="K5" s="4">
        <v>17.670000000000002</v>
      </c>
      <c r="L5" s="70">
        <f t="shared" si="0"/>
        <v>15.903000000000002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>
      <selection activeCell="H12" sqref="H12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546</v>
      </c>
      <c r="M1" s="13" t="s">
        <v>559</v>
      </c>
    </row>
    <row r="2" spans="1:13" ht="20.100000000000001" customHeight="1" x14ac:dyDescent="0.25">
      <c r="A2" s="2" t="s">
        <v>125</v>
      </c>
      <c r="B2" s="2" t="s">
        <v>135</v>
      </c>
      <c r="C2" s="4">
        <v>128.53</v>
      </c>
      <c r="D2" s="4">
        <v>128.52000000000001</v>
      </c>
      <c r="E2" s="4">
        <v>131.94</v>
      </c>
      <c r="F2" s="5">
        <v>132.9</v>
      </c>
      <c r="G2" s="6">
        <v>-3.2881866064710344E-2</v>
      </c>
      <c r="H2" s="4" t="s">
        <v>942</v>
      </c>
      <c r="I2" s="5">
        <v>3.28</v>
      </c>
      <c r="J2" s="4">
        <v>23.14</v>
      </c>
      <c r="K2" s="4">
        <v>130.05000000000001</v>
      </c>
      <c r="L2" s="70">
        <v>120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303</v>
      </c>
      <c r="B3" s="2" t="s">
        <v>305</v>
      </c>
      <c r="C3" s="4">
        <v>39.83</v>
      </c>
      <c r="D3" s="4">
        <v>39.82</v>
      </c>
      <c r="E3" s="4">
        <v>40.549999999999997</v>
      </c>
      <c r="F3" s="5">
        <v>40.82</v>
      </c>
      <c r="G3" s="6">
        <v>-2.4252817246447868E-2</v>
      </c>
      <c r="H3" s="4" t="s">
        <v>943</v>
      </c>
      <c r="I3" s="5">
        <v>0.2</v>
      </c>
      <c r="J3" s="4">
        <v>15.03</v>
      </c>
      <c r="K3" s="4">
        <v>37.85</v>
      </c>
      <c r="L3" s="70">
        <v>38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304</v>
      </c>
      <c r="B4" s="2" t="s">
        <v>306</v>
      </c>
      <c r="C4" s="4">
        <v>73.77</v>
      </c>
      <c r="D4" s="4">
        <v>73.77</v>
      </c>
      <c r="E4" s="4">
        <v>76.31</v>
      </c>
      <c r="F4" s="5">
        <v>77.11</v>
      </c>
      <c r="G4" s="6">
        <v>-4.3314745169238791E-2</v>
      </c>
      <c r="H4" s="4" t="s">
        <v>944</v>
      </c>
      <c r="I4" s="5">
        <v>0</v>
      </c>
      <c r="J4" s="4">
        <v>45.65</v>
      </c>
      <c r="K4" s="4">
        <v>65.88</v>
      </c>
      <c r="L4" s="70">
        <v>75</v>
      </c>
      <c r="M4" s="70" t="b">
        <f>Table351520[[#This Row],[LatestPrice]]&lt;Table351520[[#This Row],[Target]]</f>
        <v>1</v>
      </c>
    </row>
    <row r="5" spans="1:13" ht="20.100000000000001" customHeight="1" x14ac:dyDescent="0.25">
      <c r="A5" s="2" t="s">
        <v>308</v>
      </c>
      <c r="B5" s="2" t="s">
        <v>309</v>
      </c>
      <c r="C5" s="4">
        <v>81.349999999999994</v>
      </c>
      <c r="D5" s="4">
        <v>81.349999999999994</v>
      </c>
      <c r="E5" s="4">
        <v>83.33</v>
      </c>
      <c r="F5" s="5">
        <v>83.85</v>
      </c>
      <c r="G5" s="6">
        <v>-2.9815146094215865E-2</v>
      </c>
      <c r="H5" s="4" t="s">
        <v>945</v>
      </c>
      <c r="I5" s="5">
        <v>1.57</v>
      </c>
      <c r="J5" s="4">
        <v>15.33</v>
      </c>
      <c r="K5" s="4">
        <v>87.89</v>
      </c>
      <c r="L5" s="70">
        <v>79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124</v>
      </c>
      <c r="B6" s="2" t="s">
        <v>134</v>
      </c>
      <c r="C6" s="4">
        <v>60.37</v>
      </c>
      <c r="D6" s="4">
        <v>60.35</v>
      </c>
      <c r="E6" s="4">
        <v>62.13</v>
      </c>
      <c r="F6" s="5">
        <v>62.59</v>
      </c>
      <c r="G6" s="6">
        <v>-3.5468924748362454E-2</v>
      </c>
      <c r="H6" s="4" t="s">
        <v>946</v>
      </c>
      <c r="I6" s="5">
        <v>0.7</v>
      </c>
      <c r="J6" s="4">
        <v>23.01</v>
      </c>
      <c r="K6" s="4">
        <v>55.93</v>
      </c>
      <c r="L6" s="70">
        <v>45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310</v>
      </c>
      <c r="B7" s="2" t="s">
        <v>311</v>
      </c>
      <c r="C7" s="4">
        <v>67.61</v>
      </c>
      <c r="D7" s="4">
        <v>67.55</v>
      </c>
      <c r="E7" s="4">
        <v>68.56</v>
      </c>
      <c r="F7" s="5">
        <v>68.790000000000006</v>
      </c>
      <c r="G7" s="6">
        <v>-1.7153656054659204E-2</v>
      </c>
      <c r="H7" s="4" t="s">
        <v>947</v>
      </c>
      <c r="I7" s="5">
        <v>0.23</v>
      </c>
      <c r="J7" s="4">
        <v>30.59</v>
      </c>
      <c r="K7" s="4">
        <v>64.319999999999993</v>
      </c>
      <c r="L7" s="70">
        <v>65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852</v>
      </c>
      <c r="B8" s="2" t="s">
        <v>853</v>
      </c>
      <c r="C8" s="4">
        <v>283.41000000000003</v>
      </c>
      <c r="D8" s="4">
        <v>283.18</v>
      </c>
      <c r="E8" s="4">
        <v>286.69</v>
      </c>
      <c r="F8" s="5">
        <v>288.49</v>
      </c>
      <c r="G8" s="6">
        <v>-1.7608929252313717E-2</v>
      </c>
      <c r="H8" s="4" t="s">
        <v>552</v>
      </c>
      <c r="I8" s="5">
        <v>0</v>
      </c>
      <c r="J8" s="4">
        <v>29.97</v>
      </c>
      <c r="K8" s="4">
        <v>251.47</v>
      </c>
      <c r="L8" s="70">
        <v>65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N13"/>
  <sheetViews>
    <sheetView workbookViewId="0">
      <selection activeCell="H21" sqref="H21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4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4" ht="20.100000000000001" customHeight="1" thickTop="1" x14ac:dyDescent="0.25">
      <c r="A2" s="59" t="s">
        <v>330</v>
      </c>
      <c r="B2" s="2" t="s">
        <v>338</v>
      </c>
      <c r="C2" s="4">
        <v>27.01</v>
      </c>
      <c r="D2" s="4">
        <v>26.97</v>
      </c>
      <c r="E2" s="4">
        <v>28.13</v>
      </c>
      <c r="F2" s="5">
        <v>28.25</v>
      </c>
      <c r="G2" s="6">
        <v>-4.3893805309734461E-2</v>
      </c>
      <c r="H2" s="4" t="s">
        <v>948</v>
      </c>
      <c r="I2" s="5">
        <v>2.9</v>
      </c>
      <c r="J2" s="4">
        <v>17.02</v>
      </c>
      <c r="K2" s="4">
        <v>27.33</v>
      </c>
      <c r="L2" s="79">
        <f>Table351522[[#This Row],[MA200]]*0.8</f>
        <v>21.864000000000001</v>
      </c>
      <c r="M2" s="80" t="b">
        <f>L2&gt;Table351522[[#This Row],[LatestPrice]]</f>
        <v>0</v>
      </c>
    </row>
    <row r="3" spans="1:14" ht="20.100000000000001" customHeight="1" x14ac:dyDescent="0.25">
      <c r="A3" s="2" t="s">
        <v>426</v>
      </c>
      <c r="B3" s="2" t="s">
        <v>430</v>
      </c>
      <c r="C3" s="4">
        <v>1.33</v>
      </c>
      <c r="D3" s="4">
        <v>1.33</v>
      </c>
      <c r="E3" s="4">
        <v>1.47</v>
      </c>
      <c r="F3" s="5">
        <v>1.47</v>
      </c>
      <c r="G3" s="6">
        <v>-9.5238095238095177E-2</v>
      </c>
      <c r="H3" s="4" t="s">
        <v>949</v>
      </c>
      <c r="I3" s="5">
        <v>0</v>
      </c>
      <c r="J3" s="4" t="s">
        <v>39</v>
      </c>
      <c r="K3" s="4">
        <v>1.31</v>
      </c>
      <c r="L3" s="79">
        <f>Table351522[[#This Row],[MA200]]*0.8</f>
        <v>1.048</v>
      </c>
      <c r="M3" s="80" t="b">
        <f>L3&gt;Table351522[[#This Row],[LatestPrice]]</f>
        <v>0</v>
      </c>
    </row>
    <row r="4" spans="1:14" ht="20.100000000000001" customHeight="1" x14ac:dyDescent="0.25">
      <c r="A4" s="2" t="s">
        <v>328</v>
      </c>
      <c r="B4" s="2" t="s">
        <v>334</v>
      </c>
      <c r="C4" s="4">
        <v>95.21</v>
      </c>
      <c r="D4" s="4">
        <v>94.19</v>
      </c>
      <c r="E4" s="4">
        <v>95.82</v>
      </c>
      <c r="F4" s="5">
        <v>96.08</v>
      </c>
      <c r="G4" s="6">
        <v>-9.0549542048293571E-3</v>
      </c>
      <c r="H4" s="4" t="s">
        <v>950</v>
      </c>
      <c r="I4" s="5">
        <v>3.64</v>
      </c>
      <c r="J4" s="4">
        <v>15.3</v>
      </c>
      <c r="K4" s="4">
        <v>90.07</v>
      </c>
      <c r="L4" s="79">
        <f>Table351522[[#This Row],[MA200]]*0.8</f>
        <v>72.055999999999997</v>
      </c>
      <c r="M4" s="80" t="b">
        <f>L4&gt;Table351522[[#This Row],[LatestPrice]]</f>
        <v>0</v>
      </c>
    </row>
    <row r="5" spans="1:14" ht="20.100000000000001" customHeight="1" x14ac:dyDescent="0.25">
      <c r="A5" s="38" t="s">
        <v>327</v>
      </c>
      <c r="B5" s="2" t="s">
        <v>333</v>
      </c>
      <c r="C5" s="4">
        <v>16.97</v>
      </c>
      <c r="D5" s="4">
        <v>16.84</v>
      </c>
      <c r="E5" s="4">
        <v>17.190000000000001</v>
      </c>
      <c r="F5" s="5">
        <v>17.32</v>
      </c>
      <c r="G5" s="6">
        <v>-2.0207852193995464E-2</v>
      </c>
      <c r="H5" s="4" t="s">
        <v>951</v>
      </c>
      <c r="I5" s="5">
        <v>2.31</v>
      </c>
      <c r="J5" s="4">
        <v>20.95</v>
      </c>
      <c r="K5" s="4">
        <v>16.91</v>
      </c>
      <c r="L5" s="79">
        <f>Table351522[[#This Row],[MA200]]*0.8</f>
        <v>13.528</v>
      </c>
      <c r="M5" s="80" t="b">
        <f>L5&gt;Table351522[[#This Row],[LatestPrice]]</f>
        <v>0</v>
      </c>
    </row>
    <row r="6" spans="1:14" ht="20.100000000000001" customHeight="1" x14ac:dyDescent="0.25">
      <c r="A6" s="2" t="s">
        <v>428</v>
      </c>
      <c r="B6" s="2" t="s">
        <v>432</v>
      </c>
      <c r="C6" s="4">
        <v>115.64</v>
      </c>
      <c r="D6" s="4">
        <v>114.4</v>
      </c>
      <c r="E6" s="4">
        <v>116.28</v>
      </c>
      <c r="F6" s="5">
        <v>116.39</v>
      </c>
      <c r="G6" s="6">
        <v>-6.4438525646533205E-3</v>
      </c>
      <c r="H6" s="4" t="s">
        <v>952</v>
      </c>
      <c r="I6" s="5">
        <v>8.8699999999999992</v>
      </c>
      <c r="J6" s="4">
        <v>12.24</v>
      </c>
      <c r="K6" s="4">
        <v>110.1</v>
      </c>
      <c r="L6" s="79">
        <f>Table351522[[#This Row],[MA200]]*0.8</f>
        <v>88.08</v>
      </c>
      <c r="M6" s="80" t="b">
        <f>L6&gt;Table351522[[#This Row],[LatestPrice]]</f>
        <v>0</v>
      </c>
    </row>
    <row r="7" spans="1:14" ht="20.100000000000001" customHeight="1" x14ac:dyDescent="0.25">
      <c r="A7" s="2" t="s">
        <v>433</v>
      </c>
      <c r="B7" s="2" t="s">
        <v>434</v>
      </c>
      <c r="C7" s="4">
        <v>5.19</v>
      </c>
      <c r="D7" s="4">
        <v>5.15</v>
      </c>
      <c r="E7" s="4">
        <v>5.46</v>
      </c>
      <c r="F7" s="5">
        <v>5.54</v>
      </c>
      <c r="G7" s="6">
        <v>-6.3176895306859146E-2</v>
      </c>
      <c r="H7" s="4" t="s">
        <v>953</v>
      </c>
      <c r="I7" s="5">
        <v>0</v>
      </c>
      <c r="J7" s="4" t="s">
        <v>39</v>
      </c>
      <c r="K7" s="4">
        <v>4.8099999999999996</v>
      </c>
      <c r="L7" s="79">
        <f>Table351522[[#This Row],[MA200]]*0.8</f>
        <v>3.8479999999999999</v>
      </c>
      <c r="M7" s="80" t="b">
        <f>L7&gt;Table351522[[#This Row],[LatestPrice]]</f>
        <v>0</v>
      </c>
    </row>
    <row r="8" spans="1:14" ht="20.100000000000001" customHeight="1" x14ac:dyDescent="0.25">
      <c r="A8" s="71" t="s">
        <v>551</v>
      </c>
      <c r="B8" s="71" t="s">
        <v>554</v>
      </c>
      <c r="C8" s="72">
        <v>14.315</v>
      </c>
      <c r="D8" s="72">
        <v>14.305</v>
      </c>
      <c r="E8" s="72">
        <v>14.7</v>
      </c>
      <c r="F8" s="73">
        <v>14.57</v>
      </c>
      <c r="G8" s="74">
        <v>-1.7501715854495593E-2</v>
      </c>
      <c r="H8" s="72" t="s">
        <v>954</v>
      </c>
      <c r="I8" s="73" t="s">
        <v>39</v>
      </c>
      <c r="J8" s="72" t="s">
        <v>39</v>
      </c>
      <c r="K8" s="72">
        <v>14.989000000000001</v>
      </c>
      <c r="L8" s="79">
        <f>Table351522[[#This Row],[MA200]]*0.8</f>
        <v>11.991200000000001</v>
      </c>
      <c r="M8" s="80" t="b">
        <f>L8&gt;Table351522[[#This Row],[LatestPrice]]</f>
        <v>0</v>
      </c>
    </row>
    <row r="9" spans="1:14" ht="20.100000000000001" customHeight="1" x14ac:dyDescent="0.25">
      <c r="A9" s="2" t="s">
        <v>332</v>
      </c>
      <c r="B9" s="2" t="s">
        <v>337</v>
      </c>
      <c r="C9" s="4">
        <v>88.53</v>
      </c>
      <c r="D9" s="4">
        <v>88.3</v>
      </c>
      <c r="E9" s="4">
        <v>88.77</v>
      </c>
      <c r="F9" s="5">
        <v>88.95</v>
      </c>
      <c r="G9" s="6">
        <v>-4.7217537942664612E-3</v>
      </c>
      <c r="H9" s="4" t="s">
        <v>955</v>
      </c>
      <c r="I9" s="5">
        <v>2.58</v>
      </c>
      <c r="J9" s="4">
        <v>34.49</v>
      </c>
      <c r="K9" s="4">
        <v>80.98</v>
      </c>
      <c r="L9" s="79">
        <f>Table351522[[#This Row],[MA200]]*0.8</f>
        <v>64.784000000000006</v>
      </c>
      <c r="M9" s="80" t="b">
        <f>L9&gt;Table351522[[#This Row],[LatestPrice]]</f>
        <v>0</v>
      </c>
    </row>
    <row r="10" spans="1:14" ht="20.100000000000001" customHeight="1" x14ac:dyDescent="0.25">
      <c r="A10" s="2" t="s">
        <v>329</v>
      </c>
      <c r="B10" s="2" t="s">
        <v>335</v>
      </c>
      <c r="C10" s="4">
        <v>106.78</v>
      </c>
      <c r="D10" s="4">
        <v>106.67</v>
      </c>
      <c r="E10" s="4">
        <v>109.07</v>
      </c>
      <c r="F10" s="5">
        <v>108.05</v>
      </c>
      <c r="G10" s="6">
        <v>-1.1753817677001352E-2</v>
      </c>
      <c r="H10" s="4" t="s">
        <v>956</v>
      </c>
      <c r="I10" s="5">
        <v>2</v>
      </c>
      <c r="J10" s="4">
        <v>47</v>
      </c>
      <c r="K10" s="4">
        <v>99.42</v>
      </c>
      <c r="L10" s="79">
        <f>Table351522[[#This Row],[MA200]]*0.8</f>
        <v>79.536000000000001</v>
      </c>
      <c r="M10" s="80" t="b">
        <f>L10&gt;Table351522[[#This Row],[LatestPrice]]</f>
        <v>0</v>
      </c>
    </row>
    <row r="11" spans="1:14" ht="20.100000000000001" customHeight="1" x14ac:dyDescent="0.25">
      <c r="A11" s="2" t="s">
        <v>427</v>
      </c>
      <c r="B11" s="2" t="s">
        <v>431</v>
      </c>
      <c r="C11" s="4">
        <v>4.05</v>
      </c>
      <c r="D11" s="4">
        <v>4.03</v>
      </c>
      <c r="E11" s="4">
        <v>4.1399999999999997</v>
      </c>
      <c r="F11" s="5">
        <v>4.1500000000000004</v>
      </c>
      <c r="G11" s="6">
        <v>-2.4096385542168801E-2</v>
      </c>
      <c r="H11" s="4" t="s">
        <v>957</v>
      </c>
      <c r="I11" s="5">
        <v>8.08</v>
      </c>
      <c r="J11" s="4">
        <v>12.78</v>
      </c>
      <c r="K11" s="4">
        <v>4.21</v>
      </c>
      <c r="L11" s="79">
        <f>Table351522[[#This Row],[MA200]]*0.8</f>
        <v>3.3680000000000003</v>
      </c>
      <c r="M11" s="80" t="b">
        <f>L11&gt;Table351522[[#This Row],[LatestPrice]]</f>
        <v>0</v>
      </c>
      <c r="N11" s="2" t="s">
        <v>560</v>
      </c>
    </row>
    <row r="12" spans="1:14" ht="20.100000000000001" customHeight="1" x14ac:dyDescent="0.25">
      <c r="A12" s="81" t="s">
        <v>331</v>
      </c>
      <c r="B12" s="2" t="s">
        <v>336</v>
      </c>
      <c r="C12" s="4">
        <v>25</v>
      </c>
      <c r="D12" s="4">
        <v>25</v>
      </c>
      <c r="E12" s="4">
        <v>25.93</v>
      </c>
      <c r="F12" s="5">
        <v>25.96</v>
      </c>
      <c r="G12" s="6">
        <v>-3.6979969183359045E-2</v>
      </c>
      <c r="H12" s="4" t="s">
        <v>958</v>
      </c>
      <c r="I12" s="5">
        <v>4.62</v>
      </c>
      <c r="J12" s="4">
        <v>30.79</v>
      </c>
      <c r="K12" s="4">
        <v>28.76</v>
      </c>
      <c r="L12" s="79">
        <f>Table351522[[#This Row],[MA200]]*0.8</f>
        <v>23.008000000000003</v>
      </c>
      <c r="M12" s="80" t="b">
        <f>L12&gt;Table351522[[#This Row],[LatestPrice]]</f>
        <v>0</v>
      </c>
    </row>
    <row r="13" spans="1:14" ht="20.100000000000001" customHeight="1" x14ac:dyDescent="0.25">
      <c r="A13" s="2" t="s">
        <v>425</v>
      </c>
      <c r="B13" s="2" t="s">
        <v>429</v>
      </c>
      <c r="C13" s="4">
        <v>5.71</v>
      </c>
      <c r="D13" s="4">
        <v>5.71</v>
      </c>
      <c r="E13" s="4">
        <v>5.94</v>
      </c>
      <c r="F13" s="5">
        <v>5.86</v>
      </c>
      <c r="G13" s="6">
        <v>-2.5597269624573437E-2</v>
      </c>
      <c r="H13" s="4" t="s">
        <v>959</v>
      </c>
      <c r="I13" s="5">
        <v>11.6</v>
      </c>
      <c r="J13" s="4">
        <v>78.22</v>
      </c>
      <c r="K13" s="4">
        <v>7.69</v>
      </c>
      <c r="L13" s="79">
        <f>Table351522[[#This Row],[MA200]]*0.8</f>
        <v>6.152000000000001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tabSelected="1"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248</v>
      </c>
      <c r="B2" s="2" t="s">
        <v>253</v>
      </c>
      <c r="C2" s="4">
        <v>38.340000000000003</v>
      </c>
      <c r="D2" s="4">
        <v>36.619999999999997</v>
      </c>
      <c r="E2" s="4">
        <v>38.380000000000003</v>
      </c>
      <c r="F2" s="5">
        <v>38.49</v>
      </c>
      <c r="G2" s="6">
        <v>-3.8971161340607581E-3</v>
      </c>
      <c r="H2" s="4" t="s">
        <v>999</v>
      </c>
      <c r="I2" s="5">
        <v>1.02</v>
      </c>
      <c r="J2" s="4">
        <v>3.62</v>
      </c>
      <c r="K2" s="4">
        <v>35.700000000000003</v>
      </c>
      <c r="L2" s="77">
        <f t="shared" ref="L2:L11" si="0">K2*0.9</f>
        <v>32.130000000000003</v>
      </c>
      <c r="M2" s="78" t="b">
        <f t="shared" ref="M2:M11" si="1">L2&gt;C2</f>
        <v>0</v>
      </c>
    </row>
    <row r="3" spans="1:13" ht="20.100000000000001" customHeight="1" x14ac:dyDescent="0.25">
      <c r="A3" s="81" t="s">
        <v>249</v>
      </c>
      <c r="B3" s="2" t="s">
        <v>254</v>
      </c>
      <c r="C3" s="4">
        <v>38.44</v>
      </c>
      <c r="D3" s="4">
        <v>36.880000000000003</v>
      </c>
      <c r="E3" s="4">
        <v>38.590000000000003</v>
      </c>
      <c r="F3" s="5">
        <v>37.75</v>
      </c>
      <c r="G3" s="6">
        <v>1.8278145695364179E-2</v>
      </c>
      <c r="H3" s="4" t="s">
        <v>1000</v>
      </c>
      <c r="I3" s="5">
        <v>2.06</v>
      </c>
      <c r="J3" s="4">
        <v>6.26</v>
      </c>
      <c r="K3" s="4">
        <v>41.82</v>
      </c>
      <c r="L3" s="77">
        <f t="shared" si="0"/>
        <v>37.637999999999998</v>
      </c>
      <c r="M3" s="78" t="b">
        <f t="shared" si="1"/>
        <v>0</v>
      </c>
    </row>
    <row r="4" spans="1:13" ht="20.100000000000001" customHeight="1" x14ac:dyDescent="0.25">
      <c r="A4" s="59" t="s">
        <v>250</v>
      </c>
      <c r="B4" s="2" t="s">
        <v>255</v>
      </c>
      <c r="C4" s="4">
        <v>53.25</v>
      </c>
      <c r="D4" s="4">
        <v>50.67</v>
      </c>
      <c r="E4" s="4">
        <v>53.44</v>
      </c>
      <c r="F4" s="5">
        <v>52.45</v>
      </c>
      <c r="G4" s="6">
        <v>1.5252621544327877E-2</v>
      </c>
      <c r="H4" s="4" t="s">
        <v>1001</v>
      </c>
      <c r="I4" s="5">
        <v>0</v>
      </c>
      <c r="J4" s="4">
        <v>2.91</v>
      </c>
      <c r="K4" s="4">
        <v>49.27</v>
      </c>
      <c r="L4" s="77">
        <f t="shared" si="0"/>
        <v>44.343000000000004</v>
      </c>
      <c r="M4" s="78" t="b">
        <f t="shared" si="1"/>
        <v>0</v>
      </c>
    </row>
    <row r="5" spans="1:13" ht="20.100000000000001" customHeight="1" x14ac:dyDescent="0.25">
      <c r="A5" s="81" t="s">
        <v>251</v>
      </c>
      <c r="B5" s="2" t="s">
        <v>256</v>
      </c>
      <c r="C5" s="4">
        <v>37.82</v>
      </c>
      <c r="D5" s="4">
        <v>36.64</v>
      </c>
      <c r="E5" s="4">
        <v>37.93</v>
      </c>
      <c r="F5" s="5">
        <v>37.340000000000003</v>
      </c>
      <c r="G5" s="6">
        <v>1.2854847348687649E-2</v>
      </c>
      <c r="H5" s="4" t="s">
        <v>1002</v>
      </c>
      <c r="I5" s="5">
        <v>1.03</v>
      </c>
      <c r="J5" s="4">
        <v>10.029999999999999</v>
      </c>
      <c r="K5" s="4">
        <v>41.24</v>
      </c>
      <c r="L5" s="77">
        <f t="shared" si="0"/>
        <v>37.116</v>
      </c>
      <c r="M5" s="78" t="b">
        <f t="shared" si="1"/>
        <v>0</v>
      </c>
    </row>
    <row r="6" spans="1:13" ht="20.100000000000001" customHeight="1" x14ac:dyDescent="0.25">
      <c r="A6" s="2" t="s">
        <v>252</v>
      </c>
      <c r="B6" s="2" t="s">
        <v>257</v>
      </c>
      <c r="C6" s="4">
        <v>16.78</v>
      </c>
      <c r="D6" s="4">
        <v>15.86</v>
      </c>
      <c r="E6" s="4">
        <v>16.82</v>
      </c>
      <c r="F6" s="5">
        <v>16.22</v>
      </c>
      <c r="G6" s="6">
        <v>3.4525277435265248E-2</v>
      </c>
      <c r="H6" s="4" t="s">
        <v>718</v>
      </c>
      <c r="I6" s="5" t="s">
        <v>39</v>
      </c>
      <c r="J6" s="4">
        <v>7.45</v>
      </c>
      <c r="K6" s="4">
        <v>18.43</v>
      </c>
      <c r="L6" s="77">
        <f t="shared" si="0"/>
        <v>16.587</v>
      </c>
      <c r="M6" s="78" t="b">
        <f t="shared" si="1"/>
        <v>0</v>
      </c>
    </row>
    <row r="7" spans="1:13" ht="20.100000000000001" customHeight="1" x14ac:dyDescent="0.25">
      <c r="A7" s="2" t="s">
        <v>516</v>
      </c>
      <c r="B7" s="2" t="s">
        <v>517</v>
      </c>
      <c r="C7" s="4">
        <v>39.21</v>
      </c>
      <c r="D7" s="4">
        <v>37.450000000000003</v>
      </c>
      <c r="E7" s="4">
        <v>39.35</v>
      </c>
      <c r="F7" s="5">
        <v>38.36</v>
      </c>
      <c r="G7" s="6">
        <v>2.2158498435870738E-2</v>
      </c>
      <c r="H7" s="4" t="s">
        <v>1003</v>
      </c>
      <c r="I7" s="5" t="s">
        <v>39</v>
      </c>
      <c r="J7" s="4">
        <v>9.15</v>
      </c>
      <c r="K7" s="4">
        <v>44.23</v>
      </c>
      <c r="L7" s="77">
        <f t="shared" si="0"/>
        <v>39.806999999999995</v>
      </c>
      <c r="M7" s="78" t="b">
        <f t="shared" si="1"/>
        <v>1</v>
      </c>
    </row>
    <row r="8" spans="1:13" ht="20.100000000000001" customHeight="1" x14ac:dyDescent="0.25">
      <c r="A8" s="2" t="s">
        <v>518</v>
      </c>
      <c r="B8" s="2" t="s">
        <v>519</v>
      </c>
      <c r="C8" s="4">
        <v>23.349900000000002</v>
      </c>
      <c r="D8" s="4">
        <v>22.648800000000001</v>
      </c>
      <c r="E8" s="4">
        <v>23.349900000000002</v>
      </c>
      <c r="F8" s="5">
        <v>23.174700000000001</v>
      </c>
      <c r="G8" s="6">
        <v>7.5599684138306098E-3</v>
      </c>
      <c r="H8" s="4" t="s">
        <v>39</v>
      </c>
      <c r="I8" s="5" t="s">
        <v>39</v>
      </c>
      <c r="J8" s="4" t="s">
        <v>39</v>
      </c>
      <c r="K8" s="4">
        <v>23.301300000000001</v>
      </c>
      <c r="L8" s="77">
        <f t="shared" si="0"/>
        <v>20.971170000000001</v>
      </c>
      <c r="M8" s="78" t="b">
        <f t="shared" si="1"/>
        <v>0</v>
      </c>
    </row>
    <row r="9" spans="1:13" ht="20.100000000000001" customHeight="1" x14ac:dyDescent="0.25">
      <c r="A9" s="2" t="s">
        <v>520</v>
      </c>
      <c r="B9" s="2" t="s">
        <v>521</v>
      </c>
      <c r="C9" s="4">
        <v>25.49</v>
      </c>
      <c r="D9" s="4">
        <v>25.09</v>
      </c>
      <c r="E9" s="4">
        <v>25.6</v>
      </c>
      <c r="F9" s="5">
        <v>26.29</v>
      </c>
      <c r="G9" s="6">
        <v>-3.0429821224800334E-2</v>
      </c>
      <c r="H9" s="4" t="s">
        <v>1004</v>
      </c>
      <c r="I9" s="5">
        <v>0</v>
      </c>
      <c r="J9" s="4">
        <v>10.62</v>
      </c>
      <c r="K9" s="4">
        <v>27.16</v>
      </c>
      <c r="L9" s="77">
        <f t="shared" si="0"/>
        <v>24.443999999999999</v>
      </c>
      <c r="M9" s="78" t="b">
        <f t="shared" si="1"/>
        <v>0</v>
      </c>
    </row>
    <row r="10" spans="1:13" ht="20.100000000000001" customHeight="1" x14ac:dyDescent="0.25">
      <c r="A10" s="2" t="s">
        <v>864</v>
      </c>
      <c r="B10" s="2" t="s">
        <v>865</v>
      </c>
      <c r="C10" s="4">
        <v>69.790000000000006</v>
      </c>
      <c r="D10" s="4">
        <v>67.69</v>
      </c>
      <c r="E10" s="4">
        <v>70</v>
      </c>
      <c r="F10" s="5">
        <v>68.86</v>
      </c>
      <c r="G10" s="6">
        <v>1.3505663665408174E-2</v>
      </c>
      <c r="H10" s="4" t="s">
        <v>911</v>
      </c>
      <c r="I10" s="5">
        <v>1.6</v>
      </c>
      <c r="J10" s="4">
        <v>9.66</v>
      </c>
      <c r="K10" s="4">
        <v>69.63</v>
      </c>
      <c r="L10" s="103">
        <f t="shared" si="0"/>
        <v>62.666999999999994</v>
      </c>
      <c r="M10" s="104" t="b">
        <f>L10&gt;C10</f>
        <v>0</v>
      </c>
    </row>
    <row r="11" spans="1:13" ht="20.100000000000001" customHeight="1" x14ac:dyDescent="0.25">
      <c r="A11" s="2" t="s">
        <v>547</v>
      </c>
      <c r="B11" s="2" t="s">
        <v>548</v>
      </c>
      <c r="C11" s="4">
        <v>47.66</v>
      </c>
      <c r="D11" s="4">
        <v>46.06</v>
      </c>
      <c r="E11" s="4">
        <v>47.88</v>
      </c>
      <c r="F11" s="5">
        <v>47.12</v>
      </c>
      <c r="G11" s="6">
        <v>1.1460101867572139E-2</v>
      </c>
      <c r="H11" s="4" t="s">
        <v>1005</v>
      </c>
      <c r="I11" s="5" t="s">
        <v>39</v>
      </c>
      <c r="J11" s="4">
        <v>11.28</v>
      </c>
      <c r="K11" s="4">
        <v>43.79</v>
      </c>
      <c r="L11" s="77">
        <f t="shared" si="0"/>
        <v>39.411000000000001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>
      <selection activeCell="S18" sqref="S1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476</v>
      </c>
      <c r="B2" s="2" t="s">
        <v>480</v>
      </c>
      <c r="C2" s="4">
        <v>55.33</v>
      </c>
      <c r="D2" s="4">
        <v>55.26</v>
      </c>
      <c r="E2" s="4">
        <v>56</v>
      </c>
      <c r="F2" s="5">
        <v>56.17</v>
      </c>
      <c r="G2" s="6">
        <v>-1.4954602100765593E-2</v>
      </c>
      <c r="H2" s="4" t="s">
        <v>960</v>
      </c>
      <c r="I2" s="5">
        <v>1.1399999999999999</v>
      </c>
      <c r="J2" s="4">
        <v>25.62</v>
      </c>
      <c r="K2" s="4">
        <v>57.86</v>
      </c>
      <c r="L2" s="79">
        <f t="shared" ref="L2:L8" si="0">K2*0.89</f>
        <v>51.495400000000004</v>
      </c>
      <c r="M2" s="80" t="b">
        <f t="shared" ref="M2:M8" si="1">L2&gt;C2</f>
        <v>0</v>
      </c>
    </row>
    <row r="3" spans="1:13" ht="20.100000000000001" customHeight="1" x14ac:dyDescent="0.25">
      <c r="A3" s="2" t="s">
        <v>477</v>
      </c>
      <c r="B3" s="2" t="s">
        <v>481</v>
      </c>
      <c r="C3" s="4">
        <v>38.36</v>
      </c>
      <c r="D3" s="4">
        <v>38.35</v>
      </c>
      <c r="E3" s="4">
        <v>39.33</v>
      </c>
      <c r="F3" s="5">
        <v>39.35</v>
      </c>
      <c r="G3" s="6">
        <v>-2.5158831003811995E-2</v>
      </c>
      <c r="H3" s="4" t="s">
        <v>961</v>
      </c>
      <c r="I3" s="5" t="s">
        <v>39</v>
      </c>
      <c r="J3" s="4">
        <v>98.87</v>
      </c>
      <c r="K3" s="4">
        <v>40.56</v>
      </c>
      <c r="L3" s="70">
        <f t="shared" si="0"/>
        <v>36.098400000000005</v>
      </c>
      <c r="M3" s="70" t="b">
        <f t="shared" si="1"/>
        <v>0</v>
      </c>
    </row>
    <row r="4" spans="1:13" ht="20.100000000000001" customHeight="1" x14ac:dyDescent="0.25">
      <c r="A4" s="2" t="s">
        <v>71</v>
      </c>
      <c r="B4" s="2" t="s">
        <v>285</v>
      </c>
      <c r="C4" s="4">
        <v>36.590000000000003</v>
      </c>
      <c r="D4" s="4">
        <v>36.43</v>
      </c>
      <c r="E4" s="4">
        <v>37.409999999999997</v>
      </c>
      <c r="F4" s="5">
        <v>37.42</v>
      </c>
      <c r="G4" s="6">
        <v>-2.2180652057723096E-2</v>
      </c>
      <c r="H4" s="4" t="s">
        <v>962</v>
      </c>
      <c r="I4" s="5">
        <v>3.61</v>
      </c>
      <c r="J4" s="4">
        <v>22.18</v>
      </c>
      <c r="K4" s="4">
        <v>39.79</v>
      </c>
      <c r="L4" s="70">
        <f t="shared" si="0"/>
        <v>35.4131</v>
      </c>
      <c r="M4" s="70" t="b">
        <f t="shared" si="1"/>
        <v>0</v>
      </c>
    </row>
    <row r="5" spans="1:13" ht="20.100000000000001" customHeight="1" x14ac:dyDescent="0.25">
      <c r="A5" s="2" t="s">
        <v>478</v>
      </c>
      <c r="B5" s="2" t="s">
        <v>482</v>
      </c>
      <c r="C5" s="4">
        <v>27.16</v>
      </c>
      <c r="D5" s="4">
        <v>27.16</v>
      </c>
      <c r="E5" s="4">
        <v>28.13</v>
      </c>
      <c r="F5" s="5">
        <v>28.15</v>
      </c>
      <c r="G5" s="6">
        <v>-3.5168738898756609E-2</v>
      </c>
      <c r="H5" s="4" t="s">
        <v>963</v>
      </c>
      <c r="I5" s="5" t="s">
        <v>39</v>
      </c>
      <c r="J5" s="4">
        <v>9.39</v>
      </c>
      <c r="K5" s="4">
        <v>34.93</v>
      </c>
      <c r="L5" s="70">
        <f t="shared" si="0"/>
        <v>31.087700000000002</v>
      </c>
      <c r="M5" s="70" t="b">
        <f t="shared" si="1"/>
        <v>1</v>
      </c>
    </row>
    <row r="6" spans="1:13" ht="20.100000000000001" customHeight="1" x14ac:dyDescent="0.25">
      <c r="A6" s="2" t="s">
        <v>479</v>
      </c>
      <c r="B6" s="2" t="s">
        <v>483</v>
      </c>
      <c r="C6" s="4">
        <v>23.4</v>
      </c>
      <c r="D6" s="4">
        <v>23.37</v>
      </c>
      <c r="E6" s="4">
        <v>24.1</v>
      </c>
      <c r="F6" s="5">
        <v>24.23</v>
      </c>
      <c r="G6" s="6">
        <v>-3.4255055716054555E-2</v>
      </c>
      <c r="H6" s="4" t="s">
        <v>964</v>
      </c>
      <c r="I6" s="5">
        <v>1.65</v>
      </c>
      <c r="J6" s="4">
        <v>58.94</v>
      </c>
      <c r="K6" s="4">
        <v>20.21</v>
      </c>
      <c r="L6" s="70">
        <f t="shared" si="0"/>
        <v>17.986900000000002</v>
      </c>
      <c r="M6" s="70" t="b">
        <f t="shared" si="1"/>
        <v>0</v>
      </c>
    </row>
    <row r="7" spans="1:13" ht="20.100000000000001" customHeight="1" x14ac:dyDescent="0.25">
      <c r="A7" s="2" t="s">
        <v>563</v>
      </c>
      <c r="B7" s="2" t="s">
        <v>565</v>
      </c>
      <c r="C7" s="4">
        <v>64.59</v>
      </c>
      <c r="D7" s="4">
        <v>64.59</v>
      </c>
      <c r="E7" s="4">
        <v>65.790000000000006</v>
      </c>
      <c r="F7" s="5">
        <v>65.900000000000006</v>
      </c>
      <c r="G7" s="6">
        <v>-1.9878603945371807E-2</v>
      </c>
      <c r="H7" s="4" t="s">
        <v>965</v>
      </c>
      <c r="I7" s="5">
        <v>1.67</v>
      </c>
      <c r="J7" s="4">
        <v>16.07</v>
      </c>
      <c r="K7" s="4">
        <v>60.3</v>
      </c>
      <c r="L7" s="70">
        <f t="shared" si="0"/>
        <v>53.667000000000002</v>
      </c>
      <c r="M7" s="70" t="b">
        <f t="shared" si="1"/>
        <v>0</v>
      </c>
    </row>
    <row r="8" spans="1:13" ht="20.100000000000001" customHeight="1" x14ac:dyDescent="0.25">
      <c r="A8" s="2" t="s">
        <v>564</v>
      </c>
      <c r="B8" s="2" t="s">
        <v>566</v>
      </c>
      <c r="C8" s="4">
        <v>64.8</v>
      </c>
      <c r="D8" s="4">
        <v>64.709999999999994</v>
      </c>
      <c r="E8" s="4">
        <v>65.930000000000007</v>
      </c>
      <c r="F8" s="5">
        <v>66.08</v>
      </c>
      <c r="G8" s="6">
        <v>-1.9370460048426168E-2</v>
      </c>
      <c r="H8" s="4" t="s">
        <v>966</v>
      </c>
      <c r="I8" s="5" t="s">
        <v>39</v>
      </c>
      <c r="J8" s="4">
        <v>33.25</v>
      </c>
      <c r="K8" s="4">
        <v>69.16</v>
      </c>
      <c r="L8" s="70">
        <f t="shared" si="0"/>
        <v>61.552399999999999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7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129</v>
      </c>
      <c r="B2" s="2" t="s">
        <v>161</v>
      </c>
      <c r="C2" s="20">
        <v>30.48</v>
      </c>
      <c r="D2" s="20">
        <v>30.37</v>
      </c>
      <c r="E2" s="20">
        <v>31.56</v>
      </c>
      <c r="F2" s="5">
        <v>31.71</v>
      </c>
      <c r="G2" s="26">
        <v>-3.8789025543992446E-2</v>
      </c>
      <c r="H2" s="6" t="s">
        <v>967</v>
      </c>
      <c r="I2" s="5">
        <v>4.79</v>
      </c>
      <c r="J2" s="4">
        <v>3.9</v>
      </c>
      <c r="K2" s="4">
        <v>30.72</v>
      </c>
      <c r="L2" s="5">
        <f t="shared" ref="L2:L7" si="0">K2*0.9</f>
        <v>27.648</v>
      </c>
      <c r="M2" s="5" t="b">
        <f t="shared" ref="M2:M7" si="1">L2&gt;C2</f>
        <v>0</v>
      </c>
    </row>
    <row r="3" spans="1:13" ht="20.100000000000001" customHeight="1" x14ac:dyDescent="0.25">
      <c r="A3" s="2" t="s">
        <v>673</v>
      </c>
      <c r="B3" s="2" t="s">
        <v>676</v>
      </c>
      <c r="C3" s="20">
        <v>6.67</v>
      </c>
      <c r="D3" s="20">
        <v>6.66</v>
      </c>
      <c r="E3" s="20">
        <v>6.8</v>
      </c>
      <c r="F3" s="5">
        <v>6.84</v>
      </c>
      <c r="G3" s="26">
        <v>-2.4853801169590635E-2</v>
      </c>
      <c r="H3" s="6" t="s">
        <v>968</v>
      </c>
      <c r="I3" s="5">
        <v>0</v>
      </c>
      <c r="J3" s="4">
        <v>12.75</v>
      </c>
      <c r="K3" s="4">
        <v>7.1</v>
      </c>
      <c r="L3" s="5">
        <f t="shared" si="0"/>
        <v>6.39</v>
      </c>
      <c r="M3" s="5" t="b">
        <f t="shared" si="1"/>
        <v>0</v>
      </c>
    </row>
    <row r="4" spans="1:13" ht="20.100000000000001" customHeight="1" x14ac:dyDescent="0.25">
      <c r="A4" s="2" t="s">
        <v>674</v>
      </c>
      <c r="B4" s="2" t="s">
        <v>677</v>
      </c>
      <c r="C4" s="20">
        <v>194.47</v>
      </c>
      <c r="D4" s="20">
        <v>193.7</v>
      </c>
      <c r="E4" s="20">
        <v>199.92</v>
      </c>
      <c r="F4" s="5">
        <v>197.36</v>
      </c>
      <c r="G4" s="26">
        <v>-1.4643291447101817E-2</v>
      </c>
      <c r="H4" s="6" t="s">
        <v>969</v>
      </c>
      <c r="I4" s="5" t="s">
        <v>39</v>
      </c>
      <c r="J4" s="4" t="s">
        <v>39</v>
      </c>
      <c r="K4" s="4">
        <v>221.68</v>
      </c>
      <c r="L4" s="5">
        <f>K4*0.9</f>
        <v>199.512</v>
      </c>
      <c r="M4" s="5" t="b">
        <f>L4&gt;C4</f>
        <v>1</v>
      </c>
    </row>
    <row r="5" spans="1:13" ht="20.100000000000001" customHeight="1" x14ac:dyDescent="0.25">
      <c r="A5" s="2" t="s">
        <v>835</v>
      </c>
      <c r="B5" s="2" t="s">
        <v>836</v>
      </c>
      <c r="C5" s="20">
        <v>152.96</v>
      </c>
      <c r="D5" s="20">
        <v>152.96</v>
      </c>
      <c r="E5" s="20">
        <v>157.74</v>
      </c>
      <c r="F5" s="5">
        <v>158.87</v>
      </c>
      <c r="G5" s="26">
        <v>-3.7200226600365059E-2</v>
      </c>
      <c r="H5" s="6" t="s">
        <v>970</v>
      </c>
      <c r="I5" s="5">
        <v>0.15</v>
      </c>
      <c r="J5" s="4">
        <v>24.7</v>
      </c>
      <c r="K5" s="4">
        <v>157.69999999999999</v>
      </c>
      <c r="L5" s="5">
        <f>K5*0.9</f>
        <v>141.93</v>
      </c>
      <c r="M5" s="5" t="b">
        <f>L5&gt;C5</f>
        <v>0</v>
      </c>
    </row>
    <row r="6" spans="1:13" ht="20.100000000000001" customHeight="1" x14ac:dyDescent="0.25">
      <c r="A6" s="71" t="s">
        <v>838</v>
      </c>
      <c r="B6" s="2" t="s">
        <v>839</v>
      </c>
      <c r="C6" s="20">
        <v>722.44</v>
      </c>
      <c r="D6" s="20">
        <v>722.16</v>
      </c>
      <c r="E6" s="20">
        <v>728.67</v>
      </c>
      <c r="F6" s="5">
        <v>729.38</v>
      </c>
      <c r="G6" s="26">
        <v>-9.5149304889083075E-3</v>
      </c>
      <c r="H6" s="6" t="s">
        <v>971</v>
      </c>
      <c r="I6" s="5" t="s">
        <v>39</v>
      </c>
      <c r="J6" s="4">
        <v>18.36</v>
      </c>
      <c r="K6" s="4">
        <v>779.22</v>
      </c>
      <c r="L6" s="5">
        <f>K6*0.9</f>
        <v>701.298</v>
      </c>
      <c r="M6" s="5" t="b">
        <f>L6&gt;C6</f>
        <v>0</v>
      </c>
    </row>
    <row r="7" spans="1:13" ht="20.100000000000001" customHeight="1" x14ac:dyDescent="0.25">
      <c r="A7" s="81" t="s">
        <v>458</v>
      </c>
      <c r="B7" s="2" t="s">
        <v>460</v>
      </c>
      <c r="C7" s="20">
        <v>12.38</v>
      </c>
      <c r="D7" s="20">
        <v>12.38</v>
      </c>
      <c r="E7" s="20">
        <v>12.69</v>
      </c>
      <c r="F7" s="5">
        <v>12.73</v>
      </c>
      <c r="G7" s="26">
        <v>-2.7494108405341684E-2</v>
      </c>
      <c r="H7" s="6" t="s">
        <v>972</v>
      </c>
      <c r="I7" s="5">
        <v>4.71</v>
      </c>
      <c r="J7" s="4">
        <v>5.84</v>
      </c>
      <c r="K7" s="4">
        <v>13.04</v>
      </c>
      <c r="L7" s="5">
        <f t="shared" si="0"/>
        <v>11.735999999999999</v>
      </c>
      <c r="M7" s="5" t="b">
        <f t="shared" si="1"/>
        <v>0</v>
      </c>
    </row>
  </sheetData>
  <conditionalFormatting sqref="G3:G6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80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2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94</v>
      </c>
      <c r="B2" s="2" t="s">
        <v>108</v>
      </c>
      <c r="C2" s="4">
        <v>4.1399999999999997</v>
      </c>
      <c r="D2" s="4" t="s">
        <v>39</v>
      </c>
      <c r="E2" s="4" t="s">
        <v>39</v>
      </c>
      <c r="F2" s="5">
        <v>4.1399999999999997</v>
      </c>
      <c r="G2" s="6">
        <v>0</v>
      </c>
      <c r="H2" s="4" t="s">
        <v>39</v>
      </c>
      <c r="I2" s="5" t="s">
        <v>39</v>
      </c>
      <c r="J2" s="4" t="s">
        <v>39</v>
      </c>
      <c r="K2" s="4">
        <v>6.69</v>
      </c>
      <c r="L2" s="79">
        <f t="shared" ref="L2:L22" si="0">K2*0.89</f>
        <v>5.9541000000000004</v>
      </c>
      <c r="M2" s="80" t="b">
        <f t="shared" ref="M2:M22" si="1">L2&gt;C2</f>
        <v>1</v>
      </c>
    </row>
    <row r="3" spans="1:13" ht="20.100000000000001" customHeight="1" x14ac:dyDescent="0.25">
      <c r="A3" s="2" t="s">
        <v>107</v>
      </c>
      <c r="B3" s="2" t="s">
        <v>109</v>
      </c>
      <c r="C3" s="11">
        <v>63.36</v>
      </c>
      <c r="D3" s="4">
        <v>63.06</v>
      </c>
      <c r="E3" s="4">
        <v>64</v>
      </c>
      <c r="F3" s="5">
        <v>64.06</v>
      </c>
      <c r="G3" s="26">
        <v>-1.0927255697783371E-2</v>
      </c>
      <c r="H3" s="6" t="s">
        <v>973</v>
      </c>
      <c r="I3" s="5">
        <v>3.56</v>
      </c>
      <c r="J3" s="4">
        <v>18.28</v>
      </c>
      <c r="K3" s="4">
        <v>61.45</v>
      </c>
      <c r="L3" s="4">
        <f t="shared" si="0"/>
        <v>54.6905</v>
      </c>
      <c r="M3" s="4" t="b">
        <f t="shared" si="1"/>
        <v>0</v>
      </c>
    </row>
    <row r="4" spans="1:13" ht="20.100000000000001" customHeight="1" x14ac:dyDescent="0.25">
      <c r="A4" s="2" t="s">
        <v>100</v>
      </c>
      <c r="B4" s="2" t="s">
        <v>110</v>
      </c>
      <c r="C4" s="4">
        <v>41.01</v>
      </c>
      <c r="D4" s="4">
        <v>41</v>
      </c>
      <c r="E4" s="4">
        <v>41.58</v>
      </c>
      <c r="F4" s="5">
        <v>41.85</v>
      </c>
      <c r="G4" s="6">
        <v>-2.00716845878137E-2</v>
      </c>
      <c r="H4" s="4" t="s">
        <v>974</v>
      </c>
      <c r="I4" s="5">
        <v>2.4900000000000002</v>
      </c>
      <c r="J4" s="4">
        <v>27.07</v>
      </c>
      <c r="K4" s="4">
        <v>41.03</v>
      </c>
      <c r="L4" s="4">
        <f t="shared" si="0"/>
        <v>36.5167</v>
      </c>
      <c r="M4" s="4" t="b">
        <f t="shared" si="1"/>
        <v>0</v>
      </c>
    </row>
    <row r="5" spans="1:13" ht="20.100000000000001" customHeight="1" x14ac:dyDescent="0.25">
      <c r="A5" s="2" t="s">
        <v>99</v>
      </c>
      <c r="B5" s="2" t="s">
        <v>111</v>
      </c>
      <c r="C5" s="4">
        <v>236.39</v>
      </c>
      <c r="D5" s="4">
        <v>236.39</v>
      </c>
      <c r="E5" s="4">
        <v>241.69</v>
      </c>
      <c r="F5" s="5">
        <v>241.69</v>
      </c>
      <c r="G5" s="6">
        <v>-2.1928917207993757E-2</v>
      </c>
      <c r="H5" s="4" t="s">
        <v>975</v>
      </c>
      <c r="I5" s="5">
        <v>0.1</v>
      </c>
      <c r="J5" s="4">
        <v>22.51</v>
      </c>
      <c r="K5" s="4">
        <v>246.22</v>
      </c>
      <c r="L5" s="4">
        <f t="shared" si="0"/>
        <v>219.13579999999999</v>
      </c>
      <c r="M5" s="4" t="b">
        <f t="shared" si="1"/>
        <v>0</v>
      </c>
    </row>
    <row r="6" spans="1:13" ht="20.100000000000001" customHeight="1" x14ac:dyDescent="0.25">
      <c r="A6" s="2" t="s">
        <v>244</v>
      </c>
      <c r="B6" s="2" t="s">
        <v>245</v>
      </c>
      <c r="C6" s="20">
        <v>124.92</v>
      </c>
      <c r="D6" s="20">
        <v>123.95</v>
      </c>
      <c r="E6" s="20">
        <v>129.27000000000001</v>
      </c>
      <c r="F6" s="5">
        <v>130.06</v>
      </c>
      <c r="G6" s="26">
        <v>-3.9520221436260189E-2</v>
      </c>
      <c r="H6" s="6" t="s">
        <v>976</v>
      </c>
      <c r="I6" s="5" t="s">
        <v>39</v>
      </c>
      <c r="J6" s="4">
        <v>313.87</v>
      </c>
      <c r="K6" s="4">
        <v>136.69</v>
      </c>
      <c r="L6" s="4">
        <f t="shared" si="0"/>
        <v>121.6541</v>
      </c>
      <c r="M6" s="4" t="b">
        <f t="shared" si="1"/>
        <v>0</v>
      </c>
    </row>
    <row r="7" spans="1:13" ht="20.100000000000001" customHeight="1" x14ac:dyDescent="0.25">
      <c r="A7" s="2" t="s">
        <v>102</v>
      </c>
      <c r="B7" s="2" t="s">
        <v>112</v>
      </c>
      <c r="C7" s="11">
        <v>166.55</v>
      </c>
      <c r="D7" s="4">
        <v>166.53</v>
      </c>
      <c r="E7" s="4">
        <v>169.76</v>
      </c>
      <c r="F7" s="5">
        <v>170.97</v>
      </c>
      <c r="G7" s="26">
        <v>-2.5852488740714673E-2</v>
      </c>
      <c r="H7" s="6" t="s">
        <v>977</v>
      </c>
      <c r="I7" s="5">
        <v>2.34</v>
      </c>
      <c r="J7" s="4">
        <v>17.04</v>
      </c>
      <c r="K7" s="4">
        <v>157.79</v>
      </c>
      <c r="L7" s="4">
        <f t="shared" si="0"/>
        <v>140.4331</v>
      </c>
      <c r="M7" s="4" t="b">
        <f t="shared" si="1"/>
        <v>0</v>
      </c>
    </row>
    <row r="8" spans="1:13" s="7" customFormat="1" ht="20.100000000000001" customHeight="1" x14ac:dyDescent="0.25">
      <c r="A8" s="1" t="s">
        <v>97</v>
      </c>
      <c r="B8" s="2" t="s">
        <v>342</v>
      </c>
      <c r="C8" s="4">
        <v>296.10000000000002</v>
      </c>
      <c r="D8" s="4">
        <v>296.07</v>
      </c>
      <c r="E8" s="4">
        <v>305.48</v>
      </c>
      <c r="F8" s="5">
        <v>307.73</v>
      </c>
      <c r="G8" s="6">
        <v>-3.7792870373379243E-2</v>
      </c>
      <c r="H8" s="4" t="s">
        <v>978</v>
      </c>
      <c r="I8" s="5" t="s">
        <v>39</v>
      </c>
      <c r="J8" s="4">
        <v>17.3</v>
      </c>
      <c r="K8" s="4">
        <v>272.8</v>
      </c>
      <c r="L8" s="4">
        <f t="shared" si="0"/>
        <v>242.792</v>
      </c>
      <c r="M8" s="4" t="b">
        <f t="shared" si="1"/>
        <v>0</v>
      </c>
    </row>
    <row r="9" spans="1:13" ht="20.100000000000001" customHeight="1" x14ac:dyDescent="0.25">
      <c r="A9" s="1" t="s">
        <v>95</v>
      </c>
      <c r="B9" s="2" t="s">
        <v>113</v>
      </c>
      <c r="C9" s="4">
        <v>53.43</v>
      </c>
      <c r="D9" s="4">
        <v>53.33</v>
      </c>
      <c r="E9" s="4">
        <v>57</v>
      </c>
      <c r="F9" s="5">
        <v>57.51</v>
      </c>
      <c r="G9" s="6">
        <v>-7.0944183620239937E-2</v>
      </c>
      <c r="H9" s="4" t="s">
        <v>979</v>
      </c>
      <c r="I9" s="5" t="s">
        <v>39</v>
      </c>
      <c r="J9" s="4" t="s">
        <v>39</v>
      </c>
      <c r="K9" s="4">
        <v>47.15</v>
      </c>
      <c r="L9" s="4">
        <f t="shared" si="0"/>
        <v>41.963499999999996</v>
      </c>
      <c r="M9" s="4" t="b">
        <f t="shared" si="1"/>
        <v>0</v>
      </c>
    </row>
    <row r="10" spans="1:13" s="7" customFormat="1" ht="20.100000000000001" customHeight="1" x14ac:dyDescent="0.25">
      <c r="A10" s="2" t="s">
        <v>106</v>
      </c>
      <c r="B10" s="2" t="s">
        <v>114</v>
      </c>
      <c r="C10" s="11">
        <v>104.47</v>
      </c>
      <c r="D10" s="4">
        <v>104.42</v>
      </c>
      <c r="E10" s="4">
        <v>106.97</v>
      </c>
      <c r="F10" s="5">
        <v>107.65</v>
      </c>
      <c r="G10" s="26">
        <v>-2.9540176497909954E-2</v>
      </c>
      <c r="H10" s="6" t="s">
        <v>980</v>
      </c>
      <c r="I10" s="5" t="s">
        <v>39</v>
      </c>
      <c r="J10" s="4">
        <v>44.15</v>
      </c>
      <c r="K10" s="4">
        <v>104.78</v>
      </c>
      <c r="L10" s="4">
        <f t="shared" si="0"/>
        <v>93.254199999999997</v>
      </c>
      <c r="M10" s="4" t="b">
        <f t="shared" si="1"/>
        <v>0</v>
      </c>
    </row>
    <row r="11" spans="1:13" ht="20.100000000000001" customHeight="1" x14ac:dyDescent="0.25">
      <c r="A11" s="81" t="s">
        <v>96</v>
      </c>
      <c r="B11" s="2" t="s">
        <v>115</v>
      </c>
      <c r="C11" s="4">
        <v>78.05</v>
      </c>
      <c r="D11" s="4">
        <v>78.05</v>
      </c>
      <c r="E11" s="4">
        <v>79</v>
      </c>
      <c r="F11" s="5">
        <v>78.989999999999995</v>
      </c>
      <c r="G11" s="6">
        <v>-1.1900240536776779E-2</v>
      </c>
      <c r="H11" s="4" t="s">
        <v>981</v>
      </c>
      <c r="I11" s="5">
        <v>2.38</v>
      </c>
      <c r="J11" s="4">
        <v>6.85</v>
      </c>
      <c r="K11" s="4">
        <v>86.84</v>
      </c>
      <c r="L11" s="4">
        <f t="shared" si="0"/>
        <v>77.287599999999998</v>
      </c>
      <c r="M11" s="4" t="b">
        <f t="shared" si="1"/>
        <v>0</v>
      </c>
    </row>
    <row r="12" spans="1:13" ht="20.100000000000001" customHeight="1" x14ac:dyDescent="0.25">
      <c r="A12" s="2" t="s">
        <v>103</v>
      </c>
      <c r="B12" s="2" t="s">
        <v>116</v>
      </c>
      <c r="C12" s="11">
        <v>78.239999999999995</v>
      </c>
      <c r="D12" s="4">
        <v>78.2</v>
      </c>
      <c r="E12" s="4">
        <v>79.62</v>
      </c>
      <c r="F12" s="5">
        <v>79.89</v>
      </c>
      <c r="G12" s="26">
        <v>-2.0653398422831464E-2</v>
      </c>
      <c r="H12" s="6" t="s">
        <v>982</v>
      </c>
      <c r="I12" s="5">
        <v>2.5499999999999998</v>
      </c>
      <c r="J12" s="4">
        <v>33.72</v>
      </c>
      <c r="K12" s="4">
        <v>76.44</v>
      </c>
      <c r="L12" s="4">
        <f t="shared" si="0"/>
        <v>68.031599999999997</v>
      </c>
      <c r="M12" s="4" t="b">
        <f t="shared" si="1"/>
        <v>0</v>
      </c>
    </row>
    <row r="13" spans="1:13" ht="20.100000000000001" customHeight="1" x14ac:dyDescent="0.25">
      <c r="A13" s="2" t="s">
        <v>859</v>
      </c>
      <c r="B13" s="2" t="s">
        <v>860</v>
      </c>
      <c r="C13" s="20">
        <v>384.43</v>
      </c>
      <c r="D13" s="20">
        <v>384.01</v>
      </c>
      <c r="E13" s="20">
        <v>399.83</v>
      </c>
      <c r="F13" s="5">
        <v>401.83</v>
      </c>
      <c r="G13" s="26">
        <v>-4.3301893835701613E-2</v>
      </c>
      <c r="H13" s="6" t="s">
        <v>983</v>
      </c>
      <c r="I13" s="5" t="s">
        <v>39</v>
      </c>
      <c r="J13" s="4">
        <v>59.97</v>
      </c>
      <c r="K13" s="4">
        <v>389.42</v>
      </c>
      <c r="L13" s="20">
        <f>K13*0.89</f>
        <v>346.5838</v>
      </c>
      <c r="M13" s="20" t="b">
        <f>L13&gt;C13</f>
        <v>0</v>
      </c>
    </row>
    <row r="14" spans="1:13" ht="20.100000000000001" customHeight="1" x14ac:dyDescent="0.25">
      <c r="A14" s="2" t="s">
        <v>104</v>
      </c>
      <c r="B14" s="2" t="s">
        <v>117</v>
      </c>
      <c r="C14" s="11">
        <v>62.49</v>
      </c>
      <c r="D14" s="4">
        <v>62.32</v>
      </c>
      <c r="E14" s="4">
        <v>62.71</v>
      </c>
      <c r="F14" s="5">
        <v>63.24</v>
      </c>
      <c r="G14" s="26">
        <v>-1.1859582542694497E-2</v>
      </c>
      <c r="H14" s="6" t="s">
        <v>984</v>
      </c>
      <c r="I14" s="5">
        <v>2.91</v>
      </c>
      <c r="J14" s="4">
        <v>34.28</v>
      </c>
      <c r="K14" s="4">
        <v>56.91</v>
      </c>
      <c r="L14" s="4">
        <f t="shared" si="0"/>
        <v>50.649899999999995</v>
      </c>
      <c r="M14" s="4" t="b">
        <f t="shared" si="1"/>
        <v>0</v>
      </c>
    </row>
    <row r="15" spans="1:13" ht="20.100000000000001" customHeight="1" x14ac:dyDescent="0.25">
      <c r="A15" s="1" t="s">
        <v>494</v>
      </c>
      <c r="B15" s="2" t="s">
        <v>495</v>
      </c>
      <c r="C15" s="11">
        <v>21.95</v>
      </c>
      <c r="D15" s="4">
        <v>21.94</v>
      </c>
      <c r="E15" s="4">
        <v>22.41</v>
      </c>
      <c r="F15" s="5">
        <v>22.43</v>
      </c>
      <c r="G15" s="26">
        <v>-2.1399910833704877E-2</v>
      </c>
      <c r="H15" s="6" t="s">
        <v>562</v>
      </c>
      <c r="I15" s="5" t="s">
        <v>39</v>
      </c>
      <c r="J15" s="4" t="s">
        <v>39</v>
      </c>
      <c r="K15" s="4">
        <v>18.21</v>
      </c>
      <c r="L15" s="4">
        <f t="shared" si="0"/>
        <v>16.206900000000001</v>
      </c>
      <c r="M15" s="4" t="b">
        <f t="shared" si="1"/>
        <v>0</v>
      </c>
    </row>
    <row r="16" spans="1:13" ht="20.100000000000001" customHeight="1" x14ac:dyDescent="0.25">
      <c r="A16" s="1" t="s">
        <v>98</v>
      </c>
      <c r="B16" s="2" t="s">
        <v>118</v>
      </c>
      <c r="C16" s="4">
        <v>1.7283999999999999</v>
      </c>
      <c r="D16" s="4">
        <v>1.71</v>
      </c>
      <c r="E16" s="4">
        <v>1.79</v>
      </c>
      <c r="F16" s="5">
        <v>1.7699</v>
      </c>
      <c r="G16" s="6">
        <v>-2.3447652409740716E-2</v>
      </c>
      <c r="H16" s="4" t="s">
        <v>985</v>
      </c>
      <c r="I16" s="5" t="s">
        <v>39</v>
      </c>
      <c r="J16" s="4" t="s">
        <v>39</v>
      </c>
      <c r="K16" s="4">
        <v>1.9036999999999999</v>
      </c>
      <c r="L16" s="4">
        <f t="shared" si="0"/>
        <v>1.694293</v>
      </c>
      <c r="M16" s="4" t="b">
        <f t="shared" si="1"/>
        <v>0</v>
      </c>
    </row>
    <row r="17" spans="1:13" ht="20.100000000000001" customHeight="1" x14ac:dyDescent="0.25">
      <c r="A17" s="2" t="s">
        <v>101</v>
      </c>
      <c r="B17" s="2" t="s">
        <v>119</v>
      </c>
      <c r="C17" s="4">
        <v>34.1</v>
      </c>
      <c r="D17" s="4">
        <v>34.090000000000003</v>
      </c>
      <c r="E17" s="4">
        <v>34.590000000000003</v>
      </c>
      <c r="F17" s="5">
        <v>34.72</v>
      </c>
      <c r="G17" s="6">
        <v>-1.7857142857142783E-2</v>
      </c>
      <c r="H17" s="4" t="s">
        <v>986</v>
      </c>
      <c r="I17" s="5">
        <v>3.46</v>
      </c>
      <c r="J17" s="4">
        <v>30.23</v>
      </c>
      <c r="K17" s="4">
        <v>33.61</v>
      </c>
      <c r="L17" s="4">
        <f t="shared" si="0"/>
        <v>29.9129</v>
      </c>
      <c r="M17" s="4" t="b">
        <f t="shared" si="1"/>
        <v>0</v>
      </c>
    </row>
    <row r="18" spans="1:13" ht="20.100000000000001" customHeight="1" x14ac:dyDescent="0.25">
      <c r="A18" s="2" t="s">
        <v>246</v>
      </c>
      <c r="B18" s="2" t="s">
        <v>247</v>
      </c>
      <c r="C18" s="20">
        <v>55.66</v>
      </c>
      <c r="D18" s="20">
        <v>55.66</v>
      </c>
      <c r="E18" s="20">
        <v>57.01</v>
      </c>
      <c r="F18" s="5">
        <v>56.81</v>
      </c>
      <c r="G18" s="26">
        <v>-2.0242914979757186E-2</v>
      </c>
      <c r="H18" s="6" t="s">
        <v>987</v>
      </c>
      <c r="I18" s="5">
        <v>2.68</v>
      </c>
      <c r="J18" s="4">
        <v>32.549999999999997</v>
      </c>
      <c r="K18" s="4">
        <v>67.989999999999995</v>
      </c>
      <c r="L18" s="4">
        <f t="shared" si="0"/>
        <v>60.511099999999999</v>
      </c>
      <c r="M18" s="4" t="b">
        <f t="shared" si="1"/>
        <v>1</v>
      </c>
    </row>
    <row r="19" spans="1:13" ht="20.100000000000001" customHeight="1" x14ac:dyDescent="0.25">
      <c r="A19" s="82" t="s">
        <v>105</v>
      </c>
      <c r="B19" s="83" t="s">
        <v>343</v>
      </c>
      <c r="C19" s="84">
        <v>39.89</v>
      </c>
      <c r="D19" s="84">
        <v>39.75</v>
      </c>
      <c r="E19" s="84">
        <v>40.39</v>
      </c>
      <c r="F19" s="85">
        <v>40.57</v>
      </c>
      <c r="G19" s="86">
        <v>-1.6761153561745123E-2</v>
      </c>
      <c r="H19" s="87" t="s">
        <v>988</v>
      </c>
      <c r="I19" s="85">
        <v>0</v>
      </c>
      <c r="J19" s="88">
        <v>25.25</v>
      </c>
      <c r="K19" s="88">
        <v>45.06</v>
      </c>
      <c r="L19" s="88">
        <f t="shared" si="0"/>
        <v>40.103400000000001</v>
      </c>
      <c r="M19" s="88" t="b">
        <f t="shared" si="1"/>
        <v>1</v>
      </c>
    </row>
    <row r="20" spans="1:13" ht="20.100000000000001" customHeight="1" x14ac:dyDescent="0.25">
      <c r="A20" s="83" t="s">
        <v>496</v>
      </c>
      <c r="B20" s="83" t="s">
        <v>498</v>
      </c>
      <c r="C20" s="84">
        <v>50.21</v>
      </c>
      <c r="D20" s="84">
        <v>50.15</v>
      </c>
      <c r="E20" s="84">
        <v>50.88</v>
      </c>
      <c r="F20" s="85">
        <v>51.04</v>
      </c>
      <c r="G20" s="86">
        <v>-1.6261755485893384E-2</v>
      </c>
      <c r="H20" s="87" t="s">
        <v>989</v>
      </c>
      <c r="I20" s="85">
        <v>2.66</v>
      </c>
      <c r="J20" s="88">
        <v>33.54</v>
      </c>
      <c r="K20" s="88">
        <v>53.58</v>
      </c>
      <c r="L20" s="88">
        <f t="shared" si="0"/>
        <v>47.686199999999999</v>
      </c>
      <c r="M20" s="88" t="b">
        <f t="shared" si="1"/>
        <v>0</v>
      </c>
    </row>
    <row r="21" spans="1:13" ht="20.100000000000001" customHeight="1" x14ac:dyDescent="0.25">
      <c r="A21" s="83" t="s">
        <v>497</v>
      </c>
      <c r="B21" s="83" t="s">
        <v>499</v>
      </c>
      <c r="C21" s="84">
        <v>88.71</v>
      </c>
      <c r="D21" s="84">
        <v>88.7</v>
      </c>
      <c r="E21" s="84">
        <v>90.67</v>
      </c>
      <c r="F21" s="85">
        <v>90.7</v>
      </c>
      <c r="G21" s="86">
        <v>-2.1940463065049712E-2</v>
      </c>
      <c r="H21" s="87" t="s">
        <v>990</v>
      </c>
      <c r="I21" s="85">
        <v>0.64</v>
      </c>
      <c r="J21" s="88" t="s">
        <v>39</v>
      </c>
      <c r="K21" s="88">
        <v>104.39</v>
      </c>
      <c r="L21" s="88">
        <f t="shared" si="0"/>
        <v>92.9071</v>
      </c>
      <c r="M21" s="88" t="b">
        <f t="shared" si="1"/>
        <v>1</v>
      </c>
    </row>
    <row r="22" spans="1:13" ht="20.100000000000001" customHeight="1" x14ac:dyDescent="0.25">
      <c r="A22" s="83" t="s">
        <v>500</v>
      </c>
      <c r="B22" s="83" t="s">
        <v>573</v>
      </c>
      <c r="C22" s="84">
        <v>20.035</v>
      </c>
      <c r="D22" s="84">
        <v>20.02</v>
      </c>
      <c r="E22" s="84">
        <v>20.66</v>
      </c>
      <c r="F22" s="85">
        <v>20.65</v>
      </c>
      <c r="G22" s="86">
        <v>-2.9782082324455131E-2</v>
      </c>
      <c r="H22" s="87" t="s">
        <v>991</v>
      </c>
      <c r="I22" s="85" t="s">
        <v>39</v>
      </c>
      <c r="J22" s="88" t="s">
        <v>39</v>
      </c>
      <c r="K22" s="88">
        <v>23.690999999999999</v>
      </c>
      <c r="L22" s="88">
        <f t="shared" si="0"/>
        <v>21.084989999999998</v>
      </c>
      <c r="M22" s="88" t="b">
        <f t="shared" si="1"/>
        <v>1</v>
      </c>
    </row>
  </sheetData>
  <conditionalFormatting sqref="G1:G22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1:G2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1:G2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>
      <selection activeCell="H16" sqref="H16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888</v>
      </c>
      <c r="B2" s="2" t="s">
        <v>893</v>
      </c>
      <c r="C2" s="4">
        <v>26.55</v>
      </c>
      <c r="D2" s="4">
        <v>26.36</v>
      </c>
      <c r="E2" s="4">
        <v>26.86</v>
      </c>
      <c r="F2" s="5">
        <v>26.49</v>
      </c>
      <c r="G2" s="6">
        <v>2.2650056625142423E-3</v>
      </c>
      <c r="H2" s="4" t="s">
        <v>992</v>
      </c>
      <c r="I2" s="5" t="s">
        <v>39</v>
      </c>
      <c r="J2" s="4">
        <v>34.799999999999997</v>
      </c>
      <c r="K2" s="4">
        <v>25.13</v>
      </c>
      <c r="L2" s="79">
        <f t="shared" ref="L2:L6" si="0">K2*0.89</f>
        <v>22.3657</v>
      </c>
      <c r="M2" s="80" t="b">
        <f t="shared" ref="M2:M6" si="1">L2&gt;C2</f>
        <v>0</v>
      </c>
    </row>
    <row r="3" spans="1:13" ht="20.100000000000001" customHeight="1" x14ac:dyDescent="0.25">
      <c r="A3" s="2" t="s">
        <v>889</v>
      </c>
      <c r="B3" s="2" t="s">
        <v>894</v>
      </c>
      <c r="C3" s="11">
        <v>35.33</v>
      </c>
      <c r="D3" s="4">
        <v>35.04</v>
      </c>
      <c r="E3" s="4">
        <v>35.58</v>
      </c>
      <c r="F3" s="5">
        <v>35.51</v>
      </c>
      <c r="G3" s="26">
        <v>-5.0689946493945289E-3</v>
      </c>
      <c r="H3" s="6" t="s">
        <v>895</v>
      </c>
      <c r="I3" s="5">
        <v>1.1299999999999999</v>
      </c>
      <c r="J3" s="4">
        <v>23.41</v>
      </c>
      <c r="K3" s="4">
        <v>37.03</v>
      </c>
      <c r="L3" s="4">
        <f t="shared" si="0"/>
        <v>32.956700000000005</v>
      </c>
      <c r="M3" s="4" t="b">
        <f t="shared" si="1"/>
        <v>0</v>
      </c>
    </row>
    <row r="4" spans="1:13" ht="20.100000000000001" customHeight="1" x14ac:dyDescent="0.25">
      <c r="A4" s="2" t="s">
        <v>890</v>
      </c>
      <c r="B4" s="2" t="s">
        <v>896</v>
      </c>
      <c r="C4" s="4">
        <v>30.65</v>
      </c>
      <c r="D4" s="4">
        <v>30.64</v>
      </c>
      <c r="E4" s="4">
        <v>31.32</v>
      </c>
      <c r="F4" s="5">
        <v>30.92</v>
      </c>
      <c r="G4" s="6">
        <v>-8.7322121604140723E-3</v>
      </c>
      <c r="H4" s="4" t="s">
        <v>553</v>
      </c>
      <c r="I4" s="5">
        <v>0.91</v>
      </c>
      <c r="J4" s="4">
        <v>26.42</v>
      </c>
      <c r="K4" s="4">
        <v>28.3</v>
      </c>
      <c r="L4" s="4">
        <f t="shared" si="0"/>
        <v>25.187000000000001</v>
      </c>
      <c r="M4" s="4" t="b">
        <f t="shared" si="1"/>
        <v>0</v>
      </c>
    </row>
    <row r="5" spans="1:13" ht="20.100000000000001" customHeight="1" x14ac:dyDescent="0.25">
      <c r="A5" s="2" t="s">
        <v>891</v>
      </c>
      <c r="B5" s="2" t="s">
        <v>897</v>
      </c>
      <c r="C5" s="4">
        <v>32.06</v>
      </c>
      <c r="D5" s="4">
        <v>32.04</v>
      </c>
      <c r="E5" s="4">
        <v>32.71</v>
      </c>
      <c r="F5" s="5">
        <v>32.43</v>
      </c>
      <c r="G5" s="6">
        <v>-1.1409189022509942E-2</v>
      </c>
      <c r="H5" s="4" t="s">
        <v>993</v>
      </c>
      <c r="I5" s="5">
        <v>2.1</v>
      </c>
      <c r="J5" s="4">
        <v>19.670000000000002</v>
      </c>
      <c r="K5" s="4">
        <v>30.49</v>
      </c>
      <c r="L5" s="4">
        <f t="shared" si="0"/>
        <v>27.136099999999999</v>
      </c>
      <c r="M5" s="4" t="b">
        <f t="shared" si="1"/>
        <v>0</v>
      </c>
    </row>
    <row r="6" spans="1:13" ht="20.100000000000001" customHeight="1" x14ac:dyDescent="0.25">
      <c r="A6" s="2" t="s">
        <v>892</v>
      </c>
      <c r="B6" s="2" t="s">
        <v>898</v>
      </c>
      <c r="C6" s="20">
        <v>14.35</v>
      </c>
      <c r="D6" s="20">
        <v>14.34</v>
      </c>
      <c r="E6" s="20">
        <v>14.6</v>
      </c>
      <c r="F6" s="5">
        <v>14.62</v>
      </c>
      <c r="G6" s="26">
        <v>-1.8467852257181915E-2</v>
      </c>
      <c r="H6" s="6" t="s">
        <v>994</v>
      </c>
      <c r="I6" s="5" t="s">
        <v>39</v>
      </c>
      <c r="J6" s="4">
        <v>14.51</v>
      </c>
      <c r="K6" s="4">
        <v>13.3</v>
      </c>
      <c r="L6" s="4">
        <f t="shared" si="0"/>
        <v>11.837000000000002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>
      <selection activeCell="I12" sqref="I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794</v>
      </c>
      <c r="B2" s="2" t="s">
        <v>799</v>
      </c>
      <c r="C2" s="4">
        <v>45.18</v>
      </c>
      <c r="D2" s="4">
        <v>44.98</v>
      </c>
      <c r="E2" s="4">
        <v>46.4</v>
      </c>
      <c r="F2" s="5">
        <v>46.87</v>
      </c>
      <c r="G2" s="6">
        <v>-3.6057179432472754E-2</v>
      </c>
      <c r="H2" s="4" t="s">
        <v>995</v>
      </c>
      <c r="I2" s="5">
        <v>0.34</v>
      </c>
      <c r="J2" s="4">
        <v>12.06</v>
      </c>
      <c r="K2" s="4">
        <v>46.35</v>
      </c>
      <c r="L2" s="79">
        <f t="shared" ref="L2:L6" si="0">K2*0.89</f>
        <v>41.2515</v>
      </c>
      <c r="M2" s="80" t="b">
        <f t="shared" ref="M2:M6" si="1">L2&gt;C2</f>
        <v>0</v>
      </c>
    </row>
    <row r="3" spans="1:13" ht="20.100000000000001" customHeight="1" x14ac:dyDescent="0.25">
      <c r="A3" s="2" t="s">
        <v>795</v>
      </c>
      <c r="B3" s="2" t="s">
        <v>800</v>
      </c>
      <c r="C3" s="11">
        <v>30.22</v>
      </c>
      <c r="D3" s="4">
        <v>29.99</v>
      </c>
      <c r="E3" s="4">
        <v>31.25</v>
      </c>
      <c r="F3" s="5">
        <v>31.54</v>
      </c>
      <c r="G3" s="26">
        <v>-4.1851616994292969E-2</v>
      </c>
      <c r="H3" s="6" t="s">
        <v>970</v>
      </c>
      <c r="I3" s="5">
        <v>1.01</v>
      </c>
      <c r="J3" s="4">
        <v>13.44</v>
      </c>
      <c r="K3" s="4">
        <v>30.94</v>
      </c>
      <c r="L3" s="4">
        <f t="shared" si="0"/>
        <v>27.5366</v>
      </c>
      <c r="M3" s="4" t="b">
        <f t="shared" si="1"/>
        <v>0</v>
      </c>
    </row>
    <row r="4" spans="1:13" ht="20.100000000000001" customHeight="1" x14ac:dyDescent="0.25">
      <c r="A4" s="2" t="s">
        <v>796</v>
      </c>
      <c r="B4" s="2" t="s">
        <v>801</v>
      </c>
      <c r="C4" s="4">
        <v>29.31</v>
      </c>
      <c r="D4" s="4">
        <v>29.06</v>
      </c>
      <c r="E4" s="4">
        <v>30.28</v>
      </c>
      <c r="F4" s="5">
        <v>30.56</v>
      </c>
      <c r="G4" s="6">
        <v>-4.0903141361256549E-2</v>
      </c>
      <c r="H4" s="4" t="s">
        <v>996</v>
      </c>
      <c r="I4" s="5" t="s">
        <v>39</v>
      </c>
      <c r="J4" s="4">
        <v>12.62</v>
      </c>
      <c r="K4" s="4">
        <v>28.37</v>
      </c>
      <c r="L4" s="4">
        <f t="shared" si="0"/>
        <v>25.249300000000002</v>
      </c>
      <c r="M4" s="4" t="b">
        <f t="shared" si="1"/>
        <v>0</v>
      </c>
    </row>
    <row r="5" spans="1:13" ht="20.100000000000001" customHeight="1" x14ac:dyDescent="0.25">
      <c r="A5" s="2" t="s">
        <v>797</v>
      </c>
      <c r="B5" s="2" t="s">
        <v>802</v>
      </c>
      <c r="C5" s="4">
        <v>20.04</v>
      </c>
      <c r="D5" s="4">
        <v>19.82</v>
      </c>
      <c r="E5" s="4">
        <v>20.71</v>
      </c>
      <c r="F5" s="5">
        <v>20.88</v>
      </c>
      <c r="G5" s="6">
        <v>-4.0229885057471257E-2</v>
      </c>
      <c r="H5" s="4" t="s">
        <v>997</v>
      </c>
      <c r="I5" s="5">
        <v>1.72</v>
      </c>
      <c r="J5" s="4">
        <v>13.19</v>
      </c>
      <c r="K5" s="4">
        <v>19.3</v>
      </c>
      <c r="L5" s="4">
        <f t="shared" si="0"/>
        <v>17.177</v>
      </c>
      <c r="M5" s="4" t="b">
        <f t="shared" si="1"/>
        <v>0</v>
      </c>
    </row>
    <row r="6" spans="1:13" ht="20.100000000000001" customHeight="1" x14ac:dyDescent="0.25">
      <c r="A6" s="2" t="s">
        <v>798</v>
      </c>
      <c r="B6" s="2" t="s">
        <v>803</v>
      </c>
      <c r="C6" s="20">
        <v>14.86</v>
      </c>
      <c r="D6" s="20">
        <v>14.76</v>
      </c>
      <c r="E6" s="20">
        <v>15.48</v>
      </c>
      <c r="F6" s="5">
        <v>15.64</v>
      </c>
      <c r="G6" s="26">
        <v>-4.9872122762148412E-2</v>
      </c>
      <c r="H6" s="6" t="s">
        <v>998</v>
      </c>
      <c r="I6" s="5">
        <v>0.64</v>
      </c>
      <c r="J6" s="4">
        <v>15.21</v>
      </c>
      <c r="K6" s="4">
        <v>14.45</v>
      </c>
      <c r="L6" s="4">
        <f t="shared" si="0"/>
        <v>12.8605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74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>
      <selection activeCell="J17" sqref="J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840</v>
      </c>
      <c r="B2" s="2" t="s">
        <v>843</v>
      </c>
      <c r="C2" s="4">
        <v>46.39</v>
      </c>
      <c r="D2" s="4">
        <v>46.08</v>
      </c>
      <c r="E2" s="4">
        <v>47.15</v>
      </c>
      <c r="F2" s="5">
        <v>48.7</v>
      </c>
      <c r="G2" s="6">
        <v>-4.7433264887063696E-2</v>
      </c>
      <c r="H2" s="4" t="s">
        <v>844</v>
      </c>
      <c r="I2" s="5">
        <v>2.87</v>
      </c>
      <c r="J2" s="4">
        <v>15.99</v>
      </c>
      <c r="K2" s="4">
        <v>47.93</v>
      </c>
      <c r="L2" s="77">
        <f t="shared" ref="L2:L6" si="0">K2*0.89</f>
        <v>42.657699999999998</v>
      </c>
      <c r="M2" s="78" t="b">
        <f t="shared" ref="M2:M6" si="1">L2&gt;C2</f>
        <v>0</v>
      </c>
    </row>
    <row r="3" spans="1:13" ht="20.100000000000001" customHeight="1" x14ac:dyDescent="0.25">
      <c r="A3" s="2" t="s">
        <v>841</v>
      </c>
      <c r="B3" s="2" t="s">
        <v>845</v>
      </c>
      <c r="C3" s="4">
        <v>70.010000000000005</v>
      </c>
      <c r="D3" s="4">
        <v>69.989999999999995</v>
      </c>
      <c r="E3" s="4">
        <v>71.900000000000006</v>
      </c>
      <c r="F3" s="5">
        <v>72.709999999999994</v>
      </c>
      <c r="G3" s="6">
        <v>-3.7133819282079338E-2</v>
      </c>
      <c r="H3" s="4" t="s">
        <v>846</v>
      </c>
      <c r="I3" s="5">
        <v>2.06</v>
      </c>
      <c r="J3" s="4">
        <v>19.98</v>
      </c>
      <c r="K3" s="4">
        <v>74.239999999999995</v>
      </c>
      <c r="L3" s="77">
        <f t="shared" si="0"/>
        <v>66.073599999999999</v>
      </c>
      <c r="M3" s="4" t="b">
        <f t="shared" si="1"/>
        <v>0</v>
      </c>
    </row>
    <row r="4" spans="1:13" ht="20.100000000000001" customHeight="1" x14ac:dyDescent="0.25">
      <c r="A4" s="81" t="s">
        <v>162</v>
      </c>
      <c r="B4" s="2" t="s">
        <v>171</v>
      </c>
      <c r="C4" s="4">
        <v>94.42</v>
      </c>
      <c r="D4" s="4">
        <v>94.13</v>
      </c>
      <c r="E4" s="4">
        <v>94.96</v>
      </c>
      <c r="F4" s="5">
        <v>94.26</v>
      </c>
      <c r="G4" s="6">
        <v>1.6974326331423359E-3</v>
      </c>
      <c r="H4" s="4" t="s">
        <v>733</v>
      </c>
      <c r="I4" s="5">
        <v>1.51</v>
      </c>
      <c r="J4" s="4">
        <v>16.97</v>
      </c>
      <c r="K4" s="4">
        <v>98.43</v>
      </c>
      <c r="L4" s="77">
        <f t="shared" si="0"/>
        <v>87.602700000000013</v>
      </c>
      <c r="M4" s="4" t="b">
        <f t="shared" si="1"/>
        <v>0</v>
      </c>
    </row>
    <row r="5" spans="1:13" ht="20.100000000000001" customHeight="1" x14ac:dyDescent="0.25">
      <c r="A5" s="71" t="s">
        <v>848</v>
      </c>
      <c r="B5" s="71" t="s">
        <v>849</v>
      </c>
      <c r="C5" s="72">
        <v>9.48</v>
      </c>
      <c r="D5" s="72">
        <v>9.39</v>
      </c>
      <c r="E5" s="72">
        <v>9.5</v>
      </c>
      <c r="F5" s="73">
        <v>9.2799999999999994</v>
      </c>
      <c r="G5" s="74">
        <v>2.155172413793115E-2</v>
      </c>
      <c r="H5" s="72" t="s">
        <v>850</v>
      </c>
      <c r="I5" s="73" t="s">
        <v>39</v>
      </c>
      <c r="J5" s="72">
        <v>44.09</v>
      </c>
      <c r="K5" s="72">
        <v>9.7100000000000009</v>
      </c>
      <c r="L5" s="101">
        <f>K5*0.89</f>
        <v>8.6419000000000015</v>
      </c>
      <c r="M5" s="102" t="b">
        <f>L5&gt;C5</f>
        <v>0</v>
      </c>
    </row>
    <row r="6" spans="1:13" ht="20.100000000000001" customHeight="1" x14ac:dyDescent="0.25">
      <c r="A6" s="2" t="s">
        <v>842</v>
      </c>
      <c r="B6" s="2" t="s">
        <v>847</v>
      </c>
      <c r="C6" s="4">
        <v>35.61</v>
      </c>
      <c r="D6" s="4">
        <v>35.36</v>
      </c>
      <c r="E6" s="4">
        <v>36.909999999999997</v>
      </c>
      <c r="F6" s="5">
        <v>37.049999999999997</v>
      </c>
      <c r="G6" s="6">
        <v>-3.8866396761133543E-2</v>
      </c>
      <c r="H6" s="4" t="s">
        <v>736</v>
      </c>
      <c r="I6" s="5" t="s">
        <v>39</v>
      </c>
      <c r="J6" s="4">
        <v>16.04</v>
      </c>
      <c r="K6" s="4">
        <v>45.45</v>
      </c>
      <c r="L6" s="77">
        <f t="shared" si="0"/>
        <v>40.450500000000005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>
      <selection activeCell="F17" sqref="F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214</v>
      </c>
      <c r="B2" s="2" t="s">
        <v>218</v>
      </c>
      <c r="C2" s="4">
        <v>153.81</v>
      </c>
      <c r="D2" s="4">
        <v>152.99</v>
      </c>
      <c r="E2" s="4">
        <v>153.93</v>
      </c>
      <c r="F2" s="5">
        <v>152.84</v>
      </c>
      <c r="G2" s="6">
        <v>6.3465061502224474E-3</v>
      </c>
      <c r="H2" s="4" t="s">
        <v>577</v>
      </c>
      <c r="I2" s="5">
        <v>1.99</v>
      </c>
      <c r="J2" s="4">
        <v>16.36</v>
      </c>
      <c r="K2" s="4">
        <v>140.78</v>
      </c>
      <c r="L2" s="77">
        <f t="shared" ref="L2:L10" si="0">K2*0.89</f>
        <v>125.2942</v>
      </c>
      <c r="M2" s="78" t="b">
        <f t="shared" ref="M2:M10" si="1">L2&gt;C2</f>
        <v>0</v>
      </c>
    </row>
    <row r="3" spans="1:13" ht="20.100000000000001" customHeight="1" x14ac:dyDescent="0.25">
      <c r="A3" s="2" t="s">
        <v>215</v>
      </c>
      <c r="B3" s="2" t="s">
        <v>219</v>
      </c>
      <c r="C3" s="4">
        <v>213.24</v>
      </c>
      <c r="D3" s="4">
        <v>212.06</v>
      </c>
      <c r="E3" s="4">
        <v>213.62</v>
      </c>
      <c r="F3" s="5">
        <v>211.83</v>
      </c>
      <c r="G3" s="6">
        <v>6.656280980031141E-3</v>
      </c>
      <c r="H3" s="4" t="s">
        <v>578</v>
      </c>
      <c r="I3" s="5">
        <v>1.7</v>
      </c>
      <c r="J3" s="4">
        <v>19.18</v>
      </c>
      <c r="K3" s="4">
        <v>208.65</v>
      </c>
      <c r="L3" s="77">
        <f t="shared" si="0"/>
        <v>185.6985</v>
      </c>
      <c r="M3" s="4" t="b">
        <f t="shared" si="1"/>
        <v>0</v>
      </c>
    </row>
    <row r="4" spans="1:13" ht="20.100000000000001" customHeight="1" x14ac:dyDescent="0.25">
      <c r="A4" s="2" t="s">
        <v>216</v>
      </c>
      <c r="B4" s="2" t="s">
        <v>220</v>
      </c>
      <c r="C4" s="4">
        <v>140.13</v>
      </c>
      <c r="D4" s="4">
        <v>139.26</v>
      </c>
      <c r="E4" s="4">
        <v>140.65</v>
      </c>
      <c r="F4" s="5">
        <v>139.96</v>
      </c>
      <c r="G4" s="6">
        <v>1.214632752214829E-3</v>
      </c>
      <c r="H4" s="4" t="s">
        <v>579</v>
      </c>
      <c r="I4" s="5">
        <v>2.09</v>
      </c>
      <c r="J4" s="4">
        <v>19.579999999999998</v>
      </c>
      <c r="K4" s="4">
        <v>131.63</v>
      </c>
      <c r="L4" s="77">
        <f t="shared" si="0"/>
        <v>117.1507</v>
      </c>
      <c r="M4" s="4" t="b">
        <f t="shared" si="1"/>
        <v>0</v>
      </c>
    </row>
    <row r="5" spans="1:13" ht="20.100000000000001" customHeight="1" x14ac:dyDescent="0.25">
      <c r="A5" s="2" t="s">
        <v>217</v>
      </c>
      <c r="B5" s="2" t="s">
        <v>221</v>
      </c>
      <c r="C5" s="4">
        <v>243.32</v>
      </c>
      <c r="D5" s="4">
        <v>242.26</v>
      </c>
      <c r="E5" s="4">
        <v>245</v>
      </c>
      <c r="F5" s="5">
        <v>243.61</v>
      </c>
      <c r="G5" s="6">
        <v>-1.190427322359593E-3</v>
      </c>
      <c r="H5" s="4" t="s">
        <v>580</v>
      </c>
      <c r="I5" s="5">
        <v>2.71</v>
      </c>
      <c r="J5" s="4">
        <v>20.260000000000002</v>
      </c>
      <c r="K5" s="4">
        <v>237.42</v>
      </c>
      <c r="L5" s="77">
        <f t="shared" si="0"/>
        <v>211.3038</v>
      </c>
      <c r="M5" s="4" t="b">
        <f t="shared" si="1"/>
        <v>0</v>
      </c>
    </row>
    <row r="6" spans="1:13" ht="20.100000000000001" customHeight="1" x14ac:dyDescent="0.25">
      <c r="A6" s="2" t="s">
        <v>308</v>
      </c>
      <c r="B6" s="2" t="s">
        <v>309</v>
      </c>
      <c r="C6" s="4">
        <v>85.07</v>
      </c>
      <c r="D6" s="4">
        <v>84.53</v>
      </c>
      <c r="E6" s="4">
        <v>85.6</v>
      </c>
      <c r="F6" s="5">
        <v>84.13</v>
      </c>
      <c r="G6" s="6">
        <v>1.1173184357541874E-2</v>
      </c>
      <c r="H6" s="4" t="s">
        <v>556</v>
      </c>
      <c r="I6" s="5">
        <v>1.57</v>
      </c>
      <c r="J6" s="4">
        <v>16.03</v>
      </c>
      <c r="K6" s="4">
        <v>87.78</v>
      </c>
      <c r="L6" s="77">
        <f t="shared" si="0"/>
        <v>78.124200000000002</v>
      </c>
      <c r="M6" s="4" t="b">
        <f t="shared" si="1"/>
        <v>0</v>
      </c>
    </row>
    <row r="7" spans="1:13" ht="20.100000000000001" customHeight="1" x14ac:dyDescent="0.25">
      <c r="A7" s="2" t="s">
        <v>574</v>
      </c>
      <c r="B7" s="2" t="s">
        <v>581</v>
      </c>
      <c r="C7" s="4">
        <v>93.69</v>
      </c>
      <c r="D7" s="4">
        <v>93.02</v>
      </c>
      <c r="E7" s="4">
        <v>93.71</v>
      </c>
      <c r="F7" s="5">
        <v>92.85</v>
      </c>
      <c r="G7" s="6">
        <v>9.0468497576737042E-3</v>
      </c>
      <c r="H7" s="4" t="s">
        <v>582</v>
      </c>
      <c r="I7" s="5">
        <v>2.2799999999999998</v>
      </c>
      <c r="J7" s="4">
        <v>36.29</v>
      </c>
      <c r="K7" s="4">
        <v>81.63</v>
      </c>
      <c r="L7" s="77">
        <f t="shared" si="0"/>
        <v>72.650700000000001</v>
      </c>
      <c r="M7" s="4" t="b">
        <f t="shared" si="1"/>
        <v>0</v>
      </c>
    </row>
    <row r="8" spans="1:13" ht="20.100000000000001" customHeight="1" x14ac:dyDescent="0.25">
      <c r="A8" s="2" t="s">
        <v>866</v>
      </c>
      <c r="B8" s="2" t="s">
        <v>867</v>
      </c>
      <c r="C8" s="4">
        <v>41.2</v>
      </c>
      <c r="D8" s="4">
        <v>40.42</v>
      </c>
      <c r="E8" s="4">
        <v>41.21</v>
      </c>
      <c r="F8" s="5">
        <v>40.75</v>
      </c>
      <c r="G8" s="6">
        <v>1.1042944785276143E-2</v>
      </c>
      <c r="H8" s="4" t="s">
        <v>868</v>
      </c>
      <c r="I8" s="5">
        <v>3.14</v>
      </c>
      <c r="J8" s="4">
        <v>10.83</v>
      </c>
      <c r="K8" s="4">
        <v>47.82</v>
      </c>
      <c r="L8" s="103">
        <f>K8*0.89</f>
        <v>42.559800000000003</v>
      </c>
      <c r="M8" s="20" t="b">
        <f>L8&gt;C8</f>
        <v>1</v>
      </c>
    </row>
    <row r="9" spans="1:13" ht="20.100000000000001" customHeight="1" x14ac:dyDescent="0.25">
      <c r="A9" s="2" t="s">
        <v>575</v>
      </c>
      <c r="B9" s="2" t="s">
        <v>583</v>
      </c>
      <c r="C9" s="4">
        <v>14.44</v>
      </c>
      <c r="D9" s="4">
        <v>14.28</v>
      </c>
      <c r="E9" s="4">
        <v>14.47</v>
      </c>
      <c r="F9" s="5">
        <v>14.27</v>
      </c>
      <c r="G9" s="6">
        <v>1.1913104414856338E-2</v>
      </c>
      <c r="H9" s="4" t="s">
        <v>584</v>
      </c>
      <c r="I9" s="5">
        <v>1.7</v>
      </c>
      <c r="J9" s="4">
        <v>19.940000000000001</v>
      </c>
      <c r="K9" s="4">
        <v>12.28</v>
      </c>
      <c r="L9" s="77">
        <f t="shared" si="0"/>
        <v>10.9292</v>
      </c>
      <c r="M9" s="4" t="b">
        <f t="shared" si="1"/>
        <v>0</v>
      </c>
    </row>
    <row r="10" spans="1:13" ht="20.100000000000001" customHeight="1" x14ac:dyDescent="0.25">
      <c r="A10" s="2" t="s">
        <v>576</v>
      </c>
      <c r="B10" s="2" t="s">
        <v>585</v>
      </c>
      <c r="C10" s="4">
        <v>109.27</v>
      </c>
      <c r="D10" s="4">
        <v>108</v>
      </c>
      <c r="E10" s="4">
        <v>109.34</v>
      </c>
      <c r="F10" s="5">
        <v>107.67</v>
      </c>
      <c r="G10" s="6">
        <v>1.4860221045788003E-2</v>
      </c>
      <c r="H10" s="4" t="s">
        <v>586</v>
      </c>
      <c r="I10" s="5" t="s">
        <v>39</v>
      </c>
      <c r="J10" s="4">
        <v>20.53</v>
      </c>
      <c r="K10" s="4">
        <v>95.92</v>
      </c>
      <c r="L10" s="77">
        <f t="shared" si="0"/>
        <v>85.368800000000007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 activeCell="A3" sqref="A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65.239999999999995</v>
      </c>
      <c r="D2" s="4">
        <v>64.48</v>
      </c>
      <c r="E2" s="4">
        <v>65.37</v>
      </c>
      <c r="F2" s="5">
        <v>64.41</v>
      </c>
      <c r="G2" s="6">
        <v>1.2886197795373363E-2</v>
      </c>
      <c r="H2" s="4" t="s">
        <v>587</v>
      </c>
      <c r="I2" s="5">
        <v>3.48</v>
      </c>
      <c r="J2" s="4">
        <v>16.100000000000001</v>
      </c>
      <c r="K2" s="4">
        <v>65.89</v>
      </c>
      <c r="L2" s="77">
        <f t="shared" ref="L2:L12" si="0">K2*0.89</f>
        <v>58.642099999999999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12.48</v>
      </c>
      <c r="D3" s="4">
        <v>12.2</v>
      </c>
      <c r="E3" s="4">
        <v>12.57</v>
      </c>
      <c r="F3" s="5">
        <v>12.13</v>
      </c>
      <c r="G3" s="6">
        <v>2.8854080791426186E-2</v>
      </c>
      <c r="H3" s="4" t="s">
        <v>588</v>
      </c>
      <c r="I3" s="5" t="s">
        <v>39</v>
      </c>
      <c r="J3" s="4" t="s">
        <v>39</v>
      </c>
      <c r="K3" s="4">
        <v>14.16</v>
      </c>
      <c r="L3" s="4">
        <f t="shared" si="0"/>
        <v>12.602400000000001</v>
      </c>
      <c r="M3" s="4" t="b">
        <f t="shared" si="1"/>
        <v>1</v>
      </c>
    </row>
    <row r="4" spans="1:13" ht="20.100000000000001" customHeight="1" x14ac:dyDescent="0.25">
      <c r="A4" s="2" t="s">
        <v>1</v>
      </c>
      <c r="B4" s="2" t="s">
        <v>55</v>
      </c>
      <c r="C4" s="4">
        <v>12.47</v>
      </c>
      <c r="D4" s="4">
        <v>12.28</v>
      </c>
      <c r="E4" s="4">
        <v>12.78</v>
      </c>
      <c r="F4" s="5">
        <v>12.28</v>
      </c>
      <c r="G4" s="6">
        <v>1.5472312703583168E-2</v>
      </c>
      <c r="H4" s="4" t="s">
        <v>589</v>
      </c>
      <c r="I4" s="5">
        <v>0</v>
      </c>
      <c r="J4" s="4" t="s">
        <v>39</v>
      </c>
      <c r="K4" s="4">
        <v>15.17</v>
      </c>
      <c r="L4" s="4">
        <f t="shared" si="0"/>
        <v>13.501300000000001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34.07</v>
      </c>
      <c r="D5" s="4">
        <v>33.72</v>
      </c>
      <c r="E5" s="4">
        <v>34.21</v>
      </c>
      <c r="F5" s="5">
        <v>33.81</v>
      </c>
      <c r="G5" s="6">
        <v>7.6900325347529722E-3</v>
      </c>
      <c r="H5" s="4" t="s">
        <v>590</v>
      </c>
      <c r="I5" s="5">
        <v>3.76</v>
      </c>
      <c r="J5" s="4">
        <v>22.8</v>
      </c>
      <c r="K5" s="4">
        <v>34.75</v>
      </c>
      <c r="L5" s="4">
        <f t="shared" si="0"/>
        <v>30.927500000000002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32.82</v>
      </c>
      <c r="D6" s="4">
        <v>32.49</v>
      </c>
      <c r="E6" s="4">
        <v>33</v>
      </c>
      <c r="F6" s="5">
        <v>32.450000000000003</v>
      </c>
      <c r="G6" s="6">
        <v>1.140215716486895E-2</v>
      </c>
      <c r="H6" s="4" t="s">
        <v>591</v>
      </c>
      <c r="I6" s="5">
        <v>4.4400000000000004</v>
      </c>
      <c r="J6" s="4" t="s">
        <v>39</v>
      </c>
      <c r="K6" s="4">
        <v>34.17</v>
      </c>
      <c r="L6" s="4">
        <f t="shared" si="0"/>
        <v>30.411300000000001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11.98</v>
      </c>
      <c r="D7" s="4">
        <v>11.71</v>
      </c>
      <c r="E7" s="4">
        <v>12.08</v>
      </c>
      <c r="F7" s="5">
        <v>11.6</v>
      </c>
      <c r="G7" s="6">
        <v>3.2758620689655238E-2</v>
      </c>
      <c r="H7" s="4" t="s">
        <v>592</v>
      </c>
      <c r="I7" s="5">
        <v>1.03</v>
      </c>
      <c r="J7" s="4" t="s">
        <v>39</v>
      </c>
      <c r="K7" s="4">
        <v>13.88</v>
      </c>
      <c r="L7" s="4">
        <f t="shared" si="0"/>
        <v>12.353200000000001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42.98</v>
      </c>
      <c r="D8" s="4">
        <v>42.46</v>
      </c>
      <c r="E8" s="4">
        <v>43.02</v>
      </c>
      <c r="F8" s="5">
        <v>42.59</v>
      </c>
      <c r="G8" s="6">
        <v>9.1570791265553758E-3</v>
      </c>
      <c r="H8" s="4" t="s">
        <v>593</v>
      </c>
      <c r="I8" s="5">
        <v>3.85</v>
      </c>
      <c r="J8" s="4">
        <v>15.52</v>
      </c>
      <c r="K8" s="4">
        <v>44.96</v>
      </c>
      <c r="L8" s="4">
        <f t="shared" si="0"/>
        <v>40.014400000000002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13.8</v>
      </c>
      <c r="D9" s="4">
        <v>13.73</v>
      </c>
      <c r="E9" s="4">
        <v>13.85</v>
      </c>
      <c r="F9" s="5">
        <v>13.8</v>
      </c>
      <c r="G9" s="6">
        <v>0</v>
      </c>
      <c r="H9" s="4" t="s">
        <v>594</v>
      </c>
      <c r="I9" s="5" t="s">
        <v>39</v>
      </c>
      <c r="J9" s="4" t="s">
        <v>39</v>
      </c>
      <c r="K9" s="4">
        <v>11.64</v>
      </c>
      <c r="L9" s="4">
        <f t="shared" si="0"/>
        <v>10.3596</v>
      </c>
      <c r="M9" s="4" t="b">
        <f t="shared" si="1"/>
        <v>0</v>
      </c>
    </row>
    <row r="10" spans="1:13" ht="20.100000000000001" customHeight="1" x14ac:dyDescent="0.25">
      <c r="A10" s="2" t="s">
        <v>271</v>
      </c>
      <c r="B10" s="2" t="s">
        <v>272</v>
      </c>
      <c r="C10" s="4">
        <v>123.13</v>
      </c>
      <c r="D10" s="4">
        <v>121.31</v>
      </c>
      <c r="E10" s="4">
        <v>123.69</v>
      </c>
      <c r="F10" s="5">
        <v>121</v>
      </c>
      <c r="G10" s="6">
        <v>1.7603305785123931E-2</v>
      </c>
      <c r="H10" s="4" t="s">
        <v>595</v>
      </c>
      <c r="I10" s="5">
        <v>2.87</v>
      </c>
      <c r="J10" s="4">
        <v>22.03</v>
      </c>
      <c r="K10" s="4">
        <v>121.16</v>
      </c>
      <c r="L10" s="4">
        <f t="shared" si="0"/>
        <v>107.83239999999999</v>
      </c>
      <c r="M10" s="4" t="b">
        <f t="shared" si="1"/>
        <v>0</v>
      </c>
    </row>
    <row r="11" spans="1:13" ht="20.100000000000001" customHeight="1" x14ac:dyDescent="0.25">
      <c r="A11" s="2" t="s">
        <v>273</v>
      </c>
      <c r="B11" s="2" t="s">
        <v>274</v>
      </c>
      <c r="C11" s="4">
        <v>22.63</v>
      </c>
      <c r="D11" s="4">
        <v>22.42</v>
      </c>
      <c r="E11" s="4">
        <v>22.81</v>
      </c>
      <c r="F11" s="5">
        <v>22.44</v>
      </c>
      <c r="G11" s="6">
        <v>8.4670231729054232E-3</v>
      </c>
      <c r="H11" s="4" t="s">
        <v>596</v>
      </c>
      <c r="I11" s="5">
        <v>4.59</v>
      </c>
      <c r="J11" s="4" t="s">
        <v>39</v>
      </c>
      <c r="K11" s="4">
        <v>21.94</v>
      </c>
      <c r="L11" s="4">
        <f t="shared" si="0"/>
        <v>19.526600000000002</v>
      </c>
      <c r="M11" s="4" t="b">
        <f t="shared" si="1"/>
        <v>0</v>
      </c>
    </row>
    <row r="12" spans="1:13" ht="20.100000000000001" customHeight="1" x14ac:dyDescent="0.25">
      <c r="A12" s="28" t="s">
        <v>283</v>
      </c>
      <c r="B12" s="28" t="s">
        <v>284</v>
      </c>
      <c r="C12" s="29">
        <v>80.239999999999995</v>
      </c>
      <c r="D12" s="29">
        <v>79.22</v>
      </c>
      <c r="E12" s="29">
        <v>80.28</v>
      </c>
      <c r="F12" s="30">
        <v>79.33</v>
      </c>
      <c r="G12" s="31">
        <v>1.1471070213034118E-2</v>
      </c>
      <c r="H12" s="29" t="s">
        <v>597</v>
      </c>
      <c r="I12" s="30">
        <v>4.3</v>
      </c>
      <c r="J12" s="29">
        <v>21.21</v>
      </c>
      <c r="K12" s="29">
        <v>80.53</v>
      </c>
      <c r="L12" s="4">
        <f t="shared" si="0"/>
        <v>71.671700000000001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74.62</v>
      </c>
      <c r="D2" s="4">
        <v>74.209999999999994</v>
      </c>
      <c r="E2" s="4">
        <v>75.430000000000007</v>
      </c>
      <c r="F2" s="5">
        <v>75.09</v>
      </c>
      <c r="G2" s="6">
        <v>-6.2591556798508299E-3</v>
      </c>
      <c r="H2" s="4" t="s">
        <v>598</v>
      </c>
      <c r="I2" s="5">
        <v>1.51</v>
      </c>
      <c r="J2" s="4">
        <v>14.78</v>
      </c>
      <c r="K2" s="4">
        <v>68.61</v>
      </c>
      <c r="L2" s="79">
        <f t="shared" ref="L2:L8" si="0">K2*0.89</f>
        <v>61.062899999999999</v>
      </c>
      <c r="M2" s="80" t="b">
        <f t="shared" ref="M2:M8" si="1">L2&gt;C2</f>
        <v>0</v>
      </c>
    </row>
    <row r="3" spans="1:13" ht="20.100000000000001" customHeight="1" x14ac:dyDescent="0.25">
      <c r="A3" s="1" t="s">
        <v>439</v>
      </c>
      <c r="B3" s="2" t="s">
        <v>443</v>
      </c>
      <c r="C3" s="4">
        <v>107.73</v>
      </c>
      <c r="D3" s="4">
        <v>106.82</v>
      </c>
      <c r="E3" s="4">
        <v>108</v>
      </c>
      <c r="F3" s="5">
        <v>106.73</v>
      </c>
      <c r="G3" s="6">
        <v>9.3694368968424997E-3</v>
      </c>
      <c r="H3" s="4" t="s">
        <v>599</v>
      </c>
      <c r="I3" s="5">
        <v>2.14</v>
      </c>
      <c r="J3" s="4">
        <v>12.56</v>
      </c>
      <c r="K3" s="4">
        <v>101.29</v>
      </c>
      <c r="L3" s="70">
        <f t="shared" si="0"/>
        <v>90.148100000000014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357</v>
      </c>
      <c r="C4" s="4">
        <v>173.11</v>
      </c>
      <c r="D4" s="4">
        <v>168.8</v>
      </c>
      <c r="E4" s="4">
        <v>177.34</v>
      </c>
      <c r="F4" s="5">
        <v>177.09</v>
      </c>
      <c r="G4" s="6">
        <v>-2.2474448020780337E-2</v>
      </c>
      <c r="H4" s="4" t="s">
        <v>600</v>
      </c>
      <c r="I4" s="5">
        <v>1.1299999999999999</v>
      </c>
      <c r="J4" s="4" t="s">
        <v>39</v>
      </c>
      <c r="K4" s="4">
        <v>154.62</v>
      </c>
      <c r="L4" s="70">
        <f t="shared" si="0"/>
        <v>137.61180000000002</v>
      </c>
      <c r="M4" s="70" t="b">
        <f t="shared" si="1"/>
        <v>0</v>
      </c>
    </row>
    <row r="5" spans="1:13" ht="20.100000000000001" customHeight="1" x14ac:dyDescent="0.25">
      <c r="A5" s="2" t="s">
        <v>440</v>
      </c>
      <c r="B5" s="2" t="s">
        <v>444</v>
      </c>
      <c r="C5" s="4">
        <v>63.15</v>
      </c>
      <c r="D5" s="4">
        <v>62.91</v>
      </c>
      <c r="E5" s="4">
        <v>63.53</v>
      </c>
      <c r="F5" s="5">
        <v>63.06</v>
      </c>
      <c r="G5" s="6">
        <v>1.4272121788772012E-3</v>
      </c>
      <c r="H5" s="4" t="s">
        <v>601</v>
      </c>
      <c r="I5" s="5">
        <v>2.66</v>
      </c>
      <c r="J5" s="4">
        <v>29.83</v>
      </c>
      <c r="K5" s="4">
        <v>58.36</v>
      </c>
      <c r="L5" s="70">
        <f t="shared" si="0"/>
        <v>51.940399999999997</v>
      </c>
      <c r="M5" s="70" t="b">
        <f t="shared" si="1"/>
        <v>0</v>
      </c>
    </row>
    <row r="6" spans="1:13" ht="20.100000000000001" customHeight="1" x14ac:dyDescent="0.25">
      <c r="A6" s="2" t="s">
        <v>441</v>
      </c>
      <c r="B6" s="2" t="s">
        <v>445</v>
      </c>
      <c r="C6" s="4">
        <v>69.680000000000007</v>
      </c>
      <c r="D6" s="4">
        <v>69.260000000000005</v>
      </c>
      <c r="E6" s="4">
        <v>70.099999999999994</v>
      </c>
      <c r="F6" s="5">
        <v>69.7</v>
      </c>
      <c r="G6" s="6">
        <v>-2.8694404591099026E-4</v>
      </c>
      <c r="H6" s="4" t="s">
        <v>602</v>
      </c>
      <c r="I6" s="5">
        <v>2.1800000000000002</v>
      </c>
      <c r="J6" s="4">
        <v>23.48</v>
      </c>
      <c r="K6" s="4">
        <v>61.12</v>
      </c>
      <c r="L6" s="70">
        <f t="shared" si="0"/>
        <v>54.396799999999999</v>
      </c>
      <c r="M6" s="70" t="b">
        <f t="shared" si="1"/>
        <v>0</v>
      </c>
    </row>
    <row r="7" spans="1:13" ht="20.100000000000001" customHeight="1" x14ac:dyDescent="0.25">
      <c r="A7" s="2" t="s">
        <v>442</v>
      </c>
      <c r="B7" s="2" t="s">
        <v>446</v>
      </c>
      <c r="C7" s="4">
        <v>57.6</v>
      </c>
      <c r="D7" s="4">
        <v>57.15</v>
      </c>
      <c r="E7" s="4">
        <v>58.33</v>
      </c>
      <c r="F7" s="5">
        <v>57.75</v>
      </c>
      <c r="G7" s="6">
        <v>-2.5974025974025727E-3</v>
      </c>
      <c r="H7" s="4" t="s">
        <v>603</v>
      </c>
      <c r="I7" s="5" t="s">
        <v>39</v>
      </c>
      <c r="J7" s="4" t="s">
        <v>39</v>
      </c>
      <c r="K7" s="4">
        <v>51.69</v>
      </c>
      <c r="L7" s="70">
        <f t="shared" si="0"/>
        <v>46.004100000000001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63.35</v>
      </c>
      <c r="D8" s="4">
        <v>63.09</v>
      </c>
      <c r="E8" s="4">
        <v>63.7</v>
      </c>
      <c r="F8" s="5">
        <v>63.47</v>
      </c>
      <c r="G8" s="6">
        <v>-1.8906570033086095E-3</v>
      </c>
      <c r="H8" s="4" t="s">
        <v>604</v>
      </c>
      <c r="I8" s="5">
        <v>3.37</v>
      </c>
      <c r="J8" s="4">
        <v>18.55</v>
      </c>
      <c r="K8" s="4">
        <v>54.64</v>
      </c>
      <c r="L8" s="70">
        <f t="shared" si="0"/>
        <v>48.629600000000003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>
      <selection activeCell="L3" sqref="L3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56.49</v>
      </c>
      <c r="D2" s="4">
        <v>54.12</v>
      </c>
      <c r="E2" s="4">
        <v>56.77</v>
      </c>
      <c r="F2" s="5">
        <v>53.54</v>
      </c>
      <c r="G2" s="6">
        <v>5.509899140829292E-2</v>
      </c>
      <c r="H2" s="4" t="s">
        <v>605</v>
      </c>
      <c r="I2" s="5">
        <v>0.36</v>
      </c>
      <c r="J2" s="4" t="s">
        <v>39</v>
      </c>
      <c r="K2" s="4">
        <v>50.09</v>
      </c>
      <c r="L2" s="79">
        <f t="shared" ref="L2:L17" si="0">K2*0.9</f>
        <v>45.081000000000003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6.6</v>
      </c>
      <c r="D3" s="4">
        <v>6.3</v>
      </c>
      <c r="E3" s="4">
        <v>6.7</v>
      </c>
      <c r="F3" s="5">
        <v>6.25</v>
      </c>
      <c r="G3" s="6">
        <v>5.5999999999999946E-2</v>
      </c>
      <c r="H3" s="4" t="s">
        <v>606</v>
      </c>
      <c r="I3" s="5">
        <v>0</v>
      </c>
      <c r="J3" s="4" t="s">
        <v>39</v>
      </c>
      <c r="K3" s="4">
        <v>4.7</v>
      </c>
      <c r="L3" s="4">
        <f t="shared" si="0"/>
        <v>4.2300000000000004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24.41</v>
      </c>
      <c r="D4" s="4">
        <v>24.37</v>
      </c>
      <c r="E4" s="4">
        <v>24.77</v>
      </c>
      <c r="F4" s="5">
        <v>24.46</v>
      </c>
      <c r="G4" s="6">
        <v>-2.0441537203598E-3</v>
      </c>
      <c r="H4" s="4" t="s">
        <v>607</v>
      </c>
      <c r="I4" s="5">
        <v>0.32</v>
      </c>
      <c r="J4" s="4" t="s">
        <v>39</v>
      </c>
      <c r="K4" s="4">
        <v>23.7</v>
      </c>
      <c r="L4" s="4">
        <f t="shared" si="0"/>
        <v>21.33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40.92</v>
      </c>
      <c r="D5" s="4">
        <v>40.82</v>
      </c>
      <c r="E5" s="4">
        <v>41.31</v>
      </c>
      <c r="F5" s="5">
        <v>40.6</v>
      </c>
      <c r="G5" s="6">
        <v>7.8817733990147847E-3</v>
      </c>
      <c r="H5" s="4" t="s">
        <v>608</v>
      </c>
      <c r="I5" s="5">
        <v>3.53</v>
      </c>
      <c r="J5" s="4" t="s">
        <v>39</v>
      </c>
      <c r="K5" s="4">
        <v>41.98</v>
      </c>
      <c r="L5" s="4">
        <f t="shared" si="0"/>
        <v>37.781999999999996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44.27</v>
      </c>
      <c r="D6" s="4">
        <v>44.04</v>
      </c>
      <c r="E6" s="4">
        <v>45.07</v>
      </c>
      <c r="F6" s="5">
        <v>43.7</v>
      </c>
      <c r="G6" s="6">
        <v>1.3043478260869571E-2</v>
      </c>
      <c r="H6" s="4" t="s">
        <v>609</v>
      </c>
      <c r="I6" s="5">
        <v>0.55000000000000004</v>
      </c>
      <c r="J6" s="4" t="s">
        <v>39</v>
      </c>
      <c r="K6" s="4">
        <v>33.450000000000003</v>
      </c>
      <c r="L6" s="4">
        <f t="shared" si="0"/>
        <v>30.105000000000004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88.91</v>
      </c>
      <c r="D7" s="4">
        <v>88.68</v>
      </c>
      <c r="E7" s="4">
        <v>89.5</v>
      </c>
      <c r="F7" s="5">
        <v>88.55</v>
      </c>
      <c r="G7" s="6">
        <v>4.0654997176736247E-3</v>
      </c>
      <c r="H7" s="4" t="s">
        <v>610</v>
      </c>
      <c r="I7" s="5">
        <v>0.74</v>
      </c>
      <c r="J7" s="4" t="s">
        <v>39</v>
      </c>
      <c r="K7" s="4">
        <v>80.099999999999994</v>
      </c>
      <c r="L7" s="4">
        <f t="shared" si="0"/>
        <v>72.09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53.08</v>
      </c>
      <c r="D8" s="4">
        <v>52.87</v>
      </c>
      <c r="E8" s="4">
        <v>54.35</v>
      </c>
      <c r="F8" s="5">
        <v>53.31</v>
      </c>
      <c r="G8" s="6">
        <v>-4.3143875445508153E-3</v>
      </c>
      <c r="H8" s="4" t="s">
        <v>611</v>
      </c>
      <c r="I8" s="5">
        <v>1.88</v>
      </c>
      <c r="J8" s="4" t="s">
        <v>39</v>
      </c>
      <c r="K8" s="4">
        <v>54.9</v>
      </c>
      <c r="L8" s="4">
        <f t="shared" si="0"/>
        <v>49.41</v>
      </c>
      <c r="M8" s="4" t="b">
        <f t="shared" si="1"/>
        <v>0</v>
      </c>
    </row>
    <row r="9" spans="1:13" ht="20.100000000000001" customHeight="1" x14ac:dyDescent="0.25">
      <c r="A9" s="81" t="s">
        <v>17</v>
      </c>
      <c r="B9" s="2" t="s">
        <v>46</v>
      </c>
      <c r="C9" s="4">
        <v>15.49</v>
      </c>
      <c r="D9" s="4">
        <v>15.35</v>
      </c>
      <c r="E9" s="4">
        <v>15.69</v>
      </c>
      <c r="F9" s="5">
        <v>15.11</v>
      </c>
      <c r="G9" s="6">
        <v>2.5148908007941811E-2</v>
      </c>
      <c r="H9" s="4" t="s">
        <v>612</v>
      </c>
      <c r="I9" s="5">
        <v>1.32</v>
      </c>
      <c r="J9" s="4" t="s">
        <v>39</v>
      </c>
      <c r="K9" s="4">
        <v>12.91</v>
      </c>
      <c r="L9" s="4">
        <f t="shared" si="0"/>
        <v>11.619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26.8</v>
      </c>
      <c r="D10" s="4">
        <v>26.62</v>
      </c>
      <c r="E10" s="4">
        <v>27.24</v>
      </c>
      <c r="F10" s="5">
        <v>26.39</v>
      </c>
      <c r="G10" s="26">
        <v>1.5536187949981059E-2</v>
      </c>
      <c r="H10" s="6" t="s">
        <v>456</v>
      </c>
      <c r="I10" s="5">
        <v>5.0599999999999996</v>
      </c>
      <c r="J10" s="4" t="s">
        <v>39</v>
      </c>
      <c r="K10" s="4">
        <v>27.88</v>
      </c>
      <c r="L10" s="4">
        <f t="shared" si="0"/>
        <v>25.091999999999999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34.25</v>
      </c>
      <c r="D11" s="4">
        <v>33.97</v>
      </c>
      <c r="E11" s="4">
        <v>34.4</v>
      </c>
      <c r="F11" s="5">
        <v>33.85</v>
      </c>
      <c r="G11" s="26">
        <v>1.1816838995568643E-2</v>
      </c>
      <c r="H11" s="6" t="s">
        <v>613</v>
      </c>
      <c r="I11" s="5">
        <v>1.1200000000000001</v>
      </c>
      <c r="J11" s="4" t="s">
        <v>39</v>
      </c>
      <c r="K11" s="4">
        <v>34.369999999999997</v>
      </c>
      <c r="L11" s="4">
        <f t="shared" si="0"/>
        <v>30.933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77.510000000000005</v>
      </c>
      <c r="D12" s="4">
        <v>76.56</v>
      </c>
      <c r="E12" s="4">
        <v>77.78</v>
      </c>
      <c r="F12" s="5">
        <v>76.84</v>
      </c>
      <c r="G12" s="26">
        <v>8.7194169703279766E-3</v>
      </c>
      <c r="H12" s="6" t="s">
        <v>614</v>
      </c>
      <c r="I12" s="5">
        <v>3.91</v>
      </c>
      <c r="J12" s="4" t="s">
        <v>39</v>
      </c>
      <c r="K12" s="4">
        <v>73.83</v>
      </c>
      <c r="L12" s="4">
        <f t="shared" si="0"/>
        <v>66.447000000000003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183.71</v>
      </c>
      <c r="D13" s="4">
        <v>181.78</v>
      </c>
      <c r="E13" s="4">
        <v>183.92</v>
      </c>
      <c r="F13" s="5">
        <v>180.22</v>
      </c>
      <c r="G13" s="26">
        <v>1.9365220286316775E-2</v>
      </c>
      <c r="H13" s="6" t="s">
        <v>615</v>
      </c>
      <c r="I13" s="5">
        <v>0.04</v>
      </c>
      <c r="J13" s="4" t="s">
        <v>39</v>
      </c>
      <c r="K13" s="4">
        <v>153.91</v>
      </c>
      <c r="L13" s="4">
        <f t="shared" si="0"/>
        <v>138.51900000000001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40.47</v>
      </c>
      <c r="D14" s="4">
        <v>39.47</v>
      </c>
      <c r="E14" s="4">
        <v>40.799999999999997</v>
      </c>
      <c r="F14" s="5">
        <v>39.07</v>
      </c>
      <c r="G14" s="26">
        <v>3.5833120040952099E-2</v>
      </c>
      <c r="H14" s="6" t="s">
        <v>616</v>
      </c>
      <c r="I14" s="5">
        <v>0.2</v>
      </c>
      <c r="J14" s="4" t="s">
        <v>39</v>
      </c>
      <c r="K14" s="4">
        <v>38.28</v>
      </c>
      <c r="L14" s="4">
        <f t="shared" si="0"/>
        <v>34.452000000000005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13.93</v>
      </c>
      <c r="D15" s="4">
        <v>13.81</v>
      </c>
      <c r="E15" s="4">
        <v>14.17</v>
      </c>
      <c r="F15" s="5">
        <v>13.79</v>
      </c>
      <c r="G15" s="26">
        <v>1.0152284263959433E-2</v>
      </c>
      <c r="H15" s="6" t="s">
        <v>617</v>
      </c>
      <c r="I15" s="5">
        <v>0</v>
      </c>
      <c r="J15" s="4" t="s">
        <v>39</v>
      </c>
      <c r="K15" s="4">
        <v>11.58</v>
      </c>
      <c r="L15" s="4">
        <f t="shared" si="0"/>
        <v>10.422000000000001</v>
      </c>
      <c r="M15" s="4" t="b">
        <f t="shared" si="1"/>
        <v>0</v>
      </c>
    </row>
    <row r="16" spans="1:13" ht="20.100000000000001" customHeight="1" x14ac:dyDescent="0.25">
      <c r="A16" s="2" t="s">
        <v>312</v>
      </c>
      <c r="B16" s="2" t="s">
        <v>313</v>
      </c>
      <c r="C16" s="20">
        <v>10.24</v>
      </c>
      <c r="D16" s="20">
        <v>10.15</v>
      </c>
      <c r="E16" s="20">
        <v>10.34</v>
      </c>
      <c r="F16" s="5">
        <v>10.06</v>
      </c>
      <c r="G16" s="26">
        <v>1.7892644135188839E-2</v>
      </c>
      <c r="H16" s="6" t="s">
        <v>39</v>
      </c>
      <c r="I16" s="5" t="s">
        <v>39</v>
      </c>
      <c r="J16" s="4" t="s">
        <v>39</v>
      </c>
      <c r="K16" s="4">
        <v>10.61</v>
      </c>
      <c r="L16" s="4">
        <f t="shared" si="0"/>
        <v>9.5489999999999995</v>
      </c>
      <c r="M16" s="4" t="b">
        <f t="shared" si="1"/>
        <v>0</v>
      </c>
    </row>
    <row r="17" spans="1:13" ht="20.100000000000001" customHeight="1" x14ac:dyDescent="0.25">
      <c r="A17" s="1" t="s">
        <v>260</v>
      </c>
      <c r="B17" s="2" t="s">
        <v>261</v>
      </c>
      <c r="C17" s="20">
        <v>59.35</v>
      </c>
      <c r="D17" s="20">
        <v>58.65</v>
      </c>
      <c r="E17" s="20">
        <v>59.35</v>
      </c>
      <c r="F17" s="5">
        <v>58.41</v>
      </c>
      <c r="G17" s="26">
        <v>1.6093134737202617E-2</v>
      </c>
      <c r="H17" s="6" t="s">
        <v>459</v>
      </c>
      <c r="I17" s="5">
        <v>2.88</v>
      </c>
      <c r="J17" s="4">
        <v>174.56</v>
      </c>
      <c r="K17" s="4">
        <v>59.93</v>
      </c>
      <c r="L17" s="4">
        <f t="shared" si="0"/>
        <v>53.936999999999998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>
      <selection activeCell="L1" sqref="L1:M2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486</v>
      </c>
      <c r="B2" s="2" t="s">
        <v>488</v>
      </c>
      <c r="C2" s="4">
        <v>218.37</v>
      </c>
      <c r="D2" s="4">
        <v>217.7</v>
      </c>
      <c r="E2" s="4">
        <v>218.87</v>
      </c>
      <c r="F2" s="5">
        <v>217.39</v>
      </c>
      <c r="G2" s="6">
        <v>4.5080270481623729E-3</v>
      </c>
      <c r="H2" s="4" t="s">
        <v>39</v>
      </c>
      <c r="I2" s="5">
        <v>2.2000000000000002</v>
      </c>
      <c r="J2" s="4" t="s">
        <v>39</v>
      </c>
      <c r="K2" s="4">
        <v>208.44</v>
      </c>
      <c r="L2" s="79">
        <f t="shared" ref="L2:L4" si="0">K2*0.89</f>
        <v>185.51159999999999</v>
      </c>
      <c r="M2" s="80" t="b">
        <f t="shared" ref="M2:M4" si="1">L2&gt;C2</f>
        <v>0</v>
      </c>
    </row>
    <row r="3" spans="1:13" ht="20.100000000000001" customHeight="1" x14ac:dyDescent="0.25">
      <c r="A3" s="59" t="s">
        <v>487</v>
      </c>
      <c r="B3" s="2" t="s">
        <v>489</v>
      </c>
      <c r="C3" s="4">
        <v>49.67</v>
      </c>
      <c r="D3" s="4">
        <v>49.34</v>
      </c>
      <c r="E3" s="4">
        <v>49.73</v>
      </c>
      <c r="F3" s="5">
        <v>49</v>
      </c>
      <c r="G3" s="6">
        <v>1.3673469387755138E-2</v>
      </c>
      <c r="H3" s="4" t="s">
        <v>39</v>
      </c>
      <c r="I3" s="5">
        <v>7</v>
      </c>
      <c r="J3" s="4" t="s">
        <v>39</v>
      </c>
      <c r="K3" s="4">
        <v>48.06</v>
      </c>
      <c r="L3" s="4">
        <f t="shared" si="0"/>
        <v>42.773400000000002</v>
      </c>
      <c r="M3" s="4" t="b">
        <f t="shared" si="1"/>
        <v>0</v>
      </c>
    </row>
    <row r="4" spans="1:13" ht="20.100000000000001" customHeight="1" x14ac:dyDescent="0.25">
      <c r="A4" s="2" t="s">
        <v>491</v>
      </c>
      <c r="B4" s="2" t="s">
        <v>492</v>
      </c>
      <c r="C4" s="20">
        <v>38.1</v>
      </c>
      <c r="D4" s="20">
        <v>37.85</v>
      </c>
      <c r="E4" s="20">
        <v>38.119999999999997</v>
      </c>
      <c r="F4" s="5">
        <v>37.53</v>
      </c>
      <c r="G4" s="26">
        <v>1.5187849720223828E-2</v>
      </c>
      <c r="H4" s="6" t="s">
        <v>39</v>
      </c>
      <c r="I4" s="5">
        <v>4.8</v>
      </c>
      <c r="J4" s="4" t="s">
        <v>39</v>
      </c>
      <c r="K4" s="4">
        <v>34.76</v>
      </c>
      <c r="L4" s="4">
        <f t="shared" si="0"/>
        <v>30.936399999999999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>
      <selection activeCell="Q9" sqref="Q9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71</v>
      </c>
      <c r="B2" s="2" t="s">
        <v>285</v>
      </c>
      <c r="C2" s="4">
        <v>38.15</v>
      </c>
      <c r="D2" s="4">
        <v>38.090000000000003</v>
      </c>
      <c r="E2" s="4">
        <v>38.69</v>
      </c>
      <c r="F2" s="5">
        <v>38.39</v>
      </c>
      <c r="G2" s="6">
        <v>-6.2516280281323779E-3</v>
      </c>
      <c r="H2" s="4" t="s">
        <v>561</v>
      </c>
      <c r="I2" s="5">
        <v>3.5</v>
      </c>
      <c r="J2" s="5">
        <v>23.12</v>
      </c>
      <c r="K2" s="5">
        <v>39.72</v>
      </c>
      <c r="L2" s="89">
        <f t="shared" ref="L2:L9" si="0">K2*0.9</f>
        <v>35.747999999999998</v>
      </c>
      <c r="M2" s="90" t="b">
        <f t="shared" ref="M2:M9" si="1">L2&gt;C2</f>
        <v>0</v>
      </c>
    </row>
    <row r="3" spans="1:13" ht="20.100000000000001" customHeight="1" x14ac:dyDescent="0.25">
      <c r="A3" s="2" t="s">
        <v>84</v>
      </c>
      <c r="B3" s="2" t="s">
        <v>286</v>
      </c>
      <c r="C3" s="4">
        <v>9.49</v>
      </c>
      <c r="D3" s="4">
        <v>9.41</v>
      </c>
      <c r="E3" s="4">
        <v>9.75</v>
      </c>
      <c r="F3" s="5">
        <v>9.44</v>
      </c>
      <c r="G3" s="6">
        <v>5.2966101694916006E-3</v>
      </c>
      <c r="H3" s="4" t="s">
        <v>567</v>
      </c>
      <c r="I3" s="5">
        <v>0</v>
      </c>
      <c r="J3" s="5" t="s">
        <v>39</v>
      </c>
      <c r="K3" s="5">
        <v>9.32</v>
      </c>
      <c r="L3" s="5">
        <f t="shared" si="0"/>
        <v>8.3879999999999999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287</v>
      </c>
      <c r="C4" s="4">
        <v>19.12</v>
      </c>
      <c r="D4" s="4">
        <v>18.73</v>
      </c>
      <c r="E4" s="4">
        <v>19.36</v>
      </c>
      <c r="F4" s="5">
        <v>18.86</v>
      </c>
      <c r="G4" s="6">
        <v>1.3785790031813445E-2</v>
      </c>
      <c r="H4" s="4" t="s">
        <v>568</v>
      </c>
      <c r="I4" s="5">
        <v>0</v>
      </c>
      <c r="J4" s="5">
        <v>23.93</v>
      </c>
      <c r="K4" s="5">
        <v>21.74</v>
      </c>
      <c r="L4" s="5">
        <f t="shared" si="0"/>
        <v>19.565999999999999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288</v>
      </c>
      <c r="C5" s="4">
        <v>49.21</v>
      </c>
      <c r="D5" s="4">
        <v>49.16</v>
      </c>
      <c r="E5" s="4">
        <v>50.36</v>
      </c>
      <c r="F5" s="5">
        <v>49.62</v>
      </c>
      <c r="G5" s="6">
        <v>-8.2627972591696221E-3</v>
      </c>
      <c r="H5" s="4" t="s">
        <v>569</v>
      </c>
      <c r="I5" s="5" t="s">
        <v>39</v>
      </c>
      <c r="J5" s="5">
        <v>11.1</v>
      </c>
      <c r="K5" s="5">
        <v>51.13</v>
      </c>
      <c r="L5" s="5">
        <f t="shared" si="0"/>
        <v>46.017000000000003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289</v>
      </c>
      <c r="C6" s="4">
        <v>103.23</v>
      </c>
      <c r="D6" s="4">
        <v>102.68</v>
      </c>
      <c r="E6" s="4">
        <v>104.35</v>
      </c>
      <c r="F6" s="5">
        <v>103.53</v>
      </c>
      <c r="G6" s="6">
        <v>-2.8977108084612879E-3</v>
      </c>
      <c r="H6" s="4" t="s">
        <v>570</v>
      </c>
      <c r="I6" s="5">
        <v>1.91</v>
      </c>
      <c r="J6" s="5">
        <v>28.21</v>
      </c>
      <c r="K6" s="5">
        <v>95.73</v>
      </c>
      <c r="L6" s="5">
        <f t="shared" si="0"/>
        <v>86.157000000000011</v>
      </c>
      <c r="M6" s="5" t="b">
        <f t="shared" si="1"/>
        <v>0</v>
      </c>
    </row>
    <row r="7" spans="1:13" ht="20.100000000000001" customHeight="1" x14ac:dyDescent="0.25">
      <c r="A7" s="2" t="s">
        <v>325</v>
      </c>
      <c r="B7" s="19" t="s">
        <v>326</v>
      </c>
      <c r="C7" s="4">
        <v>17.68</v>
      </c>
      <c r="D7" s="4">
        <v>17.64</v>
      </c>
      <c r="E7" s="4">
        <v>17.739999999999998</v>
      </c>
      <c r="F7" s="5">
        <v>17.28</v>
      </c>
      <c r="G7" s="6">
        <v>2.3148148148148064E-2</v>
      </c>
      <c r="H7" s="6" t="s">
        <v>571</v>
      </c>
      <c r="I7" s="5">
        <v>2.89</v>
      </c>
      <c r="J7" s="5">
        <v>19.32</v>
      </c>
      <c r="K7" s="5">
        <v>17.37</v>
      </c>
      <c r="L7" s="5">
        <f t="shared" si="0"/>
        <v>15.633000000000001</v>
      </c>
      <c r="M7" s="5" t="b">
        <f t="shared" si="1"/>
        <v>0</v>
      </c>
    </row>
    <row r="8" spans="1:13" ht="20.100000000000001" customHeight="1" x14ac:dyDescent="0.25">
      <c r="A8" s="81" t="s">
        <v>484</v>
      </c>
      <c r="B8" s="19" t="s">
        <v>485</v>
      </c>
      <c r="C8" s="4">
        <v>82</v>
      </c>
      <c r="D8" s="4">
        <v>80.849999999999994</v>
      </c>
      <c r="E8" s="4">
        <v>83.34</v>
      </c>
      <c r="F8" s="5">
        <v>80.63</v>
      </c>
      <c r="G8" s="6">
        <v>1.6991194344536831E-2</v>
      </c>
      <c r="H8" s="6" t="s">
        <v>572</v>
      </c>
      <c r="I8" s="5">
        <v>1.3</v>
      </c>
      <c r="J8" s="5">
        <v>12.5</v>
      </c>
      <c r="K8" s="5">
        <v>99.29</v>
      </c>
      <c r="L8" s="5">
        <f t="shared" si="0"/>
        <v>89.361000000000004</v>
      </c>
      <c r="M8" s="5" t="b">
        <f t="shared" si="1"/>
        <v>1</v>
      </c>
    </row>
    <row r="9" spans="1:13" ht="15.75" x14ac:dyDescent="0.25">
      <c r="A9" s="2" t="s">
        <v>478</v>
      </c>
      <c r="B9" s="19" t="s">
        <v>482</v>
      </c>
      <c r="C9" s="4">
        <v>28.13</v>
      </c>
      <c r="D9" s="4">
        <v>28.01</v>
      </c>
      <c r="E9" s="4">
        <v>28.59</v>
      </c>
      <c r="F9" s="5">
        <v>28.15</v>
      </c>
      <c r="G9" s="6">
        <v>-7.1047957371224066E-4</v>
      </c>
      <c r="H9" s="6" t="s">
        <v>562</v>
      </c>
      <c r="I9" s="5" t="s">
        <v>39</v>
      </c>
      <c r="J9" s="5">
        <v>9.73</v>
      </c>
      <c r="K9" s="5">
        <v>35.409999999999997</v>
      </c>
      <c r="L9" s="5">
        <f t="shared" si="0"/>
        <v>31.868999999999996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>
      <selection activeCell="L3" sqref="L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501</v>
      </c>
      <c r="B2" s="2" t="s">
        <v>508</v>
      </c>
      <c r="C2" s="4">
        <v>115.83</v>
      </c>
      <c r="D2" s="4">
        <v>115.69</v>
      </c>
      <c r="E2" s="4">
        <v>116.11</v>
      </c>
      <c r="F2" s="5">
        <v>115.4</v>
      </c>
      <c r="G2" s="6">
        <v>3.7261698440207332E-3</v>
      </c>
      <c r="H2" s="4" t="s">
        <v>620</v>
      </c>
      <c r="I2" s="5">
        <v>3.08</v>
      </c>
      <c r="J2" s="5">
        <v>22.12</v>
      </c>
      <c r="K2" s="5">
        <v>122.34</v>
      </c>
      <c r="L2" s="89">
        <f t="shared" ref="L2:L10" si="0">K2*0.9</f>
        <v>110.10600000000001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502</v>
      </c>
      <c r="B3" s="2" t="s">
        <v>509</v>
      </c>
      <c r="C3" s="4">
        <v>408.41</v>
      </c>
      <c r="D3" s="4">
        <v>408.05</v>
      </c>
      <c r="E3" s="4">
        <v>414.89</v>
      </c>
      <c r="F3" s="5">
        <v>414.68</v>
      </c>
      <c r="G3" s="6">
        <v>-1.5120092601524023E-2</v>
      </c>
      <c r="H3" s="4" t="s">
        <v>621</v>
      </c>
      <c r="I3" s="5" t="s">
        <v>39</v>
      </c>
      <c r="J3" s="5">
        <v>58.84</v>
      </c>
      <c r="K3" s="5">
        <v>441.03</v>
      </c>
      <c r="L3" s="5">
        <f t="shared" si="0"/>
        <v>396.92699999999996</v>
      </c>
      <c r="M3" s="5" t="b">
        <f t="shared" si="1"/>
        <v>0</v>
      </c>
    </row>
    <row r="4" spans="1:13" ht="20.100000000000001" customHeight="1" x14ac:dyDescent="0.25">
      <c r="A4" s="2" t="s">
        <v>503</v>
      </c>
      <c r="B4" s="2" t="s">
        <v>510</v>
      </c>
      <c r="C4" s="4">
        <v>101.53</v>
      </c>
      <c r="D4" s="4">
        <v>99.25</v>
      </c>
      <c r="E4" s="4">
        <v>101.54</v>
      </c>
      <c r="F4" s="5">
        <v>99.7</v>
      </c>
      <c r="G4" s="6">
        <v>1.8355065195586742E-2</v>
      </c>
      <c r="H4" s="4" t="s">
        <v>622</v>
      </c>
      <c r="I4" s="5">
        <v>1.21</v>
      </c>
      <c r="J4" s="5">
        <v>30.88</v>
      </c>
      <c r="K4" s="5">
        <v>79.05</v>
      </c>
      <c r="L4" s="5">
        <f t="shared" si="0"/>
        <v>71.144999999999996</v>
      </c>
      <c r="M4" s="5" t="b">
        <f t="shared" si="1"/>
        <v>0</v>
      </c>
    </row>
    <row r="5" spans="1:13" ht="20.100000000000001" customHeight="1" x14ac:dyDescent="0.25">
      <c r="A5" s="2" t="s">
        <v>504</v>
      </c>
      <c r="B5" s="2" t="s">
        <v>511</v>
      </c>
      <c r="C5" s="4">
        <v>91.26</v>
      </c>
      <c r="D5" s="4">
        <v>91.04</v>
      </c>
      <c r="E5" s="4">
        <v>91.99</v>
      </c>
      <c r="F5" s="5">
        <v>90.76</v>
      </c>
      <c r="G5" s="6">
        <v>5.5090348171000433E-3</v>
      </c>
      <c r="H5" s="4" t="s">
        <v>623</v>
      </c>
      <c r="I5" s="5">
        <v>2.0299999999999998</v>
      </c>
      <c r="J5" s="5">
        <v>27.5</v>
      </c>
      <c r="K5" s="5">
        <v>82.78</v>
      </c>
      <c r="L5" s="5">
        <f t="shared" si="0"/>
        <v>74.50200000000001</v>
      </c>
      <c r="M5" s="5" t="b">
        <f t="shared" si="1"/>
        <v>0</v>
      </c>
    </row>
    <row r="6" spans="1:13" ht="20.100000000000001" customHeight="1" x14ac:dyDescent="0.25">
      <c r="A6" s="2" t="s">
        <v>505</v>
      </c>
      <c r="B6" s="2" t="s">
        <v>512</v>
      </c>
      <c r="C6" s="4">
        <v>10.199999999999999</v>
      </c>
      <c r="D6" s="4">
        <v>10.09</v>
      </c>
      <c r="E6" s="4">
        <v>10.23</v>
      </c>
      <c r="F6" s="5">
        <v>10.06</v>
      </c>
      <c r="G6" s="6">
        <v>1.3916500994035665E-2</v>
      </c>
      <c r="H6" s="4" t="s">
        <v>624</v>
      </c>
      <c r="I6" s="5">
        <v>2.39</v>
      </c>
      <c r="J6" s="5">
        <v>19.649999999999999</v>
      </c>
      <c r="K6" s="5">
        <v>10.15</v>
      </c>
      <c r="L6" s="5">
        <f t="shared" si="0"/>
        <v>9.1349999999999998</v>
      </c>
      <c r="M6" s="5" t="b">
        <f t="shared" si="1"/>
        <v>0</v>
      </c>
    </row>
    <row r="7" spans="1:13" ht="20.100000000000001" customHeight="1" x14ac:dyDescent="0.25">
      <c r="A7" s="2" t="s">
        <v>506</v>
      </c>
      <c r="B7" s="19" t="s">
        <v>513</v>
      </c>
      <c r="C7" s="4">
        <v>27.95</v>
      </c>
      <c r="D7" s="4">
        <v>27.75</v>
      </c>
      <c r="E7" s="4">
        <v>28.36</v>
      </c>
      <c r="F7" s="5">
        <v>28.19</v>
      </c>
      <c r="G7" s="6">
        <v>-8.5136573252927276E-3</v>
      </c>
      <c r="H7" s="6" t="s">
        <v>625</v>
      </c>
      <c r="I7" s="5">
        <v>1.55</v>
      </c>
      <c r="J7" s="5">
        <v>21.75</v>
      </c>
      <c r="K7" s="5">
        <v>30.39</v>
      </c>
      <c r="L7" s="5">
        <f t="shared" si="0"/>
        <v>27.351000000000003</v>
      </c>
      <c r="M7" s="5" t="b">
        <f t="shared" si="1"/>
        <v>0</v>
      </c>
    </row>
    <row r="8" spans="1:13" ht="20.100000000000001" customHeight="1" x14ac:dyDescent="0.25">
      <c r="A8" s="2" t="s">
        <v>507</v>
      </c>
      <c r="B8" s="19" t="s">
        <v>514</v>
      </c>
      <c r="C8" s="4">
        <v>75.75</v>
      </c>
      <c r="D8" s="4">
        <v>75.06</v>
      </c>
      <c r="E8" s="4">
        <v>76</v>
      </c>
      <c r="F8" s="5">
        <v>75.19</v>
      </c>
      <c r="G8" s="6">
        <v>7.4477989094294756E-3</v>
      </c>
      <c r="H8" s="6" t="s">
        <v>626</v>
      </c>
      <c r="I8" s="5">
        <v>1.07</v>
      </c>
      <c r="J8" s="5">
        <v>32.14</v>
      </c>
      <c r="K8" s="5">
        <v>63.74</v>
      </c>
      <c r="L8" s="5">
        <f t="shared" si="0"/>
        <v>57.366</v>
      </c>
      <c r="M8" s="5" t="b">
        <f t="shared" si="1"/>
        <v>0</v>
      </c>
    </row>
    <row r="9" spans="1:13" ht="18" customHeight="1" x14ac:dyDescent="0.25">
      <c r="A9" s="2" t="s">
        <v>619</v>
      </c>
      <c r="B9" s="19" t="s">
        <v>627</v>
      </c>
      <c r="C9" s="4">
        <v>54.8</v>
      </c>
      <c r="D9" s="4">
        <v>54.52</v>
      </c>
      <c r="E9" s="4">
        <v>55.2</v>
      </c>
      <c r="F9" s="5">
        <v>54.3</v>
      </c>
      <c r="G9" s="6">
        <v>9.2081031307550652E-3</v>
      </c>
      <c r="H9" s="6" t="s">
        <v>628</v>
      </c>
      <c r="I9" s="5">
        <v>0</v>
      </c>
      <c r="J9" s="5">
        <v>28.45</v>
      </c>
      <c r="K9" s="5">
        <v>55.1</v>
      </c>
      <c r="L9" s="5">
        <f t="shared" si="0"/>
        <v>49.59</v>
      </c>
      <c r="M9" s="5" t="b">
        <f t="shared" si="1"/>
        <v>0</v>
      </c>
    </row>
    <row r="10" spans="1:13" ht="15.75" x14ac:dyDescent="0.25">
      <c r="A10" s="2" t="s">
        <v>629</v>
      </c>
      <c r="B10" s="19" t="s">
        <v>630</v>
      </c>
      <c r="C10" s="4">
        <v>161.61000000000001</v>
      </c>
      <c r="D10" s="4">
        <v>160.72999999999999</v>
      </c>
      <c r="E10" s="4">
        <v>163.72999999999999</v>
      </c>
      <c r="F10" s="5">
        <v>160.97</v>
      </c>
      <c r="G10" s="6">
        <v>3.9758961297137029E-3</v>
      </c>
      <c r="H10" s="6" t="s">
        <v>631</v>
      </c>
      <c r="I10" s="5" t="s">
        <v>39</v>
      </c>
      <c r="J10" s="5">
        <v>30.41</v>
      </c>
      <c r="K10" s="5">
        <v>149.26</v>
      </c>
      <c r="L10" s="5">
        <f t="shared" si="0"/>
        <v>134.334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>
      <selection activeCell="E21" sqref="E21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61" t="s">
        <v>184</v>
      </c>
      <c r="B2" s="61" t="s">
        <v>191</v>
      </c>
      <c r="C2" s="62">
        <v>16</v>
      </c>
      <c r="D2" s="62">
        <v>15.82</v>
      </c>
      <c r="E2" s="62">
        <v>16.059999999999999</v>
      </c>
      <c r="F2" s="63">
        <v>15.98</v>
      </c>
      <c r="G2" s="64">
        <v>1.2515644555694352E-3</v>
      </c>
      <c r="H2" s="62" t="s">
        <v>632</v>
      </c>
      <c r="I2" s="63">
        <v>1.88</v>
      </c>
      <c r="J2" s="63">
        <v>13.41</v>
      </c>
      <c r="K2" s="63">
        <v>14.01</v>
      </c>
      <c r="L2" s="89">
        <f t="shared" ref="L2:L19" si="0">K2*0.9</f>
        <v>12.609</v>
      </c>
      <c r="M2" s="90" t="b">
        <f t="shared" ref="M2:M19" si="1">L2&gt;C2</f>
        <v>0</v>
      </c>
    </row>
    <row r="3" spans="1:13" ht="20.100000000000001" customHeight="1" x14ac:dyDescent="0.25">
      <c r="A3" s="61" t="s">
        <v>280</v>
      </c>
      <c r="B3" s="65" t="s">
        <v>281</v>
      </c>
      <c r="C3" s="62">
        <v>41.65</v>
      </c>
      <c r="D3" s="62">
        <v>41.29</v>
      </c>
      <c r="E3" s="62">
        <v>41.76</v>
      </c>
      <c r="F3" s="63">
        <v>41.47</v>
      </c>
      <c r="G3" s="64">
        <v>4.3404870991077824E-3</v>
      </c>
      <c r="H3" s="64" t="s">
        <v>633</v>
      </c>
      <c r="I3" s="63">
        <v>1.83</v>
      </c>
      <c r="J3" s="63">
        <v>14.94</v>
      </c>
      <c r="K3" s="63">
        <v>39.08</v>
      </c>
      <c r="L3" s="5">
        <f t="shared" si="0"/>
        <v>35.171999999999997</v>
      </c>
      <c r="M3" s="5" t="b">
        <f t="shared" si="1"/>
        <v>0</v>
      </c>
    </row>
    <row r="4" spans="1:13" ht="20.100000000000001" customHeight="1" x14ac:dyDescent="0.25">
      <c r="A4" s="66" t="s">
        <v>239</v>
      </c>
      <c r="B4" s="65" t="s">
        <v>240</v>
      </c>
      <c r="C4" s="62">
        <v>373.85</v>
      </c>
      <c r="D4" s="62">
        <v>371.9</v>
      </c>
      <c r="E4" s="62">
        <v>375.69</v>
      </c>
      <c r="F4" s="63">
        <v>372.17</v>
      </c>
      <c r="G4" s="64">
        <v>4.5140661525647063E-3</v>
      </c>
      <c r="H4" s="64" t="s">
        <v>634</v>
      </c>
      <c r="I4" s="63">
        <v>2.46</v>
      </c>
      <c r="J4" s="63">
        <v>19.920000000000002</v>
      </c>
      <c r="K4" s="63">
        <v>349.7</v>
      </c>
      <c r="L4" s="5">
        <f t="shared" si="0"/>
        <v>314.73</v>
      </c>
      <c r="M4" s="5" t="b">
        <f t="shared" si="1"/>
        <v>0</v>
      </c>
    </row>
    <row r="5" spans="1:13" ht="20.100000000000001" customHeight="1" x14ac:dyDescent="0.25">
      <c r="A5" s="61" t="s">
        <v>185</v>
      </c>
      <c r="B5" s="61" t="s">
        <v>192</v>
      </c>
      <c r="C5" s="62">
        <v>47.51</v>
      </c>
      <c r="D5" s="62">
        <v>47.01</v>
      </c>
      <c r="E5" s="62">
        <v>47.71</v>
      </c>
      <c r="F5" s="63">
        <v>47.36</v>
      </c>
      <c r="G5" s="64">
        <v>3.1672297297296995E-3</v>
      </c>
      <c r="H5" s="62" t="s">
        <v>635</v>
      </c>
      <c r="I5" s="63">
        <v>0.65</v>
      </c>
      <c r="J5" s="63">
        <v>10.06</v>
      </c>
      <c r="K5" s="63">
        <v>43.76</v>
      </c>
      <c r="L5" s="5">
        <f t="shared" si="0"/>
        <v>39.384</v>
      </c>
      <c r="M5" s="5" t="b">
        <f t="shared" si="1"/>
        <v>0</v>
      </c>
    </row>
    <row r="6" spans="1:13" ht="20.100000000000001" customHeight="1" x14ac:dyDescent="0.25">
      <c r="A6" s="61" t="s">
        <v>189</v>
      </c>
      <c r="B6" s="61" t="s">
        <v>196</v>
      </c>
      <c r="C6" s="62">
        <v>71.64</v>
      </c>
      <c r="D6" s="62">
        <v>70.87</v>
      </c>
      <c r="E6" s="62">
        <v>71.92</v>
      </c>
      <c r="F6" s="63">
        <v>71.08</v>
      </c>
      <c r="G6" s="64">
        <v>7.878446820483994E-3</v>
      </c>
      <c r="H6" s="62" t="s">
        <v>636</v>
      </c>
      <c r="I6" s="63">
        <v>2.25</v>
      </c>
      <c r="J6" s="63">
        <v>10.11</v>
      </c>
      <c r="K6" s="63">
        <v>68.69</v>
      </c>
      <c r="L6" s="5">
        <f t="shared" si="0"/>
        <v>61.820999999999998</v>
      </c>
      <c r="M6" s="5" t="b">
        <f t="shared" si="1"/>
        <v>0</v>
      </c>
    </row>
    <row r="7" spans="1:13" ht="20.100000000000001" customHeight="1" x14ac:dyDescent="0.25">
      <c r="A7" s="61" t="s">
        <v>198</v>
      </c>
      <c r="B7" s="65" t="s">
        <v>201</v>
      </c>
      <c r="C7" s="62">
        <v>13.27</v>
      </c>
      <c r="D7" s="62">
        <v>13.1</v>
      </c>
      <c r="E7" s="62">
        <v>13.29</v>
      </c>
      <c r="F7" s="63">
        <v>13.14</v>
      </c>
      <c r="G7" s="64">
        <v>9.8934550989344741E-3</v>
      </c>
      <c r="H7" s="64" t="s">
        <v>637</v>
      </c>
      <c r="I7" s="63">
        <v>5.47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199</v>
      </c>
      <c r="B8" s="65" t="s">
        <v>202</v>
      </c>
      <c r="C8" s="62">
        <v>14.9</v>
      </c>
      <c r="D8" s="62">
        <v>14.73</v>
      </c>
      <c r="E8" s="62">
        <v>14.92</v>
      </c>
      <c r="F8" s="63">
        <v>14.69</v>
      </c>
      <c r="G8" s="64">
        <v>1.4295439074200195E-2</v>
      </c>
      <c r="H8" s="64" t="s">
        <v>638</v>
      </c>
      <c r="I8" s="63">
        <v>0</v>
      </c>
      <c r="J8" s="63" t="s">
        <v>39</v>
      </c>
      <c r="K8" s="63">
        <v>16.2</v>
      </c>
      <c r="L8" s="5">
        <f t="shared" si="0"/>
        <v>14.58</v>
      </c>
      <c r="M8" s="5" t="b">
        <f t="shared" si="1"/>
        <v>0</v>
      </c>
    </row>
    <row r="9" spans="1:13" ht="20.100000000000001" customHeight="1" x14ac:dyDescent="0.25">
      <c r="A9" s="61" t="s">
        <v>183</v>
      </c>
      <c r="B9" s="61" t="s">
        <v>190</v>
      </c>
      <c r="C9" s="62">
        <v>169.18</v>
      </c>
      <c r="D9" s="62">
        <v>167.9</v>
      </c>
      <c r="E9" s="62">
        <v>169.74</v>
      </c>
      <c r="F9" s="63">
        <v>168.51</v>
      </c>
      <c r="G9" s="64">
        <v>3.9760251617115654E-3</v>
      </c>
      <c r="H9" s="62" t="s">
        <v>639</v>
      </c>
      <c r="I9" s="63">
        <v>1.54</v>
      </c>
      <c r="J9" s="63">
        <v>16.04</v>
      </c>
      <c r="K9" s="63">
        <v>156.66999999999999</v>
      </c>
      <c r="L9" s="5">
        <f t="shared" si="0"/>
        <v>141.00299999999999</v>
      </c>
      <c r="M9" s="5" t="b">
        <f t="shared" si="1"/>
        <v>0</v>
      </c>
    </row>
    <row r="10" spans="1:13" ht="20.100000000000001" customHeight="1" x14ac:dyDescent="0.25">
      <c r="A10" s="61" t="s">
        <v>187</v>
      </c>
      <c r="B10" s="61" t="s">
        <v>194</v>
      </c>
      <c r="C10" s="62">
        <v>67.489999999999995</v>
      </c>
      <c r="D10" s="62">
        <v>66.98</v>
      </c>
      <c r="E10" s="62">
        <v>67.569999999999993</v>
      </c>
      <c r="F10" s="63">
        <v>67.209999999999994</v>
      </c>
      <c r="G10" s="64">
        <v>4.1660467192382259E-3</v>
      </c>
      <c r="H10" s="62" t="s">
        <v>640</v>
      </c>
      <c r="I10" s="63">
        <v>2.86</v>
      </c>
      <c r="J10" s="63">
        <v>11.44</v>
      </c>
      <c r="K10" s="63">
        <v>62.32</v>
      </c>
      <c r="L10" s="5">
        <f t="shared" si="0"/>
        <v>56.088000000000001</v>
      </c>
      <c r="M10" s="5" t="b">
        <f t="shared" si="1"/>
        <v>0</v>
      </c>
    </row>
    <row r="11" spans="1:13" ht="20.100000000000001" customHeight="1" x14ac:dyDescent="0.25">
      <c r="A11" s="61" t="s">
        <v>861</v>
      </c>
      <c r="B11" s="65" t="s">
        <v>862</v>
      </c>
      <c r="C11" s="62">
        <v>43.97</v>
      </c>
      <c r="D11" s="62">
        <v>43.64</v>
      </c>
      <c r="E11" s="62">
        <v>44.15</v>
      </c>
      <c r="F11" s="63">
        <v>43.79</v>
      </c>
      <c r="G11" s="64">
        <v>4.110527517698098E-3</v>
      </c>
      <c r="H11" s="64" t="s">
        <v>863</v>
      </c>
      <c r="I11" s="63">
        <v>2.37</v>
      </c>
      <c r="J11" s="63">
        <v>11.91</v>
      </c>
      <c r="K11" s="63">
        <v>40.21</v>
      </c>
      <c r="L11" s="5">
        <f>K11*0.9</f>
        <v>36.189</v>
      </c>
      <c r="M11" s="5" t="b">
        <f>L11&gt;C11</f>
        <v>0</v>
      </c>
    </row>
    <row r="12" spans="1:13" ht="20.100000000000001" customHeight="1" x14ac:dyDescent="0.25">
      <c r="A12" s="61" t="s">
        <v>186</v>
      </c>
      <c r="B12" s="61" t="s">
        <v>193</v>
      </c>
      <c r="C12" s="62">
        <v>31.89</v>
      </c>
      <c r="D12" s="62">
        <v>31.67</v>
      </c>
      <c r="E12" s="62">
        <v>32.21</v>
      </c>
      <c r="F12" s="63">
        <v>31.91</v>
      </c>
      <c r="G12" s="64">
        <v>-6.2676277029143134E-4</v>
      </c>
      <c r="H12" s="62" t="s">
        <v>641</v>
      </c>
      <c r="I12" s="63">
        <v>2.5099999999999998</v>
      </c>
      <c r="J12" s="63">
        <v>14.75</v>
      </c>
      <c r="K12" s="63">
        <v>26.83</v>
      </c>
      <c r="L12" s="5">
        <f t="shared" si="0"/>
        <v>24.146999999999998</v>
      </c>
      <c r="M12" s="5" t="b">
        <f t="shared" si="1"/>
        <v>0</v>
      </c>
    </row>
    <row r="13" spans="1:13" ht="20.100000000000001" customHeight="1" x14ac:dyDescent="0.25">
      <c r="A13" s="61" t="s">
        <v>197</v>
      </c>
      <c r="B13" s="65" t="s">
        <v>200</v>
      </c>
      <c r="C13" s="62">
        <v>14.71</v>
      </c>
      <c r="D13" s="62">
        <v>14.52</v>
      </c>
      <c r="E13" s="62">
        <v>14.75</v>
      </c>
      <c r="F13" s="63">
        <v>14.46</v>
      </c>
      <c r="G13" s="64">
        <v>1.7289073305670814E-2</v>
      </c>
      <c r="H13" s="64" t="s">
        <v>642</v>
      </c>
      <c r="I13" s="63">
        <v>6.07</v>
      </c>
      <c r="J13" s="63">
        <v>11.43</v>
      </c>
      <c r="K13" s="63">
        <v>14.87</v>
      </c>
      <c r="L13" s="5">
        <f t="shared" si="0"/>
        <v>13.382999999999999</v>
      </c>
      <c r="M13" s="5" t="b">
        <f t="shared" si="1"/>
        <v>0</v>
      </c>
    </row>
    <row r="14" spans="1:13" ht="20.100000000000001" customHeight="1" x14ac:dyDescent="0.25">
      <c r="A14" s="61" t="s">
        <v>279</v>
      </c>
      <c r="B14" s="65" t="s">
        <v>282</v>
      </c>
      <c r="C14" s="62">
        <v>44.16</v>
      </c>
      <c r="D14" s="62">
        <v>43.93</v>
      </c>
      <c r="E14" s="62">
        <v>44.22</v>
      </c>
      <c r="F14" s="63">
        <v>44.03</v>
      </c>
      <c r="G14" s="64">
        <v>2.9525323642969666E-3</v>
      </c>
      <c r="H14" s="64" t="s">
        <v>643</v>
      </c>
      <c r="I14" s="63">
        <v>2.3199999999999998</v>
      </c>
      <c r="J14" s="63">
        <v>13.84</v>
      </c>
      <c r="K14" s="63">
        <v>41.5</v>
      </c>
      <c r="L14" s="5">
        <f t="shared" si="0"/>
        <v>37.35</v>
      </c>
      <c r="M14" s="5" t="b">
        <f t="shared" si="1"/>
        <v>0</v>
      </c>
    </row>
    <row r="15" spans="1:13" ht="20.100000000000001" customHeight="1" x14ac:dyDescent="0.25">
      <c r="A15" s="67" t="s">
        <v>188</v>
      </c>
      <c r="B15" s="61" t="s">
        <v>195</v>
      </c>
      <c r="C15" s="62">
        <v>50.55</v>
      </c>
      <c r="D15" s="62">
        <v>50.18</v>
      </c>
      <c r="E15" s="62">
        <v>50.66</v>
      </c>
      <c r="F15" s="63">
        <v>50.43</v>
      </c>
      <c r="G15" s="64">
        <v>2.3795359904818054E-3</v>
      </c>
      <c r="H15" s="62" t="s">
        <v>644</v>
      </c>
      <c r="I15" s="63">
        <v>3.01</v>
      </c>
      <c r="J15" s="63">
        <v>12.48</v>
      </c>
      <c r="K15" s="63">
        <v>48.69</v>
      </c>
      <c r="L15" s="5">
        <f t="shared" si="0"/>
        <v>43.820999999999998</v>
      </c>
      <c r="M15" s="5" t="b">
        <f t="shared" si="1"/>
        <v>0</v>
      </c>
    </row>
    <row r="16" spans="1:13" ht="20.100000000000001" customHeight="1" x14ac:dyDescent="0.25">
      <c r="A16" s="52" t="s">
        <v>448</v>
      </c>
      <c r="B16" s="52" t="s">
        <v>451</v>
      </c>
      <c r="C16" s="53">
        <v>82</v>
      </c>
      <c r="D16" s="53">
        <v>81.5</v>
      </c>
      <c r="E16" s="53">
        <v>82.14</v>
      </c>
      <c r="F16" s="54">
        <v>81.3</v>
      </c>
      <c r="G16" s="55">
        <v>8.6100861008610446E-3</v>
      </c>
      <c r="H16" s="53" t="s">
        <v>645</v>
      </c>
      <c r="I16" s="54">
        <v>0.69</v>
      </c>
      <c r="J16" s="53">
        <v>34.85</v>
      </c>
      <c r="K16" s="53">
        <v>77.319999999999993</v>
      </c>
      <c r="L16" s="5">
        <f t="shared" si="0"/>
        <v>69.587999999999994</v>
      </c>
      <c r="M16" s="5" t="b">
        <f t="shared" si="1"/>
        <v>0</v>
      </c>
    </row>
    <row r="17" spans="1:13" ht="20.100000000000001" customHeight="1" x14ac:dyDescent="0.25">
      <c r="A17" s="52" t="s">
        <v>449</v>
      </c>
      <c r="B17" s="52" t="s">
        <v>452</v>
      </c>
      <c r="C17" s="53">
        <v>97.89</v>
      </c>
      <c r="D17" s="53">
        <v>97.37</v>
      </c>
      <c r="E17" s="53">
        <v>98.1</v>
      </c>
      <c r="F17" s="54">
        <v>97.62</v>
      </c>
      <c r="G17" s="55">
        <v>2.7658266748616677E-3</v>
      </c>
      <c r="H17" s="53" t="s">
        <v>646</v>
      </c>
      <c r="I17" s="54">
        <v>0.78</v>
      </c>
      <c r="J17" s="53">
        <v>28.72</v>
      </c>
      <c r="K17" s="53">
        <v>93.62</v>
      </c>
      <c r="L17" s="5">
        <f t="shared" si="0"/>
        <v>84.25800000000001</v>
      </c>
      <c r="M17" s="5" t="b">
        <f t="shared" si="1"/>
        <v>0</v>
      </c>
    </row>
    <row r="18" spans="1:13" ht="20.100000000000001" customHeight="1" x14ac:dyDescent="0.25">
      <c r="A18" s="60" t="s">
        <v>450</v>
      </c>
      <c r="B18" s="52" t="s">
        <v>453</v>
      </c>
      <c r="C18" s="56">
        <v>65.19</v>
      </c>
      <c r="D18" s="53">
        <v>64.86</v>
      </c>
      <c r="E18" s="53">
        <v>65.67</v>
      </c>
      <c r="F18" s="54">
        <v>64.86</v>
      </c>
      <c r="G18" s="57">
        <v>5.0878815911193078E-3</v>
      </c>
      <c r="H18" s="55" t="s">
        <v>647</v>
      </c>
      <c r="I18" s="54">
        <v>1.79</v>
      </c>
      <c r="J18" s="53">
        <v>11.53</v>
      </c>
      <c r="K18" s="53">
        <v>62.41</v>
      </c>
      <c r="L18" s="5">
        <f t="shared" si="0"/>
        <v>56.168999999999997</v>
      </c>
      <c r="M18" s="5" t="b">
        <f t="shared" si="1"/>
        <v>0</v>
      </c>
    </row>
    <row r="19" spans="1:13" ht="20.100000000000001" customHeight="1" x14ac:dyDescent="0.25">
      <c r="A19" s="52" t="s">
        <v>454</v>
      </c>
      <c r="B19" s="52" t="s">
        <v>455</v>
      </c>
      <c r="C19" s="58">
        <v>60.02</v>
      </c>
      <c r="D19" s="58">
        <v>59.49</v>
      </c>
      <c r="E19" s="58">
        <v>60.17</v>
      </c>
      <c r="F19" s="54">
        <v>59.6</v>
      </c>
      <c r="G19" s="57">
        <v>7.0469798657718406E-3</v>
      </c>
      <c r="H19" s="55" t="s">
        <v>648</v>
      </c>
      <c r="I19" s="54">
        <v>2.0099999999999998</v>
      </c>
      <c r="J19" s="53">
        <v>11.28</v>
      </c>
      <c r="K19" s="53">
        <v>53.85</v>
      </c>
      <c r="L19" s="5">
        <f t="shared" si="0"/>
        <v>48.465000000000003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>
      <selection activeCell="L1" sqref="L1:M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3" t="s">
        <v>226</v>
      </c>
      <c r="B2" s="2" t="s">
        <v>233</v>
      </c>
      <c r="C2" s="4">
        <v>43.82</v>
      </c>
      <c r="D2" s="4">
        <v>43.37</v>
      </c>
      <c r="E2" s="4">
        <v>43.83</v>
      </c>
      <c r="F2" s="5">
        <v>43.14</v>
      </c>
      <c r="G2" s="6">
        <v>1.5762633286972642E-2</v>
      </c>
      <c r="H2" s="4" t="s">
        <v>649</v>
      </c>
      <c r="I2" s="5">
        <v>2.78</v>
      </c>
      <c r="J2" s="5">
        <v>17.73</v>
      </c>
      <c r="K2" s="5">
        <v>40.15</v>
      </c>
      <c r="L2" s="89">
        <f t="shared" ref="L2:L10" si="0">K2*0.9</f>
        <v>36.134999999999998</v>
      </c>
      <c r="M2" s="90" t="b">
        <f t="shared" ref="M2:M10" si="1">L2&gt;C2</f>
        <v>0</v>
      </c>
    </row>
    <row r="3" spans="1:13" ht="20.100000000000001" customHeight="1" x14ac:dyDescent="0.25">
      <c r="A3" s="23" t="s">
        <v>228</v>
      </c>
      <c r="B3" s="2" t="s">
        <v>235</v>
      </c>
      <c r="C3" s="4">
        <v>46.64</v>
      </c>
      <c r="D3" s="4">
        <v>46.13</v>
      </c>
      <c r="E3" s="4">
        <v>46.77</v>
      </c>
      <c r="F3" s="5">
        <v>46.02</v>
      </c>
      <c r="G3" s="6">
        <v>1.3472403302911721E-2</v>
      </c>
      <c r="H3" s="4" t="s">
        <v>650</v>
      </c>
      <c r="I3" s="5">
        <v>2.17</v>
      </c>
      <c r="J3" s="5" t="s">
        <v>39</v>
      </c>
      <c r="K3" s="5">
        <v>45.54</v>
      </c>
      <c r="L3" s="5">
        <f t="shared" si="0"/>
        <v>40.985999999999997</v>
      </c>
      <c r="M3" s="5" t="b">
        <f t="shared" si="1"/>
        <v>0</v>
      </c>
    </row>
    <row r="4" spans="1:13" ht="20.100000000000001" customHeight="1" x14ac:dyDescent="0.25">
      <c r="A4" s="23" t="s">
        <v>229</v>
      </c>
      <c r="B4" s="2" t="s">
        <v>236</v>
      </c>
      <c r="C4" s="4">
        <v>57.73</v>
      </c>
      <c r="D4" s="4">
        <v>56.7</v>
      </c>
      <c r="E4" s="4">
        <v>58.07</v>
      </c>
      <c r="F4" s="5">
        <v>56.91</v>
      </c>
      <c r="G4" s="6">
        <v>1.4408715515726592E-2</v>
      </c>
      <c r="H4" s="4" t="s">
        <v>651</v>
      </c>
      <c r="I4" s="5">
        <v>2.0499999999999998</v>
      </c>
      <c r="J4" s="5">
        <v>31.9</v>
      </c>
      <c r="K4" s="5">
        <v>62.66</v>
      </c>
      <c r="L4" s="5">
        <f t="shared" si="0"/>
        <v>56.393999999999998</v>
      </c>
      <c r="M4" s="5" t="b">
        <f t="shared" si="1"/>
        <v>0</v>
      </c>
    </row>
    <row r="5" spans="1:13" ht="20.100000000000001" customHeight="1" x14ac:dyDescent="0.25">
      <c r="A5" s="23" t="s">
        <v>225</v>
      </c>
      <c r="B5" s="2" t="s">
        <v>232</v>
      </c>
      <c r="C5" s="4">
        <v>70.94</v>
      </c>
      <c r="D5" s="4">
        <v>70.45</v>
      </c>
      <c r="E5" s="4">
        <v>71.12</v>
      </c>
      <c r="F5" s="5">
        <v>70.11</v>
      </c>
      <c r="G5" s="6">
        <v>1.1838539438025935E-2</v>
      </c>
      <c r="H5" s="4" t="s">
        <v>652</v>
      </c>
      <c r="I5" s="5">
        <v>2.72</v>
      </c>
      <c r="J5" s="5">
        <v>25.61</v>
      </c>
      <c r="K5" s="5">
        <v>65.349999999999994</v>
      </c>
      <c r="L5" s="5">
        <f t="shared" si="0"/>
        <v>58.814999999999998</v>
      </c>
      <c r="M5" s="5" t="b">
        <f t="shared" si="1"/>
        <v>0</v>
      </c>
    </row>
    <row r="6" spans="1:13" ht="20.100000000000001" customHeight="1" x14ac:dyDescent="0.25">
      <c r="A6" s="23" t="s">
        <v>227</v>
      </c>
      <c r="B6" s="2" t="s">
        <v>234</v>
      </c>
      <c r="C6" s="4">
        <v>82.42</v>
      </c>
      <c r="D6" s="4">
        <v>82.12</v>
      </c>
      <c r="E6" s="4">
        <v>82.78</v>
      </c>
      <c r="F6" s="5">
        <v>81.69</v>
      </c>
      <c r="G6" s="6">
        <v>8.9362223038316081E-3</v>
      </c>
      <c r="H6" s="4" t="s">
        <v>653</v>
      </c>
      <c r="I6" s="5">
        <v>2.5499999999999998</v>
      </c>
      <c r="J6" s="5">
        <v>47.15</v>
      </c>
      <c r="K6" s="5">
        <v>78.150000000000006</v>
      </c>
      <c r="L6" s="5">
        <f t="shared" si="0"/>
        <v>70.335000000000008</v>
      </c>
      <c r="M6" s="5" t="b">
        <f t="shared" si="1"/>
        <v>0</v>
      </c>
    </row>
    <row r="7" spans="1:13" ht="20.100000000000001" customHeight="1" x14ac:dyDescent="0.25">
      <c r="A7" s="23" t="s">
        <v>223</v>
      </c>
      <c r="B7" s="2" t="s">
        <v>353</v>
      </c>
      <c r="C7" s="4">
        <v>89.61</v>
      </c>
      <c r="D7" s="4">
        <v>89.11</v>
      </c>
      <c r="E7" s="4">
        <v>90.54</v>
      </c>
      <c r="F7" s="5">
        <v>89.48</v>
      </c>
      <c r="G7" s="6">
        <v>1.4528386231559616E-3</v>
      </c>
      <c r="H7" s="4" t="s">
        <v>654</v>
      </c>
      <c r="I7" s="5">
        <v>2.73</v>
      </c>
      <c r="J7" s="5">
        <v>65.7</v>
      </c>
      <c r="K7" s="5">
        <v>82.85</v>
      </c>
      <c r="L7" s="5">
        <f t="shared" si="0"/>
        <v>74.564999999999998</v>
      </c>
      <c r="M7" s="5" t="b">
        <f t="shared" si="1"/>
        <v>0</v>
      </c>
    </row>
    <row r="8" spans="1:13" ht="20.100000000000001" customHeight="1" x14ac:dyDescent="0.25">
      <c r="A8" s="23" t="s">
        <v>224</v>
      </c>
      <c r="B8" s="2" t="s">
        <v>231</v>
      </c>
      <c r="C8" s="4">
        <v>44.19</v>
      </c>
      <c r="D8" s="4">
        <v>44.04</v>
      </c>
      <c r="E8" s="4">
        <v>44.56</v>
      </c>
      <c r="F8" s="5">
        <v>43.95</v>
      </c>
      <c r="G8" s="6">
        <v>5.4607508532422038E-3</v>
      </c>
      <c r="H8" s="4" t="s">
        <v>655</v>
      </c>
      <c r="I8" s="5">
        <v>1.7</v>
      </c>
      <c r="J8" s="5">
        <v>9.36</v>
      </c>
      <c r="K8" s="5">
        <v>43.12</v>
      </c>
      <c r="L8" s="5">
        <f t="shared" si="0"/>
        <v>38.808</v>
      </c>
      <c r="M8" s="5" t="b">
        <f t="shared" si="1"/>
        <v>0</v>
      </c>
    </row>
    <row r="9" spans="1:13" ht="20.100000000000001" customHeight="1" x14ac:dyDescent="0.25">
      <c r="A9" s="23" t="s">
        <v>657</v>
      </c>
      <c r="B9" s="19" t="s">
        <v>658</v>
      </c>
      <c r="C9" s="4">
        <v>99.3</v>
      </c>
      <c r="D9" s="4">
        <v>99.17</v>
      </c>
      <c r="E9" s="4">
        <v>100.26</v>
      </c>
      <c r="F9" s="5">
        <v>99.54</v>
      </c>
      <c r="G9" s="6">
        <v>-2.4110910186860468E-3</v>
      </c>
      <c r="H9" s="6" t="s">
        <v>659</v>
      </c>
      <c r="I9" s="5">
        <v>2.48</v>
      </c>
      <c r="J9" s="5">
        <v>29.08</v>
      </c>
      <c r="K9" s="5">
        <v>98.28</v>
      </c>
      <c r="L9" s="5">
        <f>K9*0.9</f>
        <v>88.451999999999998</v>
      </c>
      <c r="M9" s="5" t="b">
        <f>L9&gt;C9</f>
        <v>0</v>
      </c>
    </row>
    <row r="10" spans="1:13" ht="20.100000000000001" customHeight="1" x14ac:dyDescent="0.25">
      <c r="A10" s="23" t="s">
        <v>230</v>
      </c>
      <c r="B10" s="19" t="s">
        <v>237</v>
      </c>
      <c r="C10" s="4">
        <v>84.2</v>
      </c>
      <c r="D10" s="4">
        <v>83.58</v>
      </c>
      <c r="E10" s="4">
        <v>84.48</v>
      </c>
      <c r="F10" s="5">
        <v>83.32</v>
      </c>
      <c r="G10" s="6">
        <v>1.0561689870379377E-2</v>
      </c>
      <c r="H10" s="6" t="s">
        <v>656</v>
      </c>
      <c r="I10" s="5">
        <v>1.98</v>
      </c>
      <c r="J10" s="5">
        <v>31.68</v>
      </c>
      <c r="K10" s="5">
        <v>84.2</v>
      </c>
      <c r="L10" s="5">
        <f t="shared" si="0"/>
        <v>75.78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>
      <selection activeCell="M9" sqref="M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3" t="s">
        <v>817</v>
      </c>
      <c r="B2" s="2" t="s">
        <v>824</v>
      </c>
      <c r="C2" s="4">
        <v>42.8</v>
      </c>
      <c r="D2" s="4">
        <v>42.23</v>
      </c>
      <c r="E2" s="4">
        <v>43.1</v>
      </c>
      <c r="F2" s="5">
        <v>42.15</v>
      </c>
      <c r="G2" s="6">
        <v>1.5421115065243145E-2</v>
      </c>
      <c r="H2" s="4" t="s">
        <v>825</v>
      </c>
      <c r="I2" s="5">
        <v>0.62</v>
      </c>
      <c r="J2" s="5">
        <v>43.1</v>
      </c>
      <c r="K2" s="5">
        <v>36.97</v>
      </c>
      <c r="L2" s="89">
        <f t="shared" ref="L2:L7" si="0">K2*0.9</f>
        <v>33.273000000000003</v>
      </c>
      <c r="M2" s="90" t="b">
        <f t="shared" ref="M2:M7" si="1">L2&gt;C2</f>
        <v>0</v>
      </c>
    </row>
    <row r="3" spans="1:13" ht="20.100000000000001" customHeight="1" x14ac:dyDescent="0.25">
      <c r="A3" s="23" t="s">
        <v>818</v>
      </c>
      <c r="B3" s="2" t="s">
        <v>826</v>
      </c>
      <c r="C3" s="4">
        <v>83.46</v>
      </c>
      <c r="D3" s="4">
        <v>82.15</v>
      </c>
      <c r="E3" s="4">
        <v>84.18</v>
      </c>
      <c r="F3" s="5">
        <v>81.760000000000005</v>
      </c>
      <c r="G3" s="6">
        <v>2.0792563600782639E-2</v>
      </c>
      <c r="H3" s="4" t="s">
        <v>827</v>
      </c>
      <c r="I3" s="5" t="s">
        <v>39</v>
      </c>
      <c r="J3" s="5">
        <v>23.51</v>
      </c>
      <c r="K3" s="5">
        <v>71.569999999999993</v>
      </c>
      <c r="L3" s="5">
        <f t="shared" si="0"/>
        <v>64.412999999999997</v>
      </c>
      <c r="M3" s="5" t="b">
        <f t="shared" si="1"/>
        <v>0</v>
      </c>
    </row>
    <row r="4" spans="1:13" ht="20.100000000000001" customHeight="1" x14ac:dyDescent="0.25">
      <c r="A4" s="23" t="s">
        <v>819</v>
      </c>
      <c r="B4" s="2" t="s">
        <v>828</v>
      </c>
      <c r="C4" s="4">
        <v>44.7</v>
      </c>
      <c r="D4" s="4">
        <v>43.84</v>
      </c>
      <c r="E4" s="4">
        <v>45.04</v>
      </c>
      <c r="F4" s="5">
        <v>43.76</v>
      </c>
      <c r="G4" s="6">
        <v>2.1480804387568667E-2</v>
      </c>
      <c r="H4" s="4" t="s">
        <v>592</v>
      </c>
      <c r="I4" s="5" t="s">
        <v>39</v>
      </c>
      <c r="J4" s="5">
        <v>186.25</v>
      </c>
      <c r="K4" s="5">
        <v>37.880000000000003</v>
      </c>
      <c r="L4" s="5">
        <f t="shared" si="0"/>
        <v>34.092000000000006</v>
      </c>
      <c r="M4" s="5" t="b">
        <f t="shared" si="1"/>
        <v>0</v>
      </c>
    </row>
    <row r="5" spans="1:13" ht="20.100000000000001" customHeight="1" x14ac:dyDescent="0.25">
      <c r="A5" s="23" t="s">
        <v>820</v>
      </c>
      <c r="B5" s="2" t="s">
        <v>829</v>
      </c>
      <c r="C5" s="4">
        <v>231.05</v>
      </c>
      <c r="D5" s="4">
        <v>228.5</v>
      </c>
      <c r="E5" s="4">
        <v>231.25</v>
      </c>
      <c r="F5" s="5">
        <v>223.97</v>
      </c>
      <c r="G5" s="6">
        <v>3.1611376523641613E-2</v>
      </c>
      <c r="H5" s="4" t="s">
        <v>830</v>
      </c>
      <c r="I5" s="5">
        <v>0.66</v>
      </c>
      <c r="J5" s="5" t="s">
        <v>39</v>
      </c>
      <c r="K5" s="5">
        <v>166.18</v>
      </c>
      <c r="L5" s="5">
        <f t="shared" si="0"/>
        <v>149.56200000000001</v>
      </c>
      <c r="M5" s="5" t="b">
        <f t="shared" si="1"/>
        <v>0</v>
      </c>
    </row>
    <row r="6" spans="1:13" ht="20.100000000000001" customHeight="1" x14ac:dyDescent="0.25">
      <c r="A6" s="23" t="s">
        <v>822</v>
      </c>
      <c r="B6" s="19" t="s">
        <v>831</v>
      </c>
      <c r="C6" s="4">
        <v>28.39</v>
      </c>
      <c r="D6" s="4">
        <v>28.04</v>
      </c>
      <c r="E6" s="4">
        <v>28.48</v>
      </c>
      <c r="F6" s="5">
        <v>28.03</v>
      </c>
      <c r="G6" s="6">
        <v>1.2843382090617176E-2</v>
      </c>
      <c r="H6" s="6" t="s">
        <v>832</v>
      </c>
      <c r="I6" s="5">
        <v>5.28</v>
      </c>
      <c r="J6" s="5">
        <v>7.48</v>
      </c>
      <c r="K6" s="5">
        <v>29.73</v>
      </c>
      <c r="L6" s="5">
        <f>K6*0.9</f>
        <v>26.757000000000001</v>
      </c>
      <c r="M6" s="5" t="b">
        <f>L6&gt;C6</f>
        <v>0</v>
      </c>
    </row>
    <row r="7" spans="1:13" ht="20.100000000000001" customHeight="1" x14ac:dyDescent="0.25">
      <c r="A7" s="23" t="s">
        <v>821</v>
      </c>
      <c r="B7" s="2" t="s">
        <v>833</v>
      </c>
      <c r="C7" s="4">
        <v>32.64</v>
      </c>
      <c r="D7" s="4">
        <v>32.53</v>
      </c>
      <c r="E7" s="4">
        <v>32.83</v>
      </c>
      <c r="F7" s="5">
        <v>32.14</v>
      </c>
      <c r="G7" s="6">
        <v>1.5556938394523958E-2</v>
      </c>
      <c r="H7" s="4" t="s">
        <v>834</v>
      </c>
      <c r="I7" s="5">
        <v>0.55000000000000004</v>
      </c>
      <c r="J7" s="5">
        <v>48.86</v>
      </c>
      <c r="K7" s="5">
        <v>27.62</v>
      </c>
      <c r="L7" s="5">
        <f t="shared" si="0"/>
        <v>24.858000000000001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workbookViewId="0">
      <selection activeCell="A9" sqref="A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87.44</v>
      </c>
      <c r="D2" s="88">
        <v>87.25</v>
      </c>
      <c r="E2" s="88">
        <v>87.87</v>
      </c>
      <c r="F2" s="85">
        <v>87.15</v>
      </c>
      <c r="G2" s="87">
        <v>3.3275960986803447E-3</v>
      </c>
      <c r="H2" s="88" t="s">
        <v>354</v>
      </c>
      <c r="I2" s="85">
        <v>1.56</v>
      </c>
      <c r="J2" s="85">
        <v>11.8</v>
      </c>
      <c r="K2" s="85">
        <v>83.73</v>
      </c>
      <c r="L2" s="91">
        <f t="shared" ref="L2:L8" si="0">K2*0.9</f>
        <v>75.356999999999999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79.73</v>
      </c>
      <c r="D3" s="88">
        <v>79.53</v>
      </c>
      <c r="E3" s="88">
        <v>80.14</v>
      </c>
      <c r="F3" s="85">
        <v>79.7</v>
      </c>
      <c r="G3" s="87">
        <v>3.7641154328734171E-4</v>
      </c>
      <c r="H3" s="88" t="s">
        <v>660</v>
      </c>
      <c r="I3" s="85">
        <v>2.25</v>
      </c>
      <c r="J3" s="85">
        <v>18.46</v>
      </c>
      <c r="K3" s="85">
        <v>80.959999999999994</v>
      </c>
      <c r="L3" s="85">
        <f t="shared" si="0"/>
        <v>72.86399999999999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182.98</v>
      </c>
      <c r="D4" s="88">
        <v>182.67</v>
      </c>
      <c r="E4" s="88">
        <v>184.44</v>
      </c>
      <c r="F4" s="85">
        <v>183.27</v>
      </c>
      <c r="G4" s="87">
        <v>-1.5823648169368716E-3</v>
      </c>
      <c r="H4" s="88" t="s">
        <v>663</v>
      </c>
      <c r="I4" s="85">
        <v>0.61</v>
      </c>
      <c r="J4" s="85">
        <v>19</v>
      </c>
      <c r="K4" s="85">
        <v>176.99</v>
      </c>
      <c r="L4" s="85">
        <f t="shared" si="0"/>
        <v>159.29100000000003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64</v>
      </c>
      <c r="C5" s="4">
        <v>72.540000000000006</v>
      </c>
      <c r="D5" s="4">
        <v>71.94</v>
      </c>
      <c r="E5" s="4">
        <v>72.680000000000007</v>
      </c>
      <c r="F5" s="5">
        <v>72.22</v>
      </c>
      <c r="G5" s="6">
        <v>4.43090556632522E-3</v>
      </c>
      <c r="H5" s="4" t="s">
        <v>662</v>
      </c>
      <c r="I5" s="5" t="s">
        <v>39</v>
      </c>
      <c r="J5" s="5">
        <v>17.920000000000002</v>
      </c>
      <c r="K5" s="5">
        <v>73.510000000000005</v>
      </c>
      <c r="L5" s="5">
        <f t="shared" si="0"/>
        <v>66.159000000000006</v>
      </c>
      <c r="M5" s="5" t="b">
        <f t="shared" si="1"/>
        <v>0</v>
      </c>
    </row>
    <row r="6" spans="1:13" ht="20.100000000000001" customHeight="1" x14ac:dyDescent="0.25">
      <c r="A6" s="2" t="s">
        <v>31</v>
      </c>
      <c r="B6" s="2" t="s">
        <v>63</v>
      </c>
      <c r="C6" s="4">
        <v>93.84</v>
      </c>
      <c r="D6" s="4">
        <v>93.52</v>
      </c>
      <c r="E6" s="4">
        <v>94.2</v>
      </c>
      <c r="F6" s="5">
        <v>93.37</v>
      </c>
      <c r="G6" s="6">
        <v>5.033736746278235E-3</v>
      </c>
      <c r="H6" s="4" t="s">
        <v>661</v>
      </c>
      <c r="I6" s="5">
        <v>1.82</v>
      </c>
      <c r="J6" s="5">
        <v>21.59</v>
      </c>
      <c r="K6" s="5">
        <v>98.51</v>
      </c>
      <c r="L6" s="5">
        <f t="shared" si="0"/>
        <v>88.659000000000006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66</v>
      </c>
      <c r="C7" s="4">
        <v>25.95</v>
      </c>
      <c r="D7" s="4">
        <v>25.09</v>
      </c>
      <c r="E7" s="4">
        <v>26</v>
      </c>
      <c r="F7" s="5">
        <v>25.19</v>
      </c>
      <c r="G7" s="6">
        <v>3.017070265978555E-2</v>
      </c>
      <c r="H7" s="4" t="s">
        <v>664</v>
      </c>
      <c r="I7" s="5" t="s">
        <v>39</v>
      </c>
      <c r="J7" s="5">
        <v>26.81</v>
      </c>
      <c r="K7" s="5">
        <v>24.58</v>
      </c>
      <c r="L7" s="5">
        <f t="shared" si="0"/>
        <v>22.122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136.61000000000001</v>
      </c>
      <c r="D8" s="4">
        <v>135.76</v>
      </c>
      <c r="E8" s="4">
        <v>136.78</v>
      </c>
      <c r="F8" s="5">
        <v>135.74</v>
      </c>
      <c r="G8" s="6">
        <v>6.4093119198467986E-3</v>
      </c>
      <c r="H8" s="4" t="s">
        <v>436</v>
      </c>
      <c r="I8" s="5">
        <v>1.83</v>
      </c>
      <c r="J8" s="5">
        <v>21.38</v>
      </c>
      <c r="K8" s="5">
        <v>133.54</v>
      </c>
      <c r="L8" s="5">
        <f t="shared" si="0"/>
        <v>120.18599999999999</v>
      </c>
      <c r="M8" s="5" t="b">
        <f t="shared" si="1"/>
        <v>0</v>
      </c>
    </row>
    <row r="9" spans="1:13" ht="20.100000000000001" customHeight="1" x14ac:dyDescent="0.25">
      <c r="A9" s="81" t="s">
        <v>145</v>
      </c>
      <c r="B9" s="19" t="s">
        <v>290</v>
      </c>
      <c r="C9" s="4">
        <v>31.8</v>
      </c>
      <c r="D9" s="4">
        <v>31.5</v>
      </c>
      <c r="E9" s="4">
        <v>31.9</v>
      </c>
      <c r="F9" s="5">
        <v>31.61</v>
      </c>
      <c r="G9" s="6">
        <v>6.0107560898450263E-3</v>
      </c>
      <c r="H9" s="6" t="s">
        <v>457</v>
      </c>
      <c r="I9" s="5" t="s">
        <v>39</v>
      </c>
      <c r="J9" s="5">
        <v>23.86</v>
      </c>
      <c r="K9" s="5">
        <v>32.799999999999997</v>
      </c>
      <c r="L9" s="5">
        <f>K9*0.9</f>
        <v>29.52</v>
      </c>
      <c r="M9" s="5" t="b">
        <f t="shared" si="1"/>
        <v>0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>
      <selection activeCell="H25" sqref="H2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869</v>
      </c>
      <c r="B2" s="2" t="s">
        <v>875</v>
      </c>
      <c r="C2" s="4">
        <v>88.2</v>
      </c>
      <c r="D2" s="4">
        <v>88.04</v>
      </c>
      <c r="E2" s="4">
        <v>88.87</v>
      </c>
      <c r="F2" s="5">
        <v>88.31</v>
      </c>
      <c r="G2" s="6">
        <v>-1.2456120484656259E-3</v>
      </c>
      <c r="H2" s="4" t="s">
        <v>876</v>
      </c>
      <c r="I2" s="5">
        <v>3.03</v>
      </c>
      <c r="J2" s="4">
        <v>23.88</v>
      </c>
      <c r="K2" s="4">
        <v>83.47</v>
      </c>
      <c r="L2" s="79">
        <f t="shared" ref="L2:L7" si="0">K2*0.89</f>
        <v>74.288300000000007</v>
      </c>
      <c r="M2" s="80" t="b">
        <f t="shared" ref="M2:M7" si="1">L2&gt;C2</f>
        <v>0</v>
      </c>
    </row>
    <row r="3" spans="1:13" ht="20.100000000000001" customHeight="1" x14ac:dyDescent="0.25">
      <c r="A3" s="1" t="s">
        <v>870</v>
      </c>
      <c r="B3" s="2" t="s">
        <v>877</v>
      </c>
      <c r="C3" s="4">
        <v>53.57</v>
      </c>
      <c r="D3" s="4">
        <v>53.35</v>
      </c>
      <c r="E3" s="4">
        <v>53.96</v>
      </c>
      <c r="F3" s="5">
        <v>53.22</v>
      </c>
      <c r="G3" s="6">
        <v>6.5764750093949909E-3</v>
      </c>
      <c r="H3" s="4" t="s">
        <v>878</v>
      </c>
      <c r="I3" s="5">
        <v>1.43</v>
      </c>
      <c r="J3" s="4">
        <v>51.96</v>
      </c>
      <c r="K3" s="4">
        <v>46.87</v>
      </c>
      <c r="L3" s="70">
        <f t="shared" si="0"/>
        <v>41.714300000000001</v>
      </c>
      <c r="M3" s="70" t="b">
        <f t="shared" si="1"/>
        <v>0</v>
      </c>
    </row>
    <row r="4" spans="1:13" ht="20.100000000000001" customHeight="1" x14ac:dyDescent="0.25">
      <c r="A4" s="2" t="s">
        <v>871</v>
      </c>
      <c r="B4" s="2" t="s">
        <v>879</v>
      </c>
      <c r="C4" s="4">
        <v>131.97</v>
      </c>
      <c r="D4" s="4">
        <v>131.1</v>
      </c>
      <c r="E4" s="4">
        <v>132.19</v>
      </c>
      <c r="F4" s="5">
        <v>131.04</v>
      </c>
      <c r="G4" s="6">
        <v>7.0970695970696499E-3</v>
      </c>
      <c r="H4" s="4" t="s">
        <v>880</v>
      </c>
      <c r="I4" s="5">
        <v>2.44</v>
      </c>
      <c r="J4" s="4">
        <v>26.82</v>
      </c>
      <c r="K4" s="4">
        <v>130.28</v>
      </c>
      <c r="L4" s="70">
        <f t="shared" si="0"/>
        <v>115.9492</v>
      </c>
      <c r="M4" s="70" t="b">
        <f t="shared" si="1"/>
        <v>0</v>
      </c>
    </row>
    <row r="5" spans="1:13" ht="20.100000000000001" customHeight="1" x14ac:dyDescent="0.25">
      <c r="A5" s="2" t="s">
        <v>872</v>
      </c>
      <c r="B5" s="2" t="s">
        <v>881</v>
      </c>
      <c r="C5" s="4">
        <v>74.89</v>
      </c>
      <c r="D5" s="4">
        <v>74.59</v>
      </c>
      <c r="E5" s="4">
        <v>75.349999999999994</v>
      </c>
      <c r="F5" s="5">
        <v>74.27</v>
      </c>
      <c r="G5" s="6">
        <v>8.3479197522553471E-3</v>
      </c>
      <c r="H5" s="4" t="s">
        <v>882</v>
      </c>
      <c r="I5" s="5">
        <v>2.1</v>
      </c>
      <c r="J5" s="4">
        <v>48.22</v>
      </c>
      <c r="K5" s="4">
        <v>71.52</v>
      </c>
      <c r="L5" s="70">
        <f t="shared" si="0"/>
        <v>63.652799999999999</v>
      </c>
      <c r="M5" s="70" t="b">
        <f t="shared" si="1"/>
        <v>0</v>
      </c>
    </row>
    <row r="6" spans="1:13" ht="20.100000000000001" customHeight="1" x14ac:dyDescent="0.25">
      <c r="A6" s="2" t="s">
        <v>873</v>
      </c>
      <c r="B6" s="2" t="s">
        <v>883</v>
      </c>
      <c r="C6" s="4">
        <v>119.32</v>
      </c>
      <c r="D6" s="4">
        <v>118.9</v>
      </c>
      <c r="E6" s="4">
        <v>119.81</v>
      </c>
      <c r="F6" s="5">
        <v>119.08</v>
      </c>
      <c r="G6" s="6">
        <v>2.0154517971111429E-3</v>
      </c>
      <c r="H6" s="4" t="s">
        <v>884</v>
      </c>
      <c r="I6" s="5">
        <v>2.69</v>
      </c>
      <c r="J6" s="4">
        <v>22.24</v>
      </c>
      <c r="K6" s="4">
        <v>114.84</v>
      </c>
      <c r="L6" s="70">
        <f t="shared" si="0"/>
        <v>102.2076</v>
      </c>
      <c r="M6" s="70" t="b">
        <f t="shared" si="1"/>
        <v>0</v>
      </c>
    </row>
    <row r="7" spans="1:13" ht="20.100000000000001" customHeight="1" x14ac:dyDescent="0.25">
      <c r="A7" s="2" t="s">
        <v>874</v>
      </c>
      <c r="B7" s="2" t="s">
        <v>885</v>
      </c>
      <c r="C7" s="4">
        <v>128.82</v>
      </c>
      <c r="D7" s="4">
        <v>128.01</v>
      </c>
      <c r="E7" s="4">
        <v>129.46</v>
      </c>
      <c r="F7" s="5">
        <v>128.12</v>
      </c>
      <c r="G7" s="6">
        <v>5.4636278488915755E-3</v>
      </c>
      <c r="H7" s="4" t="s">
        <v>886</v>
      </c>
      <c r="I7" s="5">
        <v>2.87</v>
      </c>
      <c r="J7" s="4">
        <v>23.89</v>
      </c>
      <c r="K7" s="4">
        <v>131.44</v>
      </c>
      <c r="L7" s="70">
        <f t="shared" si="0"/>
        <v>116.9816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>
      <selection activeCell="L1" sqref="L1:M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125</v>
      </c>
      <c r="B2" s="2" t="s">
        <v>135</v>
      </c>
      <c r="C2" s="4">
        <v>131.16</v>
      </c>
      <c r="D2" s="4">
        <v>130.58000000000001</v>
      </c>
      <c r="E2" s="4">
        <v>131.96</v>
      </c>
      <c r="F2" s="5">
        <v>129.9</v>
      </c>
      <c r="G2" s="6">
        <v>9.6997690531177121E-3</v>
      </c>
      <c r="H2" s="4" t="s">
        <v>555</v>
      </c>
      <c r="I2" s="5">
        <v>3.36</v>
      </c>
      <c r="J2" s="4">
        <v>23.61</v>
      </c>
      <c r="K2" s="4">
        <v>129.5</v>
      </c>
      <c r="L2" s="5">
        <f t="shared" ref="L2:L13" si="0">K2*0.9</f>
        <v>116.55</v>
      </c>
      <c r="M2" s="5" t="b">
        <f t="shared" ref="M2:M13" si="1">L2&gt;C2</f>
        <v>0</v>
      </c>
    </row>
    <row r="3" spans="1:13" ht="20.100000000000001" customHeight="1" x14ac:dyDescent="0.25">
      <c r="A3" s="2" t="s">
        <v>128</v>
      </c>
      <c r="B3" s="2" t="s">
        <v>138</v>
      </c>
      <c r="C3" s="4">
        <v>52.91</v>
      </c>
      <c r="D3" s="4">
        <v>52.75</v>
      </c>
      <c r="E3" s="4">
        <v>53.16</v>
      </c>
      <c r="F3" s="5">
        <v>52.66</v>
      </c>
      <c r="G3" s="6">
        <v>4.7474363843524499E-3</v>
      </c>
      <c r="H3" s="4" t="s">
        <v>680</v>
      </c>
      <c r="I3" s="5">
        <v>3.55</v>
      </c>
      <c r="J3" s="4">
        <v>18.739999999999998</v>
      </c>
      <c r="K3" s="4">
        <v>53.06</v>
      </c>
      <c r="L3" s="5">
        <f t="shared" si="0"/>
        <v>47.754000000000005</v>
      </c>
      <c r="M3" s="5" t="b">
        <f t="shared" si="1"/>
        <v>0</v>
      </c>
    </row>
    <row r="4" spans="1:13" ht="20.100000000000001" customHeight="1" x14ac:dyDescent="0.25">
      <c r="A4" s="2" t="s">
        <v>127</v>
      </c>
      <c r="B4" s="2" t="s">
        <v>137</v>
      </c>
      <c r="C4" s="11">
        <v>31.29</v>
      </c>
      <c r="D4" s="4">
        <v>31.23</v>
      </c>
      <c r="E4" s="4">
        <v>31.45</v>
      </c>
      <c r="F4" s="5">
        <v>31.2</v>
      </c>
      <c r="G4" s="26">
        <v>2.88461538461538E-3</v>
      </c>
      <c r="H4" s="6" t="s">
        <v>681</v>
      </c>
      <c r="I4" s="5">
        <v>2.93</v>
      </c>
      <c r="J4" s="4">
        <v>26.43</v>
      </c>
      <c r="K4" s="4">
        <v>30.76</v>
      </c>
      <c r="L4" s="5">
        <f t="shared" si="0"/>
        <v>27.684000000000001</v>
      </c>
      <c r="M4" s="5" t="b">
        <f t="shared" si="1"/>
        <v>0</v>
      </c>
    </row>
    <row r="5" spans="1:13" ht="20.100000000000001" customHeight="1" x14ac:dyDescent="0.25">
      <c r="A5" s="1" t="s">
        <v>129</v>
      </c>
      <c r="B5" s="2" t="s">
        <v>161</v>
      </c>
      <c r="C5" s="20">
        <v>32.159999999999997</v>
      </c>
      <c r="D5" s="20">
        <v>31.85</v>
      </c>
      <c r="E5" s="20">
        <v>32.200000000000003</v>
      </c>
      <c r="F5" s="5">
        <v>31.8</v>
      </c>
      <c r="G5" s="26">
        <v>1.1320754716981003E-2</v>
      </c>
      <c r="H5" s="6" t="s">
        <v>675</v>
      </c>
      <c r="I5" s="5">
        <v>4.8</v>
      </c>
      <c r="J5" s="4">
        <v>4.12</v>
      </c>
      <c r="K5" s="4">
        <v>30.64</v>
      </c>
      <c r="L5" s="5">
        <f t="shared" si="0"/>
        <v>27.576000000000001</v>
      </c>
      <c r="M5" s="5" t="b">
        <f t="shared" si="1"/>
        <v>0</v>
      </c>
    </row>
    <row r="6" spans="1:13" ht="20.100000000000001" customHeight="1" x14ac:dyDescent="0.25">
      <c r="A6" s="2" t="s">
        <v>126</v>
      </c>
      <c r="B6" s="2" t="s">
        <v>136</v>
      </c>
      <c r="C6" s="4">
        <v>180.81</v>
      </c>
      <c r="D6" s="4">
        <v>180.09</v>
      </c>
      <c r="E6" s="4">
        <v>181.49</v>
      </c>
      <c r="F6" s="5">
        <v>179.98</v>
      </c>
      <c r="G6" s="6">
        <v>4.6116235137238165E-3</v>
      </c>
      <c r="H6" s="4" t="s">
        <v>682</v>
      </c>
      <c r="I6" s="5">
        <v>2.4700000000000002</v>
      </c>
      <c r="J6" s="4">
        <v>23.08</v>
      </c>
      <c r="K6" s="4">
        <v>170.23</v>
      </c>
      <c r="L6" s="5">
        <f t="shared" si="0"/>
        <v>153.20699999999999</v>
      </c>
      <c r="M6" s="5" t="b">
        <f t="shared" si="1"/>
        <v>0</v>
      </c>
    </row>
    <row r="7" spans="1:13" ht="20.100000000000001" customHeight="1" x14ac:dyDescent="0.25">
      <c r="A7" s="1" t="s">
        <v>121</v>
      </c>
      <c r="B7" s="2" t="s">
        <v>131</v>
      </c>
      <c r="C7" s="11">
        <v>33.950000000000003</v>
      </c>
      <c r="D7" s="4">
        <v>33.799999999999997</v>
      </c>
      <c r="E7" s="4">
        <v>34.14</v>
      </c>
      <c r="F7" s="5">
        <v>33.700000000000003</v>
      </c>
      <c r="G7" s="26">
        <v>7.418397626112759E-3</v>
      </c>
      <c r="H7" s="6" t="s">
        <v>624</v>
      </c>
      <c r="I7" s="5">
        <v>3.03</v>
      </c>
      <c r="J7" s="4">
        <v>20.39</v>
      </c>
      <c r="K7" s="4">
        <v>32.81</v>
      </c>
      <c r="L7" s="5">
        <f t="shared" si="0"/>
        <v>29.529000000000003</v>
      </c>
      <c r="M7" s="5" t="b">
        <f t="shared" si="1"/>
        <v>0</v>
      </c>
    </row>
    <row r="8" spans="1:13" ht="20.100000000000001" customHeight="1" x14ac:dyDescent="0.25">
      <c r="A8" s="1" t="s">
        <v>123</v>
      </c>
      <c r="B8" s="2" t="s">
        <v>133</v>
      </c>
      <c r="C8" s="4">
        <v>24.25</v>
      </c>
      <c r="D8" s="4">
        <v>24.09</v>
      </c>
      <c r="E8" s="4">
        <v>24.4</v>
      </c>
      <c r="F8" s="5">
        <v>24.05</v>
      </c>
      <c r="G8" s="6">
        <v>8.316008316008287E-3</v>
      </c>
      <c r="H8" s="4" t="s">
        <v>683</v>
      </c>
      <c r="I8" s="5">
        <v>1.79</v>
      </c>
      <c r="J8" s="4">
        <v>6.26</v>
      </c>
      <c r="K8" s="4">
        <v>19.59</v>
      </c>
      <c r="L8" s="5">
        <f t="shared" si="0"/>
        <v>17.631</v>
      </c>
      <c r="M8" s="5" t="b">
        <f t="shared" si="1"/>
        <v>0</v>
      </c>
    </row>
    <row r="9" spans="1:13" ht="20.100000000000001" customHeight="1" x14ac:dyDescent="0.25">
      <c r="A9" s="1" t="s">
        <v>122</v>
      </c>
      <c r="B9" s="2" t="s">
        <v>132</v>
      </c>
      <c r="C9" s="4">
        <v>106.93</v>
      </c>
      <c r="D9" s="4">
        <v>106.48</v>
      </c>
      <c r="E9" s="4">
        <v>107.72</v>
      </c>
      <c r="F9" s="5">
        <v>106.72</v>
      </c>
      <c r="G9" s="6">
        <v>1.9677661169416037E-3</v>
      </c>
      <c r="H9" s="4" t="s">
        <v>684</v>
      </c>
      <c r="I9" s="5">
        <v>2.4700000000000002</v>
      </c>
      <c r="J9" s="4">
        <v>12.61</v>
      </c>
      <c r="K9" s="4">
        <v>101.95</v>
      </c>
      <c r="L9" s="5">
        <f t="shared" si="0"/>
        <v>91.75500000000001</v>
      </c>
      <c r="M9" s="5" t="b">
        <f t="shared" si="1"/>
        <v>0</v>
      </c>
    </row>
    <row r="10" spans="1:13" ht="20.100000000000001" customHeight="1" x14ac:dyDescent="0.25">
      <c r="A10" s="1" t="s">
        <v>124</v>
      </c>
      <c r="B10" s="2" t="s">
        <v>134</v>
      </c>
      <c r="C10" s="11">
        <v>63.77</v>
      </c>
      <c r="D10" s="4">
        <v>63.03</v>
      </c>
      <c r="E10" s="4">
        <v>63.78</v>
      </c>
      <c r="F10" s="5">
        <v>62.99</v>
      </c>
      <c r="G10" s="26">
        <v>1.2382917923479935E-2</v>
      </c>
      <c r="H10" s="6" t="s">
        <v>557</v>
      </c>
      <c r="I10" s="5">
        <v>0.7</v>
      </c>
      <c r="J10" s="4">
        <v>24.3</v>
      </c>
      <c r="K10" s="4">
        <v>55.37</v>
      </c>
      <c r="L10" s="5">
        <f t="shared" si="0"/>
        <v>49.832999999999998</v>
      </c>
      <c r="M10" s="5" t="b">
        <f t="shared" si="1"/>
        <v>0</v>
      </c>
    </row>
    <row r="11" spans="1:13" ht="20.100000000000001" customHeight="1" x14ac:dyDescent="0.25">
      <c r="A11" s="2" t="s">
        <v>275</v>
      </c>
      <c r="B11" s="2" t="s">
        <v>276</v>
      </c>
      <c r="C11" s="20">
        <v>116.39</v>
      </c>
      <c r="D11" s="20">
        <v>115.81</v>
      </c>
      <c r="E11" s="20">
        <v>116.94</v>
      </c>
      <c r="F11" s="5">
        <v>116.13</v>
      </c>
      <c r="G11" s="26">
        <v>2.2388702316370026E-3</v>
      </c>
      <c r="H11" s="6" t="s">
        <v>685</v>
      </c>
      <c r="I11" s="5">
        <v>2.0499999999999998</v>
      </c>
      <c r="J11" s="4">
        <v>18.41</v>
      </c>
      <c r="K11" s="4">
        <v>113.76</v>
      </c>
      <c r="L11" s="5">
        <f t="shared" si="0"/>
        <v>102.384</v>
      </c>
      <c r="M11" s="5" t="b">
        <f t="shared" si="1"/>
        <v>0</v>
      </c>
    </row>
    <row r="12" spans="1:13" ht="20.100000000000001" customHeight="1" x14ac:dyDescent="0.25">
      <c r="A12" s="2" t="s">
        <v>277</v>
      </c>
      <c r="B12" s="2" t="s">
        <v>278</v>
      </c>
      <c r="C12" s="20">
        <v>81.69</v>
      </c>
      <c r="D12" s="20">
        <v>81.47</v>
      </c>
      <c r="E12" s="20">
        <v>82.36</v>
      </c>
      <c r="F12" s="5">
        <v>81.45</v>
      </c>
      <c r="G12" s="26">
        <v>2.9465930018415577E-3</v>
      </c>
      <c r="H12" s="6" t="s">
        <v>686</v>
      </c>
      <c r="I12" s="5">
        <v>3.73</v>
      </c>
      <c r="J12" s="4">
        <v>54.46</v>
      </c>
      <c r="K12" s="4">
        <v>76.16</v>
      </c>
      <c r="L12" s="5">
        <f t="shared" si="0"/>
        <v>68.543999999999997</v>
      </c>
      <c r="M12" s="5" t="b">
        <f t="shared" si="1"/>
        <v>0</v>
      </c>
    </row>
    <row r="13" spans="1:13" ht="20.100000000000001" customHeight="1" x14ac:dyDescent="0.25">
      <c r="A13" s="81" t="s">
        <v>458</v>
      </c>
      <c r="B13" s="2" t="s">
        <v>460</v>
      </c>
      <c r="C13" s="20">
        <v>12.5</v>
      </c>
      <c r="D13" s="20">
        <v>12.46</v>
      </c>
      <c r="E13" s="20">
        <v>12.57</v>
      </c>
      <c r="F13" s="5">
        <v>12.44</v>
      </c>
      <c r="G13" s="26">
        <v>4.8231511254019695E-3</v>
      </c>
      <c r="H13" s="6" t="s">
        <v>678</v>
      </c>
      <c r="I13" s="5">
        <v>4.82</v>
      </c>
      <c r="J13" s="4">
        <v>5.9</v>
      </c>
      <c r="K13" s="4">
        <v>13.02</v>
      </c>
      <c r="L13" s="5">
        <f t="shared" si="0"/>
        <v>11.718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530</v>
      </c>
      <c r="B2" s="2" t="s">
        <v>697</v>
      </c>
      <c r="C2" s="4">
        <v>68.53</v>
      </c>
      <c r="D2" s="4">
        <v>68.14</v>
      </c>
      <c r="E2" s="4">
        <v>68.97</v>
      </c>
      <c r="F2" s="5">
        <v>68.16</v>
      </c>
      <c r="G2" s="6">
        <v>5.4284037558686117E-3</v>
      </c>
      <c r="H2" s="4" t="s">
        <v>698</v>
      </c>
      <c r="I2" s="5">
        <v>1.88</v>
      </c>
      <c r="J2" s="4">
        <v>12.62</v>
      </c>
      <c r="K2" s="4">
        <v>63.77</v>
      </c>
      <c r="L2" s="5">
        <f t="shared" ref="L2:L18" si="0">K2*0.9</f>
        <v>57.393000000000001</v>
      </c>
      <c r="M2" s="5" t="b">
        <f t="shared" ref="M2:M13" si="1">L2&gt;C2</f>
        <v>0</v>
      </c>
    </row>
    <row r="3" spans="1:13" ht="20.100000000000001" customHeight="1" x14ac:dyDescent="0.25">
      <c r="A3" s="2" t="s">
        <v>687</v>
      </c>
      <c r="B3" s="2" t="s">
        <v>699</v>
      </c>
      <c r="C3" s="4">
        <v>64.02</v>
      </c>
      <c r="D3" s="4">
        <v>63.49</v>
      </c>
      <c r="E3" s="4">
        <v>64.17</v>
      </c>
      <c r="F3" s="5">
        <v>63.21</v>
      </c>
      <c r="G3" s="6">
        <v>1.2814428096820046E-2</v>
      </c>
      <c r="H3" s="4" t="s">
        <v>700</v>
      </c>
      <c r="I3" s="5">
        <v>2.15</v>
      </c>
      <c r="J3" s="4" t="s">
        <v>39</v>
      </c>
      <c r="K3" s="4">
        <v>58</v>
      </c>
      <c r="L3" s="5">
        <f t="shared" si="0"/>
        <v>52.2</v>
      </c>
      <c r="M3" s="5" t="b">
        <f t="shared" si="1"/>
        <v>0</v>
      </c>
    </row>
    <row r="4" spans="1:13" ht="20.100000000000001" customHeight="1" x14ac:dyDescent="0.25">
      <c r="A4" s="2" t="s">
        <v>688</v>
      </c>
      <c r="B4" s="2" t="s">
        <v>701</v>
      </c>
      <c r="C4" s="11">
        <v>50.92</v>
      </c>
      <c r="D4" s="4">
        <v>50.53</v>
      </c>
      <c r="E4" s="4">
        <v>51.22</v>
      </c>
      <c r="F4" s="5">
        <v>50.41</v>
      </c>
      <c r="G4" s="26">
        <v>1.0117040269787842E-2</v>
      </c>
      <c r="H4" s="6" t="s">
        <v>702</v>
      </c>
      <c r="I4" s="5">
        <v>1.22</v>
      </c>
      <c r="J4" s="4">
        <v>27.19</v>
      </c>
      <c r="K4" s="4">
        <v>43.85</v>
      </c>
      <c r="L4" s="5">
        <f t="shared" si="0"/>
        <v>39.465000000000003</v>
      </c>
      <c r="M4" s="5" t="b">
        <f t="shared" si="1"/>
        <v>0</v>
      </c>
    </row>
    <row r="5" spans="1:13" ht="20.100000000000001" customHeight="1" x14ac:dyDescent="0.25">
      <c r="A5" s="2" t="s">
        <v>689</v>
      </c>
      <c r="B5" s="2" t="s">
        <v>703</v>
      </c>
      <c r="C5" s="20">
        <v>45.59</v>
      </c>
      <c r="D5" s="20">
        <v>45.32</v>
      </c>
      <c r="E5" s="20">
        <v>46.06</v>
      </c>
      <c r="F5" s="5">
        <v>45.01</v>
      </c>
      <c r="G5" s="26">
        <v>1.2886025327705075E-2</v>
      </c>
      <c r="H5" s="6" t="s">
        <v>704</v>
      </c>
      <c r="I5" s="5">
        <v>1.92</v>
      </c>
      <c r="J5" s="4">
        <v>37.07</v>
      </c>
      <c r="K5" s="4">
        <v>42.25</v>
      </c>
      <c r="L5" s="5">
        <f t="shared" si="0"/>
        <v>38.024999999999999</v>
      </c>
      <c r="M5" s="5" t="b">
        <f t="shared" si="1"/>
        <v>0</v>
      </c>
    </row>
    <row r="6" spans="1:13" ht="20.100000000000001" customHeight="1" x14ac:dyDescent="0.25">
      <c r="A6" s="2" t="s">
        <v>690</v>
      </c>
      <c r="B6" s="2" t="s">
        <v>705</v>
      </c>
      <c r="C6" s="4">
        <v>182.15</v>
      </c>
      <c r="D6" s="4">
        <v>180.71</v>
      </c>
      <c r="E6" s="4">
        <v>182.24</v>
      </c>
      <c r="F6" s="5">
        <v>180.71</v>
      </c>
      <c r="G6" s="6">
        <v>7.9685684245476042E-3</v>
      </c>
      <c r="H6" s="4" t="s">
        <v>706</v>
      </c>
      <c r="I6" s="5">
        <v>0.66</v>
      </c>
      <c r="J6" s="4">
        <v>27.4</v>
      </c>
      <c r="K6" s="4">
        <v>174.05</v>
      </c>
      <c r="L6" s="5">
        <f t="shared" si="0"/>
        <v>156.64500000000001</v>
      </c>
      <c r="M6" s="5" t="b">
        <f t="shared" si="1"/>
        <v>0</v>
      </c>
    </row>
    <row r="7" spans="1:13" ht="20.100000000000001" customHeight="1" x14ac:dyDescent="0.25">
      <c r="A7" s="2" t="s">
        <v>691</v>
      </c>
      <c r="B7" s="2" t="s">
        <v>707</v>
      </c>
      <c r="C7" s="11">
        <v>26.16</v>
      </c>
      <c r="D7" s="4">
        <v>25.8</v>
      </c>
      <c r="E7" s="4">
        <v>26.18</v>
      </c>
      <c r="F7" s="5">
        <v>25.74</v>
      </c>
      <c r="G7" s="26">
        <v>1.6317016317016386E-2</v>
      </c>
      <c r="H7" s="6" t="s">
        <v>708</v>
      </c>
      <c r="I7" s="5" t="s">
        <v>39</v>
      </c>
      <c r="J7" s="4">
        <v>17.68</v>
      </c>
      <c r="K7" s="4">
        <v>23.35</v>
      </c>
      <c r="L7" s="5">
        <f t="shared" si="0"/>
        <v>21.015000000000001</v>
      </c>
      <c r="M7" s="5" t="b">
        <f t="shared" si="1"/>
        <v>0</v>
      </c>
    </row>
    <row r="8" spans="1:13" ht="20.100000000000001" customHeight="1" x14ac:dyDescent="0.25">
      <c r="A8" s="2" t="s">
        <v>532</v>
      </c>
      <c r="B8" s="2" t="s">
        <v>536</v>
      </c>
      <c r="C8" s="4">
        <v>51.08</v>
      </c>
      <c r="D8" s="4">
        <v>50.9</v>
      </c>
      <c r="E8" s="4">
        <v>51.28</v>
      </c>
      <c r="F8" s="5">
        <v>50.72</v>
      </c>
      <c r="G8" s="6">
        <v>7.0977917981072444E-3</v>
      </c>
      <c r="H8" s="4" t="s">
        <v>709</v>
      </c>
      <c r="I8" s="5">
        <v>2.52</v>
      </c>
      <c r="J8" s="4">
        <v>24.55</v>
      </c>
      <c r="K8" s="4">
        <v>48.9</v>
      </c>
      <c r="L8" s="5">
        <f t="shared" si="0"/>
        <v>44.01</v>
      </c>
      <c r="M8" s="5" t="b">
        <f t="shared" si="1"/>
        <v>0</v>
      </c>
    </row>
    <row r="9" spans="1:13" ht="20.100000000000001" customHeight="1" x14ac:dyDescent="0.25">
      <c r="A9" s="2" t="s">
        <v>692</v>
      </c>
      <c r="B9" s="2" t="s">
        <v>710</v>
      </c>
      <c r="C9" s="4">
        <v>52.25</v>
      </c>
      <c r="D9" s="4">
        <v>51.91</v>
      </c>
      <c r="E9" s="4">
        <v>52.46</v>
      </c>
      <c r="F9" s="5">
        <v>52.03</v>
      </c>
      <c r="G9" s="6">
        <v>4.2283298097251362E-3</v>
      </c>
      <c r="H9" s="4" t="s">
        <v>711</v>
      </c>
      <c r="I9" s="5" t="s">
        <v>39</v>
      </c>
      <c r="J9" s="4">
        <v>30.29</v>
      </c>
      <c r="K9" s="4">
        <v>47.88</v>
      </c>
      <c r="L9" s="5">
        <f t="shared" si="0"/>
        <v>43.092000000000006</v>
      </c>
      <c r="M9" s="5" t="b">
        <f t="shared" si="1"/>
        <v>0</v>
      </c>
    </row>
    <row r="10" spans="1:13" ht="20.100000000000001" customHeight="1" x14ac:dyDescent="0.25">
      <c r="A10" s="2" t="s">
        <v>693</v>
      </c>
      <c r="B10" s="2" t="s">
        <v>712</v>
      </c>
      <c r="C10" s="11">
        <v>123.51</v>
      </c>
      <c r="D10" s="4">
        <v>123.08</v>
      </c>
      <c r="E10" s="4">
        <v>124.33</v>
      </c>
      <c r="F10" s="5">
        <v>122.86</v>
      </c>
      <c r="G10" s="26">
        <v>5.2905746377991669E-3</v>
      </c>
      <c r="H10" s="6" t="s">
        <v>713</v>
      </c>
      <c r="I10" s="5">
        <v>2.0499999999999998</v>
      </c>
      <c r="J10" s="4">
        <v>20.97</v>
      </c>
      <c r="K10" s="4">
        <v>112.63</v>
      </c>
      <c r="L10" s="5">
        <f t="shared" si="0"/>
        <v>101.367</v>
      </c>
      <c r="M10" s="5" t="b">
        <f t="shared" si="1"/>
        <v>0</v>
      </c>
    </row>
    <row r="11" spans="1:13" ht="20.100000000000001" customHeight="1" x14ac:dyDescent="0.25">
      <c r="A11" s="2" t="s">
        <v>694</v>
      </c>
      <c r="B11" s="2" t="s">
        <v>714</v>
      </c>
      <c r="C11" s="20">
        <v>66.540000000000006</v>
      </c>
      <c r="D11" s="20">
        <v>66.09</v>
      </c>
      <c r="E11" s="20">
        <v>66.89</v>
      </c>
      <c r="F11" s="5">
        <v>65.94</v>
      </c>
      <c r="G11" s="26">
        <v>9.099181073703496E-3</v>
      </c>
      <c r="H11" s="6" t="s">
        <v>545</v>
      </c>
      <c r="I11" s="5">
        <v>2.68</v>
      </c>
      <c r="J11" s="4">
        <v>12.01</v>
      </c>
      <c r="K11" s="4">
        <v>64.790000000000006</v>
      </c>
      <c r="L11" s="5">
        <f t="shared" si="0"/>
        <v>58.311000000000007</v>
      </c>
      <c r="M11" s="5" t="b">
        <f t="shared" si="1"/>
        <v>0</v>
      </c>
    </row>
    <row r="12" spans="1:13" ht="20.100000000000001" customHeight="1" x14ac:dyDescent="0.25">
      <c r="A12" s="2" t="s">
        <v>126</v>
      </c>
      <c r="B12" s="2" t="s">
        <v>136</v>
      </c>
      <c r="C12" s="20">
        <v>180.81</v>
      </c>
      <c r="D12" s="20">
        <v>180.09</v>
      </c>
      <c r="E12" s="20">
        <v>181.49</v>
      </c>
      <c r="F12" s="5">
        <v>179.98</v>
      </c>
      <c r="G12" s="26">
        <v>4.6116235137238165E-3</v>
      </c>
      <c r="H12" s="6" t="s">
        <v>682</v>
      </c>
      <c r="I12" s="5">
        <v>2.4700000000000002</v>
      </c>
      <c r="J12" s="4">
        <v>23.08</v>
      </c>
      <c r="K12" s="4">
        <v>170.23</v>
      </c>
      <c r="L12" s="5">
        <f t="shared" si="0"/>
        <v>153.20699999999999</v>
      </c>
      <c r="M12" s="5" t="b">
        <f t="shared" si="1"/>
        <v>0</v>
      </c>
    </row>
    <row r="13" spans="1:13" ht="20.100000000000001" customHeight="1" x14ac:dyDescent="0.25">
      <c r="A13" s="2" t="s">
        <v>695</v>
      </c>
      <c r="B13" s="2" t="s">
        <v>715</v>
      </c>
      <c r="C13" s="20">
        <v>51.84</v>
      </c>
      <c r="D13" s="20">
        <v>51.62</v>
      </c>
      <c r="E13" s="20">
        <v>52.17</v>
      </c>
      <c r="F13" s="5">
        <v>51.79</v>
      </c>
      <c r="G13" s="26">
        <v>9.6543734311651413E-4</v>
      </c>
      <c r="H13" s="6" t="s">
        <v>542</v>
      </c>
      <c r="I13" s="5">
        <v>2.6</v>
      </c>
      <c r="J13" s="4">
        <v>18.96</v>
      </c>
      <c r="K13" s="4">
        <v>49.56</v>
      </c>
      <c r="L13" s="5">
        <f t="shared" si="0"/>
        <v>44.604000000000006</v>
      </c>
      <c r="M13" s="5" t="b">
        <f t="shared" si="1"/>
        <v>0</v>
      </c>
    </row>
    <row r="14" spans="1:13" ht="20.100000000000001" customHeight="1" x14ac:dyDescent="0.25">
      <c r="A14" s="2" t="s">
        <v>696</v>
      </c>
      <c r="B14" s="2" t="s">
        <v>716</v>
      </c>
      <c r="C14" s="20">
        <v>117.08</v>
      </c>
      <c r="D14" s="20">
        <v>116.62</v>
      </c>
      <c r="E14" s="20">
        <v>117.76</v>
      </c>
      <c r="F14" s="5">
        <v>116.43</v>
      </c>
      <c r="G14" s="26">
        <v>5.582753585845499E-3</v>
      </c>
      <c r="H14" s="6" t="s">
        <v>717</v>
      </c>
      <c r="I14" s="5">
        <v>2.4900000000000002</v>
      </c>
      <c r="J14" s="4">
        <v>20.83</v>
      </c>
      <c r="K14" s="4">
        <v>113.89</v>
      </c>
      <c r="L14" s="5">
        <f t="shared" si="0"/>
        <v>102.501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128</v>
      </c>
      <c r="B15" s="2" t="s">
        <v>138</v>
      </c>
      <c r="C15" s="20">
        <v>52.91</v>
      </c>
      <c r="D15" s="20">
        <v>52.75</v>
      </c>
      <c r="E15" s="20">
        <v>53.16</v>
      </c>
      <c r="F15" s="5">
        <v>52.66</v>
      </c>
      <c r="G15" s="26">
        <v>4.7474363843524499E-3</v>
      </c>
      <c r="H15" s="6" t="s">
        <v>680</v>
      </c>
      <c r="I15" s="5">
        <v>3.55</v>
      </c>
      <c r="J15" s="4">
        <v>18.739999999999998</v>
      </c>
      <c r="K15" s="4">
        <v>53.06</v>
      </c>
      <c r="L15" s="5">
        <f t="shared" si="0"/>
        <v>47.754000000000005</v>
      </c>
      <c r="M15" s="5" t="b">
        <f t="shared" si="2"/>
        <v>0</v>
      </c>
    </row>
    <row r="16" spans="1:13" ht="20.100000000000001" customHeight="1" x14ac:dyDescent="0.25">
      <c r="A16" s="2" t="s">
        <v>275</v>
      </c>
      <c r="B16" s="2" t="s">
        <v>276</v>
      </c>
      <c r="C16" s="20">
        <v>116.39</v>
      </c>
      <c r="D16" s="20">
        <v>115.81</v>
      </c>
      <c r="E16" s="20">
        <v>116.94</v>
      </c>
      <c r="F16" s="5">
        <v>116.13</v>
      </c>
      <c r="G16" s="26">
        <v>2.2388702316370026E-3</v>
      </c>
      <c r="H16" s="6" t="s">
        <v>685</v>
      </c>
      <c r="I16" s="5">
        <v>2.0499999999999998</v>
      </c>
      <c r="J16" s="4">
        <v>18.41</v>
      </c>
      <c r="K16" s="4">
        <v>113.76</v>
      </c>
      <c r="L16" s="5">
        <f t="shared" si="0"/>
        <v>102.384</v>
      </c>
      <c r="M16" s="5" t="b">
        <f t="shared" si="2"/>
        <v>0</v>
      </c>
    </row>
    <row r="17" spans="1:13" ht="20.100000000000001" customHeight="1" x14ac:dyDescent="0.25">
      <c r="A17" s="1" t="s">
        <v>122</v>
      </c>
      <c r="B17" s="2" t="s">
        <v>132</v>
      </c>
      <c r="C17" s="20">
        <v>106.93</v>
      </c>
      <c r="D17" s="20">
        <v>106.48</v>
      </c>
      <c r="E17" s="20">
        <v>107.72</v>
      </c>
      <c r="F17" s="5">
        <v>106.72</v>
      </c>
      <c r="G17" s="26">
        <v>1.9677661169416037E-3</v>
      </c>
      <c r="H17" s="6" t="s">
        <v>684</v>
      </c>
      <c r="I17" s="5">
        <v>2.4700000000000002</v>
      </c>
      <c r="J17" s="4">
        <v>12.61</v>
      </c>
      <c r="K17" s="4">
        <v>101.95</v>
      </c>
      <c r="L17" s="5">
        <f t="shared" si="0"/>
        <v>91.75500000000001</v>
      </c>
      <c r="M17" s="5" t="b">
        <f t="shared" si="2"/>
        <v>0</v>
      </c>
    </row>
    <row r="18" spans="1:13" ht="20.100000000000001" customHeight="1" x14ac:dyDescent="0.25">
      <c r="A18" s="2" t="s">
        <v>308</v>
      </c>
      <c r="B18" s="2" t="s">
        <v>309</v>
      </c>
      <c r="C18" s="20">
        <v>85.07</v>
      </c>
      <c r="D18" s="20">
        <v>84.53</v>
      </c>
      <c r="E18" s="20">
        <v>85.6</v>
      </c>
      <c r="F18" s="5">
        <v>84.13</v>
      </c>
      <c r="G18" s="26">
        <v>1.1173184357541874E-2</v>
      </c>
      <c r="H18" s="6" t="s">
        <v>556</v>
      </c>
      <c r="I18" s="5">
        <v>1.57</v>
      </c>
      <c r="J18" s="4">
        <v>16.03</v>
      </c>
      <c r="K18" s="4">
        <v>87.78</v>
      </c>
      <c r="L18" s="5">
        <f t="shared" si="0"/>
        <v>79.00200000000001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>
      <selection activeCell="E18" sqref="E18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33" t="s">
        <v>295</v>
      </c>
      <c r="B2" s="33" t="s">
        <v>298</v>
      </c>
      <c r="C2" s="34">
        <v>90.24</v>
      </c>
      <c r="D2" s="34">
        <v>89.52</v>
      </c>
      <c r="E2" s="34">
        <v>90.29</v>
      </c>
      <c r="F2" s="35">
        <v>89.26</v>
      </c>
      <c r="G2" s="36">
        <v>1.0979161998655498E-2</v>
      </c>
      <c r="H2" s="34" t="s">
        <v>718</v>
      </c>
      <c r="I2" s="35">
        <v>2.2400000000000002</v>
      </c>
      <c r="J2" s="34">
        <v>13.32</v>
      </c>
      <c r="K2" s="34">
        <v>82.59</v>
      </c>
      <c r="L2" s="5">
        <f t="shared" ref="L2:L12" si="0">K2*0.9</f>
        <v>74.331000000000003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68.95</v>
      </c>
      <c r="D3" s="4">
        <v>68.52</v>
      </c>
      <c r="E3" s="4">
        <v>69.25</v>
      </c>
      <c r="F3" s="5">
        <v>68.66</v>
      </c>
      <c r="G3" s="6">
        <v>4.2237110399068779E-3</v>
      </c>
      <c r="H3" s="4" t="s">
        <v>719</v>
      </c>
      <c r="I3" s="5">
        <v>1.92</v>
      </c>
      <c r="J3" s="4">
        <v>17.36</v>
      </c>
      <c r="K3" s="4">
        <v>67.28</v>
      </c>
      <c r="L3" s="5">
        <f t="shared" si="0"/>
        <v>60.552</v>
      </c>
      <c r="M3" s="5" t="b">
        <f t="shared" si="1"/>
        <v>0</v>
      </c>
    </row>
    <row r="4" spans="1:13" ht="20.100000000000001" customHeight="1" x14ac:dyDescent="0.25">
      <c r="A4" s="33" t="s">
        <v>291</v>
      </c>
      <c r="B4" s="33" t="s">
        <v>720</v>
      </c>
      <c r="C4" s="34">
        <v>127.81</v>
      </c>
      <c r="D4" s="34">
        <v>127.17</v>
      </c>
      <c r="E4" s="34">
        <v>128.34</v>
      </c>
      <c r="F4" s="35">
        <v>127.1</v>
      </c>
      <c r="G4" s="36">
        <v>5.5861526357199685E-3</v>
      </c>
      <c r="H4" s="34" t="s">
        <v>721</v>
      </c>
      <c r="I4" s="35">
        <v>0</v>
      </c>
      <c r="J4" s="34">
        <v>21.17</v>
      </c>
      <c r="K4" s="34">
        <v>123.45</v>
      </c>
      <c r="L4" s="5">
        <f t="shared" si="0"/>
        <v>111.105</v>
      </c>
      <c r="M4" s="5" t="b">
        <f t="shared" si="1"/>
        <v>0</v>
      </c>
    </row>
    <row r="5" spans="1:13" ht="20.100000000000001" customHeight="1" x14ac:dyDescent="0.25">
      <c r="A5" s="33" t="s">
        <v>293</v>
      </c>
      <c r="B5" s="33" t="s">
        <v>297</v>
      </c>
      <c r="C5" s="34">
        <v>77.849999999999994</v>
      </c>
      <c r="D5" s="34">
        <v>77.08</v>
      </c>
      <c r="E5" s="34">
        <v>77.89</v>
      </c>
      <c r="F5" s="35">
        <v>77.260000000000005</v>
      </c>
      <c r="G5" s="36">
        <v>7.6365519026661815E-3</v>
      </c>
      <c r="H5" s="34" t="s">
        <v>722</v>
      </c>
      <c r="I5" s="35">
        <v>2.4900000000000002</v>
      </c>
      <c r="J5" s="34">
        <v>20.170000000000002</v>
      </c>
      <c r="K5" s="34">
        <v>69.5</v>
      </c>
      <c r="L5" s="5">
        <f t="shared" si="0"/>
        <v>62.550000000000004</v>
      </c>
      <c r="M5" s="5" t="b">
        <f t="shared" si="1"/>
        <v>0</v>
      </c>
    </row>
    <row r="6" spans="1:13" ht="20.100000000000001" customHeight="1" x14ac:dyDescent="0.25">
      <c r="A6" s="2" t="s">
        <v>292</v>
      </c>
      <c r="B6" s="2" t="s">
        <v>299</v>
      </c>
      <c r="C6" s="4">
        <v>40.99</v>
      </c>
      <c r="D6" s="4">
        <v>40.69</v>
      </c>
      <c r="E6" s="4">
        <v>41.03</v>
      </c>
      <c r="F6" s="5">
        <v>40.69</v>
      </c>
      <c r="G6" s="6">
        <v>7.3728188744164235E-3</v>
      </c>
      <c r="H6" s="4" t="s">
        <v>723</v>
      </c>
      <c r="I6" s="5">
        <v>2.06</v>
      </c>
      <c r="J6" s="4">
        <v>12.57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32.47</v>
      </c>
      <c r="D7" s="4">
        <v>32.31</v>
      </c>
      <c r="E7" s="4">
        <v>32.74</v>
      </c>
      <c r="F7" s="5">
        <v>32.520000000000003</v>
      </c>
      <c r="G7" s="6">
        <v>-1.5375153751538825E-3</v>
      </c>
      <c r="H7" s="4" t="s">
        <v>724</v>
      </c>
      <c r="I7" s="5">
        <v>2.73</v>
      </c>
      <c r="J7" s="4">
        <v>18.04</v>
      </c>
      <c r="K7" s="4">
        <v>33.130000000000003</v>
      </c>
      <c r="L7" s="5">
        <f t="shared" si="0"/>
        <v>29.817000000000004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79.489999999999995</v>
      </c>
      <c r="D8" s="4">
        <v>78.760000000000005</v>
      </c>
      <c r="E8" s="4">
        <v>79.94</v>
      </c>
      <c r="F8" s="5">
        <v>78.84</v>
      </c>
      <c r="G8" s="6">
        <v>8.2445459157786845E-3</v>
      </c>
      <c r="H8" s="4" t="s">
        <v>725</v>
      </c>
      <c r="I8" s="5">
        <v>3.55</v>
      </c>
      <c r="J8" s="4">
        <v>8.17</v>
      </c>
      <c r="K8" s="4">
        <v>74.239999999999995</v>
      </c>
      <c r="L8" s="5">
        <f t="shared" si="0"/>
        <v>66.816000000000003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118.84</v>
      </c>
      <c r="D9" s="4">
        <v>118.06</v>
      </c>
      <c r="E9" s="4">
        <v>119.32</v>
      </c>
      <c r="F9" s="5">
        <v>118.35</v>
      </c>
      <c r="G9" s="6">
        <v>4.1402619349388183E-3</v>
      </c>
      <c r="H9" s="4" t="s">
        <v>726</v>
      </c>
      <c r="I9" s="5">
        <v>2.2599999999999998</v>
      </c>
      <c r="J9" s="4">
        <v>11.44</v>
      </c>
      <c r="K9" s="4">
        <v>114.37</v>
      </c>
      <c r="L9" s="5">
        <f t="shared" si="0"/>
        <v>102.93300000000001</v>
      </c>
      <c r="M9" s="5" t="b">
        <f t="shared" si="1"/>
        <v>0</v>
      </c>
    </row>
    <row r="10" spans="1:13" ht="20.100000000000001" customHeight="1" x14ac:dyDescent="0.25">
      <c r="A10" s="2" t="s">
        <v>300</v>
      </c>
      <c r="B10" s="2" t="s">
        <v>727</v>
      </c>
      <c r="C10" s="4">
        <v>34.75</v>
      </c>
      <c r="D10" s="4">
        <v>34.33</v>
      </c>
      <c r="E10" s="4">
        <v>34.86</v>
      </c>
      <c r="F10" s="5">
        <v>34.33</v>
      </c>
      <c r="G10" s="6">
        <v>1.2234197494902468E-2</v>
      </c>
      <c r="H10" s="4" t="s">
        <v>728</v>
      </c>
      <c r="I10" s="5">
        <v>2.33</v>
      </c>
      <c r="J10" s="4">
        <v>32.06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301</v>
      </c>
      <c r="B11" s="2" t="s">
        <v>302</v>
      </c>
      <c r="C11" s="4">
        <v>59.86</v>
      </c>
      <c r="D11" s="4">
        <v>59.55</v>
      </c>
      <c r="E11" s="4">
        <v>59.97</v>
      </c>
      <c r="F11" s="5">
        <v>59.41</v>
      </c>
      <c r="G11" s="6">
        <v>7.5744824103686735E-3</v>
      </c>
      <c r="H11" s="4" t="s">
        <v>729</v>
      </c>
      <c r="I11" s="5">
        <v>2.15</v>
      </c>
      <c r="J11" s="4" t="s">
        <v>39</v>
      </c>
      <c r="K11" s="4">
        <v>55</v>
      </c>
      <c r="L11" s="5">
        <f t="shared" si="0"/>
        <v>49.5</v>
      </c>
      <c r="M11" s="5" t="b">
        <f t="shared" si="1"/>
        <v>0</v>
      </c>
    </row>
    <row r="12" spans="1:13" ht="20.100000000000001" customHeight="1" x14ac:dyDescent="0.25">
      <c r="A12" s="33" t="s">
        <v>294</v>
      </c>
      <c r="B12" s="33" t="s">
        <v>296</v>
      </c>
      <c r="C12" s="34">
        <v>827.76</v>
      </c>
      <c r="D12" s="34">
        <v>820.97</v>
      </c>
      <c r="E12" s="34">
        <v>828.47</v>
      </c>
      <c r="F12" s="35">
        <v>824.11</v>
      </c>
      <c r="G12" s="36">
        <v>4.4290203977624069E-3</v>
      </c>
      <c r="H12" s="34" t="s">
        <v>730</v>
      </c>
      <c r="I12" s="35">
        <v>0.12</v>
      </c>
      <c r="J12" s="34">
        <v>8.16</v>
      </c>
      <c r="K12" s="34">
        <v>808.24</v>
      </c>
      <c r="L12" s="5">
        <f t="shared" si="0"/>
        <v>727.41600000000005</v>
      </c>
      <c r="M12" s="5" t="b">
        <f t="shared" si="1"/>
        <v>0</v>
      </c>
    </row>
    <row r="13" spans="1:13" ht="20.100000000000001" customHeight="1" x14ac:dyDescent="0.25">
      <c r="A13" s="2" t="s">
        <v>854</v>
      </c>
      <c r="B13" s="33" t="s">
        <v>855</v>
      </c>
      <c r="C13" s="34">
        <v>49.99</v>
      </c>
      <c r="D13" s="34">
        <v>49.5</v>
      </c>
      <c r="E13" s="34">
        <v>49.99</v>
      </c>
      <c r="F13" s="35">
        <v>49.42</v>
      </c>
      <c r="G13" s="36">
        <v>1.1533791987049782E-2</v>
      </c>
      <c r="H13" s="34" t="s">
        <v>856</v>
      </c>
      <c r="I13" s="35">
        <v>3.08</v>
      </c>
      <c r="J13" s="34">
        <v>22.66</v>
      </c>
      <c r="K13" s="34">
        <v>46.16</v>
      </c>
      <c r="L13" s="5">
        <f t="shared" ref="L13" si="2">K13*0.9</f>
        <v>41.543999999999997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>
      <selection activeCell="M12" sqref="M12"/>
    </sheetView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165</v>
      </c>
      <c r="B2" s="2" t="s">
        <v>169</v>
      </c>
      <c r="C2" s="4">
        <v>52.22</v>
      </c>
      <c r="D2" s="4">
        <v>52.12</v>
      </c>
      <c r="E2" s="4">
        <v>52.78</v>
      </c>
      <c r="F2" s="5">
        <v>52.04</v>
      </c>
      <c r="G2" s="6">
        <v>3.4588777863182115E-3</v>
      </c>
      <c r="H2" s="4" t="s">
        <v>731</v>
      </c>
      <c r="I2" s="5">
        <v>1.38</v>
      </c>
      <c r="J2" s="4">
        <v>15.45</v>
      </c>
      <c r="K2" s="4">
        <v>53.32</v>
      </c>
      <c r="L2" s="5">
        <f t="shared" ref="L2:L8" si="0">K2*0.9</f>
        <v>47.988</v>
      </c>
      <c r="M2" s="5" t="b">
        <f t="shared" ref="M2:M8" si="1">L2&gt;C2</f>
        <v>0</v>
      </c>
    </row>
    <row r="3" spans="1:13" ht="20.100000000000001" customHeight="1" x14ac:dyDescent="0.25">
      <c r="A3" s="2" t="s">
        <v>163</v>
      </c>
      <c r="B3" s="2" t="s">
        <v>170</v>
      </c>
      <c r="C3" s="4">
        <v>66.16</v>
      </c>
      <c r="D3" s="4">
        <v>65.95</v>
      </c>
      <c r="E3" s="4">
        <v>66.56</v>
      </c>
      <c r="F3" s="5">
        <v>65.89</v>
      </c>
      <c r="G3" s="6">
        <v>4.0977386553345879E-3</v>
      </c>
      <c r="H3" s="4" t="s">
        <v>732</v>
      </c>
      <c r="I3" s="5">
        <v>1.68</v>
      </c>
      <c r="J3" s="4">
        <v>20.12</v>
      </c>
      <c r="K3" s="4">
        <v>62.9</v>
      </c>
      <c r="L3" s="5">
        <f t="shared" si="0"/>
        <v>56.61</v>
      </c>
      <c r="M3" s="5" t="b">
        <f t="shared" si="1"/>
        <v>0</v>
      </c>
    </row>
    <row r="4" spans="1:13" ht="20.100000000000001" customHeight="1" x14ac:dyDescent="0.25">
      <c r="A4" s="81" t="s">
        <v>162</v>
      </c>
      <c r="B4" s="2" t="s">
        <v>171</v>
      </c>
      <c r="C4" s="4">
        <v>94.42</v>
      </c>
      <c r="D4" s="4">
        <v>94.13</v>
      </c>
      <c r="E4" s="4">
        <v>94.96</v>
      </c>
      <c r="F4" s="5">
        <v>94.26</v>
      </c>
      <c r="G4" s="6">
        <v>1.6974326331423359E-3</v>
      </c>
      <c r="H4" s="4" t="s">
        <v>733</v>
      </c>
      <c r="I4" s="5">
        <v>1.5</v>
      </c>
      <c r="J4" s="4">
        <v>16.97</v>
      </c>
      <c r="K4" s="4">
        <v>98.43</v>
      </c>
      <c r="L4" s="5">
        <f t="shared" si="0"/>
        <v>88.587000000000003</v>
      </c>
      <c r="M4" s="5" t="b">
        <f t="shared" si="1"/>
        <v>0</v>
      </c>
    </row>
    <row r="5" spans="1:13" ht="20.100000000000001" customHeight="1" x14ac:dyDescent="0.25">
      <c r="A5" s="2" t="s">
        <v>166</v>
      </c>
      <c r="B5" s="2" t="s">
        <v>172</v>
      </c>
      <c r="C5" s="4">
        <v>25.89</v>
      </c>
      <c r="D5" s="4">
        <v>25.74</v>
      </c>
      <c r="E5" s="4">
        <v>25.96</v>
      </c>
      <c r="F5" s="5">
        <v>25.69</v>
      </c>
      <c r="G5" s="6">
        <v>7.7851304009341872E-3</v>
      </c>
      <c r="H5" s="4" t="s">
        <v>734</v>
      </c>
      <c r="I5" s="5" t="s">
        <v>39</v>
      </c>
      <c r="J5" s="4">
        <v>14.08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164</v>
      </c>
      <c r="B6" s="2" t="s">
        <v>173</v>
      </c>
      <c r="C6" s="4">
        <v>24.55</v>
      </c>
      <c r="D6" s="4">
        <v>24.51</v>
      </c>
      <c r="E6" s="4">
        <v>24.82</v>
      </c>
      <c r="F6" s="5">
        <v>24.54</v>
      </c>
      <c r="G6" s="6">
        <v>4.0749796251025118E-4</v>
      </c>
      <c r="H6" s="4" t="s">
        <v>735</v>
      </c>
      <c r="I6" s="5">
        <v>1.47</v>
      </c>
      <c r="J6" s="4">
        <v>17.34</v>
      </c>
      <c r="K6" s="4">
        <v>27.84</v>
      </c>
      <c r="L6" s="5">
        <f t="shared" si="0"/>
        <v>25.056000000000001</v>
      </c>
      <c r="M6" s="5" t="b">
        <f t="shared" si="1"/>
        <v>1</v>
      </c>
    </row>
    <row r="7" spans="1:13" ht="20.100000000000001" customHeight="1" x14ac:dyDescent="0.25">
      <c r="A7" s="2" t="s">
        <v>168</v>
      </c>
      <c r="B7" s="2" t="s">
        <v>174</v>
      </c>
      <c r="C7" s="4">
        <v>13.94</v>
      </c>
      <c r="D7" s="4">
        <v>13.81</v>
      </c>
      <c r="E7" s="4">
        <v>14.12</v>
      </c>
      <c r="F7" s="5">
        <v>13.97</v>
      </c>
      <c r="G7" s="6">
        <v>-2.1474588403723074E-3</v>
      </c>
      <c r="H7" s="4" t="s">
        <v>736</v>
      </c>
      <c r="I7" s="5">
        <v>1.43</v>
      </c>
      <c r="J7" s="4">
        <v>45.7</v>
      </c>
      <c r="K7" s="4">
        <v>12.22</v>
      </c>
      <c r="L7" s="5">
        <f t="shared" si="0"/>
        <v>10.998000000000001</v>
      </c>
      <c r="M7" s="5" t="b">
        <f t="shared" si="1"/>
        <v>0</v>
      </c>
    </row>
    <row r="8" spans="1:13" ht="20.100000000000001" customHeight="1" x14ac:dyDescent="0.25">
      <c r="A8" s="2" t="s">
        <v>167</v>
      </c>
      <c r="B8" s="2" t="s">
        <v>175</v>
      </c>
      <c r="C8" s="4">
        <v>39.9</v>
      </c>
      <c r="D8" s="4">
        <v>39.78</v>
      </c>
      <c r="E8" s="4">
        <v>40.35</v>
      </c>
      <c r="F8" s="5">
        <v>39.770000000000003</v>
      </c>
      <c r="G8" s="6">
        <v>3.2687955745535689E-3</v>
      </c>
      <c r="H8" s="4" t="s">
        <v>737</v>
      </c>
      <c r="I8" s="5">
        <v>4.0199999999999996</v>
      </c>
      <c r="J8" s="4">
        <v>7.68</v>
      </c>
      <c r="K8" s="4">
        <v>41.34</v>
      </c>
      <c r="L8" s="5">
        <f t="shared" si="0"/>
        <v>37.206000000000003</v>
      </c>
      <c r="M8" s="5" t="b">
        <f t="shared" si="1"/>
        <v>0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L1" sqref="L1:M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120</v>
      </c>
      <c r="B2" s="2" t="s">
        <v>130</v>
      </c>
      <c r="C2" s="4">
        <v>10.130000000000001</v>
      </c>
      <c r="D2" s="4">
        <v>10.01</v>
      </c>
      <c r="E2" s="4">
        <v>10.27</v>
      </c>
      <c r="F2" s="5">
        <v>10.130000000000001</v>
      </c>
      <c r="G2" s="6">
        <v>0</v>
      </c>
      <c r="H2" s="4" t="s">
        <v>738</v>
      </c>
      <c r="I2" s="5">
        <v>1.18</v>
      </c>
      <c r="J2" s="4" t="s">
        <v>39</v>
      </c>
      <c r="K2" s="4">
        <v>9.82</v>
      </c>
      <c r="L2" s="5">
        <f t="shared" ref="L2:L14" si="0">K2*0.9</f>
        <v>8.838000000000001</v>
      </c>
      <c r="M2" s="5" t="b">
        <f t="shared" ref="M2:M14" si="1">L2&gt;C2</f>
        <v>0</v>
      </c>
    </row>
    <row r="3" spans="1:13" ht="20.100000000000001" customHeight="1" x14ac:dyDescent="0.25">
      <c r="A3" s="2" t="s">
        <v>159</v>
      </c>
      <c r="B3" s="2" t="s">
        <v>160</v>
      </c>
      <c r="C3" s="20">
        <v>10.48</v>
      </c>
      <c r="D3" s="20">
        <v>10.39</v>
      </c>
      <c r="E3" s="20">
        <v>10.83</v>
      </c>
      <c r="F3" s="5">
        <v>10.35</v>
      </c>
      <c r="G3" s="26">
        <v>1.2560386473430028E-2</v>
      </c>
      <c r="H3" s="6" t="s">
        <v>739</v>
      </c>
      <c r="I3" s="5">
        <v>0</v>
      </c>
      <c r="J3" s="4" t="s">
        <v>39</v>
      </c>
      <c r="K3" s="4">
        <v>10.89</v>
      </c>
      <c r="L3" s="5">
        <f t="shared" si="0"/>
        <v>9.8010000000000002</v>
      </c>
      <c r="M3" s="5" t="b">
        <f t="shared" si="1"/>
        <v>0</v>
      </c>
    </row>
    <row r="4" spans="1:13" ht="20.100000000000001" customHeight="1" x14ac:dyDescent="0.25">
      <c r="A4" s="27" t="s">
        <v>241</v>
      </c>
      <c r="B4" s="2" t="s">
        <v>242</v>
      </c>
      <c r="C4" s="20">
        <v>18.899999999999999</v>
      </c>
      <c r="D4" s="20">
        <v>18.739999999999998</v>
      </c>
      <c r="E4" s="20">
        <v>19.93</v>
      </c>
      <c r="F4" s="5">
        <v>19.329999999999998</v>
      </c>
      <c r="G4" s="26">
        <v>-2.2245214692188296E-2</v>
      </c>
      <c r="H4" s="6" t="s">
        <v>740</v>
      </c>
      <c r="I4" s="5">
        <v>1.03</v>
      </c>
      <c r="J4" s="4" t="s">
        <v>39</v>
      </c>
      <c r="K4" s="4">
        <v>17.37</v>
      </c>
      <c r="L4" s="5">
        <f t="shared" si="0"/>
        <v>15.633000000000001</v>
      </c>
      <c r="M4" s="5" t="b">
        <f t="shared" si="1"/>
        <v>0</v>
      </c>
    </row>
    <row r="5" spans="1:13" ht="20.100000000000001" customHeight="1" x14ac:dyDescent="0.25">
      <c r="A5" s="2" t="s">
        <v>347</v>
      </c>
      <c r="B5" s="2" t="s">
        <v>349</v>
      </c>
      <c r="C5" s="20">
        <v>6.21</v>
      </c>
      <c r="D5" s="20">
        <v>6.18</v>
      </c>
      <c r="E5" s="20">
        <v>6.49</v>
      </c>
      <c r="F5" s="5">
        <v>6.29</v>
      </c>
      <c r="G5" s="26">
        <v>-1.2718600953895083E-2</v>
      </c>
      <c r="H5" s="6" t="s">
        <v>741</v>
      </c>
      <c r="I5" s="5">
        <v>0</v>
      </c>
      <c r="J5" s="4" t="s">
        <v>39</v>
      </c>
      <c r="K5" s="4">
        <v>7.05</v>
      </c>
      <c r="L5" s="5">
        <f t="shared" si="0"/>
        <v>6.3449999999999998</v>
      </c>
      <c r="M5" s="5" t="b">
        <f t="shared" si="1"/>
        <v>1</v>
      </c>
    </row>
    <row r="6" spans="1:13" ht="20.100000000000001" customHeight="1" x14ac:dyDescent="0.25">
      <c r="A6" s="2" t="s">
        <v>348</v>
      </c>
      <c r="B6" s="2" t="s">
        <v>350</v>
      </c>
      <c r="C6" s="20">
        <v>49.03</v>
      </c>
      <c r="D6" s="20">
        <v>48.77</v>
      </c>
      <c r="E6" s="20">
        <v>50.34</v>
      </c>
      <c r="F6" s="5">
        <v>49.3</v>
      </c>
      <c r="G6" s="26">
        <v>-5.4766734279918057E-3</v>
      </c>
      <c r="H6" s="6" t="s">
        <v>742</v>
      </c>
      <c r="I6" s="5">
        <v>3.09</v>
      </c>
      <c r="J6" s="4">
        <v>33.61</v>
      </c>
      <c r="K6" s="4">
        <v>48.65</v>
      </c>
      <c r="L6" s="5">
        <f t="shared" si="0"/>
        <v>43.784999999999997</v>
      </c>
      <c r="M6" s="5" t="b">
        <f t="shared" si="1"/>
        <v>0</v>
      </c>
    </row>
    <row r="7" spans="1:13" ht="20.100000000000001" customHeight="1" x14ac:dyDescent="0.25">
      <c r="A7" s="2" t="s">
        <v>351</v>
      </c>
      <c r="B7" s="2" t="s">
        <v>352</v>
      </c>
      <c r="C7" s="20">
        <v>24.32</v>
      </c>
      <c r="D7" s="20">
        <v>24.22</v>
      </c>
      <c r="E7" s="20">
        <v>25.24</v>
      </c>
      <c r="F7" s="5">
        <v>24.71</v>
      </c>
      <c r="G7" s="26">
        <v>-1.5783083771752349E-2</v>
      </c>
      <c r="H7" s="6" t="s">
        <v>743</v>
      </c>
      <c r="I7" s="5">
        <v>2.27</v>
      </c>
      <c r="J7" s="4">
        <v>496.33</v>
      </c>
      <c r="K7" s="4">
        <v>24</v>
      </c>
      <c r="L7" s="5">
        <f t="shared" si="0"/>
        <v>21.6</v>
      </c>
      <c r="M7" s="5" t="b">
        <f t="shared" si="1"/>
        <v>0</v>
      </c>
    </row>
    <row r="8" spans="1:13" ht="20.100000000000001" customHeight="1" x14ac:dyDescent="0.25">
      <c r="A8" s="2" t="s">
        <v>345</v>
      </c>
      <c r="B8" s="2" t="s">
        <v>346</v>
      </c>
      <c r="C8" s="20">
        <v>9.32</v>
      </c>
      <c r="D8" s="20">
        <v>9.32</v>
      </c>
      <c r="E8" s="20">
        <v>9.39</v>
      </c>
      <c r="F8" s="5">
        <v>9.26</v>
      </c>
      <c r="G8" s="26">
        <v>6.4794816414687362E-3</v>
      </c>
      <c r="H8" s="6" t="s">
        <v>744</v>
      </c>
      <c r="I8" s="5">
        <v>0</v>
      </c>
      <c r="J8" s="4">
        <v>372.8</v>
      </c>
      <c r="K8" s="4">
        <v>8.36</v>
      </c>
      <c r="L8" s="5">
        <f t="shared" si="0"/>
        <v>7.524</v>
      </c>
      <c r="M8" s="5" t="b">
        <f t="shared" si="1"/>
        <v>0</v>
      </c>
    </row>
    <row r="9" spans="1:13" ht="20.100000000000001" customHeight="1" x14ac:dyDescent="0.25">
      <c r="A9" s="2" t="s">
        <v>437</v>
      </c>
      <c r="B9" s="2" t="s">
        <v>438</v>
      </c>
      <c r="C9" s="20">
        <v>85.63</v>
      </c>
      <c r="D9" s="20">
        <v>84.69</v>
      </c>
      <c r="E9" s="20">
        <v>86.76</v>
      </c>
      <c r="F9" s="5">
        <v>85.62</v>
      </c>
      <c r="G9" s="26">
        <v>1.1679514132201477E-4</v>
      </c>
      <c r="H9" s="6" t="s">
        <v>745</v>
      </c>
      <c r="I9" s="5">
        <v>2.1</v>
      </c>
      <c r="J9" s="4">
        <v>17.309999999999999</v>
      </c>
      <c r="K9" s="4">
        <v>85.38</v>
      </c>
      <c r="L9" s="5">
        <f t="shared" si="0"/>
        <v>76.841999999999999</v>
      </c>
      <c r="M9" s="5" t="b">
        <f t="shared" si="1"/>
        <v>0</v>
      </c>
    </row>
    <row r="10" spans="1:13" ht="20.100000000000001" customHeight="1" x14ac:dyDescent="0.25">
      <c r="A10" s="2" t="s">
        <v>522</v>
      </c>
      <c r="B10" s="2" t="s">
        <v>526</v>
      </c>
      <c r="C10" s="20">
        <v>17.04</v>
      </c>
      <c r="D10" s="20">
        <v>16.79</v>
      </c>
      <c r="E10" s="20">
        <v>17.420000000000002</v>
      </c>
      <c r="F10" s="5">
        <v>16.899999999999999</v>
      </c>
      <c r="G10" s="26">
        <v>8.2840236686390883E-3</v>
      </c>
      <c r="H10" s="6" t="s">
        <v>746</v>
      </c>
      <c r="I10" s="5">
        <v>1.89</v>
      </c>
      <c r="J10" s="4" t="s">
        <v>39</v>
      </c>
      <c r="K10" s="4">
        <v>15.09</v>
      </c>
      <c r="L10" s="5">
        <f t="shared" si="0"/>
        <v>13.581</v>
      </c>
      <c r="M10" s="5" t="b">
        <f t="shared" si="1"/>
        <v>0</v>
      </c>
    </row>
    <row r="11" spans="1:13" ht="20.100000000000001" customHeight="1" x14ac:dyDescent="0.25">
      <c r="A11" s="2" t="s">
        <v>523</v>
      </c>
      <c r="B11" s="2" t="s">
        <v>527</v>
      </c>
      <c r="C11" s="20">
        <v>184.63</v>
      </c>
      <c r="D11" s="20">
        <v>182.22</v>
      </c>
      <c r="E11" s="20">
        <v>185.06</v>
      </c>
      <c r="F11" s="5">
        <v>183.53</v>
      </c>
      <c r="G11" s="26">
        <v>5.9935705334277466E-3</v>
      </c>
      <c r="H11" s="6" t="s">
        <v>747</v>
      </c>
      <c r="I11" s="5">
        <v>0.89</v>
      </c>
      <c r="J11" s="4">
        <v>32.89</v>
      </c>
      <c r="K11" s="4">
        <v>177.51</v>
      </c>
      <c r="L11" s="5">
        <f t="shared" si="0"/>
        <v>159.75899999999999</v>
      </c>
      <c r="M11" s="5" t="b">
        <f t="shared" si="1"/>
        <v>0</v>
      </c>
    </row>
    <row r="12" spans="1:13" ht="20.100000000000001" customHeight="1" x14ac:dyDescent="0.25">
      <c r="A12" s="2" t="s">
        <v>524</v>
      </c>
      <c r="B12" s="2" t="s">
        <v>528</v>
      </c>
      <c r="C12" s="20">
        <v>19.59</v>
      </c>
      <c r="D12" s="20">
        <v>19.420000000000002</v>
      </c>
      <c r="E12" s="20">
        <v>19.73</v>
      </c>
      <c r="F12" s="5">
        <v>19.5</v>
      </c>
      <c r="G12" s="26">
        <v>4.615384615384608E-3</v>
      </c>
      <c r="H12" s="6" t="s">
        <v>748</v>
      </c>
      <c r="I12" s="5" t="s">
        <v>39</v>
      </c>
      <c r="J12" s="4">
        <v>58.83</v>
      </c>
      <c r="K12" s="4">
        <v>20.28</v>
      </c>
      <c r="L12" s="5">
        <f t="shared" si="0"/>
        <v>18.252000000000002</v>
      </c>
      <c r="M12" s="5" t="b">
        <f t="shared" si="1"/>
        <v>0</v>
      </c>
    </row>
    <row r="13" spans="1:13" ht="20.100000000000001" customHeight="1" x14ac:dyDescent="0.25">
      <c r="A13" s="2" t="s">
        <v>525</v>
      </c>
      <c r="B13" s="2" t="s">
        <v>529</v>
      </c>
      <c r="C13" s="20">
        <v>114.48</v>
      </c>
      <c r="D13" s="20">
        <v>112.74</v>
      </c>
      <c r="E13" s="20">
        <v>114.6</v>
      </c>
      <c r="F13" s="5">
        <v>112.38</v>
      </c>
      <c r="G13" s="26">
        <v>1.8686599038974985E-2</v>
      </c>
      <c r="H13" s="6" t="s">
        <v>749</v>
      </c>
      <c r="I13" s="5">
        <v>0.69</v>
      </c>
      <c r="J13" s="4">
        <v>43.68</v>
      </c>
      <c r="K13" s="4">
        <v>112.93</v>
      </c>
      <c r="L13" s="5">
        <f t="shared" si="0"/>
        <v>101.63700000000001</v>
      </c>
      <c r="M13" s="5" t="b">
        <f t="shared" si="1"/>
        <v>0</v>
      </c>
    </row>
    <row r="14" spans="1:13" ht="20.100000000000001" customHeight="1" x14ac:dyDescent="0.25">
      <c r="A14" s="2" t="s">
        <v>549</v>
      </c>
      <c r="B14" s="2" t="s">
        <v>550</v>
      </c>
      <c r="C14" s="20">
        <v>16.989999999999998</v>
      </c>
      <c r="D14" s="20">
        <v>16.84</v>
      </c>
      <c r="E14" s="20">
        <v>17.43</v>
      </c>
      <c r="F14" s="5">
        <v>16.53</v>
      </c>
      <c r="G14" s="26">
        <v>2.7828191167573943E-2</v>
      </c>
      <c r="H14" s="6" t="s">
        <v>750</v>
      </c>
      <c r="I14" s="5">
        <v>0.46</v>
      </c>
      <c r="J14" s="4" t="s">
        <v>39</v>
      </c>
      <c r="K14" s="4">
        <v>11.14</v>
      </c>
      <c r="L14" s="5">
        <f t="shared" si="0"/>
        <v>10.026000000000002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>
      <selection activeCell="H14" sqref="H14"/>
    </sheetView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316</v>
      </c>
      <c r="B2" s="2" t="s">
        <v>320</v>
      </c>
      <c r="C2" s="4">
        <v>49.12</v>
      </c>
      <c r="D2" s="4">
        <v>48.77</v>
      </c>
      <c r="E2" s="4">
        <v>49.22</v>
      </c>
      <c r="F2" s="5">
        <v>48.71</v>
      </c>
      <c r="G2" s="6">
        <v>8.4171628002462865E-3</v>
      </c>
      <c r="H2" s="4" t="s">
        <v>751</v>
      </c>
      <c r="I2" s="5">
        <v>3.59</v>
      </c>
      <c r="J2" s="5">
        <v>26.61</v>
      </c>
      <c r="K2" s="5">
        <v>42.37</v>
      </c>
      <c r="L2" s="5">
        <f t="shared" ref="L2:L8" si="0">K2*0.9</f>
        <v>38.132999999999996</v>
      </c>
      <c r="M2" s="5" t="b">
        <f t="shared" ref="M2:M7" si="1">L2&gt;C2</f>
        <v>0</v>
      </c>
    </row>
    <row r="3" spans="1:13" ht="20.100000000000001" customHeight="1" x14ac:dyDescent="0.25">
      <c r="A3" s="2" t="s">
        <v>317</v>
      </c>
      <c r="B3" s="2" t="s">
        <v>321</v>
      </c>
      <c r="C3" s="4">
        <v>14.59</v>
      </c>
      <c r="D3" s="4">
        <v>14.46</v>
      </c>
      <c r="E3" s="4">
        <v>14.65</v>
      </c>
      <c r="F3" s="5">
        <v>14.56</v>
      </c>
      <c r="G3" s="6">
        <v>2.0604395604395163E-3</v>
      </c>
      <c r="H3" s="4" t="s">
        <v>558</v>
      </c>
      <c r="I3" s="5">
        <v>1.86</v>
      </c>
      <c r="J3" s="5">
        <v>18.829999999999998</v>
      </c>
      <c r="K3" s="5">
        <v>13.11</v>
      </c>
      <c r="L3" s="5">
        <f t="shared" si="0"/>
        <v>11.798999999999999</v>
      </c>
      <c r="M3" s="5" t="b">
        <f t="shared" si="1"/>
        <v>0</v>
      </c>
    </row>
    <row r="4" spans="1:13" ht="20.100000000000001" customHeight="1" x14ac:dyDescent="0.25">
      <c r="A4" s="1" t="s">
        <v>318</v>
      </c>
      <c r="B4" s="2" t="s">
        <v>322</v>
      </c>
      <c r="C4" s="4">
        <v>79.67</v>
      </c>
      <c r="D4" s="4">
        <v>78.930000000000007</v>
      </c>
      <c r="E4" s="4">
        <v>79.8</v>
      </c>
      <c r="F4" s="5">
        <v>78.94</v>
      </c>
      <c r="G4" s="6">
        <v>9.2475297694451994E-3</v>
      </c>
      <c r="H4" s="4" t="s">
        <v>752</v>
      </c>
      <c r="I4" s="5">
        <v>3.73</v>
      </c>
      <c r="J4" s="5">
        <v>16.93</v>
      </c>
      <c r="K4" s="5">
        <v>65.540000000000006</v>
      </c>
      <c r="L4" s="5">
        <f t="shared" si="0"/>
        <v>58.986000000000004</v>
      </c>
      <c r="M4" s="5" t="b">
        <f t="shared" si="1"/>
        <v>0</v>
      </c>
    </row>
    <row r="5" spans="1:13" ht="20.100000000000001" customHeight="1" x14ac:dyDescent="0.25">
      <c r="A5" s="2" t="s">
        <v>319</v>
      </c>
      <c r="B5" s="2" t="s">
        <v>323</v>
      </c>
      <c r="C5" s="4">
        <v>18.2</v>
      </c>
      <c r="D5" s="4">
        <v>17.989999999999998</v>
      </c>
      <c r="E5" s="4">
        <v>18.43</v>
      </c>
      <c r="F5" s="5">
        <v>17.989999999999998</v>
      </c>
      <c r="G5" s="6">
        <v>1.1673151750972811E-2</v>
      </c>
      <c r="H5" s="4" t="s">
        <v>435</v>
      </c>
      <c r="I5" s="5">
        <v>2.2200000000000002</v>
      </c>
      <c r="J5" s="5">
        <v>21.41</v>
      </c>
      <c r="K5" s="5">
        <v>14.02</v>
      </c>
      <c r="L5" s="5">
        <f t="shared" si="0"/>
        <v>12.618</v>
      </c>
      <c r="M5" s="5" t="b">
        <f t="shared" si="1"/>
        <v>0</v>
      </c>
    </row>
    <row r="6" spans="1:13" ht="20.100000000000001" customHeight="1" x14ac:dyDescent="0.25">
      <c r="A6" s="2" t="s">
        <v>540</v>
      </c>
      <c r="B6" s="2" t="s">
        <v>543</v>
      </c>
      <c r="C6" s="4">
        <v>48.6</v>
      </c>
      <c r="D6" s="4">
        <v>47.87</v>
      </c>
      <c r="E6" s="4">
        <v>48.7</v>
      </c>
      <c r="F6" s="5">
        <v>47.5</v>
      </c>
      <c r="G6" s="6">
        <v>2.3157894736842134E-2</v>
      </c>
      <c r="H6" s="4" t="s">
        <v>728</v>
      </c>
      <c r="I6" s="5">
        <v>1.35</v>
      </c>
      <c r="J6" s="5">
        <v>27.71</v>
      </c>
      <c r="K6" s="5">
        <v>47.29</v>
      </c>
      <c r="L6" s="5">
        <f t="shared" si="0"/>
        <v>42.561</v>
      </c>
      <c r="M6" s="5" t="b">
        <f t="shared" si="1"/>
        <v>0</v>
      </c>
    </row>
    <row r="7" spans="1:13" ht="20.100000000000001" customHeight="1" x14ac:dyDescent="0.25">
      <c r="A7" s="2" t="s">
        <v>541</v>
      </c>
      <c r="B7" s="2" t="s">
        <v>544</v>
      </c>
      <c r="C7" s="4">
        <v>48.55</v>
      </c>
      <c r="D7" s="4">
        <v>48.35</v>
      </c>
      <c r="E7" s="4">
        <v>48.97</v>
      </c>
      <c r="F7" s="5">
        <v>48.51</v>
      </c>
      <c r="G7" s="6">
        <v>8.2457225314366421E-4</v>
      </c>
      <c r="H7" s="4" t="s">
        <v>753</v>
      </c>
      <c r="I7" s="5">
        <v>3.09</v>
      </c>
      <c r="J7" s="5" t="s">
        <v>39</v>
      </c>
      <c r="K7" s="5">
        <v>39.93</v>
      </c>
      <c r="L7" s="5">
        <f t="shared" si="0"/>
        <v>35.936999999999998</v>
      </c>
      <c r="M7" s="5" t="b">
        <f t="shared" si="1"/>
        <v>0</v>
      </c>
    </row>
    <row r="8" spans="1:13" ht="20.100000000000001" customHeight="1" x14ac:dyDescent="0.25">
      <c r="A8" s="2" t="s">
        <v>814</v>
      </c>
      <c r="B8" s="2" t="s">
        <v>815</v>
      </c>
      <c r="C8" s="4">
        <v>78.14</v>
      </c>
      <c r="D8" s="4">
        <v>77.39</v>
      </c>
      <c r="E8" s="4">
        <v>78.37</v>
      </c>
      <c r="F8" s="5">
        <v>76.930000000000007</v>
      </c>
      <c r="G8" s="6">
        <v>1.5728584427401451E-2</v>
      </c>
      <c r="H8" s="4" t="s">
        <v>816</v>
      </c>
      <c r="I8" s="5">
        <v>2.12</v>
      </c>
      <c r="J8" s="5">
        <v>23.29</v>
      </c>
      <c r="K8" s="5">
        <v>73.47</v>
      </c>
      <c r="L8" s="5">
        <f t="shared" si="0"/>
        <v>66.123000000000005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>
      <selection activeCell="L1" sqref="L1:M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148</v>
      </c>
      <c r="B2" s="2" t="s">
        <v>153</v>
      </c>
      <c r="C2" s="4">
        <v>65.459999999999994</v>
      </c>
      <c r="D2" s="4">
        <v>64.900000000000006</v>
      </c>
      <c r="E2" s="4">
        <v>65.81</v>
      </c>
      <c r="F2" s="5">
        <v>64.67</v>
      </c>
      <c r="G2" s="6">
        <v>1.2215865161589486E-2</v>
      </c>
      <c r="H2" s="4" t="s">
        <v>754</v>
      </c>
      <c r="I2" s="5">
        <v>1.77</v>
      </c>
      <c r="J2" s="4">
        <v>18.649999999999999</v>
      </c>
      <c r="K2" s="4">
        <v>60.99</v>
      </c>
      <c r="L2" s="5">
        <f t="shared" ref="L2:L8" si="0">K2*0.9</f>
        <v>54.891000000000005</v>
      </c>
      <c r="M2" s="5" t="b">
        <f t="shared" ref="M2:M8" si="1">L2&gt;C2</f>
        <v>0</v>
      </c>
    </row>
    <row r="3" spans="1:13" ht="20.100000000000001" customHeight="1" x14ac:dyDescent="0.25">
      <c r="A3" s="1" t="s">
        <v>147</v>
      </c>
      <c r="B3" s="2" t="s">
        <v>154</v>
      </c>
      <c r="C3" s="4">
        <v>154.59</v>
      </c>
      <c r="D3" s="4">
        <v>153.82</v>
      </c>
      <c r="E3" s="4">
        <v>156.24</v>
      </c>
      <c r="F3" s="5">
        <v>153.88999999999999</v>
      </c>
      <c r="G3" s="6">
        <v>4.5487036194685627E-3</v>
      </c>
      <c r="H3" s="4" t="s">
        <v>755</v>
      </c>
      <c r="I3" s="5">
        <v>1</v>
      </c>
      <c r="J3" s="4">
        <v>20.45</v>
      </c>
      <c r="K3" s="4">
        <v>136.71</v>
      </c>
      <c r="L3" s="5">
        <f t="shared" si="0"/>
        <v>123.03900000000002</v>
      </c>
      <c r="M3" s="5" t="b">
        <f t="shared" si="1"/>
        <v>0</v>
      </c>
    </row>
    <row r="4" spans="1:13" ht="20.100000000000001" customHeight="1" x14ac:dyDescent="0.25">
      <c r="A4" s="2" t="s">
        <v>150</v>
      </c>
      <c r="B4" s="2" t="s">
        <v>355</v>
      </c>
      <c r="C4" s="4">
        <v>28.14</v>
      </c>
      <c r="D4" s="4">
        <v>28.12</v>
      </c>
      <c r="E4" s="4">
        <v>28.44</v>
      </c>
      <c r="F4" s="5">
        <v>28.18</v>
      </c>
      <c r="G4" s="6">
        <v>-1.4194464158977696E-3</v>
      </c>
      <c r="H4" s="4" t="s">
        <v>756</v>
      </c>
      <c r="I4" s="5">
        <v>2.5299999999999998</v>
      </c>
      <c r="J4" s="4">
        <v>15.36</v>
      </c>
      <c r="K4" s="4">
        <v>26.56</v>
      </c>
      <c r="L4" s="5">
        <f t="shared" si="0"/>
        <v>23.904</v>
      </c>
      <c r="M4" s="5" t="b">
        <f t="shared" si="1"/>
        <v>0</v>
      </c>
    </row>
    <row r="5" spans="1:13" ht="20.100000000000001" customHeight="1" x14ac:dyDescent="0.25">
      <c r="A5" s="2" t="s">
        <v>152</v>
      </c>
      <c r="B5" s="2" t="s">
        <v>155</v>
      </c>
      <c r="C5" s="4">
        <v>68.14</v>
      </c>
      <c r="D5" s="4">
        <v>67.83</v>
      </c>
      <c r="E5" s="4">
        <v>69.08</v>
      </c>
      <c r="F5" s="5">
        <v>67.489999999999995</v>
      </c>
      <c r="G5" s="6">
        <v>9.6310564528079082E-3</v>
      </c>
      <c r="H5" s="4" t="s">
        <v>708</v>
      </c>
      <c r="I5" s="5" t="s">
        <v>39</v>
      </c>
      <c r="J5" s="4">
        <v>17.739999999999998</v>
      </c>
      <c r="K5" s="4">
        <v>62.05</v>
      </c>
      <c r="L5" s="5">
        <f t="shared" si="0"/>
        <v>55.844999999999999</v>
      </c>
      <c r="M5" s="5" t="b">
        <f t="shared" si="1"/>
        <v>0</v>
      </c>
    </row>
    <row r="6" spans="1:13" ht="20.100000000000001" customHeight="1" x14ac:dyDescent="0.25">
      <c r="A6" s="2" t="s">
        <v>149</v>
      </c>
      <c r="B6" s="2" t="s">
        <v>156</v>
      </c>
      <c r="C6" s="4">
        <v>95.77</v>
      </c>
      <c r="D6" s="4">
        <v>95.38</v>
      </c>
      <c r="E6" s="4">
        <v>97.55</v>
      </c>
      <c r="F6" s="5">
        <v>96.51</v>
      </c>
      <c r="G6" s="6">
        <v>-7.6675992125169318E-3</v>
      </c>
      <c r="H6" s="4" t="s">
        <v>757</v>
      </c>
      <c r="I6" s="5">
        <v>1.37</v>
      </c>
      <c r="J6" s="4">
        <v>20.84</v>
      </c>
      <c r="K6" s="4">
        <v>91</v>
      </c>
      <c r="L6" s="5">
        <f t="shared" si="0"/>
        <v>81.900000000000006</v>
      </c>
      <c r="M6" s="5" t="b">
        <f t="shared" si="1"/>
        <v>0</v>
      </c>
    </row>
    <row r="7" spans="1:13" ht="20.100000000000001" customHeight="1" x14ac:dyDescent="0.25">
      <c r="A7" s="1" t="s">
        <v>151</v>
      </c>
      <c r="B7" s="2" t="s">
        <v>157</v>
      </c>
      <c r="C7" s="4">
        <v>94.16</v>
      </c>
      <c r="D7" s="4">
        <v>93.69</v>
      </c>
      <c r="E7" s="4">
        <v>94.8</v>
      </c>
      <c r="F7" s="5">
        <v>93.8</v>
      </c>
      <c r="G7" s="6">
        <v>3.837953091684429E-3</v>
      </c>
      <c r="H7" s="4" t="s">
        <v>758</v>
      </c>
      <c r="I7" s="5">
        <v>2.52</v>
      </c>
      <c r="J7" s="4">
        <v>17.64</v>
      </c>
      <c r="K7" s="4">
        <v>85.14</v>
      </c>
      <c r="L7" s="5">
        <f t="shared" si="0"/>
        <v>76.626000000000005</v>
      </c>
      <c r="M7" s="5" t="b">
        <f t="shared" si="1"/>
        <v>0</v>
      </c>
    </row>
    <row r="8" spans="1:13" ht="20.100000000000001" customHeight="1" x14ac:dyDescent="0.25">
      <c r="A8" s="1" t="s">
        <v>146</v>
      </c>
      <c r="B8" s="2" t="s">
        <v>158</v>
      </c>
      <c r="C8" s="4">
        <v>95.28</v>
      </c>
      <c r="D8" s="4">
        <v>94.87</v>
      </c>
      <c r="E8" s="4">
        <v>95.95</v>
      </c>
      <c r="F8" s="5">
        <v>95.29</v>
      </c>
      <c r="G8" s="6">
        <v>-1.0494280617069068E-4</v>
      </c>
      <c r="H8" s="4" t="s">
        <v>759</v>
      </c>
      <c r="I8" s="5">
        <v>2.31</v>
      </c>
      <c r="J8" s="4">
        <v>18.55</v>
      </c>
      <c r="K8" s="4">
        <v>86.35</v>
      </c>
      <c r="L8" s="5">
        <f t="shared" si="0"/>
        <v>77.715000000000003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1.95" customHeight="1" thickTop="1" x14ac:dyDescent="0.25">
      <c r="A2" s="1" t="s">
        <v>75</v>
      </c>
      <c r="B2" s="2" t="s">
        <v>357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600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666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667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668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604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598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665</v>
      </c>
      <c r="B8" s="2" t="s">
        <v>669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670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672</v>
      </c>
      <c r="B9" s="19" t="s">
        <v>762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763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356</v>
      </c>
      <c r="B10" s="2" t="s">
        <v>358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671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760</v>
      </c>
      <c r="B11" s="2" t="s">
        <v>764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765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761</v>
      </c>
      <c r="B12" s="2" t="s">
        <v>766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767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176</v>
      </c>
      <c r="B2" s="2" t="s">
        <v>180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768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179</v>
      </c>
      <c r="B3" s="2" t="s">
        <v>181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769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143</v>
      </c>
      <c r="B4" s="2" t="s">
        <v>144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770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178</v>
      </c>
      <c r="B5" s="2" t="s">
        <v>182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771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314</v>
      </c>
      <c r="B6" s="19" t="s">
        <v>315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340</v>
      </c>
      <c r="B7" s="19" t="s">
        <v>341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772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177</v>
      </c>
      <c r="B8" s="2" t="s">
        <v>773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381</v>
      </c>
      <c r="M1" s="75" t="s">
        <v>546</v>
      </c>
      <c r="N1" s="76" t="s">
        <v>559</v>
      </c>
    </row>
    <row r="2" spans="1:14" ht="20.100000000000001" customHeight="1" thickTop="1" x14ac:dyDescent="0.25">
      <c r="A2" s="39" t="s">
        <v>375</v>
      </c>
      <c r="B2" s="39" t="s">
        <v>380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774</v>
      </c>
      <c r="I2" s="41" t="s">
        <v>39</v>
      </c>
      <c r="J2" s="40">
        <v>64.69</v>
      </c>
      <c r="K2" s="40">
        <v>73.38</v>
      </c>
      <c r="L2" s="4" t="s">
        <v>383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371</v>
      </c>
      <c r="B3" s="39" t="s">
        <v>376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775</v>
      </c>
      <c r="I3" s="41">
        <v>1.45</v>
      </c>
      <c r="J3" s="40">
        <v>19.93</v>
      </c>
      <c r="K3" s="40">
        <v>40.03</v>
      </c>
      <c r="L3" s="4" t="s">
        <v>383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374</v>
      </c>
      <c r="B4" s="39" t="s">
        <v>379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776</v>
      </c>
      <c r="I4" s="41">
        <v>1.08</v>
      </c>
      <c r="J4" s="40">
        <v>30.35</v>
      </c>
      <c r="K4" s="40">
        <v>106.01</v>
      </c>
      <c r="L4" s="4" t="s">
        <v>383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372</v>
      </c>
      <c r="B5" s="39" t="s">
        <v>377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777</v>
      </c>
      <c r="I5" s="41" t="s">
        <v>39</v>
      </c>
      <c r="J5" s="40">
        <v>231.79</v>
      </c>
      <c r="K5" s="40">
        <v>76.95</v>
      </c>
      <c r="L5" s="4" t="s">
        <v>383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373</v>
      </c>
      <c r="B6" s="39" t="s">
        <v>378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778</v>
      </c>
      <c r="I6" s="41">
        <v>0</v>
      </c>
      <c r="J6" s="40">
        <v>58.51</v>
      </c>
      <c r="K6" s="40">
        <v>94.99</v>
      </c>
      <c r="L6" s="4" t="s">
        <v>383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361</v>
      </c>
      <c r="B7" s="45" t="s">
        <v>367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779</v>
      </c>
      <c r="I7" s="47" t="s">
        <v>39</v>
      </c>
      <c r="J7" s="46" t="s">
        <v>39</v>
      </c>
      <c r="K7" s="46">
        <v>37.03</v>
      </c>
      <c r="L7" s="4" t="s">
        <v>382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363</v>
      </c>
      <c r="B8" s="45" t="s">
        <v>369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780</v>
      </c>
      <c r="I8" s="47">
        <v>0</v>
      </c>
      <c r="J8" s="46">
        <v>25.17</v>
      </c>
      <c r="K8" s="46">
        <v>84.83</v>
      </c>
      <c r="L8" s="4" t="s">
        <v>382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364</v>
      </c>
      <c r="B9" s="45" t="s">
        <v>370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781</v>
      </c>
      <c r="I9" s="47" t="s">
        <v>39</v>
      </c>
      <c r="J9" s="46">
        <v>64.42</v>
      </c>
      <c r="K9" s="46">
        <v>64.78</v>
      </c>
      <c r="L9" s="4" t="s">
        <v>382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359</v>
      </c>
      <c r="B10" s="45" t="s">
        <v>365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782</v>
      </c>
      <c r="I10" s="47" t="s">
        <v>39</v>
      </c>
      <c r="J10" s="46">
        <v>30.88</v>
      </c>
      <c r="K10" s="46">
        <v>747.86</v>
      </c>
      <c r="L10" s="4" t="s">
        <v>382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360</v>
      </c>
      <c r="B11" s="45" t="s">
        <v>366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783</v>
      </c>
      <c r="I11" s="47" t="s">
        <v>39</v>
      </c>
      <c r="J11" s="46">
        <v>60.47</v>
      </c>
      <c r="K11" s="46">
        <v>116.08</v>
      </c>
      <c r="L11" s="4" t="s">
        <v>382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362</v>
      </c>
      <c r="B12" s="45" t="s">
        <v>368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784</v>
      </c>
      <c r="I12" s="47" t="s">
        <v>39</v>
      </c>
      <c r="J12" s="46">
        <v>30.37</v>
      </c>
      <c r="K12" s="46">
        <v>53.59</v>
      </c>
      <c r="L12" s="4" t="s">
        <v>382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262</v>
      </c>
      <c r="B2" s="2" t="s">
        <v>265</v>
      </c>
      <c r="C2" s="4">
        <v>4.5599999999999996</v>
      </c>
      <c r="D2" s="4">
        <v>4.5</v>
      </c>
      <c r="E2" s="4">
        <v>4.63</v>
      </c>
      <c r="F2" s="5">
        <v>4.54</v>
      </c>
      <c r="G2" s="6">
        <v>4.4052863436122407E-3</v>
      </c>
      <c r="H2" s="4" t="s">
        <v>787</v>
      </c>
      <c r="I2" s="5">
        <v>9.25</v>
      </c>
      <c r="J2" s="5" t="s">
        <v>39</v>
      </c>
      <c r="K2" s="5">
        <v>5.12</v>
      </c>
      <c r="L2" s="5">
        <f>K2*0.9</f>
        <v>4.6080000000000005</v>
      </c>
      <c r="M2" s="5" t="b">
        <f t="shared" ref="M2:M5" si="0">L2&gt;C2</f>
        <v>1</v>
      </c>
    </row>
    <row r="3" spans="1:13" ht="20.100000000000001" customHeight="1" x14ac:dyDescent="0.25">
      <c r="A3" s="2" t="s">
        <v>263</v>
      </c>
      <c r="B3" s="2" t="s">
        <v>266</v>
      </c>
      <c r="C3" s="4">
        <v>27.94</v>
      </c>
      <c r="D3" s="4">
        <v>27.77</v>
      </c>
      <c r="E3" s="4">
        <v>28.1</v>
      </c>
      <c r="F3" s="5">
        <v>27.74</v>
      </c>
      <c r="G3" s="6">
        <v>7.2098053352560509E-3</v>
      </c>
      <c r="H3" s="4" t="s">
        <v>788</v>
      </c>
      <c r="I3" s="5">
        <v>7.79</v>
      </c>
      <c r="J3" s="5">
        <v>15.64</v>
      </c>
      <c r="K3" s="5">
        <v>29.81</v>
      </c>
      <c r="L3" s="5">
        <f t="shared" ref="L3:L5" si="1">K3*0.9</f>
        <v>26.829000000000001</v>
      </c>
      <c r="M3" s="5" t="b">
        <f t="shared" si="0"/>
        <v>0</v>
      </c>
    </row>
    <row r="4" spans="1:13" ht="20.100000000000001" customHeight="1" x14ac:dyDescent="0.25">
      <c r="A4" s="2" t="s">
        <v>264</v>
      </c>
      <c r="B4" s="2" t="s">
        <v>267</v>
      </c>
      <c r="C4" s="4">
        <v>40.950000000000003</v>
      </c>
      <c r="D4" s="4">
        <v>40.74</v>
      </c>
      <c r="E4" s="4">
        <v>41.38</v>
      </c>
      <c r="F4" s="5">
        <v>40.96</v>
      </c>
      <c r="G4" s="6">
        <v>-2.4414062499995143E-4</v>
      </c>
      <c r="H4" s="4" t="s">
        <v>786</v>
      </c>
      <c r="I4" s="5">
        <v>4.7</v>
      </c>
      <c r="J4" s="5">
        <v>17.66</v>
      </c>
      <c r="K4" s="5">
        <v>40.03</v>
      </c>
      <c r="L4" s="5">
        <f t="shared" si="1"/>
        <v>36.027000000000001</v>
      </c>
      <c r="M4" s="5" t="b">
        <f t="shared" si="0"/>
        <v>0</v>
      </c>
    </row>
    <row r="5" spans="1:13" ht="20.100000000000001" customHeight="1" x14ac:dyDescent="0.25">
      <c r="A5" s="2" t="s">
        <v>268</v>
      </c>
      <c r="B5" s="2" t="s">
        <v>269</v>
      </c>
      <c r="C5" s="4">
        <v>52.88</v>
      </c>
      <c r="D5" s="4">
        <v>52.52</v>
      </c>
      <c r="E5" s="4">
        <v>53.14</v>
      </c>
      <c r="F5" s="5">
        <v>52.56</v>
      </c>
      <c r="G5" s="6">
        <v>6.0882800608828055E-3</v>
      </c>
      <c r="H5" s="4" t="s">
        <v>785</v>
      </c>
      <c r="I5" s="5">
        <v>4.32</v>
      </c>
      <c r="J5" s="5">
        <v>14.94</v>
      </c>
      <c r="K5" s="5">
        <v>52.72</v>
      </c>
      <c r="L5" s="5">
        <f t="shared" si="1"/>
        <v>47.448</v>
      </c>
      <c r="M5" s="5" t="b">
        <f t="shared" si="0"/>
        <v>0</v>
      </c>
    </row>
    <row r="6" spans="1:13" ht="20.100000000000001" customHeight="1" x14ac:dyDescent="0.25"/>
    <row r="7" spans="1:13" ht="20.100000000000001" customHeight="1" x14ac:dyDescent="0.25"/>
    <row r="8" spans="1:13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95" t="s">
        <v>397</v>
      </c>
      <c r="B2" s="95" t="s">
        <v>418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909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910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403</v>
      </c>
      <c r="B4" s="95" t="s">
        <v>423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911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398</v>
      </c>
      <c r="B5" s="95" t="s">
        <v>419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912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399</v>
      </c>
      <c r="B6" s="95" t="s">
        <v>420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913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273</v>
      </c>
      <c r="B7" s="95" t="s">
        <v>274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914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140</v>
      </c>
      <c r="B8" s="95" t="s">
        <v>142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915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386</v>
      </c>
      <c r="B9" s="95" t="s">
        <v>407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916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395</v>
      </c>
      <c r="B10" s="95" t="s">
        <v>416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917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283</v>
      </c>
      <c r="B11" s="95" t="s">
        <v>284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918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391</v>
      </c>
      <c r="B12" s="95" t="s">
        <v>412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919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390</v>
      </c>
      <c r="B13" s="95" t="s">
        <v>411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920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394</v>
      </c>
      <c r="B14" s="95" t="s">
        <v>415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921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396</v>
      </c>
      <c r="B15" s="95" t="s">
        <v>417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922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923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924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402</v>
      </c>
      <c r="B18" s="95" t="s">
        <v>789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857</v>
      </c>
      <c r="B19" s="95" t="s">
        <v>858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925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271</v>
      </c>
      <c r="B20" s="95" t="s">
        <v>272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926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404</v>
      </c>
      <c r="B21" s="95" t="s">
        <v>424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927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584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387</v>
      </c>
      <c r="B23" s="95" t="s">
        <v>408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928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929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401</v>
      </c>
      <c r="B25" s="95" t="s">
        <v>422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930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388</v>
      </c>
      <c r="B26" s="95" t="s">
        <v>409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931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400</v>
      </c>
      <c r="B27" s="95" t="s">
        <v>421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932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385</v>
      </c>
      <c r="B28" s="95" t="s">
        <v>406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933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389</v>
      </c>
      <c r="B29" s="95" t="s">
        <v>410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934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139</v>
      </c>
      <c r="B30" s="95" t="s">
        <v>141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935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405</v>
      </c>
      <c r="B31" s="95" t="s">
        <v>790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393</v>
      </c>
      <c r="B32" s="95" t="s">
        <v>414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936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392</v>
      </c>
      <c r="B33" s="95" t="s">
        <v>413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937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>
      <selection activeCell="F14" sqref="F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1" t="s">
        <v>461</v>
      </c>
      <c r="B2" s="2" t="s">
        <v>468</v>
      </c>
      <c r="C2" s="4">
        <v>72.06</v>
      </c>
      <c r="D2" s="4">
        <v>72.010000000000005</v>
      </c>
      <c r="E2" s="4">
        <v>73.05</v>
      </c>
      <c r="F2" s="5">
        <v>73</v>
      </c>
      <c r="G2" s="6">
        <v>-1.2876712328767092E-2</v>
      </c>
      <c r="H2" s="5" t="s">
        <v>901</v>
      </c>
      <c r="I2" s="5">
        <v>2.76</v>
      </c>
      <c r="J2" s="4">
        <v>15.51</v>
      </c>
      <c r="K2" s="4">
        <v>70.260000000000005</v>
      </c>
      <c r="L2" s="100">
        <f t="shared" ref="L2:L9" si="0">K2*0.9</f>
        <v>63.234000000000009</v>
      </c>
      <c r="M2" s="100" t="b">
        <f t="shared" ref="M2:M9" si="1">L2&gt;C2</f>
        <v>0</v>
      </c>
    </row>
    <row r="3" spans="1:13" ht="20.100000000000001" customHeight="1" x14ac:dyDescent="0.25">
      <c r="A3" s="2" t="s">
        <v>462</v>
      </c>
      <c r="B3" s="2" t="s">
        <v>469</v>
      </c>
      <c r="C3" s="4">
        <v>70.3</v>
      </c>
      <c r="D3" s="4">
        <v>69.81</v>
      </c>
      <c r="E3" s="4">
        <v>70.42</v>
      </c>
      <c r="F3" s="5">
        <v>70.099999999999994</v>
      </c>
      <c r="G3" s="6">
        <v>2.8530670470756471E-3</v>
      </c>
      <c r="H3" s="5" t="s">
        <v>902</v>
      </c>
      <c r="I3" s="5">
        <v>3.39</v>
      </c>
      <c r="J3" s="4">
        <v>13.01</v>
      </c>
      <c r="K3" s="4">
        <v>75.2</v>
      </c>
      <c r="L3" s="100">
        <f t="shared" si="0"/>
        <v>67.680000000000007</v>
      </c>
      <c r="M3" s="100" t="b">
        <f t="shared" si="1"/>
        <v>0</v>
      </c>
    </row>
    <row r="4" spans="1:13" ht="20.100000000000001" customHeight="1" x14ac:dyDescent="0.25">
      <c r="A4" s="81" t="s">
        <v>463</v>
      </c>
      <c r="B4" s="2" t="s">
        <v>470</v>
      </c>
      <c r="C4" s="4">
        <v>31.32</v>
      </c>
      <c r="D4" s="4">
        <v>31.1</v>
      </c>
      <c r="E4" s="4">
        <v>31.75</v>
      </c>
      <c r="F4" s="5">
        <v>32.67</v>
      </c>
      <c r="G4" s="6">
        <v>-4.132231404958682E-2</v>
      </c>
      <c r="H4" s="5" t="s">
        <v>903</v>
      </c>
      <c r="I4" s="5">
        <v>1.48</v>
      </c>
      <c r="J4" s="4">
        <v>14.66</v>
      </c>
      <c r="K4" s="4">
        <v>35.86</v>
      </c>
      <c r="L4" s="100">
        <f t="shared" si="0"/>
        <v>32.274000000000001</v>
      </c>
      <c r="M4" s="100" t="b">
        <f t="shared" si="1"/>
        <v>1</v>
      </c>
    </row>
    <row r="5" spans="1:13" ht="20.100000000000001" customHeight="1" x14ac:dyDescent="0.25">
      <c r="A5" s="2" t="s">
        <v>464</v>
      </c>
      <c r="B5" s="2" t="s">
        <v>471</v>
      </c>
      <c r="C5" s="4">
        <v>29.08</v>
      </c>
      <c r="D5" s="4">
        <v>28.49</v>
      </c>
      <c r="E5" s="4">
        <v>29.47</v>
      </c>
      <c r="F5" s="5">
        <v>30.7</v>
      </c>
      <c r="G5" s="6">
        <v>-5.2768729641693844E-2</v>
      </c>
      <c r="H5" s="5" t="s">
        <v>904</v>
      </c>
      <c r="I5" s="5">
        <v>1.75</v>
      </c>
      <c r="J5" s="4">
        <v>20.62</v>
      </c>
      <c r="K5" s="4">
        <v>31.54</v>
      </c>
      <c r="L5" s="100">
        <f t="shared" si="0"/>
        <v>28.385999999999999</v>
      </c>
      <c r="M5" s="100" t="b">
        <f t="shared" si="1"/>
        <v>0</v>
      </c>
    </row>
    <row r="6" spans="1:13" ht="20.100000000000001" customHeight="1" x14ac:dyDescent="0.25">
      <c r="A6" s="81" t="s">
        <v>465</v>
      </c>
      <c r="B6" s="2" t="s">
        <v>472</v>
      </c>
      <c r="C6" s="4">
        <v>71.75</v>
      </c>
      <c r="D6" s="4">
        <v>70.87</v>
      </c>
      <c r="E6" s="4">
        <v>72.33</v>
      </c>
      <c r="F6" s="5">
        <v>72</v>
      </c>
      <c r="G6" s="6">
        <v>-3.472222222222222E-3</v>
      </c>
      <c r="H6" s="5" t="s">
        <v>905</v>
      </c>
      <c r="I6" s="5">
        <v>1.36</v>
      </c>
      <c r="J6" s="4">
        <v>16.78</v>
      </c>
      <c r="K6" s="4">
        <v>86.45</v>
      </c>
      <c r="L6" s="100">
        <f t="shared" si="0"/>
        <v>77.805000000000007</v>
      </c>
      <c r="M6" s="100" t="b">
        <f t="shared" si="1"/>
        <v>1</v>
      </c>
    </row>
    <row r="7" spans="1:13" ht="20.100000000000001" customHeight="1" x14ac:dyDescent="0.25">
      <c r="A7" s="2" t="s">
        <v>466</v>
      </c>
      <c r="B7" s="2" t="s">
        <v>473</v>
      </c>
      <c r="C7" s="4">
        <v>82.5</v>
      </c>
      <c r="D7" s="4">
        <v>81.739999999999995</v>
      </c>
      <c r="E7" s="4">
        <v>83.02</v>
      </c>
      <c r="F7" s="5">
        <v>83.28</v>
      </c>
      <c r="G7" s="6">
        <v>-9.3659942363112526E-3</v>
      </c>
      <c r="H7" s="5" t="s">
        <v>906</v>
      </c>
      <c r="I7" s="5" t="s">
        <v>39</v>
      </c>
      <c r="J7" s="4">
        <v>27.37</v>
      </c>
      <c r="K7" s="4">
        <v>86.69</v>
      </c>
      <c r="L7" s="100">
        <f t="shared" si="0"/>
        <v>78.021000000000001</v>
      </c>
      <c r="M7" s="100" t="b">
        <f t="shared" si="1"/>
        <v>0</v>
      </c>
    </row>
    <row r="8" spans="1:13" ht="20.100000000000001" customHeight="1" x14ac:dyDescent="0.25">
      <c r="A8" s="2" t="s">
        <v>900</v>
      </c>
      <c r="B8" s="2" t="s">
        <v>907</v>
      </c>
      <c r="C8" s="4">
        <v>19.68</v>
      </c>
      <c r="D8" s="4">
        <v>19</v>
      </c>
      <c r="E8" s="4">
        <v>19.96</v>
      </c>
      <c r="F8" s="5">
        <v>22.81</v>
      </c>
      <c r="G8" s="6">
        <v>-0.13722051731696622</v>
      </c>
      <c r="H8" s="5" t="s">
        <v>567</v>
      </c>
      <c r="I8" s="5" t="s">
        <v>39</v>
      </c>
      <c r="J8" s="4">
        <v>20.98</v>
      </c>
      <c r="K8" s="4">
        <v>25.21</v>
      </c>
      <c r="L8" s="100">
        <f>K8*0.9</f>
        <v>22.689</v>
      </c>
      <c r="M8" s="100" t="b">
        <f>L8&gt;C8</f>
        <v>1</v>
      </c>
    </row>
    <row r="9" spans="1:13" ht="20.100000000000001" customHeight="1" x14ac:dyDescent="0.25">
      <c r="A9" s="2" t="s">
        <v>467</v>
      </c>
      <c r="B9" s="2" t="s">
        <v>474</v>
      </c>
      <c r="C9" s="4">
        <v>155.63999999999999</v>
      </c>
      <c r="D9" s="4">
        <v>155.4</v>
      </c>
      <c r="E9" s="4">
        <v>157.87</v>
      </c>
      <c r="F9" s="5">
        <v>158.06</v>
      </c>
      <c r="G9" s="6">
        <v>-1.5310641528533569E-2</v>
      </c>
      <c r="H9" s="5" t="s">
        <v>908</v>
      </c>
      <c r="I9" s="5">
        <v>1.1399999999999999</v>
      </c>
      <c r="J9" s="4">
        <v>29.42</v>
      </c>
      <c r="K9" s="4">
        <v>156.33000000000001</v>
      </c>
      <c r="L9" s="100">
        <f t="shared" si="0"/>
        <v>140.697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559</v>
      </c>
    </row>
    <row r="2" spans="1:13" ht="20.100000000000001" customHeight="1" thickTop="1" x14ac:dyDescent="0.25">
      <c r="A2" s="2" t="s">
        <v>531</v>
      </c>
      <c r="B2" s="2" t="s">
        <v>535</v>
      </c>
      <c r="C2" s="4">
        <v>64.349999999999994</v>
      </c>
      <c r="D2" s="4">
        <v>64.08</v>
      </c>
      <c r="E2" s="4">
        <v>64.62</v>
      </c>
      <c r="F2" s="5">
        <v>64</v>
      </c>
      <c r="G2" s="6">
        <v>5.4687499999999112E-3</v>
      </c>
      <c r="H2" s="5" t="s">
        <v>791</v>
      </c>
      <c r="I2" s="5">
        <v>2.56</v>
      </c>
      <c r="J2" s="4">
        <v>25.15</v>
      </c>
      <c r="K2" s="4">
        <v>61.59</v>
      </c>
      <c r="L2" s="100">
        <f t="shared" ref="L2:L5" si="0">K2*0.9</f>
        <v>55.431000000000004</v>
      </c>
      <c r="M2" s="100" t="b">
        <f t="shared" ref="M2:M5" si="1">L2&gt;C2</f>
        <v>0</v>
      </c>
    </row>
    <row r="3" spans="1:13" ht="20.100000000000001" customHeight="1" x14ac:dyDescent="0.25">
      <c r="A3" s="2" t="s">
        <v>532</v>
      </c>
      <c r="B3" s="2" t="s">
        <v>536</v>
      </c>
      <c r="C3" s="4">
        <v>51.08</v>
      </c>
      <c r="D3" s="4">
        <v>50.9</v>
      </c>
      <c r="E3" s="4">
        <v>51.28</v>
      </c>
      <c r="F3" s="5">
        <v>50.72</v>
      </c>
      <c r="G3" s="6">
        <v>7.0977917981072444E-3</v>
      </c>
      <c r="H3" s="5" t="s">
        <v>709</v>
      </c>
      <c r="I3" s="5">
        <v>2.52</v>
      </c>
      <c r="J3" s="4">
        <v>24.55</v>
      </c>
      <c r="K3" s="4">
        <v>48.9</v>
      </c>
      <c r="L3" s="100">
        <f t="shared" si="0"/>
        <v>44.01</v>
      </c>
      <c r="M3" s="100" t="b">
        <f t="shared" si="1"/>
        <v>0</v>
      </c>
    </row>
    <row r="4" spans="1:13" ht="20.100000000000001" customHeight="1" x14ac:dyDescent="0.25">
      <c r="A4" s="2" t="s">
        <v>533</v>
      </c>
      <c r="B4" s="2" t="s">
        <v>537</v>
      </c>
      <c r="C4" s="4">
        <v>84.15</v>
      </c>
      <c r="D4" s="4">
        <v>84.14</v>
      </c>
      <c r="E4" s="4">
        <v>86.05</v>
      </c>
      <c r="F4" s="5">
        <v>85.36</v>
      </c>
      <c r="G4" s="6">
        <v>-1.417525773195869E-2</v>
      </c>
      <c r="H4" s="5" t="s">
        <v>792</v>
      </c>
      <c r="I4" s="5" t="s">
        <v>39</v>
      </c>
      <c r="J4" s="4">
        <v>29.62</v>
      </c>
      <c r="K4" s="4">
        <v>105.31</v>
      </c>
      <c r="L4" s="100">
        <f t="shared" si="0"/>
        <v>94.779000000000011</v>
      </c>
      <c r="M4" s="100" t="b">
        <f t="shared" si="1"/>
        <v>1</v>
      </c>
    </row>
    <row r="5" spans="1:13" ht="20.100000000000001" customHeight="1" x14ac:dyDescent="0.25">
      <c r="A5" s="2" t="s">
        <v>534</v>
      </c>
      <c r="B5" s="2" t="s">
        <v>538</v>
      </c>
      <c r="C5" s="4">
        <v>78.489999999999995</v>
      </c>
      <c r="D5" s="4">
        <v>77.94</v>
      </c>
      <c r="E5" s="4">
        <v>79.709999999999994</v>
      </c>
      <c r="F5" s="5">
        <v>77.8</v>
      </c>
      <c r="G5" s="6">
        <v>8.8688946015423875E-3</v>
      </c>
      <c r="H5" s="5" t="s">
        <v>793</v>
      </c>
      <c r="I5" s="5">
        <v>0.75</v>
      </c>
      <c r="J5" s="4" t="s">
        <v>39</v>
      </c>
      <c r="K5" s="4">
        <v>69.53</v>
      </c>
      <c r="L5" s="100">
        <f t="shared" si="0"/>
        <v>62.577000000000005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2016-09-13T02:09:22Z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