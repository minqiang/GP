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drawings/drawing23.xml" ContentType="application/vnd.openxmlformats-officedocument.drawing+xml"/>
  <Override PartName="/xl/tables/table23.xml" ContentType="application/vnd.openxmlformats-officedocument.spreadsheetml.table+xml"/>
  <Override PartName="/xl/drawings/drawing24.xml" ContentType="application/vnd.openxmlformats-officedocument.drawing+xml"/>
  <Override PartName="/xl/tables/table24.xml" ContentType="application/vnd.openxmlformats-officedocument.spreadsheetml.table+xml"/>
  <Override PartName="/xl/drawings/drawing25.xml" ContentType="application/vnd.openxmlformats-officedocument.drawing+xml"/>
  <Override PartName="/xl/tables/table25.xml" ContentType="application/vnd.openxmlformats-officedocument.spreadsheetml.table+xml"/>
  <Override PartName="/xl/drawings/drawing26.xml" ContentType="application/vnd.openxmlformats-officedocument.drawing+xml"/>
  <Override PartName="/xl/tables/table26.xml" ContentType="application/vnd.openxmlformats-officedocument.spreadsheetml.table+xml"/>
  <Override PartName="/xl/drawings/drawing27.xml" ContentType="application/vnd.openxmlformats-officedocument.drawing+xml"/>
  <Override PartName="/xl/tables/table27.xml" ContentType="application/vnd.openxmlformats-officedocument.spreadsheetml.table+xml"/>
  <Override PartName="/xl/drawings/drawing28.xml" ContentType="application/vnd.openxmlformats-officedocument.drawing+xml"/>
  <Override PartName="/xl/tables/table28.xml" ContentType="application/vnd.openxmlformats-officedocument.spreadsheetml.table+xml"/>
  <Override PartName="/xl/drawings/drawing29.xml" ContentType="application/vnd.openxmlformats-officedocument.drawing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erospace" sheetId="22" r:id="rId2"/>
    <sheet name="AgChemical" sheetId="26" r:id="rId3"/>
    <sheet name="Airlines" sheetId="18" r:id="rId4"/>
    <sheet name="Apparel" sheetId="35" r:id="rId5"/>
    <sheet name="BioPharma" sheetId="6" r:id="rId6"/>
    <sheet name="Defense" sheetId="16" r:id="rId7"/>
    <sheet name="Electricity" sheetId="1" r:id="rId8"/>
    <sheet name="Electronics" sheetId="31" r:id="rId9"/>
    <sheet name="Energy" sheetId="2" r:id="rId10"/>
    <sheet name="ETF" sheetId="36" r:id="rId11"/>
    <sheet name="Fashion" sheetId="4" r:id="rId12"/>
    <sheet name="FastFood" sheetId="37" r:id="rId13"/>
    <sheet name="Financial" sheetId="13" r:id="rId14"/>
    <sheet name="Food" sheetId="17" r:id="rId15"/>
    <sheet name="Health" sheetId="3" r:id="rId16"/>
    <sheet name="Industrials" sheetId="7" r:id="rId17"/>
    <sheet name="IndustryConglomerate" sheetId="38" r:id="rId18"/>
    <sheet name="Insurance" sheetId="8" r:id="rId19"/>
    <sheet name="Media" sheetId="11" r:id="rId20"/>
    <sheet name="Metal" sheetId="28" r:id="rId21"/>
    <sheet name="Packaging" sheetId="24" r:id="rId22"/>
    <sheet name="Railroads" sheetId="10" r:id="rId23"/>
    <sheet name="Semiconductor" sheetId="5" r:id="rId24"/>
    <sheet name="Solar" sheetId="12" r:id="rId25"/>
    <sheet name="Technology" sheetId="30" r:id="rId26"/>
    <sheet name="TeleComm" sheetId="19" r:id="rId27"/>
    <sheet name="UtilityREIT" sheetId="9" r:id="rId28"/>
    <sheet name="VarietyStores" sheetId="34" r:id="rId29"/>
    <sheet name="WasteMgt" sheetId="39" r:id="rId3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22" l="1"/>
  <c r="M3" i="22"/>
  <c r="M4" i="22"/>
  <c r="M5" i="22"/>
  <c r="M6" i="22"/>
  <c r="M7" i="22"/>
</calcChain>
</file>

<file path=xl/sharedStrings.xml><?xml version="1.0" encoding="utf-8"?>
<sst xmlns="http://schemas.openxmlformats.org/spreadsheetml/2006/main" count="1577" uniqueCount="800">
  <si>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</si>
  <si>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</si>
  <si>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</si>
  <si>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</si>
  <si>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</si>
  <si>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</si>
  <si>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</si>
  <si>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</si>
  <si>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</si>
  <si>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</si>
  <si>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</si>
  <si>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</si>
  <si>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</si>
  <si>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</si>
  <si>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</si>
  <si>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</si>
  <si>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</si>
  <si>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</si>
  <si>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</si>
  <si>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</si>
  <si>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</si>
  <si>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</si>
  <si>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</si>
  <si>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</si>
  <si>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</si>
  <si>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</si>
  <si>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</si>
  <si>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</si>
  <si>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</si>
  <si>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</si>
  <si>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</si>
  <si>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</si>
  <si>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</si>
  <si>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</si>
  <si>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</si>
  <si>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</si>
  <si>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</si>
  <si>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</si>
  <si>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</si>
  <si>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</si>
  <si>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</si>
  <si>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</si>
  <si>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</si>
  <si>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</si>
  <si>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</si>
  <si>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</si>
  <si>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</si>
  <si>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</si>
  <si>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</si>
  <si>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</si>
  <si>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</si>
  <si>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</si>
  <si>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</si>
  <si>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</si>
  <si>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</si>
  <si>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</si>
  <si>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</si>
  <si>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</si>
  <si>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</si>
  <si>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</si>
  <si>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</si>
  <si>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</si>
  <si>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</si>
  <si>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</si>
  <si>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</si>
  <si>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</si>
  <si>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</si>
  <si>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</si>
  <si>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</si>
  <si>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</si>
  <si>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</si>
  <si>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</si>
  <si>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</si>
  <si>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</si>
  <si>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</si>
  <si>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</si>
  <si>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</si>
  <si>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</si>
  <si>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</si>
  <si>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</si>
  <si>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</si>
  <si>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</si>
  <si>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</si>
  <si>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</si>
  <si>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</si>
  <si>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</si>
  <si>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</si>
  <si>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</si>
  <si>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</si>
  <si>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</si>
  <si>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</si>
  <si>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</si>
  <si>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</si>
  <si>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</si>
  <si>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</si>
  <si>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</si>
  <si>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</si>
  <si>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</si>
  <si>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</si>
  <si>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</si>
  <si>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</si>
  <si>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</si>
  <si>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</si>
  <si>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</si>
  <si>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</si>
  <si>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</si>
  <si>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</si>
  <si>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</si>
  <si>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</si>
  <si>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</si>
  <si>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</si>
  <si>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</si>
  <si>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</si>
  <si>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</si>
  <si>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</si>
  <si>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</si>
  <si>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</si>
  <si>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</si>
  <si>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</si>
  <si>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</si>
  <si>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</si>
  <si>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</si>
  <si>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</si>
  <si>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</si>
  <si>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</si>
  <si>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</si>
  <si>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</si>
  <si>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</si>
  <si>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</si>
  <si>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</si>
  <si>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</si>
  <si>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</si>
  <si>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</si>
  <si>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</si>
  <si>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</si>
  <si>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</si>
  <si>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</si>
  <si>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</si>
  <si>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</si>
  <si>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</si>
  <si>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</si>
  <si>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</si>
  <si>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</si>
  <si>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</si>
  <si>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</si>
  <si>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</si>
  <si>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</si>
  <si>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</si>
  <si>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</si>
  <si>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</si>
  <si>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</si>
  <si>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</si>
  <si>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</si>
  <si>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</si>
  <si>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</si>
  <si>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</si>
  <si>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</si>
  <si>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</si>
  <si>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</si>
  <si>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</si>
  <si>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</si>
  <si>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</si>
  <si>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</si>
  <si>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</si>
  <si>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</si>
  <si>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</si>
  <si>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</si>
  <si>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</si>
  <si>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</si>
  <si>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</si>
  <si>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</si>
  <si>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</si>
  <si>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</si>
  <si>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</si>
  <si>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</si>
  <si>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</si>
  <si>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</si>
  <si>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</si>
  <si>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</si>
  <si>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</si>
  <si>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</si>
  <si>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</si>
  <si>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</si>
  <si>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</si>
  <si>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</si>
  <si>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</si>
  <si>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</si>
  <si>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</si>
  <si>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</si>
  <si>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</si>
  <si>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</si>
  <si>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</si>
  <si>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</si>
  <si>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</si>
  <si>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</si>
  <si>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</si>
  <si>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</si>
  <si>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</si>
  <si>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</si>
  <si>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</si>
  <si>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</si>
  <si>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</si>
  <si>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</si>
  <si>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</si>
  <si>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</si>
  <si>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</si>
  <si>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</si>
  <si>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</si>
  <si>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</si>
  <si>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</si>
  <si>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</si>
  <si>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</si>
  <si>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</si>
  <si>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</si>
  <si>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</si>
  <si>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</si>
  <si>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</si>
  <si>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</si>
  <si>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</si>
  <si>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</si>
  <si>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</si>
  <si>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</si>
  <si>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</si>
  <si>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</si>
  <si>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</si>
  <si>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</si>
  <si>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</si>
  <si>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</si>
  <si>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</si>
  <si>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</si>
  <si>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</si>
  <si>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</si>
  <si>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</si>
  <si>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</si>
  <si>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</si>
  <si>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</si>
  <si>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</si>
  <si>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</si>
  <si>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</si>
  <si>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</si>
  <si>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</si>
  <si>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</si>
  <si>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</si>
  <si>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</si>
  <si>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</si>
  <si>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</si>
  <si>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</si>
  <si>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</si>
  <si>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</si>
  <si>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</si>
  <si>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</si>
  <si>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</si>
  <si>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</si>
  <si>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</si>
  <si>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</si>
  <si>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</si>
  <si>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</si>
  <si>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</si>
  <si>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</si>
  <si>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</si>
  <si>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</si>
  <si>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</si>
  <si>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</si>
  <si>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</si>
  <si>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</si>
  <si>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</si>
  <si>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</si>
  <si>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</si>
  <si>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</si>
  <si>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</si>
  <si>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</si>
  <si>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</si>
  <si>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</si>
  <si>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</si>
  <si>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</si>
  <si>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</si>
  <si>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</si>
  <si>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</si>
  <si>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</si>
  <si>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</si>
  <si>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</si>
  <si>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</si>
  <si>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</si>
  <si>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</si>
  <si>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</si>
  <si>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</si>
  <si>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</si>
  <si>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</si>
  <si>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</si>
  <si>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</si>
  <si>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</si>
  <si>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</si>
  <si>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</si>
  <si>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</si>
  <si>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</si>
  <si>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</si>
  <si>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</si>
  <si>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</si>
  <si>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</si>
  <si>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</si>
  <si>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</si>
  <si>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</si>
  <si>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</si>
  <si>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</si>
  <si>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</si>
  <si>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</si>
  <si>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</si>
  <si>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</si>
  <si>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</si>
  <si>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</si>
  <si>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</si>
  <si>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</si>
  <si>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</si>
  <si>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</si>
  <si>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</si>
  <si>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</si>
  <si>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</si>
  <si>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</si>
  <si>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</si>
  <si>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</si>
  <si>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</si>
  <si>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</si>
  <si>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</si>
  <si>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</si>
  <si>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</si>
  <si>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</si>
  <si>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</si>
  <si>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</si>
  <si>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</si>
  <si>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"Graphic Packaging Holding Compa"</t>
  </si>
  <si>
    <t>"Packaging Corporation of Americ"</t>
  </si>
  <si>
    <t>"KapStone Paper and Packaging Co"</t>
  </si>
  <si>
    <t>Packaging</t>
  </si>
  <si>
    <t>59.05B</t>
  </si>
  <si>
    <t>20.70B</t>
  </si>
  <si>
    <t>153.43B</t>
  </si>
  <si>
    <t>184.77B</t>
  </si>
  <si>
    <t>18.80B</t>
  </si>
  <si>
    <t>59.53B</t>
  </si>
  <si>
    <t>8.47B</t>
  </si>
  <si>
    <t>19.45B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</si>
  <si>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</si>
  <si>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</si>
  <si>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</si>
  <si>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</si>
  <si>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</si>
  <si>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</si>
  <si>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</si>
  <si>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</si>
  <si>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</si>
  <si>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</si>
  <si>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</si>
  <si>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</si>
  <si>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</si>
  <si>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</si>
  <si>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</si>
  <si>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</si>
  <si>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</si>
  <si>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</si>
  <si>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</si>
  <si>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</si>
  <si>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</si>
  <si>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"SolarEdge Technologies, Inc."</t>
  </si>
  <si>
    <t>2.51B</t>
  </si>
  <si>
    <t>13.63B</t>
  </si>
  <si>
    <t>"Biogen Inc."</t>
  </si>
  <si>
    <t>"Mylan N.V."</t>
  </si>
  <si>
    <t>32.05B</t>
  </si>
  <si>
    <t>2.98B</t>
  </si>
  <si>
    <t>Metal</t>
  </si>
  <si>
    <t>ACH</t>
  </si>
  <si>
    <t>"Aluminum Corporation of China L"</t>
  </si>
  <si>
    <t>CENX</t>
  </si>
  <si>
    <t>NUE</t>
  </si>
  <si>
    <t>"Century Aluminum Company"</t>
  </si>
  <si>
    <t>"Nucor Corporation Common Stock"</t>
  </si>
  <si>
    <t>STLD</t>
  </si>
  <si>
    <t>"Steel Dynamics, Inc."</t>
  </si>
  <si>
    <t>"The Kraft Heinz Company"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</si>
  <si>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</si>
  <si>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</si>
  <si>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</si>
  <si>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</si>
  <si>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</si>
  <si>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</si>
  <si>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</si>
  <si>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</si>
  <si>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</si>
  <si>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</si>
  <si>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</si>
  <si>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</si>
  <si>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</si>
  <si>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</si>
  <si>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</si>
  <si>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</si>
  <si>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</si>
  <si>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</si>
  <si>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</si>
  <si>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</si>
  <si>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</si>
  <si>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</si>
  <si>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</si>
  <si>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</si>
  <si>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</si>
  <si>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</si>
  <si>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</si>
  <si>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</si>
  <si>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</si>
  <si>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34.84B</t>
  </si>
  <si>
    <t>46.28B</t>
  </si>
  <si>
    <t>20.06B</t>
  </si>
  <si>
    <t>GOOGL</t>
  </si>
  <si>
    <t>FB</t>
  </si>
  <si>
    <t>YHOO</t>
  </si>
  <si>
    <t>AKAM</t>
  </si>
  <si>
    <t>VRSN</t>
  </si>
  <si>
    <t>TRIP</t>
  </si>
  <si>
    <t>"Alphabet Inc."</t>
  </si>
  <si>
    <t>"Facebook, Inc."</t>
  </si>
  <si>
    <t>"Yahoo! Inc."</t>
  </si>
  <si>
    <t>"Akamai Technologies, Inc."</t>
  </si>
  <si>
    <t>"VeriSign, Inc."</t>
  </si>
  <si>
    <t>"TripAdvisor, Inc."</t>
  </si>
  <si>
    <t>ORCL</t>
  </si>
  <si>
    <t>CRM</t>
  </si>
  <si>
    <t>ADBE</t>
  </si>
  <si>
    <t>INTU</t>
  </si>
  <si>
    <t>RHT</t>
  </si>
  <si>
    <t>"Oracle Corporation Common Stock"</t>
  </si>
  <si>
    <t>"Salesforce.com Inc Common Stock"</t>
  </si>
  <si>
    <t>"Adobe Systems Incorporated"</t>
  </si>
  <si>
    <t>"Intuit Inc."</t>
  </si>
  <si>
    <t>"Red Hat, Inc. Common Stock"</t>
  </si>
  <si>
    <t>Category</t>
  </si>
  <si>
    <t>Internet Info Provider</t>
  </si>
  <si>
    <t>Telecom Services</t>
  </si>
  <si>
    <t>Application Software</t>
  </si>
  <si>
    <t>Technology</t>
  </si>
  <si>
    <t>13.11B</t>
  </si>
  <si>
    <t>163.64B</t>
  </si>
  <si>
    <t>25.67B</t>
  </si>
  <si>
    <t>47.92B</t>
  </si>
  <si>
    <t>42.86B</t>
  </si>
  <si>
    <t>31.90B</t>
  </si>
  <si>
    <t>9.66B</t>
  </si>
  <si>
    <t>9.25B</t>
  </si>
  <si>
    <t>512.71B</t>
  </si>
  <si>
    <t>311.41B</t>
  </si>
  <si>
    <t>9.92B</t>
  </si>
  <si>
    <t>214.00B</t>
  </si>
  <si>
    <t>235.96B</t>
  </si>
  <si>
    <t>6.28B</t>
  </si>
  <si>
    <t>17.33B</t>
  </si>
  <si>
    <t>SO</t>
  </si>
  <si>
    <t>D</t>
  </si>
  <si>
    <t>PCG</t>
  </si>
  <si>
    <t>PPL</t>
  </si>
  <si>
    <t>SRE</t>
  </si>
  <si>
    <t>EIX</t>
  </si>
  <si>
    <t>ED</t>
  </si>
  <si>
    <t>XEL</t>
  </si>
  <si>
    <t>WEC</t>
  </si>
  <si>
    <t>ES</t>
  </si>
  <si>
    <t>DTE</t>
  </si>
  <si>
    <t>ETR</t>
  </si>
  <si>
    <t>AEE</t>
  </si>
  <si>
    <t>AWK</t>
  </si>
  <si>
    <t>CMS</t>
  </si>
  <si>
    <t>SCG</t>
  </si>
  <si>
    <t>PNW</t>
  </si>
  <si>
    <t>GAS</t>
  </si>
  <si>
    <t>AES</t>
  </si>
  <si>
    <t>NI</t>
  </si>
  <si>
    <t>POM</t>
  </si>
  <si>
    <t>TE</t>
  </si>
  <si>
    <t>"Southern Company (The) Common S"</t>
  </si>
  <si>
    <t>"Dominion Resources, Inc. Common"</t>
  </si>
  <si>
    <t>"Pacific Gas &amp; Electric Co. Comm"</t>
  </si>
  <si>
    <t>"PP&amp;L Corporation Common Stock"</t>
  </si>
  <si>
    <t>"Sempra Energy Common Stock"</t>
  </si>
  <si>
    <t>"Edison International Common Sto"</t>
  </si>
  <si>
    <t>"Consolidated Edison, Inc. Commo"</t>
  </si>
  <si>
    <t>"Xcel Energy Inc. Common Stock"</t>
  </si>
  <si>
    <t>"WEC Energy Group, Inc. Common S"</t>
  </si>
  <si>
    <t>"Eversource Energy (D/B/A) Commo"</t>
  </si>
  <si>
    <t>"DTE Energy Company Common Stock"</t>
  </si>
  <si>
    <t>"Entergy Corporation Common Stoc"</t>
  </si>
  <si>
    <t>"Ameren Corporation Common Stock"</t>
  </si>
  <si>
    <t>"American Water Works Company, I"</t>
  </si>
  <si>
    <t>12.04B</t>
  </si>
  <si>
    <t>"CMS Energy Corporation Common S"</t>
  </si>
  <si>
    <t>"SCANA Corporation Common Stock"</t>
  </si>
  <si>
    <t>"Pinnacle West Capital Corporati"</t>
  </si>
  <si>
    <t>"AGL Resources, Inc. Common Stoc"</t>
  </si>
  <si>
    <t>"The AES Corporation Common Stoc"</t>
  </si>
  <si>
    <t>"NiSource Inc Common Stock"</t>
  </si>
  <si>
    <t>"TECO Energy, Inc. Common Stock"</t>
  </si>
  <si>
    <t>14.48B</t>
  </si>
  <si>
    <t>13.23B</t>
  </si>
  <si>
    <t>45.27B</t>
  </si>
  <si>
    <t>6.40B</t>
  </si>
  <si>
    <t>35.43B</t>
  </si>
  <si>
    <t>10.04B</t>
  </si>
  <si>
    <t>UAN</t>
  </si>
  <si>
    <t>IPI</t>
  </si>
  <si>
    <t>ICL</t>
  </si>
  <si>
    <t>TNH</t>
  </si>
  <si>
    <t>"CVR Partners, LP Common Units r"</t>
  </si>
  <si>
    <t>900.59M</t>
  </si>
  <si>
    <t>"Intrepid Potash, Inc Common Sto"</t>
  </si>
  <si>
    <t>112.65M</t>
  </si>
  <si>
    <t>"Israel Chemicals Limited Ordina"</t>
  </si>
  <si>
    <t>5.24B</t>
  </si>
  <si>
    <t>"Terra Nitrogen Company, L.P. Co"</t>
  </si>
  <si>
    <t>2.09B</t>
  </si>
  <si>
    <t>84.33B</t>
  </si>
  <si>
    <t>3.65B</t>
  </si>
  <si>
    <t>VALE</t>
  </si>
  <si>
    <t>"VALE S.A.  American Depositary "</t>
  </si>
  <si>
    <t>27.62B</t>
  </si>
  <si>
    <t>102.41B</t>
  </si>
  <si>
    <t>61.85B</t>
  </si>
  <si>
    <t>95.93B</t>
  </si>
  <si>
    <t>28.13B</t>
  </si>
  <si>
    <t>122.66B</t>
  </si>
  <si>
    <t>57.02B</t>
  </si>
  <si>
    <t>1.69B</t>
  </si>
  <si>
    <t>79.67B</t>
  </si>
  <si>
    <t>115.43B</t>
  </si>
  <si>
    <t>85.03B</t>
  </si>
  <si>
    <t>165.06B</t>
  </si>
  <si>
    <t>23.10B</t>
  </si>
  <si>
    <t>28.22M</t>
  </si>
  <si>
    <t>223.00B</t>
  </si>
  <si>
    <t>126.87B</t>
  </si>
  <si>
    <t>34.22B</t>
  </si>
  <si>
    <t>2.11B</t>
  </si>
  <si>
    <t>33.64B</t>
  </si>
  <si>
    <t>15.37B</t>
  </si>
  <si>
    <t>4.87B</t>
  </si>
  <si>
    <t>23.21B</t>
  </si>
  <si>
    <t>1.76B</t>
  </si>
  <si>
    <t>58.87B</t>
  </si>
  <si>
    <t>10.36B</t>
  </si>
  <si>
    <t>58.50B</t>
  </si>
  <si>
    <t>28.08B</t>
  </si>
  <si>
    <t>11.65B</t>
  </si>
  <si>
    <t>53.18B</t>
  </si>
  <si>
    <t>17.07B</t>
  </si>
  <si>
    <t>12.89B</t>
  </si>
  <si>
    <t>5.49B</t>
  </si>
  <si>
    <t>25.63B</t>
  </si>
  <si>
    <t>7.18B</t>
  </si>
  <si>
    <t>5.15B</t>
  </si>
  <si>
    <t>3.24B</t>
  </si>
  <si>
    <t>11.76B</t>
  </si>
  <si>
    <t>2.60B</t>
  </si>
  <si>
    <t>2.70B</t>
  </si>
  <si>
    <t>9.09B</t>
  </si>
  <si>
    <t>8.20B</t>
  </si>
  <si>
    <t>7.41B</t>
  </si>
  <si>
    <t>143.65B</t>
  </si>
  <si>
    <t>58.94B</t>
  </si>
  <si>
    <t>130.11B</t>
  </si>
  <si>
    <t>35.68B</t>
  </si>
  <si>
    <t>22.05B</t>
  </si>
  <si>
    <t>19.73B</t>
  </si>
  <si>
    <t>70.67B</t>
  </si>
  <si>
    <t>255.07B</t>
  </si>
  <si>
    <t>54.26B</t>
  </si>
  <si>
    <t>49.00B</t>
  </si>
  <si>
    <t>72.32B</t>
  </si>
  <si>
    <t>242.23B</t>
  </si>
  <si>
    <t>KALU</t>
  </si>
  <si>
    <t>"Kaiser Aluminum Corporation"</t>
  </si>
  <si>
    <t>AAPL</t>
  </si>
  <si>
    <t>ADI</t>
  </si>
  <si>
    <t>TXN</t>
  </si>
  <si>
    <t>QRVO</t>
  </si>
  <si>
    <t>12.82B</t>
  </si>
  <si>
    <t>"Apple Inc."</t>
  </si>
  <si>
    <t>541.06B</t>
  </si>
  <si>
    <t>63.74B</t>
  </si>
  <si>
    <t>"Analog Devices, Inc."</t>
  </si>
  <si>
    <t>18.49B</t>
  </si>
  <si>
    <t>"Texas Instruments Incorporated"</t>
  </si>
  <si>
    <t>65.12B</t>
  </si>
  <si>
    <t>"Qorvo, Inc."</t>
  </si>
  <si>
    <t>7.58B</t>
  </si>
  <si>
    <t>80.42B</t>
  </si>
  <si>
    <t>Electronics</t>
  </si>
  <si>
    <t>165.60B</t>
  </si>
  <si>
    <t>14.13B</t>
  </si>
  <si>
    <t>V</t>
  </si>
  <si>
    <t>MA</t>
  </si>
  <si>
    <t>AXP</t>
  </si>
  <si>
    <t>"Visa Inc."</t>
  </si>
  <si>
    <t>186.77B</t>
  </si>
  <si>
    <t>"Mastercard Incorporated Common "</t>
  </si>
  <si>
    <t>99.94B</t>
  </si>
  <si>
    <t>"American Express Company Common"</t>
  </si>
  <si>
    <t>60.66B</t>
  </si>
  <si>
    <t>DFS</t>
  </si>
  <si>
    <t>"Discover Financial Services Com"</t>
  </si>
  <si>
    <t>23.67B</t>
  </si>
  <si>
    <t>10.50B</t>
  </si>
  <si>
    <t>23.27B</t>
  </si>
  <si>
    <t>8.84B</t>
  </si>
  <si>
    <t>12.74B</t>
  </si>
  <si>
    <t>28.20B</t>
  </si>
  <si>
    <t>49.25B</t>
  </si>
  <si>
    <t>18.36B</t>
  </si>
  <si>
    <t>583.11M</t>
  </si>
  <si>
    <t>22.22B</t>
  </si>
  <si>
    <t>12.51B</t>
  </si>
  <si>
    <t>17.52B</t>
  </si>
  <si>
    <t>47.78B</t>
  </si>
  <si>
    <t>25.15B</t>
  </si>
  <si>
    <t>20.19B</t>
  </si>
  <si>
    <t>8.39B</t>
  </si>
  <si>
    <t>14.50B</t>
  </si>
  <si>
    <t>8.32B</t>
  </si>
  <si>
    <t>4.61B</t>
  </si>
  <si>
    <t>14.35B</t>
  </si>
  <si>
    <t>18.47B</t>
  </si>
  <si>
    <t>26.83B</t>
  </si>
  <si>
    <t>104.28B</t>
  </si>
  <si>
    <t>50.18B</t>
  </si>
  <si>
    <t>44.36B</t>
  </si>
  <si>
    <t>800.31M</t>
  </si>
  <si>
    <t>134.38B</t>
  </si>
  <si>
    <t>1.51B</t>
  </si>
  <si>
    <t>F</t>
  </si>
  <si>
    <t>36.18B</t>
  </si>
  <si>
    <t>302.35B</t>
  </si>
  <si>
    <t>47.38B</t>
  </si>
  <si>
    <t>110.02B</t>
  </si>
  <si>
    <t>3.11B</t>
  </si>
  <si>
    <t>88.29B</t>
  </si>
  <si>
    <t>90.87B</t>
  </si>
  <si>
    <t>47.12B</t>
  </si>
  <si>
    <t>"Ford Motor Company Common Stock"</t>
  </si>
  <si>
    <t>53.91B</t>
  </si>
  <si>
    <t>WMT</t>
  </si>
  <si>
    <t>TGT</t>
  </si>
  <si>
    <t>KR</t>
  </si>
  <si>
    <t>WFM</t>
  </si>
  <si>
    <t>DG</t>
  </si>
  <si>
    <t>DLTR</t>
  </si>
  <si>
    <t>COST</t>
  </si>
  <si>
    <t>"Wal-Mart Stores, Inc. Common St"</t>
  </si>
  <si>
    <t>229.60B</t>
  </si>
  <si>
    <t>"Target Corporation Common Stock"</t>
  </si>
  <si>
    <t>43.04B</t>
  </si>
  <si>
    <t>"Kroger Company (The) Common Sto"</t>
  </si>
  <si>
    <t>"Whole Foods Market, Inc."</t>
  </si>
  <si>
    <t>10.65B</t>
  </si>
  <si>
    <t>"Dollar General Corporation Comm"</t>
  </si>
  <si>
    <t>26.03B</t>
  </si>
  <si>
    <t>"Dollar Tree, Inc."</t>
  </si>
  <si>
    <t>22.23B</t>
  </si>
  <si>
    <t>"Costco Wholesale Corporation"</t>
  </si>
  <si>
    <t>72.90B</t>
  </si>
  <si>
    <t>VarietyStores</t>
  </si>
  <si>
    <t>4.88B</t>
  </si>
  <si>
    <t>2.46B</t>
  </si>
  <si>
    <t>804.42M</t>
  </si>
  <si>
    <t>NKE</t>
  </si>
  <si>
    <t>UA</t>
  </si>
  <si>
    <t>FOSL</t>
  </si>
  <si>
    <t>FINL</t>
  </si>
  <si>
    <t>"Nike, Inc. Common Stock"</t>
  </si>
  <si>
    <t>97.36B</t>
  </si>
  <si>
    <t>"Under Armour, Inc. Class A Comm"</t>
  </si>
  <si>
    <t>36.43B</t>
  </si>
  <si>
    <t>"Fossil Group, Inc."</t>
  </si>
  <si>
    <t>1.38B</t>
  </si>
  <si>
    <t>"The Finish Line, Inc."</t>
  </si>
  <si>
    <t>915.96M</t>
  </si>
  <si>
    <t>SIG</t>
  </si>
  <si>
    <t>"Signet Jewelers Limited Common "</t>
  </si>
  <si>
    <t>7.05B</t>
  </si>
  <si>
    <t>SPY</t>
  </si>
  <si>
    <t>VGK</t>
  </si>
  <si>
    <t>"SPDR S&amp;P 500"</t>
  </si>
  <si>
    <t>"Vanguard FTSEEuropean ETF"</t>
  </si>
  <si>
    <t>ETF</t>
  </si>
  <si>
    <t>VWO</t>
  </si>
  <si>
    <t>"Vanguard FTSE Emerging Markets "</t>
  </si>
  <si>
    <t>Apparel</t>
  </si>
  <si>
    <t>48.50B</t>
  </si>
  <si>
    <t>21.65B</t>
  </si>
  <si>
    <t>27.15B</t>
  </si>
  <si>
    <t>3.76B</t>
  </si>
  <si>
    <t>10.19B</t>
  </si>
  <si>
    <t>27.06B</t>
  </si>
  <si>
    <t>79.04B</t>
  </si>
  <si>
    <t>DEPO</t>
  </si>
  <si>
    <t>"Depomed, Inc."</t>
  </si>
  <si>
    <t>1.15B</t>
  </si>
  <si>
    <t>TEVA</t>
  </si>
  <si>
    <t>PRGO</t>
  </si>
  <si>
    <t>"Teva Pharmaceutical Industries "</t>
  </si>
  <si>
    <t>49.55B</t>
  </si>
  <si>
    <t>"Perrigo Company plc Ordinary Sh"</t>
  </si>
  <si>
    <t>13.56B</t>
  </si>
  <si>
    <t>ENDP</t>
  </si>
  <si>
    <t>MCD</t>
  </si>
  <si>
    <t>CMG</t>
  </si>
  <si>
    <t>JACK</t>
  </si>
  <si>
    <t>YUM</t>
  </si>
  <si>
    <t>WEN</t>
  </si>
  <si>
    <t>SONC</t>
  </si>
  <si>
    <t>PZZA</t>
  </si>
  <si>
    <t>"McDonald's Corporation Common S"</t>
  </si>
  <si>
    <t>108.51B</t>
  </si>
  <si>
    <t>"Chipotle Mexican Grill, Inc. Co"</t>
  </si>
  <si>
    <t>11.82B</t>
  </si>
  <si>
    <t>"Jack In The Box Inc."</t>
  </si>
  <si>
    <t>2.86B</t>
  </si>
  <si>
    <t>"Yum! Brands, Inc."</t>
  </si>
  <si>
    <t>34.91B</t>
  </si>
  <si>
    <t>"Wendy's Company (The)"</t>
  </si>
  <si>
    <t>2.56B</t>
  </si>
  <si>
    <t>"Sonic Corp."</t>
  </si>
  <si>
    <t>1.32B</t>
  </si>
  <si>
    <t>"Papa John's International, Inc."</t>
  </si>
  <si>
    <t>2.57B</t>
  </si>
  <si>
    <t>FastFood</t>
  </si>
  <si>
    <t>SAVE</t>
  </si>
  <si>
    <t>"Spirit Airlines, Inc."</t>
  </si>
  <si>
    <t>JETS</t>
  </si>
  <si>
    <t>"U.S. Global Jets ETF"</t>
  </si>
  <si>
    <t>CEA</t>
  </si>
  <si>
    <t>"China Eastern Airlines Corporat"</t>
  </si>
  <si>
    <t>ATI</t>
  </si>
  <si>
    <t>MLM</t>
  </si>
  <si>
    <t>SUM</t>
  </si>
  <si>
    <t>VMC</t>
  </si>
  <si>
    <t>"Allegheny Technologies Incorpor"</t>
  </si>
  <si>
    <t>"Martin Marietta Materials, Inc."</t>
  </si>
  <si>
    <t>"Summit Materials, Inc. Class A "</t>
  </si>
  <si>
    <t>"Vulcan Materials Company (Holdi"</t>
  </si>
  <si>
    <t>IR</t>
  </si>
  <si>
    <t>IndustryConglomerate</t>
  </si>
  <si>
    <t>WM</t>
  </si>
  <si>
    <t>RSG</t>
  </si>
  <si>
    <t>SRCL</t>
  </si>
  <si>
    <t>WCN</t>
  </si>
  <si>
    <t>"Waste Management, Inc. Common S"</t>
  </si>
  <si>
    <t>29.87B</t>
  </si>
  <si>
    <t>"Republic Services, Inc. Common "</t>
  </si>
  <si>
    <t>17.93B</t>
  </si>
  <si>
    <t>"Stericycle, Inc."</t>
  </si>
  <si>
    <t>8.99B</t>
  </si>
  <si>
    <t>"Waste Connections, Inc. Common "</t>
  </si>
  <si>
    <t>8.96B</t>
  </si>
  <si>
    <t>WasteMgt</t>
  </si>
  <si>
    <t>SEE</t>
  </si>
  <si>
    <t>WRK</t>
  </si>
  <si>
    <t>18.55B</t>
  </si>
  <si>
    <t>4.19B</t>
  </si>
  <si>
    <t>6.93B</t>
  </si>
  <si>
    <t>1.41B</t>
  </si>
  <si>
    <t>"Sealed Air Corporation Common S"</t>
  </si>
  <si>
    <t>9.60B</t>
  </si>
  <si>
    <t>"Westrock Company Common Stock"</t>
  </si>
  <si>
    <t>10.77B</t>
  </si>
  <si>
    <t>85.02B</t>
  </si>
  <si>
    <t>10.84B</t>
  </si>
  <si>
    <t>1.84B</t>
  </si>
  <si>
    <t>11.09B</t>
  </si>
  <si>
    <t>3.56B</t>
  </si>
  <si>
    <t>4.45B</t>
  </si>
  <si>
    <t>Target</t>
  </si>
  <si>
    <t>Column1</t>
  </si>
  <si>
    <t>HA</t>
  </si>
  <si>
    <t>19.53B</t>
  </si>
  <si>
    <t>29.53B</t>
  </si>
  <si>
    <t>15.34B</t>
  </si>
  <si>
    <t>23.91B</t>
  </si>
  <si>
    <t>5.66B</t>
  </si>
  <si>
    <t>3.12B</t>
  </si>
  <si>
    <t>7.35B</t>
  </si>
  <si>
    <t>"Hawaiian Holdings, Inc."</t>
  </si>
  <si>
    <t>2.48B</t>
  </si>
  <si>
    <t>13.90B</t>
  </si>
  <si>
    <t>15.86B</t>
  </si>
  <si>
    <t>3.10B</t>
  </si>
  <si>
    <t>608.54M</t>
  </si>
  <si>
    <t>16.84B</t>
  </si>
  <si>
    <t>6.43B</t>
  </si>
  <si>
    <t>6.30B</t>
  </si>
  <si>
    <t>1.65B</t>
  </si>
  <si>
    <t>12.59B</t>
  </si>
  <si>
    <t>1.37B</t>
  </si>
  <si>
    <t>16.83B</t>
  </si>
  <si>
    <t>TCK</t>
  </si>
  <si>
    <t>"Teck Resources Ltd Ordinary Sha"</t>
  </si>
  <si>
    <t>7.83B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</si>
</sst>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66"/>
      <name val="Calibri"/>
      <family val="2"/>
      <scheme val="minor"/>
    </font>
    <font>
      <sz val="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73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3" fillId="3" borderId="0" xfId="0" applyFont="1" applyFill="1"/>
    <xf numFmtId="0" fontId="3" fillId="3" borderId="0" xfId="0" applyFont="1" applyFill="1" applyAlignment="1">
      <alignment horizontal="right"/>
    </xf>
    <xf numFmtId="2" fontId="3" fillId="3" borderId="0" xfId="0" applyNumberFormat="1" applyFont="1" applyFill="1" applyAlignment="1">
      <alignment horizontal="right"/>
    </xf>
    <xf numFmtId="10" fontId="3" fillId="3" borderId="0" xfId="0" applyNumberFormat="1" applyFont="1" applyFill="1" applyAlignment="1">
      <alignment horizontal="right"/>
    </xf>
    <xf numFmtId="10" fontId="3" fillId="3" borderId="0" xfId="1" applyNumberFormat="1" applyFont="1" applyFill="1" applyAlignment="1">
      <alignment horizontal="right"/>
    </xf>
    <xf numFmtId="0" fontId="3" fillId="3" borderId="0" xfId="0" applyNumberFormat="1" applyFont="1" applyFill="1" applyAlignment="1">
      <alignment horizontal="right"/>
    </xf>
    <xf numFmtId="0" fontId="3" fillId="4" borderId="0" xfId="0" applyFont="1" applyFill="1"/>
    <xf numFmtId="0" fontId="3" fillId="4" borderId="0" xfId="0" applyFont="1" applyFill="1" applyAlignment="1">
      <alignment horizontal="right"/>
    </xf>
    <xf numFmtId="2" fontId="3" fillId="4" borderId="0" xfId="0" applyNumberFormat="1" applyFont="1" applyFill="1" applyAlignment="1">
      <alignment horizontal="right"/>
    </xf>
    <xf numFmtId="10" fontId="3" fillId="4" borderId="0" xfId="0" applyNumberFormat="1" applyFont="1" applyFill="1" applyAlignment="1">
      <alignment horizontal="right"/>
    </xf>
    <xf numFmtId="0" fontId="3" fillId="4" borderId="0" xfId="0" applyFont="1" applyFill="1" applyAlignment="1">
      <alignment horizontal="right" wrapText="1"/>
    </xf>
    <xf numFmtId="10" fontId="3" fillId="4" borderId="0" xfId="1" applyNumberFormat="1" applyFont="1" applyFill="1" applyAlignment="1">
      <alignment horizontal="right"/>
    </xf>
    <xf numFmtId="0" fontId="3" fillId="4" borderId="0" xfId="0" applyNumberFormat="1" applyFont="1" applyFill="1" applyAlignment="1">
      <alignment horizontal="right"/>
    </xf>
    <xf numFmtId="0" fontId="3" fillId="5" borderId="0" xfId="0" applyFont="1" applyFill="1"/>
    <xf numFmtId="0" fontId="3" fillId="5" borderId="0" xfId="0" applyFont="1" applyFill="1" applyAlignment="1">
      <alignment horizontal="right"/>
    </xf>
    <xf numFmtId="2" fontId="3" fillId="5" borderId="0" xfId="0" applyNumberFormat="1" applyFont="1" applyFill="1" applyAlignment="1">
      <alignment horizontal="right"/>
    </xf>
    <xf numFmtId="10" fontId="3" fillId="5" borderId="0" xfId="0" applyNumberFormat="1" applyFont="1" applyFill="1" applyAlignment="1">
      <alignment horizontal="right"/>
    </xf>
    <xf numFmtId="0" fontId="3" fillId="5" borderId="0" xfId="0" applyFont="1" applyFill="1" applyAlignment="1">
      <alignment horizontal="right" wrapText="1"/>
    </xf>
    <xf numFmtId="10" fontId="3" fillId="5" borderId="0" xfId="1" applyNumberFormat="1" applyFont="1" applyFill="1" applyAlignment="1">
      <alignment horizontal="right"/>
    </xf>
    <xf numFmtId="0" fontId="3" fillId="5" borderId="0" xfId="0" applyNumberFormat="1" applyFont="1" applyFill="1" applyAlignment="1">
      <alignment horizontal="right"/>
    </xf>
    <xf numFmtId="0" fontId="3" fillId="6" borderId="1" xfId="0" applyFont="1" applyFill="1" applyBorder="1"/>
    <xf numFmtId="0" fontId="3" fillId="7" borderId="1" xfId="0" applyFont="1" applyFill="1" applyBorder="1"/>
    <xf numFmtId="0" fontId="19" fillId="0" borderId="0" xfId="0" applyFont="1"/>
    <xf numFmtId="0" fontId="1" fillId="5" borderId="0" xfId="0" applyFont="1" applyFill="1"/>
    <xf numFmtId="0" fontId="3" fillId="8" borderId="0" xfId="0" applyFont="1" applyFill="1"/>
    <xf numFmtId="0" fontId="3" fillId="8" borderId="0" xfId="0" applyFont="1" applyFill="1" applyAlignment="1">
      <alignment horizontal="right"/>
    </xf>
    <xf numFmtId="2" fontId="3" fillId="8" borderId="0" xfId="0" applyNumberFormat="1" applyFont="1" applyFill="1" applyAlignment="1">
      <alignment horizontal="right"/>
    </xf>
    <xf numFmtId="10" fontId="3" fillId="8" borderId="0" xfId="0" applyNumberFormat="1" applyFont="1" applyFill="1" applyAlignment="1">
      <alignment horizontal="right"/>
    </xf>
    <xf numFmtId="0" fontId="3" fillId="8" borderId="0" xfId="0" applyNumberFormat="1" applyFont="1" applyFill="1"/>
    <xf numFmtId="0" fontId="13" fillId="8" borderId="0" xfId="0" applyFont="1" applyFill="1"/>
    <xf numFmtId="0" fontId="19" fillId="8" borderId="0" xfId="0" applyFont="1" applyFill="1"/>
    <xf numFmtId="0" fontId="16" fillId="2" borderId="0" xfId="0" applyFont="1" applyFill="1" applyAlignment="1"/>
    <xf numFmtId="0" fontId="12" fillId="2" borderId="0" xfId="2" applyFont="1" applyFill="1" applyAlignment="1"/>
    <xf numFmtId="0" fontId="20" fillId="0" borderId="0" xfId="0" applyFont="1" applyAlignment="1">
      <alignment horizontal="right"/>
    </xf>
  </cellXfs>
  <cellStyles count="3">
    <cellStyle name="Comma" xfId="1" builtinId="3"/>
    <cellStyle name="Hyperlink" xfId="2" builtinId="8"/>
    <cellStyle name="Normal" xfId="0" builtinId="0"/>
  </cellStyles>
  <dxfs count="3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1"/>
      <tableStyleElement type="headerRow" dxfId="380"/>
    </tableStyle>
  </tableStyles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161925</xdr:colOff>
      <xdr:row>3</xdr:row>
      <xdr:rowOff>123825</xdr:rowOff>
    </xdr:from>
    <xdr:to>
      <xdr:col>17</xdr:col>
      <xdr:colOff>419100</xdr:colOff>
      <xdr:row>12</xdr:row>
      <xdr:rowOff>171450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06450" y="86677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495300</xdr:colOff>
      <xdr:row>3</xdr:row>
      <xdr:rowOff>9525</xdr:rowOff>
    </xdr:from>
    <xdr:to>
      <xdr:col>21</xdr:col>
      <xdr:colOff>228600</xdr:colOff>
      <xdr:row>12</xdr:row>
      <xdr:rowOff>142875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8625" y="7524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5</xdr:row>
      <xdr:rowOff>142875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5</xdr:row>
      <xdr:rowOff>257175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819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9" name="Table351520" displayName="Table351520" ref="A1:M7" totalsRowShown="0" headerRowDxfId="379" dataDxfId="378">
  <autoFilter ref="A1:M7"/>
  <sortState ref="A2:I9">
    <sortCondition ref="A1:A9"/>
  </sortState>
  <tableColumns count="13">
    <tableColumn id="1" name="Ticker" dataDxfId="377"/>
    <tableColumn id="2" name="Company Name" dataDxfId="376"/>
    <tableColumn id="3" name="LatestPrice" dataDxfId="375"/>
    <tableColumn id="4" name="DaysLow" dataDxfId="374"/>
    <tableColumn id="5" name="DaysHigh" dataDxfId="373"/>
    <tableColumn id="6" name="PreviousClose" dataDxfId="372"/>
    <tableColumn id="10" name="%Change" dataDxfId="371"/>
    <tableColumn id="7" name="MarketCap" dataDxfId="370"/>
    <tableColumn id="8" name="DivYield" dataDxfId="369"/>
    <tableColumn id="9" name="P/E" dataDxfId="368"/>
    <tableColumn id="11" name="MA200" dataDxfId="367"/>
    <tableColumn id="12" name="Target" dataDxfId="366"/>
    <tableColumn id="13" name="Column1" dataDxfId="365">
      <calculatedColumnFormula>Table351520[[#This Row],[LatestPrice]]&lt;Table351520[[#This Row],[Target]]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21" name="Table351522" displayName="Table351522" ref="A1:K12" totalsRowShown="0" headerRowDxfId="364" dataDxfId="363">
  <autoFilter ref="A1:K12"/>
  <sortState ref="A2:I9">
    <sortCondition ref="A1:A9"/>
  </sortState>
  <tableColumns count="11">
    <tableColumn id="1" name="Ticker" dataDxfId="362"/>
    <tableColumn id="2" name="Company Name" dataDxfId="361"/>
    <tableColumn id="3" name="LatestPrice" dataDxfId="360"/>
    <tableColumn id="4" name="DaysLow" dataDxfId="359"/>
    <tableColumn id="5" name="DaysHigh" dataDxfId="358"/>
    <tableColumn id="6" name="PreviousClose" dataDxfId="357"/>
    <tableColumn id="10" name="%Change" dataDxfId="356"/>
    <tableColumn id="7" name="MarketCap" dataDxfId="355"/>
    <tableColumn id="8" name="DivYield" dataDxfId="354"/>
    <tableColumn id="9" name="P/E" dataDxfId="353"/>
    <tableColumn id="11" name="MA200" dataDxfId="352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4" name="Table35" displayName="Table35" ref="A1:K10" totalsRowShown="0" headerRowDxfId="351" dataDxfId="350">
  <autoFilter ref="A1:K10"/>
  <sortState ref="A2:I9">
    <sortCondition ref="A1:A9"/>
  </sortState>
  <tableColumns count="11">
    <tableColumn id="1" name="Ticker" dataDxfId="349"/>
    <tableColumn id="2" name="Company Name" dataDxfId="348"/>
    <tableColumn id="3" name="LatestPrice" dataDxfId="347"/>
    <tableColumn id="4" name="DaysLow" dataDxfId="346"/>
    <tableColumn id="5" name="DaysHigh" dataDxfId="345"/>
    <tableColumn id="6" name="PreviousClose" dataDxfId="344"/>
    <tableColumn id="10" name="%Change" dataDxfId="343"/>
    <tableColumn id="7" name="MarketCap" dataDxfId="342"/>
    <tableColumn id="8" name="DivYield" dataDxfId="341"/>
    <tableColumn id="9" name="P/E" dataDxfId="340"/>
    <tableColumn id="11" name="MA200" dataDxfId="339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25" name="Table35152226" displayName="Table35152226" ref="A1:K6" totalsRowShown="0" headerRowDxfId="338" dataDxfId="337">
  <autoFilter ref="A1:K6"/>
  <sortState ref="A2:I9">
    <sortCondition ref="A1:A9"/>
  </sortState>
  <tableColumns count="11">
    <tableColumn id="1" name="Ticker" dataDxfId="336"/>
    <tableColumn id="2" name="Company Name" dataDxfId="335"/>
    <tableColumn id="3" name="LatestPrice" dataDxfId="334"/>
    <tableColumn id="4" name="DaysLow" dataDxfId="333"/>
    <tableColumn id="5" name="DaysHigh" dataDxfId="332"/>
    <tableColumn id="6" name="PreviousClose" dataDxfId="331"/>
    <tableColumn id="10" name="%Change" dataDxfId="330"/>
    <tableColumn id="7" name="MarketCap" dataDxfId="329"/>
    <tableColumn id="8" name="DivYield" dataDxfId="328"/>
    <tableColumn id="9" name="P/E" dataDxfId="327"/>
    <tableColumn id="11" name="MA200" dataDxfId="326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21" totalsRowShown="0" headerRowDxfId="325" dataDxfId="324">
  <autoFilter ref="A1:K21"/>
  <sortState ref="A2:K16">
    <sortCondition ref="A1:A16"/>
  </sortState>
  <tableColumns count="11">
    <tableColumn id="1" name="Ticker" dataDxfId="323"/>
    <tableColumn id="2" name="Company Name" dataDxfId="322"/>
    <tableColumn id="3" name="LatestPrice" dataDxfId="321"/>
    <tableColumn id="4" name="DaysLow" dataDxfId="320"/>
    <tableColumn id="5" name="DaysHigh" dataDxfId="319"/>
    <tableColumn id="6" name="PreviousClose" dataDxfId="318"/>
    <tableColumn id="7" name="%Change" dataDxfId="317" dataCellStyle="Comma"/>
    <tableColumn id="8" name="MarketCap" dataDxfId="316"/>
    <tableColumn id="9" name="DivYield" dataDxfId="315"/>
    <tableColumn id="10" name="P/E" dataDxfId="314"/>
    <tableColumn id="11" name="MA200" dataDxfId="313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312" dataDxfId="311">
  <autoFilter ref="A1:K5"/>
  <sortState ref="A2:K8">
    <sortCondition ref="A1:A8"/>
  </sortState>
  <tableColumns count="11">
    <tableColumn id="1" name="Ticker" dataDxfId="310"/>
    <tableColumn id="2" name="Company Name" dataDxfId="309"/>
    <tableColumn id="3" name="LatestPrice" dataDxfId="308"/>
    <tableColumn id="4" name="DaysLow" dataDxfId="307"/>
    <tableColumn id="5" name="DaysHigh" dataDxfId="306"/>
    <tableColumn id="6" name="PreviousClose" dataDxfId="305"/>
    <tableColumn id="10" name="%Change" dataDxfId="304"/>
    <tableColumn id="7" name="MarketCap" dataDxfId="303"/>
    <tableColumn id="8" name="DivYield" dataDxfId="302"/>
    <tableColumn id="9" name="P/E" dataDxfId="301"/>
    <tableColumn id="11" name="MA200" dataDxfId="300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99" dataDxfId="298">
  <autoFilter ref="A1:K12"/>
  <sortState ref="A2:I9">
    <sortCondition ref="A1:A9"/>
  </sortState>
  <tableColumns count="11">
    <tableColumn id="1" name="Ticker" dataDxfId="297"/>
    <tableColumn id="2" name="Company Name" dataDxfId="296"/>
    <tableColumn id="3" name="LatestPrice" dataDxfId="295"/>
    <tableColumn id="4" name="DaysLow" dataDxfId="294"/>
    <tableColumn id="5" name="DaysHigh" dataDxfId="293"/>
    <tableColumn id="6" name="PreviousClose" dataDxfId="292"/>
    <tableColumn id="10" name="%Change" dataDxfId="291"/>
    <tableColumn id="7" name="MarketCap" dataDxfId="290"/>
    <tableColumn id="8" name="DivYield" dataDxfId="289"/>
    <tableColumn id="9" name="P/E" dataDxfId="288"/>
    <tableColumn id="11" name="MA200" dataDxfId="287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3" name="Table324" displayName="Table324" ref="A1:K8" totalsRowShown="0" headerRowDxfId="286" dataDxfId="285">
  <autoFilter ref="A1:K8"/>
  <sortState ref="A2:I9">
    <sortCondition ref="A1:A9"/>
  </sortState>
  <tableColumns count="11">
    <tableColumn id="1" name="Ticker" dataDxfId="284"/>
    <tableColumn id="2" name="Company Name" dataDxfId="283"/>
    <tableColumn id="3" name="LatestPrice" dataDxfId="282"/>
    <tableColumn id="4" name="DaysLow" dataDxfId="281"/>
    <tableColumn id="5" name="DaysHigh" dataDxfId="280"/>
    <tableColumn id="6" name="PreviousClose" dataDxfId="279"/>
    <tableColumn id="10" name="%Change" dataDxfId="278"/>
    <tableColumn id="7" name="MarketCap" dataDxfId="277"/>
    <tableColumn id="8" name="DivYield" dataDxfId="276"/>
    <tableColumn id="9" name="P/E" dataDxfId="275"/>
    <tableColumn id="11" name="MA200" dataDxfId="274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2" name="Table2" displayName="Table2" ref="A1:K17" totalsRowShown="0" headerRowDxfId="273" dataDxfId="272">
  <autoFilter ref="A1:K17"/>
  <sortState ref="A2:K15">
    <sortCondition ref="A1:A15"/>
  </sortState>
  <tableColumns count="11">
    <tableColumn id="1" name="Ticker" dataDxfId="271"/>
    <tableColumn id="2" name="Company Name" dataDxfId="270"/>
    <tableColumn id="3" name="LatestPrice" dataDxfId="269"/>
    <tableColumn id="4" name="DaysLow" dataDxfId="268"/>
    <tableColumn id="5" name="DaysHigh" dataDxfId="267"/>
    <tableColumn id="6" name="PreviousClose" dataDxfId="266"/>
    <tableColumn id="7" name="%Change" dataDxfId="265" dataCellStyle="Comma"/>
    <tableColumn id="8" name="MarketCap" dataDxfId="264"/>
    <tableColumn id="9" name="DivYield" dataDxfId="263"/>
    <tableColumn id="10" name="P/E" dataDxfId="262"/>
    <tableColumn id="11" name="MA200" dataDxfId="261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26" name="Table227" displayName="Table227" ref="A1:K4" totalsRowShown="0" headerRowDxfId="260" dataDxfId="259">
  <autoFilter ref="A1:K4"/>
  <sortState ref="A2:K15">
    <sortCondition ref="A1:A15"/>
  </sortState>
  <tableColumns count="11">
    <tableColumn id="1" name="Ticker" dataDxfId="258"/>
    <tableColumn id="2" name="Company Name" dataDxfId="257"/>
    <tableColumn id="3" name="LatestPrice" dataDxfId="256"/>
    <tableColumn id="4" name="DaysLow" dataDxfId="255"/>
    <tableColumn id="5" name="DaysHigh" dataDxfId="254"/>
    <tableColumn id="6" name="PreviousClose" dataDxfId="253"/>
    <tableColumn id="7" name="%Change" dataDxfId="252" dataCellStyle="Comma"/>
    <tableColumn id="8" name="MarketCap" dataDxfId="251"/>
    <tableColumn id="9" name="DivYield" dataDxfId="250"/>
    <tableColumn id="10" name="P/E" dataDxfId="249"/>
    <tableColumn id="11" name="MA200" dataDxfId="248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5" name="Table26216" displayName="Table26216" ref="A1:K8" totalsRowShown="0" headerRowDxfId="247" dataDxfId="246">
  <autoFilter ref="A1:K8"/>
  <sortState ref="A2:K6">
    <sortCondition ref="A1:A6"/>
  </sortState>
  <tableColumns count="11">
    <tableColumn id="1" name="Ticker" dataDxfId="245"/>
    <tableColumn id="2" name="Company Name" dataDxfId="244"/>
    <tableColumn id="3" name="LatestPrice" dataDxfId="243"/>
    <tableColumn id="4" name="DaysLow" dataDxfId="242"/>
    <tableColumn id="5" name="DaysHigh" dataDxfId="241"/>
    <tableColumn id="6" name="PreviousClose" dataDxfId="240"/>
    <tableColumn id="7" name="%Change" dataDxfId="239"/>
    <tableColumn id="8" name="MarketCap" dataDxfId="238"/>
    <tableColumn id="9" name="DivYield" dataDxfId="237"/>
    <tableColumn id="10" name="P/E" dataDxfId="236"/>
    <tableColumn id="11" name="MA200" dataDxfId="235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27" name="Table2621628" displayName="Table2621628" ref="A1:K8" totalsRowShown="0" headerRowDxfId="234" dataDxfId="233">
  <autoFilter ref="A1:K8"/>
  <sortState ref="A2:K6">
    <sortCondition ref="A1:A6"/>
  </sortState>
  <tableColumns count="11">
    <tableColumn id="1" name="Ticker" dataDxfId="232"/>
    <tableColumn id="2" name="Company Name" dataDxfId="231"/>
    <tableColumn id="3" name="LatestPrice" dataDxfId="230"/>
    <tableColumn id="4" name="DaysLow" dataDxfId="229"/>
    <tableColumn id="5" name="DaysHigh" dataDxfId="228"/>
    <tableColumn id="6" name="PreviousClose" dataDxfId="227"/>
    <tableColumn id="7" name="%Change" dataDxfId="226"/>
    <tableColumn id="8" name="MarketCap" dataDxfId="225"/>
    <tableColumn id="9" name="DivYield" dataDxfId="224"/>
    <tableColumn id="10" name="P/E" dataDxfId="223"/>
    <tableColumn id="11" name="MA200" dataDxfId="222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3" name="Table26214" displayName="Table26214" ref="A1:K18" totalsRowShown="0" headerRowDxfId="221" dataDxfId="220">
  <autoFilter ref="A1:K18"/>
  <sortState ref="A2:K14">
    <sortCondition ref="A1:A14"/>
  </sortState>
  <tableColumns count="11">
    <tableColumn id="1" name="Ticker" dataDxfId="219"/>
    <tableColumn id="2" name="Company Name" dataDxfId="218"/>
    <tableColumn id="3" name="LatestPrice" dataDxfId="217"/>
    <tableColumn id="4" name="DaysLow" dataDxfId="216"/>
    <tableColumn id="5" name="DaysHigh" dataDxfId="215"/>
    <tableColumn id="6" name="PreviousClose" dataDxfId="214"/>
    <tableColumn id="7" name="%Change" dataDxfId="213"/>
    <tableColumn id="8" name="MarketCap" dataDxfId="212"/>
    <tableColumn id="9" name="DivYield" dataDxfId="211"/>
    <tableColumn id="10" name="P/E" dataDxfId="210"/>
    <tableColumn id="11" name="MA200" dataDxfId="209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8" name="Table2619" displayName="Table2619" ref="A1:K9" totalsRowShown="0" headerRowDxfId="208" dataDxfId="207">
  <autoFilter ref="A1:K9"/>
  <sortState ref="A2:K9">
    <sortCondition ref="A1:A9"/>
  </sortState>
  <tableColumns count="11">
    <tableColumn id="1" name="Ticker" dataDxfId="206"/>
    <tableColumn id="2" name="Company Name" dataDxfId="205"/>
    <tableColumn id="3" name="LatestPrice" dataDxfId="204"/>
    <tableColumn id="4" name="DaysLow" dataDxfId="203"/>
    <tableColumn id="5" name="DaysHigh" dataDxfId="202"/>
    <tableColumn id="6" name="PreviousClose" dataDxfId="201"/>
    <tableColumn id="7" name="%Change" dataDxfId="200"/>
    <tableColumn id="8" name="MarketCap" dataDxfId="199"/>
    <tableColumn id="9" name="DivYield" dataDxfId="198"/>
    <tableColumn id="10" name="P/E" dataDxfId="197"/>
    <tableColumn id="11" name="MA200" dataDxfId="196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5" name="Table26" displayName="Table26" ref="A1:K9" totalsRowShown="0" headerRowDxfId="195" dataDxfId="194">
  <autoFilter ref="A1:K9"/>
  <sortState ref="A2:K8">
    <sortCondition ref="A1:A8"/>
  </sortState>
  <tableColumns count="11">
    <tableColumn id="1" name="Ticker" dataDxfId="193"/>
    <tableColumn id="2" name="Company Name" dataDxfId="192"/>
    <tableColumn id="3" name="LatestPrice" dataDxfId="191"/>
    <tableColumn id="4" name="DaysLow" dataDxfId="190"/>
    <tableColumn id="5" name="DaysHigh" dataDxfId="189"/>
    <tableColumn id="6" name="PreviousClose" dataDxfId="188"/>
    <tableColumn id="7" name="%Change" dataDxfId="187"/>
    <tableColumn id="8" name="MarketCap" dataDxfId="186"/>
    <tableColumn id="9" name="DivYield" dataDxfId="185"/>
    <tableColumn id="10" name="P/E" dataDxfId="184"/>
    <tableColumn id="11" name="MA200" dataDxfId="183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8" name="Table289" displayName="Table289" ref="A1:K13" totalsRowShown="0" headerRowDxfId="182" dataDxfId="181">
  <autoFilter ref="A1:K13"/>
  <sortState ref="A2:K12">
    <sortCondition ref="A1:A12"/>
  </sortState>
  <tableColumns count="11">
    <tableColumn id="1" name="Ticker" dataDxfId="180"/>
    <tableColumn id="2" name="Company Name" dataDxfId="179"/>
    <tableColumn id="3" name="LatestPrice" dataDxfId="178"/>
    <tableColumn id="4" name="DaysLow" dataDxfId="177"/>
    <tableColumn id="5" name="DaysHigh" dataDxfId="176"/>
    <tableColumn id="6" name="PreviousClose" dataDxfId="175"/>
    <tableColumn id="7" name="%Change" dataDxfId="174" dataCellStyle="Comma"/>
    <tableColumn id="8" name="MarketCap" dataDxfId="173"/>
    <tableColumn id="9" name="DivYield" dataDxfId="172"/>
    <tableColumn id="10" name="P/E" dataDxfId="171"/>
    <tableColumn id="11" name="MA200" dataDxfId="170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8" name="Table28929" displayName="Table28929" ref="A1:K13" totalsRowShown="0" headerRowDxfId="169" dataDxfId="168">
  <autoFilter ref="A1:K13"/>
  <sortState ref="A2:K12">
    <sortCondition ref="A1:A12"/>
  </sortState>
  <tableColumns count="11">
    <tableColumn id="1" name="Ticker" dataDxfId="167"/>
    <tableColumn id="2" name="Company Name" dataDxfId="166"/>
    <tableColumn id="3" name="LatestPrice" dataDxfId="165"/>
    <tableColumn id="4" name="DaysLow" dataDxfId="164"/>
    <tableColumn id="5" name="DaysHigh" dataDxfId="163"/>
    <tableColumn id="6" name="PreviousClose" dataDxfId="162"/>
    <tableColumn id="7" name="%Change" dataDxfId="161" dataCellStyle="Comma"/>
    <tableColumn id="8" name="MarketCap" dataDxfId="160"/>
    <tableColumn id="9" name="DivYield" dataDxfId="159"/>
    <tableColumn id="10" name="P/E" dataDxfId="158"/>
    <tableColumn id="11" name="MA200" dataDxfId="157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6" name="Table31017" displayName="Table31017" ref="A1:K13" totalsRowShown="0" headerRowDxfId="156" dataDxfId="155">
  <autoFilter ref="A1:K13"/>
  <sortState ref="A2:K11">
    <sortCondition ref="A1:A11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10" name="%Change" dataDxfId="148"/>
    <tableColumn id="7" name="MarketCap" dataDxfId="147"/>
    <tableColumn id="8" name="DivYield" dataDxfId="146"/>
    <tableColumn id="9" name="P/E" dataDxfId="145"/>
    <tableColumn id="11" name="MA200" dataDxfId="144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1" name="Table31012" displayName="Table31012" ref="A1:K8" totalsRowShown="0" headerRowDxfId="143" dataDxfId="142">
  <autoFilter ref="A1:K8"/>
  <sortState ref="A2:K8">
    <sortCondition ref="A1:A8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10" name="%Change" dataDxfId="135"/>
    <tableColumn id="7" name="MarketCap" dataDxfId="134"/>
    <tableColumn id="8" name="DivYield" dataDxfId="133"/>
    <tableColumn id="9" name="P/E" dataDxfId="132"/>
    <tableColumn id="11" name="MA200" dataDxfId="131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22" name="Table28923" displayName="Table28923" ref="A1:K14" totalsRowShown="0" headerRowDxfId="130" dataDxfId="129">
  <autoFilter ref="A1:K14"/>
  <sortState ref="A2:K12">
    <sortCondition ref="A1:A12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7" name="%Change" dataDxfId="122" dataCellStyle="Comma"/>
    <tableColumn id="8" name="MarketCap" dataDxfId="121"/>
    <tableColumn id="9" name="DivYield" dataDxfId="120"/>
    <tableColumn id="10" name="P/E" dataDxfId="119"/>
    <tableColumn id="11" name="MA200" dataDxfId="118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20" name="Table2621621" displayName="Table2621621" ref="A1:K7" totalsRowShown="0" headerRowDxfId="117" dataDxfId="116">
  <autoFilter ref="A1:K7"/>
  <sortState ref="A2:K6">
    <sortCondition ref="A1:A6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7" name="%Change" dataDxfId="109"/>
    <tableColumn id="8" name="MarketCap" dataDxfId="108"/>
    <tableColumn id="9" name="DivYield" dataDxfId="107"/>
    <tableColumn id="10" name="P/E" dataDxfId="106"/>
    <tableColumn id="11" name="MA200" dataDxfId="105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9" name="Table310" displayName="Table310" ref="A1:K8" totalsRowShown="0" headerRowDxfId="104" dataDxfId="103">
  <autoFilter ref="A1:K8"/>
  <sortState ref="A2:K8">
    <sortCondition ref="A1:A8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10" name="%Change" dataDxfId="96"/>
    <tableColumn id="7" name="MarketCap" dataDxfId="95"/>
    <tableColumn id="8" name="DivYield" dataDxfId="94"/>
    <tableColumn id="9" name="P/E" dataDxfId="93"/>
    <tableColumn id="11" name="MA200" dataDxfId="92"/>
  </tableColumns>
  <tableStyleInfo name="TableStyleMedium13" showFirstColumn="0" showLastColumn="0" showRowStripes="1" showColumnStripes="0"/>
</table>
</file>

<file path=xl/tables/table23.xml><?xml version="1.0" encoding="utf-8"?>
<table xmlns="http://schemas.openxmlformats.org/spreadsheetml/2006/main" id="1" name="Table262" displayName="Table262" ref="A1:K10" totalsRowShown="0" headerRowDxfId="91" dataDxfId="90">
  <autoFilter ref="A1:K10"/>
  <sortState ref="A2:K8">
    <sortCondition ref="A1:A8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7" name="%Change" dataDxfId="83"/>
    <tableColumn id="8" name="MarketCap" dataDxfId="82"/>
    <tableColumn id="9" name="DivYield" dataDxfId="81"/>
    <tableColumn id="10" name="P/E" dataDxfId="80"/>
    <tableColumn id="11" name="MA200" dataDxfId="79"/>
  </tableColumns>
  <tableStyleInfo name="TableStyleMedium13" showFirstColumn="0" showLastColumn="0" showRowStripes="1" showColumnStripes="0"/>
</table>
</file>

<file path=xl/tables/table24.xml><?xml version="1.0" encoding="utf-8"?>
<table xmlns="http://schemas.openxmlformats.org/spreadsheetml/2006/main" id="12" name="Table26213" displayName="Table26213" ref="A1:K8" totalsRowShown="0" headerRowDxfId="78" dataDxfId="77">
  <autoFilter ref="A1:K8"/>
  <sortState ref="A2:K6">
    <sortCondition ref="A1:A6"/>
  </sortState>
  <tableColumns count="11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7" name="%Change" dataDxfId="70"/>
    <tableColumn id="8" name="MarketCap" dataDxfId="69"/>
    <tableColumn id="9" name="DivYield" dataDxfId="68"/>
    <tableColumn id="10" name="P/E" dataDxfId="67"/>
    <tableColumn id="11" name="MA200" dataDxfId="66"/>
  </tableColumns>
  <tableStyleInfo name="TableStyleMedium13" showFirstColumn="0" showLastColumn="0" showRowStripes="1" showColumnStripes="0"/>
</table>
</file>

<file path=xl/tables/table25.xml><?xml version="1.0" encoding="utf-8"?>
<table xmlns="http://schemas.openxmlformats.org/spreadsheetml/2006/main" id="14" name="Table28915" displayName="Table28915" ref="A1:L16" totalsRowShown="0" headerRowDxfId="65" dataDxfId="64">
  <autoFilter ref="A1:L16"/>
  <sortState ref="A2:L16">
    <sortCondition ref="L1:L16"/>
  </sortState>
  <tableColumns count="12">
    <tableColumn id="1" name="Ticker" dataDxfId="63"/>
    <tableColumn id="2" name="Company Name" dataDxfId="62"/>
    <tableColumn id="3" name="LatestPrice" dataDxfId="61"/>
    <tableColumn id="4" name="DaysLow" dataDxfId="60"/>
    <tableColumn id="5" name="DaysHigh" dataDxfId="59"/>
    <tableColumn id="6" name="PreviousClose" dataDxfId="58"/>
    <tableColumn id="7" name="%Change" dataDxfId="57" dataCellStyle="Comma"/>
    <tableColumn id="8" name="MarketCap" dataDxfId="56"/>
    <tableColumn id="9" name="DivYield" dataDxfId="55"/>
    <tableColumn id="10" name="P/E" dataDxfId="54"/>
    <tableColumn id="11" name="MA200" dataDxfId="53"/>
    <tableColumn id="12" name="Category" dataDxfId="52"/>
  </tableColumns>
  <tableStyleInfo name="TableStyleMedium13" showFirstColumn="0" showLastColumn="0" showRowStripes="1" showColumnStripes="0"/>
</table>
</file>

<file path=xl/tables/table26.xml><?xml version="1.0" encoding="utf-8"?>
<table xmlns="http://schemas.openxmlformats.org/spreadsheetml/2006/main" id="6" name="Table262137" displayName="Table262137" ref="A1:K5" totalsRowShown="0" headerRowDxfId="51" dataDxfId="50">
  <autoFilter ref="A1:K5"/>
  <sortState ref="A2:K6">
    <sortCondition ref="A1:A6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7.xml><?xml version="1.0" encoding="utf-8"?>
<table xmlns="http://schemas.openxmlformats.org/spreadsheetml/2006/main" id="10" name="Table31011" displayName="Table31011" ref="A1:K33" totalsRowShown="0" headerRowDxfId="38" dataDxfId="37">
  <autoFilter ref="A1:K33"/>
  <sortState ref="A2:K33">
    <sortCondition ref="J1:J33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10" name="%Change" dataDxfId="30"/>
    <tableColumn id="7" name="MarketCap" dataDxfId="29"/>
    <tableColumn id="8" name="DivYield" dataDxfId="28"/>
    <tableColumn id="9" name="P/E" dataDxfId="27"/>
    <tableColumn id="11" name="MA200" dataDxfId="26"/>
  </tableColumns>
  <tableStyleInfo name="TableStyleMedium13" showFirstColumn="0" showLastColumn="0" showRowStripes="1" showColumnStripes="0"/>
</table>
</file>

<file path=xl/tables/table28.xml><?xml version="1.0" encoding="utf-8"?>
<table xmlns="http://schemas.openxmlformats.org/spreadsheetml/2006/main" id="24" name="Table3101125" displayName="Table3101125" ref="A1:K8" totalsRowShown="0" headerRowDxfId="25" dataDxfId="24">
  <autoFilter ref="A1:K8"/>
  <sortState ref="A2:K33">
    <sortCondition ref="J1:J33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10" name="%Change" dataDxfId="17"/>
    <tableColumn id="7" name="MarketCap" dataDxfId="16"/>
    <tableColumn id="8" name="DivYield" dataDxfId="15"/>
    <tableColumn id="9" name="P/E" dataDxfId="14"/>
    <tableColumn id="11" name="MA200" dataDxfId="13"/>
  </tableColumns>
  <tableStyleInfo name="TableStyleMedium13" showFirstColumn="0" showLastColumn="0" showRowStripes="1" showColumnStripes="0"/>
</table>
</file>

<file path=xl/tables/table29.xml><?xml version="1.0" encoding="utf-8"?>
<table xmlns="http://schemas.openxmlformats.org/spreadsheetml/2006/main" id="29" name="Table310112530" displayName="Table310112530" ref="A1:K5" totalsRowShown="0" headerRowDxfId="12" dataDxfId="11">
  <autoFilter ref="A1:K5"/>
  <sortState ref="A2:K33">
    <sortCondition ref="J1:J33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23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24.95" customHeight="1" x14ac:dyDescent="0.4"/>
  <cols>
    <col min="1" max="1" width="9.140625" style="21"/>
    <col min="2" max="2" width="14" style="22" bestFit="1" customWidth="1"/>
    <col min="3" max="3" width="15.7109375" style="21" bestFit="1" customWidth="1"/>
    <col min="4" max="4" width="11" style="21" bestFit="1" customWidth="1"/>
    <col min="5" max="5" width="14.7109375" style="21" bestFit="1" customWidth="1"/>
    <col min="6" max="6" width="11" style="21" bestFit="1" customWidth="1"/>
    <col min="7" max="7" width="13.42578125" style="21" bestFit="1" customWidth="1"/>
    <col min="8" max="8" width="14.5703125" style="21" bestFit="1" customWidth="1"/>
    <col min="9" max="9" width="15.140625" style="21" bestFit="1" customWidth="1"/>
    <col min="10" max="11" width="12.140625" style="21" bestFit="1" customWidth="1"/>
    <col min="12" max="12" width="10.85546875" style="21" bestFit="1" customWidth="1"/>
    <col min="13" max="13" width="12.7109375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.28515625" style="21" bestFit="1" customWidth="1"/>
    <col min="18" max="18" width="13.42578125" style="21" bestFit="1" customWidth="1"/>
    <col min="19" max="19" width="8.7109375" style="21" bestFit="1" customWidth="1"/>
    <col min="20" max="20" width="13.7109375" style="21" bestFit="1" customWidth="1"/>
    <col min="21" max="21" width="7.7109375" style="21" bestFit="1" customWidth="1"/>
    <col min="22" max="22" width="15.42578125" style="21" bestFit="1" customWidth="1"/>
    <col min="23" max="23" width="7.7109375" style="21" bestFit="1" customWidth="1"/>
    <col min="24" max="24" width="15.7109375" style="21" bestFit="1" customWidth="1"/>
    <col min="25" max="25" width="15" style="21" bestFit="1" customWidth="1"/>
    <col min="26" max="26" width="14.42578125" style="21" bestFit="1" customWidth="1"/>
    <col min="27" max="28" width="18.28515625" style="21" bestFit="1" customWidth="1"/>
    <col min="29" max="29" width="9.140625" style="21"/>
    <col min="30" max="30" width="14.42578125" style="21" bestFit="1" customWidth="1"/>
    <col min="31" max="16384" width="9.140625" style="21"/>
  </cols>
  <sheetData>
    <row r="1" spans="1:33" ht="24.95" customHeight="1" x14ac:dyDescent="0.4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 t="s">
        <v>265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</row>
    <row r="2" spans="1:33" ht="24.95" customHeight="1" x14ac:dyDescent="0.4">
      <c r="A2" s="37"/>
      <c r="B2" s="25" t="s">
        <v>315</v>
      </c>
      <c r="C2" s="25" t="s">
        <v>359</v>
      </c>
      <c r="D2" s="25" t="s">
        <v>264</v>
      </c>
      <c r="E2" s="25" t="s">
        <v>689</v>
      </c>
      <c r="F2" s="25" t="s">
        <v>208</v>
      </c>
      <c r="G2" s="25" t="s">
        <v>228</v>
      </c>
      <c r="H2" s="25" t="s">
        <v>209</v>
      </c>
      <c r="I2" s="25" t="s">
        <v>590</v>
      </c>
      <c r="J2" s="25" t="s">
        <v>210</v>
      </c>
      <c r="K2" s="25" t="s">
        <v>686</v>
      </c>
      <c r="L2" s="25" t="s">
        <v>211</v>
      </c>
      <c r="M2" s="25" t="s">
        <v>728</v>
      </c>
      <c r="N2" s="25" t="s">
        <v>249</v>
      </c>
      <c r="O2" s="25" t="s">
        <v>244</v>
      </c>
      <c r="P2" s="25" t="s">
        <v>212</v>
      </c>
      <c r="Q2" s="25" t="s">
        <v>213</v>
      </c>
      <c r="R2" s="25" t="s">
        <v>744</v>
      </c>
      <c r="S2" s="25" t="s">
        <v>214</v>
      </c>
      <c r="T2" s="25" t="s">
        <v>215</v>
      </c>
      <c r="U2" s="25" t="s">
        <v>369</v>
      </c>
      <c r="V2" s="25" t="s">
        <v>332</v>
      </c>
      <c r="W2" s="25" t="s">
        <v>216</v>
      </c>
      <c r="X2" s="25" t="s">
        <v>217</v>
      </c>
      <c r="Y2" s="25" t="s">
        <v>218</v>
      </c>
      <c r="Z2" s="25" t="s">
        <v>437</v>
      </c>
      <c r="AA2" s="25" t="s">
        <v>276</v>
      </c>
      <c r="AB2" s="25" t="s">
        <v>219</v>
      </c>
      <c r="AC2" s="71" t="s">
        <v>663</v>
      </c>
      <c r="AD2" s="71" t="s">
        <v>757</v>
      </c>
      <c r="AE2" s="70"/>
      <c r="AF2" s="70"/>
      <c r="AG2" s="70"/>
    </row>
    <row r="3" spans="1:33" ht="24.95" customHeight="1" x14ac:dyDescent="0.4">
      <c r="A3" s="24"/>
      <c r="B3" s="2" t="s">
        <v>127</v>
      </c>
      <c r="C3" s="38" t="s">
        <v>347</v>
      </c>
      <c r="D3" s="2" t="s">
        <v>254</v>
      </c>
      <c r="E3" s="38" t="s">
        <v>667</v>
      </c>
      <c r="F3" s="2" t="s">
        <v>96</v>
      </c>
      <c r="G3" s="2" t="s">
        <v>220</v>
      </c>
      <c r="H3" s="2" t="s">
        <v>3</v>
      </c>
      <c r="I3" s="61" t="s">
        <v>81</v>
      </c>
      <c r="J3" s="2" t="s">
        <v>19</v>
      </c>
      <c r="K3" s="2" t="s">
        <v>682</v>
      </c>
      <c r="L3" s="2" t="s">
        <v>71</v>
      </c>
      <c r="M3" s="2" t="s">
        <v>707</v>
      </c>
      <c r="N3" s="63" t="s">
        <v>189</v>
      </c>
      <c r="O3" s="23" t="s">
        <v>232</v>
      </c>
      <c r="P3" s="2" t="s">
        <v>37</v>
      </c>
      <c r="Q3" s="2" t="s">
        <v>127</v>
      </c>
      <c r="R3" s="2" t="s">
        <v>743</v>
      </c>
      <c r="S3" s="2" t="s">
        <v>161</v>
      </c>
      <c r="T3" s="2" t="s">
        <v>169</v>
      </c>
      <c r="U3" s="1" t="s">
        <v>122</v>
      </c>
      <c r="V3" s="2" t="s">
        <v>324</v>
      </c>
      <c r="W3" s="2" t="s">
        <v>150</v>
      </c>
      <c r="X3" s="2" t="s">
        <v>76</v>
      </c>
      <c r="Y3" s="2" t="s">
        <v>180</v>
      </c>
      <c r="Z3" s="39" t="s">
        <v>427</v>
      </c>
      <c r="AA3" s="2" t="s">
        <v>268</v>
      </c>
      <c r="AB3" s="59" t="s">
        <v>468</v>
      </c>
      <c r="AC3" s="2" t="s">
        <v>643</v>
      </c>
      <c r="AD3" s="2" t="s">
        <v>745</v>
      </c>
    </row>
    <row r="4" spans="1:33" ht="24.95" customHeight="1" x14ac:dyDescent="0.4">
      <c r="A4" s="24"/>
      <c r="B4" s="2" t="s">
        <v>311</v>
      </c>
      <c r="C4" s="2" t="s">
        <v>348</v>
      </c>
      <c r="D4" s="61" t="s">
        <v>255</v>
      </c>
      <c r="E4" s="2" t="s">
        <v>668</v>
      </c>
      <c r="F4" s="2" t="s">
        <v>109</v>
      </c>
      <c r="G4" s="2" t="s">
        <v>221</v>
      </c>
      <c r="H4" s="1" t="s">
        <v>0</v>
      </c>
      <c r="I4" s="1" t="s">
        <v>575</v>
      </c>
      <c r="J4" s="2" t="s">
        <v>21</v>
      </c>
      <c r="K4" s="61" t="s">
        <v>683</v>
      </c>
      <c r="L4" s="2" t="s">
        <v>86</v>
      </c>
      <c r="M4" s="2" t="s">
        <v>708</v>
      </c>
      <c r="N4" s="63" t="s">
        <v>286</v>
      </c>
      <c r="O4" s="23" t="s">
        <v>234</v>
      </c>
      <c r="P4" s="1" t="s">
        <v>33</v>
      </c>
      <c r="Q4" s="2" t="s">
        <v>130</v>
      </c>
      <c r="R4" s="2"/>
      <c r="S4" s="33" t="s">
        <v>302</v>
      </c>
      <c r="T4" s="2" t="s">
        <v>167</v>
      </c>
      <c r="U4" s="2" t="s">
        <v>163</v>
      </c>
      <c r="V4" s="2" t="s">
        <v>325</v>
      </c>
      <c r="W4" s="2" t="s">
        <v>149</v>
      </c>
      <c r="X4" s="2" t="s">
        <v>75</v>
      </c>
      <c r="Y4" s="2" t="s">
        <v>183</v>
      </c>
      <c r="Z4" s="39" t="s">
        <v>423</v>
      </c>
      <c r="AA4" s="2" t="s">
        <v>269</v>
      </c>
      <c r="AB4" s="60" t="s">
        <v>4</v>
      </c>
      <c r="AC4" s="2" t="s">
        <v>644</v>
      </c>
      <c r="AD4" s="2" t="s">
        <v>746</v>
      </c>
    </row>
    <row r="5" spans="1:33" ht="24.95" customHeight="1" x14ac:dyDescent="0.4">
      <c r="A5" s="24"/>
      <c r="B5" s="2" t="s">
        <v>312</v>
      </c>
      <c r="C5" s="2" t="s">
        <v>349</v>
      </c>
      <c r="D5" s="61" t="s">
        <v>256</v>
      </c>
      <c r="E5" s="2" t="s">
        <v>71</v>
      </c>
      <c r="F5" s="2" t="s">
        <v>102</v>
      </c>
      <c r="G5" s="2" t="s">
        <v>222</v>
      </c>
      <c r="H5" s="2" t="s">
        <v>1</v>
      </c>
      <c r="I5" s="2" t="s">
        <v>75</v>
      </c>
      <c r="J5" s="2" t="s">
        <v>20</v>
      </c>
      <c r="K5" s="2" t="s">
        <v>687</v>
      </c>
      <c r="L5" s="2" t="s">
        <v>70</v>
      </c>
      <c r="M5" s="2" t="s">
        <v>709</v>
      </c>
      <c r="N5" s="68" t="s">
        <v>245</v>
      </c>
      <c r="O5" s="23" t="s">
        <v>235</v>
      </c>
      <c r="P5" s="2" t="s">
        <v>31</v>
      </c>
      <c r="Q5" s="2" t="s">
        <v>129</v>
      </c>
      <c r="R5" s="2"/>
      <c r="S5" s="2" t="s">
        <v>88</v>
      </c>
      <c r="T5" s="1" t="s">
        <v>166</v>
      </c>
      <c r="U5" s="27" t="s">
        <v>247</v>
      </c>
      <c r="V5" s="2" t="s">
        <v>326</v>
      </c>
      <c r="W5" s="2" t="s">
        <v>152</v>
      </c>
      <c r="X5" s="2" t="s">
        <v>73</v>
      </c>
      <c r="Y5" s="2" t="s">
        <v>145</v>
      </c>
      <c r="Z5" s="39" t="s">
        <v>426</v>
      </c>
      <c r="AA5" s="2" t="s">
        <v>270</v>
      </c>
      <c r="AB5" s="59" t="s">
        <v>7</v>
      </c>
      <c r="AC5" s="1" t="s">
        <v>645</v>
      </c>
      <c r="AD5" s="2" t="s">
        <v>747</v>
      </c>
    </row>
    <row r="6" spans="1:33" ht="24.95" customHeight="1" x14ac:dyDescent="0.4">
      <c r="A6" s="24"/>
      <c r="B6" s="2" t="s">
        <v>316</v>
      </c>
      <c r="C6" s="61" t="s">
        <v>351</v>
      </c>
      <c r="D6" s="2" t="s">
        <v>257</v>
      </c>
      <c r="E6" s="2" t="s">
        <v>669</v>
      </c>
      <c r="F6" s="2" t="s">
        <v>101</v>
      </c>
      <c r="G6" s="2" t="s">
        <v>223</v>
      </c>
      <c r="H6" s="2" t="s">
        <v>4</v>
      </c>
      <c r="I6" s="2" t="s">
        <v>576</v>
      </c>
      <c r="J6" s="2" t="s">
        <v>22</v>
      </c>
      <c r="K6" s="2"/>
      <c r="L6" s="2" t="s">
        <v>69</v>
      </c>
      <c r="M6" s="2" t="s">
        <v>710</v>
      </c>
      <c r="N6" s="63" t="s">
        <v>190</v>
      </c>
      <c r="O6" s="23" t="s">
        <v>231</v>
      </c>
      <c r="P6" s="2" t="s">
        <v>32</v>
      </c>
      <c r="Q6" s="2" t="s">
        <v>131</v>
      </c>
      <c r="R6" s="2"/>
      <c r="S6" s="33" t="s">
        <v>297</v>
      </c>
      <c r="T6" s="2" t="s">
        <v>170</v>
      </c>
      <c r="U6" s="2" t="s">
        <v>372</v>
      </c>
      <c r="V6" s="2" t="s">
        <v>327</v>
      </c>
      <c r="W6" s="2" t="s">
        <v>154</v>
      </c>
      <c r="X6" s="2" t="s">
        <v>77</v>
      </c>
      <c r="Y6" s="2" t="s">
        <v>182</v>
      </c>
      <c r="Z6" s="39" t="s">
        <v>424</v>
      </c>
      <c r="AA6" s="2" t="s">
        <v>274</v>
      </c>
      <c r="AB6" s="60" t="s">
        <v>3</v>
      </c>
      <c r="AC6" s="2" t="s">
        <v>646</v>
      </c>
      <c r="AD6" s="2" t="s">
        <v>748</v>
      </c>
    </row>
    <row r="7" spans="1:33" ht="24.95" customHeight="1" x14ac:dyDescent="0.4">
      <c r="A7" s="24"/>
      <c r="B7" s="2" t="s">
        <v>126</v>
      </c>
      <c r="C7" s="2" t="s">
        <v>352</v>
      </c>
      <c r="D7" s="2" t="s">
        <v>258</v>
      </c>
      <c r="E7" s="2" t="s">
        <v>670</v>
      </c>
      <c r="F7" s="2" t="s">
        <v>250</v>
      </c>
      <c r="G7"/>
      <c r="H7" s="2" t="s">
        <v>6</v>
      </c>
      <c r="I7" s="2" t="s">
        <v>577</v>
      </c>
      <c r="J7" s="2" t="s">
        <v>23</v>
      </c>
      <c r="K7" s="2"/>
      <c r="L7" s="2" t="s">
        <v>72</v>
      </c>
      <c r="M7" s="2" t="s">
        <v>711</v>
      </c>
      <c r="N7" s="63" t="s">
        <v>194</v>
      </c>
      <c r="O7" s="23" t="s">
        <v>233</v>
      </c>
      <c r="P7" s="2" t="s">
        <v>34</v>
      </c>
      <c r="Q7" s="2" t="s">
        <v>128</v>
      </c>
      <c r="R7" s="2"/>
      <c r="S7" s="33" t="s">
        <v>300</v>
      </c>
      <c r="T7" s="2" t="s">
        <v>168</v>
      </c>
      <c r="U7" s="2" t="s">
        <v>373</v>
      </c>
      <c r="V7" s="2" t="s">
        <v>758</v>
      </c>
      <c r="W7" s="2" t="s">
        <v>151</v>
      </c>
      <c r="X7" s="1" t="s">
        <v>74</v>
      </c>
      <c r="Y7" s="2" t="s">
        <v>322</v>
      </c>
      <c r="Z7" s="39" t="s">
        <v>425</v>
      </c>
      <c r="AA7"/>
      <c r="AB7" s="59" t="s">
        <v>459</v>
      </c>
      <c r="AC7" s="2" t="s">
        <v>647</v>
      </c>
      <c r="AD7"/>
    </row>
    <row r="8" spans="1:33" ht="24.95" customHeight="1" x14ac:dyDescent="0.4">
      <c r="A8" s="24"/>
      <c r="B8" s="2" t="s">
        <v>318</v>
      </c>
      <c r="C8" s="61" t="s">
        <v>350</v>
      </c>
      <c r="D8" s="2" t="s">
        <v>729</v>
      </c>
      <c r="E8" s="2"/>
      <c r="F8" s="2" t="s">
        <v>104</v>
      </c>
      <c r="G8"/>
      <c r="H8" s="2" t="s">
        <v>2</v>
      </c>
      <c r="I8" s="2" t="s">
        <v>578</v>
      </c>
      <c r="J8" s="2" t="s">
        <v>24</v>
      </c>
      <c r="K8" s="2"/>
      <c r="L8" s="2" t="s">
        <v>341</v>
      </c>
      <c r="M8" s="2" t="s">
        <v>712</v>
      </c>
      <c r="N8" s="63" t="s">
        <v>203</v>
      </c>
      <c r="O8" s="23" t="s">
        <v>229</v>
      </c>
      <c r="P8" s="2" t="s">
        <v>35</v>
      </c>
      <c r="Q8" s="2" t="s">
        <v>123</v>
      </c>
      <c r="R8" s="2"/>
      <c r="S8" s="2" t="s">
        <v>299</v>
      </c>
      <c r="T8" s="2" t="s">
        <v>172</v>
      </c>
      <c r="U8" s="2" t="s">
        <v>376</v>
      </c>
      <c r="V8" s="2" t="s">
        <v>759</v>
      </c>
      <c r="W8" s="2" t="s">
        <v>153</v>
      </c>
      <c r="X8" s="2" t="s">
        <v>78</v>
      </c>
      <c r="Y8" s="2" t="s">
        <v>361</v>
      </c>
      <c r="Z8" s="45" t="s">
        <v>413</v>
      </c>
      <c r="AA8"/>
      <c r="AB8" s="60" t="s">
        <v>469</v>
      </c>
      <c r="AC8" s="2" t="s">
        <v>648</v>
      </c>
      <c r="AD8"/>
    </row>
    <row r="9" spans="1:33" ht="24.95" customHeight="1" x14ac:dyDescent="0.4">
      <c r="A9" s="24"/>
      <c r="B9" s="2"/>
      <c r="C9" s="2" t="s">
        <v>503</v>
      </c>
      <c r="D9" s="2" t="s">
        <v>731</v>
      </c>
      <c r="E9" s="2"/>
      <c r="F9" s="2" t="s">
        <v>99</v>
      </c>
      <c r="G9"/>
      <c r="H9" s="2" t="s">
        <v>7</v>
      </c>
      <c r="I9" s="2" t="s">
        <v>78</v>
      </c>
      <c r="J9" s="2" t="s">
        <v>18</v>
      </c>
      <c r="K9" s="2"/>
      <c r="L9" s="1" t="s">
        <v>679</v>
      </c>
      <c r="M9" s="2" t="s">
        <v>713</v>
      </c>
      <c r="N9" s="63" t="s">
        <v>204</v>
      </c>
      <c r="O9" s="23" t="s">
        <v>230</v>
      </c>
      <c r="P9" s="2" t="s">
        <v>36</v>
      </c>
      <c r="Q9" s="2" t="s">
        <v>125</v>
      </c>
      <c r="R9" s="2"/>
      <c r="S9" s="2" t="s">
        <v>91</v>
      </c>
      <c r="T9" s="2" t="s">
        <v>171</v>
      </c>
      <c r="U9" s="2" t="s">
        <v>370</v>
      </c>
      <c r="V9"/>
      <c r="W9" s="2" t="s">
        <v>148</v>
      </c>
      <c r="X9" s="1" t="s">
        <v>81</v>
      </c>
      <c r="Y9" s="2" t="s">
        <v>181</v>
      </c>
      <c r="Z9" s="45" t="s">
        <v>415</v>
      </c>
      <c r="AA9"/>
      <c r="AB9" s="59" t="s">
        <v>465</v>
      </c>
      <c r="AC9" s="2" t="s">
        <v>649</v>
      </c>
      <c r="AD9"/>
    </row>
    <row r="10" spans="1:33" ht="24.95" customHeight="1" x14ac:dyDescent="0.4">
      <c r="A10" s="24"/>
      <c r="B10" s="2"/>
      <c r="C10" s="2" t="s">
        <v>504</v>
      </c>
      <c r="D10" s="2" t="s">
        <v>733</v>
      </c>
      <c r="E10" s="2"/>
      <c r="F10" s="2" t="s">
        <v>97</v>
      </c>
      <c r="G10"/>
      <c r="H10" s="2" t="s">
        <v>5</v>
      </c>
      <c r="I10" s="2"/>
      <c r="J10" s="1" t="s">
        <v>17</v>
      </c>
      <c r="K10" s="2"/>
      <c r="L10"/>
      <c r="M10"/>
      <c r="N10" s="63" t="s">
        <v>188</v>
      </c>
      <c r="O10" s="23" t="s">
        <v>236</v>
      </c>
      <c r="P10" s="2" t="s">
        <v>147</v>
      </c>
      <c r="Q10" s="2" t="s">
        <v>124</v>
      </c>
      <c r="R10" s="2"/>
      <c r="S10" s="2" t="s">
        <v>90</v>
      </c>
      <c r="T10"/>
      <c r="U10" s="2" t="s">
        <v>573</v>
      </c>
      <c r="V10"/>
      <c r="W10"/>
      <c r="X10" s="2" t="s">
        <v>403</v>
      </c>
      <c r="Y10"/>
      <c r="Z10" s="45" t="s">
        <v>416</v>
      </c>
      <c r="AA10"/>
      <c r="AB10" s="60" t="s">
        <v>457</v>
      </c>
      <c r="AC10"/>
      <c r="AD10"/>
    </row>
    <row r="11" spans="1:33" ht="24.95" customHeight="1" x14ac:dyDescent="0.4">
      <c r="A11" s="24"/>
      <c r="B11" s="2"/>
      <c r="C11" s="2" t="s">
        <v>505</v>
      </c>
      <c r="D11" s="2" t="s">
        <v>776</v>
      </c>
      <c r="E11" s="2"/>
      <c r="F11" s="2" t="s">
        <v>108</v>
      </c>
      <c r="G11"/>
      <c r="H11" s="2" t="s">
        <v>277</v>
      </c>
      <c r="I11" s="2"/>
      <c r="J11" s="2" t="s">
        <v>25</v>
      </c>
      <c r="K11" s="2"/>
      <c r="L11"/>
      <c r="M11"/>
      <c r="N11" s="63" t="s">
        <v>192</v>
      </c>
      <c r="O11" s="7"/>
      <c r="P11" s="7"/>
      <c r="Q11" s="2" t="s">
        <v>126</v>
      </c>
      <c r="R11" s="2"/>
      <c r="S11" s="2" t="s">
        <v>89</v>
      </c>
      <c r="T11"/>
      <c r="U11" s="2" t="s">
        <v>735</v>
      </c>
      <c r="V11"/>
      <c r="W11"/>
      <c r="X11" s="2" t="s">
        <v>404</v>
      </c>
      <c r="Y11"/>
      <c r="Z11" s="45" t="s">
        <v>411</v>
      </c>
      <c r="AA11"/>
      <c r="AB11" s="59" t="s">
        <v>277</v>
      </c>
      <c r="AC11"/>
      <c r="AD11"/>
    </row>
    <row r="12" spans="1:33" ht="24.95" customHeight="1" x14ac:dyDescent="0.4">
      <c r="A12" s="24"/>
      <c r="B12" s="2"/>
      <c r="C12" s="2" t="s">
        <v>506</v>
      </c>
      <c r="D12" s="2"/>
      <c r="E12" s="2"/>
      <c r="F12" s="1" t="s">
        <v>98</v>
      </c>
      <c r="G12"/>
      <c r="H12" s="2" t="s">
        <v>279</v>
      </c>
      <c r="I12" s="2"/>
      <c r="J12" s="2" t="s">
        <v>26</v>
      </c>
      <c r="K12" s="2"/>
      <c r="L12"/>
      <c r="M12"/>
      <c r="N12" s="63" t="s">
        <v>191</v>
      </c>
      <c r="O12" s="7"/>
      <c r="P12" s="7"/>
      <c r="Q12" s="2" t="s">
        <v>281</v>
      </c>
      <c r="R12" s="2"/>
      <c r="S12" s="2" t="s">
        <v>307</v>
      </c>
      <c r="T12"/>
      <c r="U12" s="2" t="s">
        <v>736</v>
      </c>
      <c r="V12"/>
      <c r="W12"/>
      <c r="X12"/>
      <c r="Y12"/>
      <c r="Z12" s="45" t="s">
        <v>412</v>
      </c>
      <c r="AA12"/>
      <c r="AB12" s="60" t="s">
        <v>453</v>
      </c>
      <c r="AC12"/>
      <c r="AD12"/>
    </row>
    <row r="13" spans="1:33" ht="24.95" customHeight="1" x14ac:dyDescent="0.4">
      <c r="A13" s="24"/>
      <c r="B13" s="2"/>
      <c r="C13" s="2" t="s">
        <v>517</v>
      </c>
      <c r="D13" s="2"/>
      <c r="E13" s="2"/>
      <c r="F13" s="2" t="s">
        <v>105</v>
      </c>
      <c r="G13"/>
      <c r="H13" s="28" t="s">
        <v>289</v>
      </c>
      <c r="I13" s="2"/>
      <c r="J13" s="2" t="s">
        <v>27</v>
      </c>
      <c r="K13" s="2"/>
      <c r="L13"/>
      <c r="M13"/>
      <c r="N13" s="63" t="s">
        <v>202</v>
      </c>
      <c r="O13" s="7"/>
      <c r="P13" s="7"/>
      <c r="Q13" s="2" t="s">
        <v>283</v>
      </c>
      <c r="R13" s="2"/>
      <c r="S13" s="2" t="s">
        <v>309</v>
      </c>
      <c r="T13"/>
      <c r="U13" s="2" t="s">
        <v>737</v>
      </c>
      <c r="V13"/>
      <c r="W13"/>
      <c r="X13"/>
      <c r="Y13"/>
      <c r="Z13" s="45" t="s">
        <v>414</v>
      </c>
      <c r="AA13"/>
      <c r="AB13" s="59" t="s">
        <v>289</v>
      </c>
      <c r="AC13"/>
      <c r="AD13"/>
    </row>
    <row r="14" spans="1:33" ht="24.95" customHeight="1" x14ac:dyDescent="0.4">
      <c r="A14" s="24"/>
      <c r="B14" s="2"/>
      <c r="C14" s="2"/>
      <c r="D14" s="2"/>
      <c r="E14" s="2"/>
      <c r="F14" s="2" t="s">
        <v>106</v>
      </c>
      <c r="G14"/>
      <c r="H14" s="2"/>
      <c r="I14" s="2"/>
      <c r="J14" s="2" t="s">
        <v>28</v>
      </c>
      <c r="K14" s="2"/>
      <c r="L14"/>
      <c r="M14"/>
      <c r="N14" s="63" t="s">
        <v>285</v>
      </c>
      <c r="O14" s="7"/>
      <c r="P14" s="7"/>
      <c r="Q14" s="1" t="s">
        <v>632</v>
      </c>
      <c r="R14" s="1"/>
      <c r="S14" s="33" t="s">
        <v>301</v>
      </c>
      <c r="T14"/>
      <c r="U14" s="2" t="s">
        <v>738</v>
      </c>
      <c r="V14"/>
      <c r="W14"/>
      <c r="X14"/>
      <c r="Y14"/>
      <c r="Z14" s="52" t="s">
        <v>274</v>
      </c>
      <c r="AA14"/>
      <c r="AB14" s="60" t="s">
        <v>462</v>
      </c>
      <c r="AC14"/>
      <c r="AD14"/>
    </row>
    <row r="15" spans="1:33" ht="24.95" customHeight="1" x14ac:dyDescent="0.4">
      <c r="A15" s="24"/>
      <c r="B15" s="2"/>
      <c r="C15" s="2"/>
      <c r="D15" s="2"/>
      <c r="E15" s="2"/>
      <c r="F15" s="2" t="s">
        <v>697</v>
      </c>
      <c r="G15"/>
      <c r="H15" s="2"/>
      <c r="I15" s="2"/>
      <c r="J15" s="2" t="s">
        <v>29</v>
      </c>
      <c r="K15" s="2"/>
      <c r="L15"/>
      <c r="M15"/>
      <c r="N15" s="69" t="s">
        <v>193</v>
      </c>
      <c r="O15" s="7"/>
      <c r="P15" s="7"/>
      <c r="Q15"/>
      <c r="R15"/>
      <c r="S15"/>
      <c r="T15"/>
      <c r="U15" s="2" t="s">
        <v>797</v>
      </c>
      <c r="V15"/>
      <c r="W15"/>
      <c r="X15"/>
      <c r="Y15"/>
      <c r="Z15" s="52" t="s">
        <v>270</v>
      </c>
      <c r="AA15"/>
      <c r="AB15" s="59" t="s">
        <v>473</v>
      </c>
      <c r="AC15"/>
      <c r="AD15"/>
    </row>
    <row r="16" spans="1:33" ht="24.95" customHeight="1" x14ac:dyDescent="0.4">
      <c r="A16" s="24"/>
      <c r="B16" s="2"/>
      <c r="C16" s="2"/>
      <c r="D16" s="2"/>
      <c r="E16" s="2"/>
      <c r="F16" s="2" t="s">
        <v>100</v>
      </c>
      <c r="G16"/>
      <c r="H16" s="2"/>
      <c r="I16" s="2"/>
      <c r="J16" s="2" t="s">
        <v>30</v>
      </c>
      <c r="K16" s="2"/>
      <c r="L16"/>
      <c r="M16"/>
      <c r="N16" s="52" t="s">
        <v>593</v>
      </c>
      <c r="O16" s="7"/>
      <c r="P16" s="7"/>
      <c r="Q16"/>
      <c r="R16"/>
      <c r="S16"/>
      <c r="T16"/>
      <c r="U16"/>
      <c r="V16"/>
      <c r="W16"/>
      <c r="X16"/>
      <c r="Y16"/>
      <c r="Z16" s="52" t="s">
        <v>268</v>
      </c>
      <c r="AA16"/>
      <c r="AB16" s="60" t="s">
        <v>142</v>
      </c>
      <c r="AC16"/>
      <c r="AD16"/>
    </row>
    <row r="17" spans="1:30" ht="24.95" customHeight="1" x14ac:dyDescent="0.4">
      <c r="A17" s="24"/>
      <c r="B17" s="2"/>
      <c r="C17" s="2"/>
      <c r="D17" s="2"/>
      <c r="E17" s="2"/>
      <c r="F17" s="2" t="s">
        <v>103</v>
      </c>
      <c r="G17"/>
      <c r="H17" s="2"/>
      <c r="I17" s="2"/>
      <c r="J17" s="2" t="s">
        <v>320</v>
      </c>
      <c r="K17" s="2"/>
      <c r="L17"/>
      <c r="M17"/>
      <c r="N17" s="52" t="s">
        <v>594</v>
      </c>
      <c r="O17" s="7"/>
      <c r="P17" s="7"/>
      <c r="Q17"/>
      <c r="R17"/>
      <c r="S17"/>
      <c r="T17"/>
      <c r="U17"/>
      <c r="V17"/>
      <c r="W17"/>
      <c r="X17"/>
      <c r="Y17"/>
      <c r="Z17" s="52" t="s">
        <v>269</v>
      </c>
      <c r="AA17"/>
      <c r="AB17" s="59" t="s">
        <v>460</v>
      </c>
      <c r="AC17"/>
      <c r="AD17"/>
    </row>
    <row r="18" spans="1:30" ht="24.95" customHeight="1" x14ac:dyDescent="0.4">
      <c r="B18" s="2"/>
      <c r="C18" s="2"/>
      <c r="D18" s="2"/>
      <c r="E18" s="2"/>
      <c r="F18" s="2" t="s">
        <v>252</v>
      </c>
      <c r="G18"/>
      <c r="H18" s="2"/>
      <c r="I18" s="2"/>
      <c r="J18" s="2" t="s">
        <v>266</v>
      </c>
      <c r="K18" s="2"/>
      <c r="L18"/>
      <c r="M18"/>
      <c r="N18" s="62" t="s">
        <v>595</v>
      </c>
      <c r="O18" s="7"/>
      <c r="P18" s="7"/>
      <c r="Q18"/>
      <c r="R18"/>
      <c r="S18"/>
      <c r="T18"/>
      <c r="U18"/>
      <c r="V18"/>
      <c r="W18"/>
      <c r="X18"/>
      <c r="Y18"/>
      <c r="Z18"/>
      <c r="AA18"/>
      <c r="AB18" s="60" t="s">
        <v>470</v>
      </c>
      <c r="AC18"/>
      <c r="AD18"/>
    </row>
    <row r="19" spans="1:30" ht="24.95" customHeight="1" x14ac:dyDescent="0.4">
      <c r="B19" s="2"/>
      <c r="C19" s="2"/>
      <c r="D19" s="2"/>
      <c r="E19" s="2"/>
      <c r="F19" s="52" t="s">
        <v>107</v>
      </c>
      <c r="G19"/>
      <c r="H19" s="2"/>
      <c r="I19" s="2"/>
      <c r="J19" s="2"/>
      <c r="K19" s="2"/>
      <c r="L19"/>
      <c r="M19"/>
      <c r="N19" s="52" t="s">
        <v>602</v>
      </c>
      <c r="O19" s="7"/>
      <c r="P19" s="7"/>
      <c r="Q19"/>
      <c r="R19"/>
      <c r="S19"/>
      <c r="T19"/>
      <c r="U19"/>
      <c r="V19"/>
      <c r="W19"/>
      <c r="X19"/>
      <c r="Y19"/>
      <c r="Z19"/>
      <c r="AA19"/>
      <c r="AB19" s="59" t="s">
        <v>467</v>
      </c>
      <c r="AC19"/>
      <c r="AD19"/>
    </row>
    <row r="20" spans="1:30" ht="24.95" customHeight="1" x14ac:dyDescent="0.4">
      <c r="B20" s="2"/>
      <c r="C20" s="2"/>
      <c r="D20" s="2"/>
      <c r="E20" s="2"/>
      <c r="F20" s="52" t="s">
        <v>700</v>
      </c>
      <c r="G20"/>
      <c r="H20" s="2"/>
      <c r="I20" s="2"/>
      <c r="J20" s="2"/>
      <c r="K20" s="2"/>
      <c r="L20"/>
      <c r="M20"/>
      <c r="N20"/>
      <c r="O20" s="7"/>
      <c r="P20" s="7"/>
      <c r="Q20"/>
      <c r="R20"/>
      <c r="S20"/>
      <c r="T20"/>
      <c r="U20"/>
      <c r="V20"/>
      <c r="W20"/>
      <c r="X20"/>
      <c r="Y20"/>
      <c r="Z20"/>
      <c r="AA20"/>
      <c r="AB20" s="60" t="s">
        <v>463</v>
      </c>
      <c r="AC20"/>
      <c r="AD20"/>
    </row>
    <row r="21" spans="1:30" ht="24.95" customHeight="1" x14ac:dyDescent="0.4">
      <c r="B21" s="2"/>
      <c r="C21" s="2"/>
      <c r="D21" s="2"/>
      <c r="E21" s="2"/>
      <c r="F21" s="52" t="s">
        <v>701</v>
      </c>
      <c r="G21"/>
      <c r="H21" s="2"/>
      <c r="I21" s="2"/>
      <c r="J21" s="2"/>
      <c r="K21" s="2"/>
      <c r="L21"/>
      <c r="M21"/>
      <c r="N21"/>
      <c r="O21" s="7"/>
      <c r="P21" s="7"/>
      <c r="Q21"/>
      <c r="R21"/>
      <c r="S21"/>
      <c r="T21"/>
      <c r="U21"/>
      <c r="V21"/>
      <c r="W21"/>
      <c r="X21"/>
      <c r="Y21"/>
      <c r="Z21"/>
      <c r="AA21"/>
      <c r="AB21" s="59" t="s">
        <v>454</v>
      </c>
      <c r="AC21"/>
      <c r="AD21"/>
    </row>
    <row r="22" spans="1:30" ht="24.95" customHeight="1" x14ac:dyDescent="0.4">
      <c r="B22" s="2"/>
      <c r="C22" s="2"/>
      <c r="D22" s="2"/>
      <c r="E22" s="2"/>
      <c r="F22" s="52" t="s">
        <v>706</v>
      </c>
      <c r="G22"/>
      <c r="H22" s="2"/>
      <c r="I22" s="2"/>
      <c r="J22" s="2"/>
      <c r="K22" s="2"/>
      <c r="L22"/>
      <c r="M22"/>
      <c r="N22"/>
      <c r="O22" s="7"/>
      <c r="P22" s="7"/>
      <c r="Q22"/>
      <c r="R22"/>
      <c r="S22"/>
      <c r="T22"/>
      <c r="U22"/>
      <c r="V22"/>
      <c r="W22"/>
      <c r="X22"/>
      <c r="Y22"/>
      <c r="Z22"/>
      <c r="AA22"/>
      <c r="AB22" s="60" t="s">
        <v>458</v>
      </c>
      <c r="AC22"/>
      <c r="AD22"/>
    </row>
    <row r="23" spans="1:30" ht="24.95" customHeight="1" x14ac:dyDescent="0.4">
      <c r="B23" s="2"/>
      <c r="C23" s="2"/>
      <c r="D23" s="2"/>
      <c r="E23" s="2"/>
      <c r="F23"/>
      <c r="G23"/>
      <c r="H23" s="2"/>
      <c r="I23" s="2"/>
      <c r="J23" s="2"/>
      <c r="K23" s="2"/>
      <c r="L23"/>
      <c r="M23"/>
      <c r="N23"/>
      <c r="O23" s="7"/>
      <c r="P23" s="7"/>
      <c r="Q23"/>
      <c r="R23"/>
      <c r="S23"/>
      <c r="T23"/>
      <c r="U23"/>
      <c r="V23"/>
      <c r="W23"/>
      <c r="X23"/>
      <c r="Y23"/>
      <c r="Z23"/>
      <c r="AA23"/>
      <c r="AB23" s="59" t="s">
        <v>461</v>
      </c>
      <c r="AC23"/>
      <c r="AD23"/>
    </row>
  </sheetData>
  <hyperlinks>
    <hyperlink ref="B2" location="Aerospace!A1" display="Aerospace"/>
    <hyperlink ref="C2" location="AgChemical!A1" display="AgChemical"/>
    <hyperlink ref="D2" location="Airlines!A1" display="Airlines"/>
    <hyperlink ref="E2" location="Apparel!A1" display="Apparel"/>
    <hyperlink ref="F2" location="BioPharma!A1" display="BioPharma"/>
    <hyperlink ref="G2" location="Defense!A1" display="Defense"/>
    <hyperlink ref="H2" location="Electricity!A1" display="Electricity"/>
    <hyperlink ref="I2" location="Electronics!A1" display="Electronics"/>
    <hyperlink ref="J2" location="Energy!A1" display="Energy"/>
    <hyperlink ref="K2" location="ETF!A1" display="ETF"/>
    <hyperlink ref="L2" location="Fashion!A1" display="Fashion"/>
    <hyperlink ref="M2" location="FastFood!A1" display="FastFood"/>
    <hyperlink ref="N2" location="Financial!A1" display="Financial"/>
    <hyperlink ref="O2" location="Food!A1" display="Food"/>
    <hyperlink ref="P2" location="Health!A1" display="Health"/>
    <hyperlink ref="Q2" location="Industrials!A1" display="Industrials"/>
    <hyperlink ref="R2" location="IndustryConglomerate!A1" display="IndustryConglomerate"/>
    <hyperlink ref="S2" location="Insurance!A1" display="Insurance"/>
    <hyperlink ref="T2" location="Media!A1" display="Media"/>
    <hyperlink ref="U2" location="Metal!A1" display="Metal"/>
    <hyperlink ref="V2" location="Packaging!A1" display="Packaging"/>
    <hyperlink ref="W2" location="Railroads!A1" display="Railroads"/>
    <hyperlink ref="X2" location="Semiconductor!A1" display="Semiconductor"/>
    <hyperlink ref="Y2" location="Solar!A1" display="Solar"/>
    <hyperlink ref="Z2" location="Technology!A1" display="Technology"/>
    <hyperlink ref="AA2" location="TeleComm!A1" display="TeleComm"/>
    <hyperlink ref="AB2" location="UtilityREIT!A1" display="UtilityREIT"/>
    <hyperlink ref="AC2" location="VarietyStores!A1" display="VarietyStores"/>
    <hyperlink ref="AD2" location="WasteMgt!A1" display="WasteMg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2" width="9.140625" style="2"/>
    <col min="13" max="13" width="18.7109375" style="2" customWidth="1"/>
    <col min="14" max="16384" width="9.140625" style="2"/>
  </cols>
  <sheetData>
    <row r="1" spans="1:13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774</v>
      </c>
      <c r="M1" s="13" t="s">
        <v>775</v>
      </c>
    </row>
    <row r="2" spans="1:13" ht="20.100000000000001" customHeight="1" x14ac:dyDescent="0.25">
      <c r="A2" s="2" t="s">
        <v>127</v>
      </c>
      <c r="B2" s="2" t="s">
        <v>137</v>
      </c>
      <c r="C2" s="4">
        <v>133.47</v>
      </c>
      <c r="D2" s="4">
        <v>130.57</v>
      </c>
      <c r="E2" s="4">
        <v>133.49</v>
      </c>
      <c r="F2" s="5">
        <v>133.53</v>
      </c>
      <c r="G2" s="6">
        <v>-4.4933722758932278E-4</v>
      </c>
      <c r="H2" s="4" t="s">
        <v>768</v>
      </c>
      <c r="I2" s="5">
        <v>3.27</v>
      </c>
      <c r="J2" s="4">
        <v>18.04</v>
      </c>
      <c r="K2" s="4">
        <v>127.62</v>
      </c>
      <c r="L2" s="72">
        <v>120</v>
      </c>
      <c r="M2" s="72" t="b">
        <f>Table351520[[#This Row],[LatestPrice]]&lt;Table351520[[#This Row],[Target]]</f>
        <v>0</v>
      </c>
    </row>
    <row r="3" spans="1:13" ht="20.100000000000001" customHeight="1" x14ac:dyDescent="0.25">
      <c r="A3" s="2" t="s">
        <v>311</v>
      </c>
      <c r="B3" s="2" t="s">
        <v>313</v>
      </c>
      <c r="C3" s="4">
        <v>39.82</v>
      </c>
      <c r="D3" s="4">
        <v>38.950000000000003</v>
      </c>
      <c r="E3" s="4">
        <v>40</v>
      </c>
      <c r="F3" s="5">
        <v>39.21</v>
      </c>
      <c r="G3" s="6">
        <v>1.5557255802091288E-2</v>
      </c>
      <c r="H3" s="4" t="s">
        <v>769</v>
      </c>
      <c r="I3" s="5">
        <v>0.2</v>
      </c>
      <c r="J3" s="4">
        <v>15.02</v>
      </c>
      <c r="K3" s="4">
        <v>36.71</v>
      </c>
      <c r="L3" s="72"/>
      <c r="M3" s="72" t="b">
        <f>Table351520[[#This Row],[LatestPrice]]&lt;Table351520[[#This Row],[Target]]</f>
        <v>0</v>
      </c>
    </row>
    <row r="4" spans="1:13" ht="20.100000000000001" customHeight="1" x14ac:dyDescent="0.25">
      <c r="A4" s="2" t="s">
        <v>312</v>
      </c>
      <c r="B4" s="2" t="s">
        <v>314</v>
      </c>
      <c r="C4" s="4">
        <v>62.73</v>
      </c>
      <c r="D4" s="4">
        <v>61.3</v>
      </c>
      <c r="E4" s="4">
        <v>63.4</v>
      </c>
      <c r="F4" s="5">
        <v>63.44</v>
      </c>
      <c r="G4" s="6">
        <v>-1.1191677175283746E-2</v>
      </c>
      <c r="H4" s="4" t="s">
        <v>770</v>
      </c>
      <c r="I4" s="5">
        <v>0</v>
      </c>
      <c r="J4" s="4">
        <v>40.89</v>
      </c>
      <c r="K4" s="4">
        <v>65.23</v>
      </c>
      <c r="L4" s="72"/>
      <c r="M4" s="72" t="b">
        <f>Table351520[[#This Row],[LatestPrice]]&lt;Table351520[[#This Row],[Target]]</f>
        <v>0</v>
      </c>
    </row>
    <row r="5" spans="1:13" ht="20.100000000000001" customHeight="1" x14ac:dyDescent="0.25">
      <c r="A5" s="2" t="s">
        <v>316</v>
      </c>
      <c r="B5" s="2" t="s">
        <v>317</v>
      </c>
      <c r="C5" s="4">
        <v>85.19</v>
      </c>
      <c r="D5" s="4">
        <v>84.56</v>
      </c>
      <c r="E5" s="4">
        <v>85.46</v>
      </c>
      <c r="F5" s="5">
        <v>85.72</v>
      </c>
      <c r="G5" s="6">
        <v>-6.1829211385907744E-3</v>
      </c>
      <c r="H5" s="4" t="s">
        <v>771</v>
      </c>
      <c r="I5" s="5">
        <v>1.54</v>
      </c>
      <c r="J5" s="4">
        <v>16.97</v>
      </c>
      <c r="K5" s="4">
        <v>87.65</v>
      </c>
      <c r="L5" s="72">
        <v>79</v>
      </c>
      <c r="M5" s="72" t="b">
        <f>Table351520[[#This Row],[LatestPrice]]&lt;Table351520[[#This Row],[Target]]</f>
        <v>0</v>
      </c>
    </row>
    <row r="6" spans="1:13" ht="20.100000000000001" customHeight="1" x14ac:dyDescent="0.25">
      <c r="A6" s="2" t="s">
        <v>126</v>
      </c>
      <c r="B6" s="2" t="s">
        <v>136</v>
      </c>
      <c r="C6" s="4">
        <v>57.86</v>
      </c>
      <c r="D6" s="4">
        <v>57.14</v>
      </c>
      <c r="E6" s="4">
        <v>58</v>
      </c>
      <c r="F6" s="5">
        <v>57.65</v>
      </c>
      <c r="G6" s="6">
        <v>3.6426712922810211E-3</v>
      </c>
      <c r="H6" s="4" t="s">
        <v>772</v>
      </c>
      <c r="I6" s="5">
        <v>0.76</v>
      </c>
      <c r="J6" s="4">
        <v>22.05</v>
      </c>
      <c r="K6" s="4">
        <v>52.38</v>
      </c>
      <c r="L6" s="72">
        <v>45</v>
      </c>
      <c r="M6" s="72" t="b">
        <f>Table351520[[#This Row],[LatestPrice]]&lt;Table351520[[#This Row],[Target]]</f>
        <v>0</v>
      </c>
    </row>
    <row r="7" spans="1:13" ht="20.100000000000001" customHeight="1" x14ac:dyDescent="0.25">
      <c r="A7" s="2" t="s">
        <v>318</v>
      </c>
      <c r="B7" s="2" t="s">
        <v>319</v>
      </c>
      <c r="C7" s="4">
        <v>66.42</v>
      </c>
      <c r="D7" s="4">
        <v>65.81</v>
      </c>
      <c r="E7" s="4">
        <v>66.7</v>
      </c>
      <c r="F7" s="5">
        <v>66.37</v>
      </c>
      <c r="G7" s="6">
        <v>7.5335241826121971E-4</v>
      </c>
      <c r="H7" s="4" t="s">
        <v>773</v>
      </c>
      <c r="I7" s="5">
        <v>0.24</v>
      </c>
      <c r="J7" s="4">
        <v>31.63</v>
      </c>
      <c r="K7" s="4">
        <v>60.44</v>
      </c>
      <c r="L7" s="72"/>
      <c r="M7" s="72" t="b">
        <f>Table351520[[#This Row],[LatestPrice]]&lt;Table351520[[#This Row],[Target]]</f>
        <v>0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12"/>
  <sheetViews>
    <sheetView workbookViewId="0">
      <selection activeCell="B9" sqref="B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347</v>
      </c>
      <c r="B2" s="2" t="s">
        <v>353</v>
      </c>
      <c r="C2" s="4">
        <v>17.260000000000002</v>
      </c>
      <c r="D2" s="4">
        <v>17.010000000000002</v>
      </c>
      <c r="E2" s="4">
        <v>17.329999999999998</v>
      </c>
      <c r="F2" s="5">
        <v>17.22</v>
      </c>
      <c r="G2" s="6">
        <v>2.3228803716610165E-3</v>
      </c>
      <c r="H2" s="4" t="s">
        <v>497</v>
      </c>
      <c r="I2" s="5">
        <v>5.81</v>
      </c>
      <c r="J2" s="4">
        <v>14.79</v>
      </c>
      <c r="K2" s="4">
        <v>16.760000000000002</v>
      </c>
    </row>
    <row r="3" spans="1:11" ht="20.100000000000001" customHeight="1" x14ac:dyDescent="0.25">
      <c r="A3" s="2" t="s">
        <v>348</v>
      </c>
      <c r="B3" s="2" t="s">
        <v>354</v>
      </c>
      <c r="C3" s="4">
        <v>95.75</v>
      </c>
      <c r="D3" s="4">
        <v>95.07</v>
      </c>
      <c r="E3" s="4">
        <v>96.32</v>
      </c>
      <c r="F3" s="5">
        <v>95.53</v>
      </c>
      <c r="G3" s="6">
        <v>2.302941484350454E-3</v>
      </c>
      <c r="H3" s="4" t="s">
        <v>498</v>
      </c>
      <c r="I3" s="5">
        <v>3.77</v>
      </c>
      <c r="J3" s="4">
        <v>13.76</v>
      </c>
      <c r="K3" s="4">
        <v>88.07</v>
      </c>
    </row>
    <row r="4" spans="1:11" ht="20.100000000000001" customHeight="1" x14ac:dyDescent="0.25">
      <c r="A4" s="2" t="s">
        <v>349</v>
      </c>
      <c r="B4" s="2" t="s">
        <v>355</v>
      </c>
      <c r="C4" s="4">
        <v>103.45</v>
      </c>
      <c r="D4" s="4">
        <v>100</v>
      </c>
      <c r="E4" s="4">
        <v>104.77</v>
      </c>
      <c r="F4" s="5">
        <v>104.22</v>
      </c>
      <c r="G4" s="6">
        <v>-7.3882172327767804E-3</v>
      </c>
      <c r="H4" s="4" t="s">
        <v>499</v>
      </c>
      <c r="I4" s="5">
        <v>2.0699999999999998</v>
      </c>
      <c r="J4" s="4">
        <v>45.53</v>
      </c>
      <c r="K4" s="4">
        <v>95.36</v>
      </c>
    </row>
    <row r="5" spans="1:11" ht="20.100000000000001" customHeight="1" x14ac:dyDescent="0.25">
      <c r="A5" s="61" t="s">
        <v>351</v>
      </c>
      <c r="B5" s="2" t="s">
        <v>356</v>
      </c>
      <c r="C5" s="4">
        <v>27.44</v>
      </c>
      <c r="D5" s="4">
        <v>27.03</v>
      </c>
      <c r="E5" s="4">
        <v>28.02</v>
      </c>
      <c r="F5" s="5">
        <v>27.87</v>
      </c>
      <c r="G5" s="6">
        <v>-1.5428776462145665E-2</v>
      </c>
      <c r="H5" s="4" t="s">
        <v>500</v>
      </c>
      <c r="I5" s="5">
        <v>4.3099999999999996</v>
      </c>
      <c r="J5" s="4">
        <v>13.03</v>
      </c>
      <c r="K5" s="4">
        <v>30.93</v>
      </c>
    </row>
    <row r="6" spans="1:11" ht="20.100000000000001" customHeight="1" x14ac:dyDescent="0.25">
      <c r="A6" s="2" t="s">
        <v>352</v>
      </c>
      <c r="B6" s="2" t="s">
        <v>357</v>
      </c>
      <c r="C6" s="4">
        <v>77.2</v>
      </c>
      <c r="D6" s="4">
        <v>77</v>
      </c>
      <c r="E6" s="4">
        <v>77.23</v>
      </c>
      <c r="F6" s="5">
        <v>77.319999999999993</v>
      </c>
      <c r="G6" s="6">
        <v>-1.5519917227106873E-3</v>
      </c>
      <c r="H6" s="4" t="s">
        <v>501</v>
      </c>
      <c r="I6" s="5">
        <v>2.97</v>
      </c>
      <c r="J6" s="4">
        <v>26.58</v>
      </c>
      <c r="K6" s="4">
        <v>79.569999999999993</v>
      </c>
    </row>
    <row r="7" spans="1:11" ht="20.100000000000001" customHeight="1" x14ac:dyDescent="0.25">
      <c r="A7" s="61" t="s">
        <v>350</v>
      </c>
      <c r="B7" s="2" t="s">
        <v>358</v>
      </c>
      <c r="C7" s="4">
        <v>28.69</v>
      </c>
      <c r="D7" s="4">
        <v>27.95</v>
      </c>
      <c r="E7" s="4">
        <v>28.71</v>
      </c>
      <c r="F7" s="5">
        <v>28.18</v>
      </c>
      <c r="G7" s="6">
        <v>1.8097941802697005E-2</v>
      </c>
      <c r="H7" s="4" t="s">
        <v>502</v>
      </c>
      <c r="I7" s="5">
        <v>2.9</v>
      </c>
      <c r="J7" s="4">
        <v>10.6</v>
      </c>
      <c r="K7" s="4">
        <v>26.37</v>
      </c>
    </row>
    <row r="8" spans="1:11" ht="20.100000000000001" customHeight="1" x14ac:dyDescent="0.25">
      <c r="A8" s="2" t="s">
        <v>503</v>
      </c>
      <c r="B8" s="2" t="s">
        <v>507</v>
      </c>
      <c r="C8" s="4">
        <v>7.95</v>
      </c>
      <c r="D8" s="4">
        <v>7.95</v>
      </c>
      <c r="E8" s="4">
        <v>8.1</v>
      </c>
      <c r="F8" s="5">
        <v>7.95</v>
      </c>
      <c r="G8" s="6">
        <v>0</v>
      </c>
      <c r="H8" s="4" t="s">
        <v>508</v>
      </c>
      <c r="I8" s="5">
        <v>13.58</v>
      </c>
      <c r="J8" s="4">
        <v>11.56</v>
      </c>
      <c r="K8" s="4">
        <v>7.5</v>
      </c>
    </row>
    <row r="9" spans="1:11" ht="20.100000000000001" customHeight="1" x14ac:dyDescent="0.25">
      <c r="A9" s="2" t="s">
        <v>504</v>
      </c>
      <c r="B9" s="2" t="s">
        <v>509</v>
      </c>
      <c r="C9" s="4">
        <v>1.49</v>
      </c>
      <c r="D9" s="4">
        <v>1.42</v>
      </c>
      <c r="E9" s="4">
        <v>1.5</v>
      </c>
      <c r="F9" s="5">
        <v>1.46</v>
      </c>
      <c r="G9" s="6">
        <v>2.0547945205479472E-2</v>
      </c>
      <c r="H9" s="4" t="s">
        <v>510</v>
      </c>
      <c r="I9" s="5">
        <v>0</v>
      </c>
      <c r="J9" s="4" t="s">
        <v>39</v>
      </c>
      <c r="K9" s="4">
        <v>1.55</v>
      </c>
    </row>
    <row r="10" spans="1:11" ht="20.100000000000001" customHeight="1" x14ac:dyDescent="0.25">
      <c r="A10" s="2" t="s">
        <v>505</v>
      </c>
      <c r="B10" s="2" t="s">
        <v>511</v>
      </c>
      <c r="C10" s="4">
        <v>4.12</v>
      </c>
      <c r="D10" s="4">
        <v>4.08</v>
      </c>
      <c r="E10" s="4">
        <v>4.13</v>
      </c>
      <c r="F10" s="5">
        <v>4.1399999999999997</v>
      </c>
      <c r="G10" s="6">
        <v>-4.8309178743960327E-3</v>
      </c>
      <c r="H10" s="4" t="s">
        <v>512</v>
      </c>
      <c r="I10" s="5">
        <v>2.65</v>
      </c>
      <c r="J10" s="4">
        <v>14.71</v>
      </c>
      <c r="K10" s="4">
        <v>4.1900000000000004</v>
      </c>
    </row>
    <row r="11" spans="1:11" ht="20.100000000000001" customHeight="1" x14ac:dyDescent="0.25">
      <c r="A11" s="2" t="s">
        <v>506</v>
      </c>
      <c r="B11" s="2" t="s">
        <v>513</v>
      </c>
      <c r="C11" s="4">
        <v>111.59</v>
      </c>
      <c r="D11" s="4">
        <v>110.25</v>
      </c>
      <c r="E11" s="4">
        <v>111.92</v>
      </c>
      <c r="F11" s="5">
        <v>109.96</v>
      </c>
      <c r="G11" s="6">
        <v>1.4823572208075753E-2</v>
      </c>
      <c r="H11" s="4" t="s">
        <v>514</v>
      </c>
      <c r="I11" s="5">
        <v>5.49</v>
      </c>
      <c r="J11" s="4">
        <v>11.7</v>
      </c>
      <c r="K11" s="4">
        <v>106.72</v>
      </c>
    </row>
    <row r="12" spans="1:11" ht="20.100000000000001" customHeight="1" x14ac:dyDescent="0.25">
      <c r="A12" s="2" t="s">
        <v>517</v>
      </c>
      <c r="B12" s="2" t="s">
        <v>518</v>
      </c>
      <c r="C12" s="4">
        <v>5.36</v>
      </c>
      <c r="D12" s="4">
        <v>5.27</v>
      </c>
      <c r="E12" s="4">
        <v>5.44</v>
      </c>
      <c r="F12" s="5">
        <v>5.34</v>
      </c>
      <c r="G12" s="6">
        <v>3.7453183520600119E-3</v>
      </c>
      <c r="H12" s="4" t="s">
        <v>519</v>
      </c>
      <c r="I12" s="5">
        <v>0</v>
      </c>
      <c r="J12" s="4" t="s">
        <v>39</v>
      </c>
      <c r="K12" s="4">
        <v>3.99</v>
      </c>
    </row>
  </sheetData>
  <conditionalFormatting sqref="G1:G1048576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8: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0"/>
  <sheetViews>
    <sheetView workbookViewId="0">
      <selection activeCell="N13" sqref="N1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36.36</v>
      </c>
      <c r="D2" s="4">
        <v>35.6</v>
      </c>
      <c r="E2" s="4">
        <v>36.56</v>
      </c>
      <c r="F2" s="5">
        <v>34.96</v>
      </c>
      <c r="G2" s="6">
        <v>4.0045766590388977E-2</v>
      </c>
      <c r="H2" s="4" t="s">
        <v>777</v>
      </c>
      <c r="I2" s="5">
        <v>1.1399999999999999</v>
      </c>
      <c r="J2" s="4">
        <v>3.44</v>
      </c>
      <c r="K2" s="4">
        <v>36.51</v>
      </c>
    </row>
    <row r="3" spans="1:11" ht="20.100000000000001" customHeight="1" x14ac:dyDescent="0.25">
      <c r="A3" s="61" t="s">
        <v>255</v>
      </c>
      <c r="B3" s="2" t="s">
        <v>260</v>
      </c>
      <c r="C3" s="4">
        <v>38.96</v>
      </c>
      <c r="D3" s="4">
        <v>38.43</v>
      </c>
      <c r="E3" s="4">
        <v>39.19</v>
      </c>
      <c r="F3" s="5">
        <v>38.520000000000003</v>
      </c>
      <c r="G3" s="6">
        <v>1.1422637590861829E-2</v>
      </c>
      <c r="H3" s="4" t="s">
        <v>778</v>
      </c>
      <c r="I3" s="5">
        <v>1.4</v>
      </c>
      <c r="J3" s="4">
        <v>6.35</v>
      </c>
      <c r="K3" s="4">
        <v>43.89</v>
      </c>
    </row>
    <row r="4" spans="1:11" ht="20.100000000000001" customHeight="1" x14ac:dyDescent="0.25">
      <c r="A4" s="61" t="s">
        <v>256</v>
      </c>
      <c r="B4" s="2" t="s">
        <v>261</v>
      </c>
      <c r="C4" s="4">
        <v>47.57</v>
      </c>
      <c r="D4" s="4">
        <v>46.56</v>
      </c>
      <c r="E4" s="4">
        <v>47.69</v>
      </c>
      <c r="F4" s="5">
        <v>46.66</v>
      </c>
      <c r="G4" s="6">
        <v>1.9502786112301839E-2</v>
      </c>
      <c r="H4" s="4" t="s">
        <v>779</v>
      </c>
      <c r="I4" s="5">
        <v>0</v>
      </c>
      <c r="J4" s="4">
        <v>2.6</v>
      </c>
      <c r="K4" s="4">
        <v>49.51</v>
      </c>
    </row>
    <row r="5" spans="1:11" ht="20.100000000000001" customHeight="1" x14ac:dyDescent="0.25">
      <c r="A5" s="2" t="s">
        <v>257</v>
      </c>
      <c r="B5" s="2" t="s">
        <v>262</v>
      </c>
      <c r="C5" s="4">
        <v>37.83</v>
      </c>
      <c r="D5" s="4">
        <v>37.01</v>
      </c>
      <c r="E5" s="4">
        <v>38.049999999999997</v>
      </c>
      <c r="F5" s="5">
        <v>37.32</v>
      </c>
      <c r="G5" s="6">
        <v>1.3665594855305413E-2</v>
      </c>
      <c r="H5" s="4" t="s">
        <v>780</v>
      </c>
      <c r="I5" s="5">
        <v>1.07</v>
      </c>
      <c r="J5" s="4">
        <v>10.050000000000001</v>
      </c>
      <c r="K5" s="4">
        <v>41.68</v>
      </c>
    </row>
    <row r="6" spans="1:11" ht="20.100000000000001" customHeight="1" x14ac:dyDescent="0.25">
      <c r="A6" s="2" t="s">
        <v>258</v>
      </c>
      <c r="B6" s="2" t="s">
        <v>263</v>
      </c>
      <c r="C6" s="4">
        <v>17.579999999999998</v>
      </c>
      <c r="D6" s="4">
        <v>17.25</v>
      </c>
      <c r="E6" s="4">
        <v>17.66</v>
      </c>
      <c r="F6" s="5">
        <v>17.399999999999999</v>
      </c>
      <c r="G6" s="6">
        <v>1.0344827586206881E-2</v>
      </c>
      <c r="H6" s="4" t="s">
        <v>781</v>
      </c>
      <c r="I6" s="5" t="s">
        <v>39</v>
      </c>
      <c r="J6" s="4">
        <v>8.1300000000000008</v>
      </c>
      <c r="K6" s="4">
        <v>19.53</v>
      </c>
    </row>
    <row r="7" spans="1:11" ht="20.100000000000001" customHeight="1" x14ac:dyDescent="0.25">
      <c r="A7" s="2" t="s">
        <v>729</v>
      </c>
      <c r="B7" s="2" t="s">
        <v>730</v>
      </c>
      <c r="C7" s="4">
        <v>43.76</v>
      </c>
      <c r="D7" s="4">
        <v>42.69</v>
      </c>
      <c r="E7" s="4">
        <v>43.91</v>
      </c>
      <c r="F7" s="5">
        <v>42.25</v>
      </c>
      <c r="G7" s="6">
        <v>3.5739644970414153E-2</v>
      </c>
      <c r="H7" s="4" t="s">
        <v>782</v>
      </c>
      <c r="I7" s="5" t="s">
        <v>39</v>
      </c>
      <c r="J7" s="4">
        <v>10.17</v>
      </c>
      <c r="K7" s="4">
        <v>44.76</v>
      </c>
    </row>
    <row r="8" spans="1:11" ht="20.100000000000001" customHeight="1" x14ac:dyDescent="0.25">
      <c r="A8" s="2" t="s">
        <v>731</v>
      </c>
      <c r="B8" s="2" t="s">
        <v>732</v>
      </c>
      <c r="C8" s="4">
        <v>22.639900000000001</v>
      </c>
      <c r="D8" s="4">
        <v>22.35</v>
      </c>
      <c r="E8" s="4">
        <v>22.67</v>
      </c>
      <c r="F8" s="5">
        <v>22.25</v>
      </c>
      <c r="G8" s="6">
        <v>1.7523595505618012E-2</v>
      </c>
      <c r="H8" s="4" t="s">
        <v>39</v>
      </c>
      <c r="I8" s="5" t="s">
        <v>39</v>
      </c>
      <c r="J8" s="4" t="s">
        <v>39</v>
      </c>
      <c r="K8" s="4">
        <v>23.2849</v>
      </c>
    </row>
    <row r="9" spans="1:11" ht="20.100000000000001" customHeight="1" x14ac:dyDescent="0.25">
      <c r="A9" s="2" t="s">
        <v>733</v>
      </c>
      <c r="B9" s="2" t="s">
        <v>734</v>
      </c>
      <c r="C9" s="4">
        <v>27.98</v>
      </c>
      <c r="D9" s="4">
        <v>27.76</v>
      </c>
      <c r="E9" s="4">
        <v>28.02</v>
      </c>
      <c r="F9" s="5">
        <v>28.44</v>
      </c>
      <c r="G9" s="6">
        <v>-1.6174402250351647E-2</v>
      </c>
      <c r="H9" s="4" t="s">
        <v>783</v>
      </c>
      <c r="I9" s="5">
        <v>0</v>
      </c>
      <c r="J9" s="4">
        <v>8.61</v>
      </c>
      <c r="K9" s="4">
        <v>26.22</v>
      </c>
    </row>
    <row r="10" spans="1:11" ht="20.100000000000001" customHeight="1" x14ac:dyDescent="0.25">
      <c r="A10" s="2" t="s">
        <v>776</v>
      </c>
      <c r="B10" s="2" t="s">
        <v>784</v>
      </c>
      <c r="C10" s="4">
        <v>46.26</v>
      </c>
      <c r="D10" s="4">
        <v>43.5</v>
      </c>
      <c r="E10" s="4">
        <v>46.92</v>
      </c>
      <c r="F10" s="5">
        <v>43.48</v>
      </c>
      <c r="G10" s="6">
        <v>6.3937442502299935E-2</v>
      </c>
      <c r="H10" s="4" t="s">
        <v>785</v>
      </c>
      <c r="I10" s="5" t="s">
        <v>39</v>
      </c>
      <c r="J10" s="4">
        <v>10.95</v>
      </c>
      <c r="K10" s="4">
        <v>40.869999999999997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6"/>
  <sheetViews>
    <sheetView workbookViewId="0">
      <selection activeCell="F23" sqref="F23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667</v>
      </c>
      <c r="B2" s="2" t="s">
        <v>671</v>
      </c>
      <c r="C2" s="4">
        <v>57.87</v>
      </c>
      <c r="D2" s="4">
        <v>57.87</v>
      </c>
      <c r="E2" s="4">
        <v>58.87</v>
      </c>
      <c r="F2" s="5">
        <v>58.49</v>
      </c>
      <c r="G2" s="6">
        <v>-1.0600102581637964E-2</v>
      </c>
      <c r="H2" s="4" t="s">
        <v>672</v>
      </c>
      <c r="I2" s="5">
        <v>1.1000000000000001</v>
      </c>
      <c r="J2" s="4">
        <v>26.79</v>
      </c>
      <c r="K2" s="4">
        <v>58.61</v>
      </c>
    </row>
    <row r="3" spans="1:11" ht="20.100000000000001" customHeight="1" x14ac:dyDescent="0.25">
      <c r="A3" s="2" t="s">
        <v>668</v>
      </c>
      <c r="B3" s="2" t="s">
        <v>673</v>
      </c>
      <c r="C3" s="4">
        <v>41.68</v>
      </c>
      <c r="D3" s="4">
        <v>41.56</v>
      </c>
      <c r="E3" s="4">
        <v>42.03</v>
      </c>
      <c r="F3" s="5">
        <v>41.54</v>
      </c>
      <c r="G3" s="6">
        <v>3.370245546461256E-3</v>
      </c>
      <c r="H3" s="4" t="s">
        <v>674</v>
      </c>
      <c r="I3" s="5" t="s">
        <v>39</v>
      </c>
      <c r="J3" s="4">
        <v>78.05</v>
      </c>
      <c r="K3" s="4">
        <v>39.799999999999997</v>
      </c>
    </row>
    <row r="4" spans="1:11" ht="20.100000000000001" customHeight="1" x14ac:dyDescent="0.25">
      <c r="A4" s="2" t="s">
        <v>71</v>
      </c>
      <c r="B4" s="2" t="s">
        <v>291</v>
      </c>
      <c r="C4" s="4">
        <v>42.3</v>
      </c>
      <c r="D4" s="4">
        <v>42.15</v>
      </c>
      <c r="E4" s="4">
        <v>42.51</v>
      </c>
      <c r="F4" s="5">
        <v>42.18</v>
      </c>
      <c r="G4" s="6">
        <v>2.8449502133712054E-3</v>
      </c>
      <c r="H4" s="4" t="s">
        <v>555</v>
      </c>
      <c r="I4" s="5">
        <v>3.21</v>
      </c>
      <c r="J4" s="4">
        <v>30.17</v>
      </c>
      <c r="K4" s="4">
        <v>37.99</v>
      </c>
    </row>
    <row r="5" spans="1:11" ht="20.100000000000001" customHeight="1" x14ac:dyDescent="0.25">
      <c r="A5" s="2" t="s">
        <v>669</v>
      </c>
      <c r="B5" s="2" t="s">
        <v>675</v>
      </c>
      <c r="C5" s="4">
        <v>28.66</v>
      </c>
      <c r="D5" s="4">
        <v>28.39</v>
      </c>
      <c r="E5" s="4">
        <v>30.59</v>
      </c>
      <c r="F5" s="5">
        <v>30.67</v>
      </c>
      <c r="G5" s="6">
        <v>-6.5536354744049605E-2</v>
      </c>
      <c r="H5" s="4" t="s">
        <v>676</v>
      </c>
      <c r="I5" s="5" t="s">
        <v>39</v>
      </c>
      <c r="J5" s="4">
        <v>7.35</v>
      </c>
      <c r="K5" s="4">
        <v>36</v>
      </c>
    </row>
    <row r="6" spans="1:11" ht="20.100000000000001" customHeight="1" x14ac:dyDescent="0.25">
      <c r="A6" s="2" t="s">
        <v>670</v>
      </c>
      <c r="B6" s="2" t="s">
        <v>677</v>
      </c>
      <c r="C6" s="4">
        <v>22.1</v>
      </c>
      <c r="D6" s="4">
        <v>21.91</v>
      </c>
      <c r="E6" s="4">
        <v>22.45</v>
      </c>
      <c r="F6" s="5">
        <v>22.04</v>
      </c>
      <c r="G6" s="6">
        <v>2.722323049001918E-3</v>
      </c>
      <c r="H6" s="4" t="s">
        <v>678</v>
      </c>
      <c r="I6" s="5">
        <v>1.81</v>
      </c>
      <c r="J6" s="4">
        <v>55.67</v>
      </c>
      <c r="K6" s="4">
        <v>18.89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5:G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19" sqref="N19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96</v>
      </c>
      <c r="B2" s="2" t="s">
        <v>110</v>
      </c>
      <c r="C2" s="4">
        <v>4.1399999999999997</v>
      </c>
      <c r="D2" s="4" t="s">
        <v>39</v>
      </c>
      <c r="E2" s="4" t="s">
        <v>39</v>
      </c>
      <c r="F2" s="5">
        <v>4.1399999999999997</v>
      </c>
      <c r="G2" s="6">
        <v>0</v>
      </c>
      <c r="H2" s="4" t="s">
        <v>39</v>
      </c>
      <c r="I2" s="5" t="s">
        <v>39</v>
      </c>
      <c r="J2" s="4" t="s">
        <v>39</v>
      </c>
      <c r="K2" s="4">
        <v>6.69</v>
      </c>
    </row>
    <row r="3" spans="1:11" ht="20.100000000000001" customHeight="1" x14ac:dyDescent="0.25">
      <c r="A3" s="2" t="s">
        <v>109</v>
      </c>
      <c r="B3" s="2" t="s">
        <v>111</v>
      </c>
      <c r="C3" s="11">
        <v>63.32</v>
      </c>
      <c r="D3" s="4">
        <v>63.13</v>
      </c>
      <c r="E3" s="4">
        <v>64.17</v>
      </c>
      <c r="F3" s="5">
        <v>63.62</v>
      </c>
      <c r="G3" s="26">
        <v>-4.7154982709839231E-3</v>
      </c>
      <c r="H3" s="6" t="s">
        <v>520</v>
      </c>
      <c r="I3" s="5">
        <v>3.58</v>
      </c>
      <c r="J3" s="4">
        <v>19.04</v>
      </c>
      <c r="K3" s="4">
        <v>58.81</v>
      </c>
    </row>
    <row r="4" spans="1:11" ht="20.100000000000001" customHeight="1" x14ac:dyDescent="0.25">
      <c r="A4" s="2" t="s">
        <v>102</v>
      </c>
      <c r="B4" s="2" t="s">
        <v>112</v>
      </c>
      <c r="C4" s="4">
        <v>42.1</v>
      </c>
      <c r="D4" s="4">
        <v>42.03</v>
      </c>
      <c r="E4" s="4">
        <v>42.53</v>
      </c>
      <c r="F4" s="5">
        <v>42.28</v>
      </c>
      <c r="G4" s="6">
        <v>-4.2573320719016018E-3</v>
      </c>
      <c r="H4" s="4" t="s">
        <v>521</v>
      </c>
      <c r="I4" s="5">
        <v>2.46</v>
      </c>
      <c r="J4" s="4">
        <v>25.92</v>
      </c>
      <c r="K4" s="4">
        <v>39.96</v>
      </c>
    </row>
    <row r="5" spans="1:11" ht="20.100000000000001" customHeight="1" x14ac:dyDescent="0.25">
      <c r="A5" s="2" t="s">
        <v>101</v>
      </c>
      <c r="B5" s="2" t="s">
        <v>113</v>
      </c>
      <c r="C5" s="4">
        <v>242.51</v>
      </c>
      <c r="D5" s="4">
        <v>240.71</v>
      </c>
      <c r="E5" s="4">
        <v>245.78</v>
      </c>
      <c r="F5" s="5">
        <v>244.21</v>
      </c>
      <c r="G5" s="6">
        <v>-6.9612218991851969E-3</v>
      </c>
      <c r="H5" s="4" t="s">
        <v>522</v>
      </c>
      <c r="I5" s="5">
        <v>0.1</v>
      </c>
      <c r="J5" s="4">
        <v>21.7</v>
      </c>
      <c r="K5" s="4">
        <v>257.62</v>
      </c>
    </row>
    <row r="6" spans="1:11" ht="20.100000000000001" customHeight="1" x14ac:dyDescent="0.25">
      <c r="A6" s="2" t="s">
        <v>250</v>
      </c>
      <c r="B6" s="2" t="s">
        <v>251</v>
      </c>
      <c r="C6" s="20">
        <v>125.58</v>
      </c>
      <c r="D6" s="20">
        <v>124.96</v>
      </c>
      <c r="E6" s="20">
        <v>126.87</v>
      </c>
      <c r="F6" s="5">
        <v>125.15</v>
      </c>
      <c r="G6" s="26">
        <v>3.4358769476627456E-3</v>
      </c>
      <c r="H6" s="6" t="s">
        <v>523</v>
      </c>
      <c r="I6" s="5" t="s">
        <v>39</v>
      </c>
      <c r="J6" s="4">
        <v>189.98</v>
      </c>
      <c r="K6" s="4">
        <v>143.91</v>
      </c>
    </row>
    <row r="7" spans="1:11" ht="20.100000000000001" customHeight="1" x14ac:dyDescent="0.25">
      <c r="A7" s="2" t="s">
        <v>104</v>
      </c>
      <c r="B7" s="2" t="s">
        <v>114</v>
      </c>
      <c r="C7" s="11">
        <v>163.28</v>
      </c>
      <c r="D7" s="4">
        <v>161.56</v>
      </c>
      <c r="E7" s="4">
        <v>164.57</v>
      </c>
      <c r="F7" s="5">
        <v>162.74</v>
      </c>
      <c r="G7" s="26">
        <v>3.3181762320264965E-3</v>
      </c>
      <c r="H7" s="6" t="s">
        <v>524</v>
      </c>
      <c r="I7" s="5">
        <v>2.46</v>
      </c>
      <c r="J7" s="4">
        <v>17.28</v>
      </c>
      <c r="K7" s="4">
        <v>152.78</v>
      </c>
    </row>
    <row r="8" spans="1:11" s="7" customFormat="1" ht="20.100000000000001" customHeight="1" x14ac:dyDescent="0.25">
      <c r="A8" s="2" t="s">
        <v>99</v>
      </c>
      <c r="B8" s="2" t="s">
        <v>365</v>
      </c>
      <c r="C8" s="4">
        <v>260.3</v>
      </c>
      <c r="D8" s="4">
        <v>253.81</v>
      </c>
      <c r="E8" s="4">
        <v>260.45</v>
      </c>
      <c r="F8" s="5">
        <v>252.87</v>
      </c>
      <c r="G8" s="6">
        <v>2.938268675604068E-2</v>
      </c>
      <c r="H8" s="4" t="s">
        <v>525</v>
      </c>
      <c r="I8" s="5" t="s">
        <v>39</v>
      </c>
      <c r="J8" s="4">
        <v>16</v>
      </c>
      <c r="K8" s="4">
        <v>263.83</v>
      </c>
    </row>
    <row r="9" spans="1:11" ht="20.100000000000001" customHeight="1" x14ac:dyDescent="0.25">
      <c r="A9" s="2" t="s">
        <v>97</v>
      </c>
      <c r="B9" s="2" t="s">
        <v>115</v>
      </c>
      <c r="C9" s="4">
        <v>45.825000000000003</v>
      </c>
      <c r="D9" s="4">
        <v>44.88</v>
      </c>
      <c r="E9" s="4">
        <v>46.15</v>
      </c>
      <c r="F9" s="5">
        <v>45.55</v>
      </c>
      <c r="G9" s="6">
        <v>6.0373216245884894E-3</v>
      </c>
      <c r="H9" s="4" t="s">
        <v>526</v>
      </c>
      <c r="I9" s="5" t="s">
        <v>39</v>
      </c>
      <c r="J9" s="4" t="s">
        <v>39</v>
      </c>
      <c r="K9" s="4">
        <v>46.07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102.85</v>
      </c>
      <c r="D10" s="4">
        <v>102.17</v>
      </c>
      <c r="E10" s="4">
        <v>104.56</v>
      </c>
      <c r="F10" s="5">
        <v>101.42</v>
      </c>
      <c r="G10" s="26">
        <v>1.409978308026023E-2</v>
      </c>
      <c r="H10" s="6" t="s">
        <v>527</v>
      </c>
      <c r="I10" s="5" t="s">
        <v>39</v>
      </c>
      <c r="J10" s="4">
        <v>50.02</v>
      </c>
      <c r="K10" s="4">
        <v>103.56</v>
      </c>
    </row>
    <row r="11" spans="1:11" ht="20.100000000000001" customHeight="1" x14ac:dyDescent="0.25">
      <c r="A11" s="1" t="s">
        <v>98</v>
      </c>
      <c r="B11" s="2" t="s">
        <v>117</v>
      </c>
      <c r="C11" s="4">
        <v>86.67</v>
      </c>
      <c r="D11" s="4">
        <v>85.54</v>
      </c>
      <c r="E11" s="4">
        <v>87.96</v>
      </c>
      <c r="F11" s="5">
        <v>85.54</v>
      </c>
      <c r="G11" s="6">
        <v>1.3210194061257837E-2</v>
      </c>
      <c r="H11" s="4" t="s">
        <v>528</v>
      </c>
      <c r="I11" s="5">
        <v>2.2000000000000002</v>
      </c>
      <c r="J11" s="4">
        <v>7.4</v>
      </c>
      <c r="K11" s="4">
        <v>89.46</v>
      </c>
    </row>
    <row r="12" spans="1:11" ht="20.100000000000001" customHeight="1" x14ac:dyDescent="0.25">
      <c r="A12" s="2" t="s">
        <v>105</v>
      </c>
      <c r="B12" s="2" t="s">
        <v>118</v>
      </c>
      <c r="C12" s="11">
        <v>80.22</v>
      </c>
      <c r="D12" s="4">
        <v>79.94</v>
      </c>
      <c r="E12" s="4">
        <v>81</v>
      </c>
      <c r="F12" s="5">
        <v>80.59</v>
      </c>
      <c r="G12" s="26">
        <v>-4.591140339992611E-3</v>
      </c>
      <c r="H12" s="6" t="s">
        <v>529</v>
      </c>
      <c r="I12" s="5">
        <v>2.57</v>
      </c>
      <c r="J12" s="4">
        <v>36.97</v>
      </c>
      <c r="K12" s="4">
        <v>75.989999999999995</v>
      </c>
    </row>
    <row r="13" spans="1:11" ht="20.100000000000001" customHeight="1" x14ac:dyDescent="0.25">
      <c r="A13" s="2" t="s">
        <v>106</v>
      </c>
      <c r="B13" s="2" t="s">
        <v>119</v>
      </c>
      <c r="C13" s="11">
        <v>59.63</v>
      </c>
      <c r="D13" s="4">
        <v>59.25</v>
      </c>
      <c r="E13" s="4">
        <v>59.93</v>
      </c>
      <c r="F13" s="5">
        <v>59.65</v>
      </c>
      <c r="G13" s="26">
        <v>-3.35289186923655E-4</v>
      </c>
      <c r="H13" s="6" t="s">
        <v>530</v>
      </c>
      <c r="I13" s="5">
        <v>3.08</v>
      </c>
      <c r="J13" s="4">
        <v>36.56</v>
      </c>
      <c r="K13" s="4">
        <v>53.99</v>
      </c>
    </row>
    <row r="14" spans="1:11" ht="20.100000000000001" customHeight="1" x14ac:dyDescent="0.25">
      <c r="A14" s="2" t="s">
        <v>697</v>
      </c>
      <c r="B14" s="2" t="s">
        <v>698</v>
      </c>
      <c r="C14" s="11">
        <v>18.809999999999999</v>
      </c>
      <c r="D14" s="4">
        <v>18.760000000000002</v>
      </c>
      <c r="E14" s="4">
        <v>19.239999999999998</v>
      </c>
      <c r="F14" s="5">
        <v>18.920000000000002</v>
      </c>
      <c r="G14" s="26">
        <v>-5.8139534883722499E-3</v>
      </c>
      <c r="H14" s="6" t="s">
        <v>699</v>
      </c>
      <c r="I14" s="5" t="s">
        <v>39</v>
      </c>
      <c r="J14" s="4" t="s">
        <v>39</v>
      </c>
      <c r="K14" s="4">
        <v>17.079999999999998</v>
      </c>
    </row>
    <row r="15" spans="1:11" ht="20.100000000000001" customHeight="1" x14ac:dyDescent="0.25">
      <c r="A15" s="2" t="s">
        <v>100</v>
      </c>
      <c r="B15" s="2" t="s">
        <v>120</v>
      </c>
      <c r="C15" s="4">
        <v>1.6</v>
      </c>
      <c r="D15" s="4">
        <v>1.59</v>
      </c>
      <c r="E15" s="4">
        <v>1.65</v>
      </c>
      <c r="F15" s="5">
        <v>1.64</v>
      </c>
      <c r="G15" s="6">
        <v>-2.4390243902438911E-2</v>
      </c>
      <c r="H15" s="4" t="s">
        <v>532</v>
      </c>
      <c r="I15" s="5" t="s">
        <v>39</v>
      </c>
      <c r="J15" s="4" t="s">
        <v>39</v>
      </c>
      <c r="K15" s="4">
        <v>1.92</v>
      </c>
    </row>
    <row r="16" spans="1:11" ht="20.100000000000001" customHeight="1" x14ac:dyDescent="0.25">
      <c r="A16" s="2" t="s">
        <v>103</v>
      </c>
      <c r="B16" s="2" t="s">
        <v>121</v>
      </c>
      <c r="C16" s="4">
        <v>36.770000000000003</v>
      </c>
      <c r="D16" s="4">
        <v>36.630000000000003</v>
      </c>
      <c r="E16" s="4">
        <v>37.19</v>
      </c>
      <c r="F16" s="5">
        <v>36.92</v>
      </c>
      <c r="G16" s="6">
        <v>-4.062838569880785E-3</v>
      </c>
      <c r="H16" s="4" t="s">
        <v>533</v>
      </c>
      <c r="I16" s="5">
        <v>3.25</v>
      </c>
      <c r="J16" s="4">
        <v>30.14</v>
      </c>
      <c r="K16" s="4">
        <v>32.24</v>
      </c>
    </row>
    <row r="17" spans="1:11" ht="20.100000000000001" customHeight="1" x14ac:dyDescent="0.25">
      <c r="A17" s="2" t="s">
        <v>252</v>
      </c>
      <c r="B17" s="2" t="s">
        <v>253</v>
      </c>
      <c r="C17" s="20">
        <v>76</v>
      </c>
      <c r="D17" s="20">
        <v>75.08</v>
      </c>
      <c r="E17" s="20">
        <v>77.12</v>
      </c>
      <c r="F17" s="5">
        <v>76.77</v>
      </c>
      <c r="G17" s="26">
        <v>-1.0029959619643038E-2</v>
      </c>
      <c r="H17" s="6" t="s">
        <v>534</v>
      </c>
      <c r="I17" s="5">
        <v>1.98</v>
      </c>
      <c r="J17" s="4">
        <v>81.63</v>
      </c>
      <c r="K17" s="4">
        <v>67.599999999999994</v>
      </c>
    </row>
    <row r="18" spans="1:11" ht="20.100000000000001" customHeight="1" x14ac:dyDescent="0.25">
      <c r="A18" s="52" t="s">
        <v>107</v>
      </c>
      <c r="B18" s="52" t="s">
        <v>366</v>
      </c>
      <c r="C18" s="58">
        <v>45.45</v>
      </c>
      <c r="D18" s="58">
        <v>45.15</v>
      </c>
      <c r="E18" s="58">
        <v>45.9</v>
      </c>
      <c r="F18" s="54">
        <v>45.38</v>
      </c>
      <c r="G18" s="57">
        <v>1.5425297487880185E-3</v>
      </c>
      <c r="H18" s="55" t="s">
        <v>531</v>
      </c>
      <c r="I18" s="54">
        <v>0</v>
      </c>
      <c r="J18" s="53">
        <v>29.08</v>
      </c>
      <c r="K18" s="53">
        <v>46.26</v>
      </c>
    </row>
    <row r="19" spans="1:11" ht="20.100000000000001" customHeight="1" x14ac:dyDescent="0.25">
      <c r="A19" s="52" t="s">
        <v>700</v>
      </c>
      <c r="B19" s="52" t="s">
        <v>702</v>
      </c>
      <c r="C19" s="58">
        <v>54.21</v>
      </c>
      <c r="D19" s="58">
        <v>53.86</v>
      </c>
      <c r="E19" s="58">
        <v>54.75</v>
      </c>
      <c r="F19" s="54">
        <v>54.98</v>
      </c>
      <c r="G19" s="57">
        <v>-1.400509276100393E-2</v>
      </c>
      <c r="H19" s="55" t="s">
        <v>703</v>
      </c>
      <c r="I19" s="54">
        <v>2.5</v>
      </c>
      <c r="J19" s="53">
        <v>28.1</v>
      </c>
      <c r="K19" s="53">
        <v>55.82</v>
      </c>
    </row>
    <row r="20" spans="1:11" ht="20.100000000000001" customHeight="1" x14ac:dyDescent="0.25">
      <c r="A20" s="52" t="s">
        <v>701</v>
      </c>
      <c r="B20" s="52" t="s">
        <v>704</v>
      </c>
      <c r="C20" s="58">
        <v>94.7</v>
      </c>
      <c r="D20" s="58">
        <v>93</v>
      </c>
      <c r="E20" s="58">
        <v>97.29</v>
      </c>
      <c r="F20" s="54">
        <v>93.63</v>
      </c>
      <c r="G20" s="57">
        <v>1.1427961123571584E-2</v>
      </c>
      <c r="H20" s="55" t="s">
        <v>705</v>
      </c>
      <c r="I20" s="54">
        <v>0.61</v>
      </c>
      <c r="J20" s="53" t="s">
        <v>39</v>
      </c>
      <c r="K20" s="53">
        <v>118.42</v>
      </c>
    </row>
    <row r="21" spans="1:11" ht="20.100000000000001" customHeight="1" x14ac:dyDescent="0.25">
      <c r="A21" s="52" t="s">
        <v>706</v>
      </c>
      <c r="B21" s="52" t="s">
        <v>704</v>
      </c>
      <c r="C21" s="58">
        <v>94.7</v>
      </c>
      <c r="D21" s="58">
        <v>93</v>
      </c>
      <c r="E21" s="58">
        <v>97.29</v>
      </c>
      <c r="F21" s="54">
        <v>93.63</v>
      </c>
      <c r="G21" s="57">
        <v>1.0114279611235699</v>
      </c>
      <c r="H21" s="55" t="s">
        <v>705</v>
      </c>
      <c r="I21" s="54">
        <v>1.61</v>
      </c>
      <c r="J21" s="53" t="s">
        <v>39</v>
      </c>
      <c r="K21" s="53">
        <v>119.42</v>
      </c>
    </row>
  </sheetData>
  <conditionalFormatting sqref="G1:G2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8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:G2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20:G21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391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392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393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394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P14" sqref="P1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69.64</v>
      </c>
      <c r="D2" s="4">
        <v>69.17</v>
      </c>
      <c r="E2" s="4">
        <v>69.739999999999995</v>
      </c>
      <c r="F2" s="5">
        <v>69.38</v>
      </c>
      <c r="G2" s="6">
        <v>3.7474776592678746E-3</v>
      </c>
      <c r="H2" s="4" t="s">
        <v>535</v>
      </c>
      <c r="I2" s="5">
        <v>3.2</v>
      </c>
      <c r="J2" s="4">
        <v>17.87</v>
      </c>
      <c r="K2" s="4">
        <v>64.05</v>
      </c>
    </row>
    <row r="3" spans="1:11" ht="20.100000000000001" customHeight="1" x14ac:dyDescent="0.25">
      <c r="A3" s="1" t="s">
        <v>0</v>
      </c>
      <c r="B3" s="2" t="s">
        <v>54</v>
      </c>
      <c r="C3" s="4">
        <v>14.92</v>
      </c>
      <c r="D3" s="4">
        <v>14.86</v>
      </c>
      <c r="E3" s="4">
        <v>15.08</v>
      </c>
      <c r="F3" s="5">
        <v>15</v>
      </c>
      <c r="G3" s="6">
        <v>-5.3333333333333384E-3</v>
      </c>
      <c r="H3" s="4" t="s">
        <v>380</v>
      </c>
      <c r="I3" s="5" t="s">
        <v>39</v>
      </c>
      <c r="J3" s="4">
        <v>118.41</v>
      </c>
      <c r="K3" s="4">
        <v>14.45</v>
      </c>
    </row>
    <row r="4" spans="1:11" ht="20.100000000000001" customHeight="1" x14ac:dyDescent="0.25">
      <c r="A4" s="2" t="s">
        <v>1</v>
      </c>
      <c r="B4" s="2" t="s">
        <v>55</v>
      </c>
      <c r="C4" s="4">
        <v>17.98</v>
      </c>
      <c r="D4" s="4">
        <v>17.68</v>
      </c>
      <c r="E4" s="4">
        <v>18.170000000000002</v>
      </c>
      <c r="F4" s="5">
        <v>18</v>
      </c>
      <c r="G4" s="6">
        <v>-1.1111111111110875E-3</v>
      </c>
      <c r="H4" s="4" t="s">
        <v>536</v>
      </c>
      <c r="I4" s="5">
        <v>0</v>
      </c>
      <c r="J4" s="4">
        <v>11.3</v>
      </c>
      <c r="K4" s="4">
        <v>14.63</v>
      </c>
    </row>
    <row r="5" spans="1:11" ht="20.100000000000001" customHeight="1" x14ac:dyDescent="0.25">
      <c r="A5" s="2" t="s">
        <v>4</v>
      </c>
      <c r="B5" s="2" t="s">
        <v>56</v>
      </c>
      <c r="C5" s="4">
        <v>36.49</v>
      </c>
      <c r="D5" s="4">
        <v>36.31</v>
      </c>
      <c r="E5" s="4">
        <v>36.6</v>
      </c>
      <c r="F5" s="5">
        <v>36.39</v>
      </c>
      <c r="G5" s="6">
        <v>2.7480076944215834E-3</v>
      </c>
      <c r="H5" s="4" t="s">
        <v>537</v>
      </c>
      <c r="I5" s="5">
        <v>3.5</v>
      </c>
      <c r="J5" s="4">
        <v>18.920000000000002</v>
      </c>
      <c r="K5" s="4">
        <v>33.21</v>
      </c>
    </row>
    <row r="6" spans="1:11" ht="20.100000000000001" customHeight="1" x14ac:dyDescent="0.25">
      <c r="A6" s="2" t="s">
        <v>6</v>
      </c>
      <c r="B6" s="2" t="s">
        <v>57</v>
      </c>
      <c r="C6" s="4">
        <v>36.19</v>
      </c>
      <c r="D6" s="4">
        <v>35.92</v>
      </c>
      <c r="E6" s="4">
        <v>36.21</v>
      </c>
      <c r="F6" s="5">
        <v>35.85</v>
      </c>
      <c r="G6" s="6">
        <v>9.4839609483959916E-3</v>
      </c>
      <c r="H6" s="4" t="s">
        <v>538</v>
      </c>
      <c r="I6" s="5">
        <v>4.0199999999999996</v>
      </c>
      <c r="J6" s="4">
        <v>22.45</v>
      </c>
      <c r="K6" s="4">
        <v>33.86</v>
      </c>
    </row>
    <row r="7" spans="1:11" ht="20.100000000000001" customHeight="1" x14ac:dyDescent="0.25">
      <c r="A7" s="2" t="s">
        <v>2</v>
      </c>
      <c r="B7" s="2" t="s">
        <v>58</v>
      </c>
      <c r="C7" s="4">
        <v>15.47</v>
      </c>
      <c r="D7" s="4">
        <v>15.23</v>
      </c>
      <c r="E7" s="4">
        <v>15.55</v>
      </c>
      <c r="F7" s="5">
        <v>15.31</v>
      </c>
      <c r="G7" s="6">
        <v>1.0450685826257357E-2</v>
      </c>
      <c r="H7" s="4" t="s">
        <v>539</v>
      </c>
      <c r="I7" s="5">
        <v>0.76</v>
      </c>
      <c r="J7" s="4" t="s">
        <v>39</v>
      </c>
      <c r="K7" s="4">
        <v>13.27</v>
      </c>
    </row>
    <row r="8" spans="1:11" ht="20.100000000000001" customHeight="1" x14ac:dyDescent="0.25">
      <c r="A8" s="2" t="s">
        <v>7</v>
      </c>
      <c r="B8" s="2" t="s">
        <v>59</v>
      </c>
      <c r="C8" s="4">
        <v>45.87</v>
      </c>
      <c r="D8" s="4">
        <v>45.69</v>
      </c>
      <c r="E8" s="4">
        <v>46.08</v>
      </c>
      <c r="F8" s="5">
        <v>45.72</v>
      </c>
      <c r="G8" s="6">
        <v>3.2808398950130925E-3</v>
      </c>
      <c r="H8" s="4" t="s">
        <v>540</v>
      </c>
      <c r="I8" s="5">
        <v>3.59</v>
      </c>
      <c r="J8" s="4">
        <v>14.89</v>
      </c>
      <c r="K8" s="4">
        <v>44.01</v>
      </c>
    </row>
    <row r="9" spans="1:11" ht="20.100000000000001" customHeight="1" x14ac:dyDescent="0.25">
      <c r="A9" s="2" t="s">
        <v>5</v>
      </c>
      <c r="B9" s="2" t="s">
        <v>60</v>
      </c>
      <c r="C9" s="4">
        <v>13.73</v>
      </c>
      <c r="D9" s="4">
        <v>13.69</v>
      </c>
      <c r="E9" s="4">
        <v>13.76</v>
      </c>
      <c r="F9" s="5">
        <v>13.69</v>
      </c>
      <c r="G9" s="6">
        <v>2.9218407596786652E-3</v>
      </c>
      <c r="H9" s="4" t="s">
        <v>541</v>
      </c>
      <c r="I9" s="5" t="s">
        <v>39</v>
      </c>
      <c r="J9" s="4" t="s">
        <v>39</v>
      </c>
      <c r="K9" s="4">
        <v>9.93</v>
      </c>
    </row>
    <row r="10" spans="1:11" ht="20.100000000000001" customHeight="1" x14ac:dyDescent="0.25">
      <c r="A10" s="2" t="s">
        <v>277</v>
      </c>
      <c r="B10" s="2" t="s">
        <v>278</v>
      </c>
      <c r="C10" s="4">
        <v>127.58</v>
      </c>
      <c r="D10" s="4">
        <v>127.09</v>
      </c>
      <c r="E10" s="4">
        <v>128.29</v>
      </c>
      <c r="F10" s="5">
        <v>127.24</v>
      </c>
      <c r="G10" s="6">
        <v>2.6721156868909418E-3</v>
      </c>
      <c r="H10" s="4" t="s">
        <v>542</v>
      </c>
      <c r="I10" s="5">
        <v>2.73</v>
      </c>
      <c r="J10" s="4">
        <v>21.35</v>
      </c>
      <c r="K10" s="4">
        <v>116.94</v>
      </c>
    </row>
    <row r="11" spans="1:11" ht="20.100000000000001" customHeight="1" x14ac:dyDescent="0.25">
      <c r="A11" s="2" t="s">
        <v>279</v>
      </c>
      <c r="B11" s="2" t="s">
        <v>280</v>
      </c>
      <c r="C11" s="4">
        <v>24.06</v>
      </c>
      <c r="D11" s="4">
        <v>23.68</v>
      </c>
      <c r="E11" s="4">
        <v>24.11</v>
      </c>
      <c r="F11" s="5">
        <v>23.66</v>
      </c>
      <c r="G11" s="6">
        <v>1.6906170752324538E-2</v>
      </c>
      <c r="H11" s="4" t="s">
        <v>543</v>
      </c>
      <c r="I11" s="5">
        <v>4.3499999999999996</v>
      </c>
      <c r="J11" s="4" t="s">
        <v>39</v>
      </c>
      <c r="K11" s="4">
        <v>20.69</v>
      </c>
    </row>
    <row r="12" spans="1:11" ht="20.100000000000001" customHeight="1" x14ac:dyDescent="0.25">
      <c r="A12" s="28" t="s">
        <v>289</v>
      </c>
      <c r="B12" s="28" t="s">
        <v>290</v>
      </c>
      <c r="C12" s="29">
        <v>84.92</v>
      </c>
      <c r="D12" s="29">
        <v>84.45</v>
      </c>
      <c r="E12" s="29">
        <v>85.29</v>
      </c>
      <c r="F12" s="30">
        <v>84.75</v>
      </c>
      <c r="G12" s="31">
        <v>2.0058997050147694E-3</v>
      </c>
      <c r="H12" s="29" t="s">
        <v>544</v>
      </c>
      <c r="I12" s="30">
        <v>4.04</v>
      </c>
      <c r="J12" s="29">
        <v>22.18</v>
      </c>
      <c r="K12" s="29">
        <v>78.290000000000006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8"/>
  <sheetViews>
    <sheetView workbookViewId="0">
      <pane ySplit="1" topLeftCell="A2" activePane="bottomLeft" state="frozen"/>
      <selection activeCell="E18" sqref="E18"/>
      <selection pane="bottomLeft" activeCell="E15" sqref="E15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61" t="s">
        <v>81</v>
      </c>
      <c r="B2" s="2" t="s">
        <v>82</v>
      </c>
      <c r="C2" s="4">
        <v>67.39</v>
      </c>
      <c r="D2" s="4">
        <v>67.02</v>
      </c>
      <c r="E2" s="4">
        <v>67.739999999999995</v>
      </c>
      <c r="F2" s="5">
        <v>67.39</v>
      </c>
      <c r="G2" s="6">
        <v>0</v>
      </c>
      <c r="H2" s="4" t="s">
        <v>579</v>
      </c>
      <c r="I2" s="5">
        <v>1.54</v>
      </c>
      <c r="J2" s="4">
        <v>13.12</v>
      </c>
      <c r="K2" s="4">
        <v>67.819999999999993</v>
      </c>
    </row>
    <row r="3" spans="1:11" ht="20.100000000000001" customHeight="1" x14ac:dyDescent="0.25">
      <c r="A3" s="1" t="s">
        <v>575</v>
      </c>
      <c r="B3" s="2" t="s">
        <v>580</v>
      </c>
      <c r="C3" s="4">
        <v>98.78</v>
      </c>
      <c r="D3" s="4">
        <v>98.5</v>
      </c>
      <c r="E3" s="4">
        <v>99.3</v>
      </c>
      <c r="F3" s="5">
        <v>98.79</v>
      </c>
      <c r="G3" s="6">
        <v>-1.012248203259957E-4</v>
      </c>
      <c r="H3" s="4" t="s">
        <v>581</v>
      </c>
      <c r="I3" s="5">
        <v>2.31</v>
      </c>
      <c r="J3" s="4">
        <v>11</v>
      </c>
      <c r="K3" s="4">
        <v>99.49</v>
      </c>
    </row>
    <row r="4" spans="1:11" ht="20.100000000000001" customHeight="1" x14ac:dyDescent="0.25">
      <c r="A4" s="2" t="s">
        <v>75</v>
      </c>
      <c r="B4" s="2" t="s">
        <v>405</v>
      </c>
      <c r="C4" s="4">
        <v>161.16</v>
      </c>
      <c r="D4" s="4">
        <v>159.66</v>
      </c>
      <c r="E4" s="4">
        <v>161.57</v>
      </c>
      <c r="F4" s="5">
        <v>160.79</v>
      </c>
      <c r="G4" s="6">
        <v>2.3011381304807797E-3</v>
      </c>
      <c r="H4" s="4" t="s">
        <v>582</v>
      </c>
      <c r="I4" s="5">
        <v>1.24</v>
      </c>
      <c r="J4" s="4" t="s">
        <v>39</v>
      </c>
      <c r="K4" s="4">
        <v>144.87</v>
      </c>
    </row>
    <row r="5" spans="1:11" ht="20.100000000000001" customHeight="1" x14ac:dyDescent="0.25">
      <c r="A5" s="2" t="s">
        <v>576</v>
      </c>
      <c r="B5" s="2" t="s">
        <v>583</v>
      </c>
      <c r="C5" s="4">
        <v>60.15</v>
      </c>
      <c r="D5" s="4">
        <v>59.97</v>
      </c>
      <c r="E5" s="4">
        <v>60.25</v>
      </c>
      <c r="F5" s="5">
        <v>60.02</v>
      </c>
      <c r="G5" s="6">
        <v>2.165944685104889E-3</v>
      </c>
      <c r="H5" s="4" t="s">
        <v>584</v>
      </c>
      <c r="I5" s="5">
        <v>2.8</v>
      </c>
      <c r="J5" s="4">
        <v>29.2</v>
      </c>
      <c r="K5" s="4">
        <v>55.58</v>
      </c>
    </row>
    <row r="6" spans="1:11" ht="20.100000000000001" customHeight="1" x14ac:dyDescent="0.25">
      <c r="A6" s="2" t="s">
        <v>577</v>
      </c>
      <c r="B6" s="2" t="s">
        <v>585</v>
      </c>
      <c r="C6" s="4">
        <v>64.849999999999994</v>
      </c>
      <c r="D6" s="4">
        <v>64.540000000000006</v>
      </c>
      <c r="E6" s="4">
        <v>65.260000000000005</v>
      </c>
      <c r="F6" s="5">
        <v>64.81</v>
      </c>
      <c r="G6" s="6">
        <v>6.1718870544656755E-4</v>
      </c>
      <c r="H6" s="4" t="s">
        <v>586</v>
      </c>
      <c r="I6" s="5">
        <v>2.35</v>
      </c>
      <c r="J6" s="4">
        <v>22.63</v>
      </c>
      <c r="K6" s="4">
        <v>56.83</v>
      </c>
    </row>
    <row r="7" spans="1:11" ht="20.100000000000001" customHeight="1" x14ac:dyDescent="0.25">
      <c r="A7" s="2" t="s">
        <v>578</v>
      </c>
      <c r="B7" s="2" t="s">
        <v>587</v>
      </c>
      <c r="C7" s="4">
        <v>59.42</v>
      </c>
      <c r="D7" s="4">
        <v>58.68</v>
      </c>
      <c r="E7" s="4">
        <v>59.6</v>
      </c>
      <c r="F7" s="5">
        <v>59.31</v>
      </c>
      <c r="G7" s="6">
        <v>1.8546619457089771E-3</v>
      </c>
      <c r="H7" s="4" t="s">
        <v>588</v>
      </c>
      <c r="I7" s="5" t="s">
        <v>39</v>
      </c>
      <c r="J7" s="4" t="s">
        <v>39</v>
      </c>
      <c r="K7" s="4">
        <v>47.62</v>
      </c>
    </row>
    <row r="8" spans="1:11" ht="20.100000000000001" customHeight="1" x14ac:dyDescent="0.25">
      <c r="A8" s="2" t="s">
        <v>78</v>
      </c>
      <c r="B8" s="2" t="s">
        <v>85</v>
      </c>
      <c r="C8" s="4">
        <v>54.75</v>
      </c>
      <c r="D8" s="4">
        <v>54.17</v>
      </c>
      <c r="E8" s="4">
        <v>54.86</v>
      </c>
      <c r="F8" s="5">
        <v>54.88</v>
      </c>
      <c r="G8" s="6">
        <v>-2.3688046647230786E-3</v>
      </c>
      <c r="H8" s="4" t="s">
        <v>589</v>
      </c>
      <c r="I8" s="5">
        <v>3.86</v>
      </c>
      <c r="J8" s="4">
        <v>17.27</v>
      </c>
      <c r="K8" s="4">
        <v>50.98</v>
      </c>
    </row>
  </sheetData>
  <conditionalFormatting sqref="G1:G1048576">
    <cfRule type="colorScale" priority="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M16" sqref="M16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55.01</v>
      </c>
      <c r="D2" s="4">
        <v>54.69</v>
      </c>
      <c r="E2" s="4">
        <v>55.88</v>
      </c>
      <c r="F2" s="5">
        <v>55.52</v>
      </c>
      <c r="G2" s="6">
        <v>-9.1858789625361148E-3</v>
      </c>
      <c r="H2" s="4" t="s">
        <v>545</v>
      </c>
      <c r="I2" s="5">
        <v>0.36</v>
      </c>
      <c r="J2" s="4" t="s">
        <v>39</v>
      </c>
      <c r="K2" s="4">
        <v>46.53</v>
      </c>
    </row>
    <row r="3" spans="1:11" ht="20.100000000000001" customHeight="1" x14ac:dyDescent="0.25">
      <c r="A3" s="2" t="s">
        <v>21</v>
      </c>
      <c r="B3" s="2" t="s">
        <v>40</v>
      </c>
      <c r="C3" s="4">
        <v>4.42</v>
      </c>
      <c r="D3" s="4">
        <v>4.41</v>
      </c>
      <c r="E3" s="4">
        <v>4.66</v>
      </c>
      <c r="F3" s="5">
        <v>4.5</v>
      </c>
      <c r="G3" s="6">
        <v>-1.7777777777777795E-2</v>
      </c>
      <c r="H3" s="4" t="s">
        <v>368</v>
      </c>
      <c r="I3" s="5">
        <v>0</v>
      </c>
      <c r="J3" s="4" t="s">
        <v>39</v>
      </c>
      <c r="K3" s="4">
        <v>4.2</v>
      </c>
    </row>
    <row r="4" spans="1:11" ht="20.100000000000001" customHeight="1" x14ac:dyDescent="0.25">
      <c r="A4" s="2" t="s">
        <v>20</v>
      </c>
      <c r="B4" s="2" t="s">
        <v>41</v>
      </c>
      <c r="C4" s="4">
        <v>25.06</v>
      </c>
      <c r="D4" s="4">
        <v>24.96</v>
      </c>
      <c r="E4" s="4">
        <v>25.48</v>
      </c>
      <c r="F4" s="5">
        <v>25.21</v>
      </c>
      <c r="G4" s="6">
        <v>-5.950019833399529E-3</v>
      </c>
      <c r="H4" s="4" t="s">
        <v>546</v>
      </c>
      <c r="I4" s="5">
        <v>0.31</v>
      </c>
      <c r="J4" s="4" t="s">
        <v>39</v>
      </c>
      <c r="K4" s="4">
        <v>22.22</v>
      </c>
    </row>
    <row r="5" spans="1:11" ht="20.100000000000001" customHeight="1" x14ac:dyDescent="0.25">
      <c r="A5" s="2" t="s">
        <v>22</v>
      </c>
      <c r="B5" s="2" t="s">
        <v>42</v>
      </c>
      <c r="C5" s="4">
        <v>42.94</v>
      </c>
      <c r="D5" s="4">
        <v>42.68</v>
      </c>
      <c r="E5" s="4">
        <v>43.49</v>
      </c>
      <c r="F5" s="5">
        <v>43.02</v>
      </c>
      <c r="G5" s="6">
        <v>-1.8596001859601441E-3</v>
      </c>
      <c r="H5" s="4" t="s">
        <v>547</v>
      </c>
      <c r="I5" s="5">
        <v>3.46</v>
      </c>
      <c r="J5" s="4" t="s">
        <v>39</v>
      </c>
      <c r="K5" s="4">
        <v>41.37</v>
      </c>
    </row>
    <row r="6" spans="1:11" ht="20.100000000000001" customHeight="1" x14ac:dyDescent="0.25">
      <c r="A6" s="2" t="s">
        <v>23</v>
      </c>
      <c r="B6" s="2" t="s">
        <v>43</v>
      </c>
      <c r="C6" s="4">
        <v>38.29</v>
      </c>
      <c r="D6" s="4">
        <v>37.92</v>
      </c>
      <c r="E6" s="4">
        <v>39.01</v>
      </c>
      <c r="F6" s="5">
        <v>38.39</v>
      </c>
      <c r="G6" s="6">
        <v>-2.6048450117218394E-3</v>
      </c>
      <c r="H6" s="4" t="s">
        <v>410</v>
      </c>
      <c r="I6" s="5">
        <v>0.63</v>
      </c>
      <c r="J6" s="4" t="s">
        <v>39</v>
      </c>
      <c r="K6" s="4">
        <v>29.92</v>
      </c>
    </row>
    <row r="7" spans="1:11" ht="20.100000000000001" customHeight="1" x14ac:dyDescent="0.25">
      <c r="A7" s="2" t="s">
        <v>24</v>
      </c>
      <c r="B7" s="2" t="s">
        <v>44</v>
      </c>
      <c r="C7" s="4">
        <v>84.1</v>
      </c>
      <c r="D7" s="4">
        <v>83.64</v>
      </c>
      <c r="E7" s="4">
        <v>84.9</v>
      </c>
      <c r="F7" s="5">
        <v>84.63</v>
      </c>
      <c r="G7" s="6">
        <v>-6.2625546496514377E-3</v>
      </c>
      <c r="H7" s="4" t="s">
        <v>409</v>
      </c>
      <c r="I7" s="5">
        <v>0.79</v>
      </c>
      <c r="J7" s="4" t="s">
        <v>39</v>
      </c>
      <c r="K7" s="4">
        <v>75.290000000000006</v>
      </c>
    </row>
    <row r="8" spans="1:11" ht="20.100000000000001" customHeight="1" x14ac:dyDescent="0.25">
      <c r="A8" s="2" t="s">
        <v>18</v>
      </c>
      <c r="B8" s="2" t="s">
        <v>45</v>
      </c>
      <c r="C8" s="4">
        <v>56.93</v>
      </c>
      <c r="D8" s="4">
        <v>56.67</v>
      </c>
      <c r="E8" s="4">
        <v>58.36</v>
      </c>
      <c r="F8" s="5">
        <v>58.01</v>
      </c>
      <c r="G8" s="6">
        <v>-1.8617479744871546E-2</v>
      </c>
      <c r="H8" s="4" t="s">
        <v>548</v>
      </c>
      <c r="I8" s="5">
        <v>1.72</v>
      </c>
      <c r="J8" s="4" t="s">
        <v>39</v>
      </c>
      <c r="K8" s="4">
        <v>51.63</v>
      </c>
    </row>
    <row r="9" spans="1:11" ht="20.100000000000001" customHeight="1" x14ac:dyDescent="0.25">
      <c r="A9" s="1" t="s">
        <v>17</v>
      </c>
      <c r="B9" s="2" t="s">
        <v>46</v>
      </c>
      <c r="C9" s="4">
        <v>15.21</v>
      </c>
      <c r="D9" s="4">
        <v>15.1</v>
      </c>
      <c r="E9" s="4">
        <v>15.51</v>
      </c>
      <c r="F9" s="5">
        <v>15.27</v>
      </c>
      <c r="G9" s="6">
        <v>-3.9292730844792878E-3</v>
      </c>
      <c r="H9" s="4" t="s">
        <v>549</v>
      </c>
      <c r="I9" s="5">
        <v>1.31</v>
      </c>
      <c r="J9" s="4" t="s">
        <v>39</v>
      </c>
      <c r="K9" s="4">
        <v>11.6</v>
      </c>
    </row>
    <row r="10" spans="1:11" ht="20.100000000000001" customHeight="1" x14ac:dyDescent="0.25">
      <c r="A10" s="2" t="s">
        <v>25</v>
      </c>
      <c r="B10" s="2" t="s">
        <v>47</v>
      </c>
      <c r="C10" s="11">
        <v>31.87</v>
      </c>
      <c r="D10" s="4">
        <v>31.53</v>
      </c>
      <c r="E10" s="4">
        <v>32.5</v>
      </c>
      <c r="F10" s="5">
        <v>31.97</v>
      </c>
      <c r="G10" s="26">
        <v>-3.1279324366593015E-3</v>
      </c>
      <c r="H10" s="6" t="s">
        <v>550</v>
      </c>
      <c r="I10" s="5">
        <v>5.0999999999999996</v>
      </c>
      <c r="J10" s="4" t="s">
        <v>39</v>
      </c>
      <c r="K10" s="4">
        <v>25.63</v>
      </c>
    </row>
    <row r="11" spans="1:11" ht="20.100000000000001" customHeight="1" x14ac:dyDescent="0.25">
      <c r="A11" s="2" t="s">
        <v>26</v>
      </c>
      <c r="B11" s="2" t="s">
        <v>48</v>
      </c>
      <c r="C11" s="11">
        <v>36.799999999999997</v>
      </c>
      <c r="D11" s="4">
        <v>36.630000000000003</v>
      </c>
      <c r="E11" s="4">
        <v>37.15</v>
      </c>
      <c r="F11" s="5">
        <v>36.65</v>
      </c>
      <c r="G11" s="26">
        <v>4.0927694406548048E-3</v>
      </c>
      <c r="H11" s="6" t="s">
        <v>402</v>
      </c>
      <c r="I11" s="5">
        <v>1.0900000000000001</v>
      </c>
      <c r="J11" s="4" t="s">
        <v>39</v>
      </c>
      <c r="K11" s="4">
        <v>33.15</v>
      </c>
    </row>
    <row r="12" spans="1:11" ht="20.100000000000001" customHeight="1" x14ac:dyDescent="0.25">
      <c r="A12" s="2" t="s">
        <v>27</v>
      </c>
      <c r="B12" s="2" t="s">
        <v>49</v>
      </c>
      <c r="C12" s="11">
        <v>77.319999999999993</v>
      </c>
      <c r="D12" s="4">
        <v>76.89</v>
      </c>
      <c r="E12" s="4">
        <v>77.569999999999993</v>
      </c>
      <c r="F12" s="5">
        <v>77.209999999999994</v>
      </c>
      <c r="G12" s="26">
        <v>1.4246859215127502E-3</v>
      </c>
      <c r="H12" s="6" t="s">
        <v>333</v>
      </c>
      <c r="I12" s="5">
        <v>3.89</v>
      </c>
      <c r="J12" s="4" t="s">
        <v>39</v>
      </c>
      <c r="K12" s="4">
        <v>71.31</v>
      </c>
    </row>
    <row r="13" spans="1:11" ht="20.100000000000001" customHeight="1" x14ac:dyDescent="0.25">
      <c r="A13" s="2" t="s">
        <v>28</v>
      </c>
      <c r="B13" s="2" t="s">
        <v>50</v>
      </c>
      <c r="C13" s="11">
        <v>156.69999999999999</v>
      </c>
      <c r="D13" s="4">
        <v>155.55000000000001</v>
      </c>
      <c r="E13" s="4">
        <v>157.41</v>
      </c>
      <c r="F13" s="5">
        <v>155.5</v>
      </c>
      <c r="G13" s="26">
        <v>7.7170418006430137E-3</v>
      </c>
      <c r="H13" s="6" t="s">
        <v>551</v>
      </c>
      <c r="I13" s="5">
        <v>0.05</v>
      </c>
      <c r="J13" s="4" t="s">
        <v>39</v>
      </c>
      <c r="K13" s="4">
        <v>141.37</v>
      </c>
    </row>
    <row r="14" spans="1:11" ht="20.100000000000001" customHeight="1" x14ac:dyDescent="0.25">
      <c r="A14" s="2" t="s">
        <v>29</v>
      </c>
      <c r="B14" s="2" t="s">
        <v>51</v>
      </c>
      <c r="C14" s="11">
        <v>43.1</v>
      </c>
      <c r="D14" s="4">
        <v>42.55</v>
      </c>
      <c r="E14" s="4">
        <v>43.91</v>
      </c>
      <c r="F14" s="5">
        <v>43.02</v>
      </c>
      <c r="G14" s="26">
        <v>1.8596001859599789E-3</v>
      </c>
      <c r="H14" s="6" t="s">
        <v>552</v>
      </c>
      <c r="I14" s="5">
        <v>0.18</v>
      </c>
      <c r="J14" s="4" t="s">
        <v>39</v>
      </c>
      <c r="K14" s="4">
        <v>34.950000000000003</v>
      </c>
    </row>
    <row r="15" spans="1:11" ht="20.100000000000001" customHeight="1" x14ac:dyDescent="0.25">
      <c r="A15" s="2" t="s">
        <v>30</v>
      </c>
      <c r="B15" s="2" t="s">
        <v>52</v>
      </c>
      <c r="C15" s="11">
        <v>13.4</v>
      </c>
      <c r="D15" s="4">
        <v>13.21</v>
      </c>
      <c r="E15" s="4">
        <v>13.65</v>
      </c>
      <c r="F15" s="5">
        <v>13.47</v>
      </c>
      <c r="G15" s="26">
        <v>-5.1967334818114538E-3</v>
      </c>
      <c r="H15" s="6" t="s">
        <v>553</v>
      </c>
      <c r="I15" s="5">
        <v>0</v>
      </c>
      <c r="J15" s="4" t="s">
        <v>39</v>
      </c>
      <c r="K15" s="4">
        <v>10.1</v>
      </c>
    </row>
    <row r="16" spans="1:11" ht="20.100000000000001" customHeight="1" x14ac:dyDescent="0.25">
      <c r="A16" s="2" t="s">
        <v>320</v>
      </c>
      <c r="B16" s="2" t="s">
        <v>321</v>
      </c>
      <c r="C16" s="20">
        <v>10.99</v>
      </c>
      <c r="D16" s="20">
        <v>10.89</v>
      </c>
      <c r="E16" s="20">
        <v>11.08</v>
      </c>
      <c r="F16" s="5">
        <v>10.87</v>
      </c>
      <c r="G16" s="26">
        <v>1.1039558417663386E-2</v>
      </c>
      <c r="H16" s="6" t="s">
        <v>39</v>
      </c>
      <c r="I16" s="5" t="s">
        <v>39</v>
      </c>
      <c r="J16" s="4" t="s">
        <v>39</v>
      </c>
      <c r="K16" s="4">
        <v>10.36</v>
      </c>
    </row>
    <row r="17" spans="1:11" ht="20.100000000000001" customHeight="1" x14ac:dyDescent="0.25">
      <c r="A17" s="2" t="s">
        <v>266</v>
      </c>
      <c r="B17" s="2" t="s">
        <v>267</v>
      </c>
      <c r="C17" s="20">
        <v>62.82</v>
      </c>
      <c r="D17" s="20">
        <v>62.1</v>
      </c>
      <c r="E17" s="20">
        <v>62.96</v>
      </c>
      <c r="F17" s="5">
        <v>61.89</v>
      </c>
      <c r="G17" s="26">
        <v>1.5026660203587004E-2</v>
      </c>
      <c r="H17" s="6" t="s">
        <v>554</v>
      </c>
      <c r="I17" s="5">
        <v>2.71</v>
      </c>
      <c r="J17" s="4" t="s">
        <v>39</v>
      </c>
      <c r="K17" s="4">
        <v>57.12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16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682</v>
      </c>
      <c r="B2" s="2" t="s">
        <v>684</v>
      </c>
      <c r="C2" s="4">
        <v>215.83</v>
      </c>
      <c r="D2" s="4">
        <v>215.31</v>
      </c>
      <c r="E2" s="4">
        <v>217.01</v>
      </c>
      <c r="F2" s="5">
        <v>216.12</v>
      </c>
      <c r="G2" s="6">
        <v>-1.3418471219692396E-3</v>
      </c>
      <c r="H2" s="4" t="s">
        <v>39</v>
      </c>
      <c r="I2" s="5">
        <v>2.2000000000000002</v>
      </c>
      <c r="J2" s="4" t="s">
        <v>39</v>
      </c>
      <c r="K2" s="4">
        <v>202.36</v>
      </c>
    </row>
    <row r="3" spans="1:11" ht="20.100000000000001" customHeight="1" x14ac:dyDescent="0.25">
      <c r="A3" s="61" t="s">
        <v>683</v>
      </c>
      <c r="B3" s="2" t="s">
        <v>685</v>
      </c>
      <c r="C3" s="4">
        <v>47.22</v>
      </c>
      <c r="D3" s="4">
        <v>47.1</v>
      </c>
      <c r="E3" s="4">
        <v>47.39</v>
      </c>
      <c r="F3" s="5">
        <v>47.51</v>
      </c>
      <c r="G3" s="6">
        <v>-6.1039781098715879E-3</v>
      </c>
      <c r="H3" s="4" t="s">
        <v>39</v>
      </c>
      <c r="I3" s="5">
        <v>7</v>
      </c>
      <c r="J3" s="4" t="s">
        <v>39</v>
      </c>
      <c r="K3" s="4">
        <v>47.65</v>
      </c>
    </row>
    <row r="4" spans="1:11" ht="20.100000000000001" customHeight="1" x14ac:dyDescent="0.25">
      <c r="A4" s="2" t="s">
        <v>687</v>
      </c>
      <c r="B4" s="2" t="s">
        <v>688</v>
      </c>
      <c r="C4" s="20">
        <v>36.56</v>
      </c>
      <c r="D4" s="20">
        <v>36.450000000000003</v>
      </c>
      <c r="E4" s="20">
        <v>36.65</v>
      </c>
      <c r="F4" s="5">
        <v>36.69</v>
      </c>
      <c r="G4" s="26">
        <v>-3.5431997819568126E-3</v>
      </c>
      <c r="H4" s="6" t="s">
        <v>39</v>
      </c>
      <c r="I4" s="5">
        <v>4.8</v>
      </c>
      <c r="J4" s="4" t="s">
        <v>39</v>
      </c>
      <c r="K4" s="4">
        <v>33</v>
      </c>
    </row>
    <row r="5" spans="1:11" ht="20.100000000000001" customHeight="1" x14ac:dyDescent="0.25">
      <c r="C5" s="8"/>
    </row>
    <row r="6" spans="1:11" ht="20.100000000000001" customHeight="1" x14ac:dyDescent="0.25">
      <c r="C6" s="8"/>
    </row>
    <row r="7" spans="1:11" ht="20.100000000000001" customHeight="1" x14ac:dyDescent="0.25">
      <c r="C7" s="8"/>
    </row>
    <row r="8" spans="1:11" ht="20.100000000000001" customHeight="1" x14ac:dyDescent="0.25">
      <c r="C8" s="8"/>
    </row>
    <row r="9" spans="1:11" ht="20.100000000000001" customHeight="1" x14ac:dyDescent="0.25">
      <c r="C9" s="8"/>
    </row>
    <row r="10" spans="1:11" ht="20.100000000000001" customHeight="1" x14ac:dyDescent="0.25">
      <c r="C10" s="8"/>
    </row>
    <row r="11" spans="1:11" ht="20.100000000000001" customHeight="1" x14ac:dyDescent="0.25">
      <c r="C11" s="8"/>
    </row>
    <row r="12" spans="1:11" ht="20.100000000000001" customHeight="1" x14ac:dyDescent="0.25">
      <c r="C12" s="8"/>
    </row>
    <row r="13" spans="1:11" ht="20.100000000000001" customHeight="1" x14ac:dyDescent="0.25">
      <c r="C13" s="8"/>
    </row>
    <row r="14" spans="1:11" ht="20.100000000000001" customHeight="1" x14ac:dyDescent="0.25">
      <c r="C14" s="8"/>
    </row>
    <row r="15" spans="1:11" ht="20.100000000000001" customHeight="1" x14ac:dyDescent="0.25">
      <c r="C15" s="8"/>
    </row>
    <row r="16" spans="1:11" ht="20.100000000000001" customHeight="1" x14ac:dyDescent="0.25">
      <c r="C16" s="8"/>
    </row>
  </sheetData>
  <conditionalFormatting sqref="G2:G4">
    <cfRule type="colorScale" priority="5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42.3</v>
      </c>
      <c r="D2" s="4">
        <v>42.15</v>
      </c>
      <c r="E2" s="4">
        <v>42.51</v>
      </c>
      <c r="F2" s="5">
        <v>42.18</v>
      </c>
      <c r="G2" s="6">
        <v>2.8449502133712054E-3</v>
      </c>
      <c r="H2" s="4" t="s">
        <v>555</v>
      </c>
      <c r="I2" s="5">
        <v>3.21</v>
      </c>
      <c r="J2" s="5">
        <v>30.17</v>
      </c>
      <c r="K2" s="5">
        <v>37.99</v>
      </c>
    </row>
    <row r="3" spans="1:11" ht="20.100000000000001" customHeight="1" x14ac:dyDescent="0.25">
      <c r="A3" s="2" t="s">
        <v>86</v>
      </c>
      <c r="B3" s="2" t="s">
        <v>292</v>
      </c>
      <c r="C3" s="4">
        <v>8.4600000000000009</v>
      </c>
      <c r="D3" s="4">
        <v>8.42</v>
      </c>
      <c r="E3" s="4">
        <v>8.67</v>
      </c>
      <c r="F3" s="5">
        <v>8.57</v>
      </c>
      <c r="G3" s="6">
        <v>-1.2835472578763061E-2</v>
      </c>
      <c r="H3" s="4" t="s">
        <v>556</v>
      </c>
      <c r="I3" s="5">
        <v>0</v>
      </c>
      <c r="J3" s="5" t="s">
        <v>39</v>
      </c>
      <c r="K3" s="5">
        <v>8.7100000000000009</v>
      </c>
    </row>
    <row r="4" spans="1:11" ht="20.100000000000001" customHeight="1" x14ac:dyDescent="0.25">
      <c r="A4" s="2" t="s">
        <v>70</v>
      </c>
      <c r="B4" s="2" t="s">
        <v>293</v>
      </c>
      <c r="C4" s="4">
        <v>21.06</v>
      </c>
      <c r="D4" s="4">
        <v>20.9</v>
      </c>
      <c r="E4" s="4">
        <v>21.34</v>
      </c>
      <c r="F4" s="5">
        <v>21.02</v>
      </c>
      <c r="G4" s="6">
        <v>1.9029495718363059E-3</v>
      </c>
      <c r="H4" s="4" t="s">
        <v>557</v>
      </c>
      <c r="I4" s="5">
        <v>0</v>
      </c>
      <c r="J4" s="5">
        <v>32.450000000000003</v>
      </c>
      <c r="K4" s="5">
        <v>21.16</v>
      </c>
    </row>
    <row r="5" spans="1:11" ht="20.100000000000001" customHeight="1" x14ac:dyDescent="0.25">
      <c r="A5" s="2" t="s">
        <v>69</v>
      </c>
      <c r="B5" s="2" t="s">
        <v>294</v>
      </c>
      <c r="C5" s="4">
        <v>51.64</v>
      </c>
      <c r="D5" s="4">
        <v>51.37</v>
      </c>
      <c r="E5" s="4">
        <v>51.85</v>
      </c>
      <c r="F5" s="5">
        <v>51.57</v>
      </c>
      <c r="G5" s="6">
        <v>1.3573783207291115E-3</v>
      </c>
      <c r="H5" s="4" t="s">
        <v>558</v>
      </c>
      <c r="I5" s="5" t="s">
        <v>39</v>
      </c>
      <c r="J5" s="5">
        <v>11.63</v>
      </c>
      <c r="K5" s="5">
        <v>49.15</v>
      </c>
    </row>
    <row r="6" spans="1:11" ht="20.100000000000001" customHeight="1" x14ac:dyDescent="0.25">
      <c r="A6" s="2" t="s">
        <v>72</v>
      </c>
      <c r="B6" s="2" t="s">
        <v>295</v>
      </c>
      <c r="C6" s="4">
        <v>98.87</v>
      </c>
      <c r="D6" s="4">
        <v>98.75</v>
      </c>
      <c r="E6" s="4">
        <v>99.87</v>
      </c>
      <c r="F6" s="5">
        <v>98.92</v>
      </c>
      <c r="G6" s="6">
        <v>-5.0545895673268458E-4</v>
      </c>
      <c r="H6" s="4" t="s">
        <v>559</v>
      </c>
      <c r="I6" s="5">
        <v>2.0299999999999998</v>
      </c>
      <c r="J6" s="5">
        <v>21.4</v>
      </c>
      <c r="K6" s="5">
        <v>95.71</v>
      </c>
    </row>
    <row r="7" spans="1:11" ht="20.100000000000001" customHeight="1" x14ac:dyDescent="0.25">
      <c r="A7" s="2" t="s">
        <v>341</v>
      </c>
      <c r="B7" s="19" t="s">
        <v>342</v>
      </c>
      <c r="C7" s="4">
        <v>16.760000000000002</v>
      </c>
      <c r="D7" s="4">
        <v>16.63</v>
      </c>
      <c r="E7" s="4">
        <v>16.82</v>
      </c>
      <c r="F7" s="5">
        <v>16.79</v>
      </c>
      <c r="G7" s="6">
        <v>-1.7867778439545911E-3</v>
      </c>
      <c r="H7" s="6" t="s">
        <v>560</v>
      </c>
      <c r="I7" s="5">
        <v>3.17</v>
      </c>
      <c r="J7" s="5">
        <v>18.75</v>
      </c>
      <c r="K7" s="5">
        <v>17.22</v>
      </c>
    </row>
    <row r="8" spans="1:11" ht="20.100000000000001" customHeight="1" x14ac:dyDescent="0.25">
      <c r="A8" s="1" t="s">
        <v>679</v>
      </c>
      <c r="B8" s="19" t="s">
        <v>680</v>
      </c>
      <c r="C8" s="4">
        <v>90.34</v>
      </c>
      <c r="D8" s="4">
        <v>90</v>
      </c>
      <c r="E8" s="4">
        <v>91.76</v>
      </c>
      <c r="F8" s="5">
        <v>91.59</v>
      </c>
      <c r="G8" s="6">
        <v>-1.3647778141718529E-2</v>
      </c>
      <c r="H8" s="6" t="s">
        <v>681</v>
      </c>
      <c r="I8" s="5">
        <v>1.1399999999999999</v>
      </c>
      <c r="J8" s="5">
        <v>14.44</v>
      </c>
      <c r="K8" s="5">
        <v>106.32</v>
      </c>
    </row>
  </sheetData>
  <conditionalFormatting sqref="G1:G8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K8"/>
  <sheetViews>
    <sheetView workbookViewId="0">
      <selection activeCell="E12" sqref="E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707</v>
      </c>
      <c r="B2" s="2" t="s">
        <v>714</v>
      </c>
      <c r="C2" s="4">
        <v>123.61</v>
      </c>
      <c r="D2" s="4">
        <v>123.39</v>
      </c>
      <c r="E2" s="4">
        <v>124.44</v>
      </c>
      <c r="F2" s="5">
        <v>123.93</v>
      </c>
      <c r="G2" s="6">
        <v>-2.5821027999677832E-3</v>
      </c>
      <c r="H2" s="4" t="s">
        <v>715</v>
      </c>
      <c r="I2" s="5">
        <v>2.9</v>
      </c>
      <c r="J2" s="5">
        <v>23.75</v>
      </c>
      <c r="K2" s="5">
        <v>122.33</v>
      </c>
    </row>
    <row r="3" spans="1:11" ht="20.100000000000001" customHeight="1" x14ac:dyDescent="0.25">
      <c r="A3" s="2" t="s">
        <v>708</v>
      </c>
      <c r="B3" s="2" t="s">
        <v>716</v>
      </c>
      <c r="C3" s="4">
        <v>404.86</v>
      </c>
      <c r="D3" s="4">
        <v>404.1</v>
      </c>
      <c r="E3" s="4">
        <v>411.94</v>
      </c>
      <c r="F3" s="5">
        <v>417.98</v>
      </c>
      <c r="G3" s="6">
        <v>-3.1389061677592242E-2</v>
      </c>
      <c r="H3" s="4" t="s">
        <v>717</v>
      </c>
      <c r="I3" s="5" t="s">
        <v>39</v>
      </c>
      <c r="J3" s="5">
        <v>38.51</v>
      </c>
      <c r="K3" s="5">
        <v>451.63</v>
      </c>
    </row>
    <row r="4" spans="1:11" ht="20.100000000000001" customHeight="1" x14ac:dyDescent="0.25">
      <c r="A4" s="2" t="s">
        <v>709</v>
      </c>
      <c r="B4" s="2" t="s">
        <v>718</v>
      </c>
      <c r="C4" s="4">
        <v>87.97</v>
      </c>
      <c r="D4" s="4">
        <v>87.68</v>
      </c>
      <c r="E4" s="4">
        <v>89.16</v>
      </c>
      <c r="F4" s="5">
        <v>88.16</v>
      </c>
      <c r="G4" s="6">
        <v>-2.1551724137930778E-3</v>
      </c>
      <c r="H4" s="4" t="s">
        <v>719</v>
      </c>
      <c r="I4" s="5">
        <v>1.36</v>
      </c>
      <c r="J4" s="5">
        <v>28.58</v>
      </c>
      <c r="K4" s="5">
        <v>74.06</v>
      </c>
    </row>
    <row r="5" spans="1:11" ht="20.100000000000001" customHeight="1" x14ac:dyDescent="0.25">
      <c r="A5" s="2" t="s">
        <v>710</v>
      </c>
      <c r="B5" s="2" t="s">
        <v>720</v>
      </c>
      <c r="C5" s="4">
        <v>87.49</v>
      </c>
      <c r="D5" s="4">
        <v>87.46</v>
      </c>
      <c r="E5" s="4">
        <v>88.78</v>
      </c>
      <c r="F5" s="5">
        <v>88.27</v>
      </c>
      <c r="G5" s="6">
        <v>-8.8365243004418399E-3</v>
      </c>
      <c r="H5" s="4" t="s">
        <v>721</v>
      </c>
      <c r="I5" s="5">
        <v>2.08</v>
      </c>
      <c r="J5" s="5">
        <v>26.37</v>
      </c>
      <c r="K5" s="5">
        <v>78.08</v>
      </c>
    </row>
    <row r="6" spans="1:11" ht="20.100000000000001" customHeight="1" x14ac:dyDescent="0.25">
      <c r="A6" s="2" t="s">
        <v>711</v>
      </c>
      <c r="B6" s="2" t="s">
        <v>722</v>
      </c>
      <c r="C6" s="4">
        <v>9.6199999999999992</v>
      </c>
      <c r="D6" s="4">
        <v>9.59</v>
      </c>
      <c r="E6" s="4">
        <v>9.8000000000000007</v>
      </c>
      <c r="F6" s="5">
        <v>9.7799999999999994</v>
      </c>
      <c r="G6" s="6">
        <v>-1.6359918200409013E-2</v>
      </c>
      <c r="H6" s="4" t="s">
        <v>723</v>
      </c>
      <c r="I6" s="5">
        <v>2.4500000000000002</v>
      </c>
      <c r="J6" s="5">
        <v>18.36</v>
      </c>
      <c r="K6" s="5">
        <v>10.18</v>
      </c>
    </row>
    <row r="7" spans="1:11" ht="20.100000000000001" customHeight="1" x14ac:dyDescent="0.25">
      <c r="A7" s="2" t="s">
        <v>712</v>
      </c>
      <c r="B7" s="19" t="s">
        <v>724</v>
      </c>
      <c r="C7" s="4">
        <v>27.69</v>
      </c>
      <c r="D7" s="4">
        <v>27.54</v>
      </c>
      <c r="E7" s="4">
        <v>28.35</v>
      </c>
      <c r="F7" s="5">
        <v>28.25</v>
      </c>
      <c r="G7" s="6">
        <v>-1.9823008849557476E-2</v>
      </c>
      <c r="H7" s="6" t="s">
        <v>725</v>
      </c>
      <c r="I7" s="5">
        <v>1.56</v>
      </c>
      <c r="J7" s="5">
        <v>21.55</v>
      </c>
      <c r="K7" s="5">
        <v>30.75</v>
      </c>
    </row>
    <row r="8" spans="1:11" ht="20.100000000000001" customHeight="1" x14ac:dyDescent="0.25">
      <c r="A8" s="2" t="s">
        <v>713</v>
      </c>
      <c r="B8" s="19" t="s">
        <v>726</v>
      </c>
      <c r="C8" s="4">
        <v>69.08</v>
      </c>
      <c r="D8" s="4">
        <v>68.5</v>
      </c>
      <c r="E8" s="4">
        <v>69.680000000000007</v>
      </c>
      <c r="F8" s="5">
        <v>69.14</v>
      </c>
      <c r="G8" s="6">
        <v>-8.6780445472956717E-4</v>
      </c>
      <c r="H8" s="6" t="s">
        <v>727</v>
      </c>
      <c r="I8" s="5">
        <v>1.01</v>
      </c>
      <c r="J8" s="5">
        <v>34.159999999999997</v>
      </c>
      <c r="K8" s="5">
        <v>57.71</v>
      </c>
    </row>
  </sheetData>
  <conditionalFormatting sqref="G1:G8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8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63" t="s">
        <v>189</v>
      </c>
      <c r="B2" s="63" t="s">
        <v>196</v>
      </c>
      <c r="C2" s="64">
        <v>13.66</v>
      </c>
      <c r="D2" s="64">
        <v>13.52</v>
      </c>
      <c r="E2" s="64">
        <v>13.79</v>
      </c>
      <c r="F2" s="65">
        <v>13.65</v>
      </c>
      <c r="G2" s="66">
        <v>7.3260073260071699E-4</v>
      </c>
      <c r="H2" s="64" t="s">
        <v>561</v>
      </c>
      <c r="I2" s="65">
        <v>1.49</v>
      </c>
      <c r="J2" s="65">
        <v>10.74</v>
      </c>
      <c r="K2" s="65">
        <v>13.81</v>
      </c>
    </row>
    <row r="3" spans="1:11" ht="20.100000000000001" customHeight="1" x14ac:dyDescent="0.25">
      <c r="A3" s="63" t="s">
        <v>286</v>
      </c>
      <c r="B3" s="67" t="s">
        <v>287</v>
      </c>
      <c r="C3" s="64">
        <v>39.79</v>
      </c>
      <c r="D3" s="64">
        <v>39.479999999999997</v>
      </c>
      <c r="E3" s="64">
        <v>40.090000000000003</v>
      </c>
      <c r="F3" s="65">
        <v>39.69</v>
      </c>
      <c r="G3" s="66">
        <v>2.5195263290501745E-3</v>
      </c>
      <c r="H3" s="66" t="s">
        <v>442</v>
      </c>
      <c r="I3" s="65">
        <v>1.71</v>
      </c>
      <c r="J3" s="65">
        <v>14.37</v>
      </c>
      <c r="K3" s="65">
        <v>38.159999999999997</v>
      </c>
    </row>
    <row r="4" spans="1:11" ht="20.100000000000001" customHeight="1" x14ac:dyDescent="0.25">
      <c r="A4" s="68" t="s">
        <v>245</v>
      </c>
      <c r="B4" s="67" t="s">
        <v>246</v>
      </c>
      <c r="C4" s="64">
        <v>356.85</v>
      </c>
      <c r="D4" s="64">
        <v>351.13</v>
      </c>
      <c r="E4" s="64">
        <v>357.59</v>
      </c>
      <c r="F4" s="65">
        <v>355.19</v>
      </c>
      <c r="G4" s="66">
        <v>4.673554998733143E-3</v>
      </c>
      <c r="H4" s="66" t="s">
        <v>562</v>
      </c>
      <c r="I4" s="65">
        <v>2.58</v>
      </c>
      <c r="J4" s="65">
        <v>19.010000000000002</v>
      </c>
      <c r="K4" s="65">
        <v>335.69</v>
      </c>
    </row>
    <row r="5" spans="1:11" ht="20.100000000000001" customHeight="1" x14ac:dyDescent="0.25">
      <c r="A5" s="63" t="s">
        <v>190</v>
      </c>
      <c r="B5" s="63" t="s">
        <v>197</v>
      </c>
      <c r="C5" s="64">
        <v>44.33</v>
      </c>
      <c r="D5" s="64">
        <v>43.85</v>
      </c>
      <c r="E5" s="64">
        <v>45.03</v>
      </c>
      <c r="F5" s="65">
        <v>44.45</v>
      </c>
      <c r="G5" s="66">
        <v>-2.6996625421823292E-3</v>
      </c>
      <c r="H5" s="64" t="s">
        <v>563</v>
      </c>
      <c r="I5" s="65">
        <v>0.45</v>
      </c>
      <c r="J5" s="65">
        <v>8.86</v>
      </c>
      <c r="K5" s="65">
        <v>43.2</v>
      </c>
    </row>
    <row r="6" spans="1:11" ht="20.100000000000001" customHeight="1" x14ac:dyDescent="0.25">
      <c r="A6" s="63" t="s">
        <v>194</v>
      </c>
      <c r="B6" s="63" t="s">
        <v>201</v>
      </c>
      <c r="C6" s="64">
        <v>68.150000000000006</v>
      </c>
      <c r="D6" s="64">
        <v>67.72</v>
      </c>
      <c r="E6" s="64">
        <v>69.180000000000007</v>
      </c>
      <c r="F6" s="65">
        <v>68.849999999999994</v>
      </c>
      <c r="G6" s="66">
        <v>-1.0167029774872749E-2</v>
      </c>
      <c r="H6" s="64" t="s">
        <v>564</v>
      </c>
      <c r="I6" s="65">
        <v>2.36</v>
      </c>
      <c r="J6" s="65">
        <v>9.8800000000000008</v>
      </c>
      <c r="K6" s="65">
        <v>67.81</v>
      </c>
    </row>
    <row r="7" spans="1:11" ht="20.100000000000001" customHeight="1" x14ac:dyDescent="0.25">
      <c r="A7" s="63" t="s">
        <v>203</v>
      </c>
      <c r="B7" s="67" t="s">
        <v>206</v>
      </c>
      <c r="C7" s="64">
        <v>11.33</v>
      </c>
      <c r="D7" s="64">
        <v>11.23</v>
      </c>
      <c r="E7" s="64">
        <v>11.34</v>
      </c>
      <c r="F7" s="65">
        <v>11.28</v>
      </c>
      <c r="G7" s="66">
        <v>4.4326241134752409E-3</v>
      </c>
      <c r="H7" s="66" t="s">
        <v>565</v>
      </c>
      <c r="I7" s="65">
        <v>6.62</v>
      </c>
      <c r="J7" s="65" t="s">
        <v>39</v>
      </c>
      <c r="K7" s="65">
        <v>14.6</v>
      </c>
    </row>
    <row r="8" spans="1:11" ht="20.100000000000001" customHeight="1" x14ac:dyDescent="0.25">
      <c r="A8" s="63" t="s">
        <v>204</v>
      </c>
      <c r="B8" s="67" t="s">
        <v>207</v>
      </c>
      <c r="C8" s="64">
        <v>14.43</v>
      </c>
      <c r="D8" s="64">
        <v>14.38</v>
      </c>
      <c r="E8" s="64">
        <v>14.62</v>
      </c>
      <c r="F8" s="65">
        <v>14.54</v>
      </c>
      <c r="G8" s="66">
        <v>-7.5653370013754771E-3</v>
      </c>
      <c r="H8" s="66" t="s">
        <v>566</v>
      </c>
      <c r="I8" s="65">
        <v>0</v>
      </c>
      <c r="J8" s="65" t="s">
        <v>39</v>
      </c>
      <c r="K8" s="65">
        <v>17.61</v>
      </c>
    </row>
    <row r="9" spans="1:11" ht="20.100000000000001" customHeight="1" x14ac:dyDescent="0.25">
      <c r="A9" s="63" t="s">
        <v>188</v>
      </c>
      <c r="B9" s="63" t="s">
        <v>195</v>
      </c>
      <c r="C9" s="64">
        <v>161.63999999999999</v>
      </c>
      <c r="D9" s="64">
        <v>160.69999999999999</v>
      </c>
      <c r="E9" s="64">
        <v>163.13999999999999</v>
      </c>
      <c r="F9" s="65">
        <v>162.54</v>
      </c>
      <c r="G9" s="66">
        <v>-5.5370985603544094E-3</v>
      </c>
      <c r="H9" s="64" t="s">
        <v>567</v>
      </c>
      <c r="I9" s="65">
        <v>1.6</v>
      </c>
      <c r="J9" s="65">
        <v>18.28</v>
      </c>
      <c r="K9" s="65">
        <v>155.74</v>
      </c>
    </row>
    <row r="10" spans="1:11" ht="20.100000000000001" customHeight="1" x14ac:dyDescent="0.25">
      <c r="A10" s="63" t="s">
        <v>192</v>
      </c>
      <c r="B10" s="63" t="s">
        <v>199</v>
      </c>
      <c r="C10" s="64">
        <v>64.180000000000007</v>
      </c>
      <c r="D10" s="64">
        <v>63.61</v>
      </c>
      <c r="E10" s="64">
        <v>64.8</v>
      </c>
      <c r="F10" s="65">
        <v>64.12</v>
      </c>
      <c r="G10" s="66">
        <v>9.3574547723022873E-4</v>
      </c>
      <c r="H10" s="64" t="s">
        <v>568</v>
      </c>
      <c r="I10" s="65">
        <v>3.04</v>
      </c>
      <c r="J10" s="65">
        <v>10.89</v>
      </c>
      <c r="K10" s="65">
        <v>60.72</v>
      </c>
    </row>
    <row r="11" spans="1:11" ht="20.100000000000001" customHeight="1" x14ac:dyDescent="0.25">
      <c r="A11" s="63" t="s">
        <v>191</v>
      </c>
      <c r="B11" s="63" t="s">
        <v>198</v>
      </c>
      <c r="C11" s="64">
        <v>28.01</v>
      </c>
      <c r="D11" s="64">
        <v>27.69</v>
      </c>
      <c r="E11" s="64">
        <v>28.27</v>
      </c>
      <c r="F11" s="65">
        <v>28</v>
      </c>
      <c r="G11" s="66">
        <v>3.5714285714291298E-4</v>
      </c>
      <c r="H11" s="64" t="s">
        <v>569</v>
      </c>
      <c r="I11" s="65">
        <v>2.14</v>
      </c>
      <c r="J11" s="65">
        <v>12.34</v>
      </c>
      <c r="K11" s="65">
        <v>26.03</v>
      </c>
    </row>
    <row r="12" spans="1:11" ht="20.100000000000001" customHeight="1" x14ac:dyDescent="0.25">
      <c r="A12" s="63" t="s">
        <v>202</v>
      </c>
      <c r="B12" s="67" t="s">
        <v>205</v>
      </c>
      <c r="C12" s="64">
        <v>13.17</v>
      </c>
      <c r="D12" s="64">
        <v>13.11</v>
      </c>
      <c r="E12" s="64">
        <v>13.3</v>
      </c>
      <c r="F12" s="65">
        <v>13.22</v>
      </c>
      <c r="G12" s="66">
        <v>-3.7821482602118537E-3</v>
      </c>
      <c r="H12" s="66" t="s">
        <v>570</v>
      </c>
      <c r="I12" s="65">
        <v>6.64</v>
      </c>
      <c r="J12" s="65">
        <v>10</v>
      </c>
      <c r="K12" s="65">
        <v>15.61</v>
      </c>
    </row>
    <row r="13" spans="1:11" ht="20.100000000000001" customHeight="1" x14ac:dyDescent="0.25">
      <c r="A13" s="63" t="s">
        <v>285</v>
      </c>
      <c r="B13" s="67" t="s">
        <v>288</v>
      </c>
      <c r="C13" s="64">
        <v>41.89</v>
      </c>
      <c r="D13" s="64">
        <v>41.44</v>
      </c>
      <c r="E13" s="64">
        <v>42.5</v>
      </c>
      <c r="F13" s="65">
        <v>41.25</v>
      </c>
      <c r="G13" s="66">
        <v>1.5515151515151529E-2</v>
      </c>
      <c r="H13" s="66" t="s">
        <v>571</v>
      </c>
      <c r="I13" s="65">
        <v>2.4700000000000002</v>
      </c>
      <c r="J13" s="65">
        <v>13.25</v>
      </c>
      <c r="K13" s="65">
        <v>40.799999999999997</v>
      </c>
    </row>
    <row r="14" spans="1:11" ht="20.100000000000001" customHeight="1" x14ac:dyDescent="0.25">
      <c r="A14" s="69" t="s">
        <v>193</v>
      </c>
      <c r="B14" s="63" t="s">
        <v>200</v>
      </c>
      <c r="C14" s="64">
        <v>47.71</v>
      </c>
      <c r="D14" s="64">
        <v>47.41</v>
      </c>
      <c r="E14" s="64">
        <v>48.88</v>
      </c>
      <c r="F14" s="65">
        <v>48.94</v>
      </c>
      <c r="G14" s="66">
        <v>-2.5132815692684857E-2</v>
      </c>
      <c r="H14" s="64" t="s">
        <v>572</v>
      </c>
      <c r="I14" s="65">
        <v>3.11</v>
      </c>
      <c r="J14" s="65">
        <v>11.72</v>
      </c>
      <c r="K14" s="65">
        <v>48.9</v>
      </c>
    </row>
    <row r="15" spans="1:11" ht="20.100000000000001" customHeight="1" x14ac:dyDescent="0.25">
      <c r="A15" s="52" t="s">
        <v>593</v>
      </c>
      <c r="B15" s="52" t="s">
        <v>596</v>
      </c>
      <c r="C15" s="53">
        <v>78.3</v>
      </c>
      <c r="D15" s="53">
        <v>78.05</v>
      </c>
      <c r="E15" s="53">
        <v>78.75</v>
      </c>
      <c r="F15" s="54">
        <v>78.14</v>
      </c>
      <c r="G15" s="55">
        <v>2.0476068594829358E-3</v>
      </c>
      <c r="H15" s="53" t="s">
        <v>597</v>
      </c>
      <c r="I15" s="54">
        <v>0.72</v>
      </c>
      <c r="J15" s="53">
        <v>27.29</v>
      </c>
      <c r="K15" s="53">
        <v>75.650000000000006</v>
      </c>
    </row>
    <row r="16" spans="1:11" ht="20.100000000000001" customHeight="1" x14ac:dyDescent="0.25">
      <c r="A16" s="52" t="s">
        <v>594</v>
      </c>
      <c r="B16" s="52" t="s">
        <v>598</v>
      </c>
      <c r="C16" s="53">
        <v>90.93</v>
      </c>
      <c r="D16" s="53">
        <v>90.72</v>
      </c>
      <c r="E16" s="53">
        <v>92.03</v>
      </c>
      <c r="F16" s="54">
        <v>91.45</v>
      </c>
      <c r="G16" s="55">
        <v>-5.6861673045379554E-3</v>
      </c>
      <c r="H16" s="53" t="s">
        <v>599</v>
      </c>
      <c r="I16" s="54">
        <v>0.84</v>
      </c>
      <c r="J16" s="53">
        <v>27.4</v>
      </c>
      <c r="K16" s="53">
        <v>91.97</v>
      </c>
    </row>
    <row r="17" spans="1:11" ht="20.100000000000001" customHeight="1" x14ac:dyDescent="0.25">
      <c r="A17" s="62" t="s">
        <v>595</v>
      </c>
      <c r="B17" s="52" t="s">
        <v>600</v>
      </c>
      <c r="C17" s="56">
        <v>63.78</v>
      </c>
      <c r="D17" s="53">
        <v>63.31</v>
      </c>
      <c r="E17" s="53">
        <v>64.11</v>
      </c>
      <c r="F17" s="54">
        <v>63.61</v>
      </c>
      <c r="G17" s="57">
        <v>2.6725357648168797E-3</v>
      </c>
      <c r="H17" s="55" t="s">
        <v>601</v>
      </c>
      <c r="I17" s="54">
        <v>1.82</v>
      </c>
      <c r="J17" s="53">
        <v>12.74</v>
      </c>
      <c r="K17" s="53">
        <v>61.08</v>
      </c>
    </row>
    <row r="18" spans="1:11" ht="20.100000000000001" customHeight="1" x14ac:dyDescent="0.25">
      <c r="A18" s="52" t="s">
        <v>602</v>
      </c>
      <c r="B18" s="52" t="s">
        <v>603</v>
      </c>
      <c r="C18" s="58">
        <v>57.42</v>
      </c>
      <c r="D18" s="58">
        <v>57.01</v>
      </c>
      <c r="E18" s="58">
        <v>57.68</v>
      </c>
      <c r="F18" s="54">
        <v>57.44</v>
      </c>
      <c r="G18" s="57">
        <v>-3.4818941504171345E-4</v>
      </c>
      <c r="H18" s="55" t="s">
        <v>604</v>
      </c>
      <c r="I18" s="54">
        <v>1.95</v>
      </c>
      <c r="J18" s="53">
        <v>11.05</v>
      </c>
      <c r="K18" s="53">
        <v>51.7</v>
      </c>
    </row>
  </sheetData>
  <conditionalFormatting sqref="G1:G14 G19:G104857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:G1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395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396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397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398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399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378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400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401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402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H7" sqref="H7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85.55</v>
      </c>
      <c r="D2" s="4">
        <v>84.92</v>
      </c>
      <c r="E2" s="4">
        <v>86.52</v>
      </c>
      <c r="F2" s="5">
        <v>85.95</v>
      </c>
      <c r="G2" s="6">
        <v>-4.6538685282141437E-3</v>
      </c>
      <c r="H2" s="4" t="s">
        <v>624</v>
      </c>
      <c r="I2" s="5">
        <v>1.6</v>
      </c>
      <c r="J2" s="5">
        <v>12.51</v>
      </c>
      <c r="K2" s="5">
        <v>84.84</v>
      </c>
    </row>
    <row r="3" spans="1:11" ht="20.100000000000001" customHeight="1" x14ac:dyDescent="0.25">
      <c r="A3" s="1" t="s">
        <v>33</v>
      </c>
      <c r="B3" s="2" t="s">
        <v>62</v>
      </c>
      <c r="C3" s="4">
        <v>82.36</v>
      </c>
      <c r="D3" s="4">
        <v>82.12</v>
      </c>
      <c r="E3" s="4">
        <v>83.28</v>
      </c>
      <c r="F3" s="5">
        <v>82.97</v>
      </c>
      <c r="G3" s="6">
        <v>-7.3520549596239534E-3</v>
      </c>
      <c r="H3" s="4" t="s">
        <v>625</v>
      </c>
      <c r="I3" s="5">
        <v>2.1800000000000002</v>
      </c>
      <c r="J3" s="5">
        <v>19.71</v>
      </c>
      <c r="K3" s="5">
        <v>80.72</v>
      </c>
    </row>
    <row r="4" spans="1:11" ht="20.100000000000001" customHeight="1" x14ac:dyDescent="0.25">
      <c r="A4" s="2" t="s">
        <v>31</v>
      </c>
      <c r="B4" s="2" t="s">
        <v>63</v>
      </c>
      <c r="C4" s="4">
        <v>97.09</v>
      </c>
      <c r="D4" s="4">
        <v>96.91</v>
      </c>
      <c r="E4" s="4">
        <v>97.95</v>
      </c>
      <c r="F4" s="5">
        <v>97.46</v>
      </c>
      <c r="G4" s="6">
        <v>-3.7964293043298825E-3</v>
      </c>
      <c r="H4" s="4" t="s">
        <v>626</v>
      </c>
      <c r="I4" s="5">
        <v>1.74</v>
      </c>
      <c r="J4" s="5">
        <v>21.1</v>
      </c>
      <c r="K4" s="5">
        <v>98.34</v>
      </c>
    </row>
    <row r="5" spans="1:11" ht="20.100000000000001" customHeight="1" x14ac:dyDescent="0.25">
      <c r="A5" s="2" t="s">
        <v>32</v>
      </c>
      <c r="B5" s="2" t="s">
        <v>64</v>
      </c>
      <c r="C5" s="4">
        <v>79.33</v>
      </c>
      <c r="D5" s="4">
        <v>77.94</v>
      </c>
      <c r="E5" s="4">
        <v>79.86</v>
      </c>
      <c r="F5" s="5">
        <v>79.45</v>
      </c>
      <c r="G5" s="6">
        <v>-1.510383889238572E-3</v>
      </c>
      <c r="H5" s="4" t="s">
        <v>627</v>
      </c>
      <c r="I5" s="5" t="s">
        <v>39</v>
      </c>
      <c r="J5" s="5">
        <v>20.88</v>
      </c>
      <c r="K5" s="5">
        <v>73.41</v>
      </c>
    </row>
    <row r="6" spans="1:11" ht="20.100000000000001" customHeight="1" x14ac:dyDescent="0.25">
      <c r="A6" s="2" t="s">
        <v>34</v>
      </c>
      <c r="B6" s="2" t="s">
        <v>65</v>
      </c>
      <c r="C6" s="4">
        <v>197.14</v>
      </c>
      <c r="D6" s="4">
        <v>196.22</v>
      </c>
      <c r="E6" s="4">
        <v>199.05</v>
      </c>
      <c r="F6" s="5">
        <v>198.03</v>
      </c>
      <c r="G6" s="6">
        <v>-4.4942685451699986E-3</v>
      </c>
      <c r="H6" s="4" t="s">
        <v>628</v>
      </c>
      <c r="I6" s="5">
        <v>0.56999999999999995</v>
      </c>
      <c r="J6" s="5">
        <v>20.32</v>
      </c>
      <c r="K6" s="5">
        <v>171.1</v>
      </c>
    </row>
    <row r="7" spans="1:11" ht="20.100000000000001" customHeight="1" x14ac:dyDescent="0.25">
      <c r="A7" s="2" t="s">
        <v>35</v>
      </c>
      <c r="B7" s="2" t="s">
        <v>66</v>
      </c>
      <c r="C7" s="4">
        <v>26.04</v>
      </c>
      <c r="D7" s="4">
        <v>25.71</v>
      </c>
      <c r="E7" s="4">
        <v>26.1</v>
      </c>
      <c r="F7" s="5">
        <v>25.91</v>
      </c>
      <c r="G7" s="6">
        <v>5.0173678116556932E-3</v>
      </c>
      <c r="H7" s="4" t="s">
        <v>629</v>
      </c>
      <c r="I7" s="5" t="s">
        <v>39</v>
      </c>
      <c r="J7" s="5">
        <v>27.13</v>
      </c>
      <c r="K7" s="5">
        <v>25.88</v>
      </c>
    </row>
    <row r="8" spans="1:11" ht="20.100000000000001" customHeight="1" x14ac:dyDescent="0.25">
      <c r="A8" s="2" t="s">
        <v>36</v>
      </c>
      <c r="B8" s="2" t="s">
        <v>67</v>
      </c>
      <c r="C8" s="4">
        <v>141.33000000000001</v>
      </c>
      <c r="D8" s="4">
        <v>141.06</v>
      </c>
      <c r="E8" s="4">
        <v>142.78</v>
      </c>
      <c r="F8" s="5">
        <v>140.84</v>
      </c>
      <c r="G8" s="6">
        <v>3.4791252485090107E-3</v>
      </c>
      <c r="H8" s="4" t="s">
        <v>630</v>
      </c>
      <c r="I8" s="5">
        <v>1.78</v>
      </c>
      <c r="J8" s="5">
        <v>22.72</v>
      </c>
      <c r="K8" s="5">
        <v>126.93</v>
      </c>
    </row>
    <row r="9" spans="1:11" ht="20.100000000000001" customHeight="1" x14ac:dyDescent="0.25">
      <c r="A9" s="2" t="s">
        <v>147</v>
      </c>
      <c r="B9" s="19" t="s">
        <v>296</v>
      </c>
      <c r="C9" s="4">
        <v>33.229999999999997</v>
      </c>
      <c r="D9" s="4">
        <v>33.229999999999997</v>
      </c>
      <c r="E9" s="4">
        <v>33.65</v>
      </c>
      <c r="F9" s="5">
        <v>33.39</v>
      </c>
      <c r="G9" s="6">
        <v>-4.7918538484577325E-3</v>
      </c>
      <c r="H9" s="6" t="s">
        <v>631</v>
      </c>
      <c r="I9" s="5" t="s">
        <v>39</v>
      </c>
      <c r="J9" s="5">
        <v>59.55</v>
      </c>
      <c r="K9" s="5">
        <v>32.869999999999997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"/>
  <sheetViews>
    <sheetView workbookViewId="0">
      <selection activeCell="F14" sqref="F14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515</v>
      </c>
      <c r="I2" s="5">
        <v>3.35</v>
      </c>
      <c r="J2" s="4">
        <v>17.89</v>
      </c>
      <c r="K2" s="4">
        <v>127.89</v>
      </c>
    </row>
    <row r="3" spans="1:11" ht="20.100000000000001" customHeight="1" x14ac:dyDescent="0.25">
      <c r="A3" s="2" t="s">
        <v>130</v>
      </c>
      <c r="B3" s="2" t="s">
        <v>140</v>
      </c>
      <c r="C3" s="4">
        <v>56.23</v>
      </c>
      <c r="D3" s="4">
        <v>55.78</v>
      </c>
      <c r="E3" s="4">
        <v>56.27</v>
      </c>
      <c r="F3" s="5">
        <v>56.05</v>
      </c>
      <c r="G3" s="6">
        <v>3.2114183764495935E-3</v>
      </c>
      <c r="H3" s="4" t="s">
        <v>633</v>
      </c>
      <c r="I3" s="5">
        <v>3.44</v>
      </c>
      <c r="J3" s="4">
        <v>19.25</v>
      </c>
      <c r="K3" s="4">
        <v>50.89</v>
      </c>
    </row>
    <row r="4" spans="1:11" ht="20.100000000000001" customHeight="1" x14ac:dyDescent="0.25">
      <c r="A4" s="2" t="s">
        <v>129</v>
      </c>
      <c r="B4" s="2" t="s">
        <v>139</v>
      </c>
      <c r="C4" s="11">
        <v>32.880000000000003</v>
      </c>
      <c r="D4" s="4">
        <v>32.74</v>
      </c>
      <c r="E4" s="4">
        <v>32.950000000000003</v>
      </c>
      <c r="F4" s="5">
        <v>32.630000000000003</v>
      </c>
      <c r="G4" s="26">
        <v>7.6616610481152307E-3</v>
      </c>
      <c r="H4" s="6" t="s">
        <v>634</v>
      </c>
      <c r="I4" s="5">
        <v>2.82</v>
      </c>
      <c r="J4" s="4">
        <v>44.55</v>
      </c>
      <c r="K4" s="4">
        <v>30.15</v>
      </c>
    </row>
    <row r="5" spans="1:11" ht="20.100000000000001" customHeight="1" x14ac:dyDescent="0.25">
      <c r="A5" s="2" t="s">
        <v>131</v>
      </c>
      <c r="B5" s="2" t="s">
        <v>165</v>
      </c>
      <c r="C5" s="20">
        <v>30.77</v>
      </c>
      <c r="D5" s="20">
        <v>30.57</v>
      </c>
      <c r="E5" s="20">
        <v>30.98</v>
      </c>
      <c r="F5" s="5">
        <v>30.76</v>
      </c>
      <c r="G5" s="26">
        <v>3.2509752925871291E-4</v>
      </c>
      <c r="H5" s="6" t="s">
        <v>635</v>
      </c>
      <c r="I5" s="5">
        <v>4.96</v>
      </c>
      <c r="J5" s="4">
        <v>4.6399999999999997</v>
      </c>
      <c r="K5" s="4">
        <v>30.27</v>
      </c>
    </row>
    <row r="6" spans="1:11" ht="20.100000000000001" customHeight="1" x14ac:dyDescent="0.25">
      <c r="A6" s="2" t="s">
        <v>128</v>
      </c>
      <c r="B6" s="2" t="s">
        <v>138</v>
      </c>
      <c r="C6" s="4">
        <v>181.4</v>
      </c>
      <c r="D6" s="4">
        <v>180.56</v>
      </c>
      <c r="E6" s="4">
        <v>181.84</v>
      </c>
      <c r="F6" s="5">
        <v>180.9</v>
      </c>
      <c r="G6" s="6">
        <v>2.7639579878385848E-3</v>
      </c>
      <c r="H6" s="4" t="s">
        <v>636</v>
      </c>
      <c r="I6" s="5">
        <v>2.4500000000000002</v>
      </c>
      <c r="J6" s="4">
        <v>23.32</v>
      </c>
      <c r="K6" s="4">
        <v>162.29</v>
      </c>
    </row>
    <row r="7" spans="1:11" ht="20.100000000000001" customHeight="1" x14ac:dyDescent="0.25">
      <c r="A7" s="2" t="s">
        <v>123</v>
      </c>
      <c r="B7" s="2" t="s">
        <v>133</v>
      </c>
      <c r="C7" s="11">
        <v>31.73</v>
      </c>
      <c r="D7" s="4">
        <v>31.35</v>
      </c>
      <c r="E7" s="4">
        <v>31.78</v>
      </c>
      <c r="F7" s="5">
        <v>31.52</v>
      </c>
      <c r="G7" s="26">
        <v>6.6624365482233772E-3</v>
      </c>
      <c r="H7" s="6" t="s">
        <v>363</v>
      </c>
      <c r="I7" s="5">
        <v>3.3</v>
      </c>
      <c r="J7" s="4">
        <v>20.75</v>
      </c>
      <c r="K7" s="4">
        <v>31.24</v>
      </c>
    </row>
    <row r="8" spans="1:11" ht="20.100000000000001" customHeight="1" x14ac:dyDescent="0.25">
      <c r="A8" s="2" t="s">
        <v>125</v>
      </c>
      <c r="B8" s="2" t="s">
        <v>135</v>
      </c>
      <c r="C8" s="4">
        <v>20.65</v>
      </c>
      <c r="D8" s="4">
        <v>20.56</v>
      </c>
      <c r="E8" s="4">
        <v>20.96</v>
      </c>
      <c r="F8" s="5">
        <v>20.87</v>
      </c>
      <c r="G8" s="6">
        <v>-1.0541447053186508E-2</v>
      </c>
      <c r="H8" s="4" t="s">
        <v>637</v>
      </c>
      <c r="I8" s="5">
        <v>2.11</v>
      </c>
      <c r="J8" s="4">
        <v>4.49</v>
      </c>
      <c r="K8" s="4">
        <v>19.11</v>
      </c>
    </row>
    <row r="9" spans="1:11" ht="20.100000000000001" customHeight="1" x14ac:dyDescent="0.25">
      <c r="A9" s="2" t="s">
        <v>124</v>
      </c>
      <c r="B9" s="2" t="s">
        <v>134</v>
      </c>
      <c r="C9" s="4">
        <v>105.5</v>
      </c>
      <c r="D9" s="4">
        <v>104.87</v>
      </c>
      <c r="E9" s="4">
        <v>105.65</v>
      </c>
      <c r="F9" s="5">
        <v>105.14</v>
      </c>
      <c r="G9" s="6">
        <v>3.4240060871219271E-3</v>
      </c>
      <c r="H9" s="4" t="s">
        <v>638</v>
      </c>
      <c r="I9" s="5">
        <v>2.5099999999999998</v>
      </c>
      <c r="J9" s="4">
        <v>12.37</v>
      </c>
      <c r="K9" s="4">
        <v>97.5</v>
      </c>
    </row>
    <row r="10" spans="1:11" ht="20.100000000000001" customHeight="1" x14ac:dyDescent="0.25">
      <c r="A10" s="2" t="s">
        <v>126</v>
      </c>
      <c r="B10" s="2" t="s">
        <v>136</v>
      </c>
      <c r="C10" s="11">
        <v>59.81</v>
      </c>
      <c r="D10" s="4">
        <v>59.7</v>
      </c>
      <c r="E10" s="4">
        <v>60.5</v>
      </c>
      <c r="F10" s="5">
        <v>59.68</v>
      </c>
      <c r="G10" s="26">
        <v>2.1782841823056731E-3</v>
      </c>
      <c r="H10" s="6" t="s">
        <v>516</v>
      </c>
      <c r="I10" s="5">
        <v>0.74</v>
      </c>
      <c r="J10" s="4">
        <v>24.06</v>
      </c>
      <c r="K10" s="4">
        <v>52.1</v>
      </c>
    </row>
    <row r="11" spans="1:11" ht="20.100000000000001" customHeight="1" x14ac:dyDescent="0.25">
      <c r="A11" s="2" t="s">
        <v>281</v>
      </c>
      <c r="B11" s="2" t="s">
        <v>282</v>
      </c>
      <c r="C11" s="20">
        <v>119.23</v>
      </c>
      <c r="D11" s="20">
        <v>118.94</v>
      </c>
      <c r="E11" s="20">
        <v>119.73</v>
      </c>
      <c r="F11" s="5">
        <v>119.09</v>
      </c>
      <c r="G11" s="26">
        <v>1.1755814929885009E-3</v>
      </c>
      <c r="H11" s="6" t="s">
        <v>639</v>
      </c>
      <c r="I11" s="5">
        <v>2</v>
      </c>
      <c r="J11" s="4">
        <v>19.350000000000001</v>
      </c>
      <c r="K11" s="4">
        <v>109.96</v>
      </c>
    </row>
    <row r="12" spans="1:11" ht="20.100000000000001" customHeight="1" x14ac:dyDescent="0.25">
      <c r="A12" s="2" t="s">
        <v>283</v>
      </c>
      <c r="B12" s="2" t="s">
        <v>284</v>
      </c>
      <c r="C12" s="20">
        <v>80.7</v>
      </c>
      <c r="D12" s="20">
        <v>80.16</v>
      </c>
      <c r="E12" s="20">
        <v>80.8</v>
      </c>
      <c r="F12" s="5">
        <v>80.06</v>
      </c>
      <c r="G12" s="26">
        <v>7.9940044966275367E-3</v>
      </c>
      <c r="H12" s="6" t="s">
        <v>640</v>
      </c>
      <c r="I12" s="5">
        <v>3.85</v>
      </c>
      <c r="J12" s="4">
        <v>42.45</v>
      </c>
      <c r="K12" s="4">
        <v>71.510000000000005</v>
      </c>
    </row>
    <row r="13" spans="1:11" ht="20.100000000000001" customHeight="1" x14ac:dyDescent="0.25">
      <c r="A13" s="1" t="s">
        <v>632</v>
      </c>
      <c r="B13" s="2" t="s">
        <v>641</v>
      </c>
      <c r="C13" s="20">
        <v>13.57</v>
      </c>
      <c r="D13" s="20">
        <v>13.53</v>
      </c>
      <c r="E13" s="20">
        <v>13.67</v>
      </c>
      <c r="F13" s="5">
        <v>13.59</v>
      </c>
      <c r="G13" s="26">
        <v>-1.4716703458424998E-3</v>
      </c>
      <c r="H13" s="6" t="s">
        <v>642</v>
      </c>
      <c r="I13" s="5">
        <v>4.42</v>
      </c>
      <c r="J13" s="4">
        <v>6.28</v>
      </c>
      <c r="K13" s="4">
        <v>12.93</v>
      </c>
    </row>
  </sheetData>
  <conditionalFormatting sqref="G9">
    <cfRule type="colorScale" priority="10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3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13"/>
  <sheetViews>
    <sheetView workbookViewId="0">
      <selection activeCell="H20" sqref="H20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743</v>
      </c>
      <c r="B2" s="2" t="s">
        <v>137</v>
      </c>
      <c r="C2" s="4">
        <v>132.38999999999999</v>
      </c>
      <c r="D2" s="4">
        <v>131.44999999999999</v>
      </c>
      <c r="E2" s="4">
        <v>132.75</v>
      </c>
      <c r="F2" s="5">
        <v>131.55000000000001</v>
      </c>
      <c r="G2" s="6">
        <v>6.3854047890534015E-3</v>
      </c>
      <c r="H2" s="4" t="s">
        <v>515</v>
      </c>
      <c r="I2" s="5">
        <v>3.35</v>
      </c>
      <c r="J2" s="4">
        <v>17.89</v>
      </c>
      <c r="K2" s="4">
        <v>127.89</v>
      </c>
    </row>
    <row r="3" spans="1:11" ht="20.100000000000001" customHeight="1" x14ac:dyDescent="0.25">
      <c r="A3" s="2"/>
      <c r="B3" s="2"/>
      <c r="C3" s="4"/>
      <c r="D3" s="4"/>
      <c r="E3" s="4"/>
      <c r="F3" s="5"/>
      <c r="G3" s="6"/>
      <c r="H3" s="4"/>
      <c r="I3" s="5"/>
      <c r="J3" s="4"/>
      <c r="K3" s="4"/>
    </row>
    <row r="4" spans="1:11" ht="20.100000000000001" customHeight="1" x14ac:dyDescent="0.25">
      <c r="A4" s="2"/>
      <c r="B4" s="2"/>
      <c r="C4" s="11"/>
      <c r="D4" s="4"/>
      <c r="E4" s="4"/>
      <c r="F4" s="5"/>
      <c r="G4" s="26"/>
      <c r="H4" s="6"/>
      <c r="I4" s="5"/>
      <c r="J4" s="4"/>
      <c r="K4" s="4"/>
    </row>
    <row r="5" spans="1:11" ht="20.100000000000001" customHeight="1" x14ac:dyDescent="0.25">
      <c r="A5" s="2"/>
      <c r="B5" s="2"/>
      <c r="C5" s="20"/>
      <c r="D5" s="20"/>
      <c r="E5" s="20"/>
      <c r="F5" s="5"/>
      <c r="G5" s="26"/>
      <c r="H5" s="6"/>
      <c r="I5" s="5"/>
      <c r="J5" s="4"/>
      <c r="K5" s="4"/>
    </row>
    <row r="6" spans="1:11" ht="20.100000000000001" customHeight="1" x14ac:dyDescent="0.25">
      <c r="A6" s="2"/>
      <c r="B6" s="2"/>
      <c r="C6" s="4"/>
      <c r="D6" s="4"/>
      <c r="E6" s="4"/>
      <c r="F6" s="5"/>
      <c r="G6" s="6"/>
      <c r="H6" s="4"/>
      <c r="I6" s="5"/>
      <c r="J6" s="4"/>
      <c r="K6" s="4"/>
    </row>
    <row r="7" spans="1:11" ht="20.100000000000001" customHeight="1" x14ac:dyDescent="0.25">
      <c r="A7" s="2"/>
      <c r="B7" s="2"/>
      <c r="C7" s="11"/>
      <c r="D7" s="4"/>
      <c r="E7" s="4"/>
      <c r="F7" s="5"/>
      <c r="G7" s="26"/>
      <c r="H7" s="6"/>
      <c r="I7" s="5"/>
      <c r="J7" s="4"/>
      <c r="K7" s="4"/>
    </row>
    <row r="8" spans="1:11" ht="20.100000000000001" customHeight="1" x14ac:dyDescent="0.25">
      <c r="A8" s="2"/>
      <c r="B8" s="2"/>
      <c r="C8" s="4"/>
      <c r="D8" s="4"/>
      <c r="E8" s="4"/>
      <c r="F8" s="5"/>
      <c r="G8" s="6"/>
      <c r="H8" s="4"/>
      <c r="I8" s="5"/>
      <c r="J8" s="4"/>
      <c r="K8" s="4"/>
    </row>
    <row r="9" spans="1:11" ht="20.100000000000001" customHeight="1" x14ac:dyDescent="0.25">
      <c r="A9" s="2"/>
      <c r="B9" s="2"/>
      <c r="C9" s="4"/>
      <c r="D9" s="4"/>
      <c r="E9" s="4"/>
      <c r="F9" s="5"/>
      <c r="G9" s="6"/>
      <c r="H9" s="4"/>
      <c r="I9" s="5"/>
      <c r="J9" s="4"/>
      <c r="K9" s="4"/>
    </row>
    <row r="10" spans="1:11" ht="20.100000000000001" customHeight="1" x14ac:dyDescent="0.25">
      <c r="A10" s="2"/>
      <c r="B10" s="2"/>
      <c r="C10" s="11"/>
      <c r="D10" s="4"/>
      <c r="E10" s="4"/>
      <c r="F10" s="5"/>
      <c r="G10" s="26"/>
      <c r="H10" s="6"/>
      <c r="I10" s="5"/>
      <c r="J10" s="4"/>
      <c r="K10" s="4"/>
    </row>
    <row r="11" spans="1:11" ht="20.100000000000001" customHeight="1" x14ac:dyDescent="0.25">
      <c r="A11" s="2"/>
      <c r="B11" s="2"/>
      <c r="C11" s="20"/>
      <c r="D11" s="20"/>
      <c r="E11" s="20"/>
      <c r="F11" s="5"/>
      <c r="G11" s="26"/>
      <c r="H11" s="6"/>
      <c r="I11" s="5"/>
      <c r="J11" s="4"/>
      <c r="K11" s="4"/>
    </row>
    <row r="12" spans="1:11" ht="20.100000000000001" customHeight="1" x14ac:dyDescent="0.25">
      <c r="A12" s="2"/>
      <c r="B12" s="2"/>
      <c r="C12" s="20"/>
      <c r="D12" s="20"/>
      <c r="E12" s="20"/>
      <c r="F12" s="5"/>
      <c r="G12" s="26"/>
      <c r="H12" s="6"/>
      <c r="I12" s="5"/>
      <c r="J12" s="4"/>
      <c r="K12" s="4"/>
    </row>
    <row r="13" spans="1:11" ht="20.100000000000001" customHeight="1" x14ac:dyDescent="0.25">
      <c r="A13" s="1"/>
      <c r="B13" s="2"/>
      <c r="C13" s="20"/>
      <c r="D13" s="20"/>
      <c r="E13" s="20"/>
      <c r="F13" s="5"/>
      <c r="G13" s="26"/>
      <c r="H13" s="6"/>
      <c r="I13" s="5"/>
      <c r="J13" s="4"/>
      <c r="K13" s="4"/>
    </row>
  </sheetData>
  <conditionalFormatting sqref="G9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3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379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302</v>
      </c>
      <c r="B3" s="33" t="s">
        <v>305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380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2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381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297</v>
      </c>
      <c r="B5" s="33" t="s">
        <v>298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382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300</v>
      </c>
      <c r="B6" s="33" t="s">
        <v>304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383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299</v>
      </c>
      <c r="B7" s="2" t="s">
        <v>306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384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385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386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387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307</v>
      </c>
      <c r="B11" s="2" t="s">
        <v>308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360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309</v>
      </c>
      <c r="B12" s="2" t="s">
        <v>310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388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301</v>
      </c>
      <c r="B13" s="33" t="s">
        <v>303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389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334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335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336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337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338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339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340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4"/>
  <sheetViews>
    <sheetView workbookViewId="0">
      <selection activeCell="O21" sqref="O21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10.57</v>
      </c>
      <c r="D2" s="4">
        <v>10.49</v>
      </c>
      <c r="E2" s="4">
        <v>10.66</v>
      </c>
      <c r="F2" s="5">
        <v>10.6</v>
      </c>
      <c r="G2" s="6">
        <v>-2.830188679245223E-3</v>
      </c>
      <c r="H2" s="4" t="s">
        <v>786</v>
      </c>
      <c r="I2" s="5">
        <v>1.1299999999999999</v>
      </c>
      <c r="J2" s="4" t="s">
        <v>39</v>
      </c>
      <c r="K2" s="4">
        <v>9.24</v>
      </c>
    </row>
    <row r="3" spans="1:11" ht="20.100000000000001" customHeight="1" x14ac:dyDescent="0.25">
      <c r="A3" s="2" t="s">
        <v>163</v>
      </c>
      <c r="B3" s="2" t="s">
        <v>164</v>
      </c>
      <c r="C3" s="20">
        <v>12.67</v>
      </c>
      <c r="D3" s="20">
        <v>12.53</v>
      </c>
      <c r="E3" s="20">
        <v>12.88</v>
      </c>
      <c r="F3" s="5">
        <v>12.87</v>
      </c>
      <c r="G3" s="26">
        <v>-1.5540015540015486E-2</v>
      </c>
      <c r="H3" s="6" t="s">
        <v>787</v>
      </c>
      <c r="I3" s="5">
        <v>0</v>
      </c>
      <c r="J3" s="4" t="s">
        <v>39</v>
      </c>
      <c r="K3" s="4">
        <v>9.44</v>
      </c>
    </row>
    <row r="4" spans="1:11" ht="20.100000000000001" customHeight="1" x14ac:dyDescent="0.25">
      <c r="A4" s="27" t="s">
        <v>247</v>
      </c>
      <c r="B4" s="2" t="s">
        <v>248</v>
      </c>
      <c r="C4" s="20">
        <v>21.16</v>
      </c>
      <c r="D4" s="20">
        <v>20.28</v>
      </c>
      <c r="E4" s="20">
        <v>21.17</v>
      </c>
      <c r="F4" s="5">
        <v>20.52</v>
      </c>
      <c r="G4" s="26">
        <v>3.1189083820662798E-2</v>
      </c>
      <c r="H4" s="6" t="s">
        <v>788</v>
      </c>
      <c r="I4" s="5">
        <v>0.97</v>
      </c>
      <c r="J4" s="4" t="s">
        <v>39</v>
      </c>
      <c r="K4" s="4">
        <v>14.22</v>
      </c>
    </row>
    <row r="5" spans="1:11" ht="20.100000000000001" customHeight="1" x14ac:dyDescent="0.25">
      <c r="A5" s="2" t="s">
        <v>372</v>
      </c>
      <c r="B5" s="2" t="s">
        <v>374</v>
      </c>
      <c r="C5" s="20">
        <v>6.99</v>
      </c>
      <c r="D5" s="20">
        <v>6.9</v>
      </c>
      <c r="E5" s="20">
        <v>7.14</v>
      </c>
      <c r="F5" s="5">
        <v>7.11</v>
      </c>
      <c r="G5" s="26">
        <v>-1.6877637130801704E-2</v>
      </c>
      <c r="H5" s="6" t="s">
        <v>789</v>
      </c>
      <c r="I5" s="5">
        <v>0</v>
      </c>
      <c r="J5" s="4" t="s">
        <v>39</v>
      </c>
      <c r="K5" s="4">
        <v>6.42</v>
      </c>
    </row>
    <row r="6" spans="1:11" ht="20.100000000000001" customHeight="1" x14ac:dyDescent="0.25">
      <c r="A6" s="2" t="s">
        <v>373</v>
      </c>
      <c r="B6" s="2" t="s">
        <v>375</v>
      </c>
      <c r="C6" s="20">
        <v>52.72</v>
      </c>
      <c r="D6" s="20">
        <v>52.12</v>
      </c>
      <c r="E6" s="20">
        <v>52.96</v>
      </c>
      <c r="F6" s="5">
        <v>52.32</v>
      </c>
      <c r="G6" s="26">
        <v>7.6452599388378934E-3</v>
      </c>
      <c r="H6" s="6" t="s">
        <v>790</v>
      </c>
      <c r="I6" s="5">
        <v>2.87</v>
      </c>
      <c r="J6" s="4">
        <v>36.130000000000003</v>
      </c>
      <c r="K6" s="4">
        <v>45.82</v>
      </c>
    </row>
    <row r="7" spans="1:11" ht="20.100000000000001" customHeight="1" x14ac:dyDescent="0.25">
      <c r="A7" s="2" t="s">
        <v>376</v>
      </c>
      <c r="B7" s="2" t="s">
        <v>377</v>
      </c>
      <c r="C7" s="20">
        <v>26.37</v>
      </c>
      <c r="D7" s="20">
        <v>26.01</v>
      </c>
      <c r="E7" s="20">
        <v>26.44</v>
      </c>
      <c r="F7" s="5">
        <v>26.09</v>
      </c>
      <c r="G7" s="26">
        <v>1.0732081257186705E-2</v>
      </c>
      <c r="H7" s="6" t="s">
        <v>791</v>
      </c>
      <c r="I7" s="5">
        <v>2.15</v>
      </c>
      <c r="J7" s="4">
        <v>538.16</v>
      </c>
      <c r="K7" s="4">
        <v>22.26</v>
      </c>
    </row>
    <row r="8" spans="1:11" ht="20.100000000000001" customHeight="1" x14ac:dyDescent="0.25">
      <c r="A8" s="2" t="s">
        <v>370</v>
      </c>
      <c r="B8" s="2" t="s">
        <v>371</v>
      </c>
      <c r="C8" s="20">
        <v>8.2100000000000009</v>
      </c>
      <c r="D8" s="20">
        <v>8.17</v>
      </c>
      <c r="E8" s="20">
        <v>8.27</v>
      </c>
      <c r="F8" s="5">
        <v>8.3000000000000007</v>
      </c>
      <c r="G8" s="26">
        <v>-1.0843373493975886E-2</v>
      </c>
      <c r="H8" s="6" t="s">
        <v>792</v>
      </c>
      <c r="I8" s="5">
        <v>0</v>
      </c>
      <c r="J8" s="4">
        <v>328.4</v>
      </c>
      <c r="K8" s="4">
        <v>8.08</v>
      </c>
    </row>
    <row r="9" spans="1:11" ht="20.100000000000001" customHeight="1" x14ac:dyDescent="0.25">
      <c r="A9" s="2" t="s">
        <v>573</v>
      </c>
      <c r="B9" s="2" t="s">
        <v>574</v>
      </c>
      <c r="C9" s="20">
        <v>84.51</v>
      </c>
      <c r="D9" s="20">
        <v>82.79</v>
      </c>
      <c r="E9" s="20">
        <v>85.04</v>
      </c>
      <c r="F9" s="5">
        <v>83.67</v>
      </c>
      <c r="G9" s="26">
        <v>1.0039440659734713E-2</v>
      </c>
      <c r="H9" s="6" t="s">
        <v>631</v>
      </c>
      <c r="I9" s="5">
        <v>2.15</v>
      </c>
      <c r="J9" s="4">
        <v>17.079999999999998</v>
      </c>
      <c r="K9" s="4">
        <v>83.86</v>
      </c>
    </row>
    <row r="10" spans="1:11" ht="20.100000000000001" customHeight="1" x14ac:dyDescent="0.25">
      <c r="A10" s="2" t="s">
        <v>735</v>
      </c>
      <c r="B10" s="2" t="s">
        <v>739</v>
      </c>
      <c r="C10" s="20">
        <v>15.12</v>
      </c>
      <c r="D10" s="20">
        <v>14.69</v>
      </c>
      <c r="E10" s="20">
        <v>15.15</v>
      </c>
      <c r="F10" s="5">
        <v>14.98</v>
      </c>
      <c r="G10" s="26">
        <v>9.345794392523284E-3</v>
      </c>
      <c r="H10" s="6" t="s">
        <v>793</v>
      </c>
      <c r="I10" s="5">
        <v>2.14</v>
      </c>
      <c r="J10" s="4" t="s">
        <v>39</v>
      </c>
      <c r="K10" s="4">
        <v>13.4</v>
      </c>
    </row>
    <row r="11" spans="1:11" ht="20.100000000000001" customHeight="1" x14ac:dyDescent="0.25">
      <c r="A11" s="2" t="s">
        <v>736</v>
      </c>
      <c r="B11" s="2" t="s">
        <v>740</v>
      </c>
      <c r="C11" s="20">
        <v>198.25</v>
      </c>
      <c r="D11" s="20">
        <v>195.94</v>
      </c>
      <c r="E11" s="20">
        <v>198.77</v>
      </c>
      <c r="F11" s="5">
        <v>196.08</v>
      </c>
      <c r="G11" s="26">
        <v>1.1066911464708219E-2</v>
      </c>
      <c r="H11" s="6" t="s">
        <v>794</v>
      </c>
      <c r="I11" s="5">
        <v>0.82</v>
      </c>
      <c r="J11" s="4">
        <v>40.11</v>
      </c>
      <c r="K11" s="4">
        <v>162.85</v>
      </c>
    </row>
    <row r="12" spans="1:11" ht="20.100000000000001" customHeight="1" x14ac:dyDescent="0.25">
      <c r="A12" s="2" t="s">
        <v>737</v>
      </c>
      <c r="B12" s="2" t="s">
        <v>741</v>
      </c>
      <c r="C12" s="20">
        <v>21.95</v>
      </c>
      <c r="D12" s="20">
        <v>21.54</v>
      </c>
      <c r="E12" s="20">
        <v>22.23</v>
      </c>
      <c r="F12" s="5">
        <v>21.77</v>
      </c>
      <c r="G12" s="26">
        <v>8.2682590721175793E-3</v>
      </c>
      <c r="H12" s="6" t="s">
        <v>795</v>
      </c>
      <c r="I12" s="5" t="s">
        <v>39</v>
      </c>
      <c r="J12" s="4">
        <v>57.46</v>
      </c>
      <c r="K12" s="4">
        <v>19.25</v>
      </c>
    </row>
    <row r="13" spans="1:11" ht="20.100000000000001" customHeight="1" x14ac:dyDescent="0.25">
      <c r="A13" s="2" t="s">
        <v>738</v>
      </c>
      <c r="B13" s="2" t="s">
        <v>742</v>
      </c>
      <c r="C13" s="20">
        <v>126.4</v>
      </c>
      <c r="D13" s="20">
        <v>125.49</v>
      </c>
      <c r="E13" s="20">
        <v>126.68</v>
      </c>
      <c r="F13" s="5">
        <v>125.42</v>
      </c>
      <c r="G13" s="26">
        <v>7.8137458140647743E-3</v>
      </c>
      <c r="H13" s="6" t="s">
        <v>796</v>
      </c>
      <c r="I13" s="5">
        <v>0.64</v>
      </c>
      <c r="J13" s="4">
        <v>61.45</v>
      </c>
      <c r="K13" s="4">
        <v>106.43</v>
      </c>
    </row>
    <row r="14" spans="1:11" ht="20.100000000000001" customHeight="1" x14ac:dyDescent="0.25">
      <c r="A14" s="2" t="s">
        <v>797</v>
      </c>
      <c r="B14" s="2" t="s">
        <v>798</v>
      </c>
      <c r="C14" s="20">
        <v>13.58</v>
      </c>
      <c r="D14" s="20">
        <v>13.28</v>
      </c>
      <c r="E14" s="20">
        <v>13.76</v>
      </c>
      <c r="F14" s="5">
        <v>13.72</v>
      </c>
      <c r="G14" s="26">
        <v>-1.0204081632653102E-2</v>
      </c>
      <c r="H14" s="6" t="s">
        <v>799</v>
      </c>
      <c r="I14" s="5">
        <v>0.56000000000000005</v>
      </c>
      <c r="J14" s="4" t="s">
        <v>39</v>
      </c>
      <c r="K14" s="4">
        <v>8.6</v>
      </c>
    </row>
  </sheetData>
  <conditionalFormatting sqref="G4:G7 G10: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 G10:G12">
    <cfRule type="colorScale" priority="4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4">
    <cfRule type="colorScale" priority="5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:G14 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>
      <selection activeCell="H3" sqref="H3"/>
    </sheetView>
  </sheetViews>
  <sheetFormatPr defaultRowHeight="15" x14ac:dyDescent="0.25"/>
  <cols>
    <col min="2" max="2" width="40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324</v>
      </c>
      <c r="B2" s="2" t="s">
        <v>328</v>
      </c>
      <c r="C2" s="4">
        <v>45.12</v>
      </c>
      <c r="D2" s="4">
        <v>44.75</v>
      </c>
      <c r="E2" s="4">
        <v>45.22</v>
      </c>
      <c r="F2" s="5">
        <v>44.88</v>
      </c>
      <c r="G2" s="6">
        <v>5.3475935828875866E-3</v>
      </c>
      <c r="H2" s="4" t="s">
        <v>760</v>
      </c>
      <c r="I2" s="5">
        <v>3.92</v>
      </c>
      <c r="J2" s="5">
        <v>19.68</v>
      </c>
      <c r="K2" s="5">
        <v>39.92</v>
      </c>
    </row>
    <row r="3" spans="1:11" ht="20.100000000000001" customHeight="1" x14ac:dyDescent="0.25">
      <c r="A3" s="2" t="s">
        <v>325</v>
      </c>
      <c r="B3" s="2" t="s">
        <v>329</v>
      </c>
      <c r="C3" s="4">
        <v>13.02</v>
      </c>
      <c r="D3" s="4">
        <v>13.01</v>
      </c>
      <c r="E3" s="4">
        <v>13.13</v>
      </c>
      <c r="F3" s="5">
        <v>13.09</v>
      </c>
      <c r="G3" s="6">
        <v>-5.3475935828877219E-3</v>
      </c>
      <c r="H3" s="4" t="s">
        <v>761</v>
      </c>
      <c r="I3" s="5">
        <v>1.86</v>
      </c>
      <c r="J3" s="5">
        <v>18.36</v>
      </c>
      <c r="K3" s="5">
        <v>12.65</v>
      </c>
    </row>
    <row r="4" spans="1:11" ht="20.100000000000001" customHeight="1" x14ac:dyDescent="0.25">
      <c r="A4" s="2" t="s">
        <v>326</v>
      </c>
      <c r="B4" s="2" t="s">
        <v>330</v>
      </c>
      <c r="C4" s="4">
        <v>74.34</v>
      </c>
      <c r="D4" s="4">
        <v>73.400000000000006</v>
      </c>
      <c r="E4" s="4">
        <v>74.53</v>
      </c>
      <c r="F4" s="5">
        <v>73.81</v>
      </c>
      <c r="G4" s="6">
        <v>7.1805988348462423E-3</v>
      </c>
      <c r="H4" s="4" t="s">
        <v>762</v>
      </c>
      <c r="I4" s="5">
        <v>3.73</v>
      </c>
      <c r="J4" s="5">
        <v>15.82</v>
      </c>
      <c r="K4" s="5">
        <v>60.8</v>
      </c>
    </row>
    <row r="5" spans="1:11" ht="20.100000000000001" customHeight="1" x14ac:dyDescent="0.25">
      <c r="A5" s="2" t="s">
        <v>327</v>
      </c>
      <c r="B5" s="2" t="s">
        <v>331</v>
      </c>
      <c r="C5" s="4">
        <v>14.62</v>
      </c>
      <c r="D5" s="4">
        <v>14.52</v>
      </c>
      <c r="E5" s="4">
        <v>14.9</v>
      </c>
      <c r="F5" s="5">
        <v>14.79</v>
      </c>
      <c r="G5" s="6">
        <v>-1.1494252873563215E-2</v>
      </c>
      <c r="H5" s="4" t="s">
        <v>763</v>
      </c>
      <c r="I5" s="5">
        <v>2.7</v>
      </c>
      <c r="J5" s="5">
        <v>14.77</v>
      </c>
      <c r="K5" s="5">
        <v>14.03</v>
      </c>
    </row>
    <row r="6" spans="1:11" ht="20.100000000000001" customHeight="1" x14ac:dyDescent="0.25">
      <c r="A6" s="2" t="s">
        <v>758</v>
      </c>
      <c r="B6" s="2" t="s">
        <v>764</v>
      </c>
      <c r="C6" s="4">
        <v>48.69</v>
      </c>
      <c r="D6" s="4">
        <v>48.61</v>
      </c>
      <c r="E6" s="4">
        <v>49.24</v>
      </c>
      <c r="F6" s="5">
        <v>48.7</v>
      </c>
      <c r="G6" s="6">
        <v>-2.0533880903501263E-4</v>
      </c>
      <c r="H6" s="4" t="s">
        <v>765</v>
      </c>
      <c r="I6" s="5">
        <v>1.31</v>
      </c>
      <c r="J6" s="5">
        <v>30.13</v>
      </c>
      <c r="K6" s="5">
        <v>46.05</v>
      </c>
    </row>
    <row r="7" spans="1:11" ht="20.100000000000001" customHeight="1" x14ac:dyDescent="0.25">
      <c r="A7" s="2" t="s">
        <v>759</v>
      </c>
      <c r="B7" s="2" t="s">
        <v>766</v>
      </c>
      <c r="C7" s="4">
        <v>43.13</v>
      </c>
      <c r="D7" s="4">
        <v>42.98</v>
      </c>
      <c r="E7" s="4">
        <v>43.34</v>
      </c>
      <c r="F7" s="5">
        <v>43.29</v>
      </c>
      <c r="G7" s="6">
        <v>-3.6960036960036174E-3</v>
      </c>
      <c r="H7" s="4" t="s">
        <v>767</v>
      </c>
      <c r="I7" s="5">
        <v>3.47</v>
      </c>
      <c r="J7" s="5" t="s">
        <v>39</v>
      </c>
      <c r="K7" s="5">
        <v>38.049999999999997</v>
      </c>
    </row>
    <row r="8" spans="1:11" ht="20.100000000000001" customHeight="1" x14ac:dyDescent="0.25"/>
  </sheetData>
  <conditionalFormatting sqref="G1:G7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62.29</v>
      </c>
      <c r="D2" s="4">
        <v>62.01</v>
      </c>
      <c r="E2" s="4">
        <v>62.85</v>
      </c>
      <c r="F2" s="5">
        <v>62.43</v>
      </c>
      <c r="G2" s="6">
        <v>-2.2425116130065765E-3</v>
      </c>
      <c r="H2" s="4" t="s">
        <v>690</v>
      </c>
      <c r="I2" s="5">
        <v>1.86</v>
      </c>
      <c r="J2" s="4">
        <v>18.03</v>
      </c>
      <c r="K2" s="4">
        <v>58.35</v>
      </c>
    </row>
    <row r="3" spans="1:11" ht="20.100000000000001" customHeight="1" x14ac:dyDescent="0.25">
      <c r="A3" s="2" t="s">
        <v>149</v>
      </c>
      <c r="B3" s="2" t="s">
        <v>156</v>
      </c>
      <c r="C3" s="4">
        <v>141.47</v>
      </c>
      <c r="D3" s="4">
        <v>140.88999999999999</v>
      </c>
      <c r="E3" s="4">
        <v>142.22999999999999</v>
      </c>
      <c r="F3" s="5">
        <v>141.69999999999999</v>
      </c>
      <c r="G3" s="6">
        <v>-1.6231474947070556E-3</v>
      </c>
      <c r="H3" s="4" t="s">
        <v>691</v>
      </c>
      <c r="I3" s="5">
        <v>1.08</v>
      </c>
      <c r="J3" s="4">
        <v>18.64</v>
      </c>
      <c r="K3" s="4">
        <v>128.97999999999999</v>
      </c>
    </row>
    <row r="4" spans="1:11" ht="20.100000000000001" customHeight="1" x14ac:dyDescent="0.25">
      <c r="A4" s="2" t="s">
        <v>152</v>
      </c>
      <c r="B4" s="2" t="s">
        <v>390</v>
      </c>
      <c r="C4" s="4">
        <v>28.52</v>
      </c>
      <c r="D4" s="4">
        <v>28.38</v>
      </c>
      <c r="E4" s="4">
        <v>29.08</v>
      </c>
      <c r="F4" s="5">
        <v>29.05</v>
      </c>
      <c r="G4" s="6">
        <v>-1.8244406196213463E-2</v>
      </c>
      <c r="H4" s="4" t="s">
        <v>692</v>
      </c>
      <c r="I4" s="5">
        <v>2.48</v>
      </c>
      <c r="J4" s="4">
        <v>15.55</v>
      </c>
      <c r="K4" s="4">
        <v>25.39</v>
      </c>
    </row>
    <row r="5" spans="1:11" ht="20.100000000000001" customHeight="1" x14ac:dyDescent="0.25">
      <c r="A5" s="2" t="s">
        <v>154</v>
      </c>
      <c r="B5" s="2" t="s">
        <v>157</v>
      </c>
      <c r="C5" s="4">
        <v>64.900000000000006</v>
      </c>
      <c r="D5" s="4">
        <v>64.58</v>
      </c>
      <c r="E5" s="4">
        <v>65.59</v>
      </c>
      <c r="F5" s="5">
        <v>64.959999999999994</v>
      </c>
      <c r="G5" s="6">
        <v>-9.2364532019686063E-4</v>
      </c>
      <c r="H5" s="4" t="s">
        <v>693</v>
      </c>
      <c r="I5" s="5" t="s">
        <v>39</v>
      </c>
      <c r="J5" s="4">
        <v>16.510000000000002</v>
      </c>
      <c r="K5" s="4">
        <v>58.26</v>
      </c>
    </row>
    <row r="6" spans="1:11" ht="20.100000000000001" customHeight="1" x14ac:dyDescent="0.25">
      <c r="A6" s="2" t="s">
        <v>151</v>
      </c>
      <c r="B6" s="2" t="s">
        <v>158</v>
      </c>
      <c r="C6" s="4">
        <v>94.38</v>
      </c>
      <c r="D6" s="4">
        <v>94.25</v>
      </c>
      <c r="E6" s="4">
        <v>95.59</v>
      </c>
      <c r="F6" s="5">
        <v>94.91</v>
      </c>
      <c r="G6" s="6">
        <v>-5.5842376988726287E-3</v>
      </c>
      <c r="H6" s="4" t="s">
        <v>694</v>
      </c>
      <c r="I6" s="5">
        <v>1.39</v>
      </c>
      <c r="J6" s="4">
        <v>21.05</v>
      </c>
      <c r="K6" s="4">
        <v>84.89</v>
      </c>
    </row>
    <row r="7" spans="1:11" ht="20.100000000000001" customHeight="1" x14ac:dyDescent="0.25">
      <c r="A7" s="2" t="s">
        <v>153</v>
      </c>
      <c r="B7" s="2" t="s">
        <v>159</v>
      </c>
      <c r="C7" s="4">
        <v>91.49</v>
      </c>
      <c r="D7" s="4">
        <v>90.78</v>
      </c>
      <c r="E7" s="4">
        <v>92.29</v>
      </c>
      <c r="F7" s="5">
        <v>91.79</v>
      </c>
      <c r="G7" s="6">
        <v>-3.2683298834296913E-3</v>
      </c>
      <c r="H7" s="4" t="s">
        <v>695</v>
      </c>
      <c r="I7" s="5">
        <v>2.6</v>
      </c>
      <c r="J7" s="4">
        <v>16.96</v>
      </c>
      <c r="K7" s="4">
        <v>81</v>
      </c>
    </row>
    <row r="8" spans="1:11" ht="20.100000000000001" customHeight="1" x14ac:dyDescent="0.25">
      <c r="A8" s="2" t="s">
        <v>148</v>
      </c>
      <c r="B8" s="2" t="s">
        <v>160</v>
      </c>
      <c r="C8" s="4">
        <v>93.98</v>
      </c>
      <c r="D8" s="4">
        <v>93.71</v>
      </c>
      <c r="E8" s="4">
        <v>95.33</v>
      </c>
      <c r="F8" s="5">
        <v>94.7</v>
      </c>
      <c r="G8" s="6">
        <v>-7.6029567053854151E-3</v>
      </c>
      <c r="H8" s="4" t="s">
        <v>696</v>
      </c>
      <c r="I8" s="5">
        <v>2.3199999999999998</v>
      </c>
      <c r="J8" s="4">
        <v>17.55</v>
      </c>
      <c r="K8" s="4">
        <v>81.67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0"/>
  <sheetViews>
    <sheetView workbookViewId="0">
      <selection activeCell="H19" sqref="H19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4.95" customHeight="1" x14ac:dyDescent="0.25">
      <c r="A2" s="2" t="s">
        <v>76</v>
      </c>
      <c r="B2" s="2" t="s">
        <v>83</v>
      </c>
      <c r="C2" s="4">
        <v>9.8049999999999997</v>
      </c>
      <c r="D2" s="4" t="s">
        <v>39</v>
      </c>
      <c r="E2" s="4" t="s">
        <v>39</v>
      </c>
      <c r="F2" s="5">
        <v>9.8049999999999997</v>
      </c>
      <c r="G2" s="6">
        <v>0</v>
      </c>
      <c r="H2" s="4" t="s">
        <v>39</v>
      </c>
      <c r="I2" s="5">
        <v>1.66</v>
      </c>
      <c r="J2" s="5" t="s">
        <v>39</v>
      </c>
      <c r="K2" s="5">
        <v>8.7490000000000006</v>
      </c>
    </row>
    <row r="3" spans="1:11" ht="24.95" customHeight="1" x14ac:dyDescent="0.25">
      <c r="A3" s="2" t="s">
        <v>75</v>
      </c>
      <c r="B3" s="2" t="s">
        <v>405</v>
      </c>
      <c r="C3" s="4">
        <v>161.16</v>
      </c>
      <c r="D3" s="4">
        <v>159.66</v>
      </c>
      <c r="E3" s="4">
        <v>161.57</v>
      </c>
      <c r="F3" s="5">
        <v>160.79</v>
      </c>
      <c r="G3" s="6">
        <v>2.3011381304807797E-3</v>
      </c>
      <c r="H3" s="4" t="s">
        <v>582</v>
      </c>
      <c r="I3" s="5">
        <v>1.24</v>
      </c>
      <c r="J3" s="5" t="s">
        <v>39</v>
      </c>
      <c r="K3" s="5">
        <v>144.87</v>
      </c>
    </row>
    <row r="4" spans="1:11" ht="24.95" customHeight="1" x14ac:dyDescent="0.25">
      <c r="A4" s="2" t="s">
        <v>73</v>
      </c>
      <c r="B4" s="2" t="s">
        <v>79</v>
      </c>
      <c r="C4" s="4">
        <v>35.07</v>
      </c>
      <c r="D4" s="4">
        <v>34.9</v>
      </c>
      <c r="E4" s="4">
        <v>35.29</v>
      </c>
      <c r="F4" s="5">
        <v>35.200000000000003</v>
      </c>
      <c r="G4" s="6">
        <v>-3.6931818181818905E-3</v>
      </c>
      <c r="H4" s="4" t="s">
        <v>591</v>
      </c>
      <c r="I4" s="5">
        <v>2.97</v>
      </c>
      <c r="J4" s="5">
        <v>14.98</v>
      </c>
      <c r="K4" s="5">
        <v>31.29</v>
      </c>
    </row>
    <row r="5" spans="1:11" ht="24.95" customHeight="1" x14ac:dyDescent="0.25">
      <c r="A5" s="2" t="s">
        <v>77</v>
      </c>
      <c r="B5" s="2" t="s">
        <v>84</v>
      </c>
      <c r="C5" s="4">
        <v>88.55</v>
      </c>
      <c r="D5" s="4">
        <v>87.63</v>
      </c>
      <c r="E5" s="4">
        <v>88.84</v>
      </c>
      <c r="F5" s="5">
        <v>87.88</v>
      </c>
      <c r="G5" s="6">
        <v>7.6240327719617855E-3</v>
      </c>
      <c r="H5" s="4" t="s">
        <v>592</v>
      </c>
      <c r="I5" s="5">
        <v>1.37</v>
      </c>
      <c r="J5" s="5">
        <v>19.7</v>
      </c>
      <c r="K5" s="5">
        <v>77.33</v>
      </c>
    </row>
    <row r="6" spans="1:11" ht="24.95" customHeight="1" x14ac:dyDescent="0.25">
      <c r="A6" s="1" t="s">
        <v>74</v>
      </c>
      <c r="B6" s="2" t="s">
        <v>80</v>
      </c>
      <c r="C6" s="4">
        <v>13.13</v>
      </c>
      <c r="D6" s="4">
        <v>13.04</v>
      </c>
      <c r="E6" s="4">
        <v>13.5</v>
      </c>
      <c r="F6" s="5">
        <v>13.29</v>
      </c>
      <c r="G6" s="6">
        <v>-1.203912716328054E-2</v>
      </c>
      <c r="H6" s="4" t="s">
        <v>364</v>
      </c>
      <c r="I6" s="5">
        <v>0</v>
      </c>
      <c r="J6" s="5">
        <v>37.729999999999997</v>
      </c>
      <c r="K6" s="5">
        <v>11.42</v>
      </c>
    </row>
    <row r="7" spans="1:11" ht="24.95" customHeight="1" x14ac:dyDescent="0.25">
      <c r="A7" s="2" t="s">
        <v>78</v>
      </c>
      <c r="B7" s="2" t="s">
        <v>85</v>
      </c>
      <c r="C7" s="4">
        <v>54.75</v>
      </c>
      <c r="D7" s="4">
        <v>54.17</v>
      </c>
      <c r="E7" s="4">
        <v>54.86</v>
      </c>
      <c r="F7" s="5">
        <v>54.88</v>
      </c>
      <c r="G7" s="6">
        <v>-2.3688046647230786E-3</v>
      </c>
      <c r="H7" s="4" t="s">
        <v>589</v>
      </c>
      <c r="I7" s="5">
        <v>3.86</v>
      </c>
      <c r="J7" s="5">
        <v>17.27</v>
      </c>
      <c r="K7" s="5">
        <v>50.98</v>
      </c>
    </row>
    <row r="8" spans="1:11" ht="24.95" customHeight="1" x14ac:dyDescent="0.25">
      <c r="A8" s="1" t="s">
        <v>81</v>
      </c>
      <c r="B8" s="2" t="s">
        <v>82</v>
      </c>
      <c r="C8" s="4">
        <v>67.39</v>
      </c>
      <c r="D8" s="4">
        <v>67.02</v>
      </c>
      <c r="E8" s="4">
        <v>67.739999999999995</v>
      </c>
      <c r="F8" s="5">
        <v>67.39</v>
      </c>
      <c r="G8" s="6">
        <v>0</v>
      </c>
      <c r="H8" s="4" t="s">
        <v>579</v>
      </c>
      <c r="I8" s="5">
        <v>1.54</v>
      </c>
      <c r="J8" s="5">
        <v>13.12</v>
      </c>
      <c r="K8" s="5">
        <v>67.819999999999993</v>
      </c>
    </row>
    <row r="9" spans="1:11" ht="24.95" customHeight="1" x14ac:dyDescent="0.25">
      <c r="A9" s="2" t="s">
        <v>403</v>
      </c>
      <c r="B9" s="2" t="s">
        <v>406</v>
      </c>
      <c r="C9" s="4">
        <v>76.180000000000007</v>
      </c>
      <c r="D9" s="4" t="s">
        <v>39</v>
      </c>
      <c r="E9" s="4" t="s">
        <v>39</v>
      </c>
      <c r="F9" s="5">
        <v>76.180000000000007</v>
      </c>
      <c r="G9" s="6">
        <v>0</v>
      </c>
      <c r="H9" s="4" t="s">
        <v>39</v>
      </c>
      <c r="I9" s="5">
        <v>0</v>
      </c>
      <c r="J9" s="5" t="s">
        <v>39</v>
      </c>
      <c r="K9" s="5">
        <v>74.31</v>
      </c>
    </row>
    <row r="10" spans="1:11" ht="24.95" customHeight="1" x14ac:dyDescent="0.25">
      <c r="A10" s="2" t="s">
        <v>404</v>
      </c>
      <c r="B10" s="2" t="s">
        <v>407</v>
      </c>
      <c r="C10" s="4">
        <v>51.66</v>
      </c>
      <c r="D10" s="4">
        <v>51.03</v>
      </c>
      <c r="E10" s="4">
        <v>52.09</v>
      </c>
      <c r="F10" s="5">
        <v>51.75</v>
      </c>
      <c r="G10" s="6">
        <v>-1.7391304347826747E-3</v>
      </c>
      <c r="H10" s="4" t="s">
        <v>489</v>
      </c>
      <c r="I10" s="5">
        <v>3.86</v>
      </c>
      <c r="J10" s="5">
        <v>14.59</v>
      </c>
      <c r="K10" s="5">
        <v>45.99</v>
      </c>
    </row>
  </sheetData>
  <conditionalFormatting sqref="G1:G8">
    <cfRule type="colorScale" priority="5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0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47.73</v>
      </c>
      <c r="D2" s="4">
        <v>46.56</v>
      </c>
      <c r="E2" s="4">
        <v>47.81</v>
      </c>
      <c r="F2" s="5">
        <v>47.35</v>
      </c>
      <c r="G2" s="6">
        <v>8.0253431890178559E-3</v>
      </c>
      <c r="H2" s="4" t="s">
        <v>664</v>
      </c>
      <c r="I2" s="5" t="s">
        <v>39</v>
      </c>
      <c r="J2" s="5">
        <v>6.28</v>
      </c>
      <c r="K2" s="5">
        <v>59.19</v>
      </c>
    </row>
    <row r="3" spans="1:11" ht="20.100000000000001" customHeight="1" x14ac:dyDescent="0.25">
      <c r="A3" s="2" t="s">
        <v>183</v>
      </c>
      <c r="B3" s="2" t="s">
        <v>185</v>
      </c>
      <c r="C3" s="4">
        <v>37.65</v>
      </c>
      <c r="D3" s="4">
        <v>37.450000000000003</v>
      </c>
      <c r="E3" s="4">
        <v>37.93</v>
      </c>
      <c r="F3" s="5">
        <v>37.450000000000003</v>
      </c>
      <c r="G3" s="6">
        <v>5.3404539385846651E-3</v>
      </c>
      <c r="H3" s="4" t="s">
        <v>554</v>
      </c>
      <c r="I3" s="5">
        <v>2.56</v>
      </c>
      <c r="J3" s="5">
        <v>27.3</v>
      </c>
      <c r="K3" s="5">
        <v>35.54</v>
      </c>
    </row>
    <row r="4" spans="1:11" ht="20.100000000000001" customHeight="1" x14ac:dyDescent="0.25">
      <c r="A4" s="2" t="s">
        <v>145</v>
      </c>
      <c r="B4" s="2" t="s">
        <v>146</v>
      </c>
      <c r="C4" s="4">
        <v>25.04</v>
      </c>
      <c r="D4" s="4">
        <v>24.45</v>
      </c>
      <c r="E4" s="4">
        <v>25.06</v>
      </c>
      <c r="F4" s="5">
        <v>24.65</v>
      </c>
      <c r="G4" s="6">
        <v>1.5821501014198807E-2</v>
      </c>
      <c r="H4" s="4" t="s">
        <v>665</v>
      </c>
      <c r="I4" s="5" t="s">
        <v>39</v>
      </c>
      <c r="J4" s="5" t="s">
        <v>39</v>
      </c>
      <c r="K4" s="5">
        <v>26.89</v>
      </c>
    </row>
    <row r="5" spans="1:11" ht="20.100000000000001" customHeight="1" x14ac:dyDescent="0.25">
      <c r="A5" s="2" t="s">
        <v>182</v>
      </c>
      <c r="B5" s="2" t="s">
        <v>186</v>
      </c>
      <c r="C5" s="4">
        <v>15.3</v>
      </c>
      <c r="D5" s="4">
        <v>14.93</v>
      </c>
      <c r="E5" s="4">
        <v>15.5</v>
      </c>
      <c r="F5" s="5">
        <v>15.38</v>
      </c>
      <c r="G5" s="6">
        <v>-5.2015604681404466E-3</v>
      </c>
      <c r="H5" s="4" t="s">
        <v>536</v>
      </c>
      <c r="I5" s="5" t="s">
        <v>39</v>
      </c>
      <c r="J5" s="5" t="s">
        <v>39</v>
      </c>
      <c r="K5" s="5">
        <v>20.58</v>
      </c>
    </row>
    <row r="6" spans="1:11" ht="20.100000000000001" customHeight="1" x14ac:dyDescent="0.25">
      <c r="A6" s="2" t="s">
        <v>322</v>
      </c>
      <c r="B6" s="19" t="s">
        <v>323</v>
      </c>
      <c r="C6" s="4">
        <v>21.38</v>
      </c>
      <c r="D6" s="4">
        <v>21.3</v>
      </c>
      <c r="E6" s="4">
        <v>21.57</v>
      </c>
      <c r="F6" s="5">
        <v>21.54</v>
      </c>
      <c r="G6" s="6">
        <v>-7.4280408542247052E-3</v>
      </c>
      <c r="H6" s="6" t="s">
        <v>39</v>
      </c>
      <c r="I6" s="5">
        <v>0</v>
      </c>
      <c r="J6" s="5" t="s">
        <v>39</v>
      </c>
      <c r="K6" s="5">
        <v>23</v>
      </c>
    </row>
    <row r="7" spans="1:11" ht="20.100000000000001" customHeight="1" x14ac:dyDescent="0.25">
      <c r="A7" s="2" t="s">
        <v>361</v>
      </c>
      <c r="B7" s="19" t="s">
        <v>362</v>
      </c>
      <c r="C7" s="4">
        <v>19.75</v>
      </c>
      <c r="D7" s="4">
        <v>19.600000000000001</v>
      </c>
      <c r="E7" s="4">
        <v>19.940000000000001</v>
      </c>
      <c r="F7" s="5">
        <v>19.8</v>
      </c>
      <c r="G7" s="6">
        <v>-2.525252525252561E-3</v>
      </c>
      <c r="H7" s="6" t="s">
        <v>666</v>
      </c>
      <c r="I7" s="5" t="s">
        <v>39</v>
      </c>
      <c r="J7" s="5">
        <v>13.8</v>
      </c>
      <c r="K7" s="5">
        <v>24.03</v>
      </c>
    </row>
    <row r="8" spans="1:11" ht="20.100000000000001" customHeight="1" x14ac:dyDescent="0.25">
      <c r="A8" s="2" t="s">
        <v>181</v>
      </c>
      <c r="B8" s="2" t="s">
        <v>187</v>
      </c>
      <c r="C8" s="4">
        <v>0.34</v>
      </c>
      <c r="D8" s="4" t="s">
        <v>39</v>
      </c>
      <c r="E8" s="4" t="s">
        <v>39</v>
      </c>
      <c r="F8" s="5">
        <v>0.34</v>
      </c>
      <c r="G8" s="6">
        <v>0</v>
      </c>
      <c r="H8" s="4" t="s">
        <v>39</v>
      </c>
      <c r="I8" s="5" t="s">
        <v>39</v>
      </c>
      <c r="J8" s="5" t="s">
        <v>39</v>
      </c>
      <c r="K8" s="5">
        <v>3.79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16"/>
  <sheetViews>
    <sheetView workbookViewId="0">
      <selection activeCell="A13" sqref="A13:K16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  <col min="12" max="12" width="20.85546875" bestFit="1" customWidth="1"/>
  </cols>
  <sheetData>
    <row r="1" spans="1:12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  <c r="L1" s="13" t="s">
        <v>433</v>
      </c>
    </row>
    <row r="2" spans="1:12" ht="20.100000000000001" customHeight="1" x14ac:dyDescent="0.25">
      <c r="A2" s="39" t="s">
        <v>427</v>
      </c>
      <c r="B2" s="39" t="s">
        <v>432</v>
      </c>
      <c r="C2" s="44">
        <v>71.8</v>
      </c>
      <c r="D2" s="44">
        <v>70.53</v>
      </c>
      <c r="E2" s="44">
        <v>72.13</v>
      </c>
      <c r="F2" s="41">
        <v>70.06</v>
      </c>
      <c r="G2" s="43">
        <v>2.4835854981444402E-2</v>
      </c>
      <c r="H2" s="42" t="s">
        <v>438</v>
      </c>
      <c r="I2" s="41" t="s">
        <v>39</v>
      </c>
      <c r="J2" s="40">
        <v>69.709999999999994</v>
      </c>
      <c r="K2" s="40">
        <v>74.52</v>
      </c>
      <c r="L2" s="4" t="s">
        <v>436</v>
      </c>
    </row>
    <row r="3" spans="1:12" ht="20.100000000000001" customHeight="1" x14ac:dyDescent="0.25">
      <c r="A3" s="39" t="s">
        <v>423</v>
      </c>
      <c r="B3" s="39" t="s">
        <v>428</v>
      </c>
      <c r="C3" s="44">
        <v>38.950000000000003</v>
      </c>
      <c r="D3" s="44">
        <v>38.28</v>
      </c>
      <c r="E3" s="44">
        <v>38.97</v>
      </c>
      <c r="F3" s="41">
        <v>38.049999999999997</v>
      </c>
      <c r="G3" s="43">
        <v>2.3653088042050085E-2</v>
      </c>
      <c r="H3" s="42" t="s">
        <v>439</v>
      </c>
      <c r="I3" s="41">
        <v>1.56</v>
      </c>
      <c r="J3" s="40">
        <v>18.78</v>
      </c>
      <c r="K3" s="40">
        <v>37.17</v>
      </c>
      <c r="L3" s="4" t="s">
        <v>436</v>
      </c>
    </row>
    <row r="4" spans="1:12" ht="20.100000000000001" customHeight="1" x14ac:dyDescent="0.25">
      <c r="A4" s="39" t="s">
        <v>426</v>
      </c>
      <c r="B4" s="39" t="s">
        <v>431</v>
      </c>
      <c r="C4" s="44">
        <v>99.96</v>
      </c>
      <c r="D4" s="44">
        <v>98.05</v>
      </c>
      <c r="E4" s="44">
        <v>100.28</v>
      </c>
      <c r="F4" s="41">
        <v>98.02</v>
      </c>
      <c r="G4" s="43">
        <v>1.9791879208324811E-2</v>
      </c>
      <c r="H4" s="42" t="s">
        <v>440</v>
      </c>
      <c r="I4" s="41">
        <v>1.21</v>
      </c>
      <c r="J4" s="40">
        <v>54.24</v>
      </c>
      <c r="K4" s="40">
        <v>94.26</v>
      </c>
      <c r="L4" s="4" t="s">
        <v>436</v>
      </c>
    </row>
    <row r="5" spans="1:12" ht="20.100000000000001" customHeight="1" x14ac:dyDescent="0.25">
      <c r="A5" s="39" t="s">
        <v>424</v>
      </c>
      <c r="B5" s="39" t="s">
        <v>429</v>
      </c>
      <c r="C5" s="44">
        <v>71.63</v>
      </c>
      <c r="D5" s="44">
        <v>70.87</v>
      </c>
      <c r="E5" s="44">
        <v>71.900000000000006</v>
      </c>
      <c r="F5" s="41">
        <v>70.7</v>
      </c>
      <c r="G5" s="43">
        <v>1.3154172560113048E-2</v>
      </c>
      <c r="H5" s="42" t="s">
        <v>441</v>
      </c>
      <c r="I5" s="41" t="s">
        <v>39</v>
      </c>
      <c r="J5" s="40" t="s">
        <v>39</v>
      </c>
      <c r="K5" s="40">
        <v>72.98</v>
      </c>
      <c r="L5" s="4" t="s">
        <v>436</v>
      </c>
    </row>
    <row r="6" spans="1:12" ht="20.100000000000001" customHeight="1" x14ac:dyDescent="0.25">
      <c r="A6" s="39" t="s">
        <v>425</v>
      </c>
      <c r="B6" s="39" t="s">
        <v>430</v>
      </c>
      <c r="C6" s="44">
        <v>86</v>
      </c>
      <c r="D6" s="44">
        <v>84.63</v>
      </c>
      <c r="E6" s="44">
        <v>86.23</v>
      </c>
      <c r="F6" s="41">
        <v>84.85</v>
      </c>
      <c r="G6" s="43">
        <v>1.3553329404832124E-2</v>
      </c>
      <c r="H6" s="42" t="s">
        <v>442</v>
      </c>
      <c r="I6" s="41">
        <v>0</v>
      </c>
      <c r="J6" s="40">
        <v>69.349999999999994</v>
      </c>
      <c r="K6" s="40">
        <v>86.42</v>
      </c>
      <c r="L6" s="4" t="s">
        <v>436</v>
      </c>
    </row>
    <row r="7" spans="1:12" ht="20.100000000000001" customHeight="1" x14ac:dyDescent="0.25">
      <c r="A7" s="45" t="s">
        <v>413</v>
      </c>
      <c r="B7" s="45" t="s">
        <v>419</v>
      </c>
      <c r="C7" s="49">
        <v>33.81</v>
      </c>
      <c r="D7" s="46">
        <v>32.83</v>
      </c>
      <c r="E7" s="46">
        <v>33.86</v>
      </c>
      <c r="F7" s="47">
        <v>32.82</v>
      </c>
      <c r="G7" s="50">
        <v>3.016453382084101E-2</v>
      </c>
      <c r="H7" s="48" t="s">
        <v>443</v>
      </c>
      <c r="I7" s="47" t="s">
        <v>39</v>
      </c>
      <c r="J7" s="46" t="s">
        <v>39</v>
      </c>
      <c r="K7" s="46">
        <v>31.85</v>
      </c>
      <c r="L7" s="4" t="s">
        <v>434</v>
      </c>
    </row>
    <row r="8" spans="1:12" ht="20.100000000000001" customHeight="1" x14ac:dyDescent="0.25">
      <c r="A8" s="45" t="s">
        <v>415</v>
      </c>
      <c r="B8" s="45" t="s">
        <v>421</v>
      </c>
      <c r="C8" s="46">
        <v>88.26</v>
      </c>
      <c r="D8" s="46">
        <v>87.37</v>
      </c>
      <c r="E8" s="46">
        <v>88.36</v>
      </c>
      <c r="F8" s="47">
        <v>87.18</v>
      </c>
      <c r="G8" s="48">
        <v>1.2388162422573965E-2</v>
      </c>
      <c r="H8" s="46" t="s">
        <v>444</v>
      </c>
      <c r="I8" s="47">
        <v>0</v>
      </c>
      <c r="J8" s="46">
        <v>31.3</v>
      </c>
      <c r="K8" s="46">
        <v>79.41</v>
      </c>
      <c r="L8" s="4" t="s">
        <v>434</v>
      </c>
    </row>
    <row r="9" spans="1:12" ht="20.100000000000001" customHeight="1" x14ac:dyDescent="0.25">
      <c r="A9" s="45" t="s">
        <v>416</v>
      </c>
      <c r="B9" s="45" t="s">
        <v>422</v>
      </c>
      <c r="C9" s="49">
        <v>63.7</v>
      </c>
      <c r="D9" s="46">
        <v>61.38</v>
      </c>
      <c r="E9" s="46">
        <v>63.75</v>
      </c>
      <c r="F9" s="47">
        <v>61.02</v>
      </c>
      <c r="G9" s="50">
        <v>4.3920026220911172E-2</v>
      </c>
      <c r="H9" s="48" t="s">
        <v>445</v>
      </c>
      <c r="I9" s="47" t="s">
        <v>39</v>
      </c>
      <c r="J9" s="46">
        <v>46.84</v>
      </c>
      <c r="K9" s="46">
        <v>73.3</v>
      </c>
      <c r="L9" s="4" t="s">
        <v>434</v>
      </c>
    </row>
    <row r="10" spans="1:12" ht="20.100000000000001" customHeight="1" x14ac:dyDescent="0.25">
      <c r="A10" s="45" t="s">
        <v>411</v>
      </c>
      <c r="B10" s="45" t="s">
        <v>417</v>
      </c>
      <c r="C10" s="46">
        <v>744.87</v>
      </c>
      <c r="D10" s="46">
        <v>736.7</v>
      </c>
      <c r="E10" s="46">
        <v>744.9</v>
      </c>
      <c r="F10" s="47">
        <v>732.17</v>
      </c>
      <c r="G10" s="48">
        <v>1.7345698403376329E-2</v>
      </c>
      <c r="H10" s="46" t="s">
        <v>446</v>
      </c>
      <c r="I10" s="47" t="s">
        <v>39</v>
      </c>
      <c r="J10" s="46">
        <v>31.57</v>
      </c>
      <c r="K10" s="46">
        <v>719.4</v>
      </c>
      <c r="L10" s="4" t="s">
        <v>434</v>
      </c>
    </row>
    <row r="11" spans="1:12" ht="20.100000000000001" customHeight="1" x14ac:dyDescent="0.25">
      <c r="A11" s="45" t="s">
        <v>412</v>
      </c>
      <c r="B11" s="45" t="s">
        <v>418</v>
      </c>
      <c r="C11" s="46">
        <v>109.41</v>
      </c>
      <c r="D11" s="46">
        <v>107.92</v>
      </c>
      <c r="E11" s="46">
        <v>109.42</v>
      </c>
      <c r="F11" s="47">
        <v>107.32</v>
      </c>
      <c r="G11" s="48">
        <v>1.9474468878121539E-2</v>
      </c>
      <c r="H11" s="46" t="s">
        <v>447</v>
      </c>
      <c r="I11" s="47" t="s">
        <v>39</v>
      </c>
      <c r="J11" s="46">
        <v>84.62</v>
      </c>
      <c r="K11" s="46">
        <v>100.78</v>
      </c>
      <c r="L11" s="4" t="s">
        <v>434</v>
      </c>
    </row>
    <row r="12" spans="1:12" ht="20.100000000000001" customHeight="1" x14ac:dyDescent="0.25">
      <c r="A12" s="45" t="s">
        <v>414</v>
      </c>
      <c r="B12" s="45" t="s">
        <v>420</v>
      </c>
      <c r="C12" s="51">
        <v>56.07</v>
      </c>
      <c r="D12" s="51">
        <v>55.18</v>
      </c>
      <c r="E12" s="51">
        <v>56.29</v>
      </c>
      <c r="F12" s="47">
        <v>54.64</v>
      </c>
      <c r="G12" s="50">
        <v>2.6171303074670565E-2</v>
      </c>
      <c r="H12" s="48" t="s">
        <v>448</v>
      </c>
      <c r="I12" s="47" t="s">
        <v>39</v>
      </c>
      <c r="J12" s="46">
        <v>31.5</v>
      </c>
      <c r="K12" s="46">
        <v>59.21</v>
      </c>
      <c r="L12" s="4" t="s">
        <v>434</v>
      </c>
    </row>
    <row r="13" spans="1:12" ht="20.100000000000001" customHeight="1" x14ac:dyDescent="0.25">
      <c r="A13" s="52" t="s">
        <v>274</v>
      </c>
      <c r="B13" s="52" t="s">
        <v>275</v>
      </c>
      <c r="C13" s="53">
        <v>52.53</v>
      </c>
      <c r="D13" s="53">
        <v>52.24</v>
      </c>
      <c r="E13" s="53">
        <v>52.78</v>
      </c>
      <c r="F13" s="54">
        <v>52.32</v>
      </c>
      <c r="G13" s="55">
        <v>4.013761467889925E-3</v>
      </c>
      <c r="H13" s="53" t="s">
        <v>449</v>
      </c>
      <c r="I13" s="54">
        <v>4.32</v>
      </c>
      <c r="J13" s="53">
        <v>12.02</v>
      </c>
      <c r="K13" s="53">
        <v>46.62</v>
      </c>
      <c r="L13" s="4" t="s">
        <v>435</v>
      </c>
    </row>
    <row r="14" spans="1:12" ht="20.100000000000001" customHeight="1" x14ac:dyDescent="0.25">
      <c r="A14" s="52" t="s">
        <v>270</v>
      </c>
      <c r="B14" s="52" t="s">
        <v>273</v>
      </c>
      <c r="C14" s="53">
        <v>38.36</v>
      </c>
      <c r="D14" s="53">
        <v>38.17</v>
      </c>
      <c r="E14" s="53">
        <v>38.549999999999997</v>
      </c>
      <c r="F14" s="54">
        <v>38.31</v>
      </c>
      <c r="G14" s="55">
        <v>1.305142260506321E-3</v>
      </c>
      <c r="H14" s="53" t="s">
        <v>450</v>
      </c>
      <c r="I14" s="54">
        <v>5.0599999999999996</v>
      </c>
      <c r="J14" s="53">
        <v>16.21</v>
      </c>
      <c r="K14" s="53">
        <v>34.270000000000003</v>
      </c>
      <c r="L14" s="4" t="s">
        <v>435</v>
      </c>
    </row>
    <row r="15" spans="1:12" ht="20.100000000000001" customHeight="1" x14ac:dyDescent="0.25">
      <c r="A15" s="52" t="s">
        <v>268</v>
      </c>
      <c r="B15" s="52" t="s">
        <v>271</v>
      </c>
      <c r="C15" s="56">
        <v>5.38</v>
      </c>
      <c r="D15" s="53">
        <v>5.3</v>
      </c>
      <c r="E15" s="53">
        <v>5.41</v>
      </c>
      <c r="F15" s="54">
        <v>5.32</v>
      </c>
      <c r="G15" s="57">
        <v>1.1278195488721731E-2</v>
      </c>
      <c r="H15" s="55" t="s">
        <v>451</v>
      </c>
      <c r="I15" s="54">
        <v>8.1199999999999992</v>
      </c>
      <c r="J15" s="53" t="s">
        <v>39</v>
      </c>
      <c r="K15" s="53">
        <v>4.9000000000000004</v>
      </c>
      <c r="L15" s="4" t="s">
        <v>435</v>
      </c>
    </row>
    <row r="16" spans="1:12" ht="20.100000000000001" customHeight="1" x14ac:dyDescent="0.25">
      <c r="A16" s="52" t="s">
        <v>269</v>
      </c>
      <c r="B16" s="52" t="s">
        <v>272</v>
      </c>
      <c r="C16" s="58">
        <v>31.87</v>
      </c>
      <c r="D16" s="58">
        <v>31.38</v>
      </c>
      <c r="E16" s="58">
        <v>31.98</v>
      </c>
      <c r="F16" s="54">
        <v>31.71</v>
      </c>
      <c r="G16" s="57">
        <v>5.0457269000315401E-3</v>
      </c>
      <c r="H16" s="55" t="s">
        <v>452</v>
      </c>
      <c r="I16" s="54">
        <v>6.85</v>
      </c>
      <c r="J16" s="53">
        <v>20.170000000000002</v>
      </c>
      <c r="K16" s="53">
        <v>26.76</v>
      </c>
      <c r="L16" s="4" t="s">
        <v>435</v>
      </c>
    </row>
  </sheetData>
  <conditionalFormatting sqref="G9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6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343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344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345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346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3"/>
  <sheetViews>
    <sheetView workbookViewId="0">
      <selection activeCell="C6" sqref="C6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468</v>
      </c>
      <c r="B2" s="2" t="s">
        <v>491</v>
      </c>
      <c r="C2" s="4">
        <v>73.489999999999995</v>
      </c>
      <c r="D2" s="4">
        <v>73.17</v>
      </c>
      <c r="E2" s="4">
        <v>74.14</v>
      </c>
      <c r="F2" s="5">
        <v>73.67</v>
      </c>
      <c r="G2" s="6">
        <v>-2.4433283561830707E-3</v>
      </c>
      <c r="H2" s="5" t="s">
        <v>605</v>
      </c>
      <c r="I2" s="5">
        <v>3.12</v>
      </c>
      <c r="J2" s="4">
        <v>20.12</v>
      </c>
      <c r="K2" s="4">
        <v>67.81</v>
      </c>
    </row>
    <row r="3" spans="1:11" ht="20.100000000000001" customHeight="1" x14ac:dyDescent="0.25">
      <c r="A3" s="2" t="s">
        <v>4</v>
      </c>
      <c r="B3" s="2" t="s">
        <v>56</v>
      </c>
      <c r="C3" s="4">
        <v>36.49</v>
      </c>
      <c r="D3" s="4">
        <v>36.31</v>
      </c>
      <c r="E3" s="4">
        <v>36.6</v>
      </c>
      <c r="F3" s="5">
        <v>36.39</v>
      </c>
      <c r="G3" s="6">
        <v>2.7480076944215834E-3</v>
      </c>
      <c r="H3" s="5" t="s">
        <v>537</v>
      </c>
      <c r="I3" s="5">
        <v>3.5</v>
      </c>
      <c r="J3" s="4">
        <v>18.920000000000002</v>
      </c>
      <c r="K3" s="4">
        <v>33.21</v>
      </c>
    </row>
    <row r="4" spans="1:11" ht="20.100000000000001" customHeight="1" x14ac:dyDescent="0.25">
      <c r="A4" s="2" t="s">
        <v>7</v>
      </c>
      <c r="B4" s="2" t="s">
        <v>59</v>
      </c>
      <c r="C4" s="4">
        <v>45.87</v>
      </c>
      <c r="D4" s="4">
        <v>45.69</v>
      </c>
      <c r="E4" s="4">
        <v>46.08</v>
      </c>
      <c r="F4" s="5">
        <v>45.72</v>
      </c>
      <c r="G4" s="6">
        <v>3.2808398950130925E-3</v>
      </c>
      <c r="H4" s="5" t="s">
        <v>540</v>
      </c>
      <c r="I4" s="5">
        <v>3.59</v>
      </c>
      <c r="J4" s="4">
        <v>14.89</v>
      </c>
      <c r="K4" s="4">
        <v>44.01</v>
      </c>
    </row>
    <row r="5" spans="1:11" ht="20.100000000000001" customHeight="1" x14ac:dyDescent="0.25">
      <c r="A5" s="2" t="s">
        <v>3</v>
      </c>
      <c r="B5" s="2" t="s">
        <v>53</v>
      </c>
      <c r="C5" s="4">
        <v>69.64</v>
      </c>
      <c r="D5" s="4">
        <v>69.17</v>
      </c>
      <c r="E5" s="4">
        <v>69.739999999999995</v>
      </c>
      <c r="F5" s="5">
        <v>69.38</v>
      </c>
      <c r="G5" s="6">
        <v>3.7474776592678746E-3</v>
      </c>
      <c r="H5" s="5" t="s">
        <v>535</v>
      </c>
      <c r="I5" s="5">
        <v>3.2</v>
      </c>
      <c r="J5" s="4">
        <v>17.87</v>
      </c>
      <c r="K5" s="4">
        <v>64.05</v>
      </c>
    </row>
    <row r="6" spans="1:11" ht="20.100000000000001" customHeight="1" x14ac:dyDescent="0.25">
      <c r="A6" s="2" t="s">
        <v>459</v>
      </c>
      <c r="B6" s="2" t="s">
        <v>481</v>
      </c>
      <c r="C6" s="4">
        <v>79.150000000000006</v>
      </c>
      <c r="D6" s="4">
        <v>78.599999999999994</v>
      </c>
      <c r="E6" s="4">
        <v>79.52</v>
      </c>
      <c r="F6" s="5">
        <v>79.12</v>
      </c>
      <c r="G6" s="6">
        <v>3.7917087967645518E-4</v>
      </c>
      <c r="H6" s="5" t="s">
        <v>606</v>
      </c>
      <c r="I6" s="5">
        <v>3.39</v>
      </c>
      <c r="J6" s="4">
        <v>20.61</v>
      </c>
      <c r="K6" s="4">
        <v>73.45</v>
      </c>
    </row>
    <row r="7" spans="1:11" ht="20.100000000000001" customHeight="1" x14ac:dyDescent="0.25">
      <c r="A7" s="2" t="s">
        <v>469</v>
      </c>
      <c r="B7" s="2" t="s">
        <v>492</v>
      </c>
      <c r="C7" s="4">
        <v>79.53</v>
      </c>
      <c r="D7" s="4">
        <v>79.19</v>
      </c>
      <c r="E7" s="4">
        <v>79.94</v>
      </c>
      <c r="F7" s="5">
        <v>79.349999999999994</v>
      </c>
      <c r="G7" s="6">
        <v>2.2684310018904453E-3</v>
      </c>
      <c r="H7" s="5" t="s">
        <v>607</v>
      </c>
      <c r="I7" s="5">
        <v>3.15</v>
      </c>
      <c r="J7" s="4">
        <v>20.84</v>
      </c>
      <c r="K7" s="4">
        <v>72.069999999999993</v>
      </c>
    </row>
    <row r="8" spans="1:11" ht="20.100000000000001" customHeight="1" x14ac:dyDescent="0.25">
      <c r="A8" s="2" t="s">
        <v>465</v>
      </c>
      <c r="B8" s="2" t="s">
        <v>487</v>
      </c>
      <c r="C8" s="4">
        <v>52.51</v>
      </c>
      <c r="D8" s="4">
        <v>52.28</v>
      </c>
      <c r="E8" s="4">
        <v>52.61</v>
      </c>
      <c r="F8" s="5">
        <v>52.24</v>
      </c>
      <c r="G8" s="6">
        <v>5.168453292496095E-3</v>
      </c>
      <c r="H8" s="5" t="s">
        <v>608</v>
      </c>
      <c r="I8" s="5">
        <v>3.25</v>
      </c>
      <c r="J8" s="4">
        <v>20.38</v>
      </c>
      <c r="K8" s="4">
        <v>47.99</v>
      </c>
    </row>
    <row r="9" spans="1:11" ht="20.100000000000001" customHeight="1" x14ac:dyDescent="0.25">
      <c r="A9" s="2" t="s">
        <v>457</v>
      </c>
      <c r="B9" s="2" t="s">
        <v>479</v>
      </c>
      <c r="C9" s="4">
        <v>112.93</v>
      </c>
      <c r="D9" s="4">
        <v>112.48</v>
      </c>
      <c r="E9" s="4">
        <v>113.99</v>
      </c>
      <c r="F9" s="5">
        <v>113.05</v>
      </c>
      <c r="G9" s="6">
        <v>-1.0614772224678492E-3</v>
      </c>
      <c r="H9" s="5" t="s">
        <v>609</v>
      </c>
      <c r="I9" s="5">
        <v>2.65</v>
      </c>
      <c r="J9" s="4">
        <v>23.05</v>
      </c>
      <c r="K9" s="4">
        <v>102.02</v>
      </c>
    </row>
    <row r="10" spans="1:11" ht="20.100000000000001" customHeight="1" x14ac:dyDescent="0.25">
      <c r="A10" s="2" t="s">
        <v>277</v>
      </c>
      <c r="B10" s="2" t="s">
        <v>278</v>
      </c>
      <c r="C10" s="4">
        <v>127.58</v>
      </c>
      <c r="D10" s="4">
        <v>127.09</v>
      </c>
      <c r="E10" s="4">
        <v>128.29</v>
      </c>
      <c r="F10" s="5">
        <v>127.24</v>
      </c>
      <c r="G10" s="6">
        <v>2.6721156868909418E-3</v>
      </c>
      <c r="H10" s="5" t="s">
        <v>542</v>
      </c>
      <c r="I10" s="5">
        <v>2.73</v>
      </c>
      <c r="J10" s="4">
        <v>21.35</v>
      </c>
      <c r="K10" s="4">
        <v>116.94</v>
      </c>
    </row>
    <row r="11" spans="1:11" ht="20.100000000000001" customHeight="1" x14ac:dyDescent="0.25">
      <c r="A11" s="2" t="s">
        <v>453</v>
      </c>
      <c r="B11" s="2" t="s">
        <v>475</v>
      </c>
      <c r="C11" s="4">
        <v>53.63</v>
      </c>
      <c r="D11" s="4">
        <v>53.19</v>
      </c>
      <c r="E11" s="4">
        <v>53.87</v>
      </c>
      <c r="F11" s="5">
        <v>53.61</v>
      </c>
      <c r="G11" s="6">
        <v>3.73064726730146E-4</v>
      </c>
      <c r="H11" s="5" t="s">
        <v>610</v>
      </c>
      <c r="I11" s="5">
        <v>4.16</v>
      </c>
      <c r="J11" s="4">
        <v>20.96</v>
      </c>
      <c r="K11" s="4">
        <v>49.78</v>
      </c>
    </row>
    <row r="12" spans="1:11" ht="20.100000000000001" customHeight="1" x14ac:dyDescent="0.25">
      <c r="A12" s="2" t="s">
        <v>289</v>
      </c>
      <c r="B12" s="2" t="s">
        <v>290</v>
      </c>
      <c r="C12" s="4">
        <v>84.92</v>
      </c>
      <c r="D12" s="4">
        <v>84.45</v>
      </c>
      <c r="E12" s="4">
        <v>85.29</v>
      </c>
      <c r="F12" s="5">
        <v>84.75</v>
      </c>
      <c r="G12" s="6">
        <v>2.0058997050147694E-3</v>
      </c>
      <c r="H12" s="5" t="s">
        <v>544</v>
      </c>
      <c r="I12" s="5">
        <v>4.04</v>
      </c>
      <c r="J12" s="4">
        <v>22.18</v>
      </c>
      <c r="K12" s="4">
        <v>78.290000000000006</v>
      </c>
    </row>
    <row r="13" spans="1:11" ht="20.100000000000001" customHeight="1" x14ac:dyDescent="0.25">
      <c r="A13" s="2" t="s">
        <v>462</v>
      </c>
      <c r="B13" s="2" t="s">
        <v>484</v>
      </c>
      <c r="C13" s="4">
        <v>57.87</v>
      </c>
      <c r="D13" s="4">
        <v>57.69</v>
      </c>
      <c r="E13" s="4">
        <v>58.12</v>
      </c>
      <c r="F13" s="5">
        <v>57.75</v>
      </c>
      <c r="G13" s="6">
        <v>2.0779220779220337E-3</v>
      </c>
      <c r="H13" s="5" t="s">
        <v>611</v>
      </c>
      <c r="I13" s="5">
        <v>3.05</v>
      </c>
      <c r="J13" s="4">
        <v>21.2</v>
      </c>
      <c r="K13" s="4">
        <v>55.74</v>
      </c>
    </row>
    <row r="14" spans="1:11" ht="20.100000000000001" customHeight="1" x14ac:dyDescent="0.25">
      <c r="A14" s="2" t="s">
        <v>473</v>
      </c>
      <c r="B14" s="2" t="s">
        <v>39</v>
      </c>
      <c r="C14" s="4" t="s">
        <v>39</v>
      </c>
      <c r="D14" s="4" t="s">
        <v>39</v>
      </c>
      <c r="E14" s="4" t="s">
        <v>39</v>
      </c>
      <c r="F14" s="5" t="s">
        <v>39</v>
      </c>
      <c r="G14" s="6">
        <v>0</v>
      </c>
      <c r="H14" s="5" t="s">
        <v>39</v>
      </c>
      <c r="I14" s="5">
        <v>4</v>
      </c>
      <c r="J14" s="4" t="s">
        <v>39</v>
      </c>
      <c r="K14" s="4">
        <v>26</v>
      </c>
    </row>
    <row r="15" spans="1:11" ht="20.100000000000001" customHeight="1" x14ac:dyDescent="0.25">
      <c r="A15" s="2" t="s">
        <v>142</v>
      </c>
      <c r="B15" s="2" t="s">
        <v>144</v>
      </c>
      <c r="C15" s="4">
        <v>51.98</v>
      </c>
      <c r="D15" s="4">
        <v>51.26</v>
      </c>
      <c r="E15" s="4">
        <v>52.29</v>
      </c>
      <c r="F15" s="5">
        <v>51</v>
      </c>
      <c r="G15" s="6">
        <v>1.9215686274509744E-2</v>
      </c>
      <c r="H15" s="5" t="s">
        <v>612</v>
      </c>
      <c r="I15" s="5">
        <v>2.2200000000000002</v>
      </c>
      <c r="J15" s="4">
        <v>25.49</v>
      </c>
      <c r="K15" s="4">
        <v>45.74</v>
      </c>
    </row>
    <row r="16" spans="1:11" ht="20.100000000000001" customHeight="1" x14ac:dyDescent="0.25">
      <c r="A16" s="2" t="s">
        <v>460</v>
      </c>
      <c r="B16" s="2" t="s">
        <v>482</v>
      </c>
      <c r="C16" s="4">
        <v>43.75</v>
      </c>
      <c r="D16" s="4">
        <v>43.54</v>
      </c>
      <c r="E16" s="4">
        <v>43.97</v>
      </c>
      <c r="F16" s="5">
        <v>43.61</v>
      </c>
      <c r="G16" s="6">
        <v>3.2102728731942345E-3</v>
      </c>
      <c r="H16" s="5" t="s">
        <v>613</v>
      </c>
      <c r="I16" s="5">
        <v>3.09</v>
      </c>
      <c r="J16" s="4">
        <v>20.73</v>
      </c>
      <c r="K16" s="4">
        <v>40.42</v>
      </c>
    </row>
    <row r="17" spans="1:11" ht="20.100000000000001" customHeight="1" x14ac:dyDescent="0.25">
      <c r="A17" s="2" t="s">
        <v>470</v>
      </c>
      <c r="B17" s="2" t="s">
        <v>493</v>
      </c>
      <c r="C17" s="4">
        <v>65.97</v>
      </c>
      <c r="D17" s="4" t="s">
        <v>39</v>
      </c>
      <c r="E17" s="4" t="s">
        <v>39</v>
      </c>
      <c r="F17" s="5">
        <v>65.97</v>
      </c>
      <c r="G17" s="6">
        <v>0</v>
      </c>
      <c r="H17" s="5" t="s">
        <v>39</v>
      </c>
      <c r="I17" s="5">
        <v>3.21</v>
      </c>
      <c r="J17" s="4" t="s">
        <v>39</v>
      </c>
      <c r="K17" s="4">
        <v>64.88</v>
      </c>
    </row>
    <row r="18" spans="1:11" ht="20.100000000000001" customHeight="1" x14ac:dyDescent="0.25">
      <c r="A18" s="2" t="s">
        <v>467</v>
      </c>
      <c r="B18" s="2" t="s">
        <v>490</v>
      </c>
      <c r="C18" s="4">
        <v>44.82</v>
      </c>
      <c r="D18" s="4">
        <v>44.61</v>
      </c>
      <c r="E18" s="4">
        <v>45.02</v>
      </c>
      <c r="F18" s="5">
        <v>44.76</v>
      </c>
      <c r="G18" s="6">
        <v>1.3404825737265923E-3</v>
      </c>
      <c r="H18" s="5" t="s">
        <v>614</v>
      </c>
      <c r="I18" s="5">
        <v>2.77</v>
      </c>
      <c r="J18" s="4">
        <v>25.58</v>
      </c>
      <c r="K18" s="4">
        <v>40.869999999999997</v>
      </c>
    </row>
    <row r="19" spans="1:11" ht="20.100000000000001" customHeight="1" x14ac:dyDescent="0.25">
      <c r="A19" s="2" t="s">
        <v>463</v>
      </c>
      <c r="B19" s="2" t="s">
        <v>485</v>
      </c>
      <c r="C19" s="4">
        <v>97.66</v>
      </c>
      <c r="D19" s="4">
        <v>97.1</v>
      </c>
      <c r="E19" s="4">
        <v>97.8</v>
      </c>
      <c r="F19" s="5">
        <v>97.09</v>
      </c>
      <c r="G19" s="6">
        <v>5.8708414872797729E-3</v>
      </c>
      <c r="H19" s="5" t="s">
        <v>615</v>
      </c>
      <c r="I19" s="5">
        <v>3.01</v>
      </c>
      <c r="J19" s="4">
        <v>25.07</v>
      </c>
      <c r="K19" s="4">
        <v>88.57</v>
      </c>
    </row>
    <row r="20" spans="1:11" ht="20.100000000000001" customHeight="1" x14ac:dyDescent="0.25">
      <c r="A20" s="2" t="s">
        <v>454</v>
      </c>
      <c r="B20" s="2" t="s">
        <v>476</v>
      </c>
      <c r="C20" s="4">
        <v>77.53</v>
      </c>
      <c r="D20" s="4">
        <v>77.14</v>
      </c>
      <c r="E20" s="4">
        <v>77.739999999999995</v>
      </c>
      <c r="F20" s="5">
        <v>77.14</v>
      </c>
      <c r="G20" s="6">
        <v>5.0557428052890917E-3</v>
      </c>
      <c r="H20" s="5" t="s">
        <v>616</v>
      </c>
      <c r="I20" s="5">
        <v>3.63</v>
      </c>
      <c r="J20" s="4">
        <v>24.45</v>
      </c>
      <c r="K20" s="4">
        <v>72.05</v>
      </c>
    </row>
    <row r="21" spans="1:11" ht="20.100000000000001" customHeight="1" x14ac:dyDescent="0.25">
      <c r="A21" s="2" t="s">
        <v>458</v>
      </c>
      <c r="B21" s="2" t="s">
        <v>480</v>
      </c>
      <c r="C21" s="4">
        <v>77.180000000000007</v>
      </c>
      <c r="D21" s="4">
        <v>76.81</v>
      </c>
      <c r="E21" s="4">
        <v>77.62</v>
      </c>
      <c r="F21" s="5">
        <v>77.11</v>
      </c>
      <c r="G21" s="6">
        <v>9.0779406043324333E-4</v>
      </c>
      <c r="H21" s="5" t="s">
        <v>617</v>
      </c>
      <c r="I21" s="5">
        <v>2.4900000000000002</v>
      </c>
      <c r="J21" s="4">
        <v>25.62</v>
      </c>
      <c r="K21" s="4">
        <v>68.89</v>
      </c>
    </row>
    <row r="22" spans="1:11" ht="20.100000000000001" customHeight="1" x14ac:dyDescent="0.25">
      <c r="A22" s="2" t="s">
        <v>461</v>
      </c>
      <c r="B22" s="2" t="s">
        <v>483</v>
      </c>
      <c r="C22" s="4">
        <v>63.96</v>
      </c>
      <c r="D22" s="4">
        <v>63.64</v>
      </c>
      <c r="E22" s="4">
        <v>64.36</v>
      </c>
      <c r="F22" s="5">
        <v>63.99</v>
      </c>
      <c r="G22" s="6">
        <v>-4.6882325363339797E-4</v>
      </c>
      <c r="H22" s="5" t="s">
        <v>618</v>
      </c>
      <c r="I22" s="5">
        <v>3.09</v>
      </c>
      <c r="J22" s="4">
        <v>23.95</v>
      </c>
      <c r="K22" s="4">
        <v>58.46</v>
      </c>
    </row>
    <row r="23" spans="1:11" ht="20.100000000000001" customHeight="1" x14ac:dyDescent="0.25">
      <c r="A23" s="2" t="s">
        <v>472</v>
      </c>
      <c r="B23" s="2" t="s">
        <v>495</v>
      </c>
      <c r="C23" s="4">
        <v>26.1</v>
      </c>
      <c r="D23" s="4">
        <v>25.93</v>
      </c>
      <c r="E23" s="4">
        <v>26.16</v>
      </c>
      <c r="F23" s="5">
        <v>26.01</v>
      </c>
      <c r="G23" s="6">
        <v>3.4602076124567419E-3</v>
      </c>
      <c r="H23" s="5" t="s">
        <v>619</v>
      </c>
      <c r="I23" s="5">
        <v>2.54</v>
      </c>
      <c r="J23" s="4">
        <v>42.23</v>
      </c>
      <c r="K23" s="4">
        <v>22.92</v>
      </c>
    </row>
    <row r="24" spans="1:11" ht="20.100000000000001" customHeight="1" x14ac:dyDescent="0.25">
      <c r="A24" s="2" t="s">
        <v>466</v>
      </c>
      <c r="B24" s="2" t="s">
        <v>488</v>
      </c>
      <c r="C24" s="4">
        <v>81.59</v>
      </c>
      <c r="D24" s="4">
        <v>81.510000000000005</v>
      </c>
      <c r="E24" s="4">
        <v>82.44</v>
      </c>
      <c r="F24" s="5">
        <v>81.73</v>
      </c>
      <c r="G24" s="6">
        <v>-1.7129572984216392E-3</v>
      </c>
      <c r="H24" s="5" t="s">
        <v>620</v>
      </c>
      <c r="I24" s="5">
        <v>1.71</v>
      </c>
      <c r="J24" s="4">
        <v>30.66</v>
      </c>
      <c r="K24" s="4">
        <v>70.56</v>
      </c>
    </row>
    <row r="25" spans="1:11" ht="20.100000000000001" customHeight="1" x14ac:dyDescent="0.25">
      <c r="A25" s="2" t="s">
        <v>471</v>
      </c>
      <c r="B25" s="2" t="s">
        <v>494</v>
      </c>
      <c r="C25" s="4">
        <v>12.63</v>
      </c>
      <c r="D25" s="4">
        <v>12.52</v>
      </c>
      <c r="E25" s="4">
        <v>12.68</v>
      </c>
      <c r="F25" s="5">
        <v>12.52</v>
      </c>
      <c r="G25" s="6">
        <v>8.7859424920128763E-3</v>
      </c>
      <c r="H25" s="5" t="s">
        <v>621</v>
      </c>
      <c r="I25" s="5">
        <v>3.51</v>
      </c>
      <c r="J25" s="4">
        <v>29.72</v>
      </c>
      <c r="K25" s="4">
        <v>10.73</v>
      </c>
    </row>
    <row r="26" spans="1:11" ht="20.100000000000001" customHeight="1" x14ac:dyDescent="0.25">
      <c r="A26" s="2" t="s">
        <v>6</v>
      </c>
      <c r="B26" s="2" t="s">
        <v>57</v>
      </c>
      <c r="C26" s="4">
        <v>36.19</v>
      </c>
      <c r="D26" s="4">
        <v>35.92</v>
      </c>
      <c r="E26" s="4">
        <v>36.21</v>
      </c>
      <c r="F26" s="5">
        <v>35.85</v>
      </c>
      <c r="G26" s="6">
        <v>9.4839609483959916E-3</v>
      </c>
      <c r="H26" s="5" t="s">
        <v>538</v>
      </c>
      <c r="I26" s="5">
        <v>4.0199999999999996</v>
      </c>
      <c r="J26" s="4">
        <v>22.45</v>
      </c>
      <c r="K26" s="4">
        <v>33.86</v>
      </c>
    </row>
    <row r="27" spans="1:11" ht="20.100000000000001" customHeight="1" x14ac:dyDescent="0.25">
      <c r="A27" s="2" t="s">
        <v>455</v>
      </c>
      <c r="B27" s="2" t="s">
        <v>477</v>
      </c>
      <c r="C27" s="4">
        <v>64.62</v>
      </c>
      <c r="D27" s="4">
        <v>64.180000000000007</v>
      </c>
      <c r="E27" s="4">
        <v>64.75</v>
      </c>
      <c r="F27" s="5">
        <v>64.2</v>
      </c>
      <c r="G27" s="6">
        <v>6.5420560747663815E-3</v>
      </c>
      <c r="H27" s="5" t="s">
        <v>367</v>
      </c>
      <c r="I27" s="5">
        <v>3.05</v>
      </c>
      <c r="J27" s="4">
        <v>33.31</v>
      </c>
      <c r="K27" s="4">
        <v>58.25</v>
      </c>
    </row>
    <row r="28" spans="1:11" ht="20.100000000000001" customHeight="1" x14ac:dyDescent="0.25">
      <c r="A28" s="2" t="s">
        <v>474</v>
      </c>
      <c r="B28" s="2" t="s">
        <v>496</v>
      </c>
      <c r="C28" s="4">
        <v>27.64</v>
      </c>
      <c r="D28" s="4" t="s">
        <v>39</v>
      </c>
      <c r="E28" s="4" t="s">
        <v>39</v>
      </c>
      <c r="F28" s="5">
        <v>27.64</v>
      </c>
      <c r="G28" s="6">
        <v>0</v>
      </c>
      <c r="H28" s="5" t="s">
        <v>39</v>
      </c>
      <c r="I28" s="5">
        <v>3.33</v>
      </c>
      <c r="J28" s="4" t="s">
        <v>39</v>
      </c>
      <c r="K28" s="4">
        <v>27.39</v>
      </c>
    </row>
    <row r="29" spans="1:11" ht="20.100000000000001" customHeight="1" x14ac:dyDescent="0.25">
      <c r="A29" s="2" t="s">
        <v>456</v>
      </c>
      <c r="B29" s="2" t="s">
        <v>478</v>
      </c>
      <c r="C29" s="4">
        <v>37.15</v>
      </c>
      <c r="D29" s="4">
        <v>36.96</v>
      </c>
      <c r="E29" s="4">
        <v>37.25</v>
      </c>
      <c r="F29" s="5">
        <v>37.090000000000003</v>
      </c>
      <c r="G29" s="6">
        <v>1.6176867080074189E-3</v>
      </c>
      <c r="H29" s="5" t="s">
        <v>617</v>
      </c>
      <c r="I29" s="5">
        <v>4.05</v>
      </c>
      <c r="J29" s="4">
        <v>49.01</v>
      </c>
      <c r="K29" s="4">
        <v>36.82</v>
      </c>
    </row>
    <row r="30" spans="1:11" ht="20.100000000000001" customHeight="1" x14ac:dyDescent="0.25">
      <c r="A30" s="1" t="s">
        <v>141</v>
      </c>
      <c r="B30" s="2" t="s">
        <v>143</v>
      </c>
      <c r="C30" s="4">
        <v>76.459999999999994</v>
      </c>
      <c r="D30" s="4">
        <v>75.930000000000007</v>
      </c>
      <c r="E30" s="4">
        <v>76.84</v>
      </c>
      <c r="F30" s="5">
        <v>76.38</v>
      </c>
      <c r="G30" s="6">
        <v>1.0473946059177573E-3</v>
      </c>
      <c r="H30" s="5" t="s">
        <v>622</v>
      </c>
      <c r="I30" s="5">
        <v>3.12</v>
      </c>
      <c r="J30" s="4">
        <v>44.98</v>
      </c>
      <c r="K30" s="4">
        <v>71.14</v>
      </c>
    </row>
    <row r="31" spans="1:11" ht="20.100000000000001" customHeight="1" x14ac:dyDescent="0.25">
      <c r="A31" s="2" t="s">
        <v>279</v>
      </c>
      <c r="B31" s="2" t="s">
        <v>280</v>
      </c>
      <c r="C31" s="4">
        <v>24.06</v>
      </c>
      <c r="D31" s="4">
        <v>23.68</v>
      </c>
      <c r="E31" s="4">
        <v>24.11</v>
      </c>
      <c r="F31" s="5">
        <v>23.66</v>
      </c>
      <c r="G31" s="6">
        <v>1.6906170752324538E-2</v>
      </c>
      <c r="H31" s="5" t="s">
        <v>543</v>
      </c>
      <c r="I31" s="5">
        <v>4.3499999999999996</v>
      </c>
      <c r="J31" s="4" t="s">
        <v>39</v>
      </c>
      <c r="K31" s="4">
        <v>20.69</v>
      </c>
    </row>
    <row r="32" spans="1:11" ht="20.100000000000001" customHeight="1" x14ac:dyDescent="0.25">
      <c r="A32" s="2" t="s">
        <v>2</v>
      </c>
      <c r="B32" s="2" t="s">
        <v>58</v>
      </c>
      <c r="C32" s="4">
        <v>15.47</v>
      </c>
      <c r="D32" s="4">
        <v>15.23</v>
      </c>
      <c r="E32" s="4">
        <v>15.55</v>
      </c>
      <c r="F32" s="5">
        <v>15.31</v>
      </c>
      <c r="G32" s="6">
        <v>1.0450685826257357E-2</v>
      </c>
      <c r="H32" s="5" t="s">
        <v>539</v>
      </c>
      <c r="I32" s="5">
        <v>0.78</v>
      </c>
      <c r="J32" s="4" t="s">
        <v>39</v>
      </c>
      <c r="K32" s="4">
        <v>13.27</v>
      </c>
    </row>
    <row r="33" spans="1:11" ht="20.100000000000001" customHeight="1" x14ac:dyDescent="0.25">
      <c r="A33" s="2" t="s">
        <v>464</v>
      </c>
      <c r="B33" s="2" t="s">
        <v>486</v>
      </c>
      <c r="C33" s="4">
        <v>80.28</v>
      </c>
      <c r="D33" s="4">
        <v>79.86</v>
      </c>
      <c r="E33" s="4">
        <v>80.510000000000005</v>
      </c>
      <c r="F33" s="5">
        <v>79.790000000000006</v>
      </c>
      <c r="G33" s="6">
        <v>6.1411204411579755E-3</v>
      </c>
      <c r="H33" s="5" t="s">
        <v>623</v>
      </c>
      <c r="I33" s="5">
        <v>4.2</v>
      </c>
      <c r="J33" s="4" t="s">
        <v>39</v>
      </c>
      <c r="K33" s="4">
        <v>75.02</v>
      </c>
    </row>
  </sheetData>
  <conditionalFormatting sqref="G1:G3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643</v>
      </c>
      <c r="B2" s="2" t="s">
        <v>650</v>
      </c>
      <c r="C2" s="4">
        <v>73.67</v>
      </c>
      <c r="D2" s="4">
        <v>73.44</v>
      </c>
      <c r="E2" s="4">
        <v>74.010000000000005</v>
      </c>
      <c r="F2" s="5">
        <v>73.7</v>
      </c>
      <c r="G2" s="6">
        <v>-4.0705563093624338E-4</v>
      </c>
      <c r="H2" s="5" t="s">
        <v>651</v>
      </c>
      <c r="I2" s="5">
        <v>2.71</v>
      </c>
      <c r="J2" s="4">
        <v>16.28</v>
      </c>
      <c r="K2" s="4">
        <v>67.900000000000006</v>
      </c>
    </row>
    <row r="3" spans="1:11" ht="20.100000000000001" customHeight="1" x14ac:dyDescent="0.25">
      <c r="A3" s="2" t="s">
        <v>644</v>
      </c>
      <c r="B3" s="2" t="s">
        <v>652</v>
      </c>
      <c r="C3" s="4">
        <v>73.040000000000006</v>
      </c>
      <c r="D3" s="4">
        <v>72.5</v>
      </c>
      <c r="E3" s="4">
        <v>73.790000000000006</v>
      </c>
      <c r="F3" s="5">
        <v>73.489999999999995</v>
      </c>
      <c r="G3" s="6">
        <v>-6.1232820791942942E-3</v>
      </c>
      <c r="H3" s="5" t="s">
        <v>653</v>
      </c>
      <c r="I3" s="5">
        <v>3.27</v>
      </c>
      <c r="J3" s="4">
        <v>13.52</v>
      </c>
      <c r="K3" s="4">
        <v>74.77</v>
      </c>
    </row>
    <row r="4" spans="1:11" ht="20.100000000000001" customHeight="1" x14ac:dyDescent="0.25">
      <c r="A4" s="1" t="s">
        <v>645</v>
      </c>
      <c r="B4" s="2" t="s">
        <v>654</v>
      </c>
      <c r="C4" s="4">
        <v>36.71</v>
      </c>
      <c r="D4" s="4">
        <v>36.44</v>
      </c>
      <c r="E4" s="4">
        <v>37.26</v>
      </c>
      <c r="F4" s="5">
        <v>37.299999999999997</v>
      </c>
      <c r="G4" s="6">
        <v>-1.5817694369973094E-2</v>
      </c>
      <c r="H4" s="5" t="s">
        <v>408</v>
      </c>
      <c r="I4" s="5">
        <v>1.29</v>
      </c>
      <c r="J4" s="4">
        <v>17.18</v>
      </c>
      <c r="K4" s="4">
        <v>37.369999999999997</v>
      </c>
    </row>
    <row r="5" spans="1:11" ht="20.100000000000001" customHeight="1" x14ac:dyDescent="0.25">
      <c r="A5" s="2" t="s">
        <v>646</v>
      </c>
      <c r="B5" s="2" t="s">
        <v>655</v>
      </c>
      <c r="C5" s="4">
        <v>33.159999999999997</v>
      </c>
      <c r="D5" s="4">
        <v>33.130000000000003</v>
      </c>
      <c r="E5" s="4">
        <v>33.74</v>
      </c>
      <c r="F5" s="5">
        <v>33.58</v>
      </c>
      <c r="G5" s="6">
        <v>-1.2507444907683195E-2</v>
      </c>
      <c r="H5" s="5" t="s">
        <v>656</v>
      </c>
      <c r="I5" s="5">
        <v>1.61</v>
      </c>
      <c r="J5" s="4">
        <v>22.62</v>
      </c>
      <c r="K5" s="4">
        <v>31.4</v>
      </c>
    </row>
    <row r="6" spans="1:11" ht="20.100000000000001" customHeight="1" x14ac:dyDescent="0.25">
      <c r="A6" s="2" t="s">
        <v>647</v>
      </c>
      <c r="B6" s="2" t="s">
        <v>657</v>
      </c>
      <c r="C6" s="4">
        <v>91.71</v>
      </c>
      <c r="D6" s="4">
        <v>91.65</v>
      </c>
      <c r="E6" s="4">
        <v>92.9</v>
      </c>
      <c r="F6" s="5">
        <v>92.63</v>
      </c>
      <c r="G6" s="6">
        <v>-9.9319874770592877E-3</v>
      </c>
      <c r="H6" s="5" t="s">
        <v>658</v>
      </c>
      <c r="I6" s="5">
        <v>1.08</v>
      </c>
      <c r="J6" s="4">
        <v>22.13</v>
      </c>
      <c r="K6" s="4">
        <v>81.78</v>
      </c>
    </row>
    <row r="7" spans="1:11" ht="20.100000000000001" customHeight="1" x14ac:dyDescent="0.25">
      <c r="A7" s="2" t="s">
        <v>648</v>
      </c>
      <c r="B7" s="2" t="s">
        <v>659</v>
      </c>
      <c r="C7" s="4">
        <v>94.34</v>
      </c>
      <c r="D7" s="4">
        <v>94.3</v>
      </c>
      <c r="E7" s="4">
        <v>95.69</v>
      </c>
      <c r="F7" s="5">
        <v>95</v>
      </c>
      <c r="G7" s="6">
        <v>-6.9473684210525953E-3</v>
      </c>
      <c r="H7" s="5" t="s">
        <v>660</v>
      </c>
      <c r="I7" s="5" t="s">
        <v>39</v>
      </c>
      <c r="J7" s="4">
        <v>49.16</v>
      </c>
      <c r="K7" s="4">
        <v>82.64</v>
      </c>
    </row>
    <row r="8" spans="1:11" ht="20.100000000000001" customHeight="1" x14ac:dyDescent="0.25">
      <c r="A8" s="2" t="s">
        <v>649</v>
      </c>
      <c r="B8" s="2" t="s">
        <v>661</v>
      </c>
      <c r="C8" s="4">
        <v>166.41</v>
      </c>
      <c r="D8" s="4">
        <v>165.6</v>
      </c>
      <c r="E8" s="4">
        <v>167.44</v>
      </c>
      <c r="F8" s="5">
        <v>166.94</v>
      </c>
      <c r="G8" s="6">
        <v>-3.1747933389241713E-3</v>
      </c>
      <c r="H8" s="5" t="s">
        <v>662</v>
      </c>
      <c r="I8" s="5">
        <v>1.08</v>
      </c>
      <c r="J8" s="4">
        <v>31.45</v>
      </c>
      <c r="K8" s="4">
        <v>152.57</v>
      </c>
    </row>
  </sheetData>
  <conditionalFormatting sqref="G1:G8">
    <cfRule type="colorScale" priority="5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7:G8">
    <cfRule type="colorScale" priority="5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5"/>
  <sheetViews>
    <sheetView workbookViewId="0">
      <selection activeCell="H12" sqref="H12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style="3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4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745</v>
      </c>
      <c r="B2" s="2" t="s">
        <v>749</v>
      </c>
      <c r="C2" s="4">
        <v>67.23</v>
      </c>
      <c r="D2" s="4">
        <v>67.12</v>
      </c>
      <c r="E2" s="4">
        <v>67.88</v>
      </c>
      <c r="F2" s="5">
        <v>67.45</v>
      </c>
      <c r="G2" s="6">
        <v>-3.2616753150481667E-3</v>
      </c>
      <c r="H2" s="5" t="s">
        <v>750</v>
      </c>
      <c r="I2" s="5">
        <v>2.4300000000000002</v>
      </c>
      <c r="J2" s="4">
        <v>26.72</v>
      </c>
      <c r="K2" s="4">
        <v>58.64</v>
      </c>
    </row>
    <row r="3" spans="1:11" ht="20.100000000000001" customHeight="1" x14ac:dyDescent="0.25">
      <c r="A3" s="2" t="s">
        <v>746</v>
      </c>
      <c r="B3" s="2" t="s">
        <v>751</v>
      </c>
      <c r="C3" s="4">
        <v>52.13</v>
      </c>
      <c r="D3" s="4">
        <v>52.06</v>
      </c>
      <c r="E3" s="4">
        <v>52.65</v>
      </c>
      <c r="F3" s="5">
        <v>52.35</v>
      </c>
      <c r="G3" s="6">
        <v>-4.20248328557782E-3</v>
      </c>
      <c r="H3" s="5" t="s">
        <v>752</v>
      </c>
      <c r="I3" s="5">
        <v>2.29</v>
      </c>
      <c r="J3" s="4">
        <v>24.93</v>
      </c>
      <c r="K3" s="4">
        <v>47.16</v>
      </c>
    </row>
    <row r="4" spans="1:11" ht="20.100000000000001" customHeight="1" x14ac:dyDescent="0.25">
      <c r="A4" s="2" t="s">
        <v>747</v>
      </c>
      <c r="B4" s="2" t="s">
        <v>753</v>
      </c>
      <c r="C4" s="4">
        <v>105.86</v>
      </c>
      <c r="D4" s="4">
        <v>105.46</v>
      </c>
      <c r="E4" s="4">
        <v>106.32</v>
      </c>
      <c r="F4" s="5">
        <v>105.91</v>
      </c>
      <c r="G4" s="6">
        <v>-4.7209895194029987E-4</v>
      </c>
      <c r="H4" s="5" t="s">
        <v>754</v>
      </c>
      <c r="I4" s="5" t="s">
        <v>39</v>
      </c>
      <c r="J4" s="4">
        <v>36.64</v>
      </c>
      <c r="K4" s="4">
        <v>111.04</v>
      </c>
    </row>
    <row r="5" spans="1:11" ht="20.100000000000001" customHeight="1" x14ac:dyDescent="0.25">
      <c r="A5" s="2" t="s">
        <v>748</v>
      </c>
      <c r="B5" s="2" t="s">
        <v>755</v>
      </c>
      <c r="C5" s="4">
        <v>73.05</v>
      </c>
      <c r="D5" s="4">
        <v>72.86</v>
      </c>
      <c r="E5" s="4">
        <v>73.86</v>
      </c>
      <c r="F5" s="5">
        <v>73.209999999999994</v>
      </c>
      <c r="G5" s="6">
        <v>-2.1854937850020024E-3</v>
      </c>
      <c r="H5" s="5" t="s">
        <v>756</v>
      </c>
      <c r="I5" s="5">
        <v>0.79</v>
      </c>
      <c r="J5" s="4" t="s">
        <v>39</v>
      </c>
      <c r="K5" s="4">
        <v>65.13</v>
      </c>
    </row>
  </sheetData>
  <conditionalFormatting sqref="G1:G5">
    <cfRule type="colorScale" priority="6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Index</vt:lpstr>
      <vt:lpstr>Aerospace</vt:lpstr>
      <vt:lpstr>AgChemical</vt:lpstr>
      <vt:lpstr>Airlines</vt:lpstr>
      <vt:lpstr>Apparel</vt:lpstr>
      <vt:lpstr>BioPharma</vt:lpstr>
      <vt:lpstr>Defense</vt:lpstr>
      <vt:lpstr>Electricity</vt:lpstr>
      <vt:lpstr>Electronics</vt:lpstr>
      <vt:lpstr>Energy</vt:lpstr>
      <vt:lpstr>ETF</vt:lpstr>
      <vt:lpstr>Fashion</vt:lpstr>
      <vt:lpstr>FastFood</vt:lpstr>
      <vt:lpstr>Financial</vt:lpstr>
      <vt:lpstr>Food</vt:lpstr>
      <vt:lpstr>Health</vt:lpstr>
      <vt:lpstr>Industrials</vt:lpstr>
      <vt:lpstr>IndustryConglomerate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Technology</vt:lpstr>
      <vt:lpstr>TeleComm</vt:lpstr>
      <vt:lpstr>UtilityREIT</vt:lpstr>
      <vt:lpstr>VarietyStores</vt:lpstr>
      <vt:lpstr>WasteMgt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2016-07-25T00:59:41Z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dc3fc8bd-e837-4936-b935-f1f150e8e847</vt:lpwstr>
  </property>
</Properties>
</file>