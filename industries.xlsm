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drawings/drawing23.xml" ContentType="application/vnd.openxmlformats-officedocument.drawing+xml"/>
  <Override PartName="/xl/tables/table23.xml" ContentType="application/vnd.openxmlformats-officedocument.spreadsheetml.table+xml"/>
  <Override PartName="/xl/drawings/drawing24.xml" ContentType="application/vnd.openxmlformats-officedocument.drawing+xml"/>
  <Override PartName="/xl/tables/table24.xml" ContentType="application/vnd.openxmlformats-officedocument.spreadsheetml.table+xml"/>
  <Override PartName="/xl/drawings/drawing25.xml" ContentType="application/vnd.openxmlformats-officedocument.drawing+xml"/>
  <Override PartName="/xl/tables/table25.xml" ContentType="application/vnd.openxmlformats-officedocument.spreadsheetml.table+xml"/>
  <Override PartName="/xl/drawings/drawing26.xml" ContentType="application/vnd.openxmlformats-officedocument.drawing+xml"/>
  <Override PartName="/xl/tables/table26.xml" ContentType="application/vnd.openxmlformats-officedocument.spreadsheetml.table+xml"/>
  <Override PartName="/xl/drawings/drawing27.xml" ContentType="application/vnd.openxmlformats-officedocument.drawing+xml"/>
  <Override PartName="/xl/tables/table27.xml" ContentType="application/vnd.openxmlformats-officedocument.spreadsheetml.table+xml"/>
  <Override PartName="/xl/drawings/drawing28.xml" ContentType="application/vnd.openxmlformats-officedocument.drawing+xml"/>
  <Override PartName="/xl/tables/table28.xml" ContentType="application/vnd.openxmlformats-officedocument.spreadsheetml.table+xml"/>
  <Override PartName="/xl/drawings/drawing29.xml" ContentType="application/vnd.openxmlformats-officedocument.drawing+xml"/>
  <Override PartName="/xl/tables/table29.xml" ContentType="application/vnd.openxmlformats-officedocument.spreadsheetml.table+xml"/>
  <Override PartName="/xl/drawings/drawing30.xml" ContentType="application/vnd.openxmlformats-officedocument.drawing+xml"/>
  <Override PartName="/xl/tables/table30.xml" ContentType="application/vnd.openxmlformats-officedocument.spreadsheetml.table+xml"/>
  <Override PartName="/xl/drawings/drawing31.xml" ContentType="application/vnd.openxmlformats-officedocument.drawing+xml"/>
  <Override PartName="/xl/tables/table31.xml" ContentType="application/vnd.openxmlformats-officedocument.spreadsheetml.table+xml"/>
  <Override PartName="/xl/drawings/drawing32.xml" ContentType="application/vnd.openxmlformats-officedocument.drawing+xml"/>
  <Override PartName="/xl/tables/table32.xml" ContentType="application/vnd.openxmlformats-officedocument.spreadsheetml.table+xml"/>
  <Override PartName="/xl/drawings/drawing33.xml" ContentType="application/vnd.openxmlformats-officedocument.drawing+xml"/>
  <Override PartName="/xl/tables/table33.xml" ContentType="application/vnd.openxmlformats-officedocument.spreadsheetml.table+xml"/>
  <Override PartName="/xl/drawings/drawing34.xml" ContentType="application/vnd.openxmlformats-officedocument.drawing+xml"/>
  <Override PartName="/xl/tables/table34.xml" ContentType="application/vnd.openxmlformats-officedocument.spreadsheetml.table+xml"/>
  <Override PartName="/xl/drawings/drawing35.xml" ContentType="application/vnd.openxmlformats-officedocument.drawing+xml"/>
  <Override PartName="/xl/tables/table35.xml" ContentType="application/vnd.openxmlformats-officedocument.spreadsheetml.table+xml"/>
  <Override PartName="/xl/drawings/drawing36.xml" ContentType="application/vnd.openxmlformats-officedocument.drawing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Index" sheetId="15" r:id="rId1"/>
    <sheet name="Advertisers" sheetId="42" r:id="rId2"/>
    <sheet name="Aerospace" sheetId="22" r:id="rId3"/>
    <sheet name="AgChemical" sheetId="26" r:id="rId4"/>
    <sheet name="Airlines" sheetId="18" r:id="rId5"/>
    <sheet name="Apparel" sheetId="35" r:id="rId6"/>
    <sheet name="Auto" sheetId="40" r:id="rId7"/>
    <sheet name="BioPharma" sheetId="6" r:id="rId8"/>
    <sheet name="Brokers" sheetId="47" r:id="rId9"/>
    <sheet name="Builder" sheetId="41" r:id="rId10"/>
    <sheet name="Cruise" sheetId="44" r:id="rId11"/>
    <sheet name="Defense" sheetId="16" r:id="rId12"/>
    <sheet name="Electricity" sheetId="1" r:id="rId13"/>
    <sheet name="Electronics" sheetId="31" r:id="rId14"/>
    <sheet name="E_P" sheetId="2" r:id="rId15"/>
    <sheet name="ETF" sheetId="36" r:id="rId16"/>
    <sheet name="Fashion" sheetId="4" r:id="rId17"/>
    <sheet name="FastFood" sheetId="37" r:id="rId18"/>
    <sheet name="Financial" sheetId="13" r:id="rId19"/>
    <sheet name="Food" sheetId="17" r:id="rId20"/>
    <sheet name="Game" sheetId="43" r:id="rId21"/>
    <sheet name="Health" sheetId="3" r:id="rId22"/>
    <sheet name="HomeProducts" sheetId="45" r:id="rId23"/>
    <sheet name="Industrials" sheetId="7" r:id="rId24"/>
    <sheet name="IndustryCongl." sheetId="38" r:id="rId25"/>
    <sheet name="Insurance" sheetId="8" r:id="rId26"/>
    <sheet name="Media" sheetId="11" r:id="rId27"/>
    <sheet name="Metal" sheetId="28" r:id="rId28"/>
    <sheet name="Packaging" sheetId="24" r:id="rId29"/>
    <sheet name="Railroads" sheetId="10" r:id="rId30"/>
    <sheet name="Semiconductor" sheetId="5" r:id="rId31"/>
    <sheet name="Solar" sheetId="12" r:id="rId32"/>
    <sheet name="Technology" sheetId="30" r:id="rId33"/>
    <sheet name="TeleComm" sheetId="19" r:id="rId34"/>
    <sheet name="UtilityREIT" sheetId="9" r:id="rId35"/>
    <sheet name="VarietyStores" sheetId="34" r:id="rId36"/>
    <sheet name="WasteMgt" sheetId="39" r:id="rId3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4" l="1"/>
  <c r="M8" i="34" s="1"/>
  <c r="L6" i="47" l="1"/>
  <c r="M6" i="47" s="1"/>
  <c r="L5" i="47"/>
  <c r="M5" i="47" s="1"/>
  <c r="L4" i="47"/>
  <c r="M4" i="47" s="1"/>
  <c r="L3" i="47"/>
  <c r="M3" i="47" s="1"/>
  <c r="L2" i="47"/>
  <c r="M2" i="47" s="1"/>
  <c r="L7" i="45"/>
  <c r="M7" i="45" s="1"/>
  <c r="L6" i="45"/>
  <c r="M6" i="45" s="1"/>
  <c r="L5" i="45"/>
  <c r="M5" i="45" s="1"/>
  <c r="L4" i="45"/>
  <c r="M4" i="45" s="1"/>
  <c r="L3" i="45"/>
  <c r="M3" i="45" s="1"/>
  <c r="L2" i="45"/>
  <c r="M2" i="45" s="1"/>
  <c r="L8" i="16" l="1"/>
  <c r="M8" i="16" s="1"/>
  <c r="L10" i="18" l="1"/>
  <c r="M10" i="18" s="1"/>
  <c r="L11" i="13"/>
  <c r="M11" i="13" s="1"/>
  <c r="L13" i="6"/>
  <c r="M13" i="6" s="1"/>
  <c r="L19" i="9"/>
  <c r="M19" i="9" s="1"/>
  <c r="L13" i="8"/>
  <c r="M13" i="8" s="1"/>
  <c r="M8" i="22"/>
  <c r="L5" i="44" l="1"/>
  <c r="M5" i="44" s="1"/>
  <c r="L6" i="44"/>
  <c r="M6" i="44" s="1"/>
  <c r="L4" i="44"/>
  <c r="M4" i="44" s="1"/>
  <c r="L3" i="44"/>
  <c r="M3" i="44" s="1"/>
  <c r="L2" i="44"/>
  <c r="M2" i="44" s="1"/>
  <c r="L6" i="40"/>
  <c r="M6" i="40" s="1"/>
  <c r="L5" i="40" l="1"/>
  <c r="M5" i="40" s="1"/>
  <c r="L6" i="43"/>
  <c r="M6" i="43" s="1"/>
  <c r="L7" i="43"/>
  <c r="M7" i="43" s="1"/>
  <c r="L5" i="43"/>
  <c r="M5" i="43" s="1"/>
  <c r="L4" i="43"/>
  <c r="M4" i="43" s="1"/>
  <c r="L3" i="43"/>
  <c r="M3" i="43" s="1"/>
  <c r="L2" i="43"/>
  <c r="M2" i="43" s="1"/>
  <c r="L8" i="24"/>
  <c r="M8" i="24" s="1"/>
  <c r="L3" i="42"/>
  <c r="L4" i="42"/>
  <c r="M4" i="42" s="1"/>
  <c r="L5" i="42"/>
  <c r="L2" i="42"/>
  <c r="M5" i="42"/>
  <c r="M3" i="42"/>
  <c r="M2" i="42"/>
  <c r="L6" i="41"/>
  <c r="M6" i="41" s="1"/>
  <c r="L5" i="41"/>
  <c r="M5" i="41" s="1"/>
  <c r="L4" i="41"/>
  <c r="M4" i="41" s="1"/>
  <c r="L3" i="41"/>
  <c r="M3" i="41" s="1"/>
  <c r="L2" i="41"/>
  <c r="M2" i="41" s="1"/>
  <c r="L2" i="39"/>
  <c r="M2" i="39" s="1"/>
  <c r="L3" i="39"/>
  <c r="M3" i="39" s="1"/>
  <c r="L4" i="39"/>
  <c r="M4" i="39" s="1"/>
  <c r="L5" i="39"/>
  <c r="M5" i="39" s="1"/>
  <c r="L2" i="34"/>
  <c r="M2" i="34" s="1"/>
  <c r="L3" i="34"/>
  <c r="M3" i="34" s="1"/>
  <c r="L4" i="34"/>
  <c r="M4" i="34" s="1"/>
  <c r="L5" i="34"/>
  <c r="M5" i="34" s="1"/>
  <c r="L6" i="34"/>
  <c r="M6" i="34" s="1"/>
  <c r="L7" i="34"/>
  <c r="M7" i="34" s="1"/>
  <c r="L9" i="34"/>
  <c r="M9" i="34" s="1"/>
  <c r="L27" i="9"/>
  <c r="M27" i="9" s="1"/>
  <c r="L16" i="9"/>
  <c r="M16" i="9" s="1"/>
  <c r="L24" i="9"/>
  <c r="M24" i="9" s="1"/>
  <c r="L3" i="9"/>
  <c r="M3" i="9" s="1"/>
  <c r="L12" i="9"/>
  <c r="M12" i="9" s="1"/>
  <c r="L25" i="9"/>
  <c r="M25" i="9" s="1"/>
  <c r="L2" i="9"/>
  <c r="M2" i="9" s="1"/>
  <c r="L29" i="9"/>
  <c r="M29" i="9" s="1"/>
  <c r="L20" i="9"/>
  <c r="M20" i="9" s="1"/>
  <c r="L28" i="9"/>
  <c r="M28" i="9" s="1"/>
  <c r="L11" i="9"/>
  <c r="M11" i="9" s="1"/>
  <c r="L14" i="9"/>
  <c r="M14" i="9" s="1"/>
  <c r="L8" i="9"/>
  <c r="M8" i="9" s="1"/>
  <c r="L33" i="9"/>
  <c r="M33" i="9" s="1"/>
  <c r="L18" i="9"/>
  <c r="M18" i="9" s="1"/>
  <c r="L6" i="9"/>
  <c r="M6" i="9" s="1"/>
  <c r="L10" i="9"/>
  <c r="M10" i="9" s="1"/>
  <c r="L9" i="9"/>
  <c r="M9" i="9" s="1"/>
  <c r="L13" i="9"/>
  <c r="M13" i="9" s="1"/>
  <c r="L32" i="9"/>
  <c r="M32" i="9" s="1"/>
  <c r="L21" i="9"/>
  <c r="M21" i="9" s="1"/>
  <c r="L5" i="9"/>
  <c r="M5" i="9" s="1"/>
  <c r="L4" i="9"/>
  <c r="M4" i="9" s="1"/>
  <c r="L17" i="9"/>
  <c r="M17" i="9" s="1"/>
  <c r="L23" i="9"/>
  <c r="M23" i="9" s="1"/>
  <c r="L31" i="9"/>
  <c r="M31" i="9" s="1"/>
  <c r="L26" i="9"/>
  <c r="M26" i="9" s="1"/>
  <c r="L30" i="9"/>
  <c r="M30" i="9" s="1"/>
  <c r="L7" i="9"/>
  <c r="M7" i="9" s="1"/>
  <c r="L22" i="9"/>
  <c r="M22" i="9" s="1"/>
  <c r="L15" i="9"/>
  <c r="M15" i="9" s="1"/>
  <c r="L2" i="19"/>
  <c r="M2" i="19" s="1"/>
  <c r="L3" i="19"/>
  <c r="M3" i="19" s="1"/>
  <c r="L4" i="19"/>
  <c r="M4" i="19" s="1"/>
  <c r="L5" i="19"/>
  <c r="M5" i="19" s="1"/>
  <c r="M2" i="30"/>
  <c r="N2" i="30" s="1"/>
  <c r="M3" i="30"/>
  <c r="N3" i="30" s="1"/>
  <c r="M4" i="30"/>
  <c r="N4" i="30" s="1"/>
  <c r="M5" i="30"/>
  <c r="M6" i="30"/>
  <c r="N6" i="30" s="1"/>
  <c r="M7" i="30"/>
  <c r="N7" i="30" s="1"/>
  <c r="M8" i="30"/>
  <c r="N8" i="30" s="1"/>
  <c r="M9" i="30"/>
  <c r="N9" i="30" s="1"/>
  <c r="M10" i="30"/>
  <c r="N10" i="30" s="1"/>
  <c r="M11" i="30"/>
  <c r="N11" i="30" s="1"/>
  <c r="M12" i="30"/>
  <c r="N12" i="30" s="1"/>
  <c r="N5" i="30"/>
  <c r="L2" i="12"/>
  <c r="M2" i="12" s="1"/>
  <c r="L3" i="12"/>
  <c r="M3" i="12" s="1"/>
  <c r="L4" i="12"/>
  <c r="M4" i="12" s="1"/>
  <c r="L5" i="12"/>
  <c r="M5" i="12" s="1"/>
  <c r="L6" i="12"/>
  <c r="M6" i="12" s="1"/>
  <c r="L7" i="12"/>
  <c r="M7" i="12" s="1"/>
  <c r="L8" i="12"/>
  <c r="M8" i="12" s="1"/>
  <c r="L11" i="5"/>
  <c r="M11" i="5" s="1"/>
  <c r="L12" i="5"/>
  <c r="M12" i="5" s="1"/>
  <c r="L2" i="5"/>
  <c r="M2" i="5" s="1"/>
  <c r="L3" i="5"/>
  <c r="L4" i="5"/>
  <c r="L5" i="5"/>
  <c r="M5" i="5" s="1"/>
  <c r="L6" i="5"/>
  <c r="M6" i="5" s="1"/>
  <c r="L7" i="5"/>
  <c r="M7" i="5" s="1"/>
  <c r="L8" i="5"/>
  <c r="M8" i="5" s="1"/>
  <c r="L9" i="5"/>
  <c r="M9" i="5" s="1"/>
  <c r="L10" i="5"/>
  <c r="M10" i="5" s="1"/>
  <c r="M3" i="5"/>
  <c r="M4" i="5"/>
  <c r="L2" i="10"/>
  <c r="M2" i="10" s="1"/>
  <c r="L3" i="10"/>
  <c r="M3" i="10" s="1"/>
  <c r="L4" i="10"/>
  <c r="M4" i="10" s="1"/>
  <c r="L5" i="10"/>
  <c r="M5" i="10" s="1"/>
  <c r="L6" i="10"/>
  <c r="M6" i="10" s="1"/>
  <c r="L7" i="10"/>
  <c r="M7" i="10" s="1"/>
  <c r="L8" i="10"/>
  <c r="M8" i="10" s="1"/>
  <c r="L2" i="24"/>
  <c r="M2" i="24" s="1"/>
  <c r="L3" i="24"/>
  <c r="M3" i="24" s="1"/>
  <c r="L4" i="24"/>
  <c r="M4" i="24" s="1"/>
  <c r="L5" i="24"/>
  <c r="M5" i="24" s="1"/>
  <c r="L6" i="24"/>
  <c r="M6" i="24" s="1"/>
  <c r="L7" i="24"/>
  <c r="M7" i="24" s="1"/>
  <c r="L2" i="28"/>
  <c r="M2" i="28" s="1"/>
  <c r="L3" i="28"/>
  <c r="M3" i="28" s="1"/>
  <c r="L4" i="28"/>
  <c r="L5" i="28"/>
  <c r="L6" i="28"/>
  <c r="M6" i="28" s="1"/>
  <c r="L7" i="28"/>
  <c r="M7" i="28" s="1"/>
  <c r="L8" i="28"/>
  <c r="M8" i="28" s="1"/>
  <c r="L9" i="28"/>
  <c r="M9" i="28" s="1"/>
  <c r="L10" i="28"/>
  <c r="M10" i="28" s="1"/>
  <c r="L11" i="28"/>
  <c r="M11" i="28" s="1"/>
  <c r="L12" i="28"/>
  <c r="L13" i="28"/>
  <c r="M13" i="28" s="1"/>
  <c r="L14" i="28"/>
  <c r="M14" i="28" s="1"/>
  <c r="M4" i="28"/>
  <c r="M5" i="28"/>
  <c r="M12" i="28"/>
  <c r="L2" i="11"/>
  <c r="M2" i="11" s="1"/>
  <c r="L3" i="11"/>
  <c r="M3" i="11" s="1"/>
  <c r="L4" i="11"/>
  <c r="M4" i="11" s="1"/>
  <c r="L5" i="11"/>
  <c r="M5" i="11" s="1"/>
  <c r="L6" i="11"/>
  <c r="M6" i="11" s="1"/>
  <c r="L7" i="11"/>
  <c r="M7" i="11" s="1"/>
  <c r="L8" i="11"/>
  <c r="M8" i="11" s="1"/>
  <c r="L2" i="8"/>
  <c r="M2" i="8" s="1"/>
  <c r="L3" i="8"/>
  <c r="M3" i="8" s="1"/>
  <c r="L4" i="8"/>
  <c r="M4" i="8" s="1"/>
  <c r="L5" i="8"/>
  <c r="L6" i="8"/>
  <c r="M6" i="8" s="1"/>
  <c r="L7" i="8"/>
  <c r="M7" i="8" s="1"/>
  <c r="L8" i="8"/>
  <c r="M8" i="8" s="1"/>
  <c r="L9" i="8"/>
  <c r="M9" i="8" s="1"/>
  <c r="L10" i="8"/>
  <c r="M10" i="8" s="1"/>
  <c r="L11" i="8"/>
  <c r="M11" i="8" s="1"/>
  <c r="L12" i="8"/>
  <c r="M12" i="8" s="1"/>
  <c r="M5" i="8"/>
  <c r="L14" i="38"/>
  <c r="M14" i="38" s="1"/>
  <c r="L15" i="38"/>
  <c r="M15" i="38" s="1"/>
  <c r="L16" i="38"/>
  <c r="M16" i="38" s="1"/>
  <c r="L17" i="38"/>
  <c r="M17" i="38" s="1"/>
  <c r="L18" i="38"/>
  <c r="M18" i="38" s="1"/>
  <c r="L2" i="38"/>
  <c r="M2" i="38" s="1"/>
  <c r="L3" i="38"/>
  <c r="L4" i="38"/>
  <c r="M4" i="38" s="1"/>
  <c r="L5" i="38"/>
  <c r="L6" i="38"/>
  <c r="M6" i="38" s="1"/>
  <c r="L7" i="38"/>
  <c r="M7" i="38" s="1"/>
  <c r="L8" i="38"/>
  <c r="M8" i="38" s="1"/>
  <c r="L9" i="38"/>
  <c r="M9" i="38" s="1"/>
  <c r="L10" i="38"/>
  <c r="M10" i="38" s="1"/>
  <c r="L11" i="38"/>
  <c r="L12" i="38"/>
  <c r="M12" i="38" s="1"/>
  <c r="L13" i="38"/>
  <c r="M13" i="38" s="1"/>
  <c r="M3" i="38"/>
  <c r="M5" i="38"/>
  <c r="M11" i="38"/>
  <c r="L4" i="40"/>
  <c r="M4" i="40" s="1"/>
  <c r="L7" i="40"/>
  <c r="M7" i="40" s="1"/>
  <c r="L3" i="40"/>
  <c r="M3" i="40" s="1"/>
  <c r="L2" i="40"/>
  <c r="M2" i="40" s="1"/>
  <c r="L2" i="7"/>
  <c r="M2" i="7" s="1"/>
  <c r="L3" i="7"/>
  <c r="M3" i="7" s="1"/>
  <c r="L4" i="7"/>
  <c r="M4" i="7" s="1"/>
  <c r="L5" i="7"/>
  <c r="M5" i="7" s="1"/>
  <c r="L6" i="7"/>
  <c r="M6" i="7" s="1"/>
  <c r="L7" i="7"/>
  <c r="M7" i="7" s="1"/>
  <c r="L8" i="7"/>
  <c r="M8" i="7" s="1"/>
  <c r="L9" i="7"/>
  <c r="M9" i="7" s="1"/>
  <c r="L10" i="7"/>
  <c r="M10" i="7" s="1"/>
  <c r="L11" i="7"/>
  <c r="M11" i="7" s="1"/>
  <c r="L12" i="7"/>
  <c r="M12" i="7" s="1"/>
  <c r="L13" i="7"/>
  <c r="M13" i="7" s="1"/>
  <c r="L9" i="3"/>
  <c r="L2" i="3"/>
  <c r="L3" i="3"/>
  <c r="L4" i="3"/>
  <c r="L5" i="3"/>
  <c r="L6" i="3"/>
  <c r="L7" i="3"/>
  <c r="M7" i="3" s="1"/>
  <c r="L8" i="3"/>
  <c r="M8" i="3" s="1"/>
  <c r="M9" i="3"/>
  <c r="M2" i="3"/>
  <c r="M3" i="3"/>
  <c r="M4" i="3"/>
  <c r="M5" i="3"/>
  <c r="M6" i="3"/>
  <c r="L9" i="17"/>
  <c r="M9" i="17" s="1"/>
  <c r="L2" i="17"/>
  <c r="L3" i="17"/>
  <c r="L4" i="17"/>
  <c r="M4" i="17" s="1"/>
  <c r="L5" i="17"/>
  <c r="M5" i="17" s="1"/>
  <c r="L6" i="17"/>
  <c r="M6" i="17" s="1"/>
  <c r="L7" i="17"/>
  <c r="M7" i="17" s="1"/>
  <c r="L8" i="17"/>
  <c r="M8" i="17" s="1"/>
  <c r="L10" i="17"/>
  <c r="M10" i="17" s="1"/>
  <c r="M2" i="17"/>
  <c r="M3" i="17"/>
  <c r="L2" i="2"/>
  <c r="M2" i="2" s="1"/>
  <c r="L3" i="2"/>
  <c r="L4" i="2"/>
  <c r="L5" i="2"/>
  <c r="L6" i="2"/>
  <c r="M6" i="2" s="1"/>
  <c r="L7" i="2"/>
  <c r="M7" i="2" s="1"/>
  <c r="L8" i="2"/>
  <c r="M8" i="2" s="1"/>
  <c r="L9" i="2"/>
  <c r="M9" i="2" s="1"/>
  <c r="L10" i="2"/>
  <c r="M10" i="2" s="1"/>
  <c r="L11" i="2"/>
  <c r="L12" i="2"/>
  <c r="L13" i="2"/>
  <c r="M13" i="2" s="1"/>
  <c r="L14" i="2"/>
  <c r="M14" i="2" s="1"/>
  <c r="L15" i="2"/>
  <c r="M15" i="2" s="1"/>
  <c r="L16" i="2"/>
  <c r="M16" i="2" s="1"/>
  <c r="L17" i="2"/>
  <c r="L2" i="4"/>
  <c r="M2" i="4" s="1"/>
  <c r="L3" i="4"/>
  <c r="M3" i="4" s="1"/>
  <c r="L4" i="4"/>
  <c r="L5" i="4"/>
  <c r="L6" i="4"/>
  <c r="M6" i="4" s="1"/>
  <c r="L7" i="4"/>
  <c r="M7" i="4" s="1"/>
  <c r="L8" i="4"/>
  <c r="M8" i="4" s="1"/>
  <c r="L9" i="4"/>
  <c r="M9" i="4" s="1"/>
  <c r="L2" i="37"/>
  <c r="M2" i="37" s="1"/>
  <c r="L3" i="37"/>
  <c r="L4" i="37"/>
  <c r="M4" i="37" s="1"/>
  <c r="L5" i="37"/>
  <c r="M5" i="37" s="1"/>
  <c r="L6" i="37"/>
  <c r="M6" i="37" s="1"/>
  <c r="L7" i="37"/>
  <c r="M7" i="37" s="1"/>
  <c r="L8" i="37"/>
  <c r="M8" i="37" s="1"/>
  <c r="L9" i="37"/>
  <c r="M9" i="37" s="1"/>
  <c r="L10" i="37"/>
  <c r="M10" i="37" s="1"/>
  <c r="L2" i="13"/>
  <c r="M2" i="13" s="1"/>
  <c r="L3" i="13"/>
  <c r="L4" i="13"/>
  <c r="M4" i="13" s="1"/>
  <c r="L5" i="13"/>
  <c r="M5" i="13" s="1"/>
  <c r="L6" i="13"/>
  <c r="M6" i="13" s="1"/>
  <c r="L7" i="13"/>
  <c r="M7" i="13" s="1"/>
  <c r="L8" i="13"/>
  <c r="M8" i="13" s="1"/>
  <c r="L9" i="13"/>
  <c r="M9" i="13" s="1"/>
  <c r="L10" i="13"/>
  <c r="M10" i="13" s="1"/>
  <c r="L12" i="13"/>
  <c r="M12" i="13" s="1"/>
  <c r="L13" i="13"/>
  <c r="M13" i="13" s="1"/>
  <c r="L14" i="13"/>
  <c r="L15" i="13"/>
  <c r="M15" i="13" s="1"/>
  <c r="L16" i="13"/>
  <c r="M16" i="13" s="1"/>
  <c r="L17" i="13"/>
  <c r="M17" i="13" s="1"/>
  <c r="L18" i="13"/>
  <c r="M18" i="13" s="1"/>
  <c r="L19" i="13"/>
  <c r="M19" i="13" s="1"/>
  <c r="M3" i="13"/>
  <c r="M14" i="13"/>
  <c r="M3" i="37"/>
  <c r="M4" i="4"/>
  <c r="M5" i="4"/>
  <c r="L2" i="36"/>
  <c r="M2" i="36" s="1"/>
  <c r="L3" i="36"/>
  <c r="M3" i="36" s="1"/>
  <c r="L4" i="36"/>
  <c r="M4" i="36" s="1"/>
  <c r="M3" i="2"/>
  <c r="M4" i="2"/>
  <c r="M5" i="2"/>
  <c r="M17" i="2"/>
  <c r="M11" i="2"/>
  <c r="M12" i="2"/>
  <c r="L2" i="31"/>
  <c r="M2" i="31" s="1"/>
  <c r="L3" i="31"/>
  <c r="M3" i="31" s="1"/>
  <c r="L4" i="31"/>
  <c r="M4" i="31" s="1"/>
  <c r="L5" i="31"/>
  <c r="M5" i="31" s="1"/>
  <c r="L6" i="31"/>
  <c r="M6" i="31" s="1"/>
  <c r="L7" i="31"/>
  <c r="M7" i="31" s="1"/>
  <c r="L8" i="31"/>
  <c r="M8" i="31" s="1"/>
  <c r="L2" i="1"/>
  <c r="M2" i="1" s="1"/>
  <c r="L3" i="1"/>
  <c r="M3" i="1" s="1"/>
  <c r="L4" i="1"/>
  <c r="M4" i="1" s="1"/>
  <c r="L5" i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M5" i="1"/>
  <c r="L3" i="16"/>
  <c r="M3" i="16" s="1"/>
  <c r="L4" i="16"/>
  <c r="M4" i="16" s="1"/>
  <c r="L5" i="16"/>
  <c r="M5" i="16" s="1"/>
  <c r="L6" i="16"/>
  <c r="M6" i="16" s="1"/>
  <c r="L7" i="16"/>
  <c r="M7" i="16" s="1"/>
  <c r="L9" i="16"/>
  <c r="M9" i="16" s="1"/>
  <c r="L10" i="16"/>
  <c r="M10" i="16" s="1"/>
  <c r="L2" i="16"/>
  <c r="M2" i="16" s="1"/>
  <c r="L2" i="6"/>
  <c r="M2" i="6" s="1"/>
  <c r="L3" i="6"/>
  <c r="L4" i="6"/>
  <c r="M4" i="6" s="1"/>
  <c r="L5" i="6"/>
  <c r="M5" i="6" s="1"/>
  <c r="L6" i="6"/>
  <c r="M6" i="6" s="1"/>
  <c r="L7" i="6"/>
  <c r="M7" i="6" s="1"/>
  <c r="L8" i="6"/>
  <c r="M8" i="6" s="1"/>
  <c r="L9" i="6"/>
  <c r="M9" i="6" s="1"/>
  <c r="L10" i="6"/>
  <c r="M10" i="6" s="1"/>
  <c r="L11" i="6"/>
  <c r="M11" i="6" s="1"/>
  <c r="L12" i="6"/>
  <c r="M12" i="6" s="1"/>
  <c r="L14" i="6"/>
  <c r="M14" i="6" s="1"/>
  <c r="L15" i="6"/>
  <c r="M15" i="6" s="1"/>
  <c r="L16" i="6"/>
  <c r="M16" i="6" s="1"/>
  <c r="L17" i="6"/>
  <c r="M17" i="6" s="1"/>
  <c r="L18" i="6"/>
  <c r="M18" i="6" s="1"/>
  <c r="L19" i="6"/>
  <c r="M19" i="6" s="1"/>
  <c r="L20" i="6"/>
  <c r="M20" i="6" s="1"/>
  <c r="L21" i="6"/>
  <c r="M21" i="6" s="1"/>
  <c r="L22" i="6"/>
  <c r="M22" i="6" s="1"/>
  <c r="M3" i="6"/>
  <c r="L2" i="35"/>
  <c r="M2" i="35" s="1"/>
  <c r="L3" i="35"/>
  <c r="M3" i="35" s="1"/>
  <c r="L4" i="35"/>
  <c r="M4" i="35" s="1"/>
  <c r="L5" i="35"/>
  <c r="M5" i="35" s="1"/>
  <c r="L6" i="35"/>
  <c r="M6" i="35" s="1"/>
  <c r="L7" i="35"/>
  <c r="M7" i="35" s="1"/>
  <c r="L8" i="35"/>
  <c r="M8" i="35" s="1"/>
  <c r="L3" i="18"/>
  <c r="M3" i="18" s="1"/>
  <c r="L4" i="18"/>
  <c r="M4" i="18" s="1"/>
  <c r="L5" i="18"/>
  <c r="M5" i="18" s="1"/>
  <c r="L6" i="18"/>
  <c r="M6" i="18" s="1"/>
  <c r="L7" i="18"/>
  <c r="M7" i="18" s="1"/>
  <c r="L8" i="18"/>
  <c r="M8" i="18" s="1"/>
  <c r="L9" i="18"/>
  <c r="M9" i="18" s="1"/>
  <c r="L11" i="18"/>
  <c r="M11" i="18" s="1"/>
  <c r="L2" i="18"/>
  <c r="M2" i="18" s="1"/>
  <c r="L3" i="26"/>
  <c r="M3" i="26" s="1"/>
  <c r="L4" i="26"/>
  <c r="M4" i="26" s="1"/>
  <c r="L5" i="26"/>
  <c r="M5" i="26" s="1"/>
  <c r="L6" i="26"/>
  <c r="M6" i="26" s="1"/>
  <c r="L7" i="26"/>
  <c r="M7" i="26" s="1"/>
  <c r="L8" i="26"/>
  <c r="M8" i="26" s="1"/>
  <c r="L9" i="26"/>
  <c r="M9" i="26" s="1"/>
  <c r="L10" i="26"/>
  <c r="M10" i="26" s="1"/>
  <c r="L11" i="26"/>
  <c r="M11" i="26" s="1"/>
  <c r="L12" i="26"/>
  <c r="M12" i="26" s="1"/>
  <c r="L13" i="26"/>
  <c r="M13" i="26" s="1"/>
  <c r="L2" i="26"/>
  <c r="M2" i="26" s="1"/>
  <c r="M2" i="22" l="1"/>
  <c r="M3" i="22"/>
  <c r="M4" i="22"/>
  <c r="M5" i="22"/>
  <c r="M6" i="22"/>
  <c r="M7" i="22"/>
</calcChain>
</file>

<file path=xl/sharedStrings.xml><?xml version="1.0" encoding="utf-8"?>
<sst xmlns="http://schemas.openxmlformats.org/spreadsheetml/2006/main" count="2025" uniqueCount="1002">
  <si>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</si>
  <si>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</si>
  <si>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</si>
  <si>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</si>
  <si>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</si>
  <si>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</si>
  <si>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</si>
  <si>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</si>
  <si>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</si>
  <si>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</si>
  <si>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</si>
  <si>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</si>
  <si>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</si>
  <si>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</si>
  <si>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</si>
  <si>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</si>
  <si>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</si>
  <si>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</si>
  <si>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</si>
  <si>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</si>
  <si>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</si>
  <si>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</si>
  <si>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</si>
  <si>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</si>
  <si>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</si>
  <si>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</si>
  <si>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</si>
  <si>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</si>
  <si>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</si>
  <si>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</si>
  <si>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</si>
  <si>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</si>
  <si>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</si>
  <si>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</si>
  <si>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</si>
  <si>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</si>
  <si>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</si>
  <si>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</si>
  <si>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</si>
  <si>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</si>
  <si>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</si>
  <si>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</si>
  <si>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</si>
  <si>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</si>
  <si>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</si>
  <si>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</si>
  <si>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</si>
  <si>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</si>
  <si>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</si>
  <si>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</si>
  <si>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</si>
  <si>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</si>
  <si>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</si>
  <si>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</si>
  <si>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</si>
  <si>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</si>
  <si>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</si>
  <si>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</si>
  <si>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</si>
  <si>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</si>
  <si>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</si>
  <si>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</si>
  <si>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</si>
  <si>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</si>
  <si>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</si>
  <si>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</si>
  <si>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</si>
  <si>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</si>
  <si>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</si>
  <si>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</si>
  <si>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</si>
  <si>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</si>
  <si>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</si>
  <si>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</si>
  <si>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</si>
  <si>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</si>
  <si>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LRCX</t>
  </si>
  <si>
    <t>QCOM</t>
  </si>
  <si>
    <t>"Intel Corporation"</t>
  </si>
  <si>
    <t>"Micron Technology, Inc."</t>
  </si>
  <si>
    <t>SWKS</t>
  </si>
  <si>
    <t>"Skyworks Solutions, Inc."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</si>
  <si>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</si>
  <si>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</si>
  <si>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</si>
  <si>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</si>
  <si>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</si>
  <si>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</si>
  <si>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</si>
  <si>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</si>
  <si>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</si>
  <si>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</si>
  <si>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</si>
  <si>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</si>
  <si>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</si>
  <si>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</si>
  <si>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</si>
  <si>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</si>
  <si>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</si>
  <si>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</si>
  <si>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</si>
  <si>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</si>
  <si>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</si>
  <si>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</si>
  <si>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</si>
  <si>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</si>
  <si>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</si>
  <si>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</si>
  <si>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</si>
  <si>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</si>
  <si>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</si>
  <si>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</si>
  <si>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</si>
  <si>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</si>
  <si>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</si>
  <si>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</si>
  <si>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</si>
  <si>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</si>
  <si>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</si>
  <si>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</si>
  <si>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</si>
  <si>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</si>
  <si>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</si>
  <si>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</si>
  <si>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</si>
  <si>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</si>
  <si>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</si>
  <si>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</si>
  <si>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</si>
  <si>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</si>
  <si>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</si>
  <si>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</si>
  <si>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</si>
  <si>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</si>
  <si>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</si>
  <si>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</si>
  <si>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</si>
  <si>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</si>
  <si>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</si>
  <si>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</si>
  <si>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</si>
  <si>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</si>
  <si>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</si>
  <si>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</si>
  <si>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</si>
  <si>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</si>
  <si>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</si>
  <si>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</si>
  <si>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</si>
  <si>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</si>
  <si>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</si>
  <si>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</si>
  <si>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</si>
  <si>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</si>
  <si>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</si>
  <si>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</si>
  <si>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</si>
  <si>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</si>
  <si>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</si>
  <si>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</si>
  <si>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</si>
  <si>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</si>
  <si>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</si>
  <si>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</si>
  <si>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</si>
  <si>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</si>
  <si>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</si>
  <si>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</si>
  <si>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</si>
  <si>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</si>
  <si>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</si>
  <si>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</si>
  <si>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</si>
  <si>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</si>
  <si>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</si>
  <si>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</si>
  <si>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</si>
  <si>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</si>
  <si>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</si>
  <si>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</si>
  <si>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</si>
  <si>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</si>
  <si>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</si>
  <si>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</si>
  <si>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</si>
  <si>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</si>
  <si>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</si>
  <si>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</si>
  <si>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</si>
  <si>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</si>
  <si>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</si>
  <si>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</si>
  <si>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</si>
  <si>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</si>
  <si>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</si>
  <si>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</si>
  <si>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</si>
  <si>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</si>
  <si>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</si>
  <si>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</si>
  <si>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</si>
  <si>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</si>
  <si>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</si>
  <si>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</si>
  <si>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</si>
  <si>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</si>
  <si>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</si>
  <si>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</si>
  <si>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</si>
  <si>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</si>
  <si>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</si>
  <si>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</si>
  <si>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</si>
  <si>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</si>
  <si>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</si>
  <si>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</si>
  <si>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</si>
  <si>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</si>
  <si>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</si>
  <si>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</si>
  <si>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</si>
  <si>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</si>
  <si>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</si>
  <si>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</si>
  <si>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</si>
  <si>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</si>
  <si>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</si>
  <si>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</si>
  <si>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</si>
  <si>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</si>
  <si>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</si>
  <si>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</si>
  <si>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</si>
  <si>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</si>
  <si>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</si>
  <si>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</si>
  <si>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</si>
  <si>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</si>
  <si>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</si>
  <si>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</si>
  <si>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</si>
  <si>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</si>
  <si>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</si>
  <si>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</si>
  <si>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</si>
  <si>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</si>
  <si>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</si>
  <si>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</si>
  <si>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</si>
  <si>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</si>
  <si>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</si>
  <si>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</si>
  <si>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</si>
  <si>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</si>
  <si>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</si>
  <si>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</si>
  <si>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</si>
  <si>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</si>
  <si>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</si>
  <si>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</si>
  <si>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</si>
  <si>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</si>
  <si>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</si>
  <si>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</si>
  <si>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</si>
  <si>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</si>
  <si>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</si>
  <si>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</si>
  <si>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</si>
  <si>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</si>
  <si>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</si>
  <si>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</si>
  <si>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</si>
  <si>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</si>
  <si>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</si>
  <si>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</si>
  <si>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</si>
  <si>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</si>
  <si>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</si>
  <si>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</si>
  <si>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</si>
  <si>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</si>
  <si>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</si>
  <si>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</si>
  <si>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</si>
  <si>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</si>
  <si>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</si>
  <si>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</si>
  <si>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</si>
  <si>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</si>
  <si>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</si>
  <si>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CB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</si>
  <si>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</si>
  <si>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</si>
  <si>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</si>
  <si>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</si>
  <si>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</si>
  <si>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</si>
  <si>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</si>
  <si>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</si>
  <si>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</si>
  <si>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</si>
  <si>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</si>
  <si>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</si>
  <si>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</si>
  <si>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</si>
  <si>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</si>
  <si>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</si>
  <si>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</si>
  <si>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</si>
  <si>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</si>
  <si>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</si>
  <si>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</si>
  <si>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</si>
  <si>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</si>
  <si>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</si>
  <si>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</si>
  <si>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</si>
  <si>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</si>
  <si>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</si>
  <si>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</si>
  <si>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"Graphic Packaging Holding Compa"</t>
  </si>
  <si>
    <t>"Packaging Corporation of Americ"</t>
  </si>
  <si>
    <t>"KapStone Paper and Packaging Co"</t>
  </si>
  <si>
    <t>Packaging</t>
  </si>
  <si>
    <t>BURBY</t>
  </si>
  <si>
    <t>"BURBERRY GROUP PLC"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</si>
  <si>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</si>
  <si>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</si>
  <si>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</si>
  <si>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</si>
  <si>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</si>
  <si>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</si>
  <si>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</si>
  <si>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</si>
  <si>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</si>
  <si>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</si>
  <si>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</si>
  <si>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</si>
  <si>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</si>
  <si>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SEDG</t>
  </si>
  <si>
    <t>"SolarEdge Technologies, Inc."</t>
  </si>
  <si>
    <t>"Biogen Inc."</t>
  </si>
  <si>
    <t>"Mylan N.V."</t>
  </si>
  <si>
    <t>Metal</t>
  </si>
  <si>
    <t>ACH</t>
  </si>
  <si>
    <t>"Aluminum Corporation of China L"</t>
  </si>
  <si>
    <t>CENX</t>
  </si>
  <si>
    <t>NUE</t>
  </si>
  <si>
    <t>"Century Aluminum Company"</t>
  </si>
  <si>
    <t>"Nucor Corporation Common Stock"</t>
  </si>
  <si>
    <t>STLD</t>
  </si>
  <si>
    <t>"Steel Dynamics, Inc."</t>
  </si>
  <si>
    <t>"The Kraft Heinz Company"</t>
  </si>
  <si>
    <t>18.78B</t>
  </si>
  <si>
    <t>"CSX Corporation"</t>
  </si>
  <si>
    <t>WDC</t>
  </si>
  <si>
    <t>"Broadcom Limited"</t>
  </si>
  <si>
    <t>"Western Digital Corporation"</t>
  </si>
  <si>
    <t>GOOGL</t>
  </si>
  <si>
    <t>FB</t>
  </si>
  <si>
    <t>YHOO</t>
  </si>
  <si>
    <t>AKAM</t>
  </si>
  <si>
    <t>VRSN</t>
  </si>
  <si>
    <t>TRIP</t>
  </si>
  <si>
    <t>"Alphabet Inc."</t>
  </si>
  <si>
    <t>"Facebook, Inc."</t>
  </si>
  <si>
    <t>"Yahoo! Inc."</t>
  </si>
  <si>
    <t>"Akamai Technologies, Inc."</t>
  </si>
  <si>
    <t>"VeriSign, Inc."</t>
  </si>
  <si>
    <t>"TripAdvisor, Inc."</t>
  </si>
  <si>
    <t>ORCL</t>
  </si>
  <si>
    <t>CRM</t>
  </si>
  <si>
    <t>ADBE</t>
  </si>
  <si>
    <t>INTU</t>
  </si>
  <si>
    <t>RHT</t>
  </si>
  <si>
    <t>"Oracle Corporation Common Stock"</t>
  </si>
  <si>
    <t>"Salesforce.com Inc Common Stock"</t>
  </si>
  <si>
    <t>"Adobe Systems Incorporated"</t>
  </si>
  <si>
    <t>"Intuit Inc."</t>
  </si>
  <si>
    <t>"Red Hat, Inc. Common Stock"</t>
  </si>
  <si>
    <t>Category</t>
  </si>
  <si>
    <t>Internet Info Provider</t>
  </si>
  <si>
    <t>Application Software</t>
  </si>
  <si>
    <t>Technology</t>
  </si>
  <si>
    <t>SO</t>
  </si>
  <si>
    <t>D</t>
  </si>
  <si>
    <t>PCG</t>
  </si>
  <si>
    <t>PPL</t>
  </si>
  <si>
    <t>SRE</t>
  </si>
  <si>
    <t>EIX</t>
  </si>
  <si>
    <t>ED</t>
  </si>
  <si>
    <t>XEL</t>
  </si>
  <si>
    <t>WEC</t>
  </si>
  <si>
    <t>ES</t>
  </si>
  <si>
    <t>DTE</t>
  </si>
  <si>
    <t>ETR</t>
  </si>
  <si>
    <t>AEE</t>
  </si>
  <si>
    <t>AWK</t>
  </si>
  <si>
    <t>CMS</t>
  </si>
  <si>
    <t>SCG</t>
  </si>
  <si>
    <t>PNW</t>
  </si>
  <si>
    <t>GAS</t>
  </si>
  <si>
    <t>AES</t>
  </si>
  <si>
    <t>NI</t>
  </si>
  <si>
    <t>TE</t>
  </si>
  <si>
    <t>"Southern Company (The) Common S"</t>
  </si>
  <si>
    <t>"Dominion Resources, Inc. Common"</t>
  </si>
  <si>
    <t>"Pacific Gas &amp; Electric Co. Comm"</t>
  </si>
  <si>
    <t>"PP&amp;L Corporation Common Stock"</t>
  </si>
  <si>
    <t>"Sempra Energy Common Stock"</t>
  </si>
  <si>
    <t>"Edison International Common Sto"</t>
  </si>
  <si>
    <t>"Consolidated Edison, Inc. Commo"</t>
  </si>
  <si>
    <t>"Xcel Energy Inc. Common Stock"</t>
  </si>
  <si>
    <t>"WEC Energy Group, Inc. Common S"</t>
  </si>
  <si>
    <t>"Eversource Energy (D/B/A) Commo"</t>
  </si>
  <si>
    <t>"DTE Energy Company Common Stock"</t>
  </si>
  <si>
    <t>"Entergy Corporation Common Stoc"</t>
  </si>
  <si>
    <t>"Ameren Corporation Common Stock"</t>
  </si>
  <si>
    <t>"American Water Works Company, I"</t>
  </si>
  <si>
    <t>"CMS Energy Corporation Common S"</t>
  </si>
  <si>
    <t>"SCANA Corporation Common Stock"</t>
  </si>
  <si>
    <t>"Pinnacle West Capital Corporati"</t>
  </si>
  <si>
    <t>"The AES Corporation Common Stoc"</t>
  </si>
  <si>
    <t>"NiSource Inc Common Stock"</t>
  </si>
  <si>
    <t>UAN</t>
  </si>
  <si>
    <t>IPI</t>
  </si>
  <si>
    <t>ICL</t>
  </si>
  <si>
    <t>TNH</t>
  </si>
  <si>
    <t>"CVR Partners, LP Common Units r"</t>
  </si>
  <si>
    <t>"Intrepid Potash, Inc Common Sto"</t>
  </si>
  <si>
    <t>"Israel Chemicals Limited Ordina"</t>
  </si>
  <si>
    <t>"Terra Nitrogen Company, L.P. Co"</t>
  </si>
  <si>
    <t>VALE</t>
  </si>
  <si>
    <t>"VALE S.A.  American Depositary "</t>
  </si>
  <si>
    <t>1.76B</t>
  </si>
  <si>
    <t>130.11B</t>
  </si>
  <si>
    <t>KALU</t>
  </si>
  <si>
    <t>"Kaiser Aluminum Corporation"</t>
  </si>
  <si>
    <t>AAPL</t>
  </si>
  <si>
    <t>ADI</t>
  </si>
  <si>
    <t>TXN</t>
  </si>
  <si>
    <t>QRVO</t>
  </si>
  <si>
    <t>"Apple Inc."</t>
  </si>
  <si>
    <t>"Analog Devices, Inc."</t>
  </si>
  <si>
    <t>"Texas Instruments Incorporated"</t>
  </si>
  <si>
    <t>"Qorvo, Inc."</t>
  </si>
  <si>
    <t>Electronics</t>
  </si>
  <si>
    <t>V</t>
  </si>
  <si>
    <t>MA</t>
  </si>
  <si>
    <t>AXP</t>
  </si>
  <si>
    <t>"Visa Inc."</t>
  </si>
  <si>
    <t>"Mastercard Incorporated Common "</t>
  </si>
  <si>
    <t>"American Express Company Common"</t>
  </si>
  <si>
    <t>DFS</t>
  </si>
  <si>
    <t>"Discover Financial Services Com"</t>
  </si>
  <si>
    <t>4.61B</t>
  </si>
  <si>
    <t>1.51B</t>
  </si>
  <si>
    <t>F</t>
  </si>
  <si>
    <t>3.11B</t>
  </si>
  <si>
    <t>"Ford Motor Company Common Stock"</t>
  </si>
  <si>
    <t>WMT</t>
  </si>
  <si>
    <t>TGT</t>
  </si>
  <si>
    <t>KR</t>
  </si>
  <si>
    <t>WFM</t>
  </si>
  <si>
    <t>DG</t>
  </si>
  <si>
    <t>DLTR</t>
  </si>
  <si>
    <t>COST</t>
  </si>
  <si>
    <t>"Wal-Mart Stores, Inc. Common St"</t>
  </si>
  <si>
    <t>"Target Corporation Common Stock"</t>
  </si>
  <si>
    <t>"Kroger Company (The) Common Sto"</t>
  </si>
  <si>
    <t>"Whole Foods Market, Inc."</t>
  </si>
  <si>
    <t>"Dollar General Corporation Comm"</t>
  </si>
  <si>
    <t>"Dollar Tree, Inc."</t>
  </si>
  <si>
    <t>"Costco Wholesale Corporation"</t>
  </si>
  <si>
    <t>VarietyStores</t>
  </si>
  <si>
    <t>NKE</t>
  </si>
  <si>
    <t>UA</t>
  </si>
  <si>
    <t>FOSL</t>
  </si>
  <si>
    <t>FINL</t>
  </si>
  <si>
    <t>"Nike, Inc. Common Stock"</t>
  </si>
  <si>
    <t>"Under Armour, Inc. Class A Comm"</t>
  </si>
  <si>
    <t>"Fossil Group, Inc."</t>
  </si>
  <si>
    <t>"The Finish Line, Inc."</t>
  </si>
  <si>
    <t>SIG</t>
  </si>
  <si>
    <t>"Signet Jewelers Limited Common "</t>
  </si>
  <si>
    <t>SPY</t>
  </si>
  <si>
    <t>VGK</t>
  </si>
  <si>
    <t>"SPDR S&amp;P 500"</t>
  </si>
  <si>
    <t>"Vanguard FTSEEuropean ETF"</t>
  </si>
  <si>
    <t>ETF</t>
  </si>
  <si>
    <t>VWO</t>
  </si>
  <si>
    <t>"Vanguard FTSE Emerging Markets "</t>
  </si>
  <si>
    <t>Apparel</t>
  </si>
  <si>
    <t>DEPO</t>
  </si>
  <si>
    <t>"Depomed, Inc."</t>
  </si>
  <si>
    <t>TEVA</t>
  </si>
  <si>
    <t>PRGO</t>
  </si>
  <si>
    <t>"Teva Pharmaceutical Industries "</t>
  </si>
  <si>
    <t>"Perrigo Company plc Ordinary Sh"</t>
  </si>
  <si>
    <t>ENDP</t>
  </si>
  <si>
    <t>MCD</t>
  </si>
  <si>
    <t>CMG</t>
  </si>
  <si>
    <t>JACK</t>
  </si>
  <si>
    <t>YUM</t>
  </si>
  <si>
    <t>WEN</t>
  </si>
  <si>
    <t>SONC</t>
  </si>
  <si>
    <t>PZZA</t>
  </si>
  <si>
    <t>"McDonald's Corporation Common S"</t>
  </si>
  <si>
    <t>"Chipotle Mexican Grill, Inc. Co"</t>
  </si>
  <si>
    <t>"Jack In The Box Inc."</t>
  </si>
  <si>
    <t>"Yum! Brands, Inc."</t>
  </si>
  <si>
    <t>"Wendy's Company (The)"</t>
  </si>
  <si>
    <t>"Sonic Corp."</t>
  </si>
  <si>
    <t>"Papa John's International, Inc."</t>
  </si>
  <si>
    <t>FastFood</t>
  </si>
  <si>
    <t>SAVE</t>
  </si>
  <si>
    <t>"Spirit Airlines, Inc."</t>
  </si>
  <si>
    <t>JETS</t>
  </si>
  <si>
    <t>"U.S. Global Jets ETF"</t>
  </si>
  <si>
    <t>CEA</t>
  </si>
  <si>
    <t>"China Eastern Airlines Corporat"</t>
  </si>
  <si>
    <t>ATI</t>
  </si>
  <si>
    <t>MLM</t>
  </si>
  <si>
    <t>SUM</t>
  </si>
  <si>
    <t>VMC</t>
  </si>
  <si>
    <t>"Allegheny Technologies Incorpor"</t>
  </si>
  <si>
    <t>"Martin Marietta Materials, Inc."</t>
  </si>
  <si>
    <t>"Summit Materials, Inc. Class A "</t>
  </si>
  <si>
    <t>"Vulcan Materials Company (Holdi"</t>
  </si>
  <si>
    <t>IR</t>
  </si>
  <si>
    <t>WM</t>
  </si>
  <si>
    <t>RSG</t>
  </si>
  <si>
    <t>SRCL</t>
  </si>
  <si>
    <t>WCN</t>
  </si>
  <si>
    <t>"Waste Management, Inc. Common S"</t>
  </si>
  <si>
    <t>"Republic Services, Inc. Common "</t>
  </si>
  <si>
    <t>"Stericycle, Inc."</t>
  </si>
  <si>
    <t>"Waste Connections, Inc. Common "</t>
  </si>
  <si>
    <t>WasteMgt</t>
  </si>
  <si>
    <t>SEE</t>
  </si>
  <si>
    <t>WRK</t>
  </si>
  <si>
    <t>6.93B</t>
  </si>
  <si>
    <t>"Sealed Air Corporation Common S"</t>
  </si>
  <si>
    <t>"Westrock Company Common Stock"</t>
  </si>
  <si>
    <t>3.56B</t>
  </si>
  <si>
    <t>Target</t>
  </si>
  <si>
    <t>HA</t>
  </si>
  <si>
    <t>"Hawaiian Holdings, Inc."</t>
  </si>
  <si>
    <t>16.84B</t>
  </si>
  <si>
    <t>TCK</t>
  </si>
  <si>
    <t>"Teck Resources Ltd Ordinary Sha"</t>
  </si>
  <si>
    <t>OCI.AS</t>
  </si>
  <si>
    <t>15.10B</t>
  </si>
  <si>
    <t>13.57B</t>
  </si>
  <si>
    <t>47.01B</t>
  </si>
  <si>
    <t>6.05B</t>
  </si>
  <si>
    <t>40.55B</t>
  </si>
  <si>
    <t>10.33B</t>
  </si>
  <si>
    <t>681.96M</t>
  </si>
  <si>
    <t>105.11M</t>
  </si>
  <si>
    <t>5.46B</t>
  </si>
  <si>
    <t>2.18B</t>
  </si>
  <si>
    <t>"OCI"</t>
  </si>
  <si>
    <t>3285.00B</t>
  </si>
  <si>
    <t>28.86B</t>
  </si>
  <si>
    <t>81.82B</t>
  </si>
  <si>
    <t>11.08B</t>
  </si>
  <si>
    <t>2.31B</t>
  </si>
  <si>
    <t>11.05B</t>
  </si>
  <si>
    <t>3.92B</t>
  </si>
  <si>
    <t>4.66B</t>
  </si>
  <si>
    <t>Buy?</t>
  </si>
  <si>
    <t>subsidiary of CF</t>
  </si>
  <si>
    <t>19.36B</t>
  </si>
  <si>
    <t>28.17B</t>
  </si>
  <si>
    <t>16.47B</t>
  </si>
  <si>
    <t>22.88B</t>
  </si>
  <si>
    <t>5.13B</t>
  </si>
  <si>
    <t>2.79B</t>
  </si>
  <si>
    <t>7.39B</t>
  </si>
  <si>
    <t>2.54B</t>
  </si>
  <si>
    <t>97.34B</t>
  </si>
  <si>
    <t>16.86B</t>
  </si>
  <si>
    <t>10.64B</t>
  </si>
  <si>
    <t>1.35B</t>
  </si>
  <si>
    <t>1.01B</t>
  </si>
  <si>
    <t>FL</t>
  </si>
  <si>
    <t>LULU</t>
  </si>
  <si>
    <t>"Foot Locker, Inc."</t>
  </si>
  <si>
    <t>8.94B</t>
  </si>
  <si>
    <t>"lululemon athletica inc."</t>
  </si>
  <si>
    <t>9.40B</t>
  </si>
  <si>
    <t>2.92B</t>
  </si>
  <si>
    <t>2.45B</t>
  </si>
  <si>
    <t>8.30B</t>
  </si>
  <si>
    <t>8.49B</t>
  </si>
  <si>
    <t>7.81B</t>
  </si>
  <si>
    <t>6.20B</t>
  </si>
  <si>
    <t>104.42B</t>
  </si>
  <si>
    <t>61.87B</t>
  </si>
  <si>
    <t>93.43B</t>
  </si>
  <si>
    <t>27.73B</t>
  </si>
  <si>
    <t>127.05B</t>
  </si>
  <si>
    <t>68.71B</t>
  </si>
  <si>
    <t>1.82B</t>
  </si>
  <si>
    <t>81.77B</t>
  </si>
  <si>
    <t>101.47B</t>
  </si>
  <si>
    <t>81.28B</t>
  </si>
  <si>
    <t>174.15B</t>
  </si>
  <si>
    <t>1.28B</t>
  </si>
  <si>
    <t>29.98M</t>
  </si>
  <si>
    <t>210.90B</t>
  </si>
  <si>
    <t>94.15B</t>
  </si>
  <si>
    <t>21.38B</t>
  </si>
  <si>
    <t>46.82B</t>
  </si>
  <si>
    <t>13.00B</t>
  </si>
  <si>
    <t>"Endo International plc"</t>
  </si>
  <si>
    <t>4.42B</t>
  </si>
  <si>
    <t>HRS</t>
  </si>
  <si>
    <t>CAE</t>
  </si>
  <si>
    <t>TDY</t>
  </si>
  <si>
    <t>46.83B</t>
  </si>
  <si>
    <t>38.08B</t>
  </si>
  <si>
    <t>41.35B</t>
  </si>
  <si>
    <t>73.70B</t>
  </si>
  <si>
    <t>"Harris Corporation Common Stock"</t>
  </si>
  <si>
    <t>11.64B</t>
  </si>
  <si>
    <t>"CAE Inc. Ordinary Shares"</t>
  </si>
  <si>
    <t>3.88B</t>
  </si>
  <si>
    <t>"Teledyne Technologies Incorpora"</t>
  </si>
  <si>
    <t>3.79B</t>
  </si>
  <si>
    <t>32.08B</t>
  </si>
  <si>
    <t>4.48B</t>
  </si>
  <si>
    <t>1.46B</t>
  </si>
  <si>
    <t>31.44B</t>
  </si>
  <si>
    <t>13.95B</t>
  </si>
  <si>
    <t>3.78B</t>
  </si>
  <si>
    <t>21.74B</t>
  </si>
  <si>
    <t>1.77B</t>
  </si>
  <si>
    <t>56.88B</t>
  </si>
  <si>
    <t>9.75B</t>
  </si>
  <si>
    <t>55.28B</t>
  </si>
  <si>
    <t>13.99B</t>
  </si>
  <si>
    <t>580.50B</t>
  </si>
  <si>
    <t>68.55B</t>
  </si>
  <si>
    <t>19.42B</t>
  </si>
  <si>
    <t>69.90B</t>
  </si>
  <si>
    <t>7.37B</t>
  </si>
  <si>
    <t>93.36B</t>
  </si>
  <si>
    <t>28.84B</t>
  </si>
  <si>
    <t>5.06B</t>
  </si>
  <si>
    <t>11.35B</t>
  </si>
  <si>
    <t>50.68B</t>
  </si>
  <si>
    <t>23.18B</t>
  </si>
  <si>
    <t>48.96B</t>
  </si>
  <si>
    <t>16.62B</t>
  </si>
  <si>
    <t>13.12B</t>
  </si>
  <si>
    <t>14.73B</t>
  </si>
  <si>
    <t>59.21B</t>
  </si>
  <si>
    <t>31.16B</t>
  </si>
  <si>
    <t>6.75B</t>
  </si>
  <si>
    <t>5.40B</t>
  </si>
  <si>
    <t>E_P</t>
  </si>
  <si>
    <t>PLKI</t>
  </si>
  <si>
    <t>98.84B</t>
  </si>
  <si>
    <t>11.89B</t>
  </si>
  <si>
    <t>3.32B</t>
  </si>
  <si>
    <t>35.58B</t>
  </si>
  <si>
    <t>2.66B</t>
  </si>
  <si>
    <t>1.33B</t>
  </si>
  <si>
    <t>2.80B</t>
  </si>
  <si>
    <t>"Popeyes Louisiana Kitchen, Inc."</t>
  </si>
  <si>
    <t>1.17B</t>
  </si>
  <si>
    <t>BWLD</t>
  </si>
  <si>
    <t>"Buffalo Wild Wings, Inc."</t>
  </si>
  <si>
    <t>2.96B</t>
  </si>
  <si>
    <t>168.26B</t>
  </si>
  <si>
    <t>44.47B</t>
  </si>
  <si>
    <t>61.48B</t>
  </si>
  <si>
    <t>138.03B</t>
  </si>
  <si>
    <t>36.66B</t>
  </si>
  <si>
    <t>27.62B</t>
  </si>
  <si>
    <t>20.37B</t>
  </si>
  <si>
    <t>72.14B</t>
  </si>
  <si>
    <t>243.74B</t>
  </si>
  <si>
    <t>60.97B</t>
  </si>
  <si>
    <t>54.52B</t>
  </si>
  <si>
    <t>75.58B</t>
  </si>
  <si>
    <t>255.05B</t>
  </si>
  <si>
    <t>193.52B</t>
  </si>
  <si>
    <t>107.46B</t>
  </si>
  <si>
    <t>60.22B</t>
  </si>
  <si>
    <t>24.23B</t>
  </si>
  <si>
    <t>25.49B</t>
  </si>
  <si>
    <t>20.46B</t>
  </si>
  <si>
    <t>17.78B</t>
  </si>
  <si>
    <t>42.35B</t>
  </si>
  <si>
    <t>28.87B</t>
  </si>
  <si>
    <t>109.11B</t>
  </si>
  <si>
    <t>68.74B</t>
  </si>
  <si>
    <t>15.55B</t>
  </si>
  <si>
    <t>HSY</t>
  </si>
  <si>
    <t>"The Hershey Company Common Stoc"</t>
  </si>
  <si>
    <t>21.17B</t>
  </si>
  <si>
    <t>25.40B</t>
  </si>
  <si>
    <t>100.05B</t>
  </si>
  <si>
    <t>45.72B</t>
  </si>
  <si>
    <t>41.30B</t>
  </si>
  <si>
    <t>798.33M</t>
  </si>
  <si>
    <t>STX</t>
  </si>
  <si>
    <t>170.69B</t>
  </si>
  <si>
    <t>15.12B</t>
  </si>
  <si>
    <t>17.34B</t>
  </si>
  <si>
    <t>"Seagate Technology PLC"</t>
  </si>
  <si>
    <t>10.13B</t>
  </si>
  <si>
    <t>13.35B</t>
  </si>
  <si>
    <t>AMAT</t>
  </si>
  <si>
    <t>FCAU</t>
  </si>
  <si>
    <t>TSLA</t>
  </si>
  <si>
    <t>50.23B</t>
  </si>
  <si>
    <t>"Fiat Chrysler Automobiles N.V. "</t>
  </si>
  <si>
    <t>8.65B</t>
  </si>
  <si>
    <t>"Tesla Motors, Inc."</t>
  </si>
  <si>
    <t>29.41B</t>
  </si>
  <si>
    <t>49.67B</t>
  </si>
  <si>
    <t>Auto</t>
  </si>
  <si>
    <t>34.05B</t>
  </si>
  <si>
    <t>280.40B</t>
  </si>
  <si>
    <t>109.28B</t>
  </si>
  <si>
    <t>3.70B</t>
  </si>
  <si>
    <t>89.49B</t>
  </si>
  <si>
    <t>88.56B</t>
  </si>
  <si>
    <t>47.73B</t>
  </si>
  <si>
    <t>PNR</t>
  </si>
  <si>
    <t>XYL</t>
  </si>
  <si>
    <t>TYC</t>
  </si>
  <si>
    <t>ROP</t>
  </si>
  <si>
    <t>PWR</t>
  </si>
  <si>
    <t>JEC</t>
  </si>
  <si>
    <t>PH</t>
  </si>
  <si>
    <t>R</t>
  </si>
  <si>
    <t>LEG</t>
  </si>
  <si>
    <t>ROK</t>
  </si>
  <si>
    <t>"Ingersoll-Rand plc (Ireland)"</t>
  </si>
  <si>
    <t>17.68B</t>
  </si>
  <si>
    <t>"Pentair plc. Ordinary Share"</t>
  </si>
  <si>
    <t>11.59B</t>
  </si>
  <si>
    <t>"Xylem Inc. Common Stock New"</t>
  </si>
  <si>
    <t>9.12B</t>
  </si>
  <si>
    <t>"Tyco International plc (Ireland"</t>
  </si>
  <si>
    <t>19.43B</t>
  </si>
  <si>
    <t>"Roper Technologies, Inc. Common"</t>
  </si>
  <si>
    <t>18.46B</t>
  </si>
  <si>
    <t>"Quanta Services, Inc. Common St"</t>
  </si>
  <si>
    <t>3.95B</t>
  </si>
  <si>
    <t>17.51B</t>
  </si>
  <si>
    <t>"Jacobs Engineering Group Inc. C"</t>
  </si>
  <si>
    <t>6.34B</t>
  </si>
  <si>
    <t>"Parker-Hannifin Corporation Com"</t>
  </si>
  <si>
    <t>16.54B</t>
  </si>
  <si>
    <t>"Ryder System, Inc. Common Stock"</t>
  </si>
  <si>
    <t>"Leggett &amp; Platt, Incorporated C"</t>
  </si>
  <si>
    <t>"Rockwell Automation, Inc. Commo"</t>
  </si>
  <si>
    <t>15.15B</t>
  </si>
  <si>
    <t>5.43B</t>
  </si>
  <si>
    <t>25.61B</t>
  </si>
  <si>
    <t>"D/B/A Chubb Limited New Common "</t>
  </si>
  <si>
    <t>59.44B</t>
  </si>
  <si>
    <t>12.81B</t>
  </si>
  <si>
    <t>15.82B</t>
  </si>
  <si>
    <t>18.89B</t>
  </si>
  <si>
    <t>34.74B</t>
  </si>
  <si>
    <t>34.26B</t>
  </si>
  <si>
    <t>"XL Group Ltd."</t>
  </si>
  <si>
    <t>9.56B</t>
  </si>
  <si>
    <t>64.09B</t>
  </si>
  <si>
    <t>4.03B</t>
  </si>
  <si>
    <t>23.22B</t>
  </si>
  <si>
    <t>159.57B</t>
  </si>
  <si>
    <t>151.74B</t>
  </si>
  <si>
    <t>10.83B</t>
  </si>
  <si>
    <t>45.73B</t>
  </si>
  <si>
    <t>8.09B</t>
  </si>
  <si>
    <t>15.83B</t>
  </si>
  <si>
    <t>13.32B</t>
  </si>
  <si>
    <t>13.92B</t>
  </si>
  <si>
    <t>2.77B</t>
  </si>
  <si>
    <t>540.74M</t>
  </si>
  <si>
    <t>15.61B</t>
  </si>
  <si>
    <t>5.93B</t>
  </si>
  <si>
    <t>5.56B</t>
  </si>
  <si>
    <t>1.53B</t>
  </si>
  <si>
    <t>1.86B</t>
  </si>
  <si>
    <t>11.71B</t>
  </si>
  <si>
    <t>1.48B</t>
  </si>
  <si>
    <t>15.23B</t>
  </si>
  <si>
    <t>9.79B</t>
  </si>
  <si>
    <t>20.20B</t>
  </si>
  <si>
    <t>7.44B</t>
  </si>
  <si>
    <t>12.07B</t>
  </si>
  <si>
    <t>50.51B</t>
  </si>
  <si>
    <t>22.84B</t>
  </si>
  <si>
    <t>26.62B</t>
  </si>
  <si>
    <t>10.34B</t>
  </si>
  <si>
    <t>27.64B</t>
  </si>
  <si>
    <t>79.36B</t>
  </si>
  <si>
    <t>MCHP</t>
  </si>
  <si>
    <t>NVDA</t>
  </si>
  <si>
    <t>"Applied Materials, Inc."</t>
  </si>
  <si>
    <t>32.45B</t>
  </si>
  <si>
    <t>"Microchip Technology Incorporat"</t>
  </si>
  <si>
    <t>13.50B</t>
  </si>
  <si>
    <t>"NVIDIA Corporation"</t>
  </si>
  <si>
    <t>33.45B</t>
  </si>
  <si>
    <t>3.91B</t>
  </si>
  <si>
    <t>2.94B</t>
  </si>
  <si>
    <t>1.85B</t>
  </si>
  <si>
    <t>1.42B</t>
  </si>
  <si>
    <t>708.35M</t>
  </si>
  <si>
    <t>"SunEdison, Inc."</t>
  </si>
  <si>
    <t>13.36B</t>
  </si>
  <si>
    <t>170.06B</t>
  </si>
  <si>
    <t>28.91B</t>
  </si>
  <si>
    <t>51.44B</t>
  </si>
  <si>
    <t>51.61B</t>
  </si>
  <si>
    <t>41.19B</t>
  </si>
  <si>
    <t>8.44B</t>
  </si>
  <si>
    <t>8.91B</t>
  </si>
  <si>
    <t>547.67B</t>
  </si>
  <si>
    <t>363.29B</t>
  </si>
  <si>
    <t>9.67B</t>
  </si>
  <si>
    <t>215.55B</t>
  </si>
  <si>
    <t>251.92B</t>
  </si>
  <si>
    <t>5.35B</t>
  </si>
  <si>
    <t>15.25B</t>
  </si>
  <si>
    <t>"AGL Resources, Inc."</t>
  </si>
  <si>
    <t>"TECO Energy, Inc."</t>
  </si>
  <si>
    <t>28.46B</t>
  </si>
  <si>
    <t>7.16B</t>
  </si>
  <si>
    <t>13.71B</t>
  </si>
  <si>
    <t>LEN</t>
  </si>
  <si>
    <t>DHI</t>
  </si>
  <si>
    <t>TOL</t>
  </si>
  <si>
    <t>PHM</t>
  </si>
  <si>
    <t>KBH</t>
  </si>
  <si>
    <t>"Lennar Corporation Class A Comm"</t>
  </si>
  <si>
    <t>10.20B</t>
  </si>
  <si>
    <t>"D.R. Horton, Inc. Common Stock"</t>
  </si>
  <si>
    <t>11.77B</t>
  </si>
  <si>
    <t>"Toll Brothers Inc. Common Stock"</t>
  </si>
  <si>
    <t>5.10B</t>
  </si>
  <si>
    <t>"PulteGroup, Inc. Common Stock"</t>
  </si>
  <si>
    <t>7.17B</t>
  </si>
  <si>
    <t>"KB Home Common Stock"</t>
  </si>
  <si>
    <t>1.29B</t>
  </si>
  <si>
    <t>Builder</t>
  </si>
  <si>
    <t>Advertisers</t>
  </si>
  <si>
    <t>IPG</t>
  </si>
  <si>
    <t>OMC</t>
  </si>
  <si>
    <t>WPPGY</t>
  </si>
  <si>
    <t>PUBGY</t>
  </si>
  <si>
    <t>"Interpublic Group of Companies,"</t>
  </si>
  <si>
    <t>9.22B</t>
  </si>
  <si>
    <t>"Omnicom Group Inc. Common Stock"</t>
  </si>
  <si>
    <t>20.51B</t>
  </si>
  <si>
    <t>"WPP plc"</t>
  </si>
  <si>
    <t>30.26B</t>
  </si>
  <si>
    <t>"PUBLICIS GROUPE S.A."</t>
  </si>
  <si>
    <t>AVY</t>
  </si>
  <si>
    <t>"Avery Dennison Corporation Comm"</t>
  </si>
  <si>
    <t>6.94B</t>
  </si>
  <si>
    <t>ATVI</t>
  </si>
  <si>
    <t>EA</t>
  </si>
  <si>
    <t>TTWO</t>
  </si>
  <si>
    <t>NTDOF</t>
  </si>
  <si>
    <t>SNE</t>
  </si>
  <si>
    <t>GME</t>
  </si>
  <si>
    <t>Game</t>
  </si>
  <si>
    <t>"Activision Blizzard, Inc"</t>
  </si>
  <si>
    <t>31.73B</t>
  </si>
  <si>
    <t>"Electronic Arts Inc."</t>
  </si>
  <si>
    <t>25.10B</t>
  </si>
  <si>
    <t>"Take-Two Interactive Software, "</t>
  </si>
  <si>
    <t>"NINTENDO CO LTD-ORD-"</t>
  </si>
  <si>
    <t>27.76B</t>
  </si>
  <si>
    <t>"Gamestop Corporation Common Sto"</t>
  </si>
  <si>
    <t>2.95B</t>
  </si>
  <si>
    <t>"Sony Corporation Common Stock"</t>
  </si>
  <si>
    <t>41.18B</t>
  </si>
  <si>
    <t>AAP</t>
  </si>
  <si>
    <t>"Advance Auto Parts Inc Advance "</t>
  </si>
  <si>
    <t>11.67B</t>
  </si>
  <si>
    <t>IndustryCongl.</t>
  </si>
  <si>
    <t>AZO</t>
  </si>
  <si>
    <t>"AutoZone, Inc. Common Stock"</t>
  </si>
  <si>
    <t>21.62B</t>
  </si>
  <si>
    <t>CCL</t>
  </si>
  <si>
    <t>RCL</t>
  </si>
  <si>
    <t>NCLH</t>
  </si>
  <si>
    <t>"Carnival Corporation Common Sto"</t>
  </si>
  <si>
    <t>34.56B</t>
  </si>
  <si>
    <t>"Royal Caribbean Cruises Ltd. Co"</t>
  </si>
  <si>
    <t>15.07B</t>
  </si>
  <si>
    <t>"Norwegian Cruise Line Holdings "</t>
  </si>
  <si>
    <t>LIND</t>
  </si>
  <si>
    <t>"Lindblad Expeditions Holdings I"</t>
  </si>
  <si>
    <t>435.01M</t>
  </si>
  <si>
    <t>Cruise</t>
  </si>
  <si>
    <t>TDG</t>
  </si>
  <si>
    <t>"Transdigm Group Incorporated Tr"</t>
  </si>
  <si>
    <t>15.36B</t>
  </si>
  <si>
    <t>AJG</t>
  </si>
  <si>
    <t>"Arthur J. Gallagher &amp; Co. Commo"</t>
  </si>
  <si>
    <t>8.85B</t>
  </si>
  <si>
    <t>LNT</t>
  </si>
  <si>
    <t>"Alliant Energy Corporation Comm"</t>
  </si>
  <si>
    <t>REGN</t>
  </si>
  <si>
    <t>"Regeneron Pharmaceuticals, Inc."</t>
  </si>
  <si>
    <t>40.66B</t>
  </si>
  <si>
    <t>STI</t>
  </si>
  <si>
    <t>"SunTrust Banks, Inc. Common Sto"</t>
  </si>
  <si>
    <t>22.04B</t>
  </si>
  <si>
    <t>ALK</t>
  </si>
  <si>
    <t>"Alaska Air Group, Inc. Common S"</t>
  </si>
  <si>
    <t>8.40B</t>
  </si>
  <si>
    <t>LDOS</t>
  </si>
  <si>
    <t>"Leidos Holdings, Inc. Common St"</t>
  </si>
  <si>
    <t>3.00B</t>
  </si>
  <si>
    <t>PG</t>
  </si>
  <si>
    <t>NWL</t>
  </si>
  <si>
    <t>CLX</t>
  </si>
  <si>
    <t>CL</t>
  </si>
  <si>
    <t>JNJ</t>
  </si>
  <si>
    <t>KMB</t>
  </si>
  <si>
    <t>"Procter &amp; Gamble Company (The) "</t>
  </si>
  <si>
    <t>235.38B</t>
  </si>
  <si>
    <t>"Newell Brands Inc. Common Stock"</t>
  </si>
  <si>
    <t>25.83B</t>
  </si>
  <si>
    <t>"Clorox Company (The) Common Sto"</t>
  </si>
  <si>
    <t>17.09B</t>
  </si>
  <si>
    <t>"Colgate-Palmolive Company Commo"</t>
  </si>
  <si>
    <t>66.76B</t>
  </si>
  <si>
    <t>"Johnson &amp; Johnson Common Stock"</t>
  </si>
  <si>
    <t>326.44B</t>
  </si>
  <si>
    <t>"Kimberly-Clark Corporation Comm"</t>
  </si>
  <si>
    <t>46.33B</t>
  </si>
  <si>
    <t>HomeProducts</t>
  </si>
  <si>
    <t>ETFC</t>
  </si>
  <si>
    <t>IBKR</t>
  </si>
  <si>
    <t>SCHW</t>
  </si>
  <si>
    <t>AMTD</t>
  </si>
  <si>
    <t>KCG</t>
  </si>
  <si>
    <t>"E*TRADE Financial Corporation"</t>
  </si>
  <si>
    <t>7.34B</t>
  </si>
  <si>
    <t>"Interactive Brokers Group, Inc."</t>
  </si>
  <si>
    <t>2.38B</t>
  </si>
  <si>
    <t>"Charles Schwab Corporation (The"</t>
  </si>
  <si>
    <t>41.37B</t>
  </si>
  <si>
    <t>"TD Ameritrade Holding Corporati"</t>
  </si>
  <si>
    <t>17.22B</t>
  </si>
  <si>
    <t>"KCG Holdings, Inc. Class A Comm"</t>
  </si>
  <si>
    <t>1.26B</t>
  </si>
  <si>
    <t>Brokers</t>
  </si>
  <si>
    <t>SFM</t>
  </si>
  <si>
    <t>224.03B</t>
  </si>
  <si>
    <t>40.41B</t>
  </si>
  <si>
    <t>29.72B</t>
  </si>
  <si>
    <t>9.27B</t>
  </si>
  <si>
    <t>20.22B</t>
  </si>
  <si>
    <t>19.44B</t>
  </si>
  <si>
    <t>"Sprouts Farmers Market, Inc."</t>
  </si>
  <si>
    <t>68.18B</t>
  </si>
  <si>
    <t>12.14B</t>
  </si>
  <si>
    <t>32.48B</t>
  </si>
  <si>
    <t>8.59B</t>
  </si>
  <si>
    <t>13.52B</t>
  </si>
  <si>
    <t>11.95B</t>
  </si>
  <si>
    <t>10.03B</t>
  </si>
  <si>
    <t>541.45M</t>
  </si>
  <si>
    <t>47.18B</t>
  </si>
  <si>
    <t>16.96B</t>
  </si>
  <si>
    <t>55.49B</t>
  </si>
  <si>
    <t>23.14B</t>
  </si>
  <si>
    <t>24.04B</t>
  </si>
  <si>
    <t>17.41B</t>
  </si>
  <si>
    <t>14.37B</t>
  </si>
  <si>
    <t>31.89B</t>
  </si>
  <si>
    <t>14.09B</t>
  </si>
  <si>
    <t>8.86B</t>
  </si>
  <si>
    <t>57.77B</t>
  </si>
  <si>
    <t>7.85B</t>
  </si>
  <si>
    <t>31.36B</t>
  </si>
  <si>
    <t>21.44B</t>
  </si>
  <si>
    <t>8.55B</t>
  </si>
  <si>
    <t>23.54B</t>
  </si>
  <si>
    <t>10.38B</t>
  </si>
  <si>
    <t>49.17B</t>
  </si>
  <si>
    <t>26.52B</t>
  </si>
  <si>
    <t>4.87B</t>
  </si>
  <si>
    <t>19.29B</t>
  </si>
  <si>
    <t>21.53B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</si>
</sst>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3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66"/>
      <name val="Calibri"/>
      <family val="2"/>
      <scheme val="minor"/>
    </font>
    <font>
      <sz val="12"/>
      <name val="Calibri"/>
      <family val="2"/>
    </font>
    <font>
      <sz val="12"/>
      <name val="Calibri"/>
      <family val="2"/>
      <scheme val="minor"/>
    </font>
    <font>
      <sz val="12"/>
      <color rgb="FF00B05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theme="8" tint="0.59999389629810485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5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2" fontId="3" fillId="3" borderId="0" xfId="0" applyNumberFormat="1" applyFont="1" applyFill="1" applyAlignment="1">
      <alignment horizontal="right"/>
    </xf>
    <xf numFmtId="10" fontId="3" fillId="3" borderId="0" xfId="0" applyNumberFormat="1" applyFont="1" applyFill="1" applyAlignment="1">
      <alignment horizontal="right"/>
    </xf>
    <xf numFmtId="10" fontId="3" fillId="3" borderId="0" xfId="1" applyNumberFormat="1" applyFont="1" applyFill="1" applyAlignment="1">
      <alignment horizontal="right"/>
    </xf>
    <xf numFmtId="0" fontId="3" fillId="3" borderId="0" xfId="0" applyNumberFormat="1" applyFont="1" applyFill="1" applyAlignment="1">
      <alignment horizontal="right"/>
    </xf>
    <xf numFmtId="0" fontId="3" fillId="4" borderId="0" xfId="0" applyFont="1" applyFill="1"/>
    <xf numFmtId="0" fontId="3" fillId="4" borderId="0" xfId="0" applyFont="1" applyFill="1" applyAlignment="1">
      <alignment horizontal="right"/>
    </xf>
    <xf numFmtId="2" fontId="3" fillId="4" borderId="0" xfId="0" applyNumberFormat="1" applyFont="1" applyFill="1" applyAlignment="1">
      <alignment horizontal="right"/>
    </xf>
    <xf numFmtId="10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 wrapText="1"/>
    </xf>
    <xf numFmtId="10" fontId="3" fillId="4" borderId="0" xfId="1" applyNumberFormat="1" applyFont="1" applyFill="1" applyAlignment="1">
      <alignment horizontal="right"/>
    </xf>
    <xf numFmtId="0" fontId="3" fillId="4" borderId="0" xfId="0" applyNumberFormat="1" applyFont="1" applyFill="1" applyAlignment="1">
      <alignment horizontal="right"/>
    </xf>
    <xf numFmtId="0" fontId="3" fillId="5" borderId="0" xfId="0" applyFont="1" applyFill="1"/>
    <xf numFmtId="0" fontId="3" fillId="5" borderId="0" xfId="0" applyFont="1" applyFill="1" applyAlignment="1">
      <alignment horizontal="right"/>
    </xf>
    <xf numFmtId="2" fontId="3" fillId="5" borderId="0" xfId="0" applyNumberFormat="1" applyFont="1" applyFill="1" applyAlignment="1">
      <alignment horizontal="right"/>
    </xf>
    <xf numFmtId="10" fontId="3" fillId="5" borderId="0" xfId="0" applyNumberFormat="1" applyFont="1" applyFill="1" applyAlignment="1">
      <alignment horizontal="right"/>
    </xf>
    <xf numFmtId="0" fontId="3" fillId="5" borderId="0" xfId="0" applyFont="1" applyFill="1" applyAlignment="1">
      <alignment horizontal="right" wrapText="1"/>
    </xf>
    <xf numFmtId="10" fontId="3" fillId="5" borderId="0" xfId="1" applyNumberFormat="1" applyFont="1" applyFill="1" applyAlignment="1">
      <alignment horizontal="right"/>
    </xf>
    <xf numFmtId="0" fontId="3" fillId="5" borderId="0" xfId="0" applyNumberFormat="1" applyFont="1" applyFill="1" applyAlignment="1">
      <alignment horizontal="right"/>
    </xf>
    <xf numFmtId="0" fontId="19" fillId="0" borderId="0" xfId="0" applyFont="1"/>
    <xf numFmtId="0" fontId="1" fillId="5" borderId="0" xfId="0" applyFont="1" applyFill="1"/>
    <xf numFmtId="0" fontId="3" fillId="7" borderId="0" xfId="0" applyFont="1" applyFill="1"/>
    <xf numFmtId="0" fontId="3" fillId="7" borderId="0" xfId="0" applyFont="1" applyFill="1" applyAlignment="1">
      <alignment horizontal="right"/>
    </xf>
    <xf numFmtId="2" fontId="3" fillId="7" borderId="0" xfId="0" applyNumberFormat="1" applyFont="1" applyFill="1" applyAlignment="1">
      <alignment horizontal="right"/>
    </xf>
    <xf numFmtId="10" fontId="3" fillId="7" borderId="0" xfId="0" applyNumberFormat="1" applyFont="1" applyFill="1" applyAlignment="1">
      <alignment horizontal="right"/>
    </xf>
    <xf numFmtId="0" fontId="3" fillId="7" borderId="0" xfId="0" applyNumberFormat="1" applyFont="1" applyFill="1"/>
    <xf numFmtId="0" fontId="13" fillId="7" borderId="0" xfId="0" applyFont="1" applyFill="1"/>
    <xf numFmtId="0" fontId="19" fillId="7" borderId="0" xfId="0" applyFont="1" applyFill="1"/>
    <xf numFmtId="0" fontId="16" fillId="2" borderId="0" xfId="0" applyFont="1" applyFill="1" applyAlignment="1"/>
    <xf numFmtId="0" fontId="12" fillId="2" borderId="0" xfId="2" applyFont="1" applyFill="1" applyAlignment="1"/>
    <xf numFmtId="0" fontId="20" fillId="0" borderId="0" xfId="0" applyFont="1" applyAlignment="1">
      <alignment horizontal="right"/>
    </xf>
    <xf numFmtId="0" fontId="21" fillId="0" borderId="0" xfId="0" applyFont="1"/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right"/>
    </xf>
    <xf numFmtId="10" fontId="21" fillId="0" borderId="0" xfId="0" applyNumberFormat="1" applyFont="1" applyAlignment="1">
      <alignment horizontal="right"/>
    </xf>
    <xf numFmtId="0" fontId="5" fillId="8" borderId="1" xfId="0" applyFont="1" applyFill="1" applyBorder="1" applyAlignment="1">
      <alignment horizontal="left" vertical="center"/>
    </xf>
    <xf numFmtId="0" fontId="5" fillId="8" borderId="2" xfId="0" applyFont="1" applyFill="1" applyBorder="1" applyAlignment="1">
      <alignment horizontal="left" vertical="center"/>
    </xf>
    <xf numFmtId="0" fontId="3" fillId="6" borderId="3" xfId="0" applyFont="1" applyFill="1" applyBorder="1" applyAlignment="1">
      <alignment horizontal="right"/>
    </xf>
    <xf numFmtId="0" fontId="3" fillId="6" borderId="4" xfId="0" applyFont="1" applyFill="1" applyBorder="1" applyAlignment="1">
      <alignment horizontal="right"/>
    </xf>
    <xf numFmtId="0" fontId="20" fillId="6" borderId="3" xfId="0" applyFont="1" applyFill="1" applyBorder="1" applyAlignment="1">
      <alignment horizontal="right"/>
    </xf>
    <xf numFmtId="0" fontId="20" fillId="6" borderId="4" xfId="0" applyFont="1" applyFill="1" applyBorder="1" applyAlignment="1">
      <alignment horizontal="right"/>
    </xf>
    <xf numFmtId="0" fontId="22" fillId="0" borderId="0" xfId="0" applyFont="1"/>
    <xf numFmtId="0" fontId="1" fillId="9" borderId="0" xfId="0" applyFont="1" applyFill="1"/>
    <xf numFmtId="0" fontId="3" fillId="9" borderId="0" xfId="0" applyFont="1" applyFill="1"/>
    <xf numFmtId="0" fontId="3" fillId="9" borderId="0" xfId="0" applyNumberFormat="1" applyFont="1" applyFill="1" applyAlignment="1">
      <alignment horizontal="right"/>
    </xf>
    <xf numFmtId="2" fontId="3" fillId="9" borderId="0" xfId="0" applyNumberFormat="1" applyFont="1" applyFill="1" applyAlignment="1">
      <alignment horizontal="right"/>
    </xf>
    <xf numFmtId="10" fontId="3" fillId="9" borderId="0" xfId="1" applyNumberFormat="1" applyFont="1" applyFill="1" applyAlignment="1">
      <alignment horizontal="right"/>
    </xf>
    <xf numFmtId="10" fontId="3" fillId="9" borderId="0" xfId="0" applyNumberFormat="1" applyFont="1" applyFill="1" applyAlignment="1">
      <alignment horizontal="right"/>
    </xf>
    <xf numFmtId="0" fontId="3" fillId="9" borderId="0" xfId="0" applyFont="1" applyFill="1" applyAlignment="1">
      <alignment horizontal="right"/>
    </xf>
    <xf numFmtId="2" fontId="20" fillId="6" borderId="3" xfId="0" applyNumberFormat="1" applyFont="1" applyFill="1" applyBorder="1" applyAlignment="1">
      <alignment horizontal="right"/>
    </xf>
    <xf numFmtId="2" fontId="20" fillId="6" borderId="4" xfId="0" applyNumberFormat="1" applyFont="1" applyFill="1" applyBorder="1" applyAlignment="1">
      <alignment horizontal="right"/>
    </xf>
    <xf numFmtId="2" fontId="20" fillId="10" borderId="3" xfId="0" applyNumberFormat="1" applyFont="1" applyFill="1" applyBorder="1" applyAlignment="1">
      <alignment horizontal="right"/>
    </xf>
    <xf numFmtId="2" fontId="20" fillId="10" borderId="4" xfId="0" applyNumberFormat="1" applyFont="1" applyFill="1" applyBorder="1" applyAlignment="1">
      <alignment horizontal="right"/>
    </xf>
    <xf numFmtId="0" fontId="22" fillId="9" borderId="0" xfId="0" applyFont="1" applyFill="1"/>
    <xf numFmtId="0" fontId="1" fillId="4" borderId="0" xfId="0" applyFont="1" applyFill="1"/>
    <xf numFmtId="0" fontId="3" fillId="11" borderId="0" xfId="0" applyFont="1" applyFill="1"/>
    <xf numFmtId="0" fontId="3" fillId="11" borderId="0" xfId="0" applyFont="1" applyFill="1" applyAlignment="1">
      <alignment horizontal="right"/>
    </xf>
    <xf numFmtId="2" fontId="3" fillId="11" borderId="0" xfId="0" applyNumberFormat="1" applyFont="1" applyFill="1" applyAlignment="1">
      <alignment horizontal="right"/>
    </xf>
    <xf numFmtId="10" fontId="3" fillId="11" borderId="0" xfId="0" applyNumberFormat="1" applyFont="1" applyFill="1" applyAlignment="1">
      <alignment horizontal="right"/>
    </xf>
    <xf numFmtId="0" fontId="1" fillId="11" borderId="0" xfId="0" applyFont="1" applyFill="1"/>
    <xf numFmtId="2" fontId="20" fillId="0" borderId="0" xfId="0" applyNumberFormat="1" applyFont="1" applyAlignment="1">
      <alignment horizontal="right"/>
    </xf>
    <xf numFmtId="0" fontId="21" fillId="6" borderId="3" xfId="0" applyNumberFormat="1" applyFont="1" applyFill="1" applyBorder="1" applyAlignment="1">
      <alignment horizontal="right"/>
    </xf>
    <xf numFmtId="0" fontId="21" fillId="0" borderId="0" xfId="0" applyNumberFormat="1" applyFont="1" applyAlignment="1">
      <alignment horizontal="right"/>
    </xf>
    <xf numFmtId="0" fontId="3" fillId="6" borderId="3" xfId="0" applyNumberFormat="1" applyFont="1" applyFill="1" applyBorder="1" applyAlignment="1">
      <alignment horizontal="right"/>
    </xf>
    <xf numFmtId="0" fontId="3" fillId="6" borderId="4" xfId="0" applyNumberFormat="1" applyFont="1" applyFill="1" applyBorder="1" applyAlignment="1">
      <alignment horizontal="right"/>
    </xf>
  </cellXfs>
  <cellStyles count="3">
    <cellStyle name="Comma" xfId="1" builtinId="3"/>
    <cellStyle name="Hyperlink" xfId="2" builtinId="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0"/>
      <tableStyleElement type="headerRow" dxfId="539"/>
    </tableStyle>
  </tableStyles>
  <colors>
    <mruColors>
      <color rgb="FF87D78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0</xdr:row>
      <xdr:rowOff>85725</xdr:rowOff>
    </xdr:from>
    <xdr:to>
      <xdr:col>16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76200</xdr:colOff>
      <xdr:row>0</xdr:row>
      <xdr:rowOff>142875</xdr:rowOff>
    </xdr:from>
    <xdr:to>
      <xdr:col>19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0</xdr:row>
      <xdr:rowOff>76200</xdr:rowOff>
    </xdr:from>
    <xdr:to>
      <xdr:col>21</xdr:col>
      <xdr:colOff>161925</xdr:colOff>
      <xdr:row>8</xdr:row>
      <xdr:rowOff>28575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0" y="76200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409575</xdr:colOff>
      <xdr:row>1</xdr:row>
      <xdr:rowOff>0</xdr:rowOff>
    </xdr:from>
    <xdr:to>
      <xdr:col>22</xdr:col>
      <xdr:colOff>57150</xdr:colOff>
      <xdr:row>8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25750" y="247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10</xdr:row>
      <xdr:rowOff>57150</xdr:rowOff>
    </xdr:from>
    <xdr:to>
      <xdr:col>16</xdr:col>
      <xdr:colOff>209550</xdr:colOff>
      <xdr:row>17</xdr:row>
      <xdr:rowOff>142875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0550" y="2533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409575</xdr:colOff>
      <xdr:row>1</xdr:row>
      <xdr:rowOff>200025</xdr:rowOff>
    </xdr:from>
    <xdr:to>
      <xdr:col>16</xdr:col>
      <xdr:colOff>142875</xdr:colOff>
      <xdr:row>9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8150" y="44767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7</xdr:row>
      <xdr:rowOff>66675</xdr:rowOff>
    </xdr:from>
    <xdr:to>
      <xdr:col>17</xdr:col>
      <xdr:colOff>428625</xdr:colOff>
      <xdr:row>13</xdr:row>
      <xdr:rowOff>57150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18002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85725</xdr:colOff>
      <xdr:row>7</xdr:row>
      <xdr:rowOff>209550</xdr:rowOff>
    </xdr:from>
    <xdr:to>
      <xdr:col>17</xdr:col>
      <xdr:colOff>342900</xdr:colOff>
      <xdr:row>13</xdr:row>
      <xdr:rowOff>200025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92075" y="19431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152400</xdr:colOff>
      <xdr:row>0</xdr:row>
      <xdr:rowOff>200025</xdr:rowOff>
    </xdr:from>
    <xdr:to>
      <xdr:col>20</xdr:col>
      <xdr:colOff>409575</xdr:colOff>
      <xdr:row>6</xdr:row>
      <xdr:rowOff>190500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0" y="2000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247650</xdr:colOff>
      <xdr:row>0</xdr:row>
      <xdr:rowOff>123825</xdr:rowOff>
    </xdr:from>
    <xdr:to>
      <xdr:col>20</xdr:col>
      <xdr:colOff>504825</xdr:colOff>
      <xdr:row>6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8050" y="1238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485775</xdr:colOff>
      <xdr:row>0</xdr:row>
      <xdr:rowOff>161925</xdr:rowOff>
    </xdr:from>
    <xdr:to>
      <xdr:col>21</xdr:col>
      <xdr:colOff>133350</xdr:colOff>
      <xdr:row>8</xdr:row>
      <xdr:rowOff>114300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6175" y="1619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857250</xdr:colOff>
      <xdr:row>1</xdr:row>
      <xdr:rowOff>123825</xdr:rowOff>
    </xdr:from>
    <xdr:to>
      <xdr:col>15</xdr:col>
      <xdr:colOff>1019175</xdr:colOff>
      <xdr:row>7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44775" y="371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285750</xdr:colOff>
      <xdr:row>2</xdr:row>
      <xdr:rowOff>57150</xdr:rowOff>
    </xdr:from>
    <xdr:to>
      <xdr:col>21</xdr:col>
      <xdr:colOff>542925</xdr:colOff>
      <xdr:row>8</xdr:row>
      <xdr:rowOff>47625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0" y="552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180975</xdr:colOff>
      <xdr:row>7</xdr:row>
      <xdr:rowOff>161925</xdr:rowOff>
    </xdr:from>
    <xdr:to>
      <xdr:col>17</xdr:col>
      <xdr:colOff>438150</xdr:colOff>
      <xdr:row>13</xdr:row>
      <xdr:rowOff>152400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8750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476250</xdr:colOff>
      <xdr:row>1</xdr:row>
      <xdr:rowOff>200025</xdr:rowOff>
    </xdr:from>
    <xdr:to>
      <xdr:col>22</xdr:col>
      <xdr:colOff>123825</xdr:colOff>
      <xdr:row>9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59125" y="447675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209550</xdr:colOff>
      <xdr:row>7</xdr:row>
      <xdr:rowOff>123825</xdr:rowOff>
    </xdr:from>
    <xdr:to>
      <xdr:col>17</xdr:col>
      <xdr:colOff>466725</xdr:colOff>
      <xdr:row>15</xdr:row>
      <xdr:rowOff>19050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0725" y="18573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295275</xdr:colOff>
      <xdr:row>6</xdr:row>
      <xdr:rowOff>76200</xdr:rowOff>
    </xdr:from>
    <xdr:to>
      <xdr:col>17</xdr:col>
      <xdr:colOff>552450</xdr:colOff>
      <xdr:row>11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6875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6</xdr:row>
      <xdr:rowOff>104775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514350</xdr:colOff>
      <xdr:row>8</xdr:row>
      <xdr:rowOff>104775</xdr:rowOff>
    </xdr:from>
    <xdr:to>
      <xdr:col>18</xdr:col>
      <xdr:colOff>161925</xdr:colOff>
      <xdr:row>18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208597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133350</xdr:colOff>
      <xdr:row>9</xdr:row>
      <xdr:rowOff>85725</xdr:rowOff>
    </xdr:from>
    <xdr:to>
      <xdr:col>18</xdr:col>
      <xdr:colOff>390525</xdr:colOff>
      <xdr:row>15</xdr:row>
      <xdr:rowOff>76200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7050" y="23145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32" name="Table35152033" displayName="Table35152033" ref="A1:M5" totalsRowShown="0" headerRowDxfId="538" dataDxfId="537">
  <autoFilter ref="A1:M5"/>
  <sortState ref="A2:I9">
    <sortCondition ref="A1:A9"/>
  </sortState>
  <tableColumns count="13">
    <tableColumn id="1" name="Ticker" dataDxfId="536"/>
    <tableColumn id="2" name="Company Name" dataDxfId="535"/>
    <tableColumn id="3" name="LatestPrice" dataDxfId="534"/>
    <tableColumn id="4" name="DaysLow" dataDxfId="533"/>
    <tableColumn id="5" name="DaysHigh" dataDxfId="532"/>
    <tableColumn id="6" name="PreviousClose" dataDxfId="531"/>
    <tableColumn id="10" name="%Change" dataDxfId="530"/>
    <tableColumn id="7" name="MarketCap" dataDxfId="529"/>
    <tableColumn id="8" name="DivYield" dataDxfId="528"/>
    <tableColumn id="9" name="P/E" dataDxfId="527"/>
    <tableColumn id="11" name="MA200" dataDxfId="526"/>
    <tableColumn id="12" name="Target" dataDxfId="525">
      <calculatedColumnFormula>K2*0.9</calculatedColumnFormula>
    </tableColumn>
    <tableColumn id="13" name="Buy?" dataDxfId="524">
      <calculatedColumnFormula>Table35152033[[#This Row],[LatestPrice]]&lt;Table35152033[[#This Row],[Target]]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M8" totalsRowShown="0" headerRowDxfId="523" dataDxfId="522">
  <autoFilter ref="A1:M8"/>
  <sortState ref="A2:I9">
    <sortCondition ref="A1:A9"/>
  </sortState>
  <tableColumns count="13">
    <tableColumn id="1" name="Ticker" dataDxfId="521"/>
    <tableColumn id="2" name="Company Name" dataDxfId="520"/>
    <tableColumn id="3" name="LatestPrice" dataDxfId="519"/>
    <tableColumn id="4" name="DaysLow" dataDxfId="518"/>
    <tableColumn id="5" name="DaysHigh" dataDxfId="517"/>
    <tableColumn id="6" name="PreviousClose" dataDxfId="516"/>
    <tableColumn id="10" name="%Change" dataDxfId="515"/>
    <tableColumn id="7" name="MarketCap" dataDxfId="514"/>
    <tableColumn id="8" name="DivYield" dataDxfId="513"/>
    <tableColumn id="9" name="P/E" dataDxfId="512"/>
    <tableColumn id="11" name="MA200" dataDxfId="511"/>
    <tableColumn id="12" name="Target" dataDxfId="510"/>
    <tableColumn id="13" name="Buy?" dataDxfId="509">
      <calculatedColumnFormula>Table351520[[#This Row],[LatestPrice]]&lt;Table351520[[#This Row],[Target]]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13" totalsRowShown="0" headerRowDxfId="508" dataDxfId="507">
  <autoFilter ref="A1:K13"/>
  <sortState ref="A2:K13">
    <sortCondition ref="H1:H13"/>
  </sortState>
  <tableColumns count="11">
    <tableColumn id="1" name="Ticker" dataDxfId="506"/>
    <tableColumn id="2" name="Company Name" dataDxfId="505"/>
    <tableColumn id="3" name="LatestPrice" dataDxfId="504"/>
    <tableColumn id="4" name="DaysLow" dataDxfId="503"/>
    <tableColumn id="5" name="DaysHigh" dataDxfId="502"/>
    <tableColumn id="6" name="PreviousClose" dataDxfId="501"/>
    <tableColumn id="10" name="%Change" dataDxfId="500"/>
    <tableColumn id="7" name="MarketCap" dataDxfId="499"/>
    <tableColumn id="8" name="DivYield" dataDxfId="498"/>
    <tableColumn id="9" name="P/E" dataDxfId="497"/>
    <tableColumn id="11" name="MA200" dataDxfId="496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M11" totalsRowShown="0" headerRowDxfId="495" dataDxfId="494">
  <autoFilter ref="A1:M11"/>
  <sortState ref="A2:I9">
    <sortCondition ref="A1:A9"/>
  </sortState>
  <tableColumns count="13">
    <tableColumn id="1" name="Ticker" dataDxfId="493"/>
    <tableColumn id="2" name="Company Name" dataDxfId="492"/>
    <tableColumn id="3" name="LatestPrice" dataDxfId="491"/>
    <tableColumn id="4" name="DaysLow" dataDxfId="490"/>
    <tableColumn id="5" name="DaysHigh" dataDxfId="489"/>
    <tableColumn id="6" name="PreviousClose" dataDxfId="488"/>
    <tableColumn id="10" name="%Change" dataDxfId="487"/>
    <tableColumn id="7" name="MarketCap" dataDxfId="486"/>
    <tableColumn id="8" name="DivYield" dataDxfId="485"/>
    <tableColumn id="9" name="P/E" dataDxfId="484"/>
    <tableColumn id="11" name="MA200" dataDxfId="483"/>
    <tableColumn id="12" name="Target" dataDxfId="482">
      <calculatedColumnFormula>K2*0.89</calculatedColumnFormula>
    </tableColumn>
    <tableColumn id="13" name="Buy?" dataDxfId="481">
      <calculatedColumnFormula>L2&gt;C2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5" name="Table35152226" displayName="Table35152226" ref="A1:M8" totalsRowShown="0" headerRowDxfId="480" dataDxfId="479">
  <autoFilter ref="A1:M8"/>
  <sortState ref="A2:I9">
    <sortCondition ref="A1:A9"/>
  </sortState>
  <tableColumns count="13">
    <tableColumn id="1" name="Ticker" dataDxfId="478"/>
    <tableColumn id="2" name="Company Name" dataDxfId="477"/>
    <tableColumn id="3" name="LatestPrice" dataDxfId="476"/>
    <tableColumn id="4" name="DaysLow" dataDxfId="475"/>
    <tableColumn id="5" name="DaysHigh" dataDxfId="474"/>
    <tableColumn id="6" name="PreviousClose" dataDxfId="473"/>
    <tableColumn id="10" name="%Change" dataDxfId="472"/>
    <tableColumn id="7" name="MarketCap" dataDxfId="471"/>
    <tableColumn id="8" name="DivYield" dataDxfId="470"/>
    <tableColumn id="9" name="P/E" dataDxfId="469"/>
    <tableColumn id="11" name="MA200" dataDxfId="468"/>
    <tableColumn id="12" name="Target" dataDxfId="467">
      <calculatedColumnFormula>K2*0.89</calculatedColumnFormula>
    </tableColumn>
    <tableColumn id="13" name="Buy?" dataDxfId="466">
      <calculatedColumnFormula>L2&gt;C2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30" name="Table28931" displayName="Table28931" ref="A1:M7" totalsRowShown="0" headerRowDxfId="465" dataDxfId="464">
  <autoFilter ref="A1:M7"/>
  <sortState ref="A2:K12">
    <sortCondition ref="A1:A12"/>
  </sortState>
  <tableColumns count="13">
    <tableColumn id="1" name="Ticker" dataDxfId="463"/>
    <tableColumn id="2" name="Company Name" dataDxfId="462"/>
    <tableColumn id="3" name="LatestPrice" dataDxfId="461"/>
    <tableColumn id="4" name="DaysLow" dataDxfId="460"/>
    <tableColumn id="5" name="DaysHigh" dataDxfId="459"/>
    <tableColumn id="6" name="PreviousClose" dataDxfId="458"/>
    <tableColumn id="7" name="%Change" dataDxfId="457" dataCellStyle="Comma"/>
    <tableColumn id="8" name="MarketCap" dataDxfId="456"/>
    <tableColumn id="9" name="DivYield" dataDxfId="455"/>
    <tableColumn id="10" name="P/E" dataDxfId="454"/>
    <tableColumn id="11" name="MA200" dataDxfId="453"/>
    <tableColumn id="12" name="Target" dataDxfId="452">
      <calculatedColumnFormula>K2*0.9</calculatedColumnFormula>
    </tableColumn>
    <tableColumn id="13" name="Buy?" dataDxfId="451">
      <calculatedColumnFormula>L2&gt;C2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7" name="Table28" displayName="Table28" ref="A1:M22" totalsRowShown="0" headerRowDxfId="450" dataDxfId="449">
  <autoFilter ref="A1:M22"/>
  <sortState ref="A2:K16">
    <sortCondition ref="A1:A16"/>
  </sortState>
  <tableColumns count="13">
    <tableColumn id="1" name="Ticker" dataDxfId="448"/>
    <tableColumn id="2" name="Company Name" dataDxfId="447"/>
    <tableColumn id="3" name="LatestPrice" dataDxfId="446"/>
    <tableColumn id="4" name="DaysLow" dataDxfId="445"/>
    <tableColumn id="5" name="DaysHigh" dataDxfId="444"/>
    <tableColumn id="6" name="PreviousClose" dataDxfId="443"/>
    <tableColumn id="7" name="%Change" dataDxfId="442" dataCellStyle="Comma"/>
    <tableColumn id="8" name="MarketCap" dataDxfId="441"/>
    <tableColumn id="9" name="DivYield" dataDxfId="440"/>
    <tableColumn id="10" name="P/E" dataDxfId="439"/>
    <tableColumn id="11" name="MA200" dataDxfId="438"/>
    <tableColumn id="12" name="Target" dataDxfId="437">
      <calculatedColumnFormula>K2*0.89</calculatedColumnFormula>
    </tableColumn>
    <tableColumn id="13" name="Buy?" dataDxfId="436">
      <calculatedColumnFormula>L2&gt;C2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37" name="Table283238" displayName="Table283238" ref="A1:M6" totalsRowShown="0" headerRowDxfId="435" dataDxfId="434">
  <autoFilter ref="A1:M6"/>
  <sortState ref="A2:K16">
    <sortCondition ref="A1:A16"/>
  </sortState>
  <tableColumns count="13">
    <tableColumn id="1" name="Ticker" dataDxfId="433"/>
    <tableColumn id="2" name="Company Name" dataDxfId="432"/>
    <tableColumn id="3" name="LatestPrice" dataDxfId="431"/>
    <tableColumn id="4" name="DaysLow" dataDxfId="430"/>
    <tableColumn id="5" name="DaysHigh" dataDxfId="429"/>
    <tableColumn id="6" name="PreviousClose" dataDxfId="428"/>
    <tableColumn id="7" name="%Change" dataDxfId="427" dataCellStyle="Comma"/>
    <tableColumn id="8" name="MarketCap" dataDxfId="426"/>
    <tableColumn id="9" name="DivYield" dataDxfId="425"/>
    <tableColumn id="10" name="P/E" dataDxfId="424"/>
    <tableColumn id="11" name="MA200" dataDxfId="423"/>
    <tableColumn id="12" name="Target" dataDxfId="422">
      <calculatedColumnFormula>K2*0.89</calculatedColumnFormula>
    </tableColumn>
    <tableColumn id="13" name="Buy?" dataDxfId="421">
      <calculatedColumnFormula>L2&gt;C2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31" name="Table2832" displayName="Table2832" ref="A1:M6" totalsRowShown="0" headerRowDxfId="420" dataDxfId="419">
  <autoFilter ref="A1:M6"/>
  <sortState ref="A2:K16">
    <sortCondition ref="A1:A16"/>
  </sortState>
  <tableColumns count="13">
    <tableColumn id="1" name="Ticker" dataDxfId="418"/>
    <tableColumn id="2" name="Company Name" dataDxfId="417"/>
    <tableColumn id="3" name="LatestPrice" dataDxfId="416"/>
    <tableColumn id="4" name="DaysLow" dataDxfId="415"/>
    <tableColumn id="5" name="DaysHigh" dataDxfId="414"/>
    <tableColumn id="6" name="PreviousClose" dataDxfId="413"/>
    <tableColumn id="7" name="%Change" dataDxfId="412" dataCellStyle="Comma"/>
    <tableColumn id="8" name="MarketCap" dataDxfId="411"/>
    <tableColumn id="9" name="DivYield" dataDxfId="410"/>
    <tableColumn id="10" name="P/E" dataDxfId="409"/>
    <tableColumn id="11" name="MA200" dataDxfId="408"/>
    <tableColumn id="12" name="Target" dataDxfId="407">
      <calculatedColumnFormula>K2*0.89</calculatedColumnFormula>
    </tableColumn>
    <tableColumn id="13" name="Buy?" dataDxfId="406">
      <calculatedColumnFormula>L2&gt;C2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34" name="Table3101835" displayName="Table3101835" ref="A1:M6" totalsRowShown="0" headerRowDxfId="405" dataDxfId="404">
  <autoFilter ref="A1:M6"/>
  <sortState ref="A2:K8">
    <sortCondition ref="A1:A8"/>
  </sortState>
  <tableColumns count="13">
    <tableColumn id="1" name="Ticker" dataDxfId="403"/>
    <tableColumn id="2" name="Company Name" dataDxfId="402"/>
    <tableColumn id="3" name="LatestPrice" dataDxfId="401"/>
    <tableColumn id="4" name="DaysLow" dataDxfId="400"/>
    <tableColumn id="5" name="DaysHigh" dataDxfId="399"/>
    <tableColumn id="6" name="PreviousClose" dataDxfId="398"/>
    <tableColumn id="10" name="%Change" dataDxfId="397"/>
    <tableColumn id="7" name="MarketCap" dataDxfId="396"/>
    <tableColumn id="8" name="DivYield" dataDxfId="395"/>
    <tableColumn id="9" name="P/E" dataDxfId="394"/>
    <tableColumn id="11" name="MA200" dataDxfId="393"/>
    <tableColumn id="12" name="Target" dataDxfId="392">
      <calculatedColumnFormula>K2*0.89</calculatedColumnFormula>
    </tableColumn>
    <tableColumn id="13" name="Buy?" dataDxfId="391">
      <calculatedColumnFormula>L2&gt;C2</calculatedColumnFormula>
    </tableColumn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7" name="Table31018" displayName="Table31018" ref="A1:M10" totalsRowShown="0" headerRowDxfId="390" dataDxfId="389">
  <autoFilter ref="A1:M10"/>
  <sortState ref="A2:K8">
    <sortCondition ref="A1:A8"/>
  </sortState>
  <tableColumns count="13">
    <tableColumn id="1" name="Ticker" dataDxfId="388"/>
    <tableColumn id="2" name="Company Name" dataDxfId="387"/>
    <tableColumn id="3" name="LatestPrice" dataDxfId="386"/>
    <tableColumn id="4" name="DaysLow" dataDxfId="385"/>
    <tableColumn id="5" name="DaysHigh" dataDxfId="384"/>
    <tableColumn id="6" name="PreviousClose" dataDxfId="383"/>
    <tableColumn id="10" name="%Change" dataDxfId="382"/>
    <tableColumn id="7" name="MarketCap" dataDxfId="381"/>
    <tableColumn id="8" name="DivYield" dataDxfId="380"/>
    <tableColumn id="9" name="P/E" dataDxfId="379"/>
    <tableColumn id="11" name="MA200" dataDxfId="378"/>
    <tableColumn id="12" name="Target" dataDxfId="377">
      <calculatedColumnFormula>K2*0.89</calculatedColumnFormula>
    </tableColumn>
    <tableColumn id="13" name="Buy?" dataDxfId="376">
      <calculatedColumnFormula>L2&gt;C2</calculatedColumnFormula>
    </tableColumn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3" name="Table3" displayName="Table3" ref="A1:M12" totalsRowShown="0" headerRowDxfId="375" dataDxfId="374">
  <autoFilter ref="A1:M12"/>
  <sortState ref="A2:I9">
    <sortCondition ref="A1:A9"/>
  </sortState>
  <tableColumns count="13">
    <tableColumn id="1" name="Ticker" dataDxfId="373"/>
    <tableColumn id="2" name="Company Name" dataDxfId="372"/>
    <tableColumn id="3" name="LatestPrice" dataDxfId="371"/>
    <tableColumn id="4" name="DaysLow" dataDxfId="370"/>
    <tableColumn id="5" name="DaysHigh" dataDxfId="369"/>
    <tableColumn id="6" name="PreviousClose" dataDxfId="368"/>
    <tableColumn id="10" name="%Change" dataDxfId="367"/>
    <tableColumn id="7" name="MarketCap" dataDxfId="366"/>
    <tableColumn id="8" name="DivYield" dataDxfId="365"/>
    <tableColumn id="9" name="P/E" dataDxfId="364"/>
    <tableColumn id="11" name="MA200" dataDxfId="363"/>
    <tableColumn id="12" name="Target" dataDxfId="362">
      <calculatedColumnFormula>K2*0.89</calculatedColumnFormula>
    </tableColumn>
    <tableColumn id="13" name="Buy?" dataDxfId="361">
      <calculatedColumnFormula>L2&gt;C2</calculatedColumnFormula>
    </tableColumn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23" name="Table324" displayName="Table324" ref="A1:M8" totalsRowShown="0" headerRowDxfId="360" dataDxfId="359">
  <autoFilter ref="A1:M8"/>
  <sortState ref="A2:I9">
    <sortCondition ref="A1:A9"/>
  </sortState>
  <tableColumns count="13">
    <tableColumn id="1" name="Ticker" dataDxfId="358"/>
    <tableColumn id="2" name="Company Name" dataDxfId="357"/>
    <tableColumn id="3" name="LatestPrice" dataDxfId="356"/>
    <tableColumn id="4" name="DaysLow" dataDxfId="355"/>
    <tableColumn id="5" name="DaysHigh" dataDxfId="354"/>
    <tableColumn id="6" name="PreviousClose" dataDxfId="353"/>
    <tableColumn id="10" name="%Change" dataDxfId="352"/>
    <tableColumn id="7" name="MarketCap" dataDxfId="351"/>
    <tableColumn id="8" name="DivYield" dataDxfId="350"/>
    <tableColumn id="9" name="P/E" dataDxfId="349"/>
    <tableColumn id="11" name="MA200" dataDxfId="348"/>
    <tableColumn id="12" name="Target" dataDxfId="347">
      <calculatedColumnFormula>K2*0.89</calculatedColumnFormula>
    </tableColumn>
    <tableColumn id="13" name="Buy?" dataDxfId="346">
      <calculatedColumnFormula>L2&gt;C2</calculatedColumnFormula>
    </tableColumn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2" name="Table2" displayName="Table2" ref="A1:M17" totalsRowShown="0" headerRowDxfId="345" dataDxfId="344">
  <autoFilter ref="A1:M17"/>
  <sortState ref="A2:K15">
    <sortCondition ref="A1:A15"/>
  </sortState>
  <tableColumns count="13">
    <tableColumn id="1" name="Ticker" dataDxfId="343"/>
    <tableColumn id="2" name="Company Name" dataDxfId="342"/>
    <tableColumn id="3" name="LatestPrice" dataDxfId="341"/>
    <tableColumn id="4" name="DaysLow" dataDxfId="340"/>
    <tableColumn id="5" name="DaysHigh" dataDxfId="339"/>
    <tableColumn id="6" name="PreviousClose" dataDxfId="338"/>
    <tableColumn id="7" name="%Change" dataDxfId="337" dataCellStyle="Comma"/>
    <tableColumn id="8" name="MarketCap" dataDxfId="336"/>
    <tableColumn id="9" name="DivYield" dataDxfId="335"/>
    <tableColumn id="10" name="P/E" dataDxfId="334"/>
    <tableColumn id="11" name="MA200" dataDxfId="333"/>
    <tableColumn id="12" name="Target" dataDxfId="332">
      <calculatedColumnFormula>K2*0.9</calculatedColumnFormula>
    </tableColumn>
    <tableColumn id="13" name="Buy?" dataDxfId="331">
      <calculatedColumnFormula>L2&gt;C2</calculatedColumnFormula>
    </tableColumn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26" name="Table227" displayName="Table227" ref="A1:M4" totalsRowShown="0" headerRowDxfId="330" dataDxfId="329">
  <autoFilter ref="A1:M4"/>
  <sortState ref="A2:K15">
    <sortCondition ref="A1:A15"/>
  </sortState>
  <tableColumns count="13">
    <tableColumn id="1" name="Ticker" dataDxfId="328"/>
    <tableColumn id="2" name="Company Name" dataDxfId="327"/>
    <tableColumn id="3" name="LatestPrice" dataDxfId="326"/>
    <tableColumn id="4" name="DaysLow" dataDxfId="325"/>
    <tableColumn id="5" name="DaysHigh" dataDxfId="324"/>
    <tableColumn id="6" name="PreviousClose" dataDxfId="323"/>
    <tableColumn id="7" name="%Change" dataDxfId="322" dataCellStyle="Comma"/>
    <tableColumn id="8" name="MarketCap" dataDxfId="321"/>
    <tableColumn id="9" name="DivYield" dataDxfId="320"/>
    <tableColumn id="10" name="P/E" dataDxfId="319"/>
    <tableColumn id="11" name="MA200" dataDxfId="318"/>
    <tableColumn id="12" name="Target" dataDxfId="317">
      <calculatedColumnFormula>K2*0.89</calculatedColumnFormula>
    </tableColumn>
    <tableColumn id="13" name="Buy?" dataDxfId="316">
      <calculatedColumnFormula>L2&gt;C2</calculatedColumnFormula>
    </tableColumn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5" name="Table26216" displayName="Table26216" ref="A1:M9" totalsRowShown="0" headerRowDxfId="315" dataDxfId="314">
  <autoFilter ref="A1:M9"/>
  <sortState ref="A2:K6">
    <sortCondition ref="A1:A6"/>
  </sortState>
  <tableColumns count="13">
    <tableColumn id="1" name="Ticker" dataDxfId="313"/>
    <tableColumn id="2" name="Company Name" dataDxfId="312"/>
    <tableColumn id="3" name="LatestPrice" dataDxfId="311"/>
    <tableColumn id="4" name="DaysLow" dataDxfId="310"/>
    <tableColumn id="5" name="DaysHigh" dataDxfId="309"/>
    <tableColumn id="6" name="PreviousClose" dataDxfId="308"/>
    <tableColumn id="7" name="%Change" dataDxfId="307"/>
    <tableColumn id="8" name="MarketCap" dataDxfId="306"/>
    <tableColumn id="9" name="DivYield" dataDxfId="305"/>
    <tableColumn id="10" name="P/E" dataDxfId="304"/>
    <tableColumn id="11" name="MA200" dataDxfId="303"/>
    <tableColumn id="12" name="Target" dataDxfId="302">
      <calculatedColumnFormula>K2*0.9</calculatedColumnFormula>
    </tableColumn>
    <tableColumn id="13" name="Buy?" dataDxfId="301">
      <calculatedColumnFormula>L2&gt;C2</calculatedColumnFormula>
    </tableColumn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7" name="Table2621628" displayName="Table2621628" ref="A1:M10" totalsRowShown="0" headerRowDxfId="300" dataDxfId="299">
  <autoFilter ref="A1:M10"/>
  <sortState ref="A2:K6">
    <sortCondition ref="A1:A6"/>
  </sortState>
  <tableColumns count="13">
    <tableColumn id="1" name="Ticker" dataDxfId="298"/>
    <tableColumn id="2" name="Company Name" dataDxfId="297"/>
    <tableColumn id="3" name="LatestPrice" dataDxfId="296"/>
    <tableColumn id="4" name="DaysLow" dataDxfId="295"/>
    <tableColumn id="5" name="DaysHigh" dataDxfId="294"/>
    <tableColumn id="6" name="PreviousClose" dataDxfId="293"/>
    <tableColumn id="7" name="%Change" dataDxfId="292"/>
    <tableColumn id="8" name="MarketCap" dataDxfId="291"/>
    <tableColumn id="9" name="DivYield" dataDxfId="290"/>
    <tableColumn id="10" name="P/E" dataDxfId="289"/>
    <tableColumn id="11" name="MA200" dataDxfId="288"/>
    <tableColumn id="12" name="Target" dataDxfId="287">
      <calculatedColumnFormula>K2*0.9</calculatedColumnFormula>
    </tableColumn>
    <tableColumn id="13" name="Buy?" dataDxfId="286">
      <calculatedColumnFormula>L2&gt;C2</calculatedColumnFormula>
    </tableColumn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3" name="Table26214" displayName="Table26214" ref="A1:M19" totalsRowShown="0" headerRowDxfId="285" dataDxfId="284">
  <autoFilter ref="A1:M19"/>
  <sortState ref="A2:K14">
    <sortCondition ref="A1:A14"/>
  </sortState>
  <tableColumns count="13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7" name="%Change" dataDxfId="277"/>
    <tableColumn id="8" name="MarketCap" dataDxfId="276"/>
    <tableColumn id="9" name="DivYield" dataDxfId="275"/>
    <tableColumn id="10" name="P/E" dataDxfId="274"/>
    <tableColumn id="11" name="MA200" dataDxfId="273"/>
    <tableColumn id="12" name="Target" dataDxfId="272">
      <calculatedColumnFormula>K2*0.9</calculatedColumnFormula>
    </tableColumn>
    <tableColumn id="13" name="Buy?" dataDxfId="271">
      <calculatedColumnFormula>L2&gt;C2</calculatedColumnFormula>
    </tableColumn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8" name="Table2619" displayName="Table2619" ref="A1:M10" totalsRowShown="0" headerRowDxfId="270" dataDxfId="269">
  <autoFilter ref="A1:M10"/>
  <sortState ref="A2:K9">
    <sortCondition ref="A1:A9"/>
  </sortState>
  <tableColumns count="13">
    <tableColumn id="1" name="Ticker" dataDxfId="268"/>
    <tableColumn id="2" name="Company Name" dataDxfId="267"/>
    <tableColumn id="3" name="LatestPrice" dataDxfId="266"/>
    <tableColumn id="4" name="DaysLow" dataDxfId="265"/>
    <tableColumn id="5" name="DaysHigh" dataDxfId="264"/>
    <tableColumn id="6" name="PreviousClose" dataDxfId="263"/>
    <tableColumn id="7" name="%Change" dataDxfId="262"/>
    <tableColumn id="8" name="MarketCap" dataDxfId="261"/>
    <tableColumn id="9" name="DivYield" dataDxfId="260"/>
    <tableColumn id="10" name="P/E" dataDxfId="259"/>
    <tableColumn id="11" name="MA200" dataDxfId="258"/>
    <tableColumn id="12" name="Target" dataDxfId="257">
      <calculatedColumnFormula>K2*0.9</calculatedColumnFormula>
    </tableColumn>
    <tableColumn id="13" name="Buy?" dataDxfId="256">
      <calculatedColumnFormula>L2&gt;C2</calculatedColumnFormula>
    </tableColumn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33" name="Table261934" displayName="Table261934" ref="A1:M7" totalsRowShown="0" headerRowDxfId="255" dataDxfId="254">
  <autoFilter ref="A1:M7"/>
  <sortState ref="A2:K9">
    <sortCondition ref="A1:A9"/>
  </sortState>
  <tableColumns count="13">
    <tableColumn id="1" name="Ticker" dataDxfId="253"/>
    <tableColumn id="2" name="Company Name" dataDxfId="252"/>
    <tableColumn id="3" name="LatestPrice" dataDxfId="251"/>
    <tableColumn id="4" name="DaysLow" dataDxfId="250"/>
    <tableColumn id="5" name="DaysHigh" dataDxfId="249"/>
    <tableColumn id="6" name="PreviousClose" dataDxfId="248"/>
    <tableColumn id="7" name="%Change" dataDxfId="247"/>
    <tableColumn id="8" name="MarketCap" dataDxfId="246"/>
    <tableColumn id="9" name="DivYield" dataDxfId="245"/>
    <tableColumn id="10" name="P/E" dataDxfId="244"/>
    <tableColumn id="11" name="MA200" dataDxfId="243"/>
    <tableColumn id="12" name="Target" dataDxfId="242">
      <calculatedColumnFormula>K2*0.9</calculatedColumnFormula>
    </tableColumn>
    <tableColumn id="13" name="Buy?" dataDxfId="241">
      <calculatedColumnFormula>L2&gt;C2</calculatedColumnFormula>
    </tableColumn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5" name="Table26" displayName="Table26" ref="A1:M9" totalsRowShown="0" headerRowDxfId="240" dataDxfId="239">
  <autoFilter ref="A1:M9"/>
  <sortState ref="A2:K8">
    <sortCondition ref="A1:A8"/>
  </sortState>
  <tableColumns count="13">
    <tableColumn id="1" name="Ticker" dataDxfId="238"/>
    <tableColumn id="2" name="Company Name" dataDxfId="237"/>
    <tableColumn id="3" name="LatestPrice" dataDxfId="236"/>
    <tableColumn id="4" name="DaysLow" dataDxfId="235"/>
    <tableColumn id="5" name="DaysHigh" dataDxfId="234"/>
    <tableColumn id="6" name="PreviousClose" dataDxfId="233"/>
    <tableColumn id="7" name="%Change" dataDxfId="232"/>
    <tableColumn id="8" name="MarketCap" dataDxfId="231"/>
    <tableColumn id="9" name="DivYield" dataDxfId="230"/>
    <tableColumn id="10" name="P/E" dataDxfId="229"/>
    <tableColumn id="11" name="MA200" dataDxfId="228"/>
    <tableColumn id="12" name="Target" dataDxfId="227">
      <calculatedColumnFormula>K2*0.9</calculatedColumnFormula>
    </tableColumn>
    <tableColumn id="13" name="Buy?" dataDxfId="226">
      <calculatedColumnFormula>L2&gt;C2</calculatedColumnFormula>
    </tableColumn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35" name="Table3515222636" displayName="Table3515222636" ref="A1:M7" totalsRowShown="0" headerRowDxfId="225" dataDxfId="224">
  <autoFilter ref="A1:M7"/>
  <sortState ref="A2:I9">
    <sortCondition ref="A1:A9"/>
  </sortState>
  <tableColumns count="13">
    <tableColumn id="1" name="Ticker" dataDxfId="223"/>
    <tableColumn id="2" name="Company Name" dataDxfId="222"/>
    <tableColumn id="3" name="LatestPrice" dataDxfId="221"/>
    <tableColumn id="4" name="DaysLow" dataDxfId="220"/>
    <tableColumn id="5" name="DaysHigh" dataDxfId="219"/>
    <tableColumn id="6" name="PreviousClose" dataDxfId="218"/>
    <tableColumn id="10" name="%Change" dataDxfId="217"/>
    <tableColumn id="7" name="MarketCap" dataDxfId="216"/>
    <tableColumn id="8" name="DivYield" dataDxfId="215"/>
    <tableColumn id="9" name="P/E" dataDxfId="214"/>
    <tableColumn id="11" name="MA200" dataDxfId="213"/>
    <tableColumn id="12" name="Target" dataDxfId="212">
      <calculatedColumnFormula>K2*0.89</calculatedColumnFormula>
    </tableColumn>
    <tableColumn id="13" name="Buy?" dataDxfId="211">
      <calculatedColumnFormula>L2&gt;C2</calculatedColumnFormula>
    </tableColumn>
  </tableColumns>
  <tableStyleInfo name="TableStyleMedium13" showFirstColumn="0" showLastColumn="0" showRowStripes="1" showColumnStripes="0"/>
</table>
</file>

<file path=xl/tables/table23.xml><?xml version="1.0" encoding="utf-8"?>
<table xmlns="http://schemas.openxmlformats.org/spreadsheetml/2006/main" id="8" name="Table289" displayName="Table289" ref="A1:M13" totalsRowShown="0" headerRowDxfId="210" dataDxfId="209">
  <autoFilter ref="A1:M13"/>
  <sortState ref="A2:K12">
    <sortCondition ref="A1:A12"/>
  </sortState>
  <tableColumns count="13">
    <tableColumn id="1" name="Ticker" dataDxfId="208"/>
    <tableColumn id="2" name="Company Name" dataDxfId="207"/>
    <tableColumn id="3" name="LatestPrice" dataDxfId="206"/>
    <tableColumn id="4" name="DaysLow" dataDxfId="205"/>
    <tableColumn id="5" name="DaysHigh" dataDxfId="204"/>
    <tableColumn id="6" name="PreviousClose" dataDxfId="203"/>
    <tableColumn id="7" name="%Change" dataDxfId="202" dataCellStyle="Comma"/>
    <tableColumn id="8" name="MarketCap" dataDxfId="201"/>
    <tableColumn id="9" name="DivYield" dataDxfId="200"/>
    <tableColumn id="10" name="P/E" dataDxfId="199"/>
    <tableColumn id="11" name="MA200" dataDxfId="198"/>
    <tableColumn id="12" name="Target" dataDxfId="197">
      <calculatedColumnFormula>K2*0.9</calculatedColumnFormula>
    </tableColumn>
    <tableColumn id="13" name="Buy?" dataDxfId="196">
      <calculatedColumnFormula>L2&gt;C2</calculatedColumnFormula>
    </tableColumn>
  </tableColumns>
  <tableStyleInfo name="TableStyleMedium13" showFirstColumn="0" showLastColumn="0" showRowStripes="1" showColumnStripes="0"/>
</table>
</file>

<file path=xl/tables/table24.xml><?xml version="1.0" encoding="utf-8"?>
<table xmlns="http://schemas.openxmlformats.org/spreadsheetml/2006/main" id="28" name="Table28929" displayName="Table28929" ref="A1:M18" totalsRowShown="0" headerRowDxfId="195" dataDxfId="194">
  <autoFilter ref="A1:M18"/>
  <sortState ref="A2:K12">
    <sortCondition ref="A1:A12"/>
  </sortState>
  <tableColumns count="13">
    <tableColumn id="1" name="Ticker" dataDxfId="193"/>
    <tableColumn id="2" name="Company Name" dataDxfId="192"/>
    <tableColumn id="3" name="LatestPrice" dataDxfId="191"/>
    <tableColumn id="4" name="DaysLow" dataDxfId="190"/>
    <tableColumn id="5" name="DaysHigh" dataDxfId="189"/>
    <tableColumn id="6" name="PreviousClose" dataDxfId="188"/>
    <tableColumn id="7" name="%Change" dataDxfId="187" dataCellStyle="Comma"/>
    <tableColumn id="8" name="MarketCap" dataDxfId="186"/>
    <tableColumn id="9" name="DivYield" dataDxfId="185"/>
    <tableColumn id="10" name="P/E" dataDxfId="184"/>
    <tableColumn id="11" name="MA200" dataDxfId="183"/>
    <tableColumn id="12" name="Target" dataDxfId="182">
      <calculatedColumnFormula>K2*0.9</calculatedColumnFormula>
    </tableColumn>
    <tableColumn id="13" name="Buy?" dataDxfId="181">
      <calculatedColumnFormula>L2&gt;C2</calculatedColumnFormula>
    </tableColumn>
  </tableColumns>
  <tableStyleInfo name="TableStyleMedium13" showFirstColumn="0" showLastColumn="0" showRowStripes="1" showColumnStripes="0"/>
</table>
</file>

<file path=xl/tables/table25.xml><?xml version="1.0" encoding="utf-8"?>
<table xmlns="http://schemas.openxmlformats.org/spreadsheetml/2006/main" id="16" name="Table31017" displayName="Table31017" ref="A1:M13" totalsRowShown="0" headerRowDxfId="180" dataDxfId="179">
  <autoFilter ref="A1:M13"/>
  <sortState ref="A2:K11">
    <sortCondition ref="A1:A11"/>
  </sortState>
  <tableColumns count="13">
    <tableColumn id="1" name="Ticker" dataDxfId="178"/>
    <tableColumn id="2" name="Company Name" dataDxfId="177"/>
    <tableColumn id="3" name="LatestPrice" dataDxfId="176"/>
    <tableColumn id="4" name="DaysLow" dataDxfId="175"/>
    <tableColumn id="5" name="DaysHigh" dataDxfId="174"/>
    <tableColumn id="6" name="PreviousClose" dataDxfId="173"/>
    <tableColumn id="10" name="%Change" dataDxfId="172"/>
    <tableColumn id="7" name="MarketCap" dataDxfId="171"/>
    <tableColumn id="8" name="DivYield" dataDxfId="170"/>
    <tableColumn id="9" name="P/E" dataDxfId="169"/>
    <tableColumn id="11" name="MA200" dataDxfId="168"/>
    <tableColumn id="12" name="Target" dataDxfId="167">
      <calculatedColumnFormula>K2*0.9</calculatedColumnFormula>
    </tableColumn>
    <tableColumn id="13" name="Buy?" dataDxfId="166">
      <calculatedColumnFormula>L2&gt;C2</calculatedColumnFormula>
    </tableColumn>
  </tableColumns>
  <tableStyleInfo name="TableStyleMedium13" showFirstColumn="0" showLastColumn="0" showRowStripes="1" showColumnStripes="0"/>
</table>
</file>

<file path=xl/tables/table26.xml><?xml version="1.0" encoding="utf-8"?>
<table xmlns="http://schemas.openxmlformats.org/spreadsheetml/2006/main" id="11" name="Table31012" displayName="Table31012" ref="A1:M8" totalsRowShown="0" headerRowDxfId="165" dataDxfId="164">
  <autoFilter ref="A1:M8"/>
  <sortState ref="A2:K8">
    <sortCondition ref="A1:A8"/>
  </sortState>
  <tableColumns count="13">
    <tableColumn id="1" name="Ticker" dataDxfId="163"/>
    <tableColumn id="2" name="Company Name" dataDxfId="162"/>
    <tableColumn id="3" name="LatestPrice" dataDxfId="161"/>
    <tableColumn id="4" name="DaysLow" dataDxfId="160"/>
    <tableColumn id="5" name="DaysHigh" dataDxfId="159"/>
    <tableColumn id="6" name="PreviousClose" dataDxfId="158"/>
    <tableColumn id="10" name="%Change" dataDxfId="157"/>
    <tableColumn id="7" name="MarketCap" dataDxfId="156"/>
    <tableColumn id="8" name="DivYield" dataDxfId="155"/>
    <tableColumn id="9" name="P/E" dataDxfId="154"/>
    <tableColumn id="11" name="MA200" dataDxfId="153"/>
    <tableColumn id="12" name="Target" dataDxfId="152">
      <calculatedColumnFormula>K2*0.9</calculatedColumnFormula>
    </tableColumn>
    <tableColumn id="13" name="Buy?" dataDxfId="151">
      <calculatedColumnFormula>L2&gt;C2</calculatedColumnFormula>
    </tableColumn>
  </tableColumns>
  <tableStyleInfo name="TableStyleMedium13" showFirstColumn="0" showLastColumn="0" showRowStripes="1" showColumnStripes="0"/>
</table>
</file>

<file path=xl/tables/table27.xml><?xml version="1.0" encoding="utf-8"?>
<table xmlns="http://schemas.openxmlformats.org/spreadsheetml/2006/main" id="22" name="Table28923" displayName="Table28923" ref="A1:M14" totalsRowShown="0" headerRowDxfId="150" dataDxfId="149">
  <autoFilter ref="A1:M14"/>
  <sortState ref="A2:K12">
    <sortCondition ref="A1:A12"/>
  </sortState>
  <tableColumns count="13">
    <tableColumn id="1" name="Ticker" dataDxfId="148"/>
    <tableColumn id="2" name="Company Name" dataDxfId="147"/>
    <tableColumn id="3" name="LatestPrice" dataDxfId="146"/>
    <tableColumn id="4" name="DaysLow" dataDxfId="145"/>
    <tableColumn id="5" name="DaysHigh" dataDxfId="144"/>
    <tableColumn id="6" name="PreviousClose" dataDxfId="143"/>
    <tableColumn id="7" name="%Change" dataDxfId="142" dataCellStyle="Comma"/>
    <tableColumn id="8" name="MarketCap" dataDxfId="141"/>
    <tableColumn id="9" name="DivYield" dataDxfId="140"/>
    <tableColumn id="10" name="P/E" dataDxfId="139"/>
    <tableColumn id="11" name="MA200" dataDxfId="138"/>
    <tableColumn id="12" name="Target" dataDxfId="137">
      <calculatedColumnFormula>K2*0.9</calculatedColumnFormula>
    </tableColumn>
    <tableColumn id="13" name="Buy?" dataDxfId="136">
      <calculatedColumnFormula>L2&gt;C2</calculatedColumnFormula>
    </tableColumn>
  </tableColumns>
  <tableStyleInfo name="TableStyleMedium13" showFirstColumn="0" showLastColumn="0" showRowStripes="1" showColumnStripes="0"/>
</table>
</file>

<file path=xl/tables/table28.xml><?xml version="1.0" encoding="utf-8"?>
<table xmlns="http://schemas.openxmlformats.org/spreadsheetml/2006/main" id="20" name="Table2621621" displayName="Table2621621" ref="A1:M8" totalsRowShown="0" headerRowDxfId="135" dataDxfId="134">
  <autoFilter ref="A1:M8"/>
  <sortState ref="A2:K6">
    <sortCondition ref="A1:A6"/>
  </sortState>
  <tableColumns count="13">
    <tableColumn id="1" name="Ticker" dataDxfId="133"/>
    <tableColumn id="2" name="Company Name" dataDxfId="132"/>
    <tableColumn id="3" name="LatestPrice" dataDxfId="131"/>
    <tableColumn id="4" name="DaysLow" dataDxfId="130"/>
    <tableColumn id="5" name="DaysHigh" dataDxfId="129"/>
    <tableColumn id="6" name="PreviousClose" dataDxfId="128"/>
    <tableColumn id="7" name="%Change" dataDxfId="127"/>
    <tableColumn id="8" name="MarketCap" dataDxfId="126"/>
    <tableColumn id="9" name="DivYield" dataDxfId="125"/>
    <tableColumn id="10" name="P/E" dataDxfId="124"/>
    <tableColumn id="11" name="MA200" dataDxfId="123"/>
    <tableColumn id="12" name="Target" dataDxfId="122">
      <calculatedColumnFormula>K2*0.9</calculatedColumnFormula>
    </tableColumn>
    <tableColumn id="13" name="Buy?" dataDxfId="121">
      <calculatedColumnFormula>L2&gt;C2</calculatedColumnFormula>
    </tableColumn>
  </tableColumns>
  <tableStyleInfo name="TableStyleMedium13" showFirstColumn="0" showLastColumn="0" showRowStripes="1" showColumnStripes="0"/>
</table>
</file>

<file path=xl/tables/table29.xml><?xml version="1.0" encoding="utf-8"?>
<table xmlns="http://schemas.openxmlformats.org/spreadsheetml/2006/main" id="9" name="Table310" displayName="Table310" ref="A1:M8" totalsRowShown="0" headerRowDxfId="120" dataDxfId="119">
  <autoFilter ref="A1:M8"/>
  <sortState ref="A2:K8">
    <sortCondition ref="A1:A8"/>
  </sortState>
  <tableColumns count="13">
    <tableColumn id="1" name="Ticker" dataDxfId="118"/>
    <tableColumn id="2" name="Company Name" dataDxfId="117"/>
    <tableColumn id="3" name="LatestPrice" dataDxfId="116"/>
    <tableColumn id="4" name="DaysLow" dataDxfId="115"/>
    <tableColumn id="5" name="DaysHigh" dataDxfId="114"/>
    <tableColumn id="6" name="PreviousClose" dataDxfId="113"/>
    <tableColumn id="10" name="%Change" dataDxfId="112"/>
    <tableColumn id="7" name="MarketCap" dataDxfId="111"/>
    <tableColumn id="8" name="DivYield" dataDxfId="110"/>
    <tableColumn id="9" name="P/E" dataDxfId="109"/>
    <tableColumn id="11" name="MA200" dataDxfId="108"/>
    <tableColumn id="12" name="Target" dataDxfId="107">
      <calculatedColumnFormula>K2*0.9</calculatedColumnFormula>
    </tableColumn>
    <tableColumn id="13" name="Buy?" dataDxfId="106">
      <calculatedColumnFormula>L2&gt;C2</calculatedColumnFormula>
    </tableColumn>
  </tableColumns>
  <tableStyleInfo name="TableStyleMedium13" showFirstColumn="0" showLastColumn="0" showRowStripes="1" showColumnStripes="0"/>
</table>
</file>

<file path=xl/tables/table30.xml><?xml version="1.0" encoding="utf-8"?>
<table xmlns="http://schemas.openxmlformats.org/spreadsheetml/2006/main" id="1" name="Table262" displayName="Table262" ref="A1:M12" totalsRowShown="0" headerRowDxfId="105" dataDxfId="104">
  <autoFilter ref="A1:M12"/>
  <sortState ref="A2:K8">
    <sortCondition ref="A1:A8"/>
  </sortState>
  <tableColumns count="13">
    <tableColumn id="1" name="Ticker" dataDxfId="103"/>
    <tableColumn id="2" name="Company Name" dataDxfId="102"/>
    <tableColumn id="3" name="LatestPrice" dataDxfId="101"/>
    <tableColumn id="4" name="DaysLow" dataDxfId="100"/>
    <tableColumn id="5" name="DaysHigh" dataDxfId="99"/>
    <tableColumn id="6" name="PreviousClose" dataDxfId="98"/>
    <tableColumn id="7" name="%Change" dataDxfId="97"/>
    <tableColumn id="8" name="MarketCap" dataDxfId="96"/>
    <tableColumn id="9" name="DivYield" dataDxfId="95"/>
    <tableColumn id="10" name="P/E" dataDxfId="94"/>
    <tableColumn id="11" name="MA200" dataDxfId="93"/>
    <tableColumn id="12" name="Target" dataDxfId="92">
      <calculatedColumnFormula>K2*0.9</calculatedColumnFormula>
    </tableColumn>
    <tableColumn id="13" name="Buy?" dataDxfId="91">
      <calculatedColumnFormula>L2&gt;C2</calculatedColumnFormula>
    </tableColumn>
  </tableColumns>
  <tableStyleInfo name="TableStyleMedium13" showFirstColumn="0" showLastColumn="0" showRowStripes="1" showColumnStripes="0"/>
</table>
</file>

<file path=xl/tables/table31.xml><?xml version="1.0" encoding="utf-8"?>
<table xmlns="http://schemas.openxmlformats.org/spreadsheetml/2006/main" id="12" name="Table26213" displayName="Table26213" ref="A1:M8" totalsRowShown="0" headerRowDxfId="90" dataDxfId="89">
  <autoFilter ref="A1:M8"/>
  <sortState ref="A2:K6">
    <sortCondition ref="A1:A6"/>
  </sortState>
  <tableColumns count="13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/>
    <tableColumn id="8" name="MarketCap" dataDxfId="81"/>
    <tableColumn id="9" name="DivYield" dataDxfId="80"/>
    <tableColumn id="10" name="P/E" dataDxfId="79"/>
    <tableColumn id="11" name="MA200" dataDxfId="78"/>
    <tableColumn id="12" name="Target" dataDxfId="77">
      <calculatedColumnFormula>K2*0.9</calculatedColumnFormula>
    </tableColumn>
    <tableColumn id="13" name="Buy?" dataDxfId="76">
      <calculatedColumnFormula>L2&gt;C2</calculatedColumnFormula>
    </tableColumn>
  </tableColumns>
  <tableStyleInfo name="TableStyleMedium13" showFirstColumn="0" showLastColumn="0" showRowStripes="1" showColumnStripes="0"/>
</table>
</file>

<file path=xl/tables/table32.xml><?xml version="1.0" encoding="utf-8"?>
<table xmlns="http://schemas.openxmlformats.org/spreadsheetml/2006/main" id="14" name="Table28915" displayName="Table28915" ref="A1:N12" totalsRowShown="0" headerRowDxfId="75" dataDxfId="74">
  <autoFilter ref="A1:N12"/>
  <sortState ref="A2:L16">
    <sortCondition ref="L1:L16"/>
  </sortState>
  <tableColumns count="14">
    <tableColumn id="1" name="Ticker" dataDxfId="73"/>
    <tableColumn id="2" name="Company Name" dataDxfId="72"/>
    <tableColumn id="3" name="LatestPrice" dataDxfId="71"/>
    <tableColumn id="4" name="DaysLow" dataDxfId="70"/>
    <tableColumn id="5" name="DaysHigh" dataDxfId="69"/>
    <tableColumn id="6" name="PreviousClose" dataDxfId="68"/>
    <tableColumn id="7" name="%Change" dataDxfId="67" dataCellStyle="Comma"/>
    <tableColumn id="8" name="MarketCap" dataDxfId="66"/>
    <tableColumn id="9" name="DivYield" dataDxfId="65"/>
    <tableColumn id="10" name="P/E" dataDxfId="64"/>
    <tableColumn id="11" name="MA200" dataDxfId="63"/>
    <tableColumn id="12" name="Category" dataDxfId="62"/>
    <tableColumn id="13" name="Target" dataDxfId="61">
      <calculatedColumnFormula>K2*0.9</calculatedColumnFormula>
    </tableColumn>
    <tableColumn id="14" name="Buy?" dataDxfId="60">
      <calculatedColumnFormula>M2&gt;D2</calculatedColumnFormula>
    </tableColumn>
  </tableColumns>
  <tableStyleInfo name="TableStyleMedium13" showFirstColumn="0" showLastColumn="0" showRowStripes="1" showColumnStripes="0"/>
</table>
</file>

<file path=xl/tables/table33.xml><?xml version="1.0" encoding="utf-8"?>
<table xmlns="http://schemas.openxmlformats.org/spreadsheetml/2006/main" id="6" name="Table262137" displayName="Table262137" ref="A1:M5" totalsRowShown="0" headerRowDxfId="59" dataDxfId="58">
  <autoFilter ref="A1:M5"/>
  <sortState ref="A2:K6">
    <sortCondition ref="A1:A6"/>
  </sortState>
  <tableColumns count="13">
    <tableColumn id="1" name="Ticker" dataDxfId="57"/>
    <tableColumn id="2" name="Company Name" dataDxfId="56"/>
    <tableColumn id="3" name="LatestPrice" dataDxfId="55"/>
    <tableColumn id="4" name="DaysLow" dataDxfId="54"/>
    <tableColumn id="5" name="DaysHigh" dataDxfId="53"/>
    <tableColumn id="6" name="PreviousClose" dataDxfId="52"/>
    <tableColumn id="7" name="%Change" dataDxfId="51"/>
    <tableColumn id="8" name="MarketCap" dataDxfId="50"/>
    <tableColumn id="9" name="DivYield" dataDxfId="49"/>
    <tableColumn id="10" name="P/E" dataDxfId="48"/>
    <tableColumn id="11" name="MA200" dataDxfId="47"/>
    <tableColumn id="12" name="Target" dataDxfId="46">
      <calculatedColumnFormula>K2*0.9</calculatedColumnFormula>
    </tableColumn>
    <tableColumn id="13" name="Buy?" dataDxfId="45">
      <calculatedColumnFormula>L2&gt;C2</calculatedColumnFormula>
    </tableColumn>
  </tableColumns>
  <tableStyleInfo name="TableStyleMedium13" showFirstColumn="0" showLastColumn="0" showRowStripes="1" showColumnStripes="0"/>
</table>
</file>

<file path=xl/tables/table34.xml><?xml version="1.0" encoding="utf-8"?>
<table xmlns="http://schemas.openxmlformats.org/spreadsheetml/2006/main" id="10" name="Table31011" displayName="Table31011" ref="A1:M33" totalsRowShown="0" headerRowDxfId="44" dataDxfId="43">
  <autoFilter ref="A1:M33"/>
  <sortState ref="A2:M33">
    <sortCondition ref="A1:A33"/>
  </sortState>
  <tableColumns count="13">
    <tableColumn id="1" name="Ticker" dataDxfId="42"/>
    <tableColumn id="2" name="Company Name" dataDxfId="41"/>
    <tableColumn id="3" name="LatestPrice" dataDxfId="40"/>
    <tableColumn id="4" name="DaysLow" dataDxfId="39"/>
    <tableColumn id="5" name="DaysHigh" dataDxfId="38"/>
    <tableColumn id="6" name="PreviousClose" dataDxfId="37"/>
    <tableColumn id="10" name="%Change" dataDxfId="36"/>
    <tableColumn id="7" name="MarketCap" dataDxfId="35"/>
    <tableColumn id="8" name="DivYield" dataDxfId="34"/>
    <tableColumn id="9" name="P/E" dataDxfId="33"/>
    <tableColumn id="11" name="MA200" dataDxfId="32"/>
    <tableColumn id="12" name="Target" dataDxfId="31">
      <calculatedColumnFormula>K2*0.9</calculatedColumnFormula>
    </tableColumn>
    <tableColumn id="13" name="Buy?" dataDxfId="30">
      <calculatedColumnFormula>L2&gt;C2</calculatedColumnFormula>
    </tableColumn>
  </tableColumns>
  <tableStyleInfo name="TableStyleMedium13" showFirstColumn="0" showLastColumn="0" showRowStripes="1" showColumnStripes="0"/>
</table>
</file>

<file path=xl/tables/table35.xml><?xml version="1.0" encoding="utf-8"?>
<table xmlns="http://schemas.openxmlformats.org/spreadsheetml/2006/main" id="24" name="Table3101125" displayName="Table3101125" ref="A1:M9" totalsRowShown="0" headerRowDxfId="29" dataDxfId="28">
  <autoFilter ref="A1:M9"/>
  <sortState ref="A2:K33">
    <sortCondition ref="J1:J33"/>
  </sortState>
  <tableColumns count="13">
    <tableColumn id="1" name="Ticker" dataDxfId="27"/>
    <tableColumn id="2" name="Company Name" dataDxfId="26"/>
    <tableColumn id="3" name="LatestPrice" dataDxfId="25"/>
    <tableColumn id="4" name="DaysLow" dataDxfId="24"/>
    <tableColumn id="5" name="DaysHigh" dataDxfId="23"/>
    <tableColumn id="6" name="PreviousClose" dataDxfId="22"/>
    <tableColumn id="10" name="%Change" dataDxfId="21"/>
    <tableColumn id="7" name="MarketCap" dataDxfId="20"/>
    <tableColumn id="8" name="DivYield" dataDxfId="19"/>
    <tableColumn id="9" name="P/E" dataDxfId="18"/>
    <tableColumn id="11" name="MA200" dataDxfId="17"/>
    <tableColumn id="12" name="Target" dataDxfId="16">
      <calculatedColumnFormula>K2*0.9</calculatedColumnFormula>
    </tableColumn>
    <tableColumn id="13" name="Buy?" dataDxfId="15">
      <calculatedColumnFormula>L2&gt;C2</calculatedColumnFormula>
    </tableColumn>
  </tableColumns>
  <tableStyleInfo name="TableStyleMedium13" showFirstColumn="0" showLastColumn="0" showRowStripes="1" showColumnStripes="0"/>
</table>
</file>

<file path=xl/tables/table36.xml><?xml version="1.0" encoding="utf-8"?>
<table xmlns="http://schemas.openxmlformats.org/spreadsheetml/2006/main" id="29" name="Table310112530" displayName="Table310112530" ref="A1:M5" totalsRowShown="0" headerRowDxfId="14" dataDxfId="13">
  <autoFilter ref="A1:M5"/>
  <sortState ref="A2:K33">
    <sortCondition ref="J1:J33"/>
  </sortState>
  <tableColumns count="13">
    <tableColumn id="1" name="Ticker" dataDxfId="12"/>
    <tableColumn id="2" name="Company Name" dataDxfId="11"/>
    <tableColumn id="3" name="LatestPrice" dataDxfId="10"/>
    <tableColumn id="4" name="DaysLow" dataDxfId="9"/>
    <tableColumn id="5" name="DaysHigh" dataDxfId="8"/>
    <tableColumn id="6" name="PreviousClose" dataDxfId="7"/>
    <tableColumn id="10" name="%Change" dataDxfId="6"/>
    <tableColumn id="7" name="MarketCap" dataDxfId="5"/>
    <tableColumn id="8" name="DivYield" dataDxfId="4"/>
    <tableColumn id="9" name="P/E" dataDxfId="3"/>
    <tableColumn id="11" name="MA200" dataDxfId="2"/>
    <tableColumn id="12" name="Target" dataDxfId="1">
      <calculatedColumnFormula>K2*0.9</calculatedColumnFormula>
    </tableColumn>
    <tableColumn id="13" name="Buy?" dataDxfId="0">
      <calculatedColumnFormula>L2&gt;C2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K43"/>
  <sheetViews>
    <sheetView tabSelected="1" zoomScale="85" zoomScaleNormal="85" workbookViewId="0">
      <pane ySplit="1" topLeftCell="A2" activePane="bottomLeft" state="frozen"/>
      <selection pane="bottomLeft" activeCell="K13" sqref="K13"/>
    </sheetView>
  </sheetViews>
  <sheetFormatPr defaultRowHeight="24.95" customHeight="1" x14ac:dyDescent="0.4"/>
  <cols>
    <col min="1" max="1" width="15.7109375" style="21" customWidth="1"/>
    <col min="2" max="2" width="15.7109375" style="22" customWidth="1"/>
    <col min="3" max="38" width="15.7109375" style="21" customWidth="1"/>
    <col min="39" max="16384" width="9.140625" style="21"/>
  </cols>
  <sheetData>
    <row r="1" spans="1:37" ht="24.95" customHeight="1" x14ac:dyDescent="0.4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 t="s">
        <v>259</v>
      </c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</row>
    <row r="2" spans="1:37" ht="24.95" customHeight="1" x14ac:dyDescent="0.4">
      <c r="A2" s="37"/>
      <c r="B2" s="25" t="s">
        <v>857</v>
      </c>
      <c r="C2" s="25" t="s">
        <v>307</v>
      </c>
      <c r="D2" s="25" t="s">
        <v>339</v>
      </c>
      <c r="E2" s="25" t="s">
        <v>258</v>
      </c>
      <c r="F2" s="25" t="s">
        <v>493</v>
      </c>
      <c r="G2" s="25" t="s">
        <v>726</v>
      </c>
      <c r="H2" s="25" t="s">
        <v>203</v>
      </c>
      <c r="I2" s="25" t="s">
        <v>963</v>
      </c>
      <c r="J2" s="25" t="s">
        <v>856</v>
      </c>
      <c r="K2" s="25" t="s">
        <v>908</v>
      </c>
      <c r="L2" s="25" t="s">
        <v>222</v>
      </c>
      <c r="M2" s="25" t="s">
        <v>204</v>
      </c>
      <c r="N2" s="25" t="s">
        <v>447</v>
      </c>
      <c r="O2" s="25" t="s">
        <v>663</v>
      </c>
      <c r="P2" s="25" t="s">
        <v>490</v>
      </c>
      <c r="Q2" s="25" t="s">
        <v>205</v>
      </c>
      <c r="R2" s="25" t="s">
        <v>515</v>
      </c>
      <c r="S2" s="25" t="s">
        <v>243</v>
      </c>
      <c r="T2" s="25" t="s">
        <v>238</v>
      </c>
      <c r="U2" s="25" t="s">
        <v>878</v>
      </c>
      <c r="V2" s="25" t="s">
        <v>206</v>
      </c>
      <c r="W2" s="25" t="s">
        <v>947</v>
      </c>
      <c r="X2" s="25" t="s">
        <v>207</v>
      </c>
      <c r="Y2" s="25" t="s">
        <v>893</v>
      </c>
      <c r="Z2" s="25" t="s">
        <v>208</v>
      </c>
      <c r="AA2" s="25" t="s">
        <v>209</v>
      </c>
      <c r="AB2" s="25" t="s">
        <v>344</v>
      </c>
      <c r="AC2" s="69" t="s">
        <v>324</v>
      </c>
      <c r="AD2" s="69" t="s">
        <v>210</v>
      </c>
      <c r="AE2" s="69" t="s">
        <v>211</v>
      </c>
      <c r="AF2" s="69" t="s">
        <v>212</v>
      </c>
      <c r="AG2" s="69" t="s">
        <v>384</v>
      </c>
      <c r="AH2" s="69" t="s">
        <v>270</v>
      </c>
      <c r="AI2" s="69" t="s">
        <v>213</v>
      </c>
      <c r="AJ2" s="69" t="s">
        <v>475</v>
      </c>
      <c r="AK2" s="69" t="s">
        <v>539</v>
      </c>
    </row>
    <row r="3" spans="1:37" ht="24.95" customHeight="1" x14ac:dyDescent="0.4">
      <c r="A3" s="24"/>
      <c r="B3" s="2" t="s">
        <v>858</v>
      </c>
      <c r="C3" s="2" t="s">
        <v>125</v>
      </c>
      <c r="D3" s="59" t="s">
        <v>330</v>
      </c>
      <c r="E3" s="2" t="s">
        <v>248</v>
      </c>
      <c r="F3" s="1" t="s">
        <v>476</v>
      </c>
      <c r="G3" s="1" t="s">
        <v>129</v>
      </c>
      <c r="H3" s="1" t="s">
        <v>94</v>
      </c>
      <c r="I3" s="2" t="s">
        <v>948</v>
      </c>
      <c r="J3" s="2" t="s">
        <v>841</v>
      </c>
      <c r="K3" s="2" t="s">
        <v>897</v>
      </c>
      <c r="L3" s="2" t="s">
        <v>214</v>
      </c>
      <c r="M3" s="2" t="s">
        <v>3</v>
      </c>
      <c r="N3" s="59" t="s">
        <v>80</v>
      </c>
      <c r="O3" s="2" t="s">
        <v>19</v>
      </c>
      <c r="P3" s="2" t="s">
        <v>486</v>
      </c>
      <c r="Q3" s="2" t="s">
        <v>71</v>
      </c>
      <c r="R3" s="2" t="s">
        <v>501</v>
      </c>
      <c r="S3" s="61" t="s">
        <v>184</v>
      </c>
      <c r="T3" s="23" t="s">
        <v>226</v>
      </c>
      <c r="U3" s="23" t="s">
        <v>872</v>
      </c>
      <c r="V3" s="83" t="s">
        <v>37</v>
      </c>
      <c r="W3" s="2" t="s">
        <v>929</v>
      </c>
      <c r="X3" s="2" t="s">
        <v>125</v>
      </c>
      <c r="Y3" s="2" t="s">
        <v>530</v>
      </c>
      <c r="Z3" s="33" t="s">
        <v>295</v>
      </c>
      <c r="AA3" s="2" t="s">
        <v>165</v>
      </c>
      <c r="AB3" s="1" t="s">
        <v>120</v>
      </c>
      <c r="AC3" s="1" t="s">
        <v>316</v>
      </c>
      <c r="AD3" s="1" t="s">
        <v>148</v>
      </c>
      <c r="AE3" s="1" t="s">
        <v>75</v>
      </c>
      <c r="AF3" s="2" t="s">
        <v>176</v>
      </c>
      <c r="AG3" s="39" t="s">
        <v>375</v>
      </c>
      <c r="AH3" s="1" t="s">
        <v>262</v>
      </c>
      <c r="AI3" s="95" t="s">
        <v>397</v>
      </c>
      <c r="AJ3" s="1" t="s">
        <v>461</v>
      </c>
      <c r="AK3" s="2" t="s">
        <v>531</v>
      </c>
    </row>
    <row r="4" spans="1:37" ht="24.95" customHeight="1" x14ac:dyDescent="0.4">
      <c r="A4" s="24"/>
      <c r="B4" s="2" t="s">
        <v>859</v>
      </c>
      <c r="C4" s="2" t="s">
        <v>303</v>
      </c>
      <c r="D4" s="2" t="s">
        <v>426</v>
      </c>
      <c r="E4" s="81" t="s">
        <v>249</v>
      </c>
      <c r="F4" s="2" t="s">
        <v>477</v>
      </c>
      <c r="G4" s="2" t="s">
        <v>718</v>
      </c>
      <c r="H4" s="2" t="s">
        <v>107</v>
      </c>
      <c r="I4" s="2" t="s">
        <v>949</v>
      </c>
      <c r="J4" s="2" t="s">
        <v>842</v>
      </c>
      <c r="K4" s="2" t="s">
        <v>898</v>
      </c>
      <c r="L4" s="2" t="s">
        <v>215</v>
      </c>
      <c r="M4" s="81" t="s">
        <v>0</v>
      </c>
      <c r="N4" s="1" t="s">
        <v>439</v>
      </c>
      <c r="O4" s="2" t="s">
        <v>21</v>
      </c>
      <c r="P4" s="59" t="s">
        <v>487</v>
      </c>
      <c r="Q4" s="2" t="s">
        <v>84</v>
      </c>
      <c r="R4" s="2" t="s">
        <v>502</v>
      </c>
      <c r="S4" s="61" t="s">
        <v>280</v>
      </c>
      <c r="T4" s="23" t="s">
        <v>228</v>
      </c>
      <c r="U4" s="23" t="s">
        <v>873</v>
      </c>
      <c r="V4" s="93" t="s">
        <v>33</v>
      </c>
      <c r="W4" s="1" t="s">
        <v>930</v>
      </c>
      <c r="X4" s="2" t="s">
        <v>128</v>
      </c>
      <c r="Y4" s="2" t="s">
        <v>734</v>
      </c>
      <c r="Z4" s="1" t="s">
        <v>86</v>
      </c>
      <c r="AA4" s="2" t="s">
        <v>163</v>
      </c>
      <c r="AB4" s="2" t="s">
        <v>159</v>
      </c>
      <c r="AC4" s="2" t="s">
        <v>317</v>
      </c>
      <c r="AD4" s="1" t="s">
        <v>147</v>
      </c>
      <c r="AE4" s="1" t="s">
        <v>73</v>
      </c>
      <c r="AF4" s="2" t="s">
        <v>179</v>
      </c>
      <c r="AG4" s="39" t="s">
        <v>371</v>
      </c>
      <c r="AH4" s="2" t="s">
        <v>263</v>
      </c>
      <c r="AI4" s="95" t="s">
        <v>3</v>
      </c>
      <c r="AJ4" s="2" t="s">
        <v>462</v>
      </c>
      <c r="AK4" s="2" t="s">
        <v>532</v>
      </c>
    </row>
    <row r="5" spans="1:37" ht="24.95" customHeight="1" x14ac:dyDescent="0.4">
      <c r="A5" s="24"/>
      <c r="B5" s="2" t="s">
        <v>860</v>
      </c>
      <c r="C5" s="2" t="s">
        <v>304</v>
      </c>
      <c r="D5" s="2" t="s">
        <v>328</v>
      </c>
      <c r="E5" s="59" t="s">
        <v>250</v>
      </c>
      <c r="F5" s="2" t="s">
        <v>71</v>
      </c>
      <c r="G5" s="2" t="s">
        <v>719</v>
      </c>
      <c r="H5" s="2" t="s">
        <v>100</v>
      </c>
      <c r="I5" s="2" t="s">
        <v>950</v>
      </c>
      <c r="J5" s="2" t="s">
        <v>843</v>
      </c>
      <c r="K5" s="81" t="s">
        <v>162</v>
      </c>
      <c r="L5" s="2" t="s">
        <v>216</v>
      </c>
      <c r="M5" s="2" t="s">
        <v>1</v>
      </c>
      <c r="N5" s="1" t="s">
        <v>75</v>
      </c>
      <c r="O5" s="2" t="s">
        <v>20</v>
      </c>
      <c r="P5" s="2" t="s">
        <v>491</v>
      </c>
      <c r="Q5" s="1" t="s">
        <v>70</v>
      </c>
      <c r="R5" s="2" t="s">
        <v>503</v>
      </c>
      <c r="S5" s="66" t="s">
        <v>239</v>
      </c>
      <c r="T5" s="23" t="s">
        <v>229</v>
      </c>
      <c r="U5" s="23" t="s">
        <v>874</v>
      </c>
      <c r="V5" s="83" t="s">
        <v>34</v>
      </c>
      <c r="W5" s="2" t="s">
        <v>931</v>
      </c>
      <c r="X5" s="2" t="s">
        <v>127</v>
      </c>
      <c r="Y5" s="2" t="s">
        <v>735</v>
      </c>
      <c r="Z5" s="33" t="s">
        <v>291</v>
      </c>
      <c r="AA5" s="81" t="s">
        <v>162</v>
      </c>
      <c r="AB5" s="27" t="s">
        <v>241</v>
      </c>
      <c r="AC5" s="1" t="s">
        <v>318</v>
      </c>
      <c r="AD5" s="2" t="s">
        <v>150</v>
      </c>
      <c r="AE5" s="2" t="s">
        <v>76</v>
      </c>
      <c r="AF5" s="1" t="s">
        <v>143</v>
      </c>
      <c r="AG5" s="39" t="s">
        <v>374</v>
      </c>
      <c r="AH5" s="2" t="s">
        <v>264</v>
      </c>
      <c r="AI5" s="95" t="s">
        <v>403</v>
      </c>
      <c r="AJ5" s="81" t="s">
        <v>463</v>
      </c>
      <c r="AK5" s="2" t="s">
        <v>533</v>
      </c>
    </row>
    <row r="6" spans="1:37" ht="24.95" customHeight="1" x14ac:dyDescent="0.4">
      <c r="A6" s="24"/>
      <c r="B6" s="2" t="s">
        <v>861</v>
      </c>
      <c r="C6" s="2" t="s">
        <v>308</v>
      </c>
      <c r="D6" s="38" t="s">
        <v>327</v>
      </c>
      <c r="E6" s="81" t="s">
        <v>251</v>
      </c>
      <c r="F6" s="2" t="s">
        <v>478</v>
      </c>
      <c r="G6" s="2" t="s">
        <v>890</v>
      </c>
      <c r="H6" s="2" t="s">
        <v>99</v>
      </c>
      <c r="I6" s="2" t="s">
        <v>951</v>
      </c>
      <c r="J6" s="2" t="s">
        <v>844</v>
      </c>
      <c r="K6" s="71" t="s">
        <v>905</v>
      </c>
      <c r="L6" s="2" t="s">
        <v>217</v>
      </c>
      <c r="M6" s="2" t="s">
        <v>4</v>
      </c>
      <c r="N6" s="2" t="s">
        <v>440</v>
      </c>
      <c r="O6" s="2" t="s">
        <v>22</v>
      </c>
      <c r="P6" s="2"/>
      <c r="Q6" s="1" t="s">
        <v>69</v>
      </c>
      <c r="R6" s="2" t="s">
        <v>504</v>
      </c>
      <c r="S6" s="61" t="s">
        <v>185</v>
      </c>
      <c r="T6" s="23" t="s">
        <v>225</v>
      </c>
      <c r="U6" s="23" t="s">
        <v>875</v>
      </c>
      <c r="V6" s="2" t="s">
        <v>32</v>
      </c>
      <c r="W6" s="2" t="s">
        <v>932</v>
      </c>
      <c r="X6" s="1" t="s">
        <v>129</v>
      </c>
      <c r="Y6" s="2" t="s">
        <v>736</v>
      </c>
      <c r="Z6" s="33" t="s">
        <v>293</v>
      </c>
      <c r="AA6" s="2" t="s">
        <v>166</v>
      </c>
      <c r="AB6" s="2" t="s">
        <v>347</v>
      </c>
      <c r="AC6" s="2" t="s">
        <v>319</v>
      </c>
      <c r="AD6" s="2" t="s">
        <v>152</v>
      </c>
      <c r="AE6" s="81" t="s">
        <v>74</v>
      </c>
      <c r="AF6" s="2" t="s">
        <v>178</v>
      </c>
      <c r="AG6" s="39" t="s">
        <v>372</v>
      </c>
      <c r="AH6" s="2" t="s">
        <v>268</v>
      </c>
      <c r="AI6" s="95" t="s">
        <v>398</v>
      </c>
      <c r="AJ6" s="2" t="s">
        <v>464</v>
      </c>
      <c r="AK6" s="2" t="s">
        <v>534</v>
      </c>
    </row>
    <row r="7" spans="1:37" ht="24.95" customHeight="1" x14ac:dyDescent="0.4">
      <c r="A7" s="24"/>
      <c r="B7" s="2"/>
      <c r="C7" s="1" t="s">
        <v>124</v>
      </c>
      <c r="D7" s="2" t="s">
        <v>428</v>
      </c>
      <c r="E7" s="2" t="s">
        <v>252</v>
      </c>
      <c r="F7" s="2" t="s">
        <v>479</v>
      </c>
      <c r="G7" s="71" t="s">
        <v>894</v>
      </c>
      <c r="H7" s="2" t="s">
        <v>244</v>
      </c>
      <c r="I7" s="2" t="s">
        <v>952</v>
      </c>
      <c r="J7" s="2" t="s">
        <v>845</v>
      </c>
      <c r="K7" s="2" t="s">
        <v>899</v>
      </c>
      <c r="L7" s="2" t="s">
        <v>308</v>
      </c>
      <c r="M7" s="2" t="s">
        <v>6</v>
      </c>
      <c r="N7" s="2" t="s">
        <v>441</v>
      </c>
      <c r="O7" s="2" t="s">
        <v>23</v>
      </c>
      <c r="P7" s="2"/>
      <c r="Q7" s="2" t="s">
        <v>72</v>
      </c>
      <c r="R7" s="2" t="s">
        <v>505</v>
      </c>
      <c r="S7" s="61" t="s">
        <v>189</v>
      </c>
      <c r="T7" s="23" t="s">
        <v>227</v>
      </c>
      <c r="U7" s="23" t="s">
        <v>877</v>
      </c>
      <c r="V7" s="2" t="s">
        <v>31</v>
      </c>
      <c r="W7" s="2" t="s">
        <v>933</v>
      </c>
      <c r="X7" s="2" t="s">
        <v>126</v>
      </c>
      <c r="Y7" s="2" t="s">
        <v>737</v>
      </c>
      <c r="Z7" s="2" t="s">
        <v>292</v>
      </c>
      <c r="AA7" s="2" t="s">
        <v>164</v>
      </c>
      <c r="AB7" s="2" t="s">
        <v>348</v>
      </c>
      <c r="AC7" s="2" t="s">
        <v>540</v>
      </c>
      <c r="AD7" s="2" t="s">
        <v>149</v>
      </c>
      <c r="AE7" s="2" t="s">
        <v>77</v>
      </c>
      <c r="AF7" s="2" t="s">
        <v>314</v>
      </c>
      <c r="AG7" s="39" t="s">
        <v>373</v>
      </c>
      <c r="AH7"/>
      <c r="AI7" s="95" t="s">
        <v>399</v>
      </c>
      <c r="AJ7" s="81" t="s">
        <v>465</v>
      </c>
      <c r="AK7"/>
    </row>
    <row r="8" spans="1:37" ht="24.95" customHeight="1" x14ac:dyDescent="0.4">
      <c r="A8" s="24"/>
      <c r="B8" s="2"/>
      <c r="C8" s="2" t="s">
        <v>310</v>
      </c>
      <c r="D8" s="2" t="s">
        <v>433</v>
      </c>
      <c r="E8" s="2" t="s">
        <v>516</v>
      </c>
      <c r="F8" s="2" t="s">
        <v>587</v>
      </c>
      <c r="G8" s="81" t="s">
        <v>458</v>
      </c>
      <c r="H8" s="2" t="s">
        <v>102</v>
      </c>
      <c r="I8"/>
      <c r="J8"/>
      <c r="K8"/>
      <c r="L8" s="2" t="s">
        <v>619</v>
      </c>
      <c r="M8" s="2" t="s">
        <v>2</v>
      </c>
      <c r="N8" s="2" t="s">
        <v>442</v>
      </c>
      <c r="O8" s="2" t="s">
        <v>24</v>
      </c>
      <c r="P8" s="2"/>
      <c r="Q8" s="2" t="s">
        <v>325</v>
      </c>
      <c r="R8" s="2" t="s">
        <v>506</v>
      </c>
      <c r="S8" s="61" t="s">
        <v>198</v>
      </c>
      <c r="T8" s="23" t="s">
        <v>223</v>
      </c>
      <c r="U8" s="23" t="s">
        <v>876</v>
      </c>
      <c r="V8" s="2" t="s">
        <v>35</v>
      </c>
      <c r="W8" s="2" t="s">
        <v>934</v>
      </c>
      <c r="X8" s="1" t="s">
        <v>121</v>
      </c>
      <c r="Y8" s="2" t="s">
        <v>738</v>
      </c>
      <c r="Z8" s="2" t="s">
        <v>89</v>
      </c>
      <c r="AA8" s="2" t="s">
        <v>168</v>
      </c>
      <c r="AB8" s="2" t="s">
        <v>351</v>
      </c>
      <c r="AC8" s="2" t="s">
        <v>541</v>
      </c>
      <c r="AD8" s="1" t="s">
        <v>151</v>
      </c>
      <c r="AE8" s="1" t="s">
        <v>80</v>
      </c>
      <c r="AF8" s="2" t="s">
        <v>340</v>
      </c>
      <c r="AG8" s="45" t="s">
        <v>361</v>
      </c>
      <c r="AH8"/>
      <c r="AI8" s="95" t="s">
        <v>273</v>
      </c>
      <c r="AJ8" s="2" t="s">
        <v>466</v>
      </c>
      <c r="AK8"/>
    </row>
    <row r="9" spans="1:37" ht="24.95" customHeight="1" x14ac:dyDescent="0.4">
      <c r="A9" s="24"/>
      <c r="B9" s="2"/>
      <c r="C9" s="2" t="s">
        <v>909</v>
      </c>
      <c r="D9" s="71" t="s">
        <v>552</v>
      </c>
      <c r="E9" s="2" t="s">
        <v>518</v>
      </c>
      <c r="F9" s="2" t="s">
        <v>588</v>
      </c>
      <c r="G9"/>
      <c r="H9" s="1" t="s">
        <v>97</v>
      </c>
      <c r="I9"/>
      <c r="J9"/>
      <c r="K9"/>
      <c r="L9" s="2" t="s">
        <v>926</v>
      </c>
      <c r="M9" s="2" t="s">
        <v>7</v>
      </c>
      <c r="N9" s="2" t="s">
        <v>77</v>
      </c>
      <c r="O9" s="1" t="s">
        <v>18</v>
      </c>
      <c r="P9" s="2"/>
      <c r="Q9" s="81" t="s">
        <v>484</v>
      </c>
      <c r="R9" s="2" t="s">
        <v>507</v>
      </c>
      <c r="S9" s="61" t="s">
        <v>199</v>
      </c>
      <c r="T9" s="23" t="s">
        <v>224</v>
      </c>
      <c r="U9" s="7"/>
      <c r="V9" s="1" t="s">
        <v>36</v>
      </c>
      <c r="W9" s="2"/>
      <c r="X9" s="1" t="s">
        <v>123</v>
      </c>
      <c r="Y9" s="2" t="s">
        <v>532</v>
      </c>
      <c r="Z9" s="2" t="s">
        <v>88</v>
      </c>
      <c r="AA9" s="2" t="s">
        <v>167</v>
      </c>
      <c r="AB9" s="2" t="s">
        <v>345</v>
      </c>
      <c r="AC9" s="2" t="s">
        <v>869</v>
      </c>
      <c r="AD9" s="1" t="s">
        <v>146</v>
      </c>
      <c r="AE9" s="2" t="s">
        <v>710</v>
      </c>
      <c r="AF9" s="2" t="s">
        <v>177</v>
      </c>
      <c r="AG9" s="45" t="s">
        <v>363</v>
      </c>
      <c r="AH9"/>
      <c r="AI9" s="99" t="s">
        <v>140</v>
      </c>
      <c r="AJ9" s="2" t="s">
        <v>964</v>
      </c>
      <c r="AK9"/>
    </row>
    <row r="10" spans="1:37" ht="24.95" customHeight="1" x14ac:dyDescent="0.4">
      <c r="A10" s="24"/>
      <c r="B10" s="2"/>
      <c r="C10" s="2"/>
      <c r="D10" s="2" t="s">
        <v>332</v>
      </c>
      <c r="E10" s="2" t="s">
        <v>520</v>
      </c>
      <c r="F10" s="2"/>
      <c r="G10"/>
      <c r="H10" s="1" t="s">
        <v>95</v>
      </c>
      <c r="I10"/>
      <c r="J10"/>
      <c r="K10"/>
      <c r="L10" s="2" t="s">
        <v>620</v>
      </c>
      <c r="M10" s="2" t="s">
        <v>5</v>
      </c>
      <c r="N10" s="2"/>
      <c r="O10" s="81" t="s">
        <v>17</v>
      </c>
      <c r="P10" s="2"/>
      <c r="Q10" s="2" t="s">
        <v>478</v>
      </c>
      <c r="R10" s="2" t="s">
        <v>664</v>
      </c>
      <c r="S10" s="61" t="s">
        <v>183</v>
      </c>
      <c r="T10" s="23" t="s">
        <v>702</v>
      </c>
      <c r="U10" s="7"/>
      <c r="V10" s="81" t="s">
        <v>145</v>
      </c>
      <c r="W10" s="2"/>
      <c r="X10" s="1" t="s">
        <v>122</v>
      </c>
      <c r="Y10" s="2" t="s">
        <v>739</v>
      </c>
      <c r="Z10" s="2" t="s">
        <v>87</v>
      </c>
      <c r="AA10"/>
      <c r="AB10" s="2" t="s">
        <v>437</v>
      </c>
      <c r="AC10"/>
      <c r="AD10"/>
      <c r="AE10" s="2" t="s">
        <v>717</v>
      </c>
      <c r="AF10"/>
      <c r="AG10" s="45" t="s">
        <v>364</v>
      </c>
      <c r="AH10"/>
      <c r="AI10" s="95" t="s">
        <v>386</v>
      </c>
      <c r="AJ10" s="2" t="s">
        <v>467</v>
      </c>
      <c r="AK10"/>
    </row>
    <row r="11" spans="1:37" ht="24.95" customHeight="1" x14ac:dyDescent="0.4">
      <c r="A11" s="24"/>
      <c r="B11" s="2"/>
      <c r="C11" s="2"/>
      <c r="D11" s="2" t="s">
        <v>329</v>
      </c>
      <c r="E11" s="2" t="s">
        <v>923</v>
      </c>
      <c r="F11" s="2"/>
      <c r="G11"/>
      <c r="H11" s="2" t="s">
        <v>106</v>
      </c>
      <c r="I11"/>
      <c r="J11"/>
      <c r="K11"/>
      <c r="L11" s="2" t="s">
        <v>621</v>
      </c>
      <c r="M11" s="2" t="s">
        <v>271</v>
      </c>
      <c r="N11" s="2"/>
      <c r="O11" s="2" t="s">
        <v>25</v>
      </c>
      <c r="P11" s="2"/>
      <c r="Q11"/>
      <c r="R11" s="2" t="s">
        <v>674</v>
      </c>
      <c r="S11" s="61" t="s">
        <v>187</v>
      </c>
      <c r="T11" s="23" t="s">
        <v>230</v>
      </c>
      <c r="U11" s="7"/>
      <c r="V11" s="7"/>
      <c r="W11" s="2"/>
      <c r="X11" s="1" t="s">
        <v>124</v>
      </c>
      <c r="Y11" s="2" t="s">
        <v>740</v>
      </c>
      <c r="Z11" s="2" t="s">
        <v>300</v>
      </c>
      <c r="AA11"/>
      <c r="AB11" s="2" t="s">
        <v>522</v>
      </c>
      <c r="AC11"/>
      <c r="AD11"/>
      <c r="AE11" s="2" t="s">
        <v>356</v>
      </c>
      <c r="AF11"/>
      <c r="AG11" s="45" t="s">
        <v>359</v>
      </c>
      <c r="AH11"/>
      <c r="AI11" s="95" t="s">
        <v>395</v>
      </c>
      <c r="AJ11"/>
      <c r="AK11"/>
    </row>
    <row r="12" spans="1:37" ht="24.95" customHeight="1" x14ac:dyDescent="0.4">
      <c r="A12" s="24"/>
      <c r="B12" s="2"/>
      <c r="C12" s="2"/>
      <c r="D12" s="2" t="s">
        <v>427</v>
      </c>
      <c r="E12" s="2" t="s">
        <v>547</v>
      </c>
      <c r="F12" s="2"/>
      <c r="G12"/>
      <c r="H12" s="81" t="s">
        <v>96</v>
      </c>
      <c r="I12"/>
      <c r="J12"/>
      <c r="K12"/>
      <c r="L12"/>
      <c r="M12" s="2" t="s">
        <v>273</v>
      </c>
      <c r="N12" s="2"/>
      <c r="O12" s="2" t="s">
        <v>26</v>
      </c>
      <c r="P12" s="2"/>
      <c r="Q12"/>
      <c r="R12"/>
      <c r="S12" s="61" t="s">
        <v>920</v>
      </c>
      <c r="T12" s="7"/>
      <c r="U12" s="7"/>
      <c r="V12" s="7"/>
      <c r="W12" s="2"/>
      <c r="X12" s="2" t="s">
        <v>275</v>
      </c>
      <c r="Y12" s="2" t="s">
        <v>741</v>
      </c>
      <c r="Z12" s="2" t="s">
        <v>301</v>
      </c>
      <c r="AA12"/>
      <c r="AB12" s="2" t="s">
        <v>523</v>
      </c>
      <c r="AC12"/>
      <c r="AD12"/>
      <c r="AE12" s="2" t="s">
        <v>807</v>
      </c>
      <c r="AF12"/>
      <c r="AG12" s="45" t="s">
        <v>360</v>
      </c>
      <c r="AH12"/>
      <c r="AI12" s="95" t="s">
        <v>283</v>
      </c>
      <c r="AJ12"/>
      <c r="AK12"/>
    </row>
    <row r="13" spans="1:37" ht="24.95" customHeight="1" x14ac:dyDescent="0.4">
      <c r="A13" s="24"/>
      <c r="B13" s="2"/>
      <c r="C13" s="2"/>
      <c r="D13" s="81" t="s">
        <v>331</v>
      </c>
      <c r="E13" s="2"/>
      <c r="F13" s="2"/>
      <c r="G13"/>
      <c r="H13" s="2" t="s">
        <v>103</v>
      </c>
      <c r="I13"/>
      <c r="J13"/>
      <c r="K13"/>
      <c r="L13"/>
      <c r="M13" s="28" t="s">
        <v>283</v>
      </c>
      <c r="N13" s="2"/>
      <c r="O13" s="2" t="s">
        <v>27</v>
      </c>
      <c r="P13" s="2"/>
      <c r="Q13"/>
      <c r="R13"/>
      <c r="S13" s="61" t="s">
        <v>186</v>
      </c>
      <c r="T13" s="7"/>
      <c r="U13" s="7"/>
      <c r="V13" s="7"/>
      <c r="W13" s="2"/>
      <c r="X13" s="2" t="s">
        <v>277</v>
      </c>
      <c r="Y13" s="2" t="s">
        <v>126</v>
      </c>
      <c r="Z13" s="33" t="s">
        <v>294</v>
      </c>
      <c r="AA13"/>
      <c r="AB13" s="2" t="s">
        <v>524</v>
      </c>
      <c r="AC13"/>
      <c r="AD13"/>
      <c r="AE13" s="2" t="s">
        <v>808</v>
      </c>
      <c r="AF13"/>
      <c r="AG13" s="94" t="s">
        <v>362</v>
      </c>
      <c r="AH13"/>
      <c r="AI13" s="95" t="s">
        <v>391</v>
      </c>
      <c r="AJ13"/>
      <c r="AK13"/>
    </row>
    <row r="14" spans="1:37" ht="24.95" customHeight="1" x14ac:dyDescent="0.4">
      <c r="A14" s="24"/>
      <c r="B14" s="2"/>
      <c r="C14" s="2"/>
      <c r="D14" s="2" t="s">
        <v>425</v>
      </c>
      <c r="E14" s="2"/>
      <c r="F14" s="2"/>
      <c r="G14"/>
      <c r="H14" s="2" t="s">
        <v>917</v>
      </c>
      <c r="I14"/>
      <c r="J14"/>
      <c r="K14"/>
      <c r="L14"/>
      <c r="M14" s="2"/>
      <c r="N14" s="2"/>
      <c r="O14" s="2" t="s">
        <v>28</v>
      </c>
      <c r="P14" s="2"/>
      <c r="Q14"/>
      <c r="R14"/>
      <c r="S14" s="61" t="s">
        <v>197</v>
      </c>
      <c r="T14" s="7"/>
      <c r="U14" s="7"/>
      <c r="V14" s="7"/>
      <c r="W14" s="2"/>
      <c r="X14" s="81" t="s">
        <v>458</v>
      </c>
      <c r="Y14" s="2" t="s">
        <v>742</v>
      </c>
      <c r="Z14" s="2" t="s">
        <v>912</v>
      </c>
      <c r="AA14"/>
      <c r="AB14" s="2" t="s">
        <v>525</v>
      </c>
      <c r="AC14"/>
      <c r="AD14"/>
      <c r="AE14"/>
      <c r="AF14"/>
      <c r="AG14"/>
      <c r="AH14"/>
      <c r="AI14" s="95" t="s">
        <v>390</v>
      </c>
      <c r="AJ14"/>
      <c r="AK14"/>
    </row>
    <row r="15" spans="1:37" ht="24.95" customHeight="1" x14ac:dyDescent="0.4">
      <c r="A15" s="24"/>
      <c r="B15" s="2"/>
      <c r="C15" s="2"/>
      <c r="D15" s="2"/>
      <c r="E15" s="2"/>
      <c r="F15" s="2"/>
      <c r="G15"/>
      <c r="H15" s="2" t="s">
        <v>104</v>
      </c>
      <c r="I15"/>
      <c r="J15"/>
      <c r="K15"/>
      <c r="L15"/>
      <c r="M15" s="2"/>
      <c r="N15" s="2"/>
      <c r="O15" s="2" t="s">
        <v>29</v>
      </c>
      <c r="P15" s="2"/>
      <c r="Q15"/>
      <c r="R15"/>
      <c r="S15" s="61" t="s">
        <v>279</v>
      </c>
      <c r="T15" s="7"/>
      <c r="U15" s="7"/>
      <c r="V15" s="7"/>
      <c r="W15" s="2"/>
      <c r="X15"/>
      <c r="Y15" s="2" t="s">
        <v>743</v>
      </c>
      <c r="Z15"/>
      <c r="AA15"/>
      <c r="AB15" s="2" t="s">
        <v>550</v>
      </c>
      <c r="AC15"/>
      <c r="AD15"/>
      <c r="AE15"/>
      <c r="AF15"/>
      <c r="AG15"/>
      <c r="AH15"/>
      <c r="AI15" s="95" t="s">
        <v>394</v>
      </c>
      <c r="AJ15"/>
      <c r="AK15"/>
    </row>
    <row r="16" spans="1:37" ht="24.95" customHeight="1" x14ac:dyDescent="0.4">
      <c r="A16" s="24"/>
      <c r="B16" s="2"/>
      <c r="C16" s="2"/>
      <c r="D16" s="2"/>
      <c r="E16" s="2"/>
      <c r="F16" s="2"/>
      <c r="G16"/>
      <c r="H16" s="1" t="s">
        <v>494</v>
      </c>
      <c r="I16"/>
      <c r="J16"/>
      <c r="K16"/>
      <c r="L16"/>
      <c r="M16" s="2"/>
      <c r="N16" s="2"/>
      <c r="O16" s="2" t="s">
        <v>30</v>
      </c>
      <c r="P16" s="2"/>
      <c r="Q16"/>
      <c r="R16"/>
      <c r="S16" s="67" t="s">
        <v>188</v>
      </c>
      <c r="T16" s="7"/>
      <c r="U16" s="7"/>
      <c r="V16" s="7"/>
      <c r="W16" s="2"/>
      <c r="X16"/>
      <c r="Y16" s="2" t="s">
        <v>128</v>
      </c>
      <c r="Z16"/>
      <c r="AA16"/>
      <c r="AB16"/>
      <c r="AC16"/>
      <c r="AD16"/>
      <c r="AE16"/>
      <c r="AF16"/>
      <c r="AG16"/>
      <c r="AH16"/>
      <c r="AI16" s="95" t="s">
        <v>396</v>
      </c>
      <c r="AJ16"/>
      <c r="AK16"/>
    </row>
    <row r="17" spans="1:37" ht="24.95" customHeight="1" x14ac:dyDescent="0.4">
      <c r="A17" s="24"/>
      <c r="B17" s="2"/>
      <c r="C17" s="2"/>
      <c r="D17" s="2"/>
      <c r="E17" s="2"/>
      <c r="F17" s="2"/>
      <c r="G17"/>
      <c r="H17" s="1" t="s">
        <v>98</v>
      </c>
      <c r="I17"/>
      <c r="J17"/>
      <c r="K17"/>
      <c r="L17"/>
      <c r="M17" s="2"/>
      <c r="N17" s="2"/>
      <c r="O17" s="2" t="s">
        <v>312</v>
      </c>
      <c r="P17" s="2"/>
      <c r="Q17"/>
      <c r="R17"/>
      <c r="S17" s="52" t="s">
        <v>448</v>
      </c>
      <c r="T17" s="7"/>
      <c r="U17" s="7"/>
      <c r="V17" s="7"/>
      <c r="W17" s="2"/>
      <c r="X17"/>
      <c r="Y17" s="2" t="s">
        <v>275</v>
      </c>
      <c r="Z17"/>
      <c r="AA17"/>
      <c r="AB17"/>
      <c r="AC17"/>
      <c r="AD17"/>
      <c r="AE17"/>
      <c r="AF17"/>
      <c r="AG17"/>
      <c r="AH17"/>
      <c r="AI17" s="95" t="s">
        <v>4</v>
      </c>
      <c r="AJ17"/>
      <c r="AK17"/>
    </row>
    <row r="18" spans="1:37" ht="24.95" customHeight="1" x14ac:dyDescent="0.4">
      <c r="B18" s="2"/>
      <c r="C18" s="2"/>
      <c r="D18" s="2"/>
      <c r="E18" s="2"/>
      <c r="F18" s="2"/>
      <c r="G18"/>
      <c r="H18" s="2" t="s">
        <v>101</v>
      </c>
      <c r="I18"/>
      <c r="J18"/>
      <c r="K18"/>
      <c r="L18"/>
      <c r="M18" s="2"/>
      <c r="N18" s="2"/>
      <c r="O18" s="1" t="s">
        <v>260</v>
      </c>
      <c r="P18" s="2"/>
      <c r="Q18"/>
      <c r="R18"/>
      <c r="S18" s="52" t="s">
        <v>449</v>
      </c>
      <c r="T18" s="7"/>
      <c r="U18" s="7"/>
      <c r="V18" s="7"/>
      <c r="W18" s="2"/>
      <c r="X18"/>
      <c r="Y18" s="1" t="s">
        <v>122</v>
      </c>
      <c r="Z18"/>
      <c r="AA18"/>
      <c r="AB18"/>
      <c r="AC18"/>
      <c r="AD18"/>
      <c r="AE18"/>
      <c r="AF18"/>
      <c r="AG18"/>
      <c r="AH18"/>
      <c r="AI18" s="95" t="s">
        <v>6</v>
      </c>
      <c r="AJ18"/>
      <c r="AK18"/>
    </row>
    <row r="19" spans="1:37" ht="24.95" customHeight="1" x14ac:dyDescent="0.4">
      <c r="B19" s="2"/>
      <c r="C19" s="2"/>
      <c r="D19" s="2"/>
      <c r="E19" s="2"/>
      <c r="F19" s="2"/>
      <c r="G19"/>
      <c r="H19" s="2" t="s">
        <v>246</v>
      </c>
      <c r="I19"/>
      <c r="J19"/>
      <c r="K19"/>
      <c r="L19"/>
      <c r="M19" s="2"/>
      <c r="N19" s="2"/>
      <c r="O19" s="2"/>
      <c r="P19" s="2"/>
      <c r="Q19"/>
      <c r="R19"/>
      <c r="S19" s="60" t="s">
        <v>450</v>
      </c>
      <c r="T19" s="7"/>
      <c r="U19" s="7"/>
      <c r="V19" s="7"/>
      <c r="W19" s="2"/>
      <c r="X19"/>
      <c r="Y19" s="2" t="s">
        <v>308</v>
      </c>
      <c r="Z19"/>
      <c r="AA19"/>
      <c r="AB19"/>
      <c r="AC19"/>
      <c r="AD19"/>
      <c r="AE19"/>
      <c r="AF19"/>
      <c r="AG19"/>
      <c r="AH19"/>
      <c r="AI19" s="95" t="s">
        <v>402</v>
      </c>
      <c r="AJ19"/>
      <c r="AK19"/>
    </row>
    <row r="20" spans="1:37" ht="24.95" customHeight="1" x14ac:dyDescent="0.4">
      <c r="B20" s="2"/>
      <c r="C20" s="2"/>
      <c r="D20" s="2"/>
      <c r="E20" s="2"/>
      <c r="F20" s="2"/>
      <c r="G20"/>
      <c r="H20" s="82" t="s">
        <v>105</v>
      </c>
      <c r="I20"/>
      <c r="J20"/>
      <c r="K20"/>
      <c r="L20"/>
      <c r="M20" s="2"/>
      <c r="N20" s="2"/>
      <c r="O20" s="2"/>
      <c r="P20" s="2"/>
      <c r="Q20"/>
      <c r="R20"/>
      <c r="S20" s="52" t="s">
        <v>454</v>
      </c>
      <c r="T20" s="7"/>
      <c r="U20" s="7"/>
      <c r="V20" s="7"/>
      <c r="W20" s="2"/>
      <c r="X20"/>
      <c r="Y20"/>
      <c r="Z20"/>
      <c r="AA20"/>
      <c r="AB20"/>
      <c r="AC20"/>
      <c r="AD20"/>
      <c r="AE20"/>
      <c r="AF20"/>
      <c r="AG20"/>
      <c r="AH20"/>
      <c r="AI20" s="95" t="s">
        <v>915</v>
      </c>
      <c r="AJ20"/>
      <c r="AK20"/>
    </row>
    <row r="21" spans="1:37" ht="24.95" customHeight="1" x14ac:dyDescent="0.4">
      <c r="B21" s="2"/>
      <c r="C21" s="2"/>
      <c r="D21" s="2"/>
      <c r="E21" s="2"/>
      <c r="F21" s="2"/>
      <c r="G21"/>
      <c r="H21" s="83" t="s">
        <v>496</v>
      </c>
      <c r="I21"/>
      <c r="J21"/>
      <c r="K21"/>
      <c r="L21"/>
      <c r="M21" s="2"/>
      <c r="N21" s="2"/>
      <c r="O21" s="2"/>
      <c r="P21" s="2"/>
      <c r="Q21"/>
      <c r="R21"/>
      <c r="S21"/>
      <c r="T21" s="7"/>
      <c r="U21" s="7"/>
      <c r="V21" s="7"/>
      <c r="W21" s="2"/>
      <c r="X21"/>
      <c r="Y21"/>
      <c r="Z21"/>
      <c r="AA21"/>
      <c r="AB21"/>
      <c r="AC21"/>
      <c r="AD21"/>
      <c r="AE21"/>
      <c r="AF21"/>
      <c r="AG21"/>
      <c r="AH21"/>
      <c r="AI21" s="95" t="s">
        <v>271</v>
      </c>
      <c r="AJ21"/>
      <c r="AK21"/>
    </row>
    <row r="22" spans="1:37" ht="24.95" customHeight="1" x14ac:dyDescent="0.4">
      <c r="B22" s="2"/>
      <c r="C22" s="2"/>
      <c r="D22" s="2"/>
      <c r="E22" s="2"/>
      <c r="F22" s="2"/>
      <c r="G22"/>
      <c r="H22" s="83" t="s">
        <v>497</v>
      </c>
      <c r="I22"/>
      <c r="J22"/>
      <c r="K22"/>
      <c r="L22"/>
      <c r="M22" s="2"/>
      <c r="N22" s="2"/>
      <c r="O22" s="2"/>
      <c r="P22" s="2"/>
      <c r="Q22"/>
      <c r="R22"/>
      <c r="S22"/>
      <c r="T22" s="7"/>
      <c r="U22" s="7"/>
      <c r="V22" s="7"/>
      <c r="W22" s="2"/>
      <c r="X22"/>
      <c r="Y22"/>
      <c r="Z22"/>
      <c r="AA22"/>
      <c r="AB22"/>
      <c r="AC22"/>
      <c r="AD22"/>
      <c r="AE22"/>
      <c r="AF22"/>
      <c r="AG22"/>
      <c r="AH22"/>
      <c r="AI22" s="95" t="s">
        <v>404</v>
      </c>
      <c r="AJ22"/>
      <c r="AK22"/>
    </row>
    <row r="23" spans="1:37" ht="24.95" customHeight="1" x14ac:dyDescent="0.4">
      <c r="B23" s="2"/>
      <c r="C23" s="2"/>
      <c r="D23" s="2"/>
      <c r="E23" s="2"/>
      <c r="F23" s="2"/>
      <c r="G23"/>
      <c r="H23" s="83" t="s">
        <v>500</v>
      </c>
      <c r="I23"/>
      <c r="J23"/>
      <c r="K23"/>
      <c r="L23"/>
      <c r="M23" s="2"/>
      <c r="N23" s="2"/>
      <c r="O23" s="2"/>
      <c r="P23" s="2"/>
      <c r="Q23"/>
      <c r="R23"/>
      <c r="S23"/>
      <c r="T23" s="7"/>
      <c r="U23" s="7"/>
      <c r="V23" s="7"/>
      <c r="W23" s="2"/>
      <c r="X23"/>
      <c r="Y23"/>
      <c r="Z23"/>
      <c r="AA23"/>
      <c r="AB23"/>
      <c r="AC23"/>
      <c r="AD23"/>
      <c r="AE23"/>
      <c r="AF23"/>
      <c r="AG23"/>
      <c r="AH23"/>
      <c r="AI23" s="95" t="s">
        <v>2</v>
      </c>
      <c r="AJ23"/>
      <c r="AK23"/>
    </row>
    <row r="24" spans="1:37" ht="24.95" customHeight="1" x14ac:dyDescent="0.4">
      <c r="B24" s="2"/>
      <c r="C24" s="2"/>
      <c r="D24" s="2"/>
      <c r="E24" s="2"/>
      <c r="F24" s="2"/>
      <c r="G24"/>
      <c r="H24"/>
      <c r="I24"/>
      <c r="J24"/>
      <c r="K24"/>
      <c r="L24"/>
      <c r="M24" s="2"/>
      <c r="N24" s="2"/>
      <c r="O24" s="2"/>
      <c r="P24" s="2"/>
      <c r="Q24"/>
      <c r="R24"/>
      <c r="S24"/>
      <c r="T24" s="7"/>
      <c r="U24" s="7"/>
      <c r="V24" s="7"/>
      <c r="W24" s="2"/>
      <c r="X24"/>
      <c r="Y24"/>
      <c r="Z24"/>
      <c r="AA24"/>
      <c r="AB24"/>
      <c r="AC24"/>
      <c r="AD24"/>
      <c r="AE24"/>
      <c r="AF24"/>
      <c r="AG24"/>
      <c r="AH24"/>
      <c r="AI24" s="95" t="s">
        <v>387</v>
      </c>
      <c r="AJ24"/>
      <c r="AK24"/>
    </row>
    <row r="25" spans="1:37" ht="24.95" customHeight="1" x14ac:dyDescent="0.4">
      <c r="B25" s="2"/>
      <c r="C25" s="2"/>
      <c r="D25" s="2"/>
      <c r="E25" s="2"/>
      <c r="F25" s="2"/>
      <c r="G25"/>
      <c r="H25"/>
      <c r="I25"/>
      <c r="J25"/>
      <c r="K25"/>
      <c r="L25"/>
      <c r="M25" s="2"/>
      <c r="N25" s="2"/>
      <c r="O25" s="2"/>
      <c r="P25" s="2"/>
      <c r="Q25"/>
      <c r="R25"/>
      <c r="S25"/>
      <c r="T25" s="7"/>
      <c r="U25" s="7"/>
      <c r="V25" s="7"/>
      <c r="W25" s="2"/>
      <c r="X25"/>
      <c r="Y25"/>
      <c r="Z25"/>
      <c r="AA25"/>
      <c r="AB25"/>
      <c r="AC25"/>
      <c r="AD25"/>
      <c r="AE25"/>
      <c r="AF25"/>
      <c r="AG25"/>
      <c r="AH25"/>
      <c r="AI25" s="95" t="s">
        <v>7</v>
      </c>
      <c r="AJ25"/>
      <c r="AK25"/>
    </row>
    <row r="26" spans="1:37" ht="24.95" customHeight="1" x14ac:dyDescent="0.4">
      <c r="B26" s="2"/>
      <c r="C26" s="2"/>
      <c r="D26" s="2"/>
      <c r="E26" s="2"/>
      <c r="F26" s="2"/>
      <c r="G26"/>
      <c r="H26"/>
      <c r="I26"/>
      <c r="J26"/>
      <c r="K26"/>
      <c r="L26"/>
      <c r="M26" s="2"/>
      <c r="N26" s="2"/>
      <c r="O26" s="2"/>
      <c r="P26" s="2"/>
      <c r="Q26"/>
      <c r="R26"/>
      <c r="S26"/>
      <c r="T26" s="7"/>
      <c r="U26" s="7"/>
      <c r="V26" s="7"/>
      <c r="W26" s="2"/>
      <c r="X26"/>
      <c r="Y26"/>
      <c r="Z26"/>
      <c r="AA26"/>
      <c r="AB26"/>
      <c r="AC26"/>
      <c r="AD26"/>
      <c r="AE26"/>
      <c r="AF26"/>
      <c r="AG26"/>
      <c r="AH26"/>
      <c r="AI26" s="95" t="s">
        <v>401</v>
      </c>
      <c r="AJ26"/>
      <c r="AK26"/>
    </row>
    <row r="27" spans="1:37" ht="24.95" customHeight="1" x14ac:dyDescent="0.4">
      <c r="B27" s="2"/>
      <c r="C27" s="2"/>
      <c r="D27" s="2"/>
      <c r="E27" s="2"/>
      <c r="F27" s="2"/>
      <c r="G27"/>
      <c r="H27"/>
      <c r="I27"/>
      <c r="J27"/>
      <c r="K27"/>
      <c r="L27"/>
      <c r="M27" s="2"/>
      <c r="N27" s="2"/>
      <c r="O27" s="2"/>
      <c r="P27" s="2"/>
      <c r="Q27"/>
      <c r="R27"/>
      <c r="S27"/>
      <c r="T27" s="7"/>
      <c r="U27" s="7"/>
      <c r="V27" s="7"/>
      <c r="W27" s="2"/>
      <c r="X27"/>
      <c r="Y27"/>
      <c r="Z27"/>
      <c r="AA27"/>
      <c r="AB27"/>
      <c r="AC27"/>
      <c r="AD27"/>
      <c r="AE27"/>
      <c r="AF27"/>
      <c r="AG27"/>
      <c r="AH27"/>
      <c r="AI27" s="95" t="s">
        <v>388</v>
      </c>
      <c r="AJ27"/>
      <c r="AK27"/>
    </row>
    <row r="28" spans="1:37" ht="24.95" customHeight="1" x14ac:dyDescent="0.4">
      <c r="B28" s="2"/>
      <c r="C28" s="2"/>
      <c r="D28" s="2"/>
      <c r="E28" s="2"/>
      <c r="F28" s="2"/>
      <c r="G28"/>
      <c r="H28"/>
      <c r="I28"/>
      <c r="J28"/>
      <c r="K28"/>
      <c r="L28"/>
      <c r="M28" s="2"/>
      <c r="N28" s="2"/>
      <c r="O28" s="2"/>
      <c r="P28" s="2"/>
      <c r="Q28"/>
      <c r="R28"/>
      <c r="S28"/>
      <c r="T28" s="7"/>
      <c r="U28" s="7"/>
      <c r="V28" s="7"/>
      <c r="W28" s="2"/>
      <c r="X28"/>
      <c r="Y28"/>
      <c r="Z28"/>
      <c r="AA28"/>
      <c r="AB28"/>
      <c r="AC28"/>
      <c r="AD28"/>
      <c r="AE28"/>
      <c r="AF28"/>
      <c r="AG28"/>
      <c r="AH28"/>
      <c r="AI28" s="95" t="s">
        <v>400</v>
      </c>
      <c r="AJ28"/>
      <c r="AK28"/>
    </row>
    <row r="29" spans="1:37" ht="24.95" customHeight="1" x14ac:dyDescent="0.4">
      <c r="B29" s="2"/>
      <c r="C29" s="2"/>
      <c r="D29" s="2"/>
      <c r="E29" s="2"/>
      <c r="F29" s="2"/>
      <c r="G29"/>
      <c r="H29"/>
      <c r="I29"/>
      <c r="J29"/>
      <c r="K29"/>
      <c r="L29"/>
      <c r="M29" s="2"/>
      <c r="N29" s="2"/>
      <c r="O29" s="2"/>
      <c r="P29" s="2"/>
      <c r="Q29"/>
      <c r="R29"/>
      <c r="S29"/>
      <c r="T29" s="7"/>
      <c r="U29" s="7"/>
      <c r="V29" s="7"/>
      <c r="W29" s="2"/>
      <c r="X29"/>
      <c r="Y29"/>
      <c r="Z29"/>
      <c r="AA29"/>
      <c r="AB29"/>
      <c r="AC29"/>
      <c r="AD29"/>
      <c r="AE29"/>
      <c r="AF29"/>
      <c r="AG29"/>
      <c r="AH29"/>
      <c r="AI29" s="95" t="s">
        <v>385</v>
      </c>
      <c r="AJ29"/>
      <c r="AK29"/>
    </row>
    <row r="30" spans="1:37" ht="24.95" customHeight="1" x14ac:dyDescent="0.4">
      <c r="B30" s="2"/>
      <c r="C30" s="2"/>
      <c r="D30" s="2"/>
      <c r="E30" s="2"/>
      <c r="F30" s="2"/>
      <c r="G30"/>
      <c r="H30"/>
      <c r="I30"/>
      <c r="J30"/>
      <c r="K30"/>
      <c r="L30"/>
      <c r="M30" s="2"/>
      <c r="N30" s="2"/>
      <c r="O30" s="2"/>
      <c r="P30" s="2"/>
      <c r="Q30"/>
      <c r="R30"/>
      <c r="S30"/>
      <c r="T30" s="7"/>
      <c r="U30" s="7"/>
      <c r="V30" s="7"/>
      <c r="W30" s="2"/>
      <c r="X30"/>
      <c r="Y30"/>
      <c r="Z30"/>
      <c r="AA30"/>
      <c r="AB30"/>
      <c r="AC30"/>
      <c r="AD30"/>
      <c r="AE30"/>
      <c r="AF30"/>
      <c r="AG30"/>
      <c r="AH30"/>
      <c r="AI30" s="95" t="s">
        <v>389</v>
      </c>
      <c r="AJ30"/>
      <c r="AK30"/>
    </row>
    <row r="31" spans="1:37" ht="24.95" customHeight="1" x14ac:dyDescent="0.4">
      <c r="B31" s="2"/>
      <c r="C31" s="2"/>
      <c r="D31" s="2"/>
      <c r="E31" s="2"/>
      <c r="F31" s="2"/>
      <c r="G31"/>
      <c r="H31"/>
      <c r="I31"/>
      <c r="J31"/>
      <c r="K31"/>
      <c r="L31"/>
      <c r="M31" s="2"/>
      <c r="N31" s="2"/>
      <c r="O31" s="2"/>
      <c r="P31" s="2"/>
      <c r="Q31"/>
      <c r="R31"/>
      <c r="S31"/>
      <c r="T31" s="7"/>
      <c r="U31" s="7"/>
      <c r="V31" s="7"/>
      <c r="W31" s="2"/>
      <c r="X31"/>
      <c r="Y31"/>
      <c r="Z31"/>
      <c r="AA31"/>
      <c r="AB31"/>
      <c r="AC31"/>
      <c r="AD31"/>
      <c r="AE31"/>
      <c r="AF31"/>
      <c r="AG31"/>
      <c r="AH31"/>
      <c r="AI31" s="99" t="s">
        <v>139</v>
      </c>
      <c r="AJ31"/>
      <c r="AK31"/>
    </row>
    <row r="32" spans="1:37" ht="24.95" customHeight="1" x14ac:dyDescent="0.4">
      <c r="B32" s="2"/>
      <c r="C32" s="2"/>
      <c r="D32" s="2"/>
      <c r="E32" s="2"/>
      <c r="F32" s="2"/>
      <c r="G32"/>
      <c r="H32"/>
      <c r="I32"/>
      <c r="J32"/>
      <c r="K32"/>
      <c r="L32"/>
      <c r="M32" s="2"/>
      <c r="N32" s="2"/>
      <c r="O32" s="2"/>
      <c r="P32" s="2"/>
      <c r="Q32"/>
      <c r="R32"/>
      <c r="S32"/>
      <c r="T32" s="7"/>
      <c r="U32" s="7"/>
      <c r="V32" s="7"/>
      <c r="W32" s="2"/>
      <c r="X32"/>
      <c r="Y32"/>
      <c r="Z32"/>
      <c r="AA32"/>
      <c r="AB32"/>
      <c r="AC32"/>
      <c r="AD32"/>
      <c r="AE32"/>
      <c r="AF32"/>
      <c r="AG32"/>
      <c r="AH32"/>
      <c r="AI32" s="95" t="s">
        <v>405</v>
      </c>
      <c r="AJ32"/>
      <c r="AK32"/>
    </row>
    <row r="33" spans="2:37" ht="24.95" customHeight="1" x14ac:dyDescent="0.4">
      <c r="B33" s="2"/>
      <c r="C33" s="2"/>
      <c r="D33" s="2"/>
      <c r="E33" s="2"/>
      <c r="F33" s="2"/>
      <c r="G33"/>
      <c r="H33"/>
      <c r="I33"/>
      <c r="J33"/>
      <c r="K33"/>
      <c r="L33"/>
      <c r="M33" s="2"/>
      <c r="N33" s="2"/>
      <c r="O33" s="2"/>
      <c r="P33" s="2"/>
      <c r="Q33"/>
      <c r="R33"/>
      <c r="S33"/>
      <c r="T33" s="7"/>
      <c r="U33" s="7"/>
      <c r="V33" s="7"/>
      <c r="W33" s="2"/>
      <c r="X33"/>
      <c r="Y33"/>
      <c r="Z33"/>
      <c r="AA33"/>
      <c r="AB33"/>
      <c r="AC33"/>
      <c r="AD33"/>
      <c r="AE33"/>
      <c r="AF33"/>
      <c r="AG33"/>
      <c r="AH33"/>
      <c r="AI33" s="95" t="s">
        <v>393</v>
      </c>
      <c r="AJ33"/>
      <c r="AK33"/>
    </row>
    <row r="34" spans="2:37" ht="24.95" customHeight="1" x14ac:dyDescent="0.4">
      <c r="B34" s="2"/>
      <c r="C34" s="2"/>
      <c r="D34" s="2"/>
      <c r="E34" s="2"/>
      <c r="F34" s="2"/>
      <c r="G34"/>
      <c r="H34"/>
      <c r="I34"/>
      <c r="J34"/>
      <c r="K34"/>
      <c r="L34"/>
      <c r="M34" s="2"/>
      <c r="N34" s="2"/>
      <c r="O34" s="2"/>
      <c r="P34" s="2"/>
      <c r="Q34"/>
      <c r="R34"/>
      <c r="S34"/>
      <c r="T34" s="7"/>
      <c r="U34" s="7"/>
      <c r="V34" s="7"/>
      <c r="W34" s="2"/>
      <c r="X34"/>
      <c r="Y34"/>
      <c r="Z34"/>
      <c r="AA34"/>
      <c r="AB34"/>
      <c r="AC34"/>
      <c r="AD34"/>
      <c r="AE34"/>
      <c r="AF34"/>
      <c r="AG34"/>
      <c r="AH34"/>
      <c r="AI34" s="95" t="s">
        <v>392</v>
      </c>
      <c r="AJ34"/>
      <c r="AK34"/>
    </row>
    <row r="35" spans="2:37" ht="24.95" customHeight="1" x14ac:dyDescent="0.4">
      <c r="B35" s="2"/>
      <c r="C35" s="2"/>
      <c r="D35" s="2"/>
      <c r="E35" s="2"/>
      <c r="F35" s="2"/>
      <c r="G35"/>
      <c r="H35"/>
      <c r="I35"/>
      <c r="J35"/>
      <c r="K35"/>
      <c r="L35"/>
      <c r="M35" s="2"/>
      <c r="N35" s="2"/>
      <c r="O35" s="2"/>
      <c r="P35" s="2"/>
      <c r="Q35"/>
      <c r="R35"/>
      <c r="S35"/>
      <c r="T35" s="7"/>
      <c r="U35" s="7"/>
      <c r="V35" s="7"/>
      <c r="W35" s="2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2:37" ht="24.95" customHeight="1" x14ac:dyDescent="0.4">
      <c r="B36" s="2"/>
      <c r="C36" s="2"/>
      <c r="D36" s="2"/>
      <c r="E36" s="2"/>
      <c r="F36" s="2"/>
      <c r="G36"/>
      <c r="H36"/>
      <c r="I36"/>
      <c r="J36"/>
      <c r="K36"/>
      <c r="L36"/>
      <c r="M36" s="2"/>
      <c r="N36" s="2"/>
      <c r="O36" s="2"/>
      <c r="P36" s="2"/>
      <c r="Q36"/>
      <c r="R36"/>
      <c r="S36"/>
      <c r="T36" s="7"/>
      <c r="U36" s="7"/>
      <c r="V36" s="7"/>
      <c r="W36" s="2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2:37" ht="24.95" customHeight="1" x14ac:dyDescent="0.4">
      <c r="B37" s="2"/>
      <c r="C37" s="2"/>
      <c r="D37" s="2"/>
      <c r="E37" s="2"/>
      <c r="F37" s="2"/>
      <c r="G37"/>
      <c r="H37"/>
      <c r="I37"/>
      <c r="J37"/>
      <c r="K37"/>
      <c r="L37"/>
      <c r="M37" s="2"/>
      <c r="N37" s="2"/>
      <c r="O37" s="2"/>
      <c r="P37" s="2"/>
      <c r="Q37"/>
      <c r="R37"/>
      <c r="S37"/>
      <c r="T37" s="7"/>
      <c r="U37" s="7"/>
      <c r="V37" s="7"/>
      <c r="W37" s="2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2:37" ht="24.95" customHeight="1" x14ac:dyDescent="0.4">
      <c r="B38" s="2"/>
      <c r="C38" s="2"/>
      <c r="D38" s="2"/>
      <c r="E38" s="2"/>
      <c r="F38" s="2"/>
      <c r="G38"/>
      <c r="H38"/>
      <c r="I38"/>
      <c r="J38"/>
      <c r="K38"/>
      <c r="L38"/>
      <c r="M38" s="2"/>
      <c r="N38" s="2"/>
      <c r="O38" s="2"/>
      <c r="P38" s="2"/>
      <c r="Q38"/>
      <c r="R38"/>
      <c r="S38"/>
      <c r="T38" s="7"/>
      <c r="U38" s="7"/>
      <c r="V38" s="7"/>
      <c r="W38" s="2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2:37" ht="24.95" customHeight="1" x14ac:dyDescent="0.4">
      <c r="B39" s="2"/>
      <c r="C39" s="2"/>
      <c r="D39" s="2"/>
      <c r="E39" s="2"/>
      <c r="F39" s="2"/>
      <c r="G39"/>
      <c r="H39"/>
      <c r="I39"/>
      <c r="J39"/>
      <c r="K39"/>
      <c r="L39"/>
      <c r="M39" s="2"/>
      <c r="N39" s="2"/>
      <c r="O39" s="2"/>
      <c r="P39" s="2"/>
      <c r="Q39"/>
      <c r="R39"/>
      <c r="S39"/>
      <c r="T39" s="7"/>
      <c r="U39" s="7"/>
      <c r="V39" s="7"/>
      <c r="W39" s="2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2:37" ht="24.95" customHeight="1" x14ac:dyDescent="0.4">
      <c r="B40" s="2"/>
      <c r="C40" s="2"/>
      <c r="D40" s="2"/>
      <c r="E40" s="2"/>
      <c r="F40" s="2"/>
      <c r="G40"/>
      <c r="H40"/>
      <c r="I40"/>
      <c r="J40"/>
      <c r="K40"/>
      <c r="L40"/>
      <c r="M40" s="2"/>
      <c r="N40" s="2"/>
      <c r="O40" s="2"/>
      <c r="P40" s="2"/>
      <c r="Q40"/>
      <c r="R40"/>
      <c r="S40"/>
      <c r="T40" s="7"/>
      <c r="U40" s="7"/>
      <c r="V40" s="7"/>
      <c r="W40" s="2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2:37" ht="24.95" customHeight="1" x14ac:dyDescent="0.4">
      <c r="B41" s="2"/>
      <c r="C41" s="2"/>
      <c r="D41" s="2"/>
      <c r="E41" s="2"/>
      <c r="F41" s="2"/>
      <c r="G41"/>
      <c r="H41"/>
      <c r="I41"/>
      <c r="J41"/>
      <c r="K41"/>
      <c r="L41"/>
      <c r="M41" s="2"/>
      <c r="N41" s="2"/>
      <c r="O41" s="2"/>
      <c r="P41" s="2"/>
      <c r="Q41"/>
      <c r="R41"/>
      <c r="S41"/>
      <c r="T41" s="7"/>
      <c r="U41" s="7"/>
      <c r="V41" s="7"/>
      <c r="W41" s="2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2:37" ht="24.95" customHeight="1" x14ac:dyDescent="0.4">
      <c r="B42" s="2"/>
      <c r="C42" s="2"/>
      <c r="D42" s="2"/>
      <c r="E42" s="2"/>
      <c r="F42" s="2"/>
      <c r="G42"/>
      <c r="H42"/>
      <c r="I42"/>
      <c r="J42"/>
      <c r="K42"/>
      <c r="L42"/>
      <c r="M42" s="2"/>
      <c r="N42" s="2"/>
      <c r="O42" s="2"/>
      <c r="P42" s="2"/>
      <c r="Q42"/>
      <c r="R42"/>
      <c r="S42"/>
      <c r="T42" s="7"/>
      <c r="U42" s="7"/>
      <c r="V42" s="7"/>
      <c r="W42" s="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2:37" ht="24.95" customHeight="1" x14ac:dyDescent="0.4">
      <c r="B43" s="2"/>
      <c r="C43" s="2"/>
      <c r="D43" s="2"/>
      <c r="E43" s="2"/>
      <c r="F43" s="2"/>
      <c r="G43"/>
      <c r="H43"/>
      <c r="I43"/>
      <c r="J43"/>
      <c r="K43"/>
      <c r="L43"/>
      <c r="M43" s="2"/>
      <c r="N43" s="2"/>
      <c r="O43" s="2"/>
      <c r="P43" s="2"/>
      <c r="Q43"/>
      <c r="R43"/>
      <c r="S43"/>
      <c r="T43" s="7"/>
      <c r="U43" s="7"/>
      <c r="V43" s="7"/>
      <c r="W43" s="2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</sheetData>
  <sortState ref="A3:AJ23">
    <sortCondition ref="A2"/>
  </sortState>
  <hyperlinks>
    <hyperlink ref="B2" location="Advertisers!A1" display="Advertisers"/>
    <hyperlink ref="C2" location="Aerospace!A1" display="Aerospace"/>
    <hyperlink ref="D2" location="AgChemical!A1" display="AgChemical"/>
    <hyperlink ref="E2" location="Airlines!A1" display="Airlines"/>
    <hyperlink ref="F2" location="Apparel!A1" display="Apparel"/>
    <hyperlink ref="G2" location="Auto!A1" display="Auto"/>
    <hyperlink ref="H2" location="BioPharma!A1" display="BioPharma"/>
    <hyperlink ref="I2" location="Brokers!A1" display="Brokers"/>
    <hyperlink ref="J2" location="Builder!A1" display="Builder"/>
    <hyperlink ref="K2" location="Cruise!A1" display="Cruise"/>
    <hyperlink ref="L2" location="Defense!A1" display="Defense"/>
    <hyperlink ref="M2" location="Electricity!A1" display="Electricity"/>
    <hyperlink ref="N2" location="Electronics!A1" display="Electronics"/>
    <hyperlink ref="O2" location="E_P!A1" display="E_P"/>
    <hyperlink ref="P2" location="ETF!A1" display="ETF"/>
    <hyperlink ref="Q2" location="Fashion!A1" display="Fashion"/>
    <hyperlink ref="R2" location="FastFood!A1" display="FastFood"/>
    <hyperlink ref="S2" location="Financial!A1" display="Financial"/>
    <hyperlink ref="T2" location="Food!A1" display="Food"/>
    <hyperlink ref="U2" location="Game!A1" display="Game"/>
    <hyperlink ref="V2" location="Health!A1" display="Health"/>
    <hyperlink ref="W2" location="HomeProducts!A1" display="HomeProducts"/>
    <hyperlink ref="X2" location="Industrials!A1" display="Industrials"/>
    <hyperlink ref="Y2" location="IndustryCongl.!A1" display="IndustryCongl."/>
    <hyperlink ref="Z2" location="Insurance!A1" display="Insurance"/>
    <hyperlink ref="AA2" location="Media!A1" display="Media"/>
    <hyperlink ref="AB2" location="Metal!A1" display="Metal"/>
    <hyperlink ref="AC2" location="Packaging!A1" display="Packaging"/>
    <hyperlink ref="AD2" location="Railroads!A1" display="Railroads"/>
    <hyperlink ref="AE2" location="Semiconductor!A1" display="Semiconductor"/>
    <hyperlink ref="AF2" location="Solar!A1" display="Solar"/>
    <hyperlink ref="AG2" location="Technology!A1" display="Technology"/>
    <hyperlink ref="AH2" location="TeleComm!A1" display="TeleComm"/>
    <hyperlink ref="AI2" location="UtilityREIT!A1" display="UtilityREIT"/>
    <hyperlink ref="AJ2" location="VarietyStores!A1" display="VarietyStores"/>
    <hyperlink ref="AK2" location="WasteMgt!A1" display="WasteMg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M5"/>
  <sheetViews>
    <sheetView workbookViewId="0">
      <selection activeCell="H8" sqref="H8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546</v>
      </c>
      <c r="M1" s="13" t="s">
        <v>572</v>
      </c>
    </row>
    <row r="2" spans="1:13" ht="20.100000000000001" customHeight="1" x14ac:dyDescent="0.25">
      <c r="A2" s="2" t="s">
        <v>858</v>
      </c>
      <c r="B2" s="2" t="s">
        <v>862</v>
      </c>
      <c r="C2" s="4">
        <v>23.01</v>
      </c>
      <c r="D2" s="4">
        <v>22.81</v>
      </c>
      <c r="E2" s="4">
        <v>23.23</v>
      </c>
      <c r="F2" s="5">
        <v>22.97</v>
      </c>
      <c r="G2" s="6">
        <v>1.7414018284720376E-3</v>
      </c>
      <c r="H2" s="4" t="s">
        <v>863</v>
      </c>
      <c r="I2" s="5">
        <v>2.59</v>
      </c>
      <c r="J2" s="4">
        <v>19.11</v>
      </c>
      <c r="K2" s="4">
        <v>22.95</v>
      </c>
      <c r="L2" s="70">
        <f>K2*0.9</f>
        <v>20.655000000000001</v>
      </c>
      <c r="M2" s="70" t="b">
        <f>Table35152033[[#This Row],[LatestPrice]]&lt;Table35152033[[#This Row],[Target]]</f>
        <v>0</v>
      </c>
    </row>
    <row r="3" spans="1:13" ht="20.100000000000001" customHeight="1" x14ac:dyDescent="0.25">
      <c r="A3" s="2" t="s">
        <v>859</v>
      </c>
      <c r="B3" s="2" t="s">
        <v>864</v>
      </c>
      <c r="C3" s="4">
        <v>86.7</v>
      </c>
      <c r="D3" s="4">
        <v>86.14</v>
      </c>
      <c r="E3" s="4">
        <v>86.83</v>
      </c>
      <c r="F3" s="5">
        <v>86.25</v>
      </c>
      <c r="G3" s="6">
        <v>5.2173913043478595E-3</v>
      </c>
      <c r="H3" s="4" t="s">
        <v>865</v>
      </c>
      <c r="I3" s="5">
        <v>2.5499999999999998</v>
      </c>
      <c r="J3" s="4">
        <v>18.96</v>
      </c>
      <c r="K3" s="4">
        <v>82.28</v>
      </c>
      <c r="L3" s="70">
        <f t="shared" ref="L3:L5" si="0">K3*0.9</f>
        <v>74.052000000000007</v>
      </c>
      <c r="M3" s="70" t="b">
        <f>Table35152033[[#This Row],[LatestPrice]]&lt;Table35152033[[#This Row],[Target]]</f>
        <v>0</v>
      </c>
    </row>
    <row r="4" spans="1:13" ht="20.100000000000001" customHeight="1" x14ac:dyDescent="0.25">
      <c r="A4" s="2" t="s">
        <v>860</v>
      </c>
      <c r="B4" s="2" t="s">
        <v>866</v>
      </c>
      <c r="C4" s="4">
        <v>118.41</v>
      </c>
      <c r="D4" s="4">
        <v>117.45</v>
      </c>
      <c r="E4" s="4">
        <v>118.93</v>
      </c>
      <c r="F4" s="5">
        <v>117.41</v>
      </c>
      <c r="G4" s="6">
        <v>8.5171620815944135E-3</v>
      </c>
      <c r="H4" s="4" t="s">
        <v>867</v>
      </c>
      <c r="I4" s="5">
        <v>2.9</v>
      </c>
      <c r="J4" s="4">
        <v>20.309999999999999</v>
      </c>
      <c r="K4" s="4">
        <v>112.87</v>
      </c>
      <c r="L4" s="70">
        <f t="shared" si="0"/>
        <v>101.58300000000001</v>
      </c>
      <c r="M4" s="70" t="b">
        <f>Table35152033[[#This Row],[LatestPrice]]&lt;Table35152033[[#This Row],[Target]]</f>
        <v>0</v>
      </c>
    </row>
    <row r="5" spans="1:13" ht="20.100000000000001" customHeight="1" x14ac:dyDescent="0.25">
      <c r="A5" s="2" t="s">
        <v>861</v>
      </c>
      <c r="B5" s="2" t="s">
        <v>868</v>
      </c>
      <c r="C5" s="4">
        <v>18.952000000000002</v>
      </c>
      <c r="D5" s="4">
        <v>18.82</v>
      </c>
      <c r="E5" s="4">
        <v>18.97</v>
      </c>
      <c r="F5" s="5">
        <v>18.8</v>
      </c>
      <c r="G5" s="6">
        <v>8.0851063829787771E-3</v>
      </c>
      <c r="H5" s="4" t="s">
        <v>549</v>
      </c>
      <c r="I5" s="5">
        <v>2.37</v>
      </c>
      <c r="J5" s="4">
        <v>16.390999999999998</v>
      </c>
      <c r="K5" s="4">
        <v>17.565999999999999</v>
      </c>
      <c r="L5" s="70">
        <f t="shared" si="0"/>
        <v>15.8094</v>
      </c>
      <c r="M5" s="70" t="b">
        <f>Table35152033[[#This Row],[LatestPrice]]&lt;Table35152033[[#This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8"/>
  <sheetViews>
    <sheetView workbookViewId="0">
      <selection activeCell="K13" sqref="K13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546</v>
      </c>
      <c r="M1" s="13" t="s">
        <v>572</v>
      </c>
    </row>
    <row r="2" spans="1:13" ht="20.100000000000001" customHeight="1" x14ac:dyDescent="0.25">
      <c r="A2" s="2" t="s">
        <v>125</v>
      </c>
      <c r="B2" s="2" t="s">
        <v>135</v>
      </c>
      <c r="C2" s="4">
        <v>131.16</v>
      </c>
      <c r="D2" s="4">
        <v>130.58000000000001</v>
      </c>
      <c r="E2" s="4">
        <v>131.96</v>
      </c>
      <c r="F2" s="5">
        <v>129.9</v>
      </c>
      <c r="G2" s="6">
        <v>9.6997690531177121E-3</v>
      </c>
      <c r="H2" s="4" t="s">
        <v>566</v>
      </c>
      <c r="I2" s="5">
        <v>3.36</v>
      </c>
      <c r="J2" s="4">
        <v>23.61</v>
      </c>
      <c r="K2" s="4">
        <v>129.5</v>
      </c>
      <c r="L2" s="70">
        <v>120</v>
      </c>
      <c r="M2" s="70" t="b">
        <f>Table351520[[#This Row],[LatestPrice]]&lt;Table351520[[#This Row],[Target]]</f>
        <v>0</v>
      </c>
    </row>
    <row r="3" spans="1:13" ht="20.100000000000001" customHeight="1" x14ac:dyDescent="0.25">
      <c r="A3" s="2" t="s">
        <v>303</v>
      </c>
      <c r="B3" s="2" t="s">
        <v>305</v>
      </c>
      <c r="C3" s="4">
        <v>41.12</v>
      </c>
      <c r="D3" s="4">
        <v>40.880000000000003</v>
      </c>
      <c r="E3" s="4">
        <v>41.26</v>
      </c>
      <c r="F3" s="5">
        <v>40.81</v>
      </c>
      <c r="G3" s="6">
        <v>7.5961774074980431E-3</v>
      </c>
      <c r="H3" s="4" t="s">
        <v>567</v>
      </c>
      <c r="I3" s="5">
        <v>0.2</v>
      </c>
      <c r="J3" s="4">
        <v>15.52</v>
      </c>
      <c r="K3" s="4">
        <v>37.590000000000003</v>
      </c>
      <c r="L3" s="70">
        <v>38</v>
      </c>
      <c r="M3" s="70" t="b">
        <f>Table351520[[#This Row],[LatestPrice]]&lt;Table351520[[#This Row],[Target]]</f>
        <v>0</v>
      </c>
    </row>
    <row r="4" spans="1:13" ht="20.100000000000001" customHeight="1" x14ac:dyDescent="0.25">
      <c r="A4" s="2" t="s">
        <v>304</v>
      </c>
      <c r="B4" s="2" t="s">
        <v>306</v>
      </c>
      <c r="C4" s="4">
        <v>78.709999999999994</v>
      </c>
      <c r="D4" s="4">
        <v>77.61</v>
      </c>
      <c r="E4" s="4">
        <v>79.05</v>
      </c>
      <c r="F4" s="5">
        <v>77.13</v>
      </c>
      <c r="G4" s="6">
        <v>2.0484895630753251E-2</v>
      </c>
      <c r="H4" s="4" t="s">
        <v>568</v>
      </c>
      <c r="I4" s="5">
        <v>0</v>
      </c>
      <c r="J4" s="4">
        <v>48.71</v>
      </c>
      <c r="K4" s="4">
        <v>65.16</v>
      </c>
      <c r="L4" s="70">
        <v>75</v>
      </c>
      <c r="M4" s="70" t="b">
        <f>Table351520[[#This Row],[LatestPrice]]&lt;Table351520[[#This Row],[Target]]</f>
        <v>0</v>
      </c>
    </row>
    <row r="5" spans="1:13" ht="20.100000000000001" customHeight="1" x14ac:dyDescent="0.25">
      <c r="A5" s="2" t="s">
        <v>308</v>
      </c>
      <c r="B5" s="2" t="s">
        <v>309</v>
      </c>
      <c r="C5" s="4">
        <v>85.07</v>
      </c>
      <c r="D5" s="4">
        <v>84.53</v>
      </c>
      <c r="E5" s="4">
        <v>85.6</v>
      </c>
      <c r="F5" s="5">
        <v>84.13</v>
      </c>
      <c r="G5" s="6">
        <v>1.1173184357541874E-2</v>
      </c>
      <c r="H5" s="4" t="s">
        <v>569</v>
      </c>
      <c r="I5" s="5">
        <v>1.57</v>
      </c>
      <c r="J5" s="4">
        <v>16.03</v>
      </c>
      <c r="K5" s="4">
        <v>87.78</v>
      </c>
      <c r="L5" s="70">
        <v>79</v>
      </c>
      <c r="M5" s="70" t="b">
        <f>Table351520[[#This Row],[LatestPrice]]&lt;Table351520[[#This Row],[Target]]</f>
        <v>0</v>
      </c>
    </row>
    <row r="6" spans="1:13" ht="20.100000000000001" customHeight="1" x14ac:dyDescent="0.25">
      <c r="A6" s="1" t="s">
        <v>124</v>
      </c>
      <c r="B6" s="2" t="s">
        <v>134</v>
      </c>
      <c r="C6" s="4">
        <v>63.77</v>
      </c>
      <c r="D6" s="4">
        <v>63.03</v>
      </c>
      <c r="E6" s="4">
        <v>63.78</v>
      </c>
      <c r="F6" s="5">
        <v>62.99</v>
      </c>
      <c r="G6" s="6">
        <v>1.2382917923479935E-2</v>
      </c>
      <c r="H6" s="4" t="s">
        <v>570</v>
      </c>
      <c r="I6" s="5">
        <v>0.7</v>
      </c>
      <c r="J6" s="4">
        <v>24.3</v>
      </c>
      <c r="K6" s="4">
        <v>55.37</v>
      </c>
      <c r="L6" s="70">
        <v>45</v>
      </c>
      <c r="M6" s="70" t="b">
        <f>Table351520[[#This Row],[LatestPrice]]&lt;Table351520[[#This Row],[Target]]</f>
        <v>0</v>
      </c>
    </row>
    <row r="7" spans="1:13" ht="20.100000000000001" customHeight="1" x14ac:dyDescent="0.25">
      <c r="A7" s="2" t="s">
        <v>310</v>
      </c>
      <c r="B7" s="2" t="s">
        <v>311</v>
      </c>
      <c r="C7" s="4">
        <v>69.260000000000005</v>
      </c>
      <c r="D7" s="4">
        <v>68.72</v>
      </c>
      <c r="E7" s="4">
        <v>69.52</v>
      </c>
      <c r="F7" s="5">
        <v>68.59</v>
      </c>
      <c r="G7" s="6">
        <v>9.7681877824756045E-3</v>
      </c>
      <c r="H7" s="4" t="s">
        <v>571</v>
      </c>
      <c r="I7" s="5">
        <v>0.23</v>
      </c>
      <c r="J7" s="4">
        <v>31.34</v>
      </c>
      <c r="K7" s="4">
        <v>63.84</v>
      </c>
      <c r="L7" s="70">
        <v>65</v>
      </c>
      <c r="M7" s="70" t="b">
        <f>Table351520[[#This Row],[LatestPrice]]&lt;Table351520[[#This Row],[Target]]</f>
        <v>0</v>
      </c>
    </row>
    <row r="8" spans="1:13" ht="20.100000000000001" customHeight="1" x14ac:dyDescent="0.25">
      <c r="A8" s="2" t="s">
        <v>909</v>
      </c>
      <c r="B8" s="2" t="s">
        <v>910</v>
      </c>
      <c r="C8" s="4">
        <v>288.36</v>
      </c>
      <c r="D8" s="4">
        <v>287.33</v>
      </c>
      <c r="E8" s="4">
        <v>290.85000000000002</v>
      </c>
      <c r="F8" s="5">
        <v>287.41000000000003</v>
      </c>
      <c r="G8" s="6">
        <v>3.3053825545387725E-3</v>
      </c>
      <c r="H8" s="4" t="s">
        <v>911</v>
      </c>
      <c r="I8" s="5">
        <v>0</v>
      </c>
      <c r="J8" s="4">
        <v>30.5</v>
      </c>
      <c r="K8" s="4">
        <v>249.1</v>
      </c>
      <c r="L8" s="70">
        <v>65</v>
      </c>
      <c r="M8" s="70" t="b">
        <f>Table351520[[#This Row],[LatestPrice]]&lt;Table351520[[#This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N13"/>
  <sheetViews>
    <sheetView workbookViewId="0">
      <selection activeCell="N15" sqref="N15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4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4" ht="20.100000000000001" customHeight="1" thickTop="1" x14ac:dyDescent="0.25">
      <c r="A2" s="59" t="s">
        <v>330</v>
      </c>
      <c r="B2" s="2" t="s">
        <v>338</v>
      </c>
      <c r="C2" s="4">
        <v>29.49</v>
      </c>
      <c r="D2" s="4">
        <v>28.9</v>
      </c>
      <c r="E2" s="4">
        <v>29.85</v>
      </c>
      <c r="F2" s="5">
        <v>29.17</v>
      </c>
      <c r="G2" s="6">
        <v>1.0970174837161355E-2</v>
      </c>
      <c r="H2" s="4" t="s">
        <v>558</v>
      </c>
      <c r="I2" s="5">
        <v>2.9</v>
      </c>
      <c r="J2" s="4">
        <v>18.579999999999998</v>
      </c>
      <c r="K2" s="4">
        <v>27.2</v>
      </c>
      <c r="L2" s="79">
        <f>Table351522[[#This Row],[MA200]]*0.8</f>
        <v>21.76</v>
      </c>
      <c r="M2" s="80" t="b">
        <f>L2&gt;Table351522[[#This Row],[LatestPrice]]</f>
        <v>0</v>
      </c>
    </row>
    <row r="3" spans="1:14" ht="20.100000000000001" customHeight="1" x14ac:dyDescent="0.25">
      <c r="A3" s="2" t="s">
        <v>426</v>
      </c>
      <c r="B3" s="2" t="s">
        <v>430</v>
      </c>
      <c r="C3" s="4">
        <v>1.4</v>
      </c>
      <c r="D3" s="4">
        <v>1.35</v>
      </c>
      <c r="E3" s="4">
        <v>1.43</v>
      </c>
      <c r="F3" s="5">
        <v>1.39</v>
      </c>
      <c r="G3" s="6">
        <v>7.1942446043165541E-3</v>
      </c>
      <c r="H3" s="4" t="s">
        <v>560</v>
      </c>
      <c r="I3" s="5">
        <v>0</v>
      </c>
      <c r="J3" s="4" t="s">
        <v>39</v>
      </c>
      <c r="K3" s="4">
        <v>1.34</v>
      </c>
      <c r="L3" s="79">
        <f>Table351522[[#This Row],[MA200]]*0.8</f>
        <v>1.0720000000000001</v>
      </c>
      <c r="M3" s="80" t="b">
        <f>L3&gt;Table351522[[#This Row],[LatestPrice]]</f>
        <v>0</v>
      </c>
    </row>
    <row r="4" spans="1:14" ht="20.100000000000001" customHeight="1" x14ac:dyDescent="0.25">
      <c r="A4" s="2" t="s">
        <v>328</v>
      </c>
      <c r="B4" s="2" t="s">
        <v>334</v>
      </c>
      <c r="C4" s="4">
        <v>98.18</v>
      </c>
      <c r="D4" s="4">
        <v>96.4</v>
      </c>
      <c r="E4" s="4">
        <v>98.95</v>
      </c>
      <c r="F4" s="5">
        <v>96.66</v>
      </c>
      <c r="G4" s="6">
        <v>1.572522242913315E-2</v>
      </c>
      <c r="H4" s="4" t="s">
        <v>554</v>
      </c>
      <c r="I4" s="5">
        <v>3.62</v>
      </c>
      <c r="J4" s="4">
        <v>15.78</v>
      </c>
      <c r="K4" s="4">
        <v>89.6</v>
      </c>
      <c r="L4" s="79">
        <f>Table351522[[#This Row],[MA200]]*0.8</f>
        <v>71.679999999999993</v>
      </c>
      <c r="M4" s="80" t="b">
        <f>L4&gt;Table351522[[#This Row],[LatestPrice]]</f>
        <v>0</v>
      </c>
    </row>
    <row r="5" spans="1:14" ht="20.100000000000001" customHeight="1" x14ac:dyDescent="0.25">
      <c r="A5" s="38" t="s">
        <v>327</v>
      </c>
      <c r="B5" s="2" t="s">
        <v>333</v>
      </c>
      <c r="C5" s="4">
        <v>17.989999999999998</v>
      </c>
      <c r="D5" s="4">
        <v>17.63</v>
      </c>
      <c r="E5" s="4">
        <v>18.100000000000001</v>
      </c>
      <c r="F5" s="5">
        <v>17.809999999999999</v>
      </c>
      <c r="G5" s="6">
        <v>1.0106681639528339E-2</v>
      </c>
      <c r="H5" s="4" t="s">
        <v>553</v>
      </c>
      <c r="I5" s="5">
        <v>2.25</v>
      </c>
      <c r="J5" s="4">
        <v>22.21</v>
      </c>
      <c r="K5" s="4">
        <v>16.87</v>
      </c>
      <c r="L5" s="79">
        <f>Table351522[[#This Row],[MA200]]*0.8</f>
        <v>13.496000000000002</v>
      </c>
      <c r="M5" s="80" t="b">
        <f>L5&gt;Table351522[[#This Row],[LatestPrice]]</f>
        <v>0</v>
      </c>
    </row>
    <row r="6" spans="1:14" ht="20.100000000000001" customHeight="1" x14ac:dyDescent="0.25">
      <c r="A6" s="2" t="s">
        <v>428</v>
      </c>
      <c r="B6" s="2" t="s">
        <v>432</v>
      </c>
      <c r="C6" s="4">
        <v>116.87</v>
      </c>
      <c r="D6" s="4">
        <v>115.36</v>
      </c>
      <c r="E6" s="4">
        <v>117.4</v>
      </c>
      <c r="F6" s="5">
        <v>116.6</v>
      </c>
      <c r="G6" s="6">
        <v>2.315608919382592E-3</v>
      </c>
      <c r="H6" s="4" t="s">
        <v>562</v>
      </c>
      <c r="I6" s="5">
        <v>8.82</v>
      </c>
      <c r="J6" s="4">
        <v>12.37</v>
      </c>
      <c r="K6" s="4">
        <v>109.68</v>
      </c>
      <c r="L6" s="79">
        <f>Table351522[[#This Row],[MA200]]*0.8</f>
        <v>87.744000000000014</v>
      </c>
      <c r="M6" s="80" t="b">
        <f>L6&gt;Table351522[[#This Row],[LatestPrice]]</f>
        <v>0</v>
      </c>
    </row>
    <row r="7" spans="1:14" ht="20.100000000000001" customHeight="1" x14ac:dyDescent="0.25">
      <c r="A7" s="2" t="s">
        <v>433</v>
      </c>
      <c r="B7" s="2" t="s">
        <v>434</v>
      </c>
      <c r="C7" s="4">
        <v>5.6</v>
      </c>
      <c r="D7" s="4">
        <v>5.44</v>
      </c>
      <c r="E7" s="4">
        <v>5.66</v>
      </c>
      <c r="F7" s="5">
        <v>5.39</v>
      </c>
      <c r="G7" s="6">
        <v>3.896103896103896E-2</v>
      </c>
      <c r="H7" s="4" t="s">
        <v>565</v>
      </c>
      <c r="I7" s="5">
        <v>0</v>
      </c>
      <c r="J7" s="4" t="s">
        <v>39</v>
      </c>
      <c r="K7" s="4">
        <v>4.7300000000000004</v>
      </c>
      <c r="L7" s="79">
        <f>Table351522[[#This Row],[MA200]]*0.8</f>
        <v>3.7840000000000007</v>
      </c>
      <c r="M7" s="80" t="b">
        <f>L7&gt;Table351522[[#This Row],[LatestPrice]]</f>
        <v>0</v>
      </c>
    </row>
    <row r="8" spans="1:14" ht="20.100000000000001" customHeight="1" x14ac:dyDescent="0.25">
      <c r="A8" s="71" t="s">
        <v>552</v>
      </c>
      <c r="B8" s="71" t="s">
        <v>563</v>
      </c>
      <c r="C8" s="72">
        <v>15.59</v>
      </c>
      <c r="D8" s="72">
        <v>15.16</v>
      </c>
      <c r="E8" s="72">
        <v>15.72</v>
      </c>
      <c r="F8" s="73">
        <v>15.5</v>
      </c>
      <c r="G8" s="74">
        <v>5.8064516129032167E-3</v>
      </c>
      <c r="H8" s="72" t="s">
        <v>564</v>
      </c>
      <c r="I8" s="73" t="s">
        <v>39</v>
      </c>
      <c r="J8" s="72" t="s">
        <v>39</v>
      </c>
      <c r="K8" s="72">
        <v>14.98</v>
      </c>
      <c r="L8" s="79">
        <f>Table351522[[#This Row],[MA200]]*0.8</f>
        <v>11.984000000000002</v>
      </c>
      <c r="M8" s="80" t="b">
        <f>L8&gt;Table351522[[#This Row],[LatestPrice]]</f>
        <v>0</v>
      </c>
    </row>
    <row r="9" spans="1:14" ht="20.100000000000001" customHeight="1" x14ac:dyDescent="0.25">
      <c r="A9" s="2" t="s">
        <v>332</v>
      </c>
      <c r="B9" s="2" t="s">
        <v>337</v>
      </c>
      <c r="C9" s="4">
        <v>88.24</v>
      </c>
      <c r="D9" s="4">
        <v>87.98</v>
      </c>
      <c r="E9" s="4">
        <v>88.46</v>
      </c>
      <c r="F9" s="5">
        <v>87.68</v>
      </c>
      <c r="G9" s="6">
        <v>6.3868613138684761E-3</v>
      </c>
      <c r="H9" s="4" t="s">
        <v>557</v>
      </c>
      <c r="I9" s="5">
        <v>2.64</v>
      </c>
      <c r="J9" s="4">
        <v>34.369999999999997</v>
      </c>
      <c r="K9" s="4">
        <v>80.819999999999993</v>
      </c>
      <c r="L9" s="79">
        <f>Table351522[[#This Row],[MA200]]*0.8</f>
        <v>64.655999999999992</v>
      </c>
      <c r="M9" s="80" t="b">
        <f>L9&gt;Table351522[[#This Row],[LatestPrice]]</f>
        <v>0</v>
      </c>
    </row>
    <row r="10" spans="1:14" ht="20.100000000000001" customHeight="1" x14ac:dyDescent="0.25">
      <c r="A10" s="2" t="s">
        <v>329</v>
      </c>
      <c r="B10" s="2" t="s">
        <v>335</v>
      </c>
      <c r="C10" s="4">
        <v>107.44</v>
      </c>
      <c r="D10" s="4">
        <v>106.71</v>
      </c>
      <c r="E10" s="4">
        <v>107.56</v>
      </c>
      <c r="F10" s="5">
        <v>106.91</v>
      </c>
      <c r="G10" s="6">
        <v>4.9574408380881219E-3</v>
      </c>
      <c r="H10" s="4" t="s">
        <v>555</v>
      </c>
      <c r="I10" s="5">
        <v>2.0099999999999998</v>
      </c>
      <c r="J10" s="4">
        <v>47.29</v>
      </c>
      <c r="K10" s="4">
        <v>98.84</v>
      </c>
      <c r="L10" s="79">
        <f>Table351522[[#This Row],[MA200]]*0.8</f>
        <v>79.072000000000003</v>
      </c>
      <c r="M10" s="80" t="b">
        <f>L10&gt;Table351522[[#This Row],[LatestPrice]]</f>
        <v>0</v>
      </c>
    </row>
    <row r="11" spans="1:14" ht="20.100000000000001" customHeight="1" x14ac:dyDescent="0.25">
      <c r="A11" s="2" t="s">
        <v>427</v>
      </c>
      <c r="B11" s="2" t="s">
        <v>431</v>
      </c>
      <c r="C11" s="4">
        <v>4.29</v>
      </c>
      <c r="D11" s="4">
        <v>4.2300000000000004</v>
      </c>
      <c r="E11" s="4">
        <v>4.34</v>
      </c>
      <c r="F11" s="5">
        <v>4.21</v>
      </c>
      <c r="G11" s="6">
        <v>1.9002375296912132E-2</v>
      </c>
      <c r="H11" s="4" t="s">
        <v>561</v>
      </c>
      <c r="I11" s="5">
        <v>8.06</v>
      </c>
      <c r="J11" s="4">
        <v>13.53</v>
      </c>
      <c r="K11" s="4">
        <v>4.21</v>
      </c>
      <c r="L11" s="79">
        <f>Table351522[[#This Row],[MA200]]*0.8</f>
        <v>3.3680000000000003</v>
      </c>
      <c r="M11" s="80" t="b">
        <f>L11&gt;Table351522[[#This Row],[LatestPrice]]</f>
        <v>0</v>
      </c>
      <c r="N11" s="2" t="s">
        <v>573</v>
      </c>
    </row>
    <row r="12" spans="1:14" ht="20.100000000000001" customHeight="1" x14ac:dyDescent="0.25">
      <c r="A12" s="81" t="s">
        <v>331</v>
      </c>
      <c r="B12" s="2" t="s">
        <v>336</v>
      </c>
      <c r="C12" s="4">
        <v>25.94</v>
      </c>
      <c r="D12" s="4">
        <v>25.47</v>
      </c>
      <c r="E12" s="4">
        <v>26.16</v>
      </c>
      <c r="F12" s="5">
        <v>25.6</v>
      </c>
      <c r="G12" s="6">
        <v>1.3281249999999994E-2</v>
      </c>
      <c r="H12" s="4" t="s">
        <v>556</v>
      </c>
      <c r="I12" s="5">
        <v>4.59</v>
      </c>
      <c r="J12" s="4">
        <v>31.95</v>
      </c>
      <c r="K12" s="4">
        <v>29</v>
      </c>
      <c r="L12" s="79">
        <f>Table351522[[#This Row],[MA200]]*0.8</f>
        <v>23.200000000000003</v>
      </c>
      <c r="M12" s="80" t="b">
        <f>L12&gt;Table351522[[#This Row],[LatestPrice]]</f>
        <v>0</v>
      </c>
    </row>
    <row r="13" spans="1:14" ht="20.100000000000001" customHeight="1" x14ac:dyDescent="0.25">
      <c r="A13" s="2" t="s">
        <v>425</v>
      </c>
      <c r="B13" s="2" t="s">
        <v>429</v>
      </c>
      <c r="C13" s="4">
        <v>6.02</v>
      </c>
      <c r="D13" s="4">
        <v>5.88</v>
      </c>
      <c r="E13" s="4">
        <v>6.11</v>
      </c>
      <c r="F13" s="5">
        <v>5.87</v>
      </c>
      <c r="G13" s="6">
        <v>2.5553662691652379E-2</v>
      </c>
      <c r="H13" s="4" t="s">
        <v>559</v>
      </c>
      <c r="I13" s="5">
        <v>11.58</v>
      </c>
      <c r="J13" s="4">
        <v>82.47</v>
      </c>
      <c r="K13" s="4">
        <v>7.7</v>
      </c>
      <c r="L13" s="79">
        <f>Table351522[[#This Row],[MA200]]*0.8</f>
        <v>6.16</v>
      </c>
      <c r="M13" s="80" t="b">
        <f>L13&gt;Table351522[[#This Row],[LatestPrice]]</f>
        <v>1</v>
      </c>
    </row>
  </sheetData>
  <conditionalFormatting sqref="G1:G1048576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8:G12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11"/>
  <sheetViews>
    <sheetView topLeftCell="A7" workbookViewId="0">
      <selection activeCell="C15" sqref="C15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2" t="s">
        <v>248</v>
      </c>
      <c r="B2" s="2" t="s">
        <v>253</v>
      </c>
      <c r="C2" s="4">
        <v>36.53</v>
      </c>
      <c r="D2" s="4">
        <v>36</v>
      </c>
      <c r="E2" s="4">
        <v>36.700000000000003</v>
      </c>
      <c r="F2" s="5">
        <v>36.24</v>
      </c>
      <c r="G2" s="6">
        <v>8.0022075055187405E-3</v>
      </c>
      <c r="H2" s="4" t="s">
        <v>574</v>
      </c>
      <c r="I2" s="5">
        <v>1.1000000000000001</v>
      </c>
      <c r="J2" s="4">
        <v>3.45</v>
      </c>
      <c r="K2" s="4">
        <v>35.85</v>
      </c>
      <c r="L2" s="77">
        <f t="shared" ref="L2:L11" si="0">K2*0.89</f>
        <v>31.906500000000001</v>
      </c>
      <c r="M2" s="78" t="b">
        <f t="shared" ref="M2:M11" si="1">L2&gt;C2</f>
        <v>0</v>
      </c>
    </row>
    <row r="3" spans="1:13" ht="20.100000000000001" customHeight="1" x14ac:dyDescent="0.25">
      <c r="A3" s="81" t="s">
        <v>249</v>
      </c>
      <c r="B3" s="2" t="s">
        <v>254</v>
      </c>
      <c r="C3" s="4">
        <v>37.17</v>
      </c>
      <c r="D3" s="4">
        <v>36.67</v>
      </c>
      <c r="E3" s="4">
        <v>37.49</v>
      </c>
      <c r="F3" s="5">
        <v>36.82</v>
      </c>
      <c r="G3" s="6">
        <v>9.5057034220532698E-3</v>
      </c>
      <c r="H3" s="4" t="s">
        <v>575</v>
      </c>
      <c r="I3" s="5">
        <v>2.2000000000000002</v>
      </c>
      <c r="J3" s="4">
        <v>6.05</v>
      </c>
      <c r="K3" s="4">
        <v>42.3</v>
      </c>
      <c r="L3" s="77">
        <f t="shared" si="0"/>
        <v>37.646999999999998</v>
      </c>
      <c r="M3" s="78" t="b">
        <f t="shared" si="1"/>
        <v>1</v>
      </c>
    </row>
    <row r="4" spans="1:13" ht="20.100000000000001" customHeight="1" x14ac:dyDescent="0.25">
      <c r="A4" s="59" t="s">
        <v>250</v>
      </c>
      <c r="B4" s="2" t="s">
        <v>255</v>
      </c>
      <c r="C4" s="4">
        <v>51.09</v>
      </c>
      <c r="D4" s="4">
        <v>50.45</v>
      </c>
      <c r="E4" s="4">
        <v>51.53</v>
      </c>
      <c r="F4" s="5">
        <v>50.89</v>
      </c>
      <c r="G4" s="6">
        <v>3.9300451955198044E-3</v>
      </c>
      <c r="H4" s="4" t="s">
        <v>576</v>
      </c>
      <c r="I4" s="5">
        <v>0</v>
      </c>
      <c r="J4" s="4">
        <v>2.79</v>
      </c>
      <c r="K4" s="4">
        <v>49.38</v>
      </c>
      <c r="L4" s="77">
        <f t="shared" si="0"/>
        <v>43.9482</v>
      </c>
      <c r="M4" s="78" t="b">
        <f t="shared" si="1"/>
        <v>0</v>
      </c>
    </row>
    <row r="5" spans="1:13" ht="20.100000000000001" customHeight="1" x14ac:dyDescent="0.25">
      <c r="A5" s="81" t="s">
        <v>251</v>
      </c>
      <c r="B5" s="2" t="s">
        <v>256</v>
      </c>
      <c r="C5" s="4">
        <v>36.89</v>
      </c>
      <c r="D5" s="4">
        <v>36.520000000000003</v>
      </c>
      <c r="E5" s="4">
        <v>37.01</v>
      </c>
      <c r="F5" s="5">
        <v>36.590000000000003</v>
      </c>
      <c r="G5" s="6">
        <v>8.1989614648810358E-3</v>
      </c>
      <c r="H5" s="4" t="s">
        <v>577</v>
      </c>
      <c r="I5" s="5">
        <v>1.0900000000000001</v>
      </c>
      <c r="J5" s="4">
        <v>9.7899999999999991</v>
      </c>
      <c r="K5" s="4">
        <v>41.29</v>
      </c>
      <c r="L5" s="77">
        <f t="shared" si="0"/>
        <v>36.748100000000001</v>
      </c>
      <c r="M5" s="78" t="b">
        <f t="shared" si="1"/>
        <v>0</v>
      </c>
    </row>
    <row r="6" spans="1:13" ht="20.100000000000001" customHeight="1" x14ac:dyDescent="0.25">
      <c r="A6" s="2" t="s">
        <v>252</v>
      </c>
      <c r="B6" s="2" t="s">
        <v>257</v>
      </c>
      <c r="C6" s="4">
        <v>15.85</v>
      </c>
      <c r="D6" s="4">
        <v>15.76</v>
      </c>
      <c r="E6" s="4">
        <v>16.04</v>
      </c>
      <c r="F6" s="5">
        <v>15.81</v>
      </c>
      <c r="G6" s="6">
        <v>2.5300442757747719E-3</v>
      </c>
      <c r="H6" s="4" t="s">
        <v>578</v>
      </c>
      <c r="I6" s="5" t="s">
        <v>39</v>
      </c>
      <c r="J6" s="4">
        <v>7.04</v>
      </c>
      <c r="K6" s="4">
        <v>18.73</v>
      </c>
      <c r="L6" s="77">
        <f t="shared" si="0"/>
        <v>16.669699999999999</v>
      </c>
      <c r="M6" s="78" t="b">
        <f t="shared" si="1"/>
        <v>1</v>
      </c>
    </row>
    <row r="7" spans="1:13" ht="20.100000000000001" customHeight="1" x14ac:dyDescent="0.25">
      <c r="A7" s="2" t="s">
        <v>516</v>
      </c>
      <c r="B7" s="2" t="s">
        <v>517</v>
      </c>
      <c r="C7" s="4">
        <v>39.81</v>
      </c>
      <c r="D7" s="4">
        <v>39.4</v>
      </c>
      <c r="E7" s="4">
        <v>40.07</v>
      </c>
      <c r="F7" s="5">
        <v>39.53</v>
      </c>
      <c r="G7" s="6">
        <v>7.0832279281558596E-3</v>
      </c>
      <c r="H7" s="4" t="s">
        <v>579</v>
      </c>
      <c r="I7" s="5" t="s">
        <v>39</v>
      </c>
      <c r="J7" s="4">
        <v>9.2899999999999991</v>
      </c>
      <c r="K7" s="4">
        <v>44.54</v>
      </c>
      <c r="L7" s="77">
        <f t="shared" si="0"/>
        <v>39.640599999999999</v>
      </c>
      <c r="M7" s="78" t="b">
        <f t="shared" si="1"/>
        <v>0</v>
      </c>
    </row>
    <row r="8" spans="1:13" ht="20.100000000000001" customHeight="1" x14ac:dyDescent="0.25">
      <c r="A8" s="2" t="s">
        <v>518</v>
      </c>
      <c r="B8" s="2" t="s">
        <v>519</v>
      </c>
      <c r="C8" s="4">
        <v>22.75</v>
      </c>
      <c r="D8" s="4">
        <v>22.5</v>
      </c>
      <c r="E8" s="4">
        <v>22.81</v>
      </c>
      <c r="F8" s="5">
        <v>22.48</v>
      </c>
      <c r="G8" s="6">
        <v>1.201067615658361E-2</v>
      </c>
      <c r="H8" s="4" t="s">
        <v>39</v>
      </c>
      <c r="I8" s="5" t="s">
        <v>39</v>
      </c>
      <c r="J8" s="4" t="s">
        <v>39</v>
      </c>
      <c r="K8" s="4">
        <v>23.29</v>
      </c>
      <c r="L8" s="77">
        <f t="shared" si="0"/>
        <v>20.728100000000001</v>
      </c>
      <c r="M8" s="78" t="b">
        <f t="shared" si="1"/>
        <v>0</v>
      </c>
    </row>
    <row r="9" spans="1:13" ht="20.100000000000001" customHeight="1" x14ac:dyDescent="0.25">
      <c r="A9" s="2" t="s">
        <v>520</v>
      </c>
      <c r="B9" s="2" t="s">
        <v>521</v>
      </c>
      <c r="C9" s="4">
        <v>25.54</v>
      </c>
      <c r="D9" s="4">
        <v>25.51</v>
      </c>
      <c r="E9" s="4">
        <v>25.72</v>
      </c>
      <c r="F9" s="5">
        <v>25.62</v>
      </c>
      <c r="G9" s="6">
        <v>-3.1225604996097519E-3</v>
      </c>
      <c r="H9" s="4" t="s">
        <v>580</v>
      </c>
      <c r="I9" s="5">
        <v>0</v>
      </c>
      <c r="J9" s="4">
        <v>10.42</v>
      </c>
      <c r="K9" s="4">
        <v>27.02</v>
      </c>
      <c r="L9" s="77">
        <f t="shared" si="0"/>
        <v>24.047799999999999</v>
      </c>
      <c r="M9" s="78" t="b">
        <f t="shared" si="1"/>
        <v>0</v>
      </c>
    </row>
    <row r="10" spans="1:13" ht="20.100000000000001" customHeight="1" x14ac:dyDescent="0.25">
      <c r="A10" s="2" t="s">
        <v>923</v>
      </c>
      <c r="B10" s="2" t="s">
        <v>924</v>
      </c>
      <c r="C10" s="4">
        <v>68.209999999999994</v>
      </c>
      <c r="D10" s="4">
        <v>67.260000000000005</v>
      </c>
      <c r="E10" s="4">
        <v>68.25</v>
      </c>
      <c r="F10" s="5">
        <v>67.260000000000005</v>
      </c>
      <c r="G10" s="6">
        <v>1.4124293785310564E-2</v>
      </c>
      <c r="H10" s="4" t="s">
        <v>925</v>
      </c>
      <c r="I10" s="5">
        <v>1.64</v>
      </c>
      <c r="J10" s="4">
        <v>9.44</v>
      </c>
      <c r="K10" s="4">
        <v>69.78</v>
      </c>
      <c r="L10" s="103">
        <f>K10*0.89</f>
        <v>62.104199999999999</v>
      </c>
      <c r="M10" s="104" t="b">
        <f>L10&gt;C10</f>
        <v>0</v>
      </c>
    </row>
    <row r="11" spans="1:13" ht="20.100000000000001" customHeight="1" x14ac:dyDescent="0.25">
      <c r="A11" s="2" t="s">
        <v>547</v>
      </c>
      <c r="B11" s="2" t="s">
        <v>548</v>
      </c>
      <c r="C11" s="4">
        <v>47.6</v>
      </c>
      <c r="D11" s="4">
        <v>46.85</v>
      </c>
      <c r="E11" s="4">
        <v>47.77</v>
      </c>
      <c r="F11" s="5">
        <v>47.29</v>
      </c>
      <c r="G11" s="6">
        <v>6.5552971029816508E-3</v>
      </c>
      <c r="H11" s="4" t="s">
        <v>581</v>
      </c>
      <c r="I11" s="5" t="s">
        <v>39</v>
      </c>
      <c r="J11" s="4">
        <v>11.27</v>
      </c>
      <c r="K11" s="4">
        <v>43.44</v>
      </c>
      <c r="L11" s="77">
        <f t="shared" si="0"/>
        <v>38.6616</v>
      </c>
      <c r="M11" s="78" t="b">
        <f t="shared" si="1"/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8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1" t="s">
        <v>476</v>
      </c>
      <c r="B2" s="2" t="s">
        <v>480</v>
      </c>
      <c r="C2" s="4">
        <v>58.02</v>
      </c>
      <c r="D2" s="4">
        <v>57.99</v>
      </c>
      <c r="E2" s="4">
        <v>59.18</v>
      </c>
      <c r="F2" s="5">
        <v>58.54</v>
      </c>
      <c r="G2" s="6">
        <v>-8.8828151691150679E-3</v>
      </c>
      <c r="H2" s="4" t="s">
        <v>582</v>
      </c>
      <c r="I2" s="5">
        <v>1.0900000000000001</v>
      </c>
      <c r="J2" s="4">
        <v>26.86</v>
      </c>
      <c r="K2" s="4">
        <v>57.92</v>
      </c>
      <c r="L2" s="79">
        <f t="shared" ref="L2:L8" si="0">K2*0.89</f>
        <v>51.5488</v>
      </c>
      <c r="M2" s="80" t="b">
        <f t="shared" ref="M2:M8" si="1">L2&gt;C2</f>
        <v>0</v>
      </c>
    </row>
    <row r="3" spans="1:13" ht="20.100000000000001" customHeight="1" x14ac:dyDescent="0.25">
      <c r="A3" s="2" t="s">
        <v>477</v>
      </c>
      <c r="B3" s="2" t="s">
        <v>481</v>
      </c>
      <c r="C3" s="4">
        <v>38.56</v>
      </c>
      <c r="D3" s="4">
        <v>38.520000000000003</v>
      </c>
      <c r="E3" s="4">
        <v>39.75</v>
      </c>
      <c r="F3" s="5">
        <v>39.75</v>
      </c>
      <c r="G3" s="6">
        <v>-2.9937106918238938E-2</v>
      </c>
      <c r="H3" s="4" t="s">
        <v>583</v>
      </c>
      <c r="I3" s="5" t="s">
        <v>39</v>
      </c>
      <c r="J3" s="4">
        <v>99.38</v>
      </c>
      <c r="K3" s="4">
        <v>40.6</v>
      </c>
      <c r="L3" s="70">
        <f t="shared" si="0"/>
        <v>36.134</v>
      </c>
      <c r="M3" s="70" t="b">
        <f t="shared" si="1"/>
        <v>0</v>
      </c>
    </row>
    <row r="4" spans="1:13" ht="20.100000000000001" customHeight="1" x14ac:dyDescent="0.25">
      <c r="A4" s="2" t="s">
        <v>71</v>
      </c>
      <c r="B4" s="2" t="s">
        <v>285</v>
      </c>
      <c r="C4" s="4">
        <v>38.15</v>
      </c>
      <c r="D4" s="4">
        <v>38.090000000000003</v>
      </c>
      <c r="E4" s="4">
        <v>38.69</v>
      </c>
      <c r="F4" s="5">
        <v>38.39</v>
      </c>
      <c r="G4" s="6">
        <v>-6.2516280281323779E-3</v>
      </c>
      <c r="H4" s="4" t="s">
        <v>584</v>
      </c>
      <c r="I4" s="5">
        <v>3.5</v>
      </c>
      <c r="J4" s="4">
        <v>23.12</v>
      </c>
      <c r="K4" s="4">
        <v>39.72</v>
      </c>
      <c r="L4" s="70">
        <f t="shared" si="0"/>
        <v>35.3508</v>
      </c>
      <c r="M4" s="70" t="b">
        <f t="shared" si="1"/>
        <v>0</v>
      </c>
    </row>
    <row r="5" spans="1:13" ht="20.100000000000001" customHeight="1" x14ac:dyDescent="0.25">
      <c r="A5" s="2" t="s">
        <v>478</v>
      </c>
      <c r="B5" s="2" t="s">
        <v>482</v>
      </c>
      <c r="C5" s="4">
        <v>28.13</v>
      </c>
      <c r="D5" s="4">
        <v>28.01</v>
      </c>
      <c r="E5" s="4">
        <v>28.59</v>
      </c>
      <c r="F5" s="5">
        <v>28.15</v>
      </c>
      <c r="G5" s="6">
        <v>-7.1047957371224066E-4</v>
      </c>
      <c r="H5" s="4" t="s">
        <v>585</v>
      </c>
      <c r="I5" s="5" t="s">
        <v>39</v>
      </c>
      <c r="J5" s="4">
        <v>9.73</v>
      </c>
      <c r="K5" s="4">
        <v>35.409999999999997</v>
      </c>
      <c r="L5" s="70">
        <f t="shared" si="0"/>
        <v>31.514899999999997</v>
      </c>
      <c r="M5" s="70" t="b">
        <f t="shared" si="1"/>
        <v>1</v>
      </c>
    </row>
    <row r="6" spans="1:13" ht="20.100000000000001" customHeight="1" x14ac:dyDescent="0.25">
      <c r="A6" s="2" t="s">
        <v>479</v>
      </c>
      <c r="B6" s="2" t="s">
        <v>483</v>
      </c>
      <c r="C6" s="4">
        <v>24.27</v>
      </c>
      <c r="D6" s="4">
        <v>23.99</v>
      </c>
      <c r="E6" s="4">
        <v>24.46</v>
      </c>
      <c r="F6" s="5">
        <v>24.15</v>
      </c>
      <c r="G6" s="6">
        <v>4.9689440993789238E-3</v>
      </c>
      <c r="H6" s="4" t="s">
        <v>586</v>
      </c>
      <c r="I6" s="5">
        <v>1.66</v>
      </c>
      <c r="J6" s="4">
        <v>61.13</v>
      </c>
      <c r="K6" s="4">
        <v>20.010000000000002</v>
      </c>
      <c r="L6" s="70">
        <f t="shared" si="0"/>
        <v>17.808900000000001</v>
      </c>
      <c r="M6" s="70" t="b">
        <f t="shared" si="1"/>
        <v>0</v>
      </c>
    </row>
    <row r="7" spans="1:13" ht="20.100000000000001" customHeight="1" x14ac:dyDescent="0.25">
      <c r="A7" s="2" t="s">
        <v>587</v>
      </c>
      <c r="B7" s="2" t="s">
        <v>589</v>
      </c>
      <c r="C7" s="4">
        <v>66</v>
      </c>
      <c r="D7" s="4">
        <v>65.260000000000005</v>
      </c>
      <c r="E7" s="4">
        <v>66.38</v>
      </c>
      <c r="F7" s="5">
        <v>65.53</v>
      </c>
      <c r="G7" s="6">
        <v>7.1722875019075054E-3</v>
      </c>
      <c r="H7" s="4" t="s">
        <v>590</v>
      </c>
      <c r="I7" s="5">
        <v>1.68</v>
      </c>
      <c r="J7" s="4">
        <v>16.420000000000002</v>
      </c>
      <c r="K7" s="4">
        <v>60.36</v>
      </c>
      <c r="L7" s="70">
        <f t="shared" si="0"/>
        <v>53.720399999999998</v>
      </c>
      <c r="M7" s="70" t="b">
        <f t="shared" si="1"/>
        <v>0</v>
      </c>
    </row>
    <row r="8" spans="1:13" ht="20.100000000000001" customHeight="1" x14ac:dyDescent="0.25">
      <c r="A8" s="2" t="s">
        <v>588</v>
      </c>
      <c r="B8" s="2" t="s">
        <v>591</v>
      </c>
      <c r="C8" s="4">
        <v>68.569999999999993</v>
      </c>
      <c r="D8" s="4">
        <v>68.38</v>
      </c>
      <c r="E8" s="4">
        <v>71.650000000000006</v>
      </c>
      <c r="F8" s="5">
        <v>76.66</v>
      </c>
      <c r="G8" s="6">
        <v>-0.10553091573180282</v>
      </c>
      <c r="H8" s="4" t="s">
        <v>592</v>
      </c>
      <c r="I8" s="5" t="s">
        <v>39</v>
      </c>
      <c r="J8" s="4">
        <v>35.18</v>
      </c>
      <c r="K8" s="4">
        <v>68.92</v>
      </c>
      <c r="L8" s="70">
        <f t="shared" si="0"/>
        <v>61.338799999999999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M7"/>
  <sheetViews>
    <sheetView workbookViewId="0">
      <selection activeCell="O13" sqref="O13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1" t="s">
        <v>129</v>
      </c>
      <c r="B2" s="2" t="s">
        <v>161</v>
      </c>
      <c r="C2" s="20">
        <v>32.159999999999997</v>
      </c>
      <c r="D2" s="20">
        <v>31.85</v>
      </c>
      <c r="E2" s="20">
        <v>32.200000000000003</v>
      </c>
      <c r="F2" s="5">
        <v>31.8</v>
      </c>
      <c r="G2" s="26">
        <v>1.1320754716981003E-2</v>
      </c>
      <c r="H2" s="6" t="s">
        <v>720</v>
      </c>
      <c r="I2" s="5">
        <v>4.78</v>
      </c>
      <c r="J2" s="4">
        <v>4.12</v>
      </c>
      <c r="K2" s="4">
        <v>30.64</v>
      </c>
      <c r="L2" s="5">
        <f t="shared" ref="L2:L7" si="0">K2*0.9</f>
        <v>27.576000000000001</v>
      </c>
      <c r="M2" s="5" t="b">
        <f t="shared" ref="M2:M7" si="1">L2&gt;C2</f>
        <v>0</v>
      </c>
    </row>
    <row r="3" spans="1:13" ht="20.100000000000001" customHeight="1" x14ac:dyDescent="0.25">
      <c r="A3" s="2" t="s">
        <v>718</v>
      </c>
      <c r="B3" s="2" t="s">
        <v>721</v>
      </c>
      <c r="C3" s="20">
        <v>6.71</v>
      </c>
      <c r="D3" s="20">
        <v>6.56</v>
      </c>
      <c r="E3" s="20">
        <v>6.74</v>
      </c>
      <c r="F3" s="5">
        <v>6.81</v>
      </c>
      <c r="G3" s="26">
        <v>-1.4684287812041065E-2</v>
      </c>
      <c r="H3" s="6" t="s">
        <v>722</v>
      </c>
      <c r="I3" s="5">
        <v>0</v>
      </c>
      <c r="J3" s="4">
        <v>12.76</v>
      </c>
      <c r="K3" s="4">
        <v>7.09</v>
      </c>
      <c r="L3" s="5">
        <f t="shared" si="0"/>
        <v>6.3810000000000002</v>
      </c>
      <c r="M3" s="5" t="b">
        <f t="shared" si="1"/>
        <v>0</v>
      </c>
    </row>
    <row r="4" spans="1:13" ht="20.100000000000001" customHeight="1" x14ac:dyDescent="0.25">
      <c r="A4" s="2" t="s">
        <v>719</v>
      </c>
      <c r="B4" s="2" t="s">
        <v>723</v>
      </c>
      <c r="C4" s="20">
        <v>197.78</v>
      </c>
      <c r="D4" s="20">
        <v>196.2</v>
      </c>
      <c r="E4" s="20">
        <v>203.2</v>
      </c>
      <c r="F4" s="5">
        <v>200.77</v>
      </c>
      <c r="G4" s="26">
        <v>-1.4892663246501016E-2</v>
      </c>
      <c r="H4" s="6" t="s">
        <v>724</v>
      </c>
      <c r="I4" s="5" t="s">
        <v>39</v>
      </c>
      <c r="J4" s="4" t="s">
        <v>39</v>
      </c>
      <c r="K4" s="4">
        <v>220.38</v>
      </c>
      <c r="L4" s="5">
        <f>K4*0.9</f>
        <v>198.34200000000001</v>
      </c>
      <c r="M4" s="5" t="b">
        <f>L4&gt;C4</f>
        <v>1</v>
      </c>
    </row>
    <row r="5" spans="1:13" ht="20.100000000000001" customHeight="1" x14ac:dyDescent="0.25">
      <c r="A5" s="2" t="s">
        <v>890</v>
      </c>
      <c r="B5" s="2" t="s">
        <v>891</v>
      </c>
      <c r="C5" s="20">
        <v>158.57</v>
      </c>
      <c r="D5" s="20">
        <v>158.05000000000001</v>
      </c>
      <c r="E5" s="20">
        <v>159.65</v>
      </c>
      <c r="F5" s="5">
        <v>158.76</v>
      </c>
      <c r="G5" s="26">
        <v>-1.1967750062988015E-3</v>
      </c>
      <c r="H5" s="6" t="s">
        <v>892</v>
      </c>
      <c r="I5" s="5">
        <v>0.15</v>
      </c>
      <c r="J5" s="4">
        <v>25.61</v>
      </c>
      <c r="K5" s="4">
        <v>157.22</v>
      </c>
      <c r="L5" s="5">
        <f>K5*0.9</f>
        <v>141.49799999999999</v>
      </c>
      <c r="M5" s="5" t="b">
        <f>L5&gt;C5</f>
        <v>0</v>
      </c>
    </row>
    <row r="6" spans="1:13" ht="20.100000000000001" customHeight="1" x14ac:dyDescent="0.25">
      <c r="A6" s="71" t="s">
        <v>894</v>
      </c>
      <c r="B6" s="2" t="s">
        <v>895</v>
      </c>
      <c r="C6" s="20">
        <v>739.73</v>
      </c>
      <c r="D6" s="20">
        <v>737.5</v>
      </c>
      <c r="E6" s="20">
        <v>748.41</v>
      </c>
      <c r="F6" s="5">
        <v>744.77</v>
      </c>
      <c r="G6" s="26">
        <v>-6.7671898706982876E-3</v>
      </c>
      <c r="H6" s="6" t="s">
        <v>896</v>
      </c>
      <c r="I6" s="5" t="s">
        <v>39</v>
      </c>
      <c r="J6" s="4">
        <v>18.79</v>
      </c>
      <c r="K6" s="4">
        <v>780.1</v>
      </c>
      <c r="L6" s="5">
        <f>K6*0.9</f>
        <v>702.09</v>
      </c>
      <c r="M6" s="5" t="b">
        <f>L6&gt;C6</f>
        <v>0</v>
      </c>
    </row>
    <row r="7" spans="1:13" ht="20.100000000000001" customHeight="1" x14ac:dyDescent="0.25">
      <c r="A7" s="81" t="s">
        <v>458</v>
      </c>
      <c r="B7" s="2" t="s">
        <v>460</v>
      </c>
      <c r="C7" s="20">
        <v>12.5</v>
      </c>
      <c r="D7" s="20">
        <v>12.46</v>
      </c>
      <c r="E7" s="20">
        <v>12.57</v>
      </c>
      <c r="F7" s="5">
        <v>12.44</v>
      </c>
      <c r="G7" s="26">
        <v>4.8231511254019695E-3</v>
      </c>
      <c r="H7" s="6" t="s">
        <v>725</v>
      </c>
      <c r="I7" s="5">
        <v>4.82</v>
      </c>
      <c r="J7" s="4">
        <v>5.9</v>
      </c>
      <c r="K7" s="4">
        <v>13.02</v>
      </c>
      <c r="L7" s="5">
        <f t="shared" si="0"/>
        <v>11.718</v>
      </c>
      <c r="M7" s="5" t="b">
        <f t="shared" si="1"/>
        <v>0</v>
      </c>
    </row>
  </sheetData>
  <conditionalFormatting sqref="G3:G6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7">
    <cfRule type="colorScale" priority="80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2"/>
  <sheetViews>
    <sheetView workbookViewId="0">
      <selection activeCell="F27" sqref="F27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1" t="s">
        <v>94</v>
      </c>
      <c r="B2" s="2" t="s">
        <v>108</v>
      </c>
      <c r="C2" s="4">
        <v>4.1399999999999997</v>
      </c>
      <c r="D2" s="4" t="s">
        <v>39</v>
      </c>
      <c r="E2" s="4" t="s">
        <v>39</v>
      </c>
      <c r="F2" s="5">
        <v>4.1399999999999997</v>
      </c>
      <c r="G2" s="6">
        <v>0</v>
      </c>
      <c r="H2" s="4" t="s">
        <v>39</v>
      </c>
      <c r="I2" s="5" t="s">
        <v>39</v>
      </c>
      <c r="J2" s="4" t="s">
        <v>39</v>
      </c>
      <c r="K2" s="4">
        <v>6.69</v>
      </c>
      <c r="L2" s="79">
        <f t="shared" ref="L2:L22" si="0">K2*0.89</f>
        <v>5.9541000000000004</v>
      </c>
      <c r="M2" s="80" t="b">
        <f t="shared" ref="M2:M22" si="1">L2&gt;C2</f>
        <v>1</v>
      </c>
    </row>
    <row r="3" spans="1:13" ht="20.100000000000001" customHeight="1" x14ac:dyDescent="0.25">
      <c r="A3" s="2" t="s">
        <v>107</v>
      </c>
      <c r="B3" s="2" t="s">
        <v>109</v>
      </c>
      <c r="C3" s="11">
        <v>64.12</v>
      </c>
      <c r="D3" s="4">
        <v>63.87</v>
      </c>
      <c r="E3" s="4">
        <v>64.48</v>
      </c>
      <c r="F3" s="5">
        <v>64.03</v>
      </c>
      <c r="G3" s="26">
        <v>1.4055911291582603E-3</v>
      </c>
      <c r="H3" s="6" t="s">
        <v>599</v>
      </c>
      <c r="I3" s="5">
        <v>3.56</v>
      </c>
      <c r="J3" s="4">
        <v>18.489999999999998</v>
      </c>
      <c r="K3" s="4">
        <v>61.13</v>
      </c>
      <c r="L3" s="4">
        <f t="shared" si="0"/>
        <v>54.405700000000003</v>
      </c>
      <c r="M3" s="4" t="b">
        <f t="shared" si="1"/>
        <v>0</v>
      </c>
    </row>
    <row r="4" spans="1:13" ht="20.100000000000001" customHeight="1" x14ac:dyDescent="0.25">
      <c r="A4" s="2" t="s">
        <v>100</v>
      </c>
      <c r="B4" s="2" t="s">
        <v>110</v>
      </c>
      <c r="C4" s="4">
        <v>42.09</v>
      </c>
      <c r="D4" s="4">
        <v>41.89</v>
      </c>
      <c r="E4" s="4">
        <v>42.45</v>
      </c>
      <c r="F4" s="5">
        <v>42.3</v>
      </c>
      <c r="G4" s="6">
        <v>-4.9645390070920514E-3</v>
      </c>
      <c r="H4" s="4" t="s">
        <v>600</v>
      </c>
      <c r="I4" s="5">
        <v>2.46</v>
      </c>
      <c r="J4" s="4">
        <v>27.78</v>
      </c>
      <c r="K4" s="4">
        <v>40.92</v>
      </c>
      <c r="L4" s="4">
        <f t="shared" si="0"/>
        <v>36.418800000000005</v>
      </c>
      <c r="M4" s="4" t="b">
        <f t="shared" si="1"/>
        <v>0</v>
      </c>
    </row>
    <row r="5" spans="1:13" ht="20.100000000000001" customHeight="1" x14ac:dyDescent="0.25">
      <c r="A5" s="2" t="s">
        <v>99</v>
      </c>
      <c r="B5" s="2" t="s">
        <v>111</v>
      </c>
      <c r="C5" s="4">
        <v>235.96</v>
      </c>
      <c r="D5" s="4">
        <v>234.35</v>
      </c>
      <c r="E5" s="4">
        <v>238.03</v>
      </c>
      <c r="F5" s="5">
        <v>237.76</v>
      </c>
      <c r="G5" s="6">
        <v>-7.5706594885598206E-3</v>
      </c>
      <c r="H5" s="4" t="s">
        <v>601</v>
      </c>
      <c r="I5" s="5">
        <v>0.1</v>
      </c>
      <c r="J5" s="4">
        <v>22.47</v>
      </c>
      <c r="K5" s="4">
        <v>247.61</v>
      </c>
      <c r="L5" s="4">
        <f t="shared" si="0"/>
        <v>220.37290000000002</v>
      </c>
      <c r="M5" s="4" t="b">
        <f t="shared" si="1"/>
        <v>0</v>
      </c>
    </row>
    <row r="6" spans="1:13" ht="20.100000000000001" customHeight="1" x14ac:dyDescent="0.25">
      <c r="A6" s="2" t="s">
        <v>244</v>
      </c>
      <c r="B6" s="2" t="s">
        <v>245</v>
      </c>
      <c r="C6" s="20">
        <v>123.67</v>
      </c>
      <c r="D6" s="20">
        <v>123.56</v>
      </c>
      <c r="E6" s="20">
        <v>126.29</v>
      </c>
      <c r="F6" s="5">
        <v>125.63</v>
      </c>
      <c r="G6" s="26">
        <v>-1.5601369099737274E-2</v>
      </c>
      <c r="H6" s="6" t="s">
        <v>602</v>
      </c>
      <c r="I6" s="5" t="s">
        <v>39</v>
      </c>
      <c r="J6" s="4">
        <v>310.73</v>
      </c>
      <c r="K6" s="4">
        <v>137.28</v>
      </c>
      <c r="L6" s="4">
        <f t="shared" si="0"/>
        <v>122.17920000000001</v>
      </c>
      <c r="M6" s="4" t="b">
        <f t="shared" si="1"/>
        <v>0</v>
      </c>
    </row>
    <row r="7" spans="1:13" ht="20.100000000000001" customHeight="1" x14ac:dyDescent="0.25">
      <c r="A7" s="2" t="s">
        <v>102</v>
      </c>
      <c r="B7" s="2" t="s">
        <v>112</v>
      </c>
      <c r="C7" s="11">
        <v>169.77</v>
      </c>
      <c r="D7" s="4">
        <v>168.91</v>
      </c>
      <c r="E7" s="4">
        <v>171.05</v>
      </c>
      <c r="F7" s="5">
        <v>170.13</v>
      </c>
      <c r="G7" s="26">
        <v>-2.116028919061807E-3</v>
      </c>
      <c r="H7" s="6" t="s">
        <v>603</v>
      </c>
      <c r="I7" s="5">
        <v>2.35</v>
      </c>
      <c r="J7" s="4">
        <v>17.37</v>
      </c>
      <c r="K7" s="4">
        <v>157.58000000000001</v>
      </c>
      <c r="L7" s="4">
        <f t="shared" si="0"/>
        <v>140.24620000000002</v>
      </c>
      <c r="M7" s="4" t="b">
        <f t="shared" si="1"/>
        <v>0</v>
      </c>
    </row>
    <row r="8" spans="1:13" s="7" customFormat="1" ht="20.100000000000001" customHeight="1" x14ac:dyDescent="0.25">
      <c r="A8" s="1" t="s">
        <v>97</v>
      </c>
      <c r="B8" s="2" t="s">
        <v>342</v>
      </c>
      <c r="C8" s="4">
        <v>313.58999999999997</v>
      </c>
      <c r="D8" s="4">
        <v>308.66000000000003</v>
      </c>
      <c r="E8" s="4">
        <v>318.88</v>
      </c>
      <c r="F8" s="5">
        <v>306.02999999999997</v>
      </c>
      <c r="G8" s="6">
        <v>2.4703460445054417E-2</v>
      </c>
      <c r="H8" s="4" t="s">
        <v>604</v>
      </c>
      <c r="I8" s="5" t="s">
        <v>39</v>
      </c>
      <c r="J8" s="4">
        <v>18.32</v>
      </c>
      <c r="K8" s="4">
        <v>271.44</v>
      </c>
      <c r="L8" s="4">
        <f t="shared" si="0"/>
        <v>241.58160000000001</v>
      </c>
      <c r="M8" s="4" t="b">
        <f t="shared" si="1"/>
        <v>0</v>
      </c>
    </row>
    <row r="9" spans="1:13" ht="20.100000000000001" customHeight="1" x14ac:dyDescent="0.25">
      <c r="A9" s="1" t="s">
        <v>95</v>
      </c>
      <c r="B9" s="2" t="s">
        <v>113</v>
      </c>
      <c r="C9" s="4">
        <v>49.05</v>
      </c>
      <c r="D9" s="4">
        <v>48.27</v>
      </c>
      <c r="E9" s="4">
        <v>50.85</v>
      </c>
      <c r="F9" s="5">
        <v>49.33</v>
      </c>
      <c r="G9" s="6">
        <v>-5.6760591931887521E-3</v>
      </c>
      <c r="H9" s="4" t="s">
        <v>605</v>
      </c>
      <c r="I9" s="5" t="s">
        <v>39</v>
      </c>
      <c r="J9" s="4" t="s">
        <v>39</v>
      </c>
      <c r="K9" s="4">
        <v>47.2</v>
      </c>
      <c r="L9" s="4">
        <f t="shared" si="0"/>
        <v>42.008000000000003</v>
      </c>
      <c r="M9" s="4" t="b">
        <f t="shared" si="1"/>
        <v>0</v>
      </c>
    </row>
    <row r="10" spans="1:13" s="7" customFormat="1" ht="20.100000000000001" customHeight="1" x14ac:dyDescent="0.25">
      <c r="A10" s="2" t="s">
        <v>106</v>
      </c>
      <c r="B10" s="2" t="s">
        <v>114</v>
      </c>
      <c r="C10" s="11">
        <v>105.49</v>
      </c>
      <c r="D10" s="4">
        <v>105.26</v>
      </c>
      <c r="E10" s="4">
        <v>107</v>
      </c>
      <c r="F10" s="5">
        <v>106.37</v>
      </c>
      <c r="G10" s="26">
        <v>-8.2730093071355613E-3</v>
      </c>
      <c r="H10" s="6" t="s">
        <v>606</v>
      </c>
      <c r="I10" s="5" t="s">
        <v>39</v>
      </c>
      <c r="J10" s="4">
        <v>44.59</v>
      </c>
      <c r="K10" s="4">
        <v>104.71</v>
      </c>
      <c r="L10" s="4">
        <f t="shared" si="0"/>
        <v>93.19189999999999</v>
      </c>
      <c r="M10" s="4" t="b">
        <f t="shared" si="1"/>
        <v>0</v>
      </c>
    </row>
    <row r="11" spans="1:13" ht="20.100000000000001" customHeight="1" x14ac:dyDescent="0.25">
      <c r="A11" s="81" t="s">
        <v>96</v>
      </c>
      <c r="B11" s="2" t="s">
        <v>115</v>
      </c>
      <c r="C11" s="4">
        <v>76.89</v>
      </c>
      <c r="D11" s="4">
        <v>76.67</v>
      </c>
      <c r="E11" s="4">
        <v>77.760000000000005</v>
      </c>
      <c r="F11" s="5">
        <v>77.42</v>
      </c>
      <c r="G11" s="6">
        <v>-6.8457762851976377E-3</v>
      </c>
      <c r="H11" s="4" t="s">
        <v>607</v>
      </c>
      <c r="I11" s="5">
        <v>2.4300000000000002</v>
      </c>
      <c r="J11" s="4">
        <v>6.75</v>
      </c>
      <c r="K11" s="4">
        <v>86.85</v>
      </c>
      <c r="L11" s="4">
        <f t="shared" si="0"/>
        <v>77.296499999999995</v>
      </c>
      <c r="M11" s="4" t="b">
        <f t="shared" si="1"/>
        <v>1</v>
      </c>
    </row>
    <row r="12" spans="1:13" ht="20.100000000000001" customHeight="1" x14ac:dyDescent="0.25">
      <c r="A12" s="2" t="s">
        <v>103</v>
      </c>
      <c r="B12" s="2" t="s">
        <v>116</v>
      </c>
      <c r="C12" s="11">
        <v>76.849999999999994</v>
      </c>
      <c r="D12" s="4">
        <v>76.45</v>
      </c>
      <c r="E12" s="4">
        <v>77.63</v>
      </c>
      <c r="F12" s="5">
        <v>77.23</v>
      </c>
      <c r="G12" s="26">
        <v>-4.9203677327464669E-3</v>
      </c>
      <c r="H12" s="6" t="s">
        <v>608</v>
      </c>
      <c r="I12" s="5">
        <v>2.64</v>
      </c>
      <c r="J12" s="4">
        <v>33.119999999999997</v>
      </c>
      <c r="K12" s="4">
        <v>76.260000000000005</v>
      </c>
      <c r="L12" s="4">
        <f t="shared" si="0"/>
        <v>67.871400000000008</v>
      </c>
      <c r="M12" s="4" t="b">
        <f t="shared" si="1"/>
        <v>0</v>
      </c>
    </row>
    <row r="13" spans="1:13" ht="20.100000000000001" customHeight="1" x14ac:dyDescent="0.25">
      <c r="A13" s="2" t="s">
        <v>917</v>
      </c>
      <c r="B13" s="2" t="s">
        <v>918</v>
      </c>
      <c r="C13" s="20">
        <v>388.64</v>
      </c>
      <c r="D13" s="20">
        <v>387.02</v>
      </c>
      <c r="E13" s="20">
        <v>393.97</v>
      </c>
      <c r="F13" s="5">
        <v>393.4</v>
      </c>
      <c r="G13" s="26">
        <v>-1.2099644128113856E-2</v>
      </c>
      <c r="H13" s="6" t="s">
        <v>919</v>
      </c>
      <c r="I13" s="5" t="s">
        <v>39</v>
      </c>
      <c r="J13" s="4">
        <v>60.63</v>
      </c>
      <c r="K13" s="4">
        <v>389.38</v>
      </c>
      <c r="L13" s="20">
        <f>K13*0.89</f>
        <v>346.54820000000001</v>
      </c>
      <c r="M13" s="20" t="b">
        <f>L13&gt;C13</f>
        <v>0</v>
      </c>
    </row>
    <row r="14" spans="1:13" ht="20.100000000000001" customHeight="1" x14ac:dyDescent="0.25">
      <c r="A14" s="2" t="s">
        <v>104</v>
      </c>
      <c r="B14" s="2" t="s">
        <v>117</v>
      </c>
      <c r="C14" s="11">
        <v>62.98</v>
      </c>
      <c r="D14" s="4">
        <v>62.59</v>
      </c>
      <c r="E14" s="4">
        <v>63.27</v>
      </c>
      <c r="F14" s="5">
        <v>62.9</v>
      </c>
      <c r="G14" s="26">
        <v>1.27186009538948E-3</v>
      </c>
      <c r="H14" s="6" t="s">
        <v>609</v>
      </c>
      <c r="I14" s="5">
        <v>2.93</v>
      </c>
      <c r="J14" s="4">
        <v>34.549999999999997</v>
      </c>
      <c r="K14" s="4">
        <v>56.5</v>
      </c>
      <c r="L14" s="4">
        <f t="shared" si="0"/>
        <v>50.285000000000004</v>
      </c>
      <c r="M14" s="4" t="b">
        <f t="shared" si="1"/>
        <v>0</v>
      </c>
    </row>
    <row r="15" spans="1:13" ht="20.100000000000001" customHeight="1" x14ac:dyDescent="0.25">
      <c r="A15" s="1" t="s">
        <v>494</v>
      </c>
      <c r="B15" s="2" t="s">
        <v>495</v>
      </c>
      <c r="C15" s="11">
        <v>20.93</v>
      </c>
      <c r="D15" s="4">
        <v>20.37</v>
      </c>
      <c r="E15" s="4">
        <v>20.96</v>
      </c>
      <c r="F15" s="5">
        <v>20.6</v>
      </c>
      <c r="G15" s="26">
        <v>1.6019417475728073E-2</v>
      </c>
      <c r="H15" s="6" t="s">
        <v>610</v>
      </c>
      <c r="I15" s="5" t="s">
        <v>39</v>
      </c>
      <c r="J15" s="4" t="s">
        <v>39</v>
      </c>
      <c r="K15" s="4">
        <v>18.059999999999999</v>
      </c>
      <c r="L15" s="4">
        <f t="shared" si="0"/>
        <v>16.073399999999999</v>
      </c>
      <c r="M15" s="4" t="b">
        <f t="shared" si="1"/>
        <v>0</v>
      </c>
    </row>
    <row r="16" spans="1:13" ht="20.100000000000001" customHeight="1" x14ac:dyDescent="0.25">
      <c r="A16" s="1" t="s">
        <v>98</v>
      </c>
      <c r="B16" s="2" t="s">
        <v>118</v>
      </c>
      <c r="C16" s="4">
        <v>1.7</v>
      </c>
      <c r="D16" s="4">
        <v>1.69</v>
      </c>
      <c r="E16" s="4">
        <v>1.72</v>
      </c>
      <c r="F16" s="5">
        <v>1.71</v>
      </c>
      <c r="G16" s="6">
        <v>-5.8479532163742748E-3</v>
      </c>
      <c r="H16" s="4" t="s">
        <v>611</v>
      </c>
      <c r="I16" s="5" t="s">
        <v>39</v>
      </c>
      <c r="J16" s="4" t="s">
        <v>39</v>
      </c>
      <c r="K16" s="4">
        <v>1.9</v>
      </c>
      <c r="L16" s="4">
        <f t="shared" si="0"/>
        <v>1.6909999999999998</v>
      </c>
      <c r="M16" s="4" t="b">
        <f t="shared" si="1"/>
        <v>0</v>
      </c>
    </row>
    <row r="17" spans="1:13" ht="20.100000000000001" customHeight="1" x14ac:dyDescent="0.25">
      <c r="A17" s="2" t="s">
        <v>101</v>
      </c>
      <c r="B17" s="2" t="s">
        <v>119</v>
      </c>
      <c r="C17" s="4">
        <v>34.770000000000003</v>
      </c>
      <c r="D17" s="4">
        <v>34.61</v>
      </c>
      <c r="E17" s="4">
        <v>34.840000000000003</v>
      </c>
      <c r="F17" s="5">
        <v>34.68</v>
      </c>
      <c r="G17" s="6">
        <v>2.5951557093426589E-3</v>
      </c>
      <c r="H17" s="4" t="s">
        <v>612</v>
      </c>
      <c r="I17" s="5">
        <v>3.46</v>
      </c>
      <c r="J17" s="4">
        <v>30.82</v>
      </c>
      <c r="K17" s="4">
        <v>33.450000000000003</v>
      </c>
      <c r="L17" s="4">
        <f t="shared" si="0"/>
        <v>29.770500000000002</v>
      </c>
      <c r="M17" s="4" t="b">
        <f t="shared" si="1"/>
        <v>0</v>
      </c>
    </row>
    <row r="18" spans="1:13" ht="20.100000000000001" customHeight="1" x14ac:dyDescent="0.25">
      <c r="A18" s="2" t="s">
        <v>246</v>
      </c>
      <c r="B18" s="2" t="s">
        <v>247</v>
      </c>
      <c r="C18" s="20">
        <v>56.35</v>
      </c>
      <c r="D18" s="20">
        <v>55.11</v>
      </c>
      <c r="E18" s="20">
        <v>56.93</v>
      </c>
      <c r="F18" s="5">
        <v>56.76</v>
      </c>
      <c r="G18" s="26">
        <v>-7.2233967582804193E-3</v>
      </c>
      <c r="H18" s="6" t="s">
        <v>613</v>
      </c>
      <c r="I18" s="5">
        <v>2.68</v>
      </c>
      <c r="J18" s="4">
        <v>32.950000000000003</v>
      </c>
      <c r="K18" s="4">
        <v>68.239999999999995</v>
      </c>
      <c r="L18" s="4">
        <f t="shared" si="0"/>
        <v>60.733599999999996</v>
      </c>
      <c r="M18" s="4" t="b">
        <f t="shared" si="1"/>
        <v>1</v>
      </c>
    </row>
    <row r="19" spans="1:13" ht="20.100000000000001" customHeight="1" x14ac:dyDescent="0.25">
      <c r="A19" s="82" t="s">
        <v>105</v>
      </c>
      <c r="B19" s="83" t="s">
        <v>343</v>
      </c>
      <c r="C19" s="84">
        <v>39.97</v>
      </c>
      <c r="D19" s="84">
        <v>39.82</v>
      </c>
      <c r="E19" s="84">
        <v>42.09</v>
      </c>
      <c r="F19" s="85">
        <v>41.92</v>
      </c>
      <c r="G19" s="86">
        <v>-4.6517175572519151E-2</v>
      </c>
      <c r="H19" s="87" t="s">
        <v>614</v>
      </c>
      <c r="I19" s="85">
        <v>0</v>
      </c>
      <c r="J19" s="88">
        <v>25.3</v>
      </c>
      <c r="K19" s="88">
        <v>45.2</v>
      </c>
      <c r="L19" s="88">
        <f t="shared" si="0"/>
        <v>40.228000000000002</v>
      </c>
      <c r="M19" s="88" t="b">
        <f t="shared" si="1"/>
        <v>1</v>
      </c>
    </row>
    <row r="20" spans="1:13" ht="20.100000000000001" customHeight="1" x14ac:dyDescent="0.25">
      <c r="A20" s="83" t="s">
        <v>496</v>
      </c>
      <c r="B20" s="83" t="s">
        <v>498</v>
      </c>
      <c r="C20" s="84">
        <v>51.22</v>
      </c>
      <c r="D20" s="84">
        <v>50.68</v>
      </c>
      <c r="E20" s="84">
        <v>51.94</v>
      </c>
      <c r="F20" s="85">
        <v>50.9</v>
      </c>
      <c r="G20" s="86">
        <v>6.2868369351669999E-3</v>
      </c>
      <c r="H20" s="87" t="s">
        <v>615</v>
      </c>
      <c r="I20" s="85">
        <v>2.67</v>
      </c>
      <c r="J20" s="88">
        <v>34.22</v>
      </c>
      <c r="K20" s="88">
        <v>53.78</v>
      </c>
      <c r="L20" s="88">
        <f t="shared" si="0"/>
        <v>47.864200000000004</v>
      </c>
      <c r="M20" s="88" t="b">
        <f t="shared" si="1"/>
        <v>0</v>
      </c>
    </row>
    <row r="21" spans="1:13" ht="20.100000000000001" customHeight="1" x14ac:dyDescent="0.25">
      <c r="A21" s="83" t="s">
        <v>497</v>
      </c>
      <c r="B21" s="83" t="s">
        <v>499</v>
      </c>
      <c r="C21" s="84">
        <v>90.75</v>
      </c>
      <c r="D21" s="84">
        <v>90.07</v>
      </c>
      <c r="E21" s="84">
        <v>91.53</v>
      </c>
      <c r="F21" s="85">
        <v>91.25</v>
      </c>
      <c r="G21" s="86">
        <v>-5.4794520547945206E-3</v>
      </c>
      <c r="H21" s="87" t="s">
        <v>616</v>
      </c>
      <c r="I21" s="85">
        <v>0.64</v>
      </c>
      <c r="J21" s="88" t="s">
        <v>39</v>
      </c>
      <c r="K21" s="88">
        <v>105.83</v>
      </c>
      <c r="L21" s="88">
        <f t="shared" si="0"/>
        <v>94.188699999999997</v>
      </c>
      <c r="M21" s="88" t="b">
        <f t="shared" si="1"/>
        <v>1</v>
      </c>
    </row>
    <row r="22" spans="1:13" ht="20.100000000000001" customHeight="1" x14ac:dyDescent="0.25">
      <c r="A22" s="83" t="s">
        <v>500</v>
      </c>
      <c r="B22" s="83" t="s">
        <v>617</v>
      </c>
      <c r="C22" s="84">
        <v>19.82</v>
      </c>
      <c r="D22" s="84">
        <v>19.21</v>
      </c>
      <c r="E22" s="84">
        <v>20.58</v>
      </c>
      <c r="F22" s="85">
        <v>20.23</v>
      </c>
      <c r="G22" s="86">
        <v>-2.0266930301532385E-2</v>
      </c>
      <c r="H22" s="87" t="s">
        <v>618</v>
      </c>
      <c r="I22" s="85" t="s">
        <v>39</v>
      </c>
      <c r="J22" s="88" t="s">
        <v>39</v>
      </c>
      <c r="K22" s="88">
        <v>24.8</v>
      </c>
      <c r="L22" s="88">
        <f t="shared" si="0"/>
        <v>22.072000000000003</v>
      </c>
      <c r="M22" s="88" t="b">
        <f t="shared" si="1"/>
        <v>1</v>
      </c>
    </row>
  </sheetData>
  <conditionalFormatting sqref="G1:G22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1:G2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1:G2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M10"/>
  <sheetViews>
    <sheetView workbookViewId="0">
      <selection activeCell="H15" sqref="H15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2" t="s">
        <v>948</v>
      </c>
      <c r="B2" s="2" t="s">
        <v>953</v>
      </c>
      <c r="C2" s="4">
        <v>26.48</v>
      </c>
      <c r="D2" s="4">
        <v>26.03</v>
      </c>
      <c r="E2" s="4">
        <v>26.52</v>
      </c>
      <c r="F2" s="5">
        <v>26.16</v>
      </c>
      <c r="G2" s="6">
        <v>1.2232415902140683E-2</v>
      </c>
      <c r="H2" s="4" t="s">
        <v>954</v>
      </c>
      <c r="I2" s="5" t="s">
        <v>39</v>
      </c>
      <c r="J2" s="4">
        <v>34.71</v>
      </c>
      <c r="K2" s="4">
        <v>25</v>
      </c>
      <c r="L2" s="79">
        <f t="shared" ref="L2:L6" si="0">K2*0.89</f>
        <v>22.25</v>
      </c>
      <c r="M2" s="80" t="b">
        <f t="shared" ref="M2:M6" si="1">L2&gt;C2</f>
        <v>0</v>
      </c>
    </row>
    <row r="3" spans="1:13" ht="20.100000000000001" customHeight="1" x14ac:dyDescent="0.25">
      <c r="A3" s="2" t="s">
        <v>949</v>
      </c>
      <c r="B3" s="2" t="s">
        <v>955</v>
      </c>
      <c r="C3" s="11">
        <v>35.33</v>
      </c>
      <c r="D3" s="4">
        <v>34.799999999999997</v>
      </c>
      <c r="E3" s="4">
        <v>35.35</v>
      </c>
      <c r="F3" s="5">
        <v>35.14</v>
      </c>
      <c r="G3" s="26">
        <v>5.4069436539555416E-3</v>
      </c>
      <c r="H3" s="6" t="s">
        <v>956</v>
      </c>
      <c r="I3" s="5">
        <v>1.1399999999999999</v>
      </c>
      <c r="J3" s="4">
        <v>23.41</v>
      </c>
      <c r="K3" s="4">
        <v>36.94</v>
      </c>
      <c r="L3" s="4">
        <f t="shared" si="0"/>
        <v>32.876599999999996</v>
      </c>
      <c r="M3" s="4" t="b">
        <f t="shared" si="1"/>
        <v>0</v>
      </c>
    </row>
    <row r="4" spans="1:13" ht="20.100000000000001" customHeight="1" x14ac:dyDescent="0.25">
      <c r="A4" s="2" t="s">
        <v>950</v>
      </c>
      <c r="B4" s="2" t="s">
        <v>957</v>
      </c>
      <c r="C4" s="4">
        <v>31.27</v>
      </c>
      <c r="D4" s="4">
        <v>30.68</v>
      </c>
      <c r="E4" s="4">
        <v>31.37</v>
      </c>
      <c r="F4" s="5">
        <v>30.98</v>
      </c>
      <c r="G4" s="6">
        <v>9.3608779857972616E-3</v>
      </c>
      <c r="H4" s="4" t="s">
        <v>958</v>
      </c>
      <c r="I4" s="5">
        <v>0.9</v>
      </c>
      <c r="J4" s="4">
        <v>26.96</v>
      </c>
      <c r="K4" s="4">
        <v>28.09</v>
      </c>
      <c r="L4" s="4">
        <f t="shared" si="0"/>
        <v>25.0001</v>
      </c>
      <c r="M4" s="4" t="b">
        <f t="shared" si="1"/>
        <v>0</v>
      </c>
    </row>
    <row r="5" spans="1:13" ht="20.100000000000001" customHeight="1" x14ac:dyDescent="0.25">
      <c r="A5" s="2" t="s">
        <v>951</v>
      </c>
      <c r="B5" s="2" t="s">
        <v>959</v>
      </c>
      <c r="C5" s="4">
        <v>32.72</v>
      </c>
      <c r="D5" s="4">
        <v>32.229999999999997</v>
      </c>
      <c r="E5" s="4">
        <v>32.79</v>
      </c>
      <c r="F5" s="5">
        <v>32.49</v>
      </c>
      <c r="G5" s="6">
        <v>7.0791012619266496E-3</v>
      </c>
      <c r="H5" s="4" t="s">
        <v>960</v>
      </c>
      <c r="I5" s="5">
        <v>2.09</v>
      </c>
      <c r="J5" s="4">
        <v>20.07</v>
      </c>
      <c r="K5" s="4">
        <v>30.34</v>
      </c>
      <c r="L5" s="4">
        <f t="shared" si="0"/>
        <v>27.002600000000001</v>
      </c>
      <c r="M5" s="4" t="b">
        <f t="shared" si="1"/>
        <v>0</v>
      </c>
    </row>
    <row r="6" spans="1:13" ht="20.100000000000001" customHeight="1" x14ac:dyDescent="0.25">
      <c r="A6" s="2" t="s">
        <v>952</v>
      </c>
      <c r="B6" s="2" t="s">
        <v>961</v>
      </c>
      <c r="C6" s="20">
        <v>14.58</v>
      </c>
      <c r="D6" s="20">
        <v>14.35</v>
      </c>
      <c r="E6" s="20">
        <v>14.58</v>
      </c>
      <c r="F6" s="5">
        <v>14.35</v>
      </c>
      <c r="G6" s="26">
        <v>1.6027874564459959E-2</v>
      </c>
      <c r="H6" s="6" t="s">
        <v>962</v>
      </c>
      <c r="I6" s="5" t="s">
        <v>39</v>
      </c>
      <c r="J6" s="4">
        <v>14.74</v>
      </c>
      <c r="K6" s="4">
        <v>13.16</v>
      </c>
      <c r="L6" s="4">
        <f t="shared" si="0"/>
        <v>11.712400000000001</v>
      </c>
      <c r="M6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10"/>
  <sheetViews>
    <sheetView workbookViewId="0">
      <selection activeCell="M6" sqref="M6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2" t="s">
        <v>841</v>
      </c>
      <c r="B2" s="2" t="s">
        <v>846</v>
      </c>
      <c r="C2" s="4">
        <v>46.56</v>
      </c>
      <c r="D2" s="4">
        <v>46.35</v>
      </c>
      <c r="E2" s="4">
        <v>47.38</v>
      </c>
      <c r="F2" s="5">
        <v>46.71</v>
      </c>
      <c r="G2" s="6">
        <v>-3.211303789338441E-3</v>
      </c>
      <c r="H2" s="4" t="s">
        <v>847</v>
      </c>
      <c r="I2" s="5">
        <v>0.34</v>
      </c>
      <c r="J2" s="4">
        <v>12.43</v>
      </c>
      <c r="K2" s="4">
        <v>46.13</v>
      </c>
      <c r="L2" s="79">
        <f t="shared" ref="L2:L6" si="0">K2*0.89</f>
        <v>41.055700000000002</v>
      </c>
      <c r="M2" s="80" t="b">
        <f t="shared" ref="M2:M6" si="1">L2&gt;C2</f>
        <v>0</v>
      </c>
    </row>
    <row r="3" spans="1:13" ht="20.100000000000001" customHeight="1" x14ac:dyDescent="0.25">
      <c r="A3" s="2" t="s">
        <v>842</v>
      </c>
      <c r="B3" s="2" t="s">
        <v>848</v>
      </c>
      <c r="C3" s="11">
        <v>31.61</v>
      </c>
      <c r="D3" s="4">
        <v>31.55</v>
      </c>
      <c r="E3" s="4">
        <v>32.119999999999997</v>
      </c>
      <c r="F3" s="5">
        <v>31.56</v>
      </c>
      <c r="G3" s="26">
        <v>1.5842839036755612E-3</v>
      </c>
      <c r="H3" s="6" t="s">
        <v>849</v>
      </c>
      <c r="I3" s="5">
        <v>1.01</v>
      </c>
      <c r="J3" s="4">
        <v>14.06</v>
      </c>
      <c r="K3" s="4">
        <v>30.72</v>
      </c>
      <c r="L3" s="4">
        <f t="shared" si="0"/>
        <v>27.340799999999998</v>
      </c>
      <c r="M3" s="4" t="b">
        <f t="shared" si="1"/>
        <v>0</v>
      </c>
    </row>
    <row r="4" spans="1:13" ht="20.100000000000001" customHeight="1" x14ac:dyDescent="0.25">
      <c r="A4" s="2" t="s">
        <v>843</v>
      </c>
      <c r="B4" s="2" t="s">
        <v>850</v>
      </c>
      <c r="C4" s="4">
        <v>30.72</v>
      </c>
      <c r="D4" s="4">
        <v>30.57</v>
      </c>
      <c r="E4" s="4">
        <v>31.14</v>
      </c>
      <c r="F4" s="5">
        <v>30.62</v>
      </c>
      <c r="G4" s="6">
        <v>3.2658393207053516E-3</v>
      </c>
      <c r="H4" s="4" t="s">
        <v>851</v>
      </c>
      <c r="I4" s="5" t="s">
        <v>39</v>
      </c>
      <c r="J4" s="4">
        <v>13.22</v>
      </c>
      <c r="K4" s="4">
        <v>28.21</v>
      </c>
      <c r="L4" s="4">
        <f t="shared" si="0"/>
        <v>25.1069</v>
      </c>
      <c r="M4" s="4" t="b">
        <f t="shared" si="1"/>
        <v>0</v>
      </c>
    </row>
    <row r="5" spans="1:13" ht="20.100000000000001" customHeight="1" x14ac:dyDescent="0.25">
      <c r="A5" s="2" t="s">
        <v>844</v>
      </c>
      <c r="B5" s="2" t="s">
        <v>852</v>
      </c>
      <c r="C5" s="4">
        <v>20.88</v>
      </c>
      <c r="D5" s="4">
        <v>20.86</v>
      </c>
      <c r="E5" s="4">
        <v>21.33</v>
      </c>
      <c r="F5" s="5">
        <v>21.1</v>
      </c>
      <c r="G5" s="6">
        <v>-1.0426540284360304E-2</v>
      </c>
      <c r="H5" s="4" t="s">
        <v>853</v>
      </c>
      <c r="I5" s="5">
        <v>1.71</v>
      </c>
      <c r="J5" s="4">
        <v>13.75</v>
      </c>
      <c r="K5" s="4">
        <v>19.170000000000002</v>
      </c>
      <c r="L5" s="4">
        <f t="shared" si="0"/>
        <v>17.061300000000003</v>
      </c>
      <c r="M5" s="4" t="b">
        <f t="shared" si="1"/>
        <v>0</v>
      </c>
    </row>
    <row r="6" spans="1:13" ht="20.100000000000001" customHeight="1" x14ac:dyDescent="0.25">
      <c r="A6" s="2" t="s">
        <v>845</v>
      </c>
      <c r="B6" s="2" t="s">
        <v>854</v>
      </c>
      <c r="C6" s="20">
        <v>15.36</v>
      </c>
      <c r="D6" s="20">
        <v>15.31</v>
      </c>
      <c r="E6" s="20">
        <v>15.79</v>
      </c>
      <c r="F6" s="5">
        <v>15.39</v>
      </c>
      <c r="G6" s="26">
        <v>-1.9493177387914968E-3</v>
      </c>
      <c r="H6" s="6" t="s">
        <v>855</v>
      </c>
      <c r="I6" s="5">
        <v>0.65</v>
      </c>
      <c r="J6" s="4">
        <v>15.72</v>
      </c>
      <c r="K6" s="4">
        <v>14.29</v>
      </c>
      <c r="L6" s="4">
        <f t="shared" si="0"/>
        <v>12.7181</v>
      </c>
      <c r="M6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6">
    <cfRule type="colorScale" priority="74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M6"/>
  <sheetViews>
    <sheetView workbookViewId="0">
      <selection activeCell="J17" sqref="J17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2" t="s">
        <v>897</v>
      </c>
      <c r="B2" s="2" t="s">
        <v>900</v>
      </c>
      <c r="C2" s="4">
        <v>46.39</v>
      </c>
      <c r="D2" s="4">
        <v>46.08</v>
      </c>
      <c r="E2" s="4">
        <v>47.15</v>
      </c>
      <c r="F2" s="5">
        <v>48.7</v>
      </c>
      <c r="G2" s="6">
        <v>-4.7433264887063696E-2</v>
      </c>
      <c r="H2" s="4" t="s">
        <v>901</v>
      </c>
      <c r="I2" s="5">
        <v>2.87</v>
      </c>
      <c r="J2" s="4">
        <v>15.99</v>
      </c>
      <c r="K2" s="4">
        <v>47.93</v>
      </c>
      <c r="L2" s="77">
        <f t="shared" ref="L2:L6" si="0">K2*0.89</f>
        <v>42.657699999999998</v>
      </c>
      <c r="M2" s="78" t="b">
        <f t="shared" ref="M2:M6" si="1">L2&gt;C2</f>
        <v>0</v>
      </c>
    </row>
    <row r="3" spans="1:13" ht="20.100000000000001" customHeight="1" x14ac:dyDescent="0.25">
      <c r="A3" s="2" t="s">
        <v>898</v>
      </c>
      <c r="B3" s="2" t="s">
        <v>902</v>
      </c>
      <c r="C3" s="4">
        <v>70.010000000000005</v>
      </c>
      <c r="D3" s="4">
        <v>69.989999999999995</v>
      </c>
      <c r="E3" s="4">
        <v>71.900000000000006</v>
      </c>
      <c r="F3" s="5">
        <v>72.709999999999994</v>
      </c>
      <c r="G3" s="6">
        <v>-3.7133819282079338E-2</v>
      </c>
      <c r="H3" s="4" t="s">
        <v>903</v>
      </c>
      <c r="I3" s="5">
        <v>2.06</v>
      </c>
      <c r="J3" s="4">
        <v>19.98</v>
      </c>
      <c r="K3" s="4">
        <v>74.239999999999995</v>
      </c>
      <c r="L3" s="77">
        <f t="shared" si="0"/>
        <v>66.073599999999999</v>
      </c>
      <c r="M3" s="4" t="b">
        <f t="shared" si="1"/>
        <v>0</v>
      </c>
    </row>
    <row r="4" spans="1:13" ht="20.100000000000001" customHeight="1" x14ac:dyDescent="0.25">
      <c r="A4" s="81" t="s">
        <v>162</v>
      </c>
      <c r="B4" s="2" t="s">
        <v>171</v>
      </c>
      <c r="C4" s="4">
        <v>94.42</v>
      </c>
      <c r="D4" s="4">
        <v>94.13</v>
      </c>
      <c r="E4" s="4">
        <v>94.96</v>
      </c>
      <c r="F4" s="5">
        <v>94.26</v>
      </c>
      <c r="G4" s="6">
        <v>1.6974326331423359E-3</v>
      </c>
      <c r="H4" s="4" t="s">
        <v>780</v>
      </c>
      <c r="I4" s="5">
        <v>1.51</v>
      </c>
      <c r="J4" s="4">
        <v>16.97</v>
      </c>
      <c r="K4" s="4">
        <v>98.43</v>
      </c>
      <c r="L4" s="77">
        <f t="shared" si="0"/>
        <v>87.602700000000013</v>
      </c>
      <c r="M4" s="4" t="b">
        <f t="shared" si="1"/>
        <v>0</v>
      </c>
    </row>
    <row r="5" spans="1:13" ht="20.100000000000001" customHeight="1" x14ac:dyDescent="0.25">
      <c r="A5" s="71" t="s">
        <v>905</v>
      </c>
      <c r="B5" s="71" t="s">
        <v>906</v>
      </c>
      <c r="C5" s="72">
        <v>9.48</v>
      </c>
      <c r="D5" s="72">
        <v>9.39</v>
      </c>
      <c r="E5" s="72">
        <v>9.5</v>
      </c>
      <c r="F5" s="73">
        <v>9.2799999999999994</v>
      </c>
      <c r="G5" s="74">
        <v>2.155172413793115E-2</v>
      </c>
      <c r="H5" s="72" t="s">
        <v>907</v>
      </c>
      <c r="I5" s="73" t="s">
        <v>39</v>
      </c>
      <c r="J5" s="72">
        <v>44.09</v>
      </c>
      <c r="K5" s="72">
        <v>9.7100000000000009</v>
      </c>
      <c r="L5" s="101">
        <f>K5*0.89</f>
        <v>8.6419000000000015</v>
      </c>
      <c r="M5" s="102" t="b">
        <f>L5&gt;C5</f>
        <v>0</v>
      </c>
    </row>
    <row r="6" spans="1:13" ht="20.100000000000001" customHeight="1" x14ac:dyDescent="0.25">
      <c r="A6" s="2" t="s">
        <v>899</v>
      </c>
      <c r="B6" s="2" t="s">
        <v>904</v>
      </c>
      <c r="C6" s="4">
        <v>35.61</v>
      </c>
      <c r="D6" s="4">
        <v>35.36</v>
      </c>
      <c r="E6" s="4">
        <v>36.909999999999997</v>
      </c>
      <c r="F6" s="5">
        <v>37.049999999999997</v>
      </c>
      <c r="G6" s="6">
        <v>-3.8866396761133543E-2</v>
      </c>
      <c r="H6" s="4" t="s">
        <v>783</v>
      </c>
      <c r="I6" s="5" t="s">
        <v>39</v>
      </c>
      <c r="J6" s="4">
        <v>16.04</v>
      </c>
      <c r="K6" s="4">
        <v>45.45</v>
      </c>
      <c r="L6" s="77">
        <f t="shared" si="0"/>
        <v>40.450500000000005</v>
      </c>
      <c r="M6" s="4" t="b">
        <f t="shared" si="1"/>
        <v>1</v>
      </c>
    </row>
  </sheetData>
  <conditionalFormatting sqref="G1:G6">
    <cfRule type="colorScale" priority="8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10"/>
  <sheetViews>
    <sheetView workbookViewId="0">
      <selection activeCell="F17" sqref="F17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2" t="s">
        <v>214</v>
      </c>
      <c r="B2" s="2" t="s">
        <v>218</v>
      </c>
      <c r="C2" s="4">
        <v>153.81</v>
      </c>
      <c r="D2" s="4">
        <v>152.99</v>
      </c>
      <c r="E2" s="4">
        <v>153.93</v>
      </c>
      <c r="F2" s="5">
        <v>152.84</v>
      </c>
      <c r="G2" s="6">
        <v>6.3465061502224474E-3</v>
      </c>
      <c r="H2" s="4" t="s">
        <v>622</v>
      </c>
      <c r="I2" s="5">
        <v>1.99</v>
      </c>
      <c r="J2" s="4">
        <v>16.36</v>
      </c>
      <c r="K2" s="4">
        <v>140.78</v>
      </c>
      <c r="L2" s="77">
        <f t="shared" ref="L2:L10" si="0">K2*0.89</f>
        <v>125.2942</v>
      </c>
      <c r="M2" s="78" t="b">
        <f t="shared" ref="M2:M10" si="1">L2&gt;C2</f>
        <v>0</v>
      </c>
    </row>
    <row r="3" spans="1:13" ht="20.100000000000001" customHeight="1" x14ac:dyDescent="0.25">
      <c r="A3" s="2" t="s">
        <v>215</v>
      </c>
      <c r="B3" s="2" t="s">
        <v>219</v>
      </c>
      <c r="C3" s="4">
        <v>213.24</v>
      </c>
      <c r="D3" s="4">
        <v>212.06</v>
      </c>
      <c r="E3" s="4">
        <v>213.62</v>
      </c>
      <c r="F3" s="5">
        <v>211.83</v>
      </c>
      <c r="G3" s="6">
        <v>6.656280980031141E-3</v>
      </c>
      <c r="H3" s="4" t="s">
        <v>623</v>
      </c>
      <c r="I3" s="5">
        <v>1.7</v>
      </c>
      <c r="J3" s="4">
        <v>19.18</v>
      </c>
      <c r="K3" s="4">
        <v>208.65</v>
      </c>
      <c r="L3" s="77">
        <f t="shared" si="0"/>
        <v>185.6985</v>
      </c>
      <c r="M3" s="4" t="b">
        <f t="shared" si="1"/>
        <v>0</v>
      </c>
    </row>
    <row r="4" spans="1:13" ht="20.100000000000001" customHeight="1" x14ac:dyDescent="0.25">
      <c r="A4" s="2" t="s">
        <v>216</v>
      </c>
      <c r="B4" s="2" t="s">
        <v>220</v>
      </c>
      <c r="C4" s="4">
        <v>140.13</v>
      </c>
      <c r="D4" s="4">
        <v>139.26</v>
      </c>
      <c r="E4" s="4">
        <v>140.65</v>
      </c>
      <c r="F4" s="5">
        <v>139.96</v>
      </c>
      <c r="G4" s="6">
        <v>1.214632752214829E-3</v>
      </c>
      <c r="H4" s="4" t="s">
        <v>624</v>
      </c>
      <c r="I4" s="5">
        <v>2.09</v>
      </c>
      <c r="J4" s="4">
        <v>19.579999999999998</v>
      </c>
      <c r="K4" s="4">
        <v>131.63</v>
      </c>
      <c r="L4" s="77">
        <f t="shared" si="0"/>
        <v>117.1507</v>
      </c>
      <c r="M4" s="4" t="b">
        <f t="shared" si="1"/>
        <v>0</v>
      </c>
    </row>
    <row r="5" spans="1:13" ht="20.100000000000001" customHeight="1" x14ac:dyDescent="0.25">
      <c r="A5" s="2" t="s">
        <v>217</v>
      </c>
      <c r="B5" s="2" t="s">
        <v>221</v>
      </c>
      <c r="C5" s="4">
        <v>243.32</v>
      </c>
      <c r="D5" s="4">
        <v>242.26</v>
      </c>
      <c r="E5" s="4">
        <v>245</v>
      </c>
      <c r="F5" s="5">
        <v>243.61</v>
      </c>
      <c r="G5" s="6">
        <v>-1.190427322359593E-3</v>
      </c>
      <c r="H5" s="4" t="s">
        <v>625</v>
      </c>
      <c r="I5" s="5">
        <v>2.71</v>
      </c>
      <c r="J5" s="4">
        <v>20.260000000000002</v>
      </c>
      <c r="K5" s="4">
        <v>237.42</v>
      </c>
      <c r="L5" s="77">
        <f t="shared" si="0"/>
        <v>211.3038</v>
      </c>
      <c r="M5" s="4" t="b">
        <f t="shared" si="1"/>
        <v>0</v>
      </c>
    </row>
    <row r="6" spans="1:13" ht="20.100000000000001" customHeight="1" x14ac:dyDescent="0.25">
      <c r="A6" s="2" t="s">
        <v>308</v>
      </c>
      <c r="B6" s="2" t="s">
        <v>309</v>
      </c>
      <c r="C6" s="4">
        <v>85.07</v>
      </c>
      <c r="D6" s="4">
        <v>84.53</v>
      </c>
      <c r="E6" s="4">
        <v>85.6</v>
      </c>
      <c r="F6" s="5">
        <v>84.13</v>
      </c>
      <c r="G6" s="6">
        <v>1.1173184357541874E-2</v>
      </c>
      <c r="H6" s="4" t="s">
        <v>569</v>
      </c>
      <c r="I6" s="5">
        <v>1.57</v>
      </c>
      <c r="J6" s="4">
        <v>16.03</v>
      </c>
      <c r="K6" s="4">
        <v>87.78</v>
      </c>
      <c r="L6" s="77">
        <f t="shared" si="0"/>
        <v>78.124200000000002</v>
      </c>
      <c r="M6" s="4" t="b">
        <f t="shared" si="1"/>
        <v>0</v>
      </c>
    </row>
    <row r="7" spans="1:13" ht="20.100000000000001" customHeight="1" x14ac:dyDescent="0.25">
      <c r="A7" s="2" t="s">
        <v>619</v>
      </c>
      <c r="B7" s="2" t="s">
        <v>626</v>
      </c>
      <c r="C7" s="4">
        <v>93.69</v>
      </c>
      <c r="D7" s="4">
        <v>93.02</v>
      </c>
      <c r="E7" s="4">
        <v>93.71</v>
      </c>
      <c r="F7" s="5">
        <v>92.85</v>
      </c>
      <c r="G7" s="6">
        <v>9.0468497576737042E-3</v>
      </c>
      <c r="H7" s="4" t="s">
        <v>627</v>
      </c>
      <c r="I7" s="5">
        <v>2.2799999999999998</v>
      </c>
      <c r="J7" s="4">
        <v>36.29</v>
      </c>
      <c r="K7" s="4">
        <v>81.63</v>
      </c>
      <c r="L7" s="77">
        <f t="shared" si="0"/>
        <v>72.650700000000001</v>
      </c>
      <c r="M7" s="4" t="b">
        <f t="shared" si="1"/>
        <v>0</v>
      </c>
    </row>
    <row r="8" spans="1:13" ht="20.100000000000001" customHeight="1" x14ac:dyDescent="0.25">
      <c r="A8" s="2" t="s">
        <v>926</v>
      </c>
      <c r="B8" s="2" t="s">
        <v>927</v>
      </c>
      <c r="C8" s="4">
        <v>41.2</v>
      </c>
      <c r="D8" s="4">
        <v>40.42</v>
      </c>
      <c r="E8" s="4">
        <v>41.21</v>
      </c>
      <c r="F8" s="5">
        <v>40.75</v>
      </c>
      <c r="G8" s="6">
        <v>1.1042944785276143E-2</v>
      </c>
      <c r="H8" s="4" t="s">
        <v>928</v>
      </c>
      <c r="I8" s="5">
        <v>3.14</v>
      </c>
      <c r="J8" s="4">
        <v>10.83</v>
      </c>
      <c r="K8" s="4">
        <v>47.82</v>
      </c>
      <c r="L8" s="103">
        <f>K8*0.89</f>
        <v>42.559800000000003</v>
      </c>
      <c r="M8" s="20" t="b">
        <f>L8&gt;C8</f>
        <v>1</v>
      </c>
    </row>
    <row r="9" spans="1:13" ht="20.100000000000001" customHeight="1" x14ac:dyDescent="0.25">
      <c r="A9" s="2" t="s">
        <v>620</v>
      </c>
      <c r="B9" s="2" t="s">
        <v>628</v>
      </c>
      <c r="C9" s="4">
        <v>14.44</v>
      </c>
      <c r="D9" s="4">
        <v>14.28</v>
      </c>
      <c r="E9" s="4">
        <v>14.47</v>
      </c>
      <c r="F9" s="5">
        <v>14.27</v>
      </c>
      <c r="G9" s="6">
        <v>1.1913104414856338E-2</v>
      </c>
      <c r="H9" s="4" t="s">
        <v>629</v>
      </c>
      <c r="I9" s="5">
        <v>1.7</v>
      </c>
      <c r="J9" s="4">
        <v>19.940000000000001</v>
      </c>
      <c r="K9" s="4">
        <v>12.28</v>
      </c>
      <c r="L9" s="77">
        <f t="shared" si="0"/>
        <v>10.9292</v>
      </c>
      <c r="M9" s="4" t="b">
        <f t="shared" si="1"/>
        <v>0</v>
      </c>
    </row>
    <row r="10" spans="1:13" ht="20.100000000000001" customHeight="1" x14ac:dyDescent="0.25">
      <c r="A10" s="2" t="s">
        <v>621</v>
      </c>
      <c r="B10" s="2" t="s">
        <v>630</v>
      </c>
      <c r="C10" s="4">
        <v>109.27</v>
      </c>
      <c r="D10" s="4">
        <v>108</v>
      </c>
      <c r="E10" s="4">
        <v>109.34</v>
      </c>
      <c r="F10" s="5">
        <v>107.67</v>
      </c>
      <c r="G10" s="6">
        <v>1.4860221045788003E-2</v>
      </c>
      <c r="H10" s="4" t="s">
        <v>631</v>
      </c>
      <c r="I10" s="5" t="s">
        <v>39</v>
      </c>
      <c r="J10" s="4">
        <v>20.53</v>
      </c>
      <c r="K10" s="4">
        <v>95.92</v>
      </c>
      <c r="L10" s="77">
        <f t="shared" si="0"/>
        <v>85.368800000000007</v>
      </c>
      <c r="M10" s="4" t="b">
        <f t="shared" si="1"/>
        <v>0</v>
      </c>
    </row>
  </sheetData>
  <conditionalFormatting sqref="G1:G10">
    <cfRule type="colorScale" priority="8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"/>
  <sheetViews>
    <sheetView workbookViewId="0">
      <pane ySplit="1" topLeftCell="A2" activePane="bottomLeft" state="frozen"/>
      <selection activeCell="E18" sqref="E18"/>
      <selection pane="bottomLeft" activeCell="A3" sqref="A3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2" t="s">
        <v>3</v>
      </c>
      <c r="B2" s="2" t="s">
        <v>53</v>
      </c>
      <c r="C2" s="4">
        <v>65.239999999999995</v>
      </c>
      <c r="D2" s="4">
        <v>64.48</v>
      </c>
      <c r="E2" s="4">
        <v>65.37</v>
      </c>
      <c r="F2" s="5">
        <v>64.41</v>
      </c>
      <c r="G2" s="6">
        <v>1.2886197795373363E-2</v>
      </c>
      <c r="H2" s="4" t="s">
        <v>632</v>
      </c>
      <c r="I2" s="5">
        <v>3.48</v>
      </c>
      <c r="J2" s="4">
        <v>16.100000000000001</v>
      </c>
      <c r="K2" s="4">
        <v>65.89</v>
      </c>
      <c r="L2" s="77">
        <f t="shared" ref="L2:L12" si="0">K2*0.89</f>
        <v>58.642099999999999</v>
      </c>
      <c r="M2" s="78" t="b">
        <f t="shared" ref="M2:M12" si="1">L2&gt;C2</f>
        <v>0</v>
      </c>
    </row>
    <row r="3" spans="1:13" ht="20.100000000000001" customHeight="1" x14ac:dyDescent="0.25">
      <c r="A3" s="81" t="s">
        <v>0</v>
      </c>
      <c r="B3" s="2" t="s">
        <v>54</v>
      </c>
      <c r="C3" s="4">
        <v>12.48</v>
      </c>
      <c r="D3" s="4">
        <v>12.2</v>
      </c>
      <c r="E3" s="4">
        <v>12.57</v>
      </c>
      <c r="F3" s="5">
        <v>12.13</v>
      </c>
      <c r="G3" s="6">
        <v>2.8854080791426186E-2</v>
      </c>
      <c r="H3" s="4" t="s">
        <v>633</v>
      </c>
      <c r="I3" s="5" t="s">
        <v>39</v>
      </c>
      <c r="J3" s="4" t="s">
        <v>39</v>
      </c>
      <c r="K3" s="4">
        <v>14.16</v>
      </c>
      <c r="L3" s="4">
        <f t="shared" si="0"/>
        <v>12.602400000000001</v>
      </c>
      <c r="M3" s="4" t="b">
        <f t="shared" si="1"/>
        <v>1</v>
      </c>
    </row>
    <row r="4" spans="1:13" ht="20.100000000000001" customHeight="1" x14ac:dyDescent="0.25">
      <c r="A4" s="2" t="s">
        <v>1</v>
      </c>
      <c r="B4" s="2" t="s">
        <v>55</v>
      </c>
      <c r="C4" s="4">
        <v>12.47</v>
      </c>
      <c r="D4" s="4">
        <v>12.28</v>
      </c>
      <c r="E4" s="4">
        <v>12.78</v>
      </c>
      <c r="F4" s="5">
        <v>12.28</v>
      </c>
      <c r="G4" s="6">
        <v>1.5472312703583168E-2</v>
      </c>
      <c r="H4" s="4" t="s">
        <v>634</v>
      </c>
      <c r="I4" s="5">
        <v>0</v>
      </c>
      <c r="J4" s="4" t="s">
        <v>39</v>
      </c>
      <c r="K4" s="4">
        <v>15.17</v>
      </c>
      <c r="L4" s="4">
        <f t="shared" si="0"/>
        <v>13.501300000000001</v>
      </c>
      <c r="M4" s="4" t="b">
        <f t="shared" si="1"/>
        <v>1</v>
      </c>
    </row>
    <row r="5" spans="1:13" ht="20.100000000000001" customHeight="1" x14ac:dyDescent="0.25">
      <c r="A5" s="2" t="s">
        <v>4</v>
      </c>
      <c r="B5" s="2" t="s">
        <v>56</v>
      </c>
      <c r="C5" s="4">
        <v>34.07</v>
      </c>
      <c r="D5" s="4">
        <v>33.72</v>
      </c>
      <c r="E5" s="4">
        <v>34.21</v>
      </c>
      <c r="F5" s="5">
        <v>33.81</v>
      </c>
      <c r="G5" s="6">
        <v>7.6900325347529722E-3</v>
      </c>
      <c r="H5" s="4" t="s">
        <v>635</v>
      </c>
      <c r="I5" s="5">
        <v>3.76</v>
      </c>
      <c r="J5" s="4">
        <v>22.8</v>
      </c>
      <c r="K5" s="4">
        <v>34.75</v>
      </c>
      <c r="L5" s="4">
        <f t="shared" si="0"/>
        <v>30.927500000000002</v>
      </c>
      <c r="M5" s="4" t="b">
        <f t="shared" si="1"/>
        <v>0</v>
      </c>
    </row>
    <row r="6" spans="1:13" ht="20.100000000000001" customHeight="1" x14ac:dyDescent="0.25">
      <c r="A6" s="2" t="s">
        <v>6</v>
      </c>
      <c r="B6" s="2" t="s">
        <v>57</v>
      </c>
      <c r="C6" s="4">
        <v>32.82</v>
      </c>
      <c r="D6" s="4">
        <v>32.49</v>
      </c>
      <c r="E6" s="4">
        <v>33</v>
      </c>
      <c r="F6" s="5">
        <v>32.450000000000003</v>
      </c>
      <c r="G6" s="6">
        <v>1.140215716486895E-2</v>
      </c>
      <c r="H6" s="4" t="s">
        <v>636</v>
      </c>
      <c r="I6" s="5">
        <v>4.4400000000000004</v>
      </c>
      <c r="J6" s="4" t="s">
        <v>39</v>
      </c>
      <c r="K6" s="4">
        <v>34.17</v>
      </c>
      <c r="L6" s="4">
        <f t="shared" si="0"/>
        <v>30.411300000000001</v>
      </c>
      <c r="M6" s="4" t="b">
        <f t="shared" si="1"/>
        <v>0</v>
      </c>
    </row>
    <row r="7" spans="1:13" ht="20.100000000000001" customHeight="1" x14ac:dyDescent="0.25">
      <c r="A7" s="2" t="s">
        <v>2</v>
      </c>
      <c r="B7" s="2" t="s">
        <v>58</v>
      </c>
      <c r="C7" s="4">
        <v>11.98</v>
      </c>
      <c r="D7" s="4">
        <v>11.71</v>
      </c>
      <c r="E7" s="4">
        <v>12.08</v>
      </c>
      <c r="F7" s="5">
        <v>11.6</v>
      </c>
      <c r="G7" s="6">
        <v>3.2758620689655238E-2</v>
      </c>
      <c r="H7" s="4" t="s">
        <v>637</v>
      </c>
      <c r="I7" s="5">
        <v>1.03</v>
      </c>
      <c r="J7" s="4" t="s">
        <v>39</v>
      </c>
      <c r="K7" s="4">
        <v>13.88</v>
      </c>
      <c r="L7" s="4">
        <f t="shared" si="0"/>
        <v>12.353200000000001</v>
      </c>
      <c r="M7" s="4" t="b">
        <f t="shared" si="1"/>
        <v>1</v>
      </c>
    </row>
    <row r="8" spans="1:13" ht="20.100000000000001" customHeight="1" x14ac:dyDescent="0.25">
      <c r="A8" s="2" t="s">
        <v>7</v>
      </c>
      <c r="B8" s="2" t="s">
        <v>59</v>
      </c>
      <c r="C8" s="4">
        <v>42.98</v>
      </c>
      <c r="D8" s="4">
        <v>42.46</v>
      </c>
      <c r="E8" s="4">
        <v>43.02</v>
      </c>
      <c r="F8" s="5">
        <v>42.59</v>
      </c>
      <c r="G8" s="6">
        <v>9.1570791265553758E-3</v>
      </c>
      <c r="H8" s="4" t="s">
        <v>638</v>
      </c>
      <c r="I8" s="5">
        <v>3.85</v>
      </c>
      <c r="J8" s="4">
        <v>15.52</v>
      </c>
      <c r="K8" s="4">
        <v>44.96</v>
      </c>
      <c r="L8" s="4">
        <f t="shared" si="0"/>
        <v>40.014400000000002</v>
      </c>
      <c r="M8" s="4" t="b">
        <f t="shared" si="1"/>
        <v>0</v>
      </c>
    </row>
    <row r="9" spans="1:13" ht="20.100000000000001" customHeight="1" x14ac:dyDescent="0.25">
      <c r="A9" s="2" t="s">
        <v>5</v>
      </c>
      <c r="B9" s="2" t="s">
        <v>60</v>
      </c>
      <c r="C9" s="4">
        <v>13.8</v>
      </c>
      <c r="D9" s="4">
        <v>13.73</v>
      </c>
      <c r="E9" s="4">
        <v>13.85</v>
      </c>
      <c r="F9" s="5">
        <v>13.8</v>
      </c>
      <c r="G9" s="6">
        <v>0</v>
      </c>
      <c r="H9" s="4" t="s">
        <v>639</v>
      </c>
      <c r="I9" s="5" t="s">
        <v>39</v>
      </c>
      <c r="J9" s="4" t="s">
        <v>39</v>
      </c>
      <c r="K9" s="4">
        <v>11.64</v>
      </c>
      <c r="L9" s="4">
        <f t="shared" si="0"/>
        <v>10.3596</v>
      </c>
      <c r="M9" s="4" t="b">
        <f t="shared" si="1"/>
        <v>0</v>
      </c>
    </row>
    <row r="10" spans="1:13" ht="20.100000000000001" customHeight="1" x14ac:dyDescent="0.25">
      <c r="A10" s="2" t="s">
        <v>271</v>
      </c>
      <c r="B10" s="2" t="s">
        <v>272</v>
      </c>
      <c r="C10" s="4">
        <v>123.13</v>
      </c>
      <c r="D10" s="4">
        <v>121.31</v>
      </c>
      <c r="E10" s="4">
        <v>123.69</v>
      </c>
      <c r="F10" s="5">
        <v>121</v>
      </c>
      <c r="G10" s="6">
        <v>1.7603305785123931E-2</v>
      </c>
      <c r="H10" s="4" t="s">
        <v>640</v>
      </c>
      <c r="I10" s="5">
        <v>2.87</v>
      </c>
      <c r="J10" s="4">
        <v>22.03</v>
      </c>
      <c r="K10" s="4">
        <v>121.16</v>
      </c>
      <c r="L10" s="4">
        <f t="shared" si="0"/>
        <v>107.83239999999999</v>
      </c>
      <c r="M10" s="4" t="b">
        <f t="shared" si="1"/>
        <v>0</v>
      </c>
    </row>
    <row r="11" spans="1:13" ht="20.100000000000001" customHeight="1" x14ac:dyDescent="0.25">
      <c r="A11" s="2" t="s">
        <v>273</v>
      </c>
      <c r="B11" s="2" t="s">
        <v>274</v>
      </c>
      <c r="C11" s="4">
        <v>22.63</v>
      </c>
      <c r="D11" s="4">
        <v>22.42</v>
      </c>
      <c r="E11" s="4">
        <v>22.81</v>
      </c>
      <c r="F11" s="5">
        <v>22.44</v>
      </c>
      <c r="G11" s="6">
        <v>8.4670231729054232E-3</v>
      </c>
      <c r="H11" s="4" t="s">
        <v>641</v>
      </c>
      <c r="I11" s="5">
        <v>4.59</v>
      </c>
      <c r="J11" s="4" t="s">
        <v>39</v>
      </c>
      <c r="K11" s="4">
        <v>21.94</v>
      </c>
      <c r="L11" s="4">
        <f t="shared" si="0"/>
        <v>19.526600000000002</v>
      </c>
      <c r="M11" s="4" t="b">
        <f t="shared" si="1"/>
        <v>0</v>
      </c>
    </row>
    <row r="12" spans="1:13" ht="20.100000000000001" customHeight="1" x14ac:dyDescent="0.25">
      <c r="A12" s="28" t="s">
        <v>283</v>
      </c>
      <c r="B12" s="28" t="s">
        <v>284</v>
      </c>
      <c r="C12" s="29">
        <v>80.239999999999995</v>
      </c>
      <c r="D12" s="29">
        <v>79.22</v>
      </c>
      <c r="E12" s="29">
        <v>80.28</v>
      </c>
      <c r="F12" s="30">
        <v>79.33</v>
      </c>
      <c r="G12" s="31">
        <v>1.1471070213034118E-2</v>
      </c>
      <c r="H12" s="29" t="s">
        <v>642</v>
      </c>
      <c r="I12" s="30">
        <v>4.3</v>
      </c>
      <c r="J12" s="29">
        <v>21.21</v>
      </c>
      <c r="K12" s="29">
        <v>80.53</v>
      </c>
      <c r="L12" s="4">
        <f t="shared" si="0"/>
        <v>71.671700000000001</v>
      </c>
      <c r="M12" s="4" t="b">
        <f t="shared" si="1"/>
        <v>0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8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59" t="s">
        <v>80</v>
      </c>
      <c r="B2" s="2" t="s">
        <v>81</v>
      </c>
      <c r="C2" s="4">
        <v>74.62</v>
      </c>
      <c r="D2" s="4">
        <v>74.209999999999994</v>
      </c>
      <c r="E2" s="4">
        <v>75.430000000000007</v>
      </c>
      <c r="F2" s="5">
        <v>75.09</v>
      </c>
      <c r="G2" s="6">
        <v>-6.2591556798508299E-3</v>
      </c>
      <c r="H2" s="4" t="s">
        <v>643</v>
      </c>
      <c r="I2" s="5">
        <v>1.51</v>
      </c>
      <c r="J2" s="4">
        <v>14.78</v>
      </c>
      <c r="K2" s="4">
        <v>68.61</v>
      </c>
      <c r="L2" s="79">
        <f t="shared" ref="L2:L8" si="0">K2*0.89</f>
        <v>61.062899999999999</v>
      </c>
      <c r="M2" s="80" t="b">
        <f t="shared" ref="M2:M8" si="1">L2&gt;C2</f>
        <v>0</v>
      </c>
    </row>
    <row r="3" spans="1:13" ht="20.100000000000001" customHeight="1" x14ac:dyDescent="0.25">
      <c r="A3" s="1" t="s">
        <v>439</v>
      </c>
      <c r="B3" s="2" t="s">
        <v>443</v>
      </c>
      <c r="C3" s="4">
        <v>107.73</v>
      </c>
      <c r="D3" s="4">
        <v>106.82</v>
      </c>
      <c r="E3" s="4">
        <v>108</v>
      </c>
      <c r="F3" s="5">
        <v>106.73</v>
      </c>
      <c r="G3" s="6">
        <v>9.3694368968424997E-3</v>
      </c>
      <c r="H3" s="4" t="s">
        <v>644</v>
      </c>
      <c r="I3" s="5">
        <v>2.14</v>
      </c>
      <c r="J3" s="4">
        <v>12.56</v>
      </c>
      <c r="K3" s="4">
        <v>101.29</v>
      </c>
      <c r="L3" s="70">
        <f t="shared" si="0"/>
        <v>90.148100000000014</v>
      </c>
      <c r="M3" s="70" t="b">
        <f t="shared" si="1"/>
        <v>0</v>
      </c>
    </row>
    <row r="4" spans="1:13" ht="20.100000000000001" customHeight="1" x14ac:dyDescent="0.25">
      <c r="A4" s="1" t="s">
        <v>75</v>
      </c>
      <c r="B4" s="2" t="s">
        <v>357</v>
      </c>
      <c r="C4" s="4">
        <v>173.11</v>
      </c>
      <c r="D4" s="4">
        <v>168.8</v>
      </c>
      <c r="E4" s="4">
        <v>177.34</v>
      </c>
      <c r="F4" s="5">
        <v>177.09</v>
      </c>
      <c r="G4" s="6">
        <v>-2.2474448020780337E-2</v>
      </c>
      <c r="H4" s="4" t="s">
        <v>645</v>
      </c>
      <c r="I4" s="5">
        <v>1.1299999999999999</v>
      </c>
      <c r="J4" s="4" t="s">
        <v>39</v>
      </c>
      <c r="K4" s="4">
        <v>154.62</v>
      </c>
      <c r="L4" s="70">
        <f t="shared" si="0"/>
        <v>137.61180000000002</v>
      </c>
      <c r="M4" s="70" t="b">
        <f t="shared" si="1"/>
        <v>0</v>
      </c>
    </row>
    <row r="5" spans="1:13" ht="20.100000000000001" customHeight="1" x14ac:dyDescent="0.25">
      <c r="A5" s="2" t="s">
        <v>440</v>
      </c>
      <c r="B5" s="2" t="s">
        <v>444</v>
      </c>
      <c r="C5" s="4">
        <v>63.15</v>
      </c>
      <c r="D5" s="4">
        <v>62.91</v>
      </c>
      <c r="E5" s="4">
        <v>63.53</v>
      </c>
      <c r="F5" s="5">
        <v>63.06</v>
      </c>
      <c r="G5" s="6">
        <v>1.4272121788772012E-3</v>
      </c>
      <c r="H5" s="4" t="s">
        <v>646</v>
      </c>
      <c r="I5" s="5">
        <v>2.66</v>
      </c>
      <c r="J5" s="4">
        <v>29.83</v>
      </c>
      <c r="K5" s="4">
        <v>58.36</v>
      </c>
      <c r="L5" s="70">
        <f t="shared" si="0"/>
        <v>51.940399999999997</v>
      </c>
      <c r="M5" s="70" t="b">
        <f t="shared" si="1"/>
        <v>0</v>
      </c>
    </row>
    <row r="6" spans="1:13" ht="20.100000000000001" customHeight="1" x14ac:dyDescent="0.25">
      <c r="A6" s="2" t="s">
        <v>441</v>
      </c>
      <c r="B6" s="2" t="s">
        <v>445</v>
      </c>
      <c r="C6" s="4">
        <v>69.680000000000007</v>
      </c>
      <c r="D6" s="4">
        <v>69.260000000000005</v>
      </c>
      <c r="E6" s="4">
        <v>70.099999999999994</v>
      </c>
      <c r="F6" s="5">
        <v>69.7</v>
      </c>
      <c r="G6" s="6">
        <v>-2.8694404591099026E-4</v>
      </c>
      <c r="H6" s="4" t="s">
        <v>647</v>
      </c>
      <c r="I6" s="5">
        <v>2.1800000000000002</v>
      </c>
      <c r="J6" s="4">
        <v>23.48</v>
      </c>
      <c r="K6" s="4">
        <v>61.12</v>
      </c>
      <c r="L6" s="70">
        <f t="shared" si="0"/>
        <v>54.396799999999999</v>
      </c>
      <c r="M6" s="70" t="b">
        <f t="shared" si="1"/>
        <v>0</v>
      </c>
    </row>
    <row r="7" spans="1:13" ht="20.100000000000001" customHeight="1" x14ac:dyDescent="0.25">
      <c r="A7" s="2" t="s">
        <v>442</v>
      </c>
      <c r="B7" s="2" t="s">
        <v>446</v>
      </c>
      <c r="C7" s="4">
        <v>57.6</v>
      </c>
      <c r="D7" s="4">
        <v>57.15</v>
      </c>
      <c r="E7" s="4">
        <v>58.33</v>
      </c>
      <c r="F7" s="5">
        <v>57.75</v>
      </c>
      <c r="G7" s="6">
        <v>-2.5974025974025727E-3</v>
      </c>
      <c r="H7" s="4" t="s">
        <v>648</v>
      </c>
      <c r="I7" s="5" t="s">
        <v>39</v>
      </c>
      <c r="J7" s="4" t="s">
        <v>39</v>
      </c>
      <c r="K7" s="4">
        <v>51.69</v>
      </c>
      <c r="L7" s="70">
        <f t="shared" si="0"/>
        <v>46.004100000000001</v>
      </c>
      <c r="M7" s="70" t="b">
        <f t="shared" si="1"/>
        <v>0</v>
      </c>
    </row>
    <row r="8" spans="1:13" ht="20.100000000000001" customHeight="1" x14ac:dyDescent="0.25">
      <c r="A8" s="2" t="s">
        <v>77</v>
      </c>
      <c r="B8" s="2" t="s">
        <v>83</v>
      </c>
      <c r="C8" s="4">
        <v>63.35</v>
      </c>
      <c r="D8" s="4">
        <v>63.09</v>
      </c>
      <c r="E8" s="4">
        <v>63.7</v>
      </c>
      <c r="F8" s="5">
        <v>63.47</v>
      </c>
      <c r="G8" s="6">
        <v>-1.8906570033086095E-3</v>
      </c>
      <c r="H8" s="4" t="s">
        <v>649</v>
      </c>
      <c r="I8" s="5">
        <v>3.37</v>
      </c>
      <c r="J8" s="4">
        <v>18.55</v>
      </c>
      <c r="K8" s="4">
        <v>54.64</v>
      </c>
      <c r="L8" s="70">
        <f t="shared" si="0"/>
        <v>48.629600000000003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0"/>
  <sheetViews>
    <sheetView workbookViewId="0">
      <selection activeCell="L3" sqref="L3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2" t="s">
        <v>19</v>
      </c>
      <c r="B2" s="2" t="s">
        <v>38</v>
      </c>
      <c r="C2" s="4">
        <v>56.49</v>
      </c>
      <c r="D2" s="4">
        <v>54.12</v>
      </c>
      <c r="E2" s="4">
        <v>56.77</v>
      </c>
      <c r="F2" s="5">
        <v>53.54</v>
      </c>
      <c r="G2" s="6">
        <v>5.509899140829292E-2</v>
      </c>
      <c r="H2" s="4" t="s">
        <v>650</v>
      </c>
      <c r="I2" s="5">
        <v>0.36</v>
      </c>
      <c r="J2" s="4" t="s">
        <v>39</v>
      </c>
      <c r="K2" s="4">
        <v>50.09</v>
      </c>
      <c r="L2" s="79">
        <f t="shared" ref="L2:L17" si="0">K2*0.9</f>
        <v>45.081000000000003</v>
      </c>
      <c r="M2" s="80" t="b">
        <f t="shared" ref="M2:M17" si="1">L2&gt;C2</f>
        <v>0</v>
      </c>
    </row>
    <row r="3" spans="1:13" ht="20.100000000000001" customHeight="1" x14ac:dyDescent="0.25">
      <c r="A3" s="2" t="s">
        <v>21</v>
      </c>
      <c r="B3" s="2" t="s">
        <v>40</v>
      </c>
      <c r="C3" s="4">
        <v>6.6</v>
      </c>
      <c r="D3" s="4">
        <v>6.3</v>
      </c>
      <c r="E3" s="4">
        <v>6.7</v>
      </c>
      <c r="F3" s="5">
        <v>6.25</v>
      </c>
      <c r="G3" s="6">
        <v>5.5999999999999946E-2</v>
      </c>
      <c r="H3" s="4" t="s">
        <v>651</v>
      </c>
      <c r="I3" s="5">
        <v>0</v>
      </c>
      <c r="J3" s="4" t="s">
        <v>39</v>
      </c>
      <c r="K3" s="4">
        <v>4.7</v>
      </c>
      <c r="L3" s="4">
        <f t="shared" si="0"/>
        <v>4.2300000000000004</v>
      </c>
      <c r="M3" s="4" t="b">
        <f t="shared" si="1"/>
        <v>0</v>
      </c>
    </row>
    <row r="4" spans="1:13" ht="20.100000000000001" customHeight="1" x14ac:dyDescent="0.25">
      <c r="A4" s="2" t="s">
        <v>20</v>
      </c>
      <c r="B4" s="2" t="s">
        <v>41</v>
      </c>
      <c r="C4" s="4">
        <v>24.41</v>
      </c>
      <c r="D4" s="4">
        <v>24.37</v>
      </c>
      <c r="E4" s="4">
        <v>24.77</v>
      </c>
      <c r="F4" s="5">
        <v>24.46</v>
      </c>
      <c r="G4" s="6">
        <v>-2.0441537203598E-3</v>
      </c>
      <c r="H4" s="4" t="s">
        <v>652</v>
      </c>
      <c r="I4" s="5">
        <v>0.32</v>
      </c>
      <c r="J4" s="4" t="s">
        <v>39</v>
      </c>
      <c r="K4" s="4">
        <v>23.7</v>
      </c>
      <c r="L4" s="4">
        <f t="shared" si="0"/>
        <v>21.33</v>
      </c>
      <c r="M4" s="4" t="b">
        <f t="shared" si="1"/>
        <v>0</v>
      </c>
    </row>
    <row r="5" spans="1:13" ht="20.100000000000001" customHeight="1" x14ac:dyDescent="0.25">
      <c r="A5" s="2" t="s">
        <v>22</v>
      </c>
      <c r="B5" s="2" t="s">
        <v>42</v>
      </c>
      <c r="C5" s="4">
        <v>40.92</v>
      </c>
      <c r="D5" s="4">
        <v>40.82</v>
      </c>
      <c r="E5" s="4">
        <v>41.31</v>
      </c>
      <c r="F5" s="5">
        <v>40.6</v>
      </c>
      <c r="G5" s="6">
        <v>7.8817733990147847E-3</v>
      </c>
      <c r="H5" s="4" t="s">
        <v>653</v>
      </c>
      <c r="I5" s="5">
        <v>3.53</v>
      </c>
      <c r="J5" s="4" t="s">
        <v>39</v>
      </c>
      <c r="K5" s="4">
        <v>41.98</v>
      </c>
      <c r="L5" s="4">
        <f t="shared" si="0"/>
        <v>37.781999999999996</v>
      </c>
      <c r="M5" s="4" t="b">
        <f t="shared" si="1"/>
        <v>0</v>
      </c>
    </row>
    <row r="6" spans="1:13" ht="20.100000000000001" customHeight="1" x14ac:dyDescent="0.25">
      <c r="A6" s="2" t="s">
        <v>23</v>
      </c>
      <c r="B6" s="2" t="s">
        <v>43</v>
      </c>
      <c r="C6" s="4">
        <v>44.27</v>
      </c>
      <c r="D6" s="4">
        <v>44.04</v>
      </c>
      <c r="E6" s="4">
        <v>45.07</v>
      </c>
      <c r="F6" s="5">
        <v>43.7</v>
      </c>
      <c r="G6" s="6">
        <v>1.3043478260869571E-2</v>
      </c>
      <c r="H6" s="4" t="s">
        <v>654</v>
      </c>
      <c r="I6" s="5">
        <v>0.55000000000000004</v>
      </c>
      <c r="J6" s="4" t="s">
        <v>39</v>
      </c>
      <c r="K6" s="4">
        <v>33.450000000000003</v>
      </c>
      <c r="L6" s="4">
        <f t="shared" si="0"/>
        <v>30.105000000000004</v>
      </c>
      <c r="M6" s="4" t="b">
        <f t="shared" si="1"/>
        <v>0</v>
      </c>
    </row>
    <row r="7" spans="1:13" ht="20.100000000000001" customHeight="1" x14ac:dyDescent="0.25">
      <c r="A7" s="2" t="s">
        <v>24</v>
      </c>
      <c r="B7" s="2" t="s">
        <v>44</v>
      </c>
      <c r="C7" s="4">
        <v>88.91</v>
      </c>
      <c r="D7" s="4">
        <v>88.68</v>
      </c>
      <c r="E7" s="4">
        <v>89.5</v>
      </c>
      <c r="F7" s="5">
        <v>88.55</v>
      </c>
      <c r="G7" s="6">
        <v>4.0654997176736247E-3</v>
      </c>
      <c r="H7" s="4" t="s">
        <v>655</v>
      </c>
      <c r="I7" s="5">
        <v>0.74</v>
      </c>
      <c r="J7" s="4" t="s">
        <v>39</v>
      </c>
      <c r="K7" s="4">
        <v>80.099999999999994</v>
      </c>
      <c r="L7" s="4">
        <f t="shared" si="0"/>
        <v>72.09</v>
      </c>
      <c r="M7" s="4" t="b">
        <f t="shared" si="1"/>
        <v>0</v>
      </c>
    </row>
    <row r="8" spans="1:13" ht="20.100000000000001" customHeight="1" x14ac:dyDescent="0.25">
      <c r="A8" s="1" t="s">
        <v>18</v>
      </c>
      <c r="B8" s="2" t="s">
        <v>45</v>
      </c>
      <c r="C8" s="4">
        <v>53.08</v>
      </c>
      <c r="D8" s="4">
        <v>52.87</v>
      </c>
      <c r="E8" s="4">
        <v>54.35</v>
      </c>
      <c r="F8" s="5">
        <v>53.31</v>
      </c>
      <c r="G8" s="6">
        <v>-4.3143875445508153E-3</v>
      </c>
      <c r="H8" s="4" t="s">
        <v>656</v>
      </c>
      <c r="I8" s="5">
        <v>1.88</v>
      </c>
      <c r="J8" s="4" t="s">
        <v>39</v>
      </c>
      <c r="K8" s="4">
        <v>54.9</v>
      </c>
      <c r="L8" s="4">
        <f t="shared" si="0"/>
        <v>49.41</v>
      </c>
      <c r="M8" s="4" t="b">
        <f t="shared" si="1"/>
        <v>0</v>
      </c>
    </row>
    <row r="9" spans="1:13" ht="20.100000000000001" customHeight="1" x14ac:dyDescent="0.25">
      <c r="A9" s="81" t="s">
        <v>17</v>
      </c>
      <c r="B9" s="2" t="s">
        <v>46</v>
      </c>
      <c r="C9" s="4">
        <v>15.49</v>
      </c>
      <c r="D9" s="4">
        <v>15.35</v>
      </c>
      <c r="E9" s="4">
        <v>15.69</v>
      </c>
      <c r="F9" s="5">
        <v>15.11</v>
      </c>
      <c r="G9" s="6">
        <v>2.5148908007941811E-2</v>
      </c>
      <c r="H9" s="4" t="s">
        <v>657</v>
      </c>
      <c r="I9" s="5">
        <v>1.32</v>
      </c>
      <c r="J9" s="4" t="s">
        <v>39</v>
      </c>
      <c r="K9" s="4">
        <v>12.91</v>
      </c>
      <c r="L9" s="4">
        <f t="shared" si="0"/>
        <v>11.619</v>
      </c>
      <c r="M9" s="4" t="b">
        <f t="shared" si="1"/>
        <v>0</v>
      </c>
    </row>
    <row r="10" spans="1:13" ht="20.100000000000001" customHeight="1" x14ac:dyDescent="0.25">
      <c r="A10" s="2" t="s">
        <v>25</v>
      </c>
      <c r="B10" s="2" t="s">
        <v>47</v>
      </c>
      <c r="C10" s="11">
        <v>26.8</v>
      </c>
      <c r="D10" s="4">
        <v>26.62</v>
      </c>
      <c r="E10" s="4">
        <v>27.24</v>
      </c>
      <c r="F10" s="5">
        <v>26.39</v>
      </c>
      <c r="G10" s="26">
        <v>1.5536187949981059E-2</v>
      </c>
      <c r="H10" s="6" t="s">
        <v>456</v>
      </c>
      <c r="I10" s="5">
        <v>5.0599999999999996</v>
      </c>
      <c r="J10" s="4" t="s">
        <v>39</v>
      </c>
      <c r="K10" s="4">
        <v>27.88</v>
      </c>
      <c r="L10" s="4">
        <f t="shared" si="0"/>
        <v>25.091999999999999</v>
      </c>
      <c r="M10" s="4" t="b">
        <f t="shared" si="1"/>
        <v>0</v>
      </c>
    </row>
    <row r="11" spans="1:13" ht="20.100000000000001" customHeight="1" x14ac:dyDescent="0.25">
      <c r="A11" s="2" t="s">
        <v>26</v>
      </c>
      <c r="B11" s="2" t="s">
        <v>48</v>
      </c>
      <c r="C11" s="11">
        <v>34.25</v>
      </c>
      <c r="D11" s="4">
        <v>33.97</v>
      </c>
      <c r="E11" s="4">
        <v>34.4</v>
      </c>
      <c r="F11" s="5">
        <v>33.85</v>
      </c>
      <c r="G11" s="26">
        <v>1.1816838995568643E-2</v>
      </c>
      <c r="H11" s="6" t="s">
        <v>658</v>
      </c>
      <c r="I11" s="5">
        <v>1.1200000000000001</v>
      </c>
      <c r="J11" s="4" t="s">
        <v>39</v>
      </c>
      <c r="K11" s="4">
        <v>34.369999999999997</v>
      </c>
      <c r="L11" s="4">
        <f t="shared" si="0"/>
        <v>30.933</v>
      </c>
      <c r="M11" s="4" t="b">
        <f t="shared" si="1"/>
        <v>0</v>
      </c>
    </row>
    <row r="12" spans="1:13" ht="20.100000000000001" customHeight="1" x14ac:dyDescent="0.25">
      <c r="A12" s="2" t="s">
        <v>27</v>
      </c>
      <c r="B12" s="2" t="s">
        <v>49</v>
      </c>
      <c r="C12" s="11">
        <v>77.510000000000005</v>
      </c>
      <c r="D12" s="4">
        <v>76.56</v>
      </c>
      <c r="E12" s="4">
        <v>77.78</v>
      </c>
      <c r="F12" s="5">
        <v>76.84</v>
      </c>
      <c r="G12" s="26">
        <v>8.7194169703279766E-3</v>
      </c>
      <c r="H12" s="6" t="s">
        <v>659</v>
      </c>
      <c r="I12" s="5">
        <v>3.91</v>
      </c>
      <c r="J12" s="4" t="s">
        <v>39</v>
      </c>
      <c r="K12" s="4">
        <v>73.83</v>
      </c>
      <c r="L12" s="4">
        <f t="shared" si="0"/>
        <v>66.447000000000003</v>
      </c>
      <c r="M12" s="4" t="b">
        <f t="shared" si="1"/>
        <v>0</v>
      </c>
    </row>
    <row r="13" spans="1:13" ht="20.100000000000001" customHeight="1" x14ac:dyDescent="0.25">
      <c r="A13" s="2" t="s">
        <v>28</v>
      </c>
      <c r="B13" s="2" t="s">
        <v>50</v>
      </c>
      <c r="C13" s="11">
        <v>183.71</v>
      </c>
      <c r="D13" s="4">
        <v>181.78</v>
      </c>
      <c r="E13" s="4">
        <v>183.92</v>
      </c>
      <c r="F13" s="5">
        <v>180.22</v>
      </c>
      <c r="G13" s="26">
        <v>1.9365220286316775E-2</v>
      </c>
      <c r="H13" s="6" t="s">
        <v>660</v>
      </c>
      <c r="I13" s="5">
        <v>0.04</v>
      </c>
      <c r="J13" s="4" t="s">
        <v>39</v>
      </c>
      <c r="K13" s="4">
        <v>153.91</v>
      </c>
      <c r="L13" s="4">
        <f t="shared" si="0"/>
        <v>138.51900000000001</v>
      </c>
      <c r="M13" s="4" t="b">
        <f t="shared" si="1"/>
        <v>0</v>
      </c>
    </row>
    <row r="14" spans="1:13" ht="20.100000000000001" customHeight="1" x14ac:dyDescent="0.25">
      <c r="A14" s="2" t="s">
        <v>29</v>
      </c>
      <c r="B14" s="2" t="s">
        <v>51</v>
      </c>
      <c r="C14" s="11">
        <v>40.47</v>
      </c>
      <c r="D14" s="4">
        <v>39.47</v>
      </c>
      <c r="E14" s="4">
        <v>40.799999999999997</v>
      </c>
      <c r="F14" s="5">
        <v>39.07</v>
      </c>
      <c r="G14" s="26">
        <v>3.5833120040952099E-2</v>
      </c>
      <c r="H14" s="6" t="s">
        <v>661</v>
      </c>
      <c r="I14" s="5">
        <v>0.2</v>
      </c>
      <c r="J14" s="4" t="s">
        <v>39</v>
      </c>
      <c r="K14" s="4">
        <v>38.28</v>
      </c>
      <c r="L14" s="4">
        <f t="shared" si="0"/>
        <v>34.452000000000005</v>
      </c>
      <c r="M14" s="4" t="b">
        <f t="shared" si="1"/>
        <v>0</v>
      </c>
    </row>
    <row r="15" spans="1:13" ht="20.100000000000001" customHeight="1" x14ac:dyDescent="0.25">
      <c r="A15" s="2" t="s">
        <v>30</v>
      </c>
      <c r="B15" s="2" t="s">
        <v>52</v>
      </c>
      <c r="C15" s="11">
        <v>13.93</v>
      </c>
      <c r="D15" s="4">
        <v>13.81</v>
      </c>
      <c r="E15" s="4">
        <v>14.17</v>
      </c>
      <c r="F15" s="5">
        <v>13.79</v>
      </c>
      <c r="G15" s="26">
        <v>1.0152284263959433E-2</v>
      </c>
      <c r="H15" s="6" t="s">
        <v>662</v>
      </c>
      <c r="I15" s="5">
        <v>0</v>
      </c>
      <c r="J15" s="4" t="s">
        <v>39</v>
      </c>
      <c r="K15" s="4">
        <v>11.58</v>
      </c>
      <c r="L15" s="4">
        <f t="shared" si="0"/>
        <v>10.422000000000001</v>
      </c>
      <c r="M15" s="4" t="b">
        <f t="shared" si="1"/>
        <v>0</v>
      </c>
    </row>
    <row r="16" spans="1:13" ht="20.100000000000001" customHeight="1" x14ac:dyDescent="0.25">
      <c r="A16" s="2" t="s">
        <v>312</v>
      </c>
      <c r="B16" s="2" t="s">
        <v>313</v>
      </c>
      <c r="C16" s="20">
        <v>10.24</v>
      </c>
      <c r="D16" s="20">
        <v>10.15</v>
      </c>
      <c r="E16" s="20">
        <v>10.34</v>
      </c>
      <c r="F16" s="5">
        <v>10.06</v>
      </c>
      <c r="G16" s="26">
        <v>1.7892644135188839E-2</v>
      </c>
      <c r="H16" s="6" t="s">
        <v>39</v>
      </c>
      <c r="I16" s="5" t="s">
        <v>39</v>
      </c>
      <c r="J16" s="4" t="s">
        <v>39</v>
      </c>
      <c r="K16" s="4">
        <v>10.61</v>
      </c>
      <c r="L16" s="4">
        <f t="shared" si="0"/>
        <v>9.5489999999999995</v>
      </c>
      <c r="M16" s="4" t="b">
        <f t="shared" si="1"/>
        <v>0</v>
      </c>
    </row>
    <row r="17" spans="1:13" ht="20.100000000000001" customHeight="1" x14ac:dyDescent="0.25">
      <c r="A17" s="1" t="s">
        <v>260</v>
      </c>
      <c r="B17" s="2" t="s">
        <v>261</v>
      </c>
      <c r="C17" s="20">
        <v>59.35</v>
      </c>
      <c r="D17" s="20">
        <v>58.65</v>
      </c>
      <c r="E17" s="20">
        <v>59.35</v>
      </c>
      <c r="F17" s="5">
        <v>58.41</v>
      </c>
      <c r="G17" s="26">
        <v>1.6093134737202617E-2</v>
      </c>
      <c r="H17" s="6" t="s">
        <v>459</v>
      </c>
      <c r="I17" s="5">
        <v>2.88</v>
      </c>
      <c r="J17" s="4">
        <v>174.56</v>
      </c>
      <c r="K17" s="4">
        <v>59.93</v>
      </c>
      <c r="L17" s="4">
        <f t="shared" si="0"/>
        <v>53.936999999999998</v>
      </c>
      <c r="M17" s="4" t="b">
        <f t="shared" si="1"/>
        <v>0</v>
      </c>
    </row>
    <row r="18" spans="1:13" ht="20.100000000000001" customHeight="1" x14ac:dyDescent="0.25">
      <c r="C18" s="8"/>
    </row>
    <row r="19" spans="1:13" ht="20.100000000000001" customHeight="1" x14ac:dyDescent="0.25">
      <c r="C19" s="8"/>
    </row>
    <row r="20" spans="1:13" ht="20.100000000000001" customHeight="1" x14ac:dyDescent="0.25">
      <c r="C20" s="8"/>
    </row>
    <row r="21" spans="1:13" ht="20.100000000000001" customHeight="1" x14ac:dyDescent="0.25">
      <c r="C21" s="8"/>
    </row>
    <row r="22" spans="1:13" ht="20.100000000000001" customHeight="1" x14ac:dyDescent="0.25">
      <c r="C22" s="8"/>
    </row>
    <row r="23" spans="1:13" ht="20.100000000000001" customHeight="1" x14ac:dyDescent="0.25">
      <c r="C23" s="8"/>
    </row>
    <row r="24" spans="1:13" ht="20.100000000000001" customHeight="1" x14ac:dyDescent="0.25">
      <c r="C24" s="8"/>
    </row>
    <row r="25" spans="1:13" ht="20.100000000000001" customHeight="1" x14ac:dyDescent="0.25">
      <c r="C25" s="8"/>
    </row>
    <row r="26" spans="1:13" ht="20.100000000000001" customHeight="1" x14ac:dyDescent="0.25">
      <c r="C26" s="8"/>
    </row>
    <row r="27" spans="1:13" ht="20.100000000000001" customHeight="1" x14ac:dyDescent="0.25">
      <c r="C27" s="8"/>
    </row>
    <row r="28" spans="1:13" ht="20.100000000000001" customHeight="1" x14ac:dyDescent="0.25">
      <c r="C28" s="8"/>
    </row>
    <row r="29" spans="1:13" ht="20.100000000000001" customHeight="1" x14ac:dyDescent="0.25">
      <c r="C29" s="8"/>
    </row>
    <row r="30" spans="1:13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16"/>
  <sheetViews>
    <sheetView workbookViewId="0">
      <selection activeCell="L1" sqref="L1:M2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2" t="s">
        <v>486</v>
      </c>
      <c r="B2" s="2" t="s">
        <v>488</v>
      </c>
      <c r="C2" s="4">
        <v>218.37</v>
      </c>
      <c r="D2" s="4">
        <v>217.7</v>
      </c>
      <c r="E2" s="4">
        <v>218.87</v>
      </c>
      <c r="F2" s="5">
        <v>217.39</v>
      </c>
      <c r="G2" s="6">
        <v>4.5080270481623729E-3</v>
      </c>
      <c r="H2" s="4" t="s">
        <v>39</v>
      </c>
      <c r="I2" s="5">
        <v>2.2000000000000002</v>
      </c>
      <c r="J2" s="4" t="s">
        <v>39</v>
      </c>
      <c r="K2" s="4">
        <v>208.44</v>
      </c>
      <c r="L2" s="79">
        <f t="shared" ref="L2:L4" si="0">K2*0.89</f>
        <v>185.51159999999999</v>
      </c>
      <c r="M2" s="80" t="b">
        <f t="shared" ref="M2:M4" si="1">L2&gt;C2</f>
        <v>0</v>
      </c>
    </row>
    <row r="3" spans="1:13" ht="20.100000000000001" customHeight="1" x14ac:dyDescent="0.25">
      <c r="A3" s="59" t="s">
        <v>487</v>
      </c>
      <c r="B3" s="2" t="s">
        <v>489</v>
      </c>
      <c r="C3" s="4">
        <v>49.67</v>
      </c>
      <c r="D3" s="4">
        <v>49.34</v>
      </c>
      <c r="E3" s="4">
        <v>49.73</v>
      </c>
      <c r="F3" s="5">
        <v>49</v>
      </c>
      <c r="G3" s="6">
        <v>1.3673469387755138E-2</v>
      </c>
      <c r="H3" s="4" t="s">
        <v>39</v>
      </c>
      <c r="I3" s="5">
        <v>7</v>
      </c>
      <c r="J3" s="4" t="s">
        <v>39</v>
      </c>
      <c r="K3" s="4">
        <v>48.06</v>
      </c>
      <c r="L3" s="4">
        <f t="shared" si="0"/>
        <v>42.773400000000002</v>
      </c>
      <c r="M3" s="4" t="b">
        <f t="shared" si="1"/>
        <v>0</v>
      </c>
    </row>
    <row r="4" spans="1:13" ht="20.100000000000001" customHeight="1" x14ac:dyDescent="0.25">
      <c r="A4" s="2" t="s">
        <v>491</v>
      </c>
      <c r="B4" s="2" t="s">
        <v>492</v>
      </c>
      <c r="C4" s="20">
        <v>38.1</v>
      </c>
      <c r="D4" s="20">
        <v>37.85</v>
      </c>
      <c r="E4" s="20">
        <v>38.119999999999997</v>
      </c>
      <c r="F4" s="5">
        <v>37.53</v>
      </c>
      <c r="G4" s="26">
        <v>1.5187849720223828E-2</v>
      </c>
      <c r="H4" s="6" t="s">
        <v>39</v>
      </c>
      <c r="I4" s="5">
        <v>4.8</v>
      </c>
      <c r="J4" s="4" t="s">
        <v>39</v>
      </c>
      <c r="K4" s="4">
        <v>34.76</v>
      </c>
      <c r="L4" s="4">
        <f t="shared" si="0"/>
        <v>30.936399999999999</v>
      </c>
      <c r="M4" s="4" t="b">
        <f t="shared" si="1"/>
        <v>0</v>
      </c>
    </row>
    <row r="5" spans="1:13" ht="20.100000000000001" customHeight="1" x14ac:dyDescent="0.25">
      <c r="C5" s="8"/>
    </row>
    <row r="6" spans="1:13" ht="20.100000000000001" customHeight="1" x14ac:dyDescent="0.25">
      <c r="C6" s="8"/>
    </row>
    <row r="7" spans="1:13" ht="20.100000000000001" customHeight="1" x14ac:dyDescent="0.25">
      <c r="C7" s="8"/>
    </row>
    <row r="8" spans="1:13" ht="20.100000000000001" customHeight="1" x14ac:dyDescent="0.25">
      <c r="C8" s="8"/>
    </row>
    <row r="9" spans="1:13" ht="20.100000000000001" customHeight="1" x14ac:dyDescent="0.25">
      <c r="C9" s="8"/>
    </row>
    <row r="10" spans="1:13" ht="20.100000000000001" customHeight="1" x14ac:dyDescent="0.25">
      <c r="C10" s="8"/>
    </row>
    <row r="11" spans="1:13" ht="20.100000000000001" customHeight="1" x14ac:dyDescent="0.25">
      <c r="C11" s="8"/>
    </row>
    <row r="12" spans="1:13" ht="20.100000000000001" customHeight="1" x14ac:dyDescent="0.25">
      <c r="C12" s="8"/>
    </row>
    <row r="13" spans="1:13" ht="20.100000000000001" customHeight="1" x14ac:dyDescent="0.25">
      <c r="C13" s="8"/>
    </row>
    <row r="14" spans="1:13" ht="20.100000000000001" customHeight="1" x14ac:dyDescent="0.25">
      <c r="C14" s="8"/>
    </row>
    <row r="15" spans="1:13" ht="20.100000000000001" customHeight="1" x14ac:dyDescent="0.25">
      <c r="C15" s="8"/>
    </row>
    <row r="16" spans="1:13" ht="20.100000000000001" customHeight="1" x14ac:dyDescent="0.25">
      <c r="C16" s="8"/>
    </row>
  </sheetData>
  <conditionalFormatting sqref="G2:G4">
    <cfRule type="colorScale" priority="5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9"/>
  <sheetViews>
    <sheetView workbookViewId="0">
      <selection activeCell="Q9" sqref="Q9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2" t="s">
        <v>71</v>
      </c>
      <c r="B2" s="2" t="s">
        <v>285</v>
      </c>
      <c r="C2" s="4">
        <v>38.15</v>
      </c>
      <c r="D2" s="4">
        <v>38.090000000000003</v>
      </c>
      <c r="E2" s="4">
        <v>38.69</v>
      </c>
      <c r="F2" s="5">
        <v>38.39</v>
      </c>
      <c r="G2" s="6">
        <v>-6.2516280281323779E-3</v>
      </c>
      <c r="H2" s="4" t="s">
        <v>584</v>
      </c>
      <c r="I2" s="5">
        <v>3.5</v>
      </c>
      <c r="J2" s="5">
        <v>23.12</v>
      </c>
      <c r="K2" s="5">
        <v>39.72</v>
      </c>
      <c r="L2" s="89">
        <f t="shared" ref="L2:L9" si="0">K2*0.9</f>
        <v>35.747999999999998</v>
      </c>
      <c r="M2" s="90" t="b">
        <f t="shared" ref="M2:M9" si="1">L2&gt;C2</f>
        <v>0</v>
      </c>
    </row>
    <row r="3" spans="1:13" ht="20.100000000000001" customHeight="1" x14ac:dyDescent="0.25">
      <c r="A3" s="2" t="s">
        <v>84</v>
      </c>
      <c r="B3" s="2" t="s">
        <v>286</v>
      </c>
      <c r="C3" s="4">
        <v>9.49</v>
      </c>
      <c r="D3" s="4">
        <v>9.41</v>
      </c>
      <c r="E3" s="4">
        <v>9.75</v>
      </c>
      <c r="F3" s="5">
        <v>9.44</v>
      </c>
      <c r="G3" s="6">
        <v>5.2966101694916006E-3</v>
      </c>
      <c r="H3" s="4" t="s">
        <v>593</v>
      </c>
      <c r="I3" s="5">
        <v>0</v>
      </c>
      <c r="J3" s="5" t="s">
        <v>39</v>
      </c>
      <c r="K3" s="5">
        <v>9.32</v>
      </c>
      <c r="L3" s="5">
        <f t="shared" si="0"/>
        <v>8.3879999999999999</v>
      </c>
      <c r="M3" s="5" t="b">
        <f t="shared" si="1"/>
        <v>0</v>
      </c>
    </row>
    <row r="4" spans="1:13" ht="20.100000000000001" customHeight="1" x14ac:dyDescent="0.25">
      <c r="A4" s="1" t="s">
        <v>70</v>
      </c>
      <c r="B4" s="2" t="s">
        <v>287</v>
      </c>
      <c r="C4" s="4">
        <v>19.12</v>
      </c>
      <c r="D4" s="4">
        <v>18.73</v>
      </c>
      <c r="E4" s="4">
        <v>19.36</v>
      </c>
      <c r="F4" s="5">
        <v>18.86</v>
      </c>
      <c r="G4" s="6">
        <v>1.3785790031813445E-2</v>
      </c>
      <c r="H4" s="4" t="s">
        <v>594</v>
      </c>
      <c r="I4" s="5">
        <v>0</v>
      </c>
      <c r="J4" s="5">
        <v>23.93</v>
      </c>
      <c r="K4" s="5">
        <v>21.74</v>
      </c>
      <c r="L4" s="5">
        <f t="shared" si="0"/>
        <v>19.565999999999999</v>
      </c>
      <c r="M4" s="5" t="b">
        <f t="shared" si="1"/>
        <v>1</v>
      </c>
    </row>
    <row r="5" spans="1:13" ht="20.100000000000001" customHeight="1" x14ac:dyDescent="0.25">
      <c r="A5" s="1" t="s">
        <v>69</v>
      </c>
      <c r="B5" s="2" t="s">
        <v>288</v>
      </c>
      <c r="C5" s="4">
        <v>49.21</v>
      </c>
      <c r="D5" s="4">
        <v>49.16</v>
      </c>
      <c r="E5" s="4">
        <v>50.36</v>
      </c>
      <c r="F5" s="5">
        <v>49.62</v>
      </c>
      <c r="G5" s="6">
        <v>-8.2627972591696221E-3</v>
      </c>
      <c r="H5" s="4" t="s">
        <v>595</v>
      </c>
      <c r="I5" s="5" t="s">
        <v>39</v>
      </c>
      <c r="J5" s="5">
        <v>11.1</v>
      </c>
      <c r="K5" s="5">
        <v>51.13</v>
      </c>
      <c r="L5" s="5">
        <f t="shared" si="0"/>
        <v>46.017000000000003</v>
      </c>
      <c r="M5" s="5" t="b">
        <f t="shared" si="1"/>
        <v>0</v>
      </c>
    </row>
    <row r="6" spans="1:13" ht="20.100000000000001" customHeight="1" x14ac:dyDescent="0.25">
      <c r="A6" s="2" t="s">
        <v>72</v>
      </c>
      <c r="B6" s="2" t="s">
        <v>289</v>
      </c>
      <c r="C6" s="4">
        <v>103.23</v>
      </c>
      <c r="D6" s="4">
        <v>102.68</v>
      </c>
      <c r="E6" s="4">
        <v>104.35</v>
      </c>
      <c r="F6" s="5">
        <v>103.53</v>
      </c>
      <c r="G6" s="6">
        <v>-2.8977108084612879E-3</v>
      </c>
      <c r="H6" s="4" t="s">
        <v>596</v>
      </c>
      <c r="I6" s="5">
        <v>1.91</v>
      </c>
      <c r="J6" s="5">
        <v>28.21</v>
      </c>
      <c r="K6" s="5">
        <v>95.73</v>
      </c>
      <c r="L6" s="5">
        <f t="shared" si="0"/>
        <v>86.157000000000011</v>
      </c>
      <c r="M6" s="5" t="b">
        <f t="shared" si="1"/>
        <v>0</v>
      </c>
    </row>
    <row r="7" spans="1:13" ht="20.100000000000001" customHeight="1" x14ac:dyDescent="0.25">
      <c r="A7" s="2" t="s">
        <v>325</v>
      </c>
      <c r="B7" s="19" t="s">
        <v>326</v>
      </c>
      <c r="C7" s="4">
        <v>17.68</v>
      </c>
      <c r="D7" s="4">
        <v>17.64</v>
      </c>
      <c r="E7" s="4">
        <v>17.739999999999998</v>
      </c>
      <c r="F7" s="5">
        <v>17.28</v>
      </c>
      <c r="G7" s="6">
        <v>2.3148148148148064E-2</v>
      </c>
      <c r="H7" s="6" t="s">
        <v>597</v>
      </c>
      <c r="I7" s="5">
        <v>2.89</v>
      </c>
      <c r="J7" s="5">
        <v>19.32</v>
      </c>
      <c r="K7" s="5">
        <v>17.37</v>
      </c>
      <c r="L7" s="5">
        <f t="shared" si="0"/>
        <v>15.633000000000001</v>
      </c>
      <c r="M7" s="5" t="b">
        <f t="shared" si="1"/>
        <v>0</v>
      </c>
    </row>
    <row r="8" spans="1:13" ht="20.100000000000001" customHeight="1" x14ac:dyDescent="0.25">
      <c r="A8" s="81" t="s">
        <v>484</v>
      </c>
      <c r="B8" s="19" t="s">
        <v>485</v>
      </c>
      <c r="C8" s="4">
        <v>82</v>
      </c>
      <c r="D8" s="4">
        <v>80.849999999999994</v>
      </c>
      <c r="E8" s="4">
        <v>83.34</v>
      </c>
      <c r="F8" s="5">
        <v>80.63</v>
      </c>
      <c r="G8" s="6">
        <v>1.6991194344536831E-2</v>
      </c>
      <c r="H8" s="6" t="s">
        <v>598</v>
      </c>
      <c r="I8" s="5">
        <v>1.3</v>
      </c>
      <c r="J8" s="5">
        <v>12.5</v>
      </c>
      <c r="K8" s="5">
        <v>99.29</v>
      </c>
      <c r="L8" s="5">
        <f t="shared" si="0"/>
        <v>89.361000000000004</v>
      </c>
      <c r="M8" s="5" t="b">
        <f t="shared" si="1"/>
        <v>1</v>
      </c>
    </row>
    <row r="9" spans="1:13" ht="15.75" x14ac:dyDescent="0.25">
      <c r="A9" s="2" t="s">
        <v>478</v>
      </c>
      <c r="B9" s="19" t="s">
        <v>482</v>
      </c>
      <c r="C9" s="4">
        <v>28.13</v>
      </c>
      <c r="D9" s="4">
        <v>28.01</v>
      </c>
      <c r="E9" s="4">
        <v>28.59</v>
      </c>
      <c r="F9" s="5">
        <v>28.15</v>
      </c>
      <c r="G9" s="6">
        <v>-7.1047957371224066E-4</v>
      </c>
      <c r="H9" s="6" t="s">
        <v>585</v>
      </c>
      <c r="I9" s="5" t="s">
        <v>39</v>
      </c>
      <c r="J9" s="5">
        <v>9.73</v>
      </c>
      <c r="K9" s="5">
        <v>35.409999999999997</v>
      </c>
      <c r="L9" s="5">
        <f t="shared" si="0"/>
        <v>31.868999999999996</v>
      </c>
      <c r="M9" s="5" t="b">
        <f t="shared" si="1"/>
        <v>1</v>
      </c>
    </row>
  </sheetData>
  <conditionalFormatting sqref="G1:G9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10"/>
  <sheetViews>
    <sheetView workbookViewId="0">
      <selection activeCell="L3" sqref="L3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2" t="s">
        <v>501</v>
      </c>
      <c r="B2" s="2" t="s">
        <v>508</v>
      </c>
      <c r="C2" s="4">
        <v>115.83</v>
      </c>
      <c r="D2" s="4">
        <v>115.69</v>
      </c>
      <c r="E2" s="4">
        <v>116.11</v>
      </c>
      <c r="F2" s="5">
        <v>115.4</v>
      </c>
      <c r="G2" s="6">
        <v>3.7261698440207332E-3</v>
      </c>
      <c r="H2" s="4" t="s">
        <v>665</v>
      </c>
      <c r="I2" s="5">
        <v>3.08</v>
      </c>
      <c r="J2" s="5">
        <v>22.12</v>
      </c>
      <c r="K2" s="5">
        <v>122.34</v>
      </c>
      <c r="L2" s="89">
        <f t="shared" ref="L2:L10" si="0">K2*0.9</f>
        <v>110.10600000000001</v>
      </c>
      <c r="M2" s="90" t="b">
        <f t="shared" ref="M2:M9" si="1">L2&gt;C2</f>
        <v>0</v>
      </c>
    </row>
    <row r="3" spans="1:13" ht="20.100000000000001" customHeight="1" x14ac:dyDescent="0.25">
      <c r="A3" s="2" t="s">
        <v>502</v>
      </c>
      <c r="B3" s="2" t="s">
        <v>509</v>
      </c>
      <c r="C3" s="4">
        <v>408.41</v>
      </c>
      <c r="D3" s="4">
        <v>408.05</v>
      </c>
      <c r="E3" s="4">
        <v>414.89</v>
      </c>
      <c r="F3" s="5">
        <v>414.68</v>
      </c>
      <c r="G3" s="6">
        <v>-1.5120092601524023E-2</v>
      </c>
      <c r="H3" s="4" t="s">
        <v>666</v>
      </c>
      <c r="I3" s="5" t="s">
        <v>39</v>
      </c>
      <c r="J3" s="5">
        <v>58.84</v>
      </c>
      <c r="K3" s="5">
        <v>441.03</v>
      </c>
      <c r="L3" s="5">
        <f t="shared" si="0"/>
        <v>396.92699999999996</v>
      </c>
      <c r="M3" s="5" t="b">
        <f t="shared" si="1"/>
        <v>0</v>
      </c>
    </row>
    <row r="4" spans="1:13" ht="20.100000000000001" customHeight="1" x14ac:dyDescent="0.25">
      <c r="A4" s="2" t="s">
        <v>503</v>
      </c>
      <c r="B4" s="2" t="s">
        <v>510</v>
      </c>
      <c r="C4" s="4">
        <v>101.53</v>
      </c>
      <c r="D4" s="4">
        <v>99.25</v>
      </c>
      <c r="E4" s="4">
        <v>101.54</v>
      </c>
      <c r="F4" s="5">
        <v>99.7</v>
      </c>
      <c r="G4" s="6">
        <v>1.8355065195586742E-2</v>
      </c>
      <c r="H4" s="4" t="s">
        <v>667</v>
      </c>
      <c r="I4" s="5">
        <v>1.21</v>
      </c>
      <c r="J4" s="5">
        <v>30.88</v>
      </c>
      <c r="K4" s="5">
        <v>79.05</v>
      </c>
      <c r="L4" s="5">
        <f t="shared" si="0"/>
        <v>71.144999999999996</v>
      </c>
      <c r="M4" s="5" t="b">
        <f t="shared" si="1"/>
        <v>0</v>
      </c>
    </row>
    <row r="5" spans="1:13" ht="20.100000000000001" customHeight="1" x14ac:dyDescent="0.25">
      <c r="A5" s="2" t="s">
        <v>504</v>
      </c>
      <c r="B5" s="2" t="s">
        <v>511</v>
      </c>
      <c r="C5" s="4">
        <v>91.26</v>
      </c>
      <c r="D5" s="4">
        <v>91.04</v>
      </c>
      <c r="E5" s="4">
        <v>91.99</v>
      </c>
      <c r="F5" s="5">
        <v>90.76</v>
      </c>
      <c r="G5" s="6">
        <v>5.5090348171000433E-3</v>
      </c>
      <c r="H5" s="4" t="s">
        <v>668</v>
      </c>
      <c r="I5" s="5">
        <v>2.0299999999999998</v>
      </c>
      <c r="J5" s="5">
        <v>27.5</v>
      </c>
      <c r="K5" s="5">
        <v>82.78</v>
      </c>
      <c r="L5" s="5">
        <f t="shared" si="0"/>
        <v>74.50200000000001</v>
      </c>
      <c r="M5" s="5" t="b">
        <f t="shared" si="1"/>
        <v>0</v>
      </c>
    </row>
    <row r="6" spans="1:13" ht="20.100000000000001" customHeight="1" x14ac:dyDescent="0.25">
      <c r="A6" s="2" t="s">
        <v>505</v>
      </c>
      <c r="B6" s="2" t="s">
        <v>512</v>
      </c>
      <c r="C6" s="4">
        <v>10.199999999999999</v>
      </c>
      <c r="D6" s="4">
        <v>10.09</v>
      </c>
      <c r="E6" s="4">
        <v>10.23</v>
      </c>
      <c r="F6" s="5">
        <v>10.06</v>
      </c>
      <c r="G6" s="6">
        <v>1.3916500994035665E-2</v>
      </c>
      <c r="H6" s="4" t="s">
        <v>669</v>
      </c>
      <c r="I6" s="5">
        <v>2.39</v>
      </c>
      <c r="J6" s="5">
        <v>19.649999999999999</v>
      </c>
      <c r="K6" s="5">
        <v>10.15</v>
      </c>
      <c r="L6" s="5">
        <f t="shared" si="0"/>
        <v>9.1349999999999998</v>
      </c>
      <c r="M6" s="5" t="b">
        <f t="shared" si="1"/>
        <v>0</v>
      </c>
    </row>
    <row r="7" spans="1:13" ht="20.100000000000001" customHeight="1" x14ac:dyDescent="0.25">
      <c r="A7" s="2" t="s">
        <v>506</v>
      </c>
      <c r="B7" s="19" t="s">
        <v>513</v>
      </c>
      <c r="C7" s="4">
        <v>27.95</v>
      </c>
      <c r="D7" s="4">
        <v>27.75</v>
      </c>
      <c r="E7" s="4">
        <v>28.36</v>
      </c>
      <c r="F7" s="5">
        <v>28.19</v>
      </c>
      <c r="G7" s="6">
        <v>-8.5136573252927276E-3</v>
      </c>
      <c r="H7" s="6" t="s">
        <v>670</v>
      </c>
      <c r="I7" s="5">
        <v>1.55</v>
      </c>
      <c r="J7" s="5">
        <v>21.75</v>
      </c>
      <c r="K7" s="5">
        <v>30.39</v>
      </c>
      <c r="L7" s="5">
        <f t="shared" si="0"/>
        <v>27.351000000000003</v>
      </c>
      <c r="M7" s="5" t="b">
        <f t="shared" si="1"/>
        <v>0</v>
      </c>
    </row>
    <row r="8" spans="1:13" ht="20.100000000000001" customHeight="1" x14ac:dyDescent="0.25">
      <c r="A8" s="2" t="s">
        <v>507</v>
      </c>
      <c r="B8" s="19" t="s">
        <v>514</v>
      </c>
      <c r="C8" s="4">
        <v>75.75</v>
      </c>
      <c r="D8" s="4">
        <v>75.06</v>
      </c>
      <c r="E8" s="4">
        <v>76</v>
      </c>
      <c r="F8" s="5">
        <v>75.19</v>
      </c>
      <c r="G8" s="6">
        <v>7.4477989094294756E-3</v>
      </c>
      <c r="H8" s="6" t="s">
        <v>671</v>
      </c>
      <c r="I8" s="5">
        <v>1.07</v>
      </c>
      <c r="J8" s="5">
        <v>32.14</v>
      </c>
      <c r="K8" s="5">
        <v>63.74</v>
      </c>
      <c r="L8" s="5">
        <f t="shared" si="0"/>
        <v>57.366</v>
      </c>
      <c r="M8" s="5" t="b">
        <f t="shared" si="1"/>
        <v>0</v>
      </c>
    </row>
    <row r="9" spans="1:13" ht="18" customHeight="1" x14ac:dyDescent="0.25">
      <c r="A9" s="2" t="s">
        <v>664</v>
      </c>
      <c r="B9" s="19" t="s">
        <v>672</v>
      </c>
      <c r="C9" s="4">
        <v>54.8</v>
      </c>
      <c r="D9" s="4">
        <v>54.52</v>
      </c>
      <c r="E9" s="4">
        <v>55.2</v>
      </c>
      <c r="F9" s="5">
        <v>54.3</v>
      </c>
      <c r="G9" s="6">
        <v>9.2081031307550652E-3</v>
      </c>
      <c r="H9" s="6" t="s">
        <v>673</v>
      </c>
      <c r="I9" s="5">
        <v>0</v>
      </c>
      <c r="J9" s="5">
        <v>28.45</v>
      </c>
      <c r="K9" s="5">
        <v>55.1</v>
      </c>
      <c r="L9" s="5">
        <f t="shared" si="0"/>
        <v>49.59</v>
      </c>
      <c r="M9" s="5" t="b">
        <f t="shared" si="1"/>
        <v>0</v>
      </c>
    </row>
    <row r="10" spans="1:13" ht="15.75" x14ac:dyDescent="0.25">
      <c r="A10" s="2" t="s">
        <v>674</v>
      </c>
      <c r="B10" s="19" t="s">
        <v>675</v>
      </c>
      <c r="C10" s="4">
        <v>161.61000000000001</v>
      </c>
      <c r="D10" s="4">
        <v>160.72999999999999</v>
      </c>
      <c r="E10" s="4">
        <v>163.72999999999999</v>
      </c>
      <c r="F10" s="5">
        <v>160.97</v>
      </c>
      <c r="G10" s="6">
        <v>3.9758961297137029E-3</v>
      </c>
      <c r="H10" s="6" t="s">
        <v>676</v>
      </c>
      <c r="I10" s="5" t="s">
        <v>39</v>
      </c>
      <c r="J10" s="5">
        <v>30.41</v>
      </c>
      <c r="K10" s="5">
        <v>149.26</v>
      </c>
      <c r="L10" s="5">
        <f t="shared" si="0"/>
        <v>134.334</v>
      </c>
      <c r="M10" s="5" t="b">
        <f>L10&gt;C10</f>
        <v>0</v>
      </c>
    </row>
  </sheetData>
  <conditionalFormatting sqref="G1:G10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10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9"/>
  <sheetViews>
    <sheetView workbookViewId="0">
      <selection activeCell="E21" sqref="E21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61" t="s">
        <v>184</v>
      </c>
      <c r="B2" s="61" t="s">
        <v>191</v>
      </c>
      <c r="C2" s="62">
        <v>16</v>
      </c>
      <c r="D2" s="62">
        <v>15.82</v>
      </c>
      <c r="E2" s="62">
        <v>16.059999999999999</v>
      </c>
      <c r="F2" s="63">
        <v>15.98</v>
      </c>
      <c r="G2" s="64">
        <v>1.2515644555694352E-3</v>
      </c>
      <c r="H2" s="62" t="s">
        <v>677</v>
      </c>
      <c r="I2" s="63">
        <v>1.88</v>
      </c>
      <c r="J2" s="63">
        <v>13.41</v>
      </c>
      <c r="K2" s="63">
        <v>14.01</v>
      </c>
      <c r="L2" s="89">
        <f t="shared" ref="L2:L19" si="0">K2*0.9</f>
        <v>12.609</v>
      </c>
      <c r="M2" s="90" t="b">
        <f t="shared" ref="M2:M19" si="1">L2&gt;C2</f>
        <v>0</v>
      </c>
    </row>
    <row r="3" spans="1:13" ht="20.100000000000001" customHeight="1" x14ac:dyDescent="0.25">
      <c r="A3" s="61" t="s">
        <v>280</v>
      </c>
      <c r="B3" s="65" t="s">
        <v>281</v>
      </c>
      <c r="C3" s="62">
        <v>41.65</v>
      </c>
      <c r="D3" s="62">
        <v>41.29</v>
      </c>
      <c r="E3" s="62">
        <v>41.76</v>
      </c>
      <c r="F3" s="63">
        <v>41.47</v>
      </c>
      <c r="G3" s="64">
        <v>4.3404870991077824E-3</v>
      </c>
      <c r="H3" s="64" t="s">
        <v>678</v>
      </c>
      <c r="I3" s="63">
        <v>1.83</v>
      </c>
      <c r="J3" s="63">
        <v>14.94</v>
      </c>
      <c r="K3" s="63">
        <v>39.08</v>
      </c>
      <c r="L3" s="5">
        <f t="shared" si="0"/>
        <v>35.171999999999997</v>
      </c>
      <c r="M3" s="5" t="b">
        <f t="shared" si="1"/>
        <v>0</v>
      </c>
    </row>
    <row r="4" spans="1:13" ht="20.100000000000001" customHeight="1" x14ac:dyDescent="0.25">
      <c r="A4" s="66" t="s">
        <v>239</v>
      </c>
      <c r="B4" s="65" t="s">
        <v>240</v>
      </c>
      <c r="C4" s="62">
        <v>373.85</v>
      </c>
      <c r="D4" s="62">
        <v>371.9</v>
      </c>
      <c r="E4" s="62">
        <v>375.69</v>
      </c>
      <c r="F4" s="63">
        <v>372.17</v>
      </c>
      <c r="G4" s="64">
        <v>4.5140661525647063E-3</v>
      </c>
      <c r="H4" s="64" t="s">
        <v>679</v>
      </c>
      <c r="I4" s="63">
        <v>2.46</v>
      </c>
      <c r="J4" s="63">
        <v>19.920000000000002</v>
      </c>
      <c r="K4" s="63">
        <v>349.7</v>
      </c>
      <c r="L4" s="5">
        <f t="shared" si="0"/>
        <v>314.73</v>
      </c>
      <c r="M4" s="5" t="b">
        <f t="shared" si="1"/>
        <v>0</v>
      </c>
    </row>
    <row r="5" spans="1:13" ht="20.100000000000001" customHeight="1" x14ac:dyDescent="0.25">
      <c r="A5" s="61" t="s">
        <v>185</v>
      </c>
      <c r="B5" s="61" t="s">
        <v>192</v>
      </c>
      <c r="C5" s="62">
        <v>47.51</v>
      </c>
      <c r="D5" s="62">
        <v>47.01</v>
      </c>
      <c r="E5" s="62">
        <v>47.71</v>
      </c>
      <c r="F5" s="63">
        <v>47.36</v>
      </c>
      <c r="G5" s="64">
        <v>3.1672297297296995E-3</v>
      </c>
      <c r="H5" s="62" t="s">
        <v>680</v>
      </c>
      <c r="I5" s="63">
        <v>0.65</v>
      </c>
      <c r="J5" s="63">
        <v>10.06</v>
      </c>
      <c r="K5" s="63">
        <v>43.76</v>
      </c>
      <c r="L5" s="5">
        <f t="shared" si="0"/>
        <v>39.384</v>
      </c>
      <c r="M5" s="5" t="b">
        <f t="shared" si="1"/>
        <v>0</v>
      </c>
    </row>
    <row r="6" spans="1:13" ht="20.100000000000001" customHeight="1" x14ac:dyDescent="0.25">
      <c r="A6" s="61" t="s">
        <v>189</v>
      </c>
      <c r="B6" s="61" t="s">
        <v>196</v>
      </c>
      <c r="C6" s="62">
        <v>71.64</v>
      </c>
      <c r="D6" s="62">
        <v>70.87</v>
      </c>
      <c r="E6" s="62">
        <v>71.92</v>
      </c>
      <c r="F6" s="63">
        <v>71.08</v>
      </c>
      <c r="G6" s="64">
        <v>7.878446820483994E-3</v>
      </c>
      <c r="H6" s="62" t="s">
        <v>681</v>
      </c>
      <c r="I6" s="63">
        <v>2.25</v>
      </c>
      <c r="J6" s="63">
        <v>10.11</v>
      </c>
      <c r="K6" s="63">
        <v>68.69</v>
      </c>
      <c r="L6" s="5">
        <f t="shared" si="0"/>
        <v>61.820999999999998</v>
      </c>
      <c r="M6" s="5" t="b">
        <f t="shared" si="1"/>
        <v>0</v>
      </c>
    </row>
    <row r="7" spans="1:13" ht="20.100000000000001" customHeight="1" x14ac:dyDescent="0.25">
      <c r="A7" s="61" t="s">
        <v>198</v>
      </c>
      <c r="B7" s="65" t="s">
        <v>201</v>
      </c>
      <c r="C7" s="62">
        <v>13.27</v>
      </c>
      <c r="D7" s="62">
        <v>13.1</v>
      </c>
      <c r="E7" s="62">
        <v>13.29</v>
      </c>
      <c r="F7" s="63">
        <v>13.14</v>
      </c>
      <c r="G7" s="64">
        <v>9.8934550989344741E-3</v>
      </c>
      <c r="H7" s="64" t="s">
        <v>682</v>
      </c>
      <c r="I7" s="63">
        <v>5.47</v>
      </c>
      <c r="J7" s="63" t="s">
        <v>39</v>
      </c>
      <c r="K7" s="63">
        <v>13.17</v>
      </c>
      <c r="L7" s="5">
        <f t="shared" si="0"/>
        <v>11.853</v>
      </c>
      <c r="M7" s="5" t="b">
        <f t="shared" si="1"/>
        <v>0</v>
      </c>
    </row>
    <row r="8" spans="1:13" ht="20.100000000000001" customHeight="1" x14ac:dyDescent="0.25">
      <c r="A8" s="61" t="s">
        <v>199</v>
      </c>
      <c r="B8" s="65" t="s">
        <v>202</v>
      </c>
      <c r="C8" s="62">
        <v>14.9</v>
      </c>
      <c r="D8" s="62">
        <v>14.73</v>
      </c>
      <c r="E8" s="62">
        <v>14.92</v>
      </c>
      <c r="F8" s="63">
        <v>14.69</v>
      </c>
      <c r="G8" s="64">
        <v>1.4295439074200195E-2</v>
      </c>
      <c r="H8" s="64" t="s">
        <v>683</v>
      </c>
      <c r="I8" s="63">
        <v>0</v>
      </c>
      <c r="J8" s="63" t="s">
        <v>39</v>
      </c>
      <c r="K8" s="63">
        <v>16.2</v>
      </c>
      <c r="L8" s="5">
        <f t="shared" si="0"/>
        <v>14.58</v>
      </c>
      <c r="M8" s="5" t="b">
        <f t="shared" si="1"/>
        <v>0</v>
      </c>
    </row>
    <row r="9" spans="1:13" ht="20.100000000000001" customHeight="1" x14ac:dyDescent="0.25">
      <c r="A9" s="61" t="s">
        <v>183</v>
      </c>
      <c r="B9" s="61" t="s">
        <v>190</v>
      </c>
      <c r="C9" s="62">
        <v>169.18</v>
      </c>
      <c r="D9" s="62">
        <v>167.9</v>
      </c>
      <c r="E9" s="62">
        <v>169.74</v>
      </c>
      <c r="F9" s="63">
        <v>168.51</v>
      </c>
      <c r="G9" s="64">
        <v>3.9760251617115654E-3</v>
      </c>
      <c r="H9" s="62" t="s">
        <v>684</v>
      </c>
      <c r="I9" s="63">
        <v>1.54</v>
      </c>
      <c r="J9" s="63">
        <v>16.04</v>
      </c>
      <c r="K9" s="63">
        <v>156.66999999999999</v>
      </c>
      <c r="L9" s="5">
        <f t="shared" si="0"/>
        <v>141.00299999999999</v>
      </c>
      <c r="M9" s="5" t="b">
        <f t="shared" si="1"/>
        <v>0</v>
      </c>
    </row>
    <row r="10" spans="1:13" ht="20.100000000000001" customHeight="1" x14ac:dyDescent="0.25">
      <c r="A10" s="61" t="s">
        <v>187</v>
      </c>
      <c r="B10" s="61" t="s">
        <v>194</v>
      </c>
      <c r="C10" s="62">
        <v>67.489999999999995</v>
      </c>
      <c r="D10" s="62">
        <v>66.98</v>
      </c>
      <c r="E10" s="62">
        <v>67.569999999999993</v>
      </c>
      <c r="F10" s="63">
        <v>67.209999999999994</v>
      </c>
      <c r="G10" s="64">
        <v>4.1660467192382259E-3</v>
      </c>
      <c r="H10" s="62" t="s">
        <v>685</v>
      </c>
      <c r="I10" s="63">
        <v>2.86</v>
      </c>
      <c r="J10" s="63">
        <v>11.44</v>
      </c>
      <c r="K10" s="63">
        <v>62.32</v>
      </c>
      <c r="L10" s="5">
        <f t="shared" si="0"/>
        <v>56.088000000000001</v>
      </c>
      <c r="M10" s="5" t="b">
        <f t="shared" si="1"/>
        <v>0</v>
      </c>
    </row>
    <row r="11" spans="1:13" ht="20.100000000000001" customHeight="1" x14ac:dyDescent="0.25">
      <c r="A11" s="61" t="s">
        <v>920</v>
      </c>
      <c r="B11" s="65" t="s">
        <v>921</v>
      </c>
      <c r="C11" s="62">
        <v>43.97</v>
      </c>
      <c r="D11" s="62">
        <v>43.64</v>
      </c>
      <c r="E11" s="62">
        <v>44.15</v>
      </c>
      <c r="F11" s="63">
        <v>43.79</v>
      </c>
      <c r="G11" s="64">
        <v>4.110527517698098E-3</v>
      </c>
      <c r="H11" s="64" t="s">
        <v>922</v>
      </c>
      <c r="I11" s="63">
        <v>2.37</v>
      </c>
      <c r="J11" s="63">
        <v>11.91</v>
      </c>
      <c r="K11" s="63">
        <v>40.21</v>
      </c>
      <c r="L11" s="5">
        <f>K11*0.9</f>
        <v>36.189</v>
      </c>
      <c r="M11" s="5" t="b">
        <f>L11&gt;C11</f>
        <v>0</v>
      </c>
    </row>
    <row r="12" spans="1:13" ht="20.100000000000001" customHeight="1" x14ac:dyDescent="0.25">
      <c r="A12" s="61" t="s">
        <v>186</v>
      </c>
      <c r="B12" s="61" t="s">
        <v>193</v>
      </c>
      <c r="C12" s="62">
        <v>31.89</v>
      </c>
      <c r="D12" s="62">
        <v>31.67</v>
      </c>
      <c r="E12" s="62">
        <v>32.21</v>
      </c>
      <c r="F12" s="63">
        <v>31.91</v>
      </c>
      <c r="G12" s="64">
        <v>-6.2676277029143134E-4</v>
      </c>
      <c r="H12" s="62" t="s">
        <v>686</v>
      </c>
      <c r="I12" s="63">
        <v>2.5099999999999998</v>
      </c>
      <c r="J12" s="63">
        <v>14.75</v>
      </c>
      <c r="K12" s="63">
        <v>26.83</v>
      </c>
      <c r="L12" s="5">
        <f t="shared" si="0"/>
        <v>24.146999999999998</v>
      </c>
      <c r="M12" s="5" t="b">
        <f t="shared" si="1"/>
        <v>0</v>
      </c>
    </row>
    <row r="13" spans="1:13" ht="20.100000000000001" customHeight="1" x14ac:dyDescent="0.25">
      <c r="A13" s="61" t="s">
        <v>197</v>
      </c>
      <c r="B13" s="65" t="s">
        <v>200</v>
      </c>
      <c r="C13" s="62">
        <v>14.71</v>
      </c>
      <c r="D13" s="62">
        <v>14.52</v>
      </c>
      <c r="E13" s="62">
        <v>14.75</v>
      </c>
      <c r="F13" s="63">
        <v>14.46</v>
      </c>
      <c r="G13" s="64">
        <v>1.7289073305670814E-2</v>
      </c>
      <c r="H13" s="64" t="s">
        <v>687</v>
      </c>
      <c r="I13" s="63">
        <v>6.07</v>
      </c>
      <c r="J13" s="63">
        <v>11.43</v>
      </c>
      <c r="K13" s="63">
        <v>14.87</v>
      </c>
      <c r="L13" s="5">
        <f t="shared" si="0"/>
        <v>13.382999999999999</v>
      </c>
      <c r="M13" s="5" t="b">
        <f t="shared" si="1"/>
        <v>0</v>
      </c>
    </row>
    <row r="14" spans="1:13" ht="20.100000000000001" customHeight="1" x14ac:dyDescent="0.25">
      <c r="A14" s="61" t="s">
        <v>279</v>
      </c>
      <c r="B14" s="65" t="s">
        <v>282</v>
      </c>
      <c r="C14" s="62">
        <v>44.16</v>
      </c>
      <c r="D14" s="62">
        <v>43.93</v>
      </c>
      <c r="E14" s="62">
        <v>44.22</v>
      </c>
      <c r="F14" s="63">
        <v>44.03</v>
      </c>
      <c r="G14" s="64">
        <v>2.9525323642969666E-3</v>
      </c>
      <c r="H14" s="64" t="s">
        <v>688</v>
      </c>
      <c r="I14" s="63">
        <v>2.3199999999999998</v>
      </c>
      <c r="J14" s="63">
        <v>13.84</v>
      </c>
      <c r="K14" s="63">
        <v>41.5</v>
      </c>
      <c r="L14" s="5">
        <f t="shared" si="0"/>
        <v>37.35</v>
      </c>
      <c r="M14" s="5" t="b">
        <f t="shared" si="1"/>
        <v>0</v>
      </c>
    </row>
    <row r="15" spans="1:13" ht="20.100000000000001" customHeight="1" x14ac:dyDescent="0.25">
      <c r="A15" s="67" t="s">
        <v>188</v>
      </c>
      <c r="B15" s="61" t="s">
        <v>195</v>
      </c>
      <c r="C15" s="62">
        <v>50.55</v>
      </c>
      <c r="D15" s="62">
        <v>50.18</v>
      </c>
      <c r="E15" s="62">
        <v>50.66</v>
      </c>
      <c r="F15" s="63">
        <v>50.43</v>
      </c>
      <c r="G15" s="64">
        <v>2.3795359904818054E-3</v>
      </c>
      <c r="H15" s="62" t="s">
        <v>689</v>
      </c>
      <c r="I15" s="63">
        <v>3.01</v>
      </c>
      <c r="J15" s="63">
        <v>12.48</v>
      </c>
      <c r="K15" s="63">
        <v>48.69</v>
      </c>
      <c r="L15" s="5">
        <f t="shared" si="0"/>
        <v>43.820999999999998</v>
      </c>
      <c r="M15" s="5" t="b">
        <f t="shared" si="1"/>
        <v>0</v>
      </c>
    </row>
    <row r="16" spans="1:13" ht="20.100000000000001" customHeight="1" x14ac:dyDescent="0.25">
      <c r="A16" s="52" t="s">
        <v>448</v>
      </c>
      <c r="B16" s="52" t="s">
        <v>451</v>
      </c>
      <c r="C16" s="53">
        <v>82</v>
      </c>
      <c r="D16" s="53">
        <v>81.5</v>
      </c>
      <c r="E16" s="53">
        <v>82.14</v>
      </c>
      <c r="F16" s="54">
        <v>81.3</v>
      </c>
      <c r="G16" s="55">
        <v>8.6100861008610446E-3</v>
      </c>
      <c r="H16" s="53" t="s">
        <v>690</v>
      </c>
      <c r="I16" s="54">
        <v>0.69</v>
      </c>
      <c r="J16" s="53">
        <v>34.85</v>
      </c>
      <c r="K16" s="53">
        <v>77.319999999999993</v>
      </c>
      <c r="L16" s="5">
        <f t="shared" si="0"/>
        <v>69.587999999999994</v>
      </c>
      <c r="M16" s="5" t="b">
        <f t="shared" si="1"/>
        <v>0</v>
      </c>
    </row>
    <row r="17" spans="1:13" ht="20.100000000000001" customHeight="1" x14ac:dyDescent="0.25">
      <c r="A17" s="52" t="s">
        <v>449</v>
      </c>
      <c r="B17" s="52" t="s">
        <v>452</v>
      </c>
      <c r="C17" s="53">
        <v>97.89</v>
      </c>
      <c r="D17" s="53">
        <v>97.37</v>
      </c>
      <c r="E17" s="53">
        <v>98.1</v>
      </c>
      <c r="F17" s="54">
        <v>97.62</v>
      </c>
      <c r="G17" s="55">
        <v>2.7658266748616677E-3</v>
      </c>
      <c r="H17" s="53" t="s">
        <v>691</v>
      </c>
      <c r="I17" s="54">
        <v>0.78</v>
      </c>
      <c r="J17" s="53">
        <v>28.72</v>
      </c>
      <c r="K17" s="53">
        <v>93.62</v>
      </c>
      <c r="L17" s="5">
        <f t="shared" si="0"/>
        <v>84.25800000000001</v>
      </c>
      <c r="M17" s="5" t="b">
        <f t="shared" si="1"/>
        <v>0</v>
      </c>
    </row>
    <row r="18" spans="1:13" ht="20.100000000000001" customHeight="1" x14ac:dyDescent="0.25">
      <c r="A18" s="60" t="s">
        <v>450</v>
      </c>
      <c r="B18" s="52" t="s">
        <v>453</v>
      </c>
      <c r="C18" s="56">
        <v>65.19</v>
      </c>
      <c r="D18" s="53">
        <v>64.86</v>
      </c>
      <c r="E18" s="53">
        <v>65.67</v>
      </c>
      <c r="F18" s="54">
        <v>64.86</v>
      </c>
      <c r="G18" s="57">
        <v>5.0878815911193078E-3</v>
      </c>
      <c r="H18" s="55" t="s">
        <v>692</v>
      </c>
      <c r="I18" s="54">
        <v>1.79</v>
      </c>
      <c r="J18" s="53">
        <v>11.53</v>
      </c>
      <c r="K18" s="53">
        <v>62.41</v>
      </c>
      <c r="L18" s="5">
        <f t="shared" si="0"/>
        <v>56.168999999999997</v>
      </c>
      <c r="M18" s="5" t="b">
        <f t="shared" si="1"/>
        <v>0</v>
      </c>
    </row>
    <row r="19" spans="1:13" ht="20.100000000000001" customHeight="1" x14ac:dyDescent="0.25">
      <c r="A19" s="52" t="s">
        <v>454</v>
      </c>
      <c r="B19" s="52" t="s">
        <v>455</v>
      </c>
      <c r="C19" s="58">
        <v>60.02</v>
      </c>
      <c r="D19" s="58">
        <v>59.49</v>
      </c>
      <c r="E19" s="58">
        <v>60.17</v>
      </c>
      <c r="F19" s="54">
        <v>59.6</v>
      </c>
      <c r="G19" s="57">
        <v>7.0469798657718406E-3</v>
      </c>
      <c r="H19" s="55" t="s">
        <v>693</v>
      </c>
      <c r="I19" s="54">
        <v>2.0099999999999998</v>
      </c>
      <c r="J19" s="53">
        <v>11.28</v>
      </c>
      <c r="K19" s="53">
        <v>53.85</v>
      </c>
      <c r="L19" s="5">
        <f t="shared" si="0"/>
        <v>48.465000000000003</v>
      </c>
      <c r="M19" s="5" t="b">
        <f t="shared" si="1"/>
        <v>0</v>
      </c>
    </row>
  </sheetData>
  <conditionalFormatting sqref="G20:G1048576 G1: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:G1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10"/>
  <sheetViews>
    <sheetView workbookViewId="0">
      <selection activeCell="L1" sqref="L1:M2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23" t="s">
        <v>226</v>
      </c>
      <c r="B2" s="2" t="s">
        <v>233</v>
      </c>
      <c r="C2" s="4">
        <v>43.82</v>
      </c>
      <c r="D2" s="4">
        <v>43.37</v>
      </c>
      <c r="E2" s="4">
        <v>43.83</v>
      </c>
      <c r="F2" s="5">
        <v>43.14</v>
      </c>
      <c r="G2" s="6">
        <v>1.5762633286972642E-2</v>
      </c>
      <c r="H2" s="4" t="s">
        <v>694</v>
      </c>
      <c r="I2" s="5">
        <v>2.78</v>
      </c>
      <c r="J2" s="5">
        <v>17.73</v>
      </c>
      <c r="K2" s="5">
        <v>40.15</v>
      </c>
      <c r="L2" s="89">
        <f t="shared" ref="L2:L10" si="0">K2*0.9</f>
        <v>36.134999999999998</v>
      </c>
      <c r="M2" s="90" t="b">
        <f t="shared" ref="M2:M10" si="1">L2&gt;C2</f>
        <v>0</v>
      </c>
    </row>
    <row r="3" spans="1:13" ht="20.100000000000001" customHeight="1" x14ac:dyDescent="0.25">
      <c r="A3" s="23" t="s">
        <v>228</v>
      </c>
      <c r="B3" s="2" t="s">
        <v>235</v>
      </c>
      <c r="C3" s="4">
        <v>46.64</v>
      </c>
      <c r="D3" s="4">
        <v>46.13</v>
      </c>
      <c r="E3" s="4">
        <v>46.77</v>
      </c>
      <c r="F3" s="5">
        <v>46.02</v>
      </c>
      <c r="G3" s="6">
        <v>1.3472403302911721E-2</v>
      </c>
      <c r="H3" s="4" t="s">
        <v>695</v>
      </c>
      <c r="I3" s="5">
        <v>2.17</v>
      </c>
      <c r="J3" s="5" t="s">
        <v>39</v>
      </c>
      <c r="K3" s="5">
        <v>45.54</v>
      </c>
      <c r="L3" s="5">
        <f t="shared" si="0"/>
        <v>40.985999999999997</v>
      </c>
      <c r="M3" s="5" t="b">
        <f t="shared" si="1"/>
        <v>0</v>
      </c>
    </row>
    <row r="4" spans="1:13" ht="20.100000000000001" customHeight="1" x14ac:dyDescent="0.25">
      <c r="A4" s="23" t="s">
        <v>229</v>
      </c>
      <c r="B4" s="2" t="s">
        <v>236</v>
      </c>
      <c r="C4" s="4">
        <v>57.73</v>
      </c>
      <c r="D4" s="4">
        <v>56.7</v>
      </c>
      <c r="E4" s="4">
        <v>58.07</v>
      </c>
      <c r="F4" s="5">
        <v>56.91</v>
      </c>
      <c r="G4" s="6">
        <v>1.4408715515726592E-2</v>
      </c>
      <c r="H4" s="4" t="s">
        <v>696</v>
      </c>
      <c r="I4" s="5">
        <v>2.0499999999999998</v>
      </c>
      <c r="J4" s="5">
        <v>31.9</v>
      </c>
      <c r="K4" s="5">
        <v>62.66</v>
      </c>
      <c r="L4" s="5">
        <f t="shared" si="0"/>
        <v>56.393999999999998</v>
      </c>
      <c r="M4" s="5" t="b">
        <f t="shared" si="1"/>
        <v>0</v>
      </c>
    </row>
    <row r="5" spans="1:13" ht="20.100000000000001" customHeight="1" x14ac:dyDescent="0.25">
      <c r="A5" s="23" t="s">
        <v>225</v>
      </c>
      <c r="B5" s="2" t="s">
        <v>232</v>
      </c>
      <c r="C5" s="4">
        <v>70.94</v>
      </c>
      <c r="D5" s="4">
        <v>70.45</v>
      </c>
      <c r="E5" s="4">
        <v>71.12</v>
      </c>
      <c r="F5" s="5">
        <v>70.11</v>
      </c>
      <c r="G5" s="6">
        <v>1.1838539438025935E-2</v>
      </c>
      <c r="H5" s="4" t="s">
        <v>697</v>
      </c>
      <c r="I5" s="5">
        <v>2.72</v>
      </c>
      <c r="J5" s="5">
        <v>25.61</v>
      </c>
      <c r="K5" s="5">
        <v>65.349999999999994</v>
      </c>
      <c r="L5" s="5">
        <f t="shared" si="0"/>
        <v>58.814999999999998</v>
      </c>
      <c r="M5" s="5" t="b">
        <f t="shared" si="1"/>
        <v>0</v>
      </c>
    </row>
    <row r="6" spans="1:13" ht="20.100000000000001" customHeight="1" x14ac:dyDescent="0.25">
      <c r="A6" s="23" t="s">
        <v>227</v>
      </c>
      <c r="B6" s="2" t="s">
        <v>234</v>
      </c>
      <c r="C6" s="4">
        <v>82.42</v>
      </c>
      <c r="D6" s="4">
        <v>82.12</v>
      </c>
      <c r="E6" s="4">
        <v>82.78</v>
      </c>
      <c r="F6" s="5">
        <v>81.69</v>
      </c>
      <c r="G6" s="6">
        <v>8.9362223038316081E-3</v>
      </c>
      <c r="H6" s="4" t="s">
        <v>698</v>
      </c>
      <c r="I6" s="5">
        <v>2.5499999999999998</v>
      </c>
      <c r="J6" s="5">
        <v>47.15</v>
      </c>
      <c r="K6" s="5">
        <v>78.150000000000006</v>
      </c>
      <c r="L6" s="5">
        <f t="shared" si="0"/>
        <v>70.335000000000008</v>
      </c>
      <c r="M6" s="5" t="b">
        <f t="shared" si="1"/>
        <v>0</v>
      </c>
    </row>
    <row r="7" spans="1:13" ht="20.100000000000001" customHeight="1" x14ac:dyDescent="0.25">
      <c r="A7" s="23" t="s">
        <v>223</v>
      </c>
      <c r="B7" s="2" t="s">
        <v>353</v>
      </c>
      <c r="C7" s="4">
        <v>89.61</v>
      </c>
      <c r="D7" s="4">
        <v>89.11</v>
      </c>
      <c r="E7" s="4">
        <v>90.54</v>
      </c>
      <c r="F7" s="5">
        <v>89.48</v>
      </c>
      <c r="G7" s="6">
        <v>1.4528386231559616E-3</v>
      </c>
      <c r="H7" s="4" t="s">
        <v>699</v>
      </c>
      <c r="I7" s="5">
        <v>2.73</v>
      </c>
      <c r="J7" s="5">
        <v>65.7</v>
      </c>
      <c r="K7" s="5">
        <v>82.85</v>
      </c>
      <c r="L7" s="5">
        <f t="shared" si="0"/>
        <v>74.564999999999998</v>
      </c>
      <c r="M7" s="5" t="b">
        <f t="shared" si="1"/>
        <v>0</v>
      </c>
    </row>
    <row r="8" spans="1:13" ht="20.100000000000001" customHeight="1" x14ac:dyDescent="0.25">
      <c r="A8" s="23" t="s">
        <v>224</v>
      </c>
      <c r="B8" s="2" t="s">
        <v>231</v>
      </c>
      <c r="C8" s="4">
        <v>44.19</v>
      </c>
      <c r="D8" s="4">
        <v>44.04</v>
      </c>
      <c r="E8" s="4">
        <v>44.56</v>
      </c>
      <c r="F8" s="5">
        <v>43.95</v>
      </c>
      <c r="G8" s="6">
        <v>5.4607508532422038E-3</v>
      </c>
      <c r="H8" s="4" t="s">
        <v>700</v>
      </c>
      <c r="I8" s="5">
        <v>1.7</v>
      </c>
      <c r="J8" s="5">
        <v>9.36</v>
      </c>
      <c r="K8" s="5">
        <v>43.12</v>
      </c>
      <c r="L8" s="5">
        <f t="shared" si="0"/>
        <v>38.808</v>
      </c>
      <c r="M8" s="5" t="b">
        <f t="shared" si="1"/>
        <v>0</v>
      </c>
    </row>
    <row r="9" spans="1:13" ht="20.100000000000001" customHeight="1" x14ac:dyDescent="0.25">
      <c r="A9" s="23" t="s">
        <v>702</v>
      </c>
      <c r="B9" s="19" t="s">
        <v>703</v>
      </c>
      <c r="C9" s="4">
        <v>99.3</v>
      </c>
      <c r="D9" s="4">
        <v>99.17</v>
      </c>
      <c r="E9" s="4">
        <v>100.26</v>
      </c>
      <c r="F9" s="5">
        <v>99.54</v>
      </c>
      <c r="G9" s="6">
        <v>-2.4110910186860468E-3</v>
      </c>
      <c r="H9" s="6" t="s">
        <v>704</v>
      </c>
      <c r="I9" s="5">
        <v>2.48</v>
      </c>
      <c r="J9" s="5">
        <v>29.08</v>
      </c>
      <c r="K9" s="5">
        <v>98.28</v>
      </c>
      <c r="L9" s="5">
        <f>K9*0.9</f>
        <v>88.451999999999998</v>
      </c>
      <c r="M9" s="5" t="b">
        <f>L9&gt;C9</f>
        <v>0</v>
      </c>
    </row>
    <row r="10" spans="1:13" ht="20.100000000000001" customHeight="1" x14ac:dyDescent="0.25">
      <c r="A10" s="23" t="s">
        <v>230</v>
      </c>
      <c r="B10" s="19" t="s">
        <v>237</v>
      </c>
      <c r="C10" s="4">
        <v>84.2</v>
      </c>
      <c r="D10" s="4">
        <v>83.58</v>
      </c>
      <c r="E10" s="4">
        <v>84.48</v>
      </c>
      <c r="F10" s="5">
        <v>83.32</v>
      </c>
      <c r="G10" s="6">
        <v>1.0561689870379377E-2</v>
      </c>
      <c r="H10" s="6" t="s">
        <v>701</v>
      </c>
      <c r="I10" s="5">
        <v>1.98</v>
      </c>
      <c r="J10" s="5">
        <v>31.68</v>
      </c>
      <c r="K10" s="5">
        <v>84.2</v>
      </c>
      <c r="L10" s="5">
        <f t="shared" si="0"/>
        <v>75.78</v>
      </c>
      <c r="M10" s="5" t="b">
        <f t="shared" si="1"/>
        <v>0</v>
      </c>
    </row>
  </sheetData>
  <conditionalFormatting sqref="G10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0">
    <cfRule type="colorScale" priority="6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7"/>
  <sheetViews>
    <sheetView workbookViewId="0">
      <selection activeCell="M9" sqref="M9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23" t="s">
        <v>872</v>
      </c>
      <c r="B2" s="2" t="s">
        <v>879</v>
      </c>
      <c r="C2" s="4">
        <v>42.8</v>
      </c>
      <c r="D2" s="4">
        <v>42.23</v>
      </c>
      <c r="E2" s="4">
        <v>43.1</v>
      </c>
      <c r="F2" s="5">
        <v>42.15</v>
      </c>
      <c r="G2" s="6">
        <v>1.5421115065243145E-2</v>
      </c>
      <c r="H2" s="4" t="s">
        <v>880</v>
      </c>
      <c r="I2" s="5">
        <v>0.62</v>
      </c>
      <c r="J2" s="5">
        <v>43.1</v>
      </c>
      <c r="K2" s="5">
        <v>36.97</v>
      </c>
      <c r="L2" s="89">
        <f t="shared" ref="L2:L7" si="0">K2*0.9</f>
        <v>33.273000000000003</v>
      </c>
      <c r="M2" s="90" t="b">
        <f t="shared" ref="M2:M7" si="1">L2&gt;C2</f>
        <v>0</v>
      </c>
    </row>
    <row r="3" spans="1:13" ht="20.100000000000001" customHeight="1" x14ac:dyDescent="0.25">
      <c r="A3" s="23" t="s">
        <v>873</v>
      </c>
      <c r="B3" s="2" t="s">
        <v>881</v>
      </c>
      <c r="C3" s="4">
        <v>83.46</v>
      </c>
      <c r="D3" s="4">
        <v>82.15</v>
      </c>
      <c r="E3" s="4">
        <v>84.18</v>
      </c>
      <c r="F3" s="5">
        <v>81.760000000000005</v>
      </c>
      <c r="G3" s="6">
        <v>2.0792563600782639E-2</v>
      </c>
      <c r="H3" s="4" t="s">
        <v>882</v>
      </c>
      <c r="I3" s="5" t="s">
        <v>39</v>
      </c>
      <c r="J3" s="5">
        <v>23.51</v>
      </c>
      <c r="K3" s="5">
        <v>71.569999999999993</v>
      </c>
      <c r="L3" s="5">
        <f t="shared" si="0"/>
        <v>64.412999999999997</v>
      </c>
      <c r="M3" s="5" t="b">
        <f t="shared" si="1"/>
        <v>0</v>
      </c>
    </row>
    <row r="4" spans="1:13" ht="20.100000000000001" customHeight="1" x14ac:dyDescent="0.25">
      <c r="A4" s="23" t="s">
        <v>874</v>
      </c>
      <c r="B4" s="2" t="s">
        <v>883</v>
      </c>
      <c r="C4" s="4">
        <v>44.7</v>
      </c>
      <c r="D4" s="4">
        <v>43.84</v>
      </c>
      <c r="E4" s="4">
        <v>45.04</v>
      </c>
      <c r="F4" s="5">
        <v>43.76</v>
      </c>
      <c r="G4" s="6">
        <v>2.1480804387568667E-2</v>
      </c>
      <c r="H4" s="4" t="s">
        <v>637</v>
      </c>
      <c r="I4" s="5" t="s">
        <v>39</v>
      </c>
      <c r="J4" s="5">
        <v>186.25</v>
      </c>
      <c r="K4" s="5">
        <v>37.880000000000003</v>
      </c>
      <c r="L4" s="5">
        <f t="shared" si="0"/>
        <v>34.092000000000006</v>
      </c>
      <c r="M4" s="5" t="b">
        <f t="shared" si="1"/>
        <v>0</v>
      </c>
    </row>
    <row r="5" spans="1:13" ht="20.100000000000001" customHeight="1" x14ac:dyDescent="0.25">
      <c r="A5" s="23" t="s">
        <v>875</v>
      </c>
      <c r="B5" s="2" t="s">
        <v>884</v>
      </c>
      <c r="C5" s="4">
        <v>231.05</v>
      </c>
      <c r="D5" s="4">
        <v>228.5</v>
      </c>
      <c r="E5" s="4">
        <v>231.25</v>
      </c>
      <c r="F5" s="5">
        <v>223.97</v>
      </c>
      <c r="G5" s="6">
        <v>3.1611376523641613E-2</v>
      </c>
      <c r="H5" s="4" t="s">
        <v>885</v>
      </c>
      <c r="I5" s="5">
        <v>0.66</v>
      </c>
      <c r="J5" s="5" t="s">
        <v>39</v>
      </c>
      <c r="K5" s="5">
        <v>166.18</v>
      </c>
      <c r="L5" s="5">
        <f t="shared" si="0"/>
        <v>149.56200000000001</v>
      </c>
      <c r="M5" s="5" t="b">
        <f t="shared" si="1"/>
        <v>0</v>
      </c>
    </row>
    <row r="6" spans="1:13" ht="20.100000000000001" customHeight="1" x14ac:dyDescent="0.25">
      <c r="A6" s="23" t="s">
        <v>877</v>
      </c>
      <c r="B6" s="19" t="s">
        <v>886</v>
      </c>
      <c r="C6" s="4">
        <v>28.39</v>
      </c>
      <c r="D6" s="4">
        <v>28.04</v>
      </c>
      <c r="E6" s="4">
        <v>28.48</v>
      </c>
      <c r="F6" s="5">
        <v>28.03</v>
      </c>
      <c r="G6" s="6">
        <v>1.2843382090617176E-2</v>
      </c>
      <c r="H6" s="6" t="s">
        <v>887</v>
      </c>
      <c r="I6" s="5">
        <v>5.28</v>
      </c>
      <c r="J6" s="5">
        <v>7.48</v>
      </c>
      <c r="K6" s="5">
        <v>29.73</v>
      </c>
      <c r="L6" s="5">
        <f>K6*0.9</f>
        <v>26.757000000000001</v>
      </c>
      <c r="M6" s="5" t="b">
        <f>L6&gt;C6</f>
        <v>0</v>
      </c>
    </row>
    <row r="7" spans="1:13" ht="20.100000000000001" customHeight="1" x14ac:dyDescent="0.25">
      <c r="A7" s="23" t="s">
        <v>876</v>
      </c>
      <c r="B7" s="2" t="s">
        <v>888</v>
      </c>
      <c r="C7" s="4">
        <v>32.64</v>
      </c>
      <c r="D7" s="4">
        <v>32.53</v>
      </c>
      <c r="E7" s="4">
        <v>32.83</v>
      </c>
      <c r="F7" s="5">
        <v>32.14</v>
      </c>
      <c r="G7" s="6">
        <v>1.5556938394523958E-2</v>
      </c>
      <c r="H7" s="4" t="s">
        <v>889</v>
      </c>
      <c r="I7" s="5">
        <v>0.55000000000000004</v>
      </c>
      <c r="J7" s="5">
        <v>48.86</v>
      </c>
      <c r="K7" s="5">
        <v>27.62</v>
      </c>
      <c r="L7" s="5">
        <f t="shared" si="0"/>
        <v>24.858000000000001</v>
      </c>
      <c r="M7" s="5" t="b">
        <f t="shared" si="1"/>
        <v>0</v>
      </c>
    </row>
  </sheetData>
  <conditionalFormatting sqref="G1:G7">
    <cfRule type="colorScale" priority="7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9"/>
  <sheetViews>
    <sheetView workbookViewId="0">
      <selection activeCell="A9" sqref="A9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83" t="s">
        <v>37</v>
      </c>
      <c r="B2" s="83" t="s">
        <v>61</v>
      </c>
      <c r="C2" s="88">
        <v>87.44</v>
      </c>
      <c r="D2" s="88">
        <v>87.25</v>
      </c>
      <c r="E2" s="88">
        <v>87.87</v>
      </c>
      <c r="F2" s="85">
        <v>87.15</v>
      </c>
      <c r="G2" s="87">
        <v>3.3275960986803447E-3</v>
      </c>
      <c r="H2" s="88" t="s">
        <v>354</v>
      </c>
      <c r="I2" s="85">
        <v>1.56</v>
      </c>
      <c r="J2" s="85">
        <v>11.8</v>
      </c>
      <c r="K2" s="85">
        <v>83.73</v>
      </c>
      <c r="L2" s="91">
        <f t="shared" ref="L2:L8" si="0">K2*0.9</f>
        <v>75.356999999999999</v>
      </c>
      <c r="M2" s="92" t="b">
        <f t="shared" ref="M2:M9" si="1">L2&gt;C2</f>
        <v>0</v>
      </c>
    </row>
    <row r="3" spans="1:13" ht="20.100000000000001" customHeight="1" x14ac:dyDescent="0.25">
      <c r="A3" s="93" t="s">
        <v>33</v>
      </c>
      <c r="B3" s="83" t="s">
        <v>62</v>
      </c>
      <c r="C3" s="88">
        <v>79.73</v>
      </c>
      <c r="D3" s="88">
        <v>79.53</v>
      </c>
      <c r="E3" s="88">
        <v>80.14</v>
      </c>
      <c r="F3" s="85">
        <v>79.7</v>
      </c>
      <c r="G3" s="87">
        <v>3.7641154328734171E-4</v>
      </c>
      <c r="H3" s="88" t="s">
        <v>705</v>
      </c>
      <c r="I3" s="85">
        <v>2.25</v>
      </c>
      <c r="J3" s="85">
        <v>18.46</v>
      </c>
      <c r="K3" s="85">
        <v>80.959999999999994</v>
      </c>
      <c r="L3" s="85">
        <f t="shared" si="0"/>
        <v>72.86399999999999</v>
      </c>
      <c r="M3" s="85" t="b">
        <f t="shared" si="1"/>
        <v>0</v>
      </c>
    </row>
    <row r="4" spans="1:13" ht="20.100000000000001" customHeight="1" x14ac:dyDescent="0.25">
      <c r="A4" s="83" t="s">
        <v>34</v>
      </c>
      <c r="B4" s="83" t="s">
        <v>65</v>
      </c>
      <c r="C4" s="88">
        <v>182.98</v>
      </c>
      <c r="D4" s="88">
        <v>182.67</v>
      </c>
      <c r="E4" s="88">
        <v>184.44</v>
      </c>
      <c r="F4" s="85">
        <v>183.27</v>
      </c>
      <c r="G4" s="87">
        <v>-1.5823648169368716E-3</v>
      </c>
      <c r="H4" s="88" t="s">
        <v>708</v>
      </c>
      <c r="I4" s="85">
        <v>0.61</v>
      </c>
      <c r="J4" s="85">
        <v>19</v>
      </c>
      <c r="K4" s="85">
        <v>176.99</v>
      </c>
      <c r="L4" s="85">
        <f t="shared" si="0"/>
        <v>159.29100000000003</v>
      </c>
      <c r="M4" s="85" t="b">
        <f t="shared" si="1"/>
        <v>0</v>
      </c>
    </row>
    <row r="5" spans="1:13" ht="20.100000000000001" customHeight="1" x14ac:dyDescent="0.25">
      <c r="A5" s="2" t="s">
        <v>32</v>
      </c>
      <c r="B5" s="2" t="s">
        <v>64</v>
      </c>
      <c r="C5" s="4">
        <v>72.540000000000006</v>
      </c>
      <c r="D5" s="4">
        <v>71.94</v>
      </c>
      <c r="E5" s="4">
        <v>72.680000000000007</v>
      </c>
      <c r="F5" s="5">
        <v>72.22</v>
      </c>
      <c r="G5" s="6">
        <v>4.43090556632522E-3</v>
      </c>
      <c r="H5" s="4" t="s">
        <v>707</v>
      </c>
      <c r="I5" s="5" t="s">
        <v>39</v>
      </c>
      <c r="J5" s="5">
        <v>17.920000000000002</v>
      </c>
      <c r="K5" s="5">
        <v>73.510000000000005</v>
      </c>
      <c r="L5" s="5">
        <f t="shared" si="0"/>
        <v>66.159000000000006</v>
      </c>
      <c r="M5" s="5" t="b">
        <f t="shared" si="1"/>
        <v>0</v>
      </c>
    </row>
    <row r="6" spans="1:13" ht="20.100000000000001" customHeight="1" x14ac:dyDescent="0.25">
      <c r="A6" s="2" t="s">
        <v>31</v>
      </c>
      <c r="B6" s="2" t="s">
        <v>63</v>
      </c>
      <c r="C6" s="4">
        <v>93.84</v>
      </c>
      <c r="D6" s="4">
        <v>93.52</v>
      </c>
      <c r="E6" s="4">
        <v>94.2</v>
      </c>
      <c r="F6" s="5">
        <v>93.37</v>
      </c>
      <c r="G6" s="6">
        <v>5.033736746278235E-3</v>
      </c>
      <c r="H6" s="4" t="s">
        <v>706</v>
      </c>
      <c r="I6" s="5">
        <v>1.82</v>
      </c>
      <c r="J6" s="5">
        <v>21.59</v>
      </c>
      <c r="K6" s="5">
        <v>98.51</v>
      </c>
      <c r="L6" s="5">
        <f t="shared" si="0"/>
        <v>88.659000000000006</v>
      </c>
      <c r="M6" s="5" t="b">
        <f t="shared" si="1"/>
        <v>0</v>
      </c>
    </row>
    <row r="7" spans="1:13" ht="20.100000000000001" customHeight="1" x14ac:dyDescent="0.25">
      <c r="A7" s="2" t="s">
        <v>35</v>
      </c>
      <c r="B7" s="2" t="s">
        <v>66</v>
      </c>
      <c r="C7" s="4">
        <v>25.95</v>
      </c>
      <c r="D7" s="4">
        <v>25.09</v>
      </c>
      <c r="E7" s="4">
        <v>26</v>
      </c>
      <c r="F7" s="5">
        <v>25.19</v>
      </c>
      <c r="G7" s="6">
        <v>3.017070265978555E-2</v>
      </c>
      <c r="H7" s="4" t="s">
        <v>709</v>
      </c>
      <c r="I7" s="5" t="s">
        <v>39</v>
      </c>
      <c r="J7" s="5">
        <v>26.81</v>
      </c>
      <c r="K7" s="5">
        <v>24.58</v>
      </c>
      <c r="L7" s="5">
        <f t="shared" si="0"/>
        <v>22.122</v>
      </c>
      <c r="M7" s="5" t="b">
        <f t="shared" si="1"/>
        <v>0</v>
      </c>
    </row>
    <row r="8" spans="1:13" ht="20.100000000000001" customHeight="1" x14ac:dyDescent="0.25">
      <c r="A8" s="1" t="s">
        <v>36</v>
      </c>
      <c r="B8" s="2" t="s">
        <v>67</v>
      </c>
      <c r="C8" s="4">
        <v>136.61000000000001</v>
      </c>
      <c r="D8" s="4">
        <v>135.76</v>
      </c>
      <c r="E8" s="4">
        <v>136.78</v>
      </c>
      <c r="F8" s="5">
        <v>135.74</v>
      </c>
      <c r="G8" s="6">
        <v>6.4093119198467986E-3</v>
      </c>
      <c r="H8" s="4" t="s">
        <v>436</v>
      </c>
      <c r="I8" s="5">
        <v>1.83</v>
      </c>
      <c r="J8" s="5">
        <v>21.38</v>
      </c>
      <c r="K8" s="5">
        <v>133.54</v>
      </c>
      <c r="L8" s="5">
        <f t="shared" si="0"/>
        <v>120.18599999999999</v>
      </c>
      <c r="M8" s="5" t="b">
        <f t="shared" si="1"/>
        <v>0</v>
      </c>
    </row>
    <row r="9" spans="1:13" ht="20.100000000000001" customHeight="1" x14ac:dyDescent="0.25">
      <c r="A9" s="81" t="s">
        <v>145</v>
      </c>
      <c r="B9" s="19" t="s">
        <v>290</v>
      </c>
      <c r="C9" s="4">
        <v>31.8</v>
      </c>
      <c r="D9" s="4">
        <v>31.5</v>
      </c>
      <c r="E9" s="4">
        <v>31.9</v>
      </c>
      <c r="F9" s="5">
        <v>31.61</v>
      </c>
      <c r="G9" s="6">
        <v>6.0107560898450263E-3</v>
      </c>
      <c r="H9" s="6" t="s">
        <v>457</v>
      </c>
      <c r="I9" s="5" t="s">
        <v>39</v>
      </c>
      <c r="J9" s="5">
        <v>23.86</v>
      </c>
      <c r="K9" s="5">
        <v>32.799999999999997</v>
      </c>
      <c r="L9" s="5">
        <f>K9*0.9</f>
        <v>29.52</v>
      </c>
      <c r="M9" s="5" t="b">
        <f t="shared" si="1"/>
        <v>0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M7"/>
  <sheetViews>
    <sheetView workbookViewId="0">
      <selection activeCell="H25" sqref="H25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2" t="s">
        <v>929</v>
      </c>
      <c r="B2" s="2" t="s">
        <v>935</v>
      </c>
      <c r="C2" s="4">
        <v>88.2</v>
      </c>
      <c r="D2" s="4">
        <v>88.04</v>
      </c>
      <c r="E2" s="4">
        <v>88.87</v>
      </c>
      <c r="F2" s="5">
        <v>88.31</v>
      </c>
      <c r="G2" s="6">
        <v>-1.2456120484656259E-3</v>
      </c>
      <c r="H2" s="4" t="s">
        <v>936</v>
      </c>
      <c r="I2" s="5">
        <v>3.03</v>
      </c>
      <c r="J2" s="4">
        <v>23.88</v>
      </c>
      <c r="K2" s="4">
        <v>83.47</v>
      </c>
      <c r="L2" s="79">
        <f t="shared" ref="L2:L7" si="0">K2*0.89</f>
        <v>74.288300000000007</v>
      </c>
      <c r="M2" s="80" t="b">
        <f t="shared" ref="M2:M7" si="1">L2&gt;C2</f>
        <v>0</v>
      </c>
    </row>
    <row r="3" spans="1:13" ht="20.100000000000001" customHeight="1" x14ac:dyDescent="0.25">
      <c r="A3" s="1" t="s">
        <v>930</v>
      </c>
      <c r="B3" s="2" t="s">
        <v>937</v>
      </c>
      <c r="C3" s="4">
        <v>53.57</v>
      </c>
      <c r="D3" s="4">
        <v>53.35</v>
      </c>
      <c r="E3" s="4">
        <v>53.96</v>
      </c>
      <c r="F3" s="5">
        <v>53.22</v>
      </c>
      <c r="G3" s="6">
        <v>6.5764750093949909E-3</v>
      </c>
      <c r="H3" s="4" t="s">
        <v>938</v>
      </c>
      <c r="I3" s="5">
        <v>1.43</v>
      </c>
      <c r="J3" s="4">
        <v>51.96</v>
      </c>
      <c r="K3" s="4">
        <v>46.87</v>
      </c>
      <c r="L3" s="70">
        <f t="shared" si="0"/>
        <v>41.714300000000001</v>
      </c>
      <c r="M3" s="70" t="b">
        <f t="shared" si="1"/>
        <v>0</v>
      </c>
    </row>
    <row r="4" spans="1:13" ht="20.100000000000001" customHeight="1" x14ac:dyDescent="0.25">
      <c r="A4" s="2" t="s">
        <v>931</v>
      </c>
      <c r="B4" s="2" t="s">
        <v>939</v>
      </c>
      <c r="C4" s="4">
        <v>131.97</v>
      </c>
      <c r="D4" s="4">
        <v>131.1</v>
      </c>
      <c r="E4" s="4">
        <v>132.19</v>
      </c>
      <c r="F4" s="5">
        <v>131.04</v>
      </c>
      <c r="G4" s="6">
        <v>7.0970695970696499E-3</v>
      </c>
      <c r="H4" s="4" t="s">
        <v>940</v>
      </c>
      <c r="I4" s="5">
        <v>2.44</v>
      </c>
      <c r="J4" s="4">
        <v>26.82</v>
      </c>
      <c r="K4" s="4">
        <v>130.28</v>
      </c>
      <c r="L4" s="70">
        <f t="shared" si="0"/>
        <v>115.9492</v>
      </c>
      <c r="M4" s="70" t="b">
        <f t="shared" si="1"/>
        <v>0</v>
      </c>
    </row>
    <row r="5" spans="1:13" ht="20.100000000000001" customHeight="1" x14ac:dyDescent="0.25">
      <c r="A5" s="2" t="s">
        <v>932</v>
      </c>
      <c r="B5" s="2" t="s">
        <v>941</v>
      </c>
      <c r="C5" s="4">
        <v>74.89</v>
      </c>
      <c r="D5" s="4">
        <v>74.59</v>
      </c>
      <c r="E5" s="4">
        <v>75.349999999999994</v>
      </c>
      <c r="F5" s="5">
        <v>74.27</v>
      </c>
      <c r="G5" s="6">
        <v>8.3479197522553471E-3</v>
      </c>
      <c r="H5" s="4" t="s">
        <v>942</v>
      </c>
      <c r="I5" s="5">
        <v>2.1</v>
      </c>
      <c r="J5" s="4">
        <v>48.22</v>
      </c>
      <c r="K5" s="4">
        <v>71.52</v>
      </c>
      <c r="L5" s="70">
        <f t="shared" si="0"/>
        <v>63.652799999999999</v>
      </c>
      <c r="M5" s="70" t="b">
        <f t="shared" si="1"/>
        <v>0</v>
      </c>
    </row>
    <row r="6" spans="1:13" ht="20.100000000000001" customHeight="1" x14ac:dyDescent="0.25">
      <c r="A6" s="2" t="s">
        <v>933</v>
      </c>
      <c r="B6" s="2" t="s">
        <v>943</v>
      </c>
      <c r="C6" s="4">
        <v>119.32</v>
      </c>
      <c r="D6" s="4">
        <v>118.9</v>
      </c>
      <c r="E6" s="4">
        <v>119.81</v>
      </c>
      <c r="F6" s="5">
        <v>119.08</v>
      </c>
      <c r="G6" s="6">
        <v>2.0154517971111429E-3</v>
      </c>
      <c r="H6" s="4" t="s">
        <v>944</v>
      </c>
      <c r="I6" s="5">
        <v>2.69</v>
      </c>
      <c r="J6" s="4">
        <v>22.24</v>
      </c>
      <c r="K6" s="4">
        <v>114.84</v>
      </c>
      <c r="L6" s="70">
        <f t="shared" si="0"/>
        <v>102.2076</v>
      </c>
      <c r="M6" s="70" t="b">
        <f t="shared" si="1"/>
        <v>0</v>
      </c>
    </row>
    <row r="7" spans="1:13" ht="20.100000000000001" customHeight="1" x14ac:dyDescent="0.25">
      <c r="A7" s="2" t="s">
        <v>934</v>
      </c>
      <c r="B7" s="2" t="s">
        <v>945</v>
      </c>
      <c r="C7" s="4">
        <v>128.82</v>
      </c>
      <c r="D7" s="4">
        <v>128.01</v>
      </c>
      <c r="E7" s="4">
        <v>129.46</v>
      </c>
      <c r="F7" s="5">
        <v>128.12</v>
      </c>
      <c r="G7" s="6">
        <v>5.4636278488915755E-3</v>
      </c>
      <c r="H7" s="4" t="s">
        <v>946</v>
      </c>
      <c r="I7" s="5">
        <v>2.87</v>
      </c>
      <c r="J7" s="4">
        <v>23.89</v>
      </c>
      <c r="K7" s="4">
        <v>131.44</v>
      </c>
      <c r="L7" s="70">
        <f t="shared" si="0"/>
        <v>116.9816</v>
      </c>
      <c r="M7" s="70" t="b">
        <f t="shared" si="1"/>
        <v>0</v>
      </c>
    </row>
  </sheetData>
  <conditionalFormatting sqref="G1:G1048576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7">
    <cfRule type="colorScale" priority="8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3"/>
  <sheetViews>
    <sheetView workbookViewId="0">
      <selection activeCell="L1" sqref="L1:M2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2" t="s">
        <v>125</v>
      </c>
      <c r="B2" s="2" t="s">
        <v>135</v>
      </c>
      <c r="C2" s="4">
        <v>131.16</v>
      </c>
      <c r="D2" s="4">
        <v>130.58000000000001</v>
      </c>
      <c r="E2" s="4">
        <v>131.96</v>
      </c>
      <c r="F2" s="5">
        <v>129.9</v>
      </c>
      <c r="G2" s="6">
        <v>9.6997690531177121E-3</v>
      </c>
      <c r="H2" s="4" t="s">
        <v>566</v>
      </c>
      <c r="I2" s="5">
        <v>3.36</v>
      </c>
      <c r="J2" s="4">
        <v>23.61</v>
      </c>
      <c r="K2" s="4">
        <v>129.5</v>
      </c>
      <c r="L2" s="5">
        <f t="shared" ref="L2:L13" si="0">K2*0.9</f>
        <v>116.55</v>
      </c>
      <c r="M2" s="5" t="b">
        <f t="shared" ref="M2:M13" si="1">L2&gt;C2</f>
        <v>0</v>
      </c>
    </row>
    <row r="3" spans="1:13" ht="20.100000000000001" customHeight="1" x14ac:dyDescent="0.25">
      <c r="A3" s="2" t="s">
        <v>128</v>
      </c>
      <c r="B3" s="2" t="s">
        <v>138</v>
      </c>
      <c r="C3" s="4">
        <v>52.91</v>
      </c>
      <c r="D3" s="4">
        <v>52.75</v>
      </c>
      <c r="E3" s="4">
        <v>53.16</v>
      </c>
      <c r="F3" s="5">
        <v>52.66</v>
      </c>
      <c r="G3" s="6">
        <v>4.7474363843524499E-3</v>
      </c>
      <c r="H3" s="4" t="s">
        <v>727</v>
      </c>
      <c r="I3" s="5">
        <v>3.55</v>
      </c>
      <c r="J3" s="4">
        <v>18.739999999999998</v>
      </c>
      <c r="K3" s="4">
        <v>53.06</v>
      </c>
      <c r="L3" s="5">
        <f t="shared" si="0"/>
        <v>47.754000000000005</v>
      </c>
      <c r="M3" s="5" t="b">
        <f t="shared" si="1"/>
        <v>0</v>
      </c>
    </row>
    <row r="4" spans="1:13" ht="20.100000000000001" customHeight="1" x14ac:dyDescent="0.25">
      <c r="A4" s="2" t="s">
        <v>127</v>
      </c>
      <c r="B4" s="2" t="s">
        <v>137</v>
      </c>
      <c r="C4" s="11">
        <v>31.29</v>
      </c>
      <c r="D4" s="4">
        <v>31.23</v>
      </c>
      <c r="E4" s="4">
        <v>31.45</v>
      </c>
      <c r="F4" s="5">
        <v>31.2</v>
      </c>
      <c r="G4" s="26">
        <v>2.88461538461538E-3</v>
      </c>
      <c r="H4" s="6" t="s">
        <v>728</v>
      </c>
      <c r="I4" s="5">
        <v>2.93</v>
      </c>
      <c r="J4" s="4">
        <v>26.43</v>
      </c>
      <c r="K4" s="4">
        <v>30.76</v>
      </c>
      <c r="L4" s="5">
        <f t="shared" si="0"/>
        <v>27.684000000000001</v>
      </c>
      <c r="M4" s="5" t="b">
        <f t="shared" si="1"/>
        <v>0</v>
      </c>
    </row>
    <row r="5" spans="1:13" ht="20.100000000000001" customHeight="1" x14ac:dyDescent="0.25">
      <c r="A5" s="1" t="s">
        <v>129</v>
      </c>
      <c r="B5" s="2" t="s">
        <v>161</v>
      </c>
      <c r="C5" s="20">
        <v>32.159999999999997</v>
      </c>
      <c r="D5" s="20">
        <v>31.85</v>
      </c>
      <c r="E5" s="20">
        <v>32.200000000000003</v>
      </c>
      <c r="F5" s="5">
        <v>31.8</v>
      </c>
      <c r="G5" s="26">
        <v>1.1320754716981003E-2</v>
      </c>
      <c r="H5" s="6" t="s">
        <v>720</v>
      </c>
      <c r="I5" s="5">
        <v>4.8</v>
      </c>
      <c r="J5" s="4">
        <v>4.12</v>
      </c>
      <c r="K5" s="4">
        <v>30.64</v>
      </c>
      <c r="L5" s="5">
        <f t="shared" si="0"/>
        <v>27.576000000000001</v>
      </c>
      <c r="M5" s="5" t="b">
        <f t="shared" si="1"/>
        <v>0</v>
      </c>
    </row>
    <row r="6" spans="1:13" ht="20.100000000000001" customHeight="1" x14ac:dyDescent="0.25">
      <c r="A6" s="2" t="s">
        <v>126</v>
      </c>
      <c r="B6" s="2" t="s">
        <v>136</v>
      </c>
      <c r="C6" s="4">
        <v>180.81</v>
      </c>
      <c r="D6" s="4">
        <v>180.09</v>
      </c>
      <c r="E6" s="4">
        <v>181.49</v>
      </c>
      <c r="F6" s="5">
        <v>179.98</v>
      </c>
      <c r="G6" s="6">
        <v>4.6116235137238165E-3</v>
      </c>
      <c r="H6" s="4" t="s">
        <v>729</v>
      </c>
      <c r="I6" s="5">
        <v>2.4700000000000002</v>
      </c>
      <c r="J6" s="4">
        <v>23.08</v>
      </c>
      <c r="K6" s="4">
        <v>170.23</v>
      </c>
      <c r="L6" s="5">
        <f t="shared" si="0"/>
        <v>153.20699999999999</v>
      </c>
      <c r="M6" s="5" t="b">
        <f t="shared" si="1"/>
        <v>0</v>
      </c>
    </row>
    <row r="7" spans="1:13" ht="20.100000000000001" customHeight="1" x14ac:dyDescent="0.25">
      <c r="A7" s="1" t="s">
        <v>121</v>
      </c>
      <c r="B7" s="2" t="s">
        <v>131</v>
      </c>
      <c r="C7" s="11">
        <v>33.950000000000003</v>
      </c>
      <c r="D7" s="4">
        <v>33.799999999999997</v>
      </c>
      <c r="E7" s="4">
        <v>34.14</v>
      </c>
      <c r="F7" s="5">
        <v>33.700000000000003</v>
      </c>
      <c r="G7" s="26">
        <v>7.418397626112759E-3</v>
      </c>
      <c r="H7" s="6" t="s">
        <v>669</v>
      </c>
      <c r="I7" s="5">
        <v>3.03</v>
      </c>
      <c r="J7" s="4">
        <v>20.39</v>
      </c>
      <c r="K7" s="4">
        <v>32.81</v>
      </c>
      <c r="L7" s="5">
        <f t="shared" si="0"/>
        <v>29.529000000000003</v>
      </c>
      <c r="M7" s="5" t="b">
        <f t="shared" si="1"/>
        <v>0</v>
      </c>
    </row>
    <row r="8" spans="1:13" ht="20.100000000000001" customHeight="1" x14ac:dyDescent="0.25">
      <c r="A8" s="1" t="s">
        <v>123</v>
      </c>
      <c r="B8" s="2" t="s">
        <v>133</v>
      </c>
      <c r="C8" s="4">
        <v>24.25</v>
      </c>
      <c r="D8" s="4">
        <v>24.09</v>
      </c>
      <c r="E8" s="4">
        <v>24.4</v>
      </c>
      <c r="F8" s="5">
        <v>24.05</v>
      </c>
      <c r="G8" s="6">
        <v>8.316008316008287E-3</v>
      </c>
      <c r="H8" s="4" t="s">
        <v>730</v>
      </c>
      <c r="I8" s="5">
        <v>1.79</v>
      </c>
      <c r="J8" s="4">
        <v>6.26</v>
      </c>
      <c r="K8" s="4">
        <v>19.59</v>
      </c>
      <c r="L8" s="5">
        <f t="shared" si="0"/>
        <v>17.631</v>
      </c>
      <c r="M8" s="5" t="b">
        <f t="shared" si="1"/>
        <v>0</v>
      </c>
    </row>
    <row r="9" spans="1:13" ht="20.100000000000001" customHeight="1" x14ac:dyDescent="0.25">
      <c r="A9" s="1" t="s">
        <v>122</v>
      </c>
      <c r="B9" s="2" t="s">
        <v>132</v>
      </c>
      <c r="C9" s="4">
        <v>106.93</v>
      </c>
      <c r="D9" s="4">
        <v>106.48</v>
      </c>
      <c r="E9" s="4">
        <v>107.72</v>
      </c>
      <c r="F9" s="5">
        <v>106.72</v>
      </c>
      <c r="G9" s="6">
        <v>1.9677661169416037E-3</v>
      </c>
      <c r="H9" s="4" t="s">
        <v>731</v>
      </c>
      <c r="I9" s="5">
        <v>2.4700000000000002</v>
      </c>
      <c r="J9" s="4">
        <v>12.61</v>
      </c>
      <c r="K9" s="4">
        <v>101.95</v>
      </c>
      <c r="L9" s="5">
        <f t="shared" si="0"/>
        <v>91.75500000000001</v>
      </c>
      <c r="M9" s="5" t="b">
        <f t="shared" si="1"/>
        <v>0</v>
      </c>
    </row>
    <row r="10" spans="1:13" ht="20.100000000000001" customHeight="1" x14ac:dyDescent="0.25">
      <c r="A10" s="1" t="s">
        <v>124</v>
      </c>
      <c r="B10" s="2" t="s">
        <v>134</v>
      </c>
      <c r="C10" s="11">
        <v>63.77</v>
      </c>
      <c r="D10" s="4">
        <v>63.03</v>
      </c>
      <c r="E10" s="4">
        <v>63.78</v>
      </c>
      <c r="F10" s="5">
        <v>62.99</v>
      </c>
      <c r="G10" s="26">
        <v>1.2382917923479935E-2</v>
      </c>
      <c r="H10" s="6" t="s">
        <v>570</v>
      </c>
      <c r="I10" s="5">
        <v>0.7</v>
      </c>
      <c r="J10" s="4">
        <v>24.3</v>
      </c>
      <c r="K10" s="4">
        <v>55.37</v>
      </c>
      <c r="L10" s="5">
        <f t="shared" si="0"/>
        <v>49.832999999999998</v>
      </c>
      <c r="M10" s="5" t="b">
        <f t="shared" si="1"/>
        <v>0</v>
      </c>
    </row>
    <row r="11" spans="1:13" ht="20.100000000000001" customHeight="1" x14ac:dyDescent="0.25">
      <c r="A11" s="2" t="s">
        <v>275</v>
      </c>
      <c r="B11" s="2" t="s">
        <v>276</v>
      </c>
      <c r="C11" s="20">
        <v>116.39</v>
      </c>
      <c r="D11" s="20">
        <v>115.81</v>
      </c>
      <c r="E11" s="20">
        <v>116.94</v>
      </c>
      <c r="F11" s="5">
        <v>116.13</v>
      </c>
      <c r="G11" s="26">
        <v>2.2388702316370026E-3</v>
      </c>
      <c r="H11" s="6" t="s">
        <v>732</v>
      </c>
      <c r="I11" s="5">
        <v>2.0499999999999998</v>
      </c>
      <c r="J11" s="4">
        <v>18.41</v>
      </c>
      <c r="K11" s="4">
        <v>113.76</v>
      </c>
      <c r="L11" s="5">
        <f t="shared" si="0"/>
        <v>102.384</v>
      </c>
      <c r="M11" s="5" t="b">
        <f t="shared" si="1"/>
        <v>0</v>
      </c>
    </row>
    <row r="12" spans="1:13" ht="20.100000000000001" customHeight="1" x14ac:dyDescent="0.25">
      <c r="A12" s="2" t="s">
        <v>277</v>
      </c>
      <c r="B12" s="2" t="s">
        <v>278</v>
      </c>
      <c r="C12" s="20">
        <v>81.69</v>
      </c>
      <c r="D12" s="20">
        <v>81.47</v>
      </c>
      <c r="E12" s="20">
        <v>82.36</v>
      </c>
      <c r="F12" s="5">
        <v>81.45</v>
      </c>
      <c r="G12" s="26">
        <v>2.9465930018415577E-3</v>
      </c>
      <c r="H12" s="6" t="s">
        <v>733</v>
      </c>
      <c r="I12" s="5">
        <v>3.73</v>
      </c>
      <c r="J12" s="4">
        <v>54.46</v>
      </c>
      <c r="K12" s="4">
        <v>76.16</v>
      </c>
      <c r="L12" s="5">
        <f t="shared" si="0"/>
        <v>68.543999999999997</v>
      </c>
      <c r="M12" s="5" t="b">
        <f t="shared" si="1"/>
        <v>0</v>
      </c>
    </row>
    <row r="13" spans="1:13" ht="20.100000000000001" customHeight="1" x14ac:dyDescent="0.25">
      <c r="A13" s="81" t="s">
        <v>458</v>
      </c>
      <c r="B13" s="2" t="s">
        <v>460</v>
      </c>
      <c r="C13" s="20">
        <v>12.5</v>
      </c>
      <c r="D13" s="20">
        <v>12.46</v>
      </c>
      <c r="E13" s="20">
        <v>12.57</v>
      </c>
      <c r="F13" s="5">
        <v>12.44</v>
      </c>
      <c r="G13" s="26">
        <v>4.8231511254019695E-3</v>
      </c>
      <c r="H13" s="6" t="s">
        <v>725</v>
      </c>
      <c r="I13" s="5">
        <v>4.82</v>
      </c>
      <c r="J13" s="4">
        <v>5.9</v>
      </c>
      <c r="K13" s="4">
        <v>13.02</v>
      </c>
      <c r="L13" s="5">
        <f t="shared" si="0"/>
        <v>11.718</v>
      </c>
      <c r="M13" s="5" t="b">
        <f t="shared" si="1"/>
        <v>0</v>
      </c>
    </row>
  </sheetData>
  <conditionalFormatting sqref="G9">
    <cfRule type="colorScale" priority="1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3">
    <cfRule type="colorScale" priority="3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1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2" t="s">
        <v>530</v>
      </c>
      <c r="B2" s="2" t="s">
        <v>744</v>
      </c>
      <c r="C2" s="4">
        <v>68.53</v>
      </c>
      <c r="D2" s="4">
        <v>68.14</v>
      </c>
      <c r="E2" s="4">
        <v>68.97</v>
      </c>
      <c r="F2" s="5">
        <v>68.16</v>
      </c>
      <c r="G2" s="6">
        <v>5.4284037558686117E-3</v>
      </c>
      <c r="H2" s="4" t="s">
        <v>745</v>
      </c>
      <c r="I2" s="5">
        <v>1.88</v>
      </c>
      <c r="J2" s="4">
        <v>12.62</v>
      </c>
      <c r="K2" s="4">
        <v>63.77</v>
      </c>
      <c r="L2" s="5">
        <f t="shared" ref="L2:L18" si="0">K2*0.9</f>
        <v>57.393000000000001</v>
      </c>
      <c r="M2" s="5" t="b">
        <f t="shared" ref="M2:M13" si="1">L2&gt;C2</f>
        <v>0</v>
      </c>
    </row>
    <row r="3" spans="1:13" ht="20.100000000000001" customHeight="1" x14ac:dyDescent="0.25">
      <c r="A3" s="2" t="s">
        <v>734</v>
      </c>
      <c r="B3" s="2" t="s">
        <v>746</v>
      </c>
      <c r="C3" s="4">
        <v>64.02</v>
      </c>
      <c r="D3" s="4">
        <v>63.49</v>
      </c>
      <c r="E3" s="4">
        <v>64.17</v>
      </c>
      <c r="F3" s="5">
        <v>63.21</v>
      </c>
      <c r="G3" s="6">
        <v>1.2814428096820046E-2</v>
      </c>
      <c r="H3" s="4" t="s">
        <v>747</v>
      </c>
      <c r="I3" s="5">
        <v>2.15</v>
      </c>
      <c r="J3" s="4" t="s">
        <v>39</v>
      </c>
      <c r="K3" s="4">
        <v>58</v>
      </c>
      <c r="L3" s="5">
        <f t="shared" si="0"/>
        <v>52.2</v>
      </c>
      <c r="M3" s="5" t="b">
        <f t="shared" si="1"/>
        <v>0</v>
      </c>
    </row>
    <row r="4" spans="1:13" ht="20.100000000000001" customHeight="1" x14ac:dyDescent="0.25">
      <c r="A4" s="2" t="s">
        <v>735</v>
      </c>
      <c r="B4" s="2" t="s">
        <v>748</v>
      </c>
      <c r="C4" s="11">
        <v>50.92</v>
      </c>
      <c r="D4" s="4">
        <v>50.53</v>
      </c>
      <c r="E4" s="4">
        <v>51.22</v>
      </c>
      <c r="F4" s="5">
        <v>50.41</v>
      </c>
      <c r="G4" s="26">
        <v>1.0117040269787842E-2</v>
      </c>
      <c r="H4" s="6" t="s">
        <v>749</v>
      </c>
      <c r="I4" s="5">
        <v>1.22</v>
      </c>
      <c r="J4" s="4">
        <v>27.19</v>
      </c>
      <c r="K4" s="4">
        <v>43.85</v>
      </c>
      <c r="L4" s="5">
        <f t="shared" si="0"/>
        <v>39.465000000000003</v>
      </c>
      <c r="M4" s="5" t="b">
        <f t="shared" si="1"/>
        <v>0</v>
      </c>
    </row>
    <row r="5" spans="1:13" ht="20.100000000000001" customHeight="1" x14ac:dyDescent="0.25">
      <c r="A5" s="2" t="s">
        <v>736</v>
      </c>
      <c r="B5" s="2" t="s">
        <v>750</v>
      </c>
      <c r="C5" s="20">
        <v>45.59</v>
      </c>
      <c r="D5" s="20">
        <v>45.32</v>
      </c>
      <c r="E5" s="20">
        <v>46.06</v>
      </c>
      <c r="F5" s="5">
        <v>45.01</v>
      </c>
      <c r="G5" s="26">
        <v>1.2886025327705075E-2</v>
      </c>
      <c r="H5" s="6" t="s">
        <v>751</v>
      </c>
      <c r="I5" s="5">
        <v>1.92</v>
      </c>
      <c r="J5" s="4">
        <v>37.07</v>
      </c>
      <c r="K5" s="4">
        <v>42.25</v>
      </c>
      <c r="L5" s="5">
        <f t="shared" si="0"/>
        <v>38.024999999999999</v>
      </c>
      <c r="M5" s="5" t="b">
        <f t="shared" si="1"/>
        <v>0</v>
      </c>
    </row>
    <row r="6" spans="1:13" ht="20.100000000000001" customHeight="1" x14ac:dyDescent="0.25">
      <c r="A6" s="2" t="s">
        <v>737</v>
      </c>
      <c r="B6" s="2" t="s">
        <v>752</v>
      </c>
      <c r="C6" s="4">
        <v>182.15</v>
      </c>
      <c r="D6" s="4">
        <v>180.71</v>
      </c>
      <c r="E6" s="4">
        <v>182.24</v>
      </c>
      <c r="F6" s="5">
        <v>180.71</v>
      </c>
      <c r="G6" s="6">
        <v>7.9685684245476042E-3</v>
      </c>
      <c r="H6" s="4" t="s">
        <v>753</v>
      </c>
      <c r="I6" s="5">
        <v>0.66</v>
      </c>
      <c r="J6" s="4">
        <v>27.4</v>
      </c>
      <c r="K6" s="4">
        <v>174.05</v>
      </c>
      <c r="L6" s="5">
        <f t="shared" si="0"/>
        <v>156.64500000000001</v>
      </c>
      <c r="M6" s="5" t="b">
        <f t="shared" si="1"/>
        <v>0</v>
      </c>
    </row>
    <row r="7" spans="1:13" ht="20.100000000000001" customHeight="1" x14ac:dyDescent="0.25">
      <c r="A7" s="2" t="s">
        <v>738</v>
      </c>
      <c r="B7" s="2" t="s">
        <v>754</v>
      </c>
      <c r="C7" s="11">
        <v>26.16</v>
      </c>
      <c r="D7" s="4">
        <v>25.8</v>
      </c>
      <c r="E7" s="4">
        <v>26.18</v>
      </c>
      <c r="F7" s="5">
        <v>25.74</v>
      </c>
      <c r="G7" s="26">
        <v>1.6317016317016386E-2</v>
      </c>
      <c r="H7" s="6" t="s">
        <v>755</v>
      </c>
      <c r="I7" s="5" t="s">
        <v>39</v>
      </c>
      <c r="J7" s="4">
        <v>17.68</v>
      </c>
      <c r="K7" s="4">
        <v>23.35</v>
      </c>
      <c r="L7" s="5">
        <f t="shared" si="0"/>
        <v>21.015000000000001</v>
      </c>
      <c r="M7" s="5" t="b">
        <f t="shared" si="1"/>
        <v>0</v>
      </c>
    </row>
    <row r="8" spans="1:13" ht="20.100000000000001" customHeight="1" x14ac:dyDescent="0.25">
      <c r="A8" s="2" t="s">
        <v>532</v>
      </c>
      <c r="B8" s="2" t="s">
        <v>536</v>
      </c>
      <c r="C8" s="4">
        <v>51.08</v>
      </c>
      <c r="D8" s="4">
        <v>50.9</v>
      </c>
      <c r="E8" s="4">
        <v>51.28</v>
      </c>
      <c r="F8" s="5">
        <v>50.72</v>
      </c>
      <c r="G8" s="6">
        <v>7.0977917981072444E-3</v>
      </c>
      <c r="H8" s="4" t="s">
        <v>756</v>
      </c>
      <c r="I8" s="5">
        <v>2.52</v>
      </c>
      <c r="J8" s="4">
        <v>24.55</v>
      </c>
      <c r="K8" s="4">
        <v>48.9</v>
      </c>
      <c r="L8" s="5">
        <f t="shared" si="0"/>
        <v>44.01</v>
      </c>
      <c r="M8" s="5" t="b">
        <f t="shared" si="1"/>
        <v>0</v>
      </c>
    </row>
    <row r="9" spans="1:13" ht="20.100000000000001" customHeight="1" x14ac:dyDescent="0.25">
      <c r="A9" s="2" t="s">
        <v>739</v>
      </c>
      <c r="B9" s="2" t="s">
        <v>757</v>
      </c>
      <c r="C9" s="4">
        <v>52.25</v>
      </c>
      <c r="D9" s="4">
        <v>51.91</v>
      </c>
      <c r="E9" s="4">
        <v>52.46</v>
      </c>
      <c r="F9" s="5">
        <v>52.03</v>
      </c>
      <c r="G9" s="6">
        <v>4.2283298097251362E-3</v>
      </c>
      <c r="H9" s="4" t="s">
        <v>758</v>
      </c>
      <c r="I9" s="5" t="s">
        <v>39</v>
      </c>
      <c r="J9" s="4">
        <v>30.29</v>
      </c>
      <c r="K9" s="4">
        <v>47.88</v>
      </c>
      <c r="L9" s="5">
        <f t="shared" si="0"/>
        <v>43.092000000000006</v>
      </c>
      <c r="M9" s="5" t="b">
        <f t="shared" si="1"/>
        <v>0</v>
      </c>
    </row>
    <row r="10" spans="1:13" ht="20.100000000000001" customHeight="1" x14ac:dyDescent="0.25">
      <c r="A10" s="2" t="s">
        <v>740</v>
      </c>
      <c r="B10" s="2" t="s">
        <v>759</v>
      </c>
      <c r="C10" s="11">
        <v>123.51</v>
      </c>
      <c r="D10" s="4">
        <v>123.08</v>
      </c>
      <c r="E10" s="4">
        <v>124.33</v>
      </c>
      <c r="F10" s="5">
        <v>122.86</v>
      </c>
      <c r="G10" s="26">
        <v>5.2905746377991669E-3</v>
      </c>
      <c r="H10" s="6" t="s">
        <v>760</v>
      </c>
      <c r="I10" s="5">
        <v>2.0499999999999998</v>
      </c>
      <c r="J10" s="4">
        <v>20.97</v>
      </c>
      <c r="K10" s="4">
        <v>112.63</v>
      </c>
      <c r="L10" s="5">
        <f t="shared" si="0"/>
        <v>101.367</v>
      </c>
      <c r="M10" s="5" t="b">
        <f t="shared" si="1"/>
        <v>0</v>
      </c>
    </row>
    <row r="11" spans="1:13" ht="20.100000000000001" customHeight="1" x14ac:dyDescent="0.25">
      <c r="A11" s="2" t="s">
        <v>741</v>
      </c>
      <c r="B11" s="2" t="s">
        <v>761</v>
      </c>
      <c r="C11" s="20">
        <v>66.540000000000006</v>
      </c>
      <c r="D11" s="20">
        <v>66.09</v>
      </c>
      <c r="E11" s="20">
        <v>66.89</v>
      </c>
      <c r="F11" s="5">
        <v>65.94</v>
      </c>
      <c r="G11" s="26">
        <v>9.099181073703496E-3</v>
      </c>
      <c r="H11" s="6" t="s">
        <v>545</v>
      </c>
      <c r="I11" s="5">
        <v>2.68</v>
      </c>
      <c r="J11" s="4">
        <v>12.01</v>
      </c>
      <c r="K11" s="4">
        <v>64.790000000000006</v>
      </c>
      <c r="L11" s="5">
        <f t="shared" si="0"/>
        <v>58.311000000000007</v>
      </c>
      <c r="M11" s="5" t="b">
        <f t="shared" si="1"/>
        <v>0</v>
      </c>
    </row>
    <row r="12" spans="1:13" ht="20.100000000000001" customHeight="1" x14ac:dyDescent="0.25">
      <c r="A12" s="2" t="s">
        <v>126</v>
      </c>
      <c r="B12" s="2" t="s">
        <v>136</v>
      </c>
      <c r="C12" s="20">
        <v>180.81</v>
      </c>
      <c r="D12" s="20">
        <v>180.09</v>
      </c>
      <c r="E12" s="20">
        <v>181.49</v>
      </c>
      <c r="F12" s="5">
        <v>179.98</v>
      </c>
      <c r="G12" s="26">
        <v>4.6116235137238165E-3</v>
      </c>
      <c r="H12" s="6" t="s">
        <v>729</v>
      </c>
      <c r="I12" s="5">
        <v>2.4700000000000002</v>
      </c>
      <c r="J12" s="4">
        <v>23.08</v>
      </c>
      <c r="K12" s="4">
        <v>170.23</v>
      </c>
      <c r="L12" s="5">
        <f t="shared" si="0"/>
        <v>153.20699999999999</v>
      </c>
      <c r="M12" s="5" t="b">
        <f t="shared" si="1"/>
        <v>0</v>
      </c>
    </row>
    <row r="13" spans="1:13" ht="20.100000000000001" customHeight="1" x14ac:dyDescent="0.25">
      <c r="A13" s="2" t="s">
        <v>742</v>
      </c>
      <c r="B13" s="2" t="s">
        <v>762</v>
      </c>
      <c r="C13" s="20">
        <v>51.84</v>
      </c>
      <c r="D13" s="20">
        <v>51.62</v>
      </c>
      <c r="E13" s="20">
        <v>52.17</v>
      </c>
      <c r="F13" s="5">
        <v>51.79</v>
      </c>
      <c r="G13" s="26">
        <v>9.6543734311651413E-4</v>
      </c>
      <c r="H13" s="6" t="s">
        <v>542</v>
      </c>
      <c r="I13" s="5">
        <v>2.6</v>
      </c>
      <c r="J13" s="4">
        <v>18.96</v>
      </c>
      <c r="K13" s="4">
        <v>49.56</v>
      </c>
      <c r="L13" s="5">
        <f t="shared" si="0"/>
        <v>44.604000000000006</v>
      </c>
      <c r="M13" s="5" t="b">
        <f t="shared" si="1"/>
        <v>0</v>
      </c>
    </row>
    <row r="14" spans="1:13" ht="20.100000000000001" customHeight="1" x14ac:dyDescent="0.25">
      <c r="A14" s="2" t="s">
        <v>743</v>
      </c>
      <c r="B14" s="2" t="s">
        <v>763</v>
      </c>
      <c r="C14" s="20">
        <v>117.08</v>
      </c>
      <c r="D14" s="20">
        <v>116.62</v>
      </c>
      <c r="E14" s="20">
        <v>117.76</v>
      </c>
      <c r="F14" s="5">
        <v>116.43</v>
      </c>
      <c r="G14" s="26">
        <v>5.582753585845499E-3</v>
      </c>
      <c r="H14" s="6" t="s">
        <v>764</v>
      </c>
      <c r="I14" s="5">
        <v>2.4900000000000002</v>
      </c>
      <c r="J14" s="4">
        <v>20.83</v>
      </c>
      <c r="K14" s="4">
        <v>113.89</v>
      </c>
      <c r="L14" s="5">
        <f t="shared" si="0"/>
        <v>102.501</v>
      </c>
      <c r="M14" s="5" t="b">
        <f t="shared" ref="M14:M18" si="2">L14&gt;C14</f>
        <v>0</v>
      </c>
    </row>
    <row r="15" spans="1:13" ht="20.100000000000001" customHeight="1" x14ac:dyDescent="0.25">
      <c r="A15" s="2" t="s">
        <v>128</v>
      </c>
      <c r="B15" s="2" t="s">
        <v>138</v>
      </c>
      <c r="C15" s="20">
        <v>52.91</v>
      </c>
      <c r="D15" s="20">
        <v>52.75</v>
      </c>
      <c r="E15" s="20">
        <v>53.16</v>
      </c>
      <c r="F15" s="5">
        <v>52.66</v>
      </c>
      <c r="G15" s="26">
        <v>4.7474363843524499E-3</v>
      </c>
      <c r="H15" s="6" t="s">
        <v>727</v>
      </c>
      <c r="I15" s="5">
        <v>3.55</v>
      </c>
      <c r="J15" s="4">
        <v>18.739999999999998</v>
      </c>
      <c r="K15" s="4">
        <v>53.06</v>
      </c>
      <c r="L15" s="5">
        <f t="shared" si="0"/>
        <v>47.754000000000005</v>
      </c>
      <c r="M15" s="5" t="b">
        <f t="shared" si="2"/>
        <v>0</v>
      </c>
    </row>
    <row r="16" spans="1:13" ht="20.100000000000001" customHeight="1" x14ac:dyDescent="0.25">
      <c r="A16" s="2" t="s">
        <v>275</v>
      </c>
      <c r="B16" s="2" t="s">
        <v>276</v>
      </c>
      <c r="C16" s="20">
        <v>116.39</v>
      </c>
      <c r="D16" s="20">
        <v>115.81</v>
      </c>
      <c r="E16" s="20">
        <v>116.94</v>
      </c>
      <c r="F16" s="5">
        <v>116.13</v>
      </c>
      <c r="G16" s="26">
        <v>2.2388702316370026E-3</v>
      </c>
      <c r="H16" s="6" t="s">
        <v>732</v>
      </c>
      <c r="I16" s="5">
        <v>2.0499999999999998</v>
      </c>
      <c r="J16" s="4">
        <v>18.41</v>
      </c>
      <c r="K16" s="4">
        <v>113.76</v>
      </c>
      <c r="L16" s="5">
        <f t="shared" si="0"/>
        <v>102.384</v>
      </c>
      <c r="M16" s="5" t="b">
        <f t="shared" si="2"/>
        <v>0</v>
      </c>
    </row>
    <row r="17" spans="1:13" ht="20.100000000000001" customHeight="1" x14ac:dyDescent="0.25">
      <c r="A17" s="1" t="s">
        <v>122</v>
      </c>
      <c r="B17" s="2" t="s">
        <v>132</v>
      </c>
      <c r="C17" s="20">
        <v>106.93</v>
      </c>
      <c r="D17" s="20">
        <v>106.48</v>
      </c>
      <c r="E17" s="20">
        <v>107.72</v>
      </c>
      <c r="F17" s="5">
        <v>106.72</v>
      </c>
      <c r="G17" s="26">
        <v>1.9677661169416037E-3</v>
      </c>
      <c r="H17" s="6" t="s">
        <v>731</v>
      </c>
      <c r="I17" s="5">
        <v>2.4700000000000002</v>
      </c>
      <c r="J17" s="4">
        <v>12.61</v>
      </c>
      <c r="K17" s="4">
        <v>101.95</v>
      </c>
      <c r="L17" s="5">
        <f t="shared" si="0"/>
        <v>91.75500000000001</v>
      </c>
      <c r="M17" s="5" t="b">
        <f t="shared" si="2"/>
        <v>0</v>
      </c>
    </row>
    <row r="18" spans="1:13" ht="20.100000000000001" customHeight="1" x14ac:dyDescent="0.25">
      <c r="A18" s="2" t="s">
        <v>308</v>
      </c>
      <c r="B18" s="2" t="s">
        <v>309</v>
      </c>
      <c r="C18" s="20">
        <v>85.07</v>
      </c>
      <c r="D18" s="20">
        <v>84.53</v>
      </c>
      <c r="E18" s="20">
        <v>85.6</v>
      </c>
      <c r="F18" s="5">
        <v>84.13</v>
      </c>
      <c r="G18" s="26">
        <v>1.1173184357541874E-2</v>
      </c>
      <c r="H18" s="6" t="s">
        <v>569</v>
      </c>
      <c r="I18" s="5">
        <v>1.57</v>
      </c>
      <c r="J18" s="4">
        <v>16.03</v>
      </c>
      <c r="K18" s="4">
        <v>87.78</v>
      </c>
      <c r="L18" s="5">
        <f t="shared" si="0"/>
        <v>79.00200000000001</v>
      </c>
      <c r="M18" s="5" t="b">
        <f t="shared" si="2"/>
        <v>0</v>
      </c>
    </row>
  </sheetData>
  <conditionalFormatting sqref="G9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8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3"/>
  <sheetViews>
    <sheetView workbookViewId="0">
      <selection activeCell="E18" sqref="E18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33" t="s">
        <v>295</v>
      </c>
      <c r="B2" s="33" t="s">
        <v>298</v>
      </c>
      <c r="C2" s="34">
        <v>90.24</v>
      </c>
      <c r="D2" s="34">
        <v>89.52</v>
      </c>
      <c r="E2" s="34">
        <v>90.29</v>
      </c>
      <c r="F2" s="35">
        <v>89.26</v>
      </c>
      <c r="G2" s="36">
        <v>1.0979161998655498E-2</v>
      </c>
      <c r="H2" s="34" t="s">
        <v>765</v>
      </c>
      <c r="I2" s="35">
        <v>2.2400000000000002</v>
      </c>
      <c r="J2" s="34">
        <v>13.32</v>
      </c>
      <c r="K2" s="34">
        <v>82.59</v>
      </c>
      <c r="L2" s="5">
        <f t="shared" ref="L2:L12" si="0">K2*0.9</f>
        <v>74.331000000000003</v>
      </c>
      <c r="M2" s="5" t="b">
        <f t="shared" ref="M2:M12" si="1">L2&gt;C2</f>
        <v>0</v>
      </c>
    </row>
    <row r="3" spans="1:13" ht="20.100000000000001" customHeight="1" x14ac:dyDescent="0.25">
      <c r="A3" s="1" t="s">
        <v>86</v>
      </c>
      <c r="B3" s="2" t="s">
        <v>93</v>
      </c>
      <c r="C3" s="4">
        <v>68.95</v>
      </c>
      <c r="D3" s="4">
        <v>68.52</v>
      </c>
      <c r="E3" s="4">
        <v>69.25</v>
      </c>
      <c r="F3" s="5">
        <v>68.66</v>
      </c>
      <c r="G3" s="6">
        <v>4.2237110399068779E-3</v>
      </c>
      <c r="H3" s="4" t="s">
        <v>766</v>
      </c>
      <c r="I3" s="5">
        <v>1.92</v>
      </c>
      <c r="J3" s="4">
        <v>17.36</v>
      </c>
      <c r="K3" s="4">
        <v>67.28</v>
      </c>
      <c r="L3" s="5">
        <f t="shared" si="0"/>
        <v>60.552</v>
      </c>
      <c r="M3" s="5" t="b">
        <f t="shared" si="1"/>
        <v>0</v>
      </c>
    </row>
    <row r="4" spans="1:13" ht="20.100000000000001" customHeight="1" x14ac:dyDescent="0.25">
      <c r="A4" s="33" t="s">
        <v>291</v>
      </c>
      <c r="B4" s="33" t="s">
        <v>767</v>
      </c>
      <c r="C4" s="34">
        <v>127.81</v>
      </c>
      <c r="D4" s="34">
        <v>127.17</v>
      </c>
      <c r="E4" s="34">
        <v>128.34</v>
      </c>
      <c r="F4" s="35">
        <v>127.1</v>
      </c>
      <c r="G4" s="36">
        <v>5.5861526357199685E-3</v>
      </c>
      <c r="H4" s="34" t="s">
        <v>768</v>
      </c>
      <c r="I4" s="35">
        <v>0</v>
      </c>
      <c r="J4" s="34">
        <v>21.17</v>
      </c>
      <c r="K4" s="34">
        <v>123.45</v>
      </c>
      <c r="L4" s="5">
        <f t="shared" si="0"/>
        <v>111.105</v>
      </c>
      <c r="M4" s="5" t="b">
        <f t="shared" si="1"/>
        <v>0</v>
      </c>
    </row>
    <row r="5" spans="1:13" ht="20.100000000000001" customHeight="1" x14ac:dyDescent="0.25">
      <c r="A5" s="33" t="s">
        <v>293</v>
      </c>
      <c r="B5" s="33" t="s">
        <v>297</v>
      </c>
      <c r="C5" s="34">
        <v>77.849999999999994</v>
      </c>
      <c r="D5" s="34">
        <v>77.08</v>
      </c>
      <c r="E5" s="34">
        <v>77.89</v>
      </c>
      <c r="F5" s="35">
        <v>77.260000000000005</v>
      </c>
      <c r="G5" s="36">
        <v>7.6365519026661815E-3</v>
      </c>
      <c r="H5" s="34" t="s">
        <v>769</v>
      </c>
      <c r="I5" s="35">
        <v>2.4900000000000002</v>
      </c>
      <c r="J5" s="34">
        <v>20.170000000000002</v>
      </c>
      <c r="K5" s="34">
        <v>69.5</v>
      </c>
      <c r="L5" s="5">
        <f t="shared" si="0"/>
        <v>62.550000000000004</v>
      </c>
      <c r="M5" s="5" t="b">
        <f t="shared" si="1"/>
        <v>0</v>
      </c>
    </row>
    <row r="6" spans="1:13" ht="20.100000000000001" customHeight="1" x14ac:dyDescent="0.25">
      <c r="A6" s="2" t="s">
        <v>292</v>
      </c>
      <c r="B6" s="2" t="s">
        <v>299</v>
      </c>
      <c r="C6" s="4">
        <v>40.99</v>
      </c>
      <c r="D6" s="4">
        <v>40.69</v>
      </c>
      <c r="E6" s="4">
        <v>41.03</v>
      </c>
      <c r="F6" s="5">
        <v>40.69</v>
      </c>
      <c r="G6" s="6">
        <v>7.3728188744164235E-3</v>
      </c>
      <c r="H6" s="4" t="s">
        <v>770</v>
      </c>
      <c r="I6" s="5">
        <v>2.06</v>
      </c>
      <c r="J6" s="4">
        <v>12.57</v>
      </c>
      <c r="K6" s="4">
        <v>43.57</v>
      </c>
      <c r="L6" s="5">
        <f t="shared" si="0"/>
        <v>39.213000000000001</v>
      </c>
      <c r="M6" s="5" t="b">
        <f t="shared" si="1"/>
        <v>0</v>
      </c>
    </row>
    <row r="7" spans="1:13" ht="20.100000000000001" customHeight="1" x14ac:dyDescent="0.25">
      <c r="A7" s="2" t="s">
        <v>89</v>
      </c>
      <c r="B7" s="2" t="s">
        <v>92</v>
      </c>
      <c r="C7" s="4">
        <v>32.47</v>
      </c>
      <c r="D7" s="4">
        <v>32.31</v>
      </c>
      <c r="E7" s="4">
        <v>32.74</v>
      </c>
      <c r="F7" s="5">
        <v>32.520000000000003</v>
      </c>
      <c r="G7" s="6">
        <v>-1.5375153751538825E-3</v>
      </c>
      <c r="H7" s="4" t="s">
        <v>771</v>
      </c>
      <c r="I7" s="5">
        <v>2.73</v>
      </c>
      <c r="J7" s="4">
        <v>18.04</v>
      </c>
      <c r="K7" s="4">
        <v>33.130000000000003</v>
      </c>
      <c r="L7" s="5">
        <f t="shared" si="0"/>
        <v>29.817000000000004</v>
      </c>
      <c r="M7" s="5" t="b">
        <f t="shared" si="1"/>
        <v>0</v>
      </c>
    </row>
    <row r="8" spans="1:13" ht="20.100000000000001" customHeight="1" x14ac:dyDescent="0.25">
      <c r="A8" s="2" t="s">
        <v>88</v>
      </c>
      <c r="B8" s="2" t="s">
        <v>91</v>
      </c>
      <c r="C8" s="4">
        <v>79.489999999999995</v>
      </c>
      <c r="D8" s="4">
        <v>78.760000000000005</v>
      </c>
      <c r="E8" s="4">
        <v>79.94</v>
      </c>
      <c r="F8" s="5">
        <v>78.84</v>
      </c>
      <c r="G8" s="6">
        <v>8.2445459157786845E-3</v>
      </c>
      <c r="H8" s="4" t="s">
        <v>772</v>
      </c>
      <c r="I8" s="5">
        <v>3.55</v>
      </c>
      <c r="J8" s="4">
        <v>8.17</v>
      </c>
      <c r="K8" s="4">
        <v>74.239999999999995</v>
      </c>
      <c r="L8" s="5">
        <f t="shared" si="0"/>
        <v>66.816000000000003</v>
      </c>
      <c r="M8" s="5" t="b">
        <f t="shared" si="1"/>
        <v>0</v>
      </c>
    </row>
    <row r="9" spans="1:13" ht="20.100000000000001" customHeight="1" x14ac:dyDescent="0.25">
      <c r="A9" s="2" t="s">
        <v>87</v>
      </c>
      <c r="B9" s="2" t="s">
        <v>90</v>
      </c>
      <c r="C9" s="4">
        <v>118.84</v>
      </c>
      <c r="D9" s="4">
        <v>118.06</v>
      </c>
      <c r="E9" s="4">
        <v>119.32</v>
      </c>
      <c r="F9" s="5">
        <v>118.35</v>
      </c>
      <c r="G9" s="6">
        <v>4.1402619349388183E-3</v>
      </c>
      <c r="H9" s="4" t="s">
        <v>773</v>
      </c>
      <c r="I9" s="5">
        <v>2.2599999999999998</v>
      </c>
      <c r="J9" s="4">
        <v>11.44</v>
      </c>
      <c r="K9" s="4">
        <v>114.37</v>
      </c>
      <c r="L9" s="5">
        <f t="shared" si="0"/>
        <v>102.93300000000001</v>
      </c>
      <c r="M9" s="5" t="b">
        <f t="shared" si="1"/>
        <v>0</v>
      </c>
    </row>
    <row r="10" spans="1:13" ht="20.100000000000001" customHeight="1" x14ac:dyDescent="0.25">
      <c r="A10" s="2" t="s">
        <v>300</v>
      </c>
      <c r="B10" s="2" t="s">
        <v>774</v>
      </c>
      <c r="C10" s="4">
        <v>34.75</v>
      </c>
      <c r="D10" s="4">
        <v>34.33</v>
      </c>
      <c r="E10" s="4">
        <v>34.86</v>
      </c>
      <c r="F10" s="5">
        <v>34.33</v>
      </c>
      <c r="G10" s="6">
        <v>1.2234197494902468E-2</v>
      </c>
      <c r="H10" s="4" t="s">
        <v>775</v>
      </c>
      <c r="I10" s="5">
        <v>2.33</v>
      </c>
      <c r="J10" s="4">
        <v>32.06</v>
      </c>
      <c r="K10" s="4">
        <v>34.229999999999997</v>
      </c>
      <c r="L10" s="5">
        <f t="shared" si="0"/>
        <v>30.806999999999999</v>
      </c>
      <c r="M10" s="5" t="b">
        <f t="shared" si="1"/>
        <v>0</v>
      </c>
    </row>
    <row r="11" spans="1:13" ht="20.100000000000001" customHeight="1" x14ac:dyDescent="0.25">
      <c r="A11" s="2" t="s">
        <v>301</v>
      </c>
      <c r="B11" s="2" t="s">
        <v>302</v>
      </c>
      <c r="C11" s="4">
        <v>59.86</v>
      </c>
      <c r="D11" s="4">
        <v>59.55</v>
      </c>
      <c r="E11" s="4">
        <v>59.97</v>
      </c>
      <c r="F11" s="5">
        <v>59.41</v>
      </c>
      <c r="G11" s="6">
        <v>7.5744824103686735E-3</v>
      </c>
      <c r="H11" s="4" t="s">
        <v>776</v>
      </c>
      <c r="I11" s="5">
        <v>2.15</v>
      </c>
      <c r="J11" s="4" t="s">
        <v>39</v>
      </c>
      <c r="K11" s="4">
        <v>55</v>
      </c>
      <c r="L11" s="5">
        <f t="shared" si="0"/>
        <v>49.5</v>
      </c>
      <c r="M11" s="5" t="b">
        <f t="shared" si="1"/>
        <v>0</v>
      </c>
    </row>
    <row r="12" spans="1:13" ht="20.100000000000001" customHeight="1" x14ac:dyDescent="0.25">
      <c r="A12" s="33" t="s">
        <v>294</v>
      </c>
      <c r="B12" s="33" t="s">
        <v>296</v>
      </c>
      <c r="C12" s="34">
        <v>827.76</v>
      </c>
      <c r="D12" s="34">
        <v>820.97</v>
      </c>
      <c r="E12" s="34">
        <v>828.47</v>
      </c>
      <c r="F12" s="35">
        <v>824.11</v>
      </c>
      <c r="G12" s="36">
        <v>4.4290203977624069E-3</v>
      </c>
      <c r="H12" s="34" t="s">
        <v>777</v>
      </c>
      <c r="I12" s="35">
        <v>0.12</v>
      </c>
      <c r="J12" s="34">
        <v>8.16</v>
      </c>
      <c r="K12" s="34">
        <v>808.24</v>
      </c>
      <c r="L12" s="5">
        <f t="shared" si="0"/>
        <v>727.41600000000005</v>
      </c>
      <c r="M12" s="5" t="b">
        <f t="shared" si="1"/>
        <v>0</v>
      </c>
    </row>
    <row r="13" spans="1:13" ht="20.100000000000001" customHeight="1" x14ac:dyDescent="0.25">
      <c r="A13" s="2" t="s">
        <v>912</v>
      </c>
      <c r="B13" s="33" t="s">
        <v>913</v>
      </c>
      <c r="C13" s="34">
        <v>49.99</v>
      </c>
      <c r="D13" s="34">
        <v>49.5</v>
      </c>
      <c r="E13" s="34">
        <v>49.99</v>
      </c>
      <c r="F13" s="35">
        <v>49.42</v>
      </c>
      <c r="G13" s="36">
        <v>1.1533791987049782E-2</v>
      </c>
      <c r="H13" s="34" t="s">
        <v>914</v>
      </c>
      <c r="I13" s="35">
        <v>3.08</v>
      </c>
      <c r="J13" s="34">
        <v>22.66</v>
      </c>
      <c r="K13" s="34">
        <v>46.16</v>
      </c>
      <c r="L13" s="5">
        <f t="shared" ref="L13" si="2">K13*0.9</f>
        <v>41.543999999999997</v>
      </c>
      <c r="M13" s="5" t="b">
        <f t="shared" ref="M13" si="3">L13&gt;C13</f>
        <v>0</v>
      </c>
    </row>
  </sheetData>
  <conditionalFormatting sqref="G1:G13">
    <cfRule type="colorScale" priority="7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8"/>
  <sheetViews>
    <sheetView workbookViewId="0">
      <selection activeCell="M12" sqref="M12"/>
    </sheetView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2" t="s">
        <v>165</v>
      </c>
      <c r="B2" s="2" t="s">
        <v>169</v>
      </c>
      <c r="C2" s="4">
        <v>52.22</v>
      </c>
      <c r="D2" s="4">
        <v>52.12</v>
      </c>
      <c r="E2" s="4">
        <v>52.78</v>
      </c>
      <c r="F2" s="5">
        <v>52.04</v>
      </c>
      <c r="G2" s="6">
        <v>3.4588777863182115E-3</v>
      </c>
      <c r="H2" s="4" t="s">
        <v>778</v>
      </c>
      <c r="I2" s="5">
        <v>1.38</v>
      </c>
      <c r="J2" s="4">
        <v>15.45</v>
      </c>
      <c r="K2" s="4">
        <v>53.32</v>
      </c>
      <c r="L2" s="5">
        <f t="shared" ref="L2:L8" si="0">K2*0.9</f>
        <v>47.988</v>
      </c>
      <c r="M2" s="5" t="b">
        <f t="shared" ref="M2:M8" si="1">L2&gt;C2</f>
        <v>0</v>
      </c>
    </row>
    <row r="3" spans="1:13" ht="20.100000000000001" customHeight="1" x14ac:dyDescent="0.25">
      <c r="A3" s="2" t="s">
        <v>163</v>
      </c>
      <c r="B3" s="2" t="s">
        <v>170</v>
      </c>
      <c r="C3" s="4">
        <v>66.16</v>
      </c>
      <c r="D3" s="4">
        <v>65.95</v>
      </c>
      <c r="E3" s="4">
        <v>66.56</v>
      </c>
      <c r="F3" s="5">
        <v>65.89</v>
      </c>
      <c r="G3" s="6">
        <v>4.0977386553345879E-3</v>
      </c>
      <c r="H3" s="4" t="s">
        <v>779</v>
      </c>
      <c r="I3" s="5">
        <v>1.68</v>
      </c>
      <c r="J3" s="4">
        <v>20.12</v>
      </c>
      <c r="K3" s="4">
        <v>62.9</v>
      </c>
      <c r="L3" s="5">
        <f t="shared" si="0"/>
        <v>56.61</v>
      </c>
      <c r="M3" s="5" t="b">
        <f t="shared" si="1"/>
        <v>0</v>
      </c>
    </row>
    <row r="4" spans="1:13" ht="20.100000000000001" customHeight="1" x14ac:dyDescent="0.25">
      <c r="A4" s="81" t="s">
        <v>162</v>
      </c>
      <c r="B4" s="2" t="s">
        <v>171</v>
      </c>
      <c r="C4" s="4">
        <v>94.42</v>
      </c>
      <c r="D4" s="4">
        <v>94.13</v>
      </c>
      <c r="E4" s="4">
        <v>94.96</v>
      </c>
      <c r="F4" s="5">
        <v>94.26</v>
      </c>
      <c r="G4" s="6">
        <v>1.6974326331423359E-3</v>
      </c>
      <c r="H4" s="4" t="s">
        <v>780</v>
      </c>
      <c r="I4" s="5">
        <v>1.5</v>
      </c>
      <c r="J4" s="4">
        <v>16.97</v>
      </c>
      <c r="K4" s="4">
        <v>98.43</v>
      </c>
      <c r="L4" s="5">
        <f t="shared" si="0"/>
        <v>88.587000000000003</v>
      </c>
      <c r="M4" s="5" t="b">
        <f t="shared" si="1"/>
        <v>0</v>
      </c>
    </row>
    <row r="5" spans="1:13" ht="20.100000000000001" customHeight="1" x14ac:dyDescent="0.25">
      <c r="A5" s="2" t="s">
        <v>166</v>
      </c>
      <c r="B5" s="2" t="s">
        <v>172</v>
      </c>
      <c r="C5" s="4">
        <v>25.89</v>
      </c>
      <c r="D5" s="4">
        <v>25.74</v>
      </c>
      <c r="E5" s="4">
        <v>25.96</v>
      </c>
      <c r="F5" s="5">
        <v>25.69</v>
      </c>
      <c r="G5" s="6">
        <v>7.7851304009341872E-3</v>
      </c>
      <c r="H5" s="4" t="s">
        <v>781</v>
      </c>
      <c r="I5" s="5" t="s">
        <v>39</v>
      </c>
      <c r="J5" s="4">
        <v>14.08</v>
      </c>
      <c r="K5" s="4">
        <v>26.82</v>
      </c>
      <c r="L5" s="5">
        <f t="shared" si="0"/>
        <v>24.138000000000002</v>
      </c>
      <c r="M5" s="5" t="b">
        <f t="shared" si="1"/>
        <v>0</v>
      </c>
    </row>
    <row r="6" spans="1:13" ht="20.100000000000001" customHeight="1" x14ac:dyDescent="0.25">
      <c r="A6" s="2" t="s">
        <v>164</v>
      </c>
      <c r="B6" s="2" t="s">
        <v>173</v>
      </c>
      <c r="C6" s="4">
        <v>24.55</v>
      </c>
      <c r="D6" s="4">
        <v>24.51</v>
      </c>
      <c r="E6" s="4">
        <v>24.82</v>
      </c>
      <c r="F6" s="5">
        <v>24.54</v>
      </c>
      <c r="G6" s="6">
        <v>4.0749796251025118E-4</v>
      </c>
      <c r="H6" s="4" t="s">
        <v>782</v>
      </c>
      <c r="I6" s="5">
        <v>1.47</v>
      </c>
      <c r="J6" s="4">
        <v>17.34</v>
      </c>
      <c r="K6" s="4">
        <v>27.84</v>
      </c>
      <c r="L6" s="5">
        <f t="shared" si="0"/>
        <v>25.056000000000001</v>
      </c>
      <c r="M6" s="5" t="b">
        <f t="shared" si="1"/>
        <v>1</v>
      </c>
    </row>
    <row r="7" spans="1:13" ht="20.100000000000001" customHeight="1" x14ac:dyDescent="0.25">
      <c r="A7" s="2" t="s">
        <v>168</v>
      </c>
      <c r="B7" s="2" t="s">
        <v>174</v>
      </c>
      <c r="C7" s="4">
        <v>13.94</v>
      </c>
      <c r="D7" s="4">
        <v>13.81</v>
      </c>
      <c r="E7" s="4">
        <v>14.12</v>
      </c>
      <c r="F7" s="5">
        <v>13.97</v>
      </c>
      <c r="G7" s="6">
        <v>-2.1474588403723074E-3</v>
      </c>
      <c r="H7" s="4" t="s">
        <v>783</v>
      </c>
      <c r="I7" s="5">
        <v>1.43</v>
      </c>
      <c r="J7" s="4">
        <v>45.7</v>
      </c>
      <c r="K7" s="4">
        <v>12.22</v>
      </c>
      <c r="L7" s="5">
        <f t="shared" si="0"/>
        <v>10.998000000000001</v>
      </c>
      <c r="M7" s="5" t="b">
        <f t="shared" si="1"/>
        <v>0</v>
      </c>
    </row>
    <row r="8" spans="1:13" ht="20.100000000000001" customHeight="1" x14ac:dyDescent="0.25">
      <c r="A8" s="2" t="s">
        <v>167</v>
      </c>
      <c r="B8" s="2" t="s">
        <v>175</v>
      </c>
      <c r="C8" s="4">
        <v>39.9</v>
      </c>
      <c r="D8" s="4">
        <v>39.78</v>
      </c>
      <c r="E8" s="4">
        <v>40.35</v>
      </c>
      <c r="F8" s="5">
        <v>39.770000000000003</v>
      </c>
      <c r="G8" s="6">
        <v>3.2687955745535689E-3</v>
      </c>
      <c r="H8" s="4" t="s">
        <v>784</v>
      </c>
      <c r="I8" s="5">
        <v>4.0199999999999996</v>
      </c>
      <c r="J8" s="4">
        <v>7.68</v>
      </c>
      <c r="K8" s="4">
        <v>41.34</v>
      </c>
      <c r="L8" s="5">
        <f t="shared" si="0"/>
        <v>37.206000000000003</v>
      </c>
      <c r="M8" s="5" t="b">
        <f t="shared" si="1"/>
        <v>0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14"/>
  <sheetViews>
    <sheetView workbookViewId="0">
      <selection activeCell="L1" sqref="L1:M2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1" t="s">
        <v>120</v>
      </c>
      <c r="B2" s="2" t="s">
        <v>130</v>
      </c>
      <c r="C2" s="4">
        <v>10.130000000000001</v>
      </c>
      <c r="D2" s="4">
        <v>10.01</v>
      </c>
      <c r="E2" s="4">
        <v>10.27</v>
      </c>
      <c r="F2" s="5">
        <v>10.130000000000001</v>
      </c>
      <c r="G2" s="6">
        <v>0</v>
      </c>
      <c r="H2" s="4" t="s">
        <v>785</v>
      </c>
      <c r="I2" s="5">
        <v>1.18</v>
      </c>
      <c r="J2" s="4" t="s">
        <v>39</v>
      </c>
      <c r="K2" s="4">
        <v>9.82</v>
      </c>
      <c r="L2" s="5">
        <f t="shared" ref="L2:L14" si="0">K2*0.9</f>
        <v>8.838000000000001</v>
      </c>
      <c r="M2" s="5" t="b">
        <f t="shared" ref="M2:M14" si="1">L2&gt;C2</f>
        <v>0</v>
      </c>
    </row>
    <row r="3" spans="1:13" ht="20.100000000000001" customHeight="1" x14ac:dyDescent="0.25">
      <c r="A3" s="2" t="s">
        <v>159</v>
      </c>
      <c r="B3" s="2" t="s">
        <v>160</v>
      </c>
      <c r="C3" s="20">
        <v>10.48</v>
      </c>
      <c r="D3" s="20">
        <v>10.39</v>
      </c>
      <c r="E3" s="20">
        <v>10.83</v>
      </c>
      <c r="F3" s="5">
        <v>10.35</v>
      </c>
      <c r="G3" s="26">
        <v>1.2560386473430028E-2</v>
      </c>
      <c r="H3" s="6" t="s">
        <v>786</v>
      </c>
      <c r="I3" s="5">
        <v>0</v>
      </c>
      <c r="J3" s="4" t="s">
        <v>39</v>
      </c>
      <c r="K3" s="4">
        <v>10.89</v>
      </c>
      <c r="L3" s="5">
        <f t="shared" si="0"/>
        <v>9.8010000000000002</v>
      </c>
      <c r="M3" s="5" t="b">
        <f t="shared" si="1"/>
        <v>0</v>
      </c>
    </row>
    <row r="4" spans="1:13" ht="20.100000000000001" customHeight="1" x14ac:dyDescent="0.25">
      <c r="A4" s="27" t="s">
        <v>241</v>
      </c>
      <c r="B4" s="2" t="s">
        <v>242</v>
      </c>
      <c r="C4" s="20">
        <v>18.899999999999999</v>
      </c>
      <c r="D4" s="20">
        <v>18.739999999999998</v>
      </c>
      <c r="E4" s="20">
        <v>19.93</v>
      </c>
      <c r="F4" s="5">
        <v>19.329999999999998</v>
      </c>
      <c r="G4" s="26">
        <v>-2.2245214692188296E-2</v>
      </c>
      <c r="H4" s="6" t="s">
        <v>787</v>
      </c>
      <c r="I4" s="5">
        <v>1.03</v>
      </c>
      <c r="J4" s="4" t="s">
        <v>39</v>
      </c>
      <c r="K4" s="4">
        <v>17.37</v>
      </c>
      <c r="L4" s="5">
        <f t="shared" si="0"/>
        <v>15.633000000000001</v>
      </c>
      <c r="M4" s="5" t="b">
        <f t="shared" si="1"/>
        <v>0</v>
      </c>
    </row>
    <row r="5" spans="1:13" ht="20.100000000000001" customHeight="1" x14ac:dyDescent="0.25">
      <c r="A5" s="2" t="s">
        <v>347</v>
      </c>
      <c r="B5" s="2" t="s">
        <v>349</v>
      </c>
      <c r="C5" s="20">
        <v>6.21</v>
      </c>
      <c r="D5" s="20">
        <v>6.18</v>
      </c>
      <c r="E5" s="20">
        <v>6.49</v>
      </c>
      <c r="F5" s="5">
        <v>6.29</v>
      </c>
      <c r="G5" s="26">
        <v>-1.2718600953895083E-2</v>
      </c>
      <c r="H5" s="6" t="s">
        <v>788</v>
      </c>
      <c r="I5" s="5">
        <v>0</v>
      </c>
      <c r="J5" s="4" t="s">
        <v>39</v>
      </c>
      <c r="K5" s="4">
        <v>7.05</v>
      </c>
      <c r="L5" s="5">
        <f t="shared" si="0"/>
        <v>6.3449999999999998</v>
      </c>
      <c r="M5" s="5" t="b">
        <f t="shared" si="1"/>
        <v>1</v>
      </c>
    </row>
    <row r="6" spans="1:13" ht="20.100000000000001" customHeight="1" x14ac:dyDescent="0.25">
      <c r="A6" s="2" t="s">
        <v>348</v>
      </c>
      <c r="B6" s="2" t="s">
        <v>350</v>
      </c>
      <c r="C6" s="20">
        <v>49.03</v>
      </c>
      <c r="D6" s="20">
        <v>48.77</v>
      </c>
      <c r="E6" s="20">
        <v>50.34</v>
      </c>
      <c r="F6" s="5">
        <v>49.3</v>
      </c>
      <c r="G6" s="26">
        <v>-5.4766734279918057E-3</v>
      </c>
      <c r="H6" s="6" t="s">
        <v>789</v>
      </c>
      <c r="I6" s="5">
        <v>3.09</v>
      </c>
      <c r="J6" s="4">
        <v>33.61</v>
      </c>
      <c r="K6" s="4">
        <v>48.65</v>
      </c>
      <c r="L6" s="5">
        <f t="shared" si="0"/>
        <v>43.784999999999997</v>
      </c>
      <c r="M6" s="5" t="b">
        <f t="shared" si="1"/>
        <v>0</v>
      </c>
    </row>
    <row r="7" spans="1:13" ht="20.100000000000001" customHeight="1" x14ac:dyDescent="0.25">
      <c r="A7" s="2" t="s">
        <v>351</v>
      </c>
      <c r="B7" s="2" t="s">
        <v>352</v>
      </c>
      <c r="C7" s="20">
        <v>24.32</v>
      </c>
      <c r="D7" s="20">
        <v>24.22</v>
      </c>
      <c r="E7" s="20">
        <v>25.24</v>
      </c>
      <c r="F7" s="5">
        <v>24.71</v>
      </c>
      <c r="G7" s="26">
        <v>-1.5783083771752349E-2</v>
      </c>
      <c r="H7" s="6" t="s">
        <v>790</v>
      </c>
      <c r="I7" s="5">
        <v>2.27</v>
      </c>
      <c r="J7" s="4">
        <v>496.33</v>
      </c>
      <c r="K7" s="4">
        <v>24</v>
      </c>
      <c r="L7" s="5">
        <f t="shared" si="0"/>
        <v>21.6</v>
      </c>
      <c r="M7" s="5" t="b">
        <f t="shared" si="1"/>
        <v>0</v>
      </c>
    </row>
    <row r="8" spans="1:13" ht="20.100000000000001" customHeight="1" x14ac:dyDescent="0.25">
      <c r="A8" s="2" t="s">
        <v>345</v>
      </c>
      <c r="B8" s="2" t="s">
        <v>346</v>
      </c>
      <c r="C8" s="20">
        <v>9.32</v>
      </c>
      <c r="D8" s="20">
        <v>9.32</v>
      </c>
      <c r="E8" s="20">
        <v>9.39</v>
      </c>
      <c r="F8" s="5">
        <v>9.26</v>
      </c>
      <c r="G8" s="26">
        <v>6.4794816414687362E-3</v>
      </c>
      <c r="H8" s="6" t="s">
        <v>791</v>
      </c>
      <c r="I8" s="5">
        <v>0</v>
      </c>
      <c r="J8" s="4">
        <v>372.8</v>
      </c>
      <c r="K8" s="4">
        <v>8.36</v>
      </c>
      <c r="L8" s="5">
        <f t="shared" si="0"/>
        <v>7.524</v>
      </c>
      <c r="M8" s="5" t="b">
        <f t="shared" si="1"/>
        <v>0</v>
      </c>
    </row>
    <row r="9" spans="1:13" ht="20.100000000000001" customHeight="1" x14ac:dyDescent="0.25">
      <c r="A9" s="2" t="s">
        <v>437</v>
      </c>
      <c r="B9" s="2" t="s">
        <v>438</v>
      </c>
      <c r="C9" s="20">
        <v>85.63</v>
      </c>
      <c r="D9" s="20">
        <v>84.69</v>
      </c>
      <c r="E9" s="20">
        <v>86.76</v>
      </c>
      <c r="F9" s="5">
        <v>85.62</v>
      </c>
      <c r="G9" s="26">
        <v>1.1679514132201477E-4</v>
      </c>
      <c r="H9" s="6" t="s">
        <v>792</v>
      </c>
      <c r="I9" s="5">
        <v>2.1</v>
      </c>
      <c r="J9" s="4">
        <v>17.309999999999999</v>
      </c>
      <c r="K9" s="4">
        <v>85.38</v>
      </c>
      <c r="L9" s="5">
        <f t="shared" si="0"/>
        <v>76.841999999999999</v>
      </c>
      <c r="M9" s="5" t="b">
        <f t="shared" si="1"/>
        <v>0</v>
      </c>
    </row>
    <row r="10" spans="1:13" ht="20.100000000000001" customHeight="1" x14ac:dyDescent="0.25">
      <c r="A10" s="2" t="s">
        <v>522</v>
      </c>
      <c r="B10" s="2" t="s">
        <v>526</v>
      </c>
      <c r="C10" s="20">
        <v>17.04</v>
      </c>
      <c r="D10" s="20">
        <v>16.79</v>
      </c>
      <c r="E10" s="20">
        <v>17.420000000000002</v>
      </c>
      <c r="F10" s="5">
        <v>16.899999999999999</v>
      </c>
      <c r="G10" s="26">
        <v>8.2840236686390883E-3</v>
      </c>
      <c r="H10" s="6" t="s">
        <v>793</v>
      </c>
      <c r="I10" s="5">
        <v>1.89</v>
      </c>
      <c r="J10" s="4" t="s">
        <v>39</v>
      </c>
      <c r="K10" s="4">
        <v>15.09</v>
      </c>
      <c r="L10" s="5">
        <f t="shared" si="0"/>
        <v>13.581</v>
      </c>
      <c r="M10" s="5" t="b">
        <f t="shared" si="1"/>
        <v>0</v>
      </c>
    </row>
    <row r="11" spans="1:13" ht="20.100000000000001" customHeight="1" x14ac:dyDescent="0.25">
      <c r="A11" s="2" t="s">
        <v>523</v>
      </c>
      <c r="B11" s="2" t="s">
        <v>527</v>
      </c>
      <c r="C11" s="20">
        <v>184.63</v>
      </c>
      <c r="D11" s="20">
        <v>182.22</v>
      </c>
      <c r="E11" s="20">
        <v>185.06</v>
      </c>
      <c r="F11" s="5">
        <v>183.53</v>
      </c>
      <c r="G11" s="26">
        <v>5.9935705334277466E-3</v>
      </c>
      <c r="H11" s="6" t="s">
        <v>794</v>
      </c>
      <c r="I11" s="5">
        <v>0.89</v>
      </c>
      <c r="J11" s="4">
        <v>32.89</v>
      </c>
      <c r="K11" s="4">
        <v>177.51</v>
      </c>
      <c r="L11" s="5">
        <f t="shared" si="0"/>
        <v>159.75899999999999</v>
      </c>
      <c r="M11" s="5" t="b">
        <f t="shared" si="1"/>
        <v>0</v>
      </c>
    </row>
    <row r="12" spans="1:13" ht="20.100000000000001" customHeight="1" x14ac:dyDescent="0.25">
      <c r="A12" s="2" t="s">
        <v>524</v>
      </c>
      <c r="B12" s="2" t="s">
        <v>528</v>
      </c>
      <c r="C12" s="20">
        <v>19.59</v>
      </c>
      <c r="D12" s="20">
        <v>19.420000000000002</v>
      </c>
      <c r="E12" s="20">
        <v>19.73</v>
      </c>
      <c r="F12" s="5">
        <v>19.5</v>
      </c>
      <c r="G12" s="26">
        <v>4.615384615384608E-3</v>
      </c>
      <c r="H12" s="6" t="s">
        <v>795</v>
      </c>
      <c r="I12" s="5" t="s">
        <v>39</v>
      </c>
      <c r="J12" s="4">
        <v>58.83</v>
      </c>
      <c r="K12" s="4">
        <v>20.28</v>
      </c>
      <c r="L12" s="5">
        <f t="shared" si="0"/>
        <v>18.252000000000002</v>
      </c>
      <c r="M12" s="5" t="b">
        <f t="shared" si="1"/>
        <v>0</v>
      </c>
    </row>
    <row r="13" spans="1:13" ht="20.100000000000001" customHeight="1" x14ac:dyDescent="0.25">
      <c r="A13" s="2" t="s">
        <v>525</v>
      </c>
      <c r="B13" s="2" t="s">
        <v>529</v>
      </c>
      <c r="C13" s="20">
        <v>114.48</v>
      </c>
      <c r="D13" s="20">
        <v>112.74</v>
      </c>
      <c r="E13" s="20">
        <v>114.6</v>
      </c>
      <c r="F13" s="5">
        <v>112.38</v>
      </c>
      <c r="G13" s="26">
        <v>1.8686599038974985E-2</v>
      </c>
      <c r="H13" s="6" t="s">
        <v>796</v>
      </c>
      <c r="I13" s="5">
        <v>0.69</v>
      </c>
      <c r="J13" s="4">
        <v>43.68</v>
      </c>
      <c r="K13" s="4">
        <v>112.93</v>
      </c>
      <c r="L13" s="5">
        <f t="shared" si="0"/>
        <v>101.63700000000001</v>
      </c>
      <c r="M13" s="5" t="b">
        <f t="shared" si="1"/>
        <v>0</v>
      </c>
    </row>
    <row r="14" spans="1:13" ht="20.100000000000001" customHeight="1" x14ac:dyDescent="0.25">
      <c r="A14" s="2" t="s">
        <v>550</v>
      </c>
      <c r="B14" s="2" t="s">
        <v>551</v>
      </c>
      <c r="C14" s="20">
        <v>16.989999999999998</v>
      </c>
      <c r="D14" s="20">
        <v>16.84</v>
      </c>
      <c r="E14" s="20">
        <v>17.43</v>
      </c>
      <c r="F14" s="5">
        <v>16.53</v>
      </c>
      <c r="G14" s="26">
        <v>2.7828191167573943E-2</v>
      </c>
      <c r="H14" s="6" t="s">
        <v>797</v>
      </c>
      <c r="I14" s="5">
        <v>0.46</v>
      </c>
      <c r="J14" s="4" t="s">
        <v>39</v>
      </c>
      <c r="K14" s="4">
        <v>11.14</v>
      </c>
      <c r="L14" s="5">
        <f t="shared" si="0"/>
        <v>10.026000000000002</v>
      </c>
      <c r="M14" s="5" t="b">
        <f t="shared" si="1"/>
        <v>0</v>
      </c>
    </row>
  </sheetData>
  <conditionalFormatting sqref="G4:G7 G10: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 G10:G12">
    <cfRule type="colorScale" priority="4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4">
    <cfRule type="colorScale" priority="5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8"/>
  <sheetViews>
    <sheetView workbookViewId="0">
      <selection activeCell="H14" sqref="H14"/>
    </sheetView>
  </sheetViews>
  <sheetFormatPr defaultRowHeight="15" x14ac:dyDescent="0.25"/>
  <cols>
    <col min="2" max="2" width="40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1" t="s">
        <v>316</v>
      </c>
      <c r="B2" s="2" t="s">
        <v>320</v>
      </c>
      <c r="C2" s="4">
        <v>49.12</v>
      </c>
      <c r="D2" s="4">
        <v>48.77</v>
      </c>
      <c r="E2" s="4">
        <v>49.22</v>
      </c>
      <c r="F2" s="5">
        <v>48.71</v>
      </c>
      <c r="G2" s="6">
        <v>8.4171628002462865E-3</v>
      </c>
      <c r="H2" s="4" t="s">
        <v>798</v>
      </c>
      <c r="I2" s="5">
        <v>3.59</v>
      </c>
      <c r="J2" s="5">
        <v>26.61</v>
      </c>
      <c r="K2" s="5">
        <v>42.37</v>
      </c>
      <c r="L2" s="5">
        <f t="shared" ref="L2:L8" si="0">K2*0.9</f>
        <v>38.132999999999996</v>
      </c>
      <c r="M2" s="5" t="b">
        <f t="shared" ref="M2:M7" si="1">L2&gt;C2</f>
        <v>0</v>
      </c>
    </row>
    <row r="3" spans="1:13" ht="20.100000000000001" customHeight="1" x14ac:dyDescent="0.25">
      <c r="A3" s="2" t="s">
        <v>317</v>
      </c>
      <c r="B3" s="2" t="s">
        <v>321</v>
      </c>
      <c r="C3" s="4">
        <v>14.59</v>
      </c>
      <c r="D3" s="4">
        <v>14.46</v>
      </c>
      <c r="E3" s="4">
        <v>14.65</v>
      </c>
      <c r="F3" s="5">
        <v>14.56</v>
      </c>
      <c r="G3" s="6">
        <v>2.0604395604395163E-3</v>
      </c>
      <c r="H3" s="4" t="s">
        <v>571</v>
      </c>
      <c r="I3" s="5">
        <v>1.86</v>
      </c>
      <c r="J3" s="5">
        <v>18.829999999999998</v>
      </c>
      <c r="K3" s="5">
        <v>13.11</v>
      </c>
      <c r="L3" s="5">
        <f t="shared" si="0"/>
        <v>11.798999999999999</v>
      </c>
      <c r="M3" s="5" t="b">
        <f t="shared" si="1"/>
        <v>0</v>
      </c>
    </row>
    <row r="4" spans="1:13" ht="20.100000000000001" customHeight="1" x14ac:dyDescent="0.25">
      <c r="A4" s="1" t="s">
        <v>318</v>
      </c>
      <c r="B4" s="2" t="s">
        <v>322</v>
      </c>
      <c r="C4" s="4">
        <v>79.67</v>
      </c>
      <c r="D4" s="4">
        <v>78.930000000000007</v>
      </c>
      <c r="E4" s="4">
        <v>79.8</v>
      </c>
      <c r="F4" s="5">
        <v>78.94</v>
      </c>
      <c r="G4" s="6">
        <v>9.2475297694451994E-3</v>
      </c>
      <c r="H4" s="4" t="s">
        <v>799</v>
      </c>
      <c r="I4" s="5">
        <v>3.73</v>
      </c>
      <c r="J4" s="5">
        <v>16.93</v>
      </c>
      <c r="K4" s="5">
        <v>65.540000000000006</v>
      </c>
      <c r="L4" s="5">
        <f t="shared" si="0"/>
        <v>58.986000000000004</v>
      </c>
      <c r="M4" s="5" t="b">
        <f t="shared" si="1"/>
        <v>0</v>
      </c>
    </row>
    <row r="5" spans="1:13" ht="20.100000000000001" customHeight="1" x14ac:dyDescent="0.25">
      <c r="A5" s="2" t="s">
        <v>319</v>
      </c>
      <c r="B5" s="2" t="s">
        <v>323</v>
      </c>
      <c r="C5" s="4">
        <v>18.2</v>
      </c>
      <c r="D5" s="4">
        <v>17.989999999999998</v>
      </c>
      <c r="E5" s="4">
        <v>18.43</v>
      </c>
      <c r="F5" s="5">
        <v>17.989999999999998</v>
      </c>
      <c r="G5" s="6">
        <v>1.1673151750972811E-2</v>
      </c>
      <c r="H5" s="4" t="s">
        <v>435</v>
      </c>
      <c r="I5" s="5">
        <v>2.2200000000000002</v>
      </c>
      <c r="J5" s="5">
        <v>21.41</v>
      </c>
      <c r="K5" s="5">
        <v>14.02</v>
      </c>
      <c r="L5" s="5">
        <f t="shared" si="0"/>
        <v>12.618</v>
      </c>
      <c r="M5" s="5" t="b">
        <f t="shared" si="1"/>
        <v>0</v>
      </c>
    </row>
    <row r="6" spans="1:13" ht="20.100000000000001" customHeight="1" x14ac:dyDescent="0.25">
      <c r="A6" s="2" t="s">
        <v>540</v>
      </c>
      <c r="B6" s="2" t="s">
        <v>543</v>
      </c>
      <c r="C6" s="4">
        <v>48.6</v>
      </c>
      <c r="D6" s="4">
        <v>47.87</v>
      </c>
      <c r="E6" s="4">
        <v>48.7</v>
      </c>
      <c r="F6" s="5">
        <v>47.5</v>
      </c>
      <c r="G6" s="6">
        <v>2.3157894736842134E-2</v>
      </c>
      <c r="H6" s="4" t="s">
        <v>775</v>
      </c>
      <c r="I6" s="5">
        <v>1.35</v>
      </c>
      <c r="J6" s="5">
        <v>27.71</v>
      </c>
      <c r="K6" s="5">
        <v>47.29</v>
      </c>
      <c r="L6" s="5">
        <f t="shared" si="0"/>
        <v>42.561</v>
      </c>
      <c r="M6" s="5" t="b">
        <f t="shared" si="1"/>
        <v>0</v>
      </c>
    </row>
    <row r="7" spans="1:13" ht="20.100000000000001" customHeight="1" x14ac:dyDescent="0.25">
      <c r="A7" s="2" t="s">
        <v>541</v>
      </c>
      <c r="B7" s="2" t="s">
        <v>544</v>
      </c>
      <c r="C7" s="4">
        <v>48.55</v>
      </c>
      <c r="D7" s="4">
        <v>48.35</v>
      </c>
      <c r="E7" s="4">
        <v>48.97</v>
      </c>
      <c r="F7" s="5">
        <v>48.51</v>
      </c>
      <c r="G7" s="6">
        <v>8.2457225314366421E-4</v>
      </c>
      <c r="H7" s="4" t="s">
        <v>800</v>
      </c>
      <c r="I7" s="5">
        <v>3.09</v>
      </c>
      <c r="J7" s="5" t="s">
        <v>39</v>
      </c>
      <c r="K7" s="5">
        <v>39.93</v>
      </c>
      <c r="L7" s="5">
        <f t="shared" si="0"/>
        <v>35.936999999999998</v>
      </c>
      <c r="M7" s="5" t="b">
        <f t="shared" si="1"/>
        <v>0</v>
      </c>
    </row>
    <row r="8" spans="1:13" ht="20.100000000000001" customHeight="1" x14ac:dyDescent="0.25">
      <c r="A8" s="2" t="s">
        <v>869</v>
      </c>
      <c r="B8" s="2" t="s">
        <v>870</v>
      </c>
      <c r="C8" s="4">
        <v>78.14</v>
      </c>
      <c r="D8" s="4">
        <v>77.39</v>
      </c>
      <c r="E8" s="4">
        <v>78.37</v>
      </c>
      <c r="F8" s="5">
        <v>76.930000000000007</v>
      </c>
      <c r="G8" s="6">
        <v>1.5728584427401451E-2</v>
      </c>
      <c r="H8" s="4" t="s">
        <v>871</v>
      </c>
      <c r="I8" s="5">
        <v>2.12</v>
      </c>
      <c r="J8" s="5">
        <v>23.29</v>
      </c>
      <c r="K8" s="5">
        <v>73.47</v>
      </c>
      <c r="L8" s="5">
        <f t="shared" si="0"/>
        <v>66.123000000000005</v>
      </c>
      <c r="M8" s="5" t="b">
        <f t="shared" ref="M8" si="2">L8&gt;C8</f>
        <v>0</v>
      </c>
    </row>
  </sheetData>
  <conditionalFormatting sqref="G1:G8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8"/>
  <sheetViews>
    <sheetView workbookViewId="0">
      <selection activeCell="L1" sqref="L1:M2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1" t="s">
        <v>148</v>
      </c>
      <c r="B2" s="2" t="s">
        <v>153</v>
      </c>
      <c r="C2" s="4">
        <v>65.459999999999994</v>
      </c>
      <c r="D2" s="4">
        <v>64.900000000000006</v>
      </c>
      <c r="E2" s="4">
        <v>65.81</v>
      </c>
      <c r="F2" s="5">
        <v>64.67</v>
      </c>
      <c r="G2" s="6">
        <v>1.2215865161589486E-2</v>
      </c>
      <c r="H2" s="4" t="s">
        <v>801</v>
      </c>
      <c r="I2" s="5">
        <v>1.77</v>
      </c>
      <c r="J2" s="4">
        <v>18.649999999999999</v>
      </c>
      <c r="K2" s="4">
        <v>60.99</v>
      </c>
      <c r="L2" s="5">
        <f t="shared" ref="L2:L8" si="0">K2*0.9</f>
        <v>54.891000000000005</v>
      </c>
      <c r="M2" s="5" t="b">
        <f t="shared" ref="M2:M8" si="1">L2&gt;C2</f>
        <v>0</v>
      </c>
    </row>
    <row r="3" spans="1:13" ht="20.100000000000001" customHeight="1" x14ac:dyDescent="0.25">
      <c r="A3" s="1" t="s">
        <v>147</v>
      </c>
      <c r="B3" s="2" t="s">
        <v>154</v>
      </c>
      <c r="C3" s="4">
        <v>154.59</v>
      </c>
      <c r="D3" s="4">
        <v>153.82</v>
      </c>
      <c r="E3" s="4">
        <v>156.24</v>
      </c>
      <c r="F3" s="5">
        <v>153.88999999999999</v>
      </c>
      <c r="G3" s="6">
        <v>4.5487036194685627E-3</v>
      </c>
      <c r="H3" s="4" t="s">
        <v>802</v>
      </c>
      <c r="I3" s="5">
        <v>1</v>
      </c>
      <c r="J3" s="4">
        <v>20.45</v>
      </c>
      <c r="K3" s="4">
        <v>136.71</v>
      </c>
      <c r="L3" s="5">
        <f t="shared" si="0"/>
        <v>123.03900000000002</v>
      </c>
      <c r="M3" s="5" t="b">
        <f t="shared" si="1"/>
        <v>0</v>
      </c>
    </row>
    <row r="4" spans="1:13" ht="20.100000000000001" customHeight="1" x14ac:dyDescent="0.25">
      <c r="A4" s="2" t="s">
        <v>150</v>
      </c>
      <c r="B4" s="2" t="s">
        <v>355</v>
      </c>
      <c r="C4" s="4">
        <v>28.14</v>
      </c>
      <c r="D4" s="4">
        <v>28.12</v>
      </c>
      <c r="E4" s="4">
        <v>28.44</v>
      </c>
      <c r="F4" s="5">
        <v>28.18</v>
      </c>
      <c r="G4" s="6">
        <v>-1.4194464158977696E-3</v>
      </c>
      <c r="H4" s="4" t="s">
        <v>803</v>
      </c>
      <c r="I4" s="5">
        <v>2.5299999999999998</v>
      </c>
      <c r="J4" s="4">
        <v>15.36</v>
      </c>
      <c r="K4" s="4">
        <v>26.56</v>
      </c>
      <c r="L4" s="5">
        <f t="shared" si="0"/>
        <v>23.904</v>
      </c>
      <c r="M4" s="5" t="b">
        <f t="shared" si="1"/>
        <v>0</v>
      </c>
    </row>
    <row r="5" spans="1:13" ht="20.100000000000001" customHeight="1" x14ac:dyDescent="0.25">
      <c r="A5" s="2" t="s">
        <v>152</v>
      </c>
      <c r="B5" s="2" t="s">
        <v>155</v>
      </c>
      <c r="C5" s="4">
        <v>68.14</v>
      </c>
      <c r="D5" s="4">
        <v>67.83</v>
      </c>
      <c r="E5" s="4">
        <v>69.08</v>
      </c>
      <c r="F5" s="5">
        <v>67.489999999999995</v>
      </c>
      <c r="G5" s="6">
        <v>9.6310564528079082E-3</v>
      </c>
      <c r="H5" s="4" t="s">
        <v>755</v>
      </c>
      <c r="I5" s="5" t="s">
        <v>39</v>
      </c>
      <c r="J5" s="4">
        <v>17.739999999999998</v>
      </c>
      <c r="K5" s="4">
        <v>62.05</v>
      </c>
      <c r="L5" s="5">
        <f t="shared" si="0"/>
        <v>55.844999999999999</v>
      </c>
      <c r="M5" s="5" t="b">
        <f t="shared" si="1"/>
        <v>0</v>
      </c>
    </row>
    <row r="6" spans="1:13" ht="20.100000000000001" customHeight="1" x14ac:dyDescent="0.25">
      <c r="A6" s="2" t="s">
        <v>149</v>
      </c>
      <c r="B6" s="2" t="s">
        <v>156</v>
      </c>
      <c r="C6" s="4">
        <v>95.77</v>
      </c>
      <c r="D6" s="4">
        <v>95.38</v>
      </c>
      <c r="E6" s="4">
        <v>97.55</v>
      </c>
      <c r="F6" s="5">
        <v>96.51</v>
      </c>
      <c r="G6" s="6">
        <v>-7.6675992125169318E-3</v>
      </c>
      <c r="H6" s="4" t="s">
        <v>804</v>
      </c>
      <c r="I6" s="5">
        <v>1.37</v>
      </c>
      <c r="J6" s="4">
        <v>20.84</v>
      </c>
      <c r="K6" s="4">
        <v>91</v>
      </c>
      <c r="L6" s="5">
        <f t="shared" si="0"/>
        <v>81.900000000000006</v>
      </c>
      <c r="M6" s="5" t="b">
        <f t="shared" si="1"/>
        <v>0</v>
      </c>
    </row>
    <row r="7" spans="1:13" ht="20.100000000000001" customHeight="1" x14ac:dyDescent="0.25">
      <c r="A7" s="1" t="s">
        <v>151</v>
      </c>
      <c r="B7" s="2" t="s">
        <v>157</v>
      </c>
      <c r="C7" s="4">
        <v>94.16</v>
      </c>
      <c r="D7" s="4">
        <v>93.69</v>
      </c>
      <c r="E7" s="4">
        <v>94.8</v>
      </c>
      <c r="F7" s="5">
        <v>93.8</v>
      </c>
      <c r="G7" s="6">
        <v>3.837953091684429E-3</v>
      </c>
      <c r="H7" s="4" t="s">
        <v>805</v>
      </c>
      <c r="I7" s="5">
        <v>2.52</v>
      </c>
      <c r="J7" s="4">
        <v>17.64</v>
      </c>
      <c r="K7" s="4">
        <v>85.14</v>
      </c>
      <c r="L7" s="5">
        <f t="shared" si="0"/>
        <v>76.626000000000005</v>
      </c>
      <c r="M7" s="5" t="b">
        <f t="shared" si="1"/>
        <v>0</v>
      </c>
    </row>
    <row r="8" spans="1:13" ht="20.100000000000001" customHeight="1" x14ac:dyDescent="0.25">
      <c r="A8" s="1" t="s">
        <v>146</v>
      </c>
      <c r="B8" s="2" t="s">
        <v>158</v>
      </c>
      <c r="C8" s="4">
        <v>95.28</v>
      </c>
      <c r="D8" s="4">
        <v>94.87</v>
      </c>
      <c r="E8" s="4">
        <v>95.95</v>
      </c>
      <c r="F8" s="5">
        <v>95.29</v>
      </c>
      <c r="G8" s="6">
        <v>-1.0494280617069068E-4</v>
      </c>
      <c r="H8" s="4" t="s">
        <v>806</v>
      </c>
      <c r="I8" s="5">
        <v>2.31</v>
      </c>
      <c r="J8" s="4">
        <v>18.55</v>
      </c>
      <c r="K8" s="4">
        <v>86.35</v>
      </c>
      <c r="L8" s="5">
        <f t="shared" si="0"/>
        <v>77.715000000000003</v>
      </c>
      <c r="M8" s="5" t="b">
        <f t="shared" si="1"/>
        <v>0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2"/>
  <sheetViews>
    <sheetView workbookViewId="0">
      <selection activeCell="L1" sqref="L1:M2"/>
    </sheetView>
  </sheetViews>
  <sheetFormatPr defaultRowHeight="21.95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1.95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572</v>
      </c>
    </row>
    <row r="2" spans="1:13" ht="21.95" customHeight="1" thickTop="1" x14ac:dyDescent="0.25">
      <c r="A2" s="1" t="s">
        <v>75</v>
      </c>
      <c r="B2" s="2" t="s">
        <v>357</v>
      </c>
      <c r="C2" s="4">
        <v>173.11</v>
      </c>
      <c r="D2" s="4">
        <v>168.8</v>
      </c>
      <c r="E2" s="4">
        <v>177.34</v>
      </c>
      <c r="F2" s="5">
        <v>177.09</v>
      </c>
      <c r="G2" s="6">
        <v>-2.2474448020780337E-2</v>
      </c>
      <c r="H2" s="4" t="s">
        <v>645</v>
      </c>
      <c r="I2" s="5">
        <v>1.1299999999999999</v>
      </c>
      <c r="J2" s="5" t="s">
        <v>39</v>
      </c>
      <c r="K2" s="5">
        <v>154.62</v>
      </c>
      <c r="L2" s="5">
        <f t="shared" ref="L2:L12" si="0">K2*0.9</f>
        <v>139.15800000000002</v>
      </c>
      <c r="M2" s="5" t="b">
        <f t="shared" ref="M2:M10" si="1">L2&gt;C2</f>
        <v>0</v>
      </c>
    </row>
    <row r="3" spans="1:13" ht="21.95" customHeight="1" x14ac:dyDescent="0.25">
      <c r="A3" s="1" t="s">
        <v>73</v>
      </c>
      <c r="B3" s="2" t="s">
        <v>78</v>
      </c>
      <c r="C3" s="4">
        <v>36.08</v>
      </c>
      <c r="D3" s="4">
        <v>35.950000000000003</v>
      </c>
      <c r="E3" s="4">
        <v>36.33</v>
      </c>
      <c r="F3" s="5">
        <v>36.020000000000003</v>
      </c>
      <c r="G3" s="6">
        <v>1.6657412548582778E-3</v>
      </c>
      <c r="H3" s="4" t="s">
        <v>711</v>
      </c>
      <c r="I3" s="5">
        <v>2.89</v>
      </c>
      <c r="J3" s="5">
        <v>17.5</v>
      </c>
      <c r="K3" s="5">
        <v>32.31</v>
      </c>
      <c r="L3" s="5">
        <f t="shared" si="0"/>
        <v>29.079000000000004</v>
      </c>
      <c r="M3" s="5" t="b">
        <f t="shared" si="1"/>
        <v>0</v>
      </c>
    </row>
    <row r="4" spans="1:13" ht="21.95" customHeight="1" x14ac:dyDescent="0.25">
      <c r="A4" s="2" t="s">
        <v>76</v>
      </c>
      <c r="B4" s="2" t="s">
        <v>82</v>
      </c>
      <c r="C4" s="4">
        <v>94.36</v>
      </c>
      <c r="D4" s="4">
        <v>93.69</v>
      </c>
      <c r="E4" s="4">
        <v>95.41</v>
      </c>
      <c r="F4" s="5">
        <v>94.63</v>
      </c>
      <c r="G4" s="6">
        <v>-2.8532177956250241E-3</v>
      </c>
      <c r="H4" s="4" t="s">
        <v>712</v>
      </c>
      <c r="I4" s="5">
        <v>1.27</v>
      </c>
      <c r="J4" s="5">
        <v>18.079999999999998</v>
      </c>
      <c r="K4" s="5">
        <v>82.37</v>
      </c>
      <c r="L4" s="5">
        <f t="shared" si="0"/>
        <v>74.13300000000001</v>
      </c>
      <c r="M4" s="5" t="b">
        <f t="shared" si="1"/>
        <v>0</v>
      </c>
    </row>
    <row r="5" spans="1:13" ht="21.95" customHeight="1" x14ac:dyDescent="0.25">
      <c r="A5" s="81" t="s">
        <v>74</v>
      </c>
      <c r="B5" s="2" t="s">
        <v>79</v>
      </c>
      <c r="C5" s="4">
        <v>16.7</v>
      </c>
      <c r="D5" s="4">
        <v>16.57</v>
      </c>
      <c r="E5" s="4">
        <v>16.97</v>
      </c>
      <c r="F5" s="5">
        <v>16.64</v>
      </c>
      <c r="G5" s="6">
        <v>3.6057692307691538E-3</v>
      </c>
      <c r="H5" s="4" t="s">
        <v>713</v>
      </c>
      <c r="I5" s="5">
        <v>0</v>
      </c>
      <c r="J5" s="5">
        <v>47.99</v>
      </c>
      <c r="K5" s="5">
        <v>12.24</v>
      </c>
      <c r="L5" s="5">
        <f t="shared" si="0"/>
        <v>11.016</v>
      </c>
      <c r="M5" s="5" t="b">
        <f t="shared" si="1"/>
        <v>0</v>
      </c>
    </row>
    <row r="6" spans="1:13" ht="21.95" customHeight="1" x14ac:dyDescent="0.25">
      <c r="A6" s="2" t="s">
        <v>77</v>
      </c>
      <c r="B6" s="2" t="s">
        <v>83</v>
      </c>
      <c r="C6" s="4">
        <v>63.35</v>
      </c>
      <c r="D6" s="4">
        <v>63.09</v>
      </c>
      <c r="E6" s="4">
        <v>63.7</v>
      </c>
      <c r="F6" s="5">
        <v>63.47</v>
      </c>
      <c r="G6" s="6">
        <v>-1.8906570033086095E-3</v>
      </c>
      <c r="H6" s="4" t="s">
        <v>649</v>
      </c>
      <c r="I6" s="5">
        <v>3.34</v>
      </c>
      <c r="J6" s="5">
        <v>18.55</v>
      </c>
      <c r="K6" s="5">
        <v>54.64</v>
      </c>
      <c r="L6" s="5">
        <f t="shared" si="0"/>
        <v>49.176000000000002</v>
      </c>
      <c r="M6" s="5" t="b">
        <f t="shared" si="1"/>
        <v>0</v>
      </c>
    </row>
    <row r="7" spans="1:13" ht="21.95" customHeight="1" x14ac:dyDescent="0.25">
      <c r="A7" s="1" t="s">
        <v>80</v>
      </c>
      <c r="B7" s="2" t="s">
        <v>81</v>
      </c>
      <c r="C7" s="4">
        <v>74.62</v>
      </c>
      <c r="D7" s="4">
        <v>74.209999999999994</v>
      </c>
      <c r="E7" s="4">
        <v>75.430000000000007</v>
      </c>
      <c r="F7" s="5">
        <v>75.09</v>
      </c>
      <c r="G7" s="6">
        <v>-6.2591556798508299E-3</v>
      </c>
      <c r="H7" s="4" t="s">
        <v>643</v>
      </c>
      <c r="I7" s="5">
        <v>1.51</v>
      </c>
      <c r="J7" s="5">
        <v>14.78</v>
      </c>
      <c r="K7" s="5">
        <v>68.61</v>
      </c>
      <c r="L7" s="5">
        <f t="shared" si="0"/>
        <v>61.749000000000002</v>
      </c>
      <c r="M7" s="5" t="b">
        <f t="shared" si="1"/>
        <v>0</v>
      </c>
    </row>
    <row r="8" spans="1:13" ht="21.95" customHeight="1" x14ac:dyDescent="0.25">
      <c r="A8" s="2" t="s">
        <v>710</v>
      </c>
      <c r="B8" s="2" t="s">
        <v>714</v>
      </c>
      <c r="C8" s="4">
        <v>33.92</v>
      </c>
      <c r="D8" s="4">
        <v>33.47</v>
      </c>
      <c r="E8" s="4">
        <v>34.25</v>
      </c>
      <c r="F8" s="5">
        <v>33.71</v>
      </c>
      <c r="G8" s="6">
        <v>6.2296054583209984E-3</v>
      </c>
      <c r="H8" s="4" t="s">
        <v>715</v>
      </c>
      <c r="I8" s="5">
        <v>7.48</v>
      </c>
      <c r="J8" s="5">
        <v>41.37</v>
      </c>
      <c r="K8" s="5">
        <v>28.47</v>
      </c>
      <c r="L8" s="5">
        <f t="shared" si="0"/>
        <v>25.623000000000001</v>
      </c>
      <c r="M8" s="5" t="b">
        <f t="shared" si="1"/>
        <v>0</v>
      </c>
    </row>
    <row r="9" spans="1:13" ht="21.95" customHeight="1" x14ac:dyDescent="0.25">
      <c r="A9" s="2" t="s">
        <v>717</v>
      </c>
      <c r="B9" s="19" t="s">
        <v>809</v>
      </c>
      <c r="C9" s="4">
        <v>30.02</v>
      </c>
      <c r="D9" s="4">
        <v>29.82</v>
      </c>
      <c r="E9" s="4">
        <v>30.41</v>
      </c>
      <c r="F9" s="5">
        <v>30.29</v>
      </c>
      <c r="G9" s="6">
        <v>-8.9138329481676989E-3</v>
      </c>
      <c r="H9" s="6" t="s">
        <v>810</v>
      </c>
      <c r="I9" s="5">
        <v>1.33</v>
      </c>
      <c r="J9" s="5">
        <v>23.68</v>
      </c>
      <c r="K9" s="5">
        <v>23.07</v>
      </c>
      <c r="L9" s="5">
        <f t="shared" si="0"/>
        <v>20.763000000000002</v>
      </c>
      <c r="M9" s="5" t="b">
        <f t="shared" si="1"/>
        <v>0</v>
      </c>
    </row>
    <row r="10" spans="1:13" ht="21.95" customHeight="1" x14ac:dyDescent="0.25">
      <c r="A10" s="2" t="s">
        <v>356</v>
      </c>
      <c r="B10" s="2" t="s">
        <v>358</v>
      </c>
      <c r="C10" s="4">
        <v>46.97</v>
      </c>
      <c r="D10" s="4">
        <v>46.26</v>
      </c>
      <c r="E10" s="4">
        <v>47.7</v>
      </c>
      <c r="F10" s="5">
        <v>46.32</v>
      </c>
      <c r="G10" s="6">
        <v>1.4032815198618277E-2</v>
      </c>
      <c r="H10" s="4" t="s">
        <v>716</v>
      </c>
      <c r="I10" s="5">
        <v>4.32</v>
      </c>
      <c r="J10" s="5">
        <v>46.97</v>
      </c>
      <c r="K10" s="5">
        <v>45.63</v>
      </c>
      <c r="L10" s="5">
        <f t="shared" si="0"/>
        <v>41.067</v>
      </c>
      <c r="M10" s="5" t="b">
        <f t="shared" si="1"/>
        <v>0</v>
      </c>
    </row>
    <row r="11" spans="1:13" ht="21.95" customHeight="1" x14ac:dyDescent="0.25">
      <c r="A11" s="2" t="s">
        <v>807</v>
      </c>
      <c r="B11" s="2" t="s">
        <v>811</v>
      </c>
      <c r="C11" s="4">
        <v>62.69</v>
      </c>
      <c r="D11" s="4">
        <v>62.26</v>
      </c>
      <c r="E11" s="4">
        <v>63</v>
      </c>
      <c r="F11" s="5">
        <v>62.8</v>
      </c>
      <c r="G11" s="6">
        <v>-1.751592356687889E-3</v>
      </c>
      <c r="H11" s="4" t="s">
        <v>812</v>
      </c>
      <c r="I11" s="5">
        <v>2.29</v>
      </c>
      <c r="J11" s="5">
        <v>168.98</v>
      </c>
      <c r="K11" s="5">
        <v>51.32</v>
      </c>
      <c r="L11" s="5">
        <f t="shared" si="0"/>
        <v>46.188000000000002</v>
      </c>
      <c r="M11" s="5" t="b">
        <f t="shared" ref="M11:M12" si="2">L11&gt;C11</f>
        <v>0</v>
      </c>
    </row>
    <row r="12" spans="1:13" ht="21.95" customHeight="1" x14ac:dyDescent="0.25">
      <c r="A12" s="2" t="s">
        <v>808</v>
      </c>
      <c r="B12" s="2" t="s">
        <v>813</v>
      </c>
      <c r="C12" s="4">
        <v>62.53</v>
      </c>
      <c r="D12" s="4">
        <v>61.82</v>
      </c>
      <c r="E12" s="4">
        <v>63.35</v>
      </c>
      <c r="F12" s="5">
        <v>63.15</v>
      </c>
      <c r="G12" s="6">
        <v>-9.817893903404552E-3</v>
      </c>
      <c r="H12" s="4" t="s">
        <v>814</v>
      </c>
      <c r="I12" s="5">
        <v>0.73</v>
      </c>
      <c r="J12" s="5">
        <v>41.08</v>
      </c>
      <c r="K12" s="5">
        <v>44.32</v>
      </c>
      <c r="L12" s="5">
        <f t="shared" si="0"/>
        <v>39.887999999999998</v>
      </c>
      <c r="M12" s="5" t="b">
        <f t="shared" si="2"/>
        <v>0</v>
      </c>
    </row>
  </sheetData>
  <conditionalFormatting sqref="G8:G12">
    <cfRule type="colorScale" priority="6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7">
    <cfRule type="colorScale" priority="7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8"/>
  <sheetViews>
    <sheetView workbookViewId="0">
      <selection activeCell="L1" sqref="L1:M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2" t="s">
        <v>176</v>
      </c>
      <c r="B2" s="2" t="s">
        <v>180</v>
      </c>
      <c r="C2" s="4">
        <v>38.18</v>
      </c>
      <c r="D2" s="4">
        <v>38.11</v>
      </c>
      <c r="E2" s="4">
        <v>39.090000000000003</v>
      </c>
      <c r="F2" s="5">
        <v>38.44</v>
      </c>
      <c r="G2" s="6">
        <v>-6.7637877211237782E-3</v>
      </c>
      <c r="H2" s="4" t="s">
        <v>815</v>
      </c>
      <c r="I2" s="5" t="s">
        <v>39</v>
      </c>
      <c r="J2" s="5">
        <v>5.62</v>
      </c>
      <c r="K2" s="5">
        <v>53.6</v>
      </c>
      <c r="L2" s="5">
        <f t="shared" ref="L2:L8" si="0">K2*0.9</f>
        <v>48.24</v>
      </c>
      <c r="M2" s="5" t="b">
        <f t="shared" ref="M2:M8" si="1">L2&gt;C2</f>
        <v>1</v>
      </c>
    </row>
    <row r="3" spans="1:13" ht="20.100000000000001" customHeight="1" x14ac:dyDescent="0.25">
      <c r="A3" s="2" t="s">
        <v>179</v>
      </c>
      <c r="B3" s="2" t="s">
        <v>181</v>
      </c>
      <c r="C3" s="4">
        <v>34.130000000000003</v>
      </c>
      <c r="D3" s="4">
        <v>33.770000000000003</v>
      </c>
      <c r="E3" s="4">
        <v>34.26</v>
      </c>
      <c r="F3" s="5">
        <v>33.67</v>
      </c>
      <c r="G3" s="6">
        <v>1.3662013662013686E-2</v>
      </c>
      <c r="H3" s="4" t="s">
        <v>816</v>
      </c>
      <c r="I3" s="5">
        <v>2.85</v>
      </c>
      <c r="J3" s="5">
        <v>26.6</v>
      </c>
      <c r="K3" s="5">
        <v>35.799999999999997</v>
      </c>
      <c r="L3" s="5">
        <f t="shared" si="0"/>
        <v>32.22</v>
      </c>
      <c r="M3" s="5" t="b">
        <f t="shared" si="1"/>
        <v>0</v>
      </c>
    </row>
    <row r="4" spans="1:13" ht="20.100000000000001" customHeight="1" x14ac:dyDescent="0.25">
      <c r="A4" s="1" t="s">
        <v>143</v>
      </c>
      <c r="B4" s="2" t="s">
        <v>144</v>
      </c>
      <c r="C4" s="4">
        <v>18.48</v>
      </c>
      <c r="D4" s="4">
        <v>18.36</v>
      </c>
      <c r="E4" s="4">
        <v>19.48</v>
      </c>
      <c r="F4" s="5">
        <v>18.78</v>
      </c>
      <c r="G4" s="6">
        <v>-1.5974440894568728E-2</v>
      </c>
      <c r="H4" s="4" t="s">
        <v>817</v>
      </c>
      <c r="I4" s="5" t="s">
        <v>39</v>
      </c>
      <c r="J4" s="5" t="s">
        <v>39</v>
      </c>
      <c r="K4" s="5">
        <v>24</v>
      </c>
      <c r="L4" s="5">
        <f t="shared" si="0"/>
        <v>21.6</v>
      </c>
      <c r="M4" s="5" t="b">
        <f t="shared" si="1"/>
        <v>1</v>
      </c>
    </row>
    <row r="5" spans="1:13" ht="20.100000000000001" customHeight="1" x14ac:dyDescent="0.25">
      <c r="A5" s="2" t="s">
        <v>178</v>
      </c>
      <c r="B5" s="2" t="s">
        <v>182</v>
      </c>
      <c r="C5" s="4">
        <v>10.31</v>
      </c>
      <c r="D5" s="4">
        <v>10.119999999999999</v>
      </c>
      <c r="E5" s="4">
        <v>10.34</v>
      </c>
      <c r="F5" s="5">
        <v>10.1</v>
      </c>
      <c r="G5" s="6">
        <v>2.0792079207920876E-2</v>
      </c>
      <c r="H5" s="4" t="s">
        <v>818</v>
      </c>
      <c r="I5" s="5" t="s">
        <v>39</v>
      </c>
      <c r="J5" s="5" t="s">
        <v>39</v>
      </c>
      <c r="K5" s="5">
        <v>17.61</v>
      </c>
      <c r="L5" s="5">
        <f t="shared" si="0"/>
        <v>15.849</v>
      </c>
      <c r="M5" s="5" t="b">
        <f t="shared" si="1"/>
        <v>1</v>
      </c>
    </row>
    <row r="6" spans="1:13" ht="20.100000000000001" customHeight="1" x14ac:dyDescent="0.25">
      <c r="A6" s="2" t="s">
        <v>314</v>
      </c>
      <c r="B6" s="19" t="s">
        <v>315</v>
      </c>
      <c r="C6" s="4">
        <v>21.13</v>
      </c>
      <c r="D6" s="4">
        <v>21.02</v>
      </c>
      <c r="E6" s="4">
        <v>21.17</v>
      </c>
      <c r="F6" s="5">
        <v>20.82</v>
      </c>
      <c r="G6" s="6">
        <v>1.4889529298751139E-2</v>
      </c>
      <c r="H6" s="6" t="s">
        <v>39</v>
      </c>
      <c r="I6" s="5">
        <v>0</v>
      </c>
      <c r="J6" s="5" t="s">
        <v>39</v>
      </c>
      <c r="K6" s="5">
        <v>22.12</v>
      </c>
      <c r="L6" s="5">
        <f t="shared" si="0"/>
        <v>19.908000000000001</v>
      </c>
      <c r="M6" s="5" t="b">
        <f t="shared" si="1"/>
        <v>0</v>
      </c>
    </row>
    <row r="7" spans="1:13" ht="20.100000000000001" customHeight="1" x14ac:dyDescent="0.25">
      <c r="A7" s="2" t="s">
        <v>340</v>
      </c>
      <c r="B7" s="19" t="s">
        <v>341</v>
      </c>
      <c r="C7" s="4">
        <v>17.32</v>
      </c>
      <c r="D7" s="4">
        <v>16.739999999999998</v>
      </c>
      <c r="E7" s="4">
        <v>17.329999999999998</v>
      </c>
      <c r="F7" s="5">
        <v>16.829999999999998</v>
      </c>
      <c r="G7" s="6">
        <v>2.9114676173499825E-2</v>
      </c>
      <c r="H7" s="6" t="s">
        <v>819</v>
      </c>
      <c r="I7" s="5" t="s">
        <v>39</v>
      </c>
      <c r="J7" s="5">
        <v>10.01</v>
      </c>
      <c r="K7" s="5">
        <v>21.91</v>
      </c>
      <c r="L7" s="5">
        <f t="shared" si="0"/>
        <v>19.719000000000001</v>
      </c>
      <c r="M7" s="5" t="b">
        <f t="shared" si="1"/>
        <v>1</v>
      </c>
    </row>
    <row r="8" spans="1:13" ht="20.100000000000001" customHeight="1" x14ac:dyDescent="0.25">
      <c r="A8" s="2" t="s">
        <v>177</v>
      </c>
      <c r="B8" s="2" t="s">
        <v>820</v>
      </c>
      <c r="C8" s="4">
        <v>0.34</v>
      </c>
      <c r="D8" s="4" t="s">
        <v>39</v>
      </c>
      <c r="E8" s="4" t="s">
        <v>39</v>
      </c>
      <c r="F8" s="5">
        <v>0.34</v>
      </c>
      <c r="G8" s="6">
        <v>0</v>
      </c>
      <c r="H8" s="4" t="s">
        <v>39</v>
      </c>
      <c r="I8" s="5" t="s">
        <v>39</v>
      </c>
      <c r="J8" s="5" t="s">
        <v>39</v>
      </c>
      <c r="K8" s="5">
        <v>3.79</v>
      </c>
      <c r="L8" s="5">
        <f t="shared" si="0"/>
        <v>3.411</v>
      </c>
      <c r="M8" s="5" t="b">
        <f t="shared" si="1"/>
        <v>1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12"/>
  <sheetViews>
    <sheetView workbookViewId="0">
      <selection activeCell="K21" sqref="K21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  <col min="12" max="12" width="20.85546875" bestFit="1" customWidth="1"/>
  </cols>
  <sheetData>
    <row r="1" spans="1:14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381</v>
      </c>
      <c r="M1" s="75" t="s">
        <v>546</v>
      </c>
      <c r="N1" s="76" t="s">
        <v>572</v>
      </c>
    </row>
    <row r="2" spans="1:14" ht="20.100000000000001" customHeight="1" thickTop="1" x14ac:dyDescent="0.25">
      <c r="A2" s="39" t="s">
        <v>375</v>
      </c>
      <c r="B2" s="39" t="s">
        <v>380</v>
      </c>
      <c r="C2" s="44">
        <v>73.75</v>
      </c>
      <c r="D2" s="44">
        <v>73.27</v>
      </c>
      <c r="E2" s="44">
        <v>74.06</v>
      </c>
      <c r="F2" s="41">
        <v>72.94</v>
      </c>
      <c r="G2" s="43">
        <v>1.1105017822868142E-2</v>
      </c>
      <c r="H2" s="42" t="s">
        <v>821</v>
      </c>
      <c r="I2" s="41" t="s">
        <v>39</v>
      </c>
      <c r="J2" s="40">
        <v>64.69</v>
      </c>
      <c r="K2" s="40">
        <v>73.38</v>
      </c>
      <c r="L2" s="4" t="s">
        <v>383</v>
      </c>
      <c r="M2" s="5">
        <f t="shared" ref="M2:M12" si="0">K2*0.9</f>
        <v>66.042000000000002</v>
      </c>
      <c r="N2" s="5" t="b">
        <f t="shared" ref="N2:N12" si="1">M2&gt;D2</f>
        <v>0</v>
      </c>
    </row>
    <row r="3" spans="1:14" ht="20.100000000000001" customHeight="1" x14ac:dyDescent="0.25">
      <c r="A3" s="39" t="s">
        <v>371</v>
      </c>
      <c r="B3" s="39" t="s">
        <v>376</v>
      </c>
      <c r="C3" s="44">
        <v>41.25</v>
      </c>
      <c r="D3" s="44">
        <v>41.03</v>
      </c>
      <c r="E3" s="44">
        <v>41.42</v>
      </c>
      <c r="F3" s="41">
        <v>41.16</v>
      </c>
      <c r="G3" s="43">
        <v>2.1865889212828817E-3</v>
      </c>
      <c r="H3" s="42" t="s">
        <v>822</v>
      </c>
      <c r="I3" s="41">
        <v>1.45</v>
      </c>
      <c r="J3" s="40">
        <v>19.93</v>
      </c>
      <c r="K3" s="40">
        <v>40.03</v>
      </c>
      <c r="L3" s="4" t="s">
        <v>383</v>
      </c>
      <c r="M3" s="5">
        <f t="shared" si="0"/>
        <v>36.027000000000001</v>
      </c>
      <c r="N3" s="5" t="b">
        <f t="shared" si="1"/>
        <v>0</v>
      </c>
    </row>
    <row r="4" spans="1:14" ht="20.100000000000001" customHeight="1" x14ac:dyDescent="0.25">
      <c r="A4" s="39" t="s">
        <v>374</v>
      </c>
      <c r="B4" s="39" t="s">
        <v>379</v>
      </c>
      <c r="C4" s="44">
        <v>112.07</v>
      </c>
      <c r="D4" s="44">
        <v>111.44</v>
      </c>
      <c r="E4" s="44">
        <v>113.11</v>
      </c>
      <c r="F4" s="41">
        <v>112.34</v>
      </c>
      <c r="G4" s="43">
        <v>-2.4034181947659803E-3</v>
      </c>
      <c r="H4" s="42" t="s">
        <v>823</v>
      </c>
      <c r="I4" s="41">
        <v>1.08</v>
      </c>
      <c r="J4" s="40">
        <v>30.35</v>
      </c>
      <c r="K4" s="40">
        <v>106.01</v>
      </c>
      <c r="L4" s="4" t="s">
        <v>383</v>
      </c>
      <c r="M4" s="5">
        <f t="shared" si="0"/>
        <v>95.409000000000006</v>
      </c>
      <c r="N4" s="5" t="b">
        <f t="shared" si="1"/>
        <v>0</v>
      </c>
    </row>
    <row r="5" spans="1:14" ht="20.100000000000001" customHeight="1" x14ac:dyDescent="0.25">
      <c r="A5" s="39" t="s">
        <v>372</v>
      </c>
      <c r="B5" s="39" t="s">
        <v>377</v>
      </c>
      <c r="C5" s="44">
        <v>75.099999999999994</v>
      </c>
      <c r="D5" s="44">
        <v>74.650000000000006</v>
      </c>
      <c r="E5" s="44">
        <v>76.47</v>
      </c>
      <c r="F5" s="41">
        <v>75.91</v>
      </c>
      <c r="G5" s="43">
        <v>-1.0670530891845637E-2</v>
      </c>
      <c r="H5" s="42" t="s">
        <v>824</v>
      </c>
      <c r="I5" s="41" t="s">
        <v>39</v>
      </c>
      <c r="J5" s="40">
        <v>231.79</v>
      </c>
      <c r="K5" s="40">
        <v>76.95</v>
      </c>
      <c r="L5" s="4" t="s">
        <v>383</v>
      </c>
      <c r="M5" s="5">
        <f t="shared" si="0"/>
        <v>69.25500000000001</v>
      </c>
      <c r="N5" s="5" t="b">
        <f t="shared" si="1"/>
        <v>0</v>
      </c>
    </row>
    <row r="6" spans="1:14" ht="20.100000000000001" customHeight="1" x14ac:dyDescent="0.25">
      <c r="A6" s="39" t="s">
        <v>373</v>
      </c>
      <c r="B6" s="39" t="s">
        <v>378</v>
      </c>
      <c r="C6" s="44">
        <v>103.57</v>
      </c>
      <c r="D6" s="44">
        <v>102.94</v>
      </c>
      <c r="E6" s="44">
        <v>104.16</v>
      </c>
      <c r="F6" s="41">
        <v>102.9</v>
      </c>
      <c r="G6" s="43">
        <v>6.5111758989308795E-3</v>
      </c>
      <c r="H6" s="42" t="s">
        <v>825</v>
      </c>
      <c r="I6" s="41">
        <v>0</v>
      </c>
      <c r="J6" s="40">
        <v>58.51</v>
      </c>
      <c r="K6" s="40">
        <v>94.99</v>
      </c>
      <c r="L6" s="4" t="s">
        <v>383</v>
      </c>
      <c r="M6" s="5">
        <f t="shared" si="0"/>
        <v>85.491</v>
      </c>
      <c r="N6" s="5" t="b">
        <f t="shared" si="1"/>
        <v>0</v>
      </c>
    </row>
    <row r="7" spans="1:14" ht="20.100000000000001" customHeight="1" x14ac:dyDescent="0.25">
      <c r="A7" s="45" t="s">
        <v>361</v>
      </c>
      <c r="B7" s="45" t="s">
        <v>367</v>
      </c>
      <c r="C7" s="49">
        <v>43.28</v>
      </c>
      <c r="D7" s="46">
        <v>43.08</v>
      </c>
      <c r="E7" s="46">
        <v>43.6</v>
      </c>
      <c r="F7" s="47">
        <v>42.93</v>
      </c>
      <c r="G7" s="50">
        <v>8.1528068949452935E-3</v>
      </c>
      <c r="H7" s="48" t="s">
        <v>826</v>
      </c>
      <c r="I7" s="47" t="s">
        <v>39</v>
      </c>
      <c r="J7" s="46" t="s">
        <v>39</v>
      </c>
      <c r="K7" s="46">
        <v>37.03</v>
      </c>
      <c r="L7" s="4" t="s">
        <v>382</v>
      </c>
      <c r="M7" s="5">
        <f t="shared" si="0"/>
        <v>33.327000000000005</v>
      </c>
      <c r="N7" s="5" t="b">
        <f t="shared" si="1"/>
        <v>0</v>
      </c>
    </row>
    <row r="8" spans="1:14" ht="20.100000000000001" customHeight="1" x14ac:dyDescent="0.25">
      <c r="A8" s="45" t="s">
        <v>363</v>
      </c>
      <c r="B8" s="45" t="s">
        <v>369</v>
      </c>
      <c r="C8" s="46">
        <v>79.02</v>
      </c>
      <c r="D8" s="46">
        <v>75.010000000000005</v>
      </c>
      <c r="E8" s="46">
        <v>82.88</v>
      </c>
      <c r="F8" s="47">
        <v>74.81</v>
      </c>
      <c r="G8" s="48">
        <v>5.6275898943991362E-2</v>
      </c>
      <c r="H8" s="46" t="s">
        <v>827</v>
      </c>
      <c r="I8" s="47">
        <v>0</v>
      </c>
      <c r="J8" s="46">
        <v>25.17</v>
      </c>
      <c r="K8" s="46">
        <v>84.83</v>
      </c>
      <c r="L8" s="4" t="s">
        <v>382</v>
      </c>
      <c r="M8" s="5">
        <f t="shared" si="0"/>
        <v>76.346999999999994</v>
      </c>
      <c r="N8" s="5" t="b">
        <f t="shared" si="1"/>
        <v>1</v>
      </c>
    </row>
    <row r="9" spans="1:14" ht="20.100000000000001" customHeight="1" x14ac:dyDescent="0.25">
      <c r="A9" s="45" t="s">
        <v>364</v>
      </c>
      <c r="B9" s="45" t="s">
        <v>370</v>
      </c>
      <c r="C9" s="49">
        <v>61.2</v>
      </c>
      <c r="D9" s="46">
        <v>60.89</v>
      </c>
      <c r="E9" s="46">
        <v>61.96</v>
      </c>
      <c r="F9" s="47">
        <v>61.32</v>
      </c>
      <c r="G9" s="50">
        <v>-1.9569471624265727E-3</v>
      </c>
      <c r="H9" s="48" t="s">
        <v>828</v>
      </c>
      <c r="I9" s="47" t="s">
        <v>39</v>
      </c>
      <c r="J9" s="46">
        <v>64.42</v>
      </c>
      <c r="K9" s="46">
        <v>64.78</v>
      </c>
      <c r="L9" s="4" t="s">
        <v>382</v>
      </c>
      <c r="M9" s="5">
        <f t="shared" si="0"/>
        <v>58.302</v>
      </c>
      <c r="N9" s="5" t="b">
        <f t="shared" si="1"/>
        <v>0</v>
      </c>
    </row>
    <row r="10" spans="1:14" ht="20.100000000000001" customHeight="1" x14ac:dyDescent="0.25">
      <c r="A10" s="45" t="s">
        <v>359</v>
      </c>
      <c r="B10" s="45" t="s">
        <v>365</v>
      </c>
      <c r="C10" s="46">
        <v>796.87</v>
      </c>
      <c r="D10" s="46">
        <v>793.26</v>
      </c>
      <c r="E10" s="46">
        <v>797.1</v>
      </c>
      <c r="F10" s="47">
        <v>791.4</v>
      </c>
      <c r="G10" s="48">
        <v>6.9118018701036484E-3</v>
      </c>
      <c r="H10" s="46" t="s">
        <v>829</v>
      </c>
      <c r="I10" s="47" t="s">
        <v>39</v>
      </c>
      <c r="J10" s="46">
        <v>30.88</v>
      </c>
      <c r="K10" s="46">
        <v>747.86</v>
      </c>
      <c r="L10" s="4" t="s">
        <v>382</v>
      </c>
      <c r="M10" s="5">
        <f t="shared" si="0"/>
        <v>673.07400000000007</v>
      </c>
      <c r="N10" s="5" t="b">
        <f t="shared" si="1"/>
        <v>0</v>
      </c>
    </row>
    <row r="11" spans="1:14" ht="20.100000000000001" customHeight="1" x14ac:dyDescent="0.25">
      <c r="A11" s="45" t="s">
        <v>360</v>
      </c>
      <c r="B11" s="45" t="s">
        <v>366</v>
      </c>
      <c r="C11" s="46">
        <v>126.51</v>
      </c>
      <c r="D11" s="46">
        <v>126</v>
      </c>
      <c r="E11" s="46">
        <v>126.86</v>
      </c>
      <c r="F11" s="47">
        <v>126.17</v>
      </c>
      <c r="G11" s="48">
        <v>2.6947768883253025E-3</v>
      </c>
      <c r="H11" s="46" t="s">
        <v>830</v>
      </c>
      <c r="I11" s="47" t="s">
        <v>39</v>
      </c>
      <c r="J11" s="46">
        <v>60.47</v>
      </c>
      <c r="K11" s="46">
        <v>116.08</v>
      </c>
      <c r="L11" s="4" t="s">
        <v>382</v>
      </c>
      <c r="M11" s="5">
        <f t="shared" si="0"/>
        <v>104.47199999999999</v>
      </c>
      <c r="N11" s="5" t="b">
        <f t="shared" si="1"/>
        <v>0</v>
      </c>
    </row>
    <row r="12" spans="1:14" ht="20.100000000000001" customHeight="1" x14ac:dyDescent="0.25">
      <c r="A12" s="94" t="s">
        <v>362</v>
      </c>
      <c r="B12" s="45" t="s">
        <v>368</v>
      </c>
      <c r="C12" s="51">
        <v>55.33</v>
      </c>
      <c r="D12" s="51">
        <v>55.01</v>
      </c>
      <c r="E12" s="51">
        <v>55.78</v>
      </c>
      <c r="F12" s="47">
        <v>55.07</v>
      </c>
      <c r="G12" s="50">
        <v>4.7212638460141275E-3</v>
      </c>
      <c r="H12" s="48" t="s">
        <v>831</v>
      </c>
      <c r="I12" s="47" t="s">
        <v>39</v>
      </c>
      <c r="J12" s="46">
        <v>30.37</v>
      </c>
      <c r="K12" s="46">
        <v>53.59</v>
      </c>
      <c r="L12" s="4" t="s">
        <v>382</v>
      </c>
      <c r="M12" s="5">
        <f t="shared" si="0"/>
        <v>48.231000000000002</v>
      </c>
      <c r="N12" s="5" t="b">
        <f t="shared" si="1"/>
        <v>0</v>
      </c>
    </row>
  </sheetData>
  <conditionalFormatting sqref="G9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7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8"/>
  <sheetViews>
    <sheetView workbookViewId="0">
      <selection activeCell="L1" sqref="L1:M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1" t="s">
        <v>262</v>
      </c>
      <c r="B2" s="2" t="s">
        <v>265</v>
      </c>
      <c r="C2" s="4">
        <v>4.5599999999999996</v>
      </c>
      <c r="D2" s="4">
        <v>4.5</v>
      </c>
      <c r="E2" s="4">
        <v>4.63</v>
      </c>
      <c r="F2" s="5">
        <v>4.54</v>
      </c>
      <c r="G2" s="6">
        <v>4.4052863436122407E-3</v>
      </c>
      <c r="H2" s="4" t="s">
        <v>834</v>
      </c>
      <c r="I2" s="5">
        <v>9.25</v>
      </c>
      <c r="J2" s="5" t="s">
        <v>39</v>
      </c>
      <c r="K2" s="5">
        <v>5.12</v>
      </c>
      <c r="L2" s="5">
        <f>K2*0.9</f>
        <v>4.6080000000000005</v>
      </c>
      <c r="M2" s="5" t="b">
        <f t="shared" ref="M2:M5" si="0">L2&gt;C2</f>
        <v>1</v>
      </c>
    </row>
    <row r="3" spans="1:13" ht="20.100000000000001" customHeight="1" x14ac:dyDescent="0.25">
      <c r="A3" s="2" t="s">
        <v>263</v>
      </c>
      <c r="B3" s="2" t="s">
        <v>266</v>
      </c>
      <c r="C3" s="4">
        <v>27.94</v>
      </c>
      <c r="D3" s="4">
        <v>27.77</v>
      </c>
      <c r="E3" s="4">
        <v>28.1</v>
      </c>
      <c r="F3" s="5">
        <v>27.74</v>
      </c>
      <c r="G3" s="6">
        <v>7.2098053352560509E-3</v>
      </c>
      <c r="H3" s="4" t="s">
        <v>835</v>
      </c>
      <c r="I3" s="5">
        <v>7.79</v>
      </c>
      <c r="J3" s="5">
        <v>15.64</v>
      </c>
      <c r="K3" s="5">
        <v>29.81</v>
      </c>
      <c r="L3" s="5">
        <f t="shared" ref="L3:L5" si="1">K3*0.9</f>
        <v>26.829000000000001</v>
      </c>
      <c r="M3" s="5" t="b">
        <f t="shared" si="0"/>
        <v>0</v>
      </c>
    </row>
    <row r="4" spans="1:13" ht="20.100000000000001" customHeight="1" x14ac:dyDescent="0.25">
      <c r="A4" s="2" t="s">
        <v>264</v>
      </c>
      <c r="B4" s="2" t="s">
        <v>267</v>
      </c>
      <c r="C4" s="4">
        <v>40.950000000000003</v>
      </c>
      <c r="D4" s="4">
        <v>40.74</v>
      </c>
      <c r="E4" s="4">
        <v>41.38</v>
      </c>
      <c r="F4" s="5">
        <v>40.96</v>
      </c>
      <c r="G4" s="6">
        <v>-2.4414062499995143E-4</v>
      </c>
      <c r="H4" s="4" t="s">
        <v>833</v>
      </c>
      <c r="I4" s="5">
        <v>4.7</v>
      </c>
      <c r="J4" s="5">
        <v>17.66</v>
      </c>
      <c r="K4" s="5">
        <v>40.03</v>
      </c>
      <c r="L4" s="5">
        <f t="shared" si="1"/>
        <v>36.027000000000001</v>
      </c>
      <c r="M4" s="5" t="b">
        <f t="shared" si="0"/>
        <v>0</v>
      </c>
    </row>
    <row r="5" spans="1:13" ht="20.100000000000001" customHeight="1" x14ac:dyDescent="0.25">
      <c r="A5" s="2" t="s">
        <v>268</v>
      </c>
      <c r="B5" s="2" t="s">
        <v>269</v>
      </c>
      <c r="C5" s="4">
        <v>52.88</v>
      </c>
      <c r="D5" s="4">
        <v>52.52</v>
      </c>
      <c r="E5" s="4">
        <v>53.14</v>
      </c>
      <c r="F5" s="5">
        <v>52.56</v>
      </c>
      <c r="G5" s="6">
        <v>6.0882800608828055E-3</v>
      </c>
      <c r="H5" s="4" t="s">
        <v>832</v>
      </c>
      <c r="I5" s="5">
        <v>4.32</v>
      </c>
      <c r="J5" s="5">
        <v>14.94</v>
      </c>
      <c r="K5" s="5">
        <v>52.72</v>
      </c>
      <c r="L5" s="5">
        <f t="shared" si="1"/>
        <v>47.448</v>
      </c>
      <c r="M5" s="5" t="b">
        <f t="shared" si="0"/>
        <v>0</v>
      </c>
    </row>
    <row r="6" spans="1:13" ht="20.100000000000001" customHeight="1" x14ac:dyDescent="0.25"/>
    <row r="7" spans="1:13" ht="20.100000000000001" customHeight="1" x14ac:dyDescent="0.25"/>
    <row r="8" spans="1:13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3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95" t="s">
        <v>397</v>
      </c>
      <c r="B2" s="95" t="s">
        <v>418</v>
      </c>
      <c r="C2" s="96">
        <v>50.02</v>
      </c>
      <c r="D2" s="96">
        <v>49.58</v>
      </c>
      <c r="E2" s="96">
        <v>50.06</v>
      </c>
      <c r="F2" s="97">
        <v>49.84</v>
      </c>
      <c r="G2" s="98">
        <v>3.6115569823434931E-3</v>
      </c>
      <c r="H2" s="97" t="s">
        <v>973</v>
      </c>
      <c r="I2" s="97">
        <v>3.42</v>
      </c>
      <c r="J2" s="96">
        <v>19.5</v>
      </c>
      <c r="K2" s="96">
        <v>49.73</v>
      </c>
      <c r="L2" s="97">
        <f>K2*0.9</f>
        <v>44.756999999999998</v>
      </c>
      <c r="M2" s="97" t="b">
        <f>L2&gt;C2</f>
        <v>0</v>
      </c>
    </row>
    <row r="3" spans="1:13" ht="20.100000000000001" customHeight="1" x14ac:dyDescent="0.25">
      <c r="A3" s="95" t="s">
        <v>3</v>
      </c>
      <c r="B3" s="95" t="s">
        <v>53</v>
      </c>
      <c r="C3" s="96">
        <v>66.05</v>
      </c>
      <c r="D3" s="96">
        <v>65.650000000000006</v>
      </c>
      <c r="E3" s="96">
        <v>66.239999999999995</v>
      </c>
      <c r="F3" s="97">
        <v>66.040000000000006</v>
      </c>
      <c r="G3" s="98">
        <v>1.5142337976969874E-4</v>
      </c>
      <c r="H3" s="97" t="s">
        <v>974</v>
      </c>
      <c r="I3" s="97">
        <v>3.43</v>
      </c>
      <c r="J3" s="96">
        <v>16.3</v>
      </c>
      <c r="K3" s="96">
        <v>66.010000000000005</v>
      </c>
      <c r="L3" s="97">
        <f>K3*0.9</f>
        <v>59.409000000000006</v>
      </c>
      <c r="M3" s="97" t="b">
        <f>L3&gt;C3</f>
        <v>0</v>
      </c>
    </row>
    <row r="4" spans="1:13" ht="20.100000000000001" customHeight="1" x14ac:dyDescent="0.25">
      <c r="A4" s="95" t="s">
        <v>403</v>
      </c>
      <c r="B4" s="95" t="s">
        <v>423</v>
      </c>
      <c r="C4" s="96">
        <v>13.03</v>
      </c>
      <c r="D4" s="96">
        <v>12.8</v>
      </c>
      <c r="E4" s="96">
        <v>13.08</v>
      </c>
      <c r="F4" s="97">
        <v>12.84</v>
      </c>
      <c r="G4" s="98">
        <v>1.4797507788161956E-2</v>
      </c>
      <c r="H4" s="97" t="s">
        <v>975</v>
      </c>
      <c r="I4" s="97">
        <v>3.6</v>
      </c>
      <c r="J4" s="96" t="s">
        <v>39</v>
      </c>
      <c r="K4" s="96">
        <v>11.54</v>
      </c>
      <c r="L4" s="97">
        <f>K4*0.9</f>
        <v>10.385999999999999</v>
      </c>
      <c r="M4" s="97" t="b">
        <f>L4&gt;C4</f>
        <v>0</v>
      </c>
    </row>
    <row r="5" spans="1:13" ht="20.100000000000001" customHeight="1" x14ac:dyDescent="0.25">
      <c r="A5" s="95" t="s">
        <v>398</v>
      </c>
      <c r="B5" s="95" t="s">
        <v>419</v>
      </c>
      <c r="C5" s="96">
        <v>76</v>
      </c>
      <c r="D5" s="96">
        <v>75.17</v>
      </c>
      <c r="E5" s="96">
        <v>76.2</v>
      </c>
      <c r="F5" s="97">
        <v>75.900000000000006</v>
      </c>
      <c r="G5" s="98">
        <v>1.3175230566534165E-3</v>
      </c>
      <c r="H5" s="97" t="s">
        <v>976</v>
      </c>
      <c r="I5" s="97">
        <v>2.0099999999999998</v>
      </c>
      <c r="J5" s="96">
        <v>27.72</v>
      </c>
      <c r="K5" s="96">
        <v>74.7</v>
      </c>
      <c r="L5" s="97">
        <f>K5*0.9</f>
        <v>67.23</v>
      </c>
      <c r="M5" s="97" t="b">
        <f>L5&gt;C5</f>
        <v>0</v>
      </c>
    </row>
    <row r="6" spans="1:13" ht="20.100000000000001" customHeight="1" x14ac:dyDescent="0.25">
      <c r="A6" s="95" t="s">
        <v>399</v>
      </c>
      <c r="B6" s="95" t="s">
        <v>420</v>
      </c>
      <c r="C6" s="96">
        <v>42.84</v>
      </c>
      <c r="D6" s="96">
        <v>42.48</v>
      </c>
      <c r="E6" s="96">
        <v>42.96</v>
      </c>
      <c r="F6" s="97">
        <v>42.8</v>
      </c>
      <c r="G6" s="98">
        <v>9.3457943925248264E-4</v>
      </c>
      <c r="H6" s="97" t="s">
        <v>977</v>
      </c>
      <c r="I6" s="97">
        <v>2.93</v>
      </c>
      <c r="J6" s="96">
        <v>21.96</v>
      </c>
      <c r="K6" s="96">
        <v>42.46</v>
      </c>
      <c r="L6" s="97">
        <f>K6*0.9</f>
        <v>38.213999999999999</v>
      </c>
      <c r="M6" s="97" t="b">
        <f>L6&gt;C6</f>
        <v>0</v>
      </c>
    </row>
    <row r="7" spans="1:13" ht="20.100000000000001" customHeight="1" x14ac:dyDescent="0.25">
      <c r="A7" s="95" t="s">
        <v>273</v>
      </c>
      <c r="B7" s="95" t="s">
        <v>274</v>
      </c>
      <c r="C7" s="96">
        <v>23.29</v>
      </c>
      <c r="D7" s="96">
        <v>22.69</v>
      </c>
      <c r="E7" s="96">
        <v>23.35</v>
      </c>
      <c r="F7" s="97">
        <v>22.8</v>
      </c>
      <c r="G7" s="98">
        <v>2.149122807017537E-2</v>
      </c>
      <c r="H7" s="97" t="s">
        <v>978</v>
      </c>
      <c r="I7" s="97">
        <v>4.55</v>
      </c>
      <c r="J7" s="96" t="s">
        <v>39</v>
      </c>
      <c r="K7" s="96">
        <v>22.05</v>
      </c>
      <c r="L7" s="97">
        <f>K7*0.9</f>
        <v>19.845000000000002</v>
      </c>
      <c r="M7" s="97" t="b">
        <f>L7&gt;C7</f>
        <v>0</v>
      </c>
    </row>
    <row r="8" spans="1:13" ht="20.100000000000001" customHeight="1" x14ac:dyDescent="0.25">
      <c r="A8" s="99" t="s">
        <v>140</v>
      </c>
      <c r="B8" s="95" t="s">
        <v>142</v>
      </c>
      <c r="C8" s="96">
        <v>48.21</v>
      </c>
      <c r="D8" s="96">
        <v>46.56</v>
      </c>
      <c r="E8" s="96">
        <v>48.36</v>
      </c>
      <c r="F8" s="97">
        <v>46.73</v>
      </c>
      <c r="G8" s="98">
        <v>3.1671303231328995E-2</v>
      </c>
      <c r="H8" s="97" t="s">
        <v>979</v>
      </c>
      <c r="I8" s="97">
        <v>2.44</v>
      </c>
      <c r="J8" s="96">
        <v>22.32</v>
      </c>
      <c r="K8" s="96">
        <v>48.2</v>
      </c>
      <c r="L8" s="97">
        <f>K8*0.9</f>
        <v>43.38</v>
      </c>
      <c r="M8" s="97" t="b">
        <f>L8&gt;C8</f>
        <v>0</v>
      </c>
    </row>
    <row r="9" spans="1:13" ht="20.100000000000001" customHeight="1" x14ac:dyDescent="0.25">
      <c r="A9" s="95" t="s">
        <v>386</v>
      </c>
      <c r="B9" s="95" t="s">
        <v>407</v>
      </c>
      <c r="C9" s="96">
        <v>75.39</v>
      </c>
      <c r="D9" s="96">
        <v>75.05</v>
      </c>
      <c r="E9" s="96">
        <v>75.66</v>
      </c>
      <c r="F9" s="97">
        <v>75.5</v>
      </c>
      <c r="G9" s="98">
        <v>-1.4569536423840984E-3</v>
      </c>
      <c r="H9" s="97" t="s">
        <v>980</v>
      </c>
      <c r="I9" s="97">
        <v>3.75</v>
      </c>
      <c r="J9" s="96">
        <v>23.51</v>
      </c>
      <c r="K9" s="96">
        <v>73.83</v>
      </c>
      <c r="L9" s="97">
        <f>K9*0.9</f>
        <v>66.447000000000003</v>
      </c>
      <c r="M9" s="97" t="b">
        <f>L9&gt;C9</f>
        <v>0</v>
      </c>
    </row>
    <row r="10" spans="1:13" ht="20.100000000000001" customHeight="1" x14ac:dyDescent="0.25">
      <c r="A10" s="95" t="s">
        <v>395</v>
      </c>
      <c r="B10" s="95" t="s">
        <v>416</v>
      </c>
      <c r="C10" s="96">
        <v>94.54</v>
      </c>
      <c r="D10" s="96">
        <v>93.45</v>
      </c>
      <c r="E10" s="96">
        <v>94.64</v>
      </c>
      <c r="F10" s="97">
        <v>94.16</v>
      </c>
      <c r="G10" s="98">
        <v>4.0356839422261009E-3</v>
      </c>
      <c r="H10" s="97" t="s">
        <v>981</v>
      </c>
      <c r="I10" s="97">
        <v>3.3</v>
      </c>
      <c r="J10" s="96">
        <v>22.83</v>
      </c>
      <c r="K10" s="96">
        <v>92.05</v>
      </c>
      <c r="L10" s="97">
        <f>K10*0.9</f>
        <v>82.844999999999999</v>
      </c>
      <c r="M10" s="97" t="b">
        <f>L10&gt;C10</f>
        <v>0</v>
      </c>
    </row>
    <row r="11" spans="1:13" ht="20.100000000000001" customHeight="1" x14ac:dyDescent="0.25">
      <c r="A11" s="95" t="s">
        <v>283</v>
      </c>
      <c r="B11" s="95" t="s">
        <v>284</v>
      </c>
      <c r="C11" s="96">
        <v>80.540000000000006</v>
      </c>
      <c r="D11" s="96">
        <v>80.38</v>
      </c>
      <c r="E11" s="96">
        <v>81.260000000000005</v>
      </c>
      <c r="F11" s="97">
        <v>80.94</v>
      </c>
      <c r="G11" s="98">
        <v>-4.9419322955274458E-3</v>
      </c>
      <c r="H11" s="97" t="s">
        <v>982</v>
      </c>
      <c r="I11" s="97">
        <v>4.26</v>
      </c>
      <c r="J11" s="96">
        <v>21.29</v>
      </c>
      <c r="K11" s="96">
        <v>80.680000000000007</v>
      </c>
      <c r="L11" s="97">
        <f>K11*0.9</f>
        <v>72.612000000000009</v>
      </c>
      <c r="M11" s="97" t="b">
        <f>L11&gt;C11</f>
        <v>0</v>
      </c>
    </row>
    <row r="12" spans="1:13" ht="20.100000000000001" customHeight="1" x14ac:dyDescent="0.25">
      <c r="A12" s="95" t="s">
        <v>391</v>
      </c>
      <c r="B12" s="95" t="s">
        <v>412</v>
      </c>
      <c r="C12" s="96">
        <v>76.010000000000005</v>
      </c>
      <c r="D12" s="96">
        <v>75.67</v>
      </c>
      <c r="E12" s="96">
        <v>76.290000000000006</v>
      </c>
      <c r="F12" s="97">
        <v>76.28</v>
      </c>
      <c r="G12" s="98">
        <v>-3.5395909805977454E-3</v>
      </c>
      <c r="H12" s="97" t="s">
        <v>983</v>
      </c>
      <c r="I12" s="97">
        <v>3.55</v>
      </c>
      <c r="J12" s="96">
        <v>19.7</v>
      </c>
      <c r="K12" s="96">
        <v>75.819999999999993</v>
      </c>
      <c r="L12" s="97">
        <f>K12*0.9</f>
        <v>68.238</v>
      </c>
      <c r="M12" s="97" t="b">
        <f>L12&gt;C12</f>
        <v>0</v>
      </c>
    </row>
    <row r="13" spans="1:13" ht="20.100000000000001" customHeight="1" x14ac:dyDescent="0.25">
      <c r="A13" s="95" t="s">
        <v>390</v>
      </c>
      <c r="B13" s="95" t="s">
        <v>411</v>
      </c>
      <c r="C13" s="96">
        <v>73.77</v>
      </c>
      <c r="D13" s="96">
        <v>73.52</v>
      </c>
      <c r="E13" s="96">
        <v>74.040000000000006</v>
      </c>
      <c r="F13" s="97">
        <v>74.11</v>
      </c>
      <c r="G13" s="98">
        <v>-4.5877749291594041E-3</v>
      </c>
      <c r="H13" s="97" t="s">
        <v>984</v>
      </c>
      <c r="I13" s="97">
        <v>2.61</v>
      </c>
      <c r="J13" s="96">
        <v>27.35</v>
      </c>
      <c r="K13" s="96">
        <v>72.599999999999994</v>
      </c>
      <c r="L13" s="97">
        <f>K13*0.9</f>
        <v>65.34</v>
      </c>
      <c r="M13" s="97" t="b">
        <f>L13&gt;C13</f>
        <v>0</v>
      </c>
    </row>
    <row r="14" spans="1:13" ht="20.100000000000001" customHeight="1" x14ac:dyDescent="0.25">
      <c r="A14" s="95" t="s">
        <v>394</v>
      </c>
      <c r="B14" s="95" t="s">
        <v>415</v>
      </c>
      <c r="C14" s="96">
        <v>54.87</v>
      </c>
      <c r="D14" s="96">
        <v>54.56</v>
      </c>
      <c r="E14" s="96">
        <v>54.97</v>
      </c>
      <c r="F14" s="97">
        <v>54.96</v>
      </c>
      <c r="G14" s="98">
        <v>-1.6375545851529004E-3</v>
      </c>
      <c r="H14" s="97" t="s">
        <v>985</v>
      </c>
      <c r="I14" s="97">
        <v>3.27</v>
      </c>
      <c r="J14" s="96">
        <v>20.170000000000002</v>
      </c>
      <c r="K14" s="96">
        <v>56.73</v>
      </c>
      <c r="L14" s="97">
        <f>K14*0.9</f>
        <v>51.056999999999995</v>
      </c>
      <c r="M14" s="97" t="b">
        <f>L14&gt;C14</f>
        <v>0</v>
      </c>
    </row>
    <row r="15" spans="1:13" ht="20.100000000000001" customHeight="1" x14ac:dyDescent="0.25">
      <c r="A15" s="95" t="s">
        <v>396</v>
      </c>
      <c r="B15" s="95" t="s">
        <v>417</v>
      </c>
      <c r="C15" s="96">
        <v>80.27</v>
      </c>
      <c r="D15" s="96">
        <v>78.930000000000007</v>
      </c>
      <c r="E15" s="96">
        <v>80.319999999999993</v>
      </c>
      <c r="F15" s="97">
        <v>79.569999999999993</v>
      </c>
      <c r="G15" s="98">
        <v>8.797285409073808E-3</v>
      </c>
      <c r="H15" s="97" t="s">
        <v>986</v>
      </c>
      <c r="I15" s="97">
        <v>4.3099999999999996</v>
      </c>
      <c r="J15" s="96">
        <v>82.92</v>
      </c>
      <c r="K15" s="96">
        <v>77.599999999999994</v>
      </c>
      <c r="L15" s="97">
        <f>K15*0.9</f>
        <v>69.84</v>
      </c>
      <c r="M15" s="97" t="b">
        <f>L15&gt;C15</f>
        <v>0</v>
      </c>
    </row>
    <row r="16" spans="1:13" ht="20.100000000000001" customHeight="1" x14ac:dyDescent="0.25">
      <c r="A16" s="95" t="s">
        <v>4</v>
      </c>
      <c r="B16" s="95" t="s">
        <v>56</v>
      </c>
      <c r="C16" s="96">
        <v>34.56</v>
      </c>
      <c r="D16" s="96">
        <v>34.29</v>
      </c>
      <c r="E16" s="96">
        <v>34.659999999999997</v>
      </c>
      <c r="F16" s="97">
        <v>34.450000000000003</v>
      </c>
      <c r="G16" s="98">
        <v>3.1930333817126104E-3</v>
      </c>
      <c r="H16" s="97" t="s">
        <v>987</v>
      </c>
      <c r="I16" s="97">
        <v>3.73</v>
      </c>
      <c r="J16" s="96">
        <v>23.13</v>
      </c>
      <c r="K16" s="96">
        <v>34.85</v>
      </c>
      <c r="L16" s="97">
        <f>K16*0.9</f>
        <v>31.365000000000002</v>
      </c>
      <c r="M16" s="97" t="b">
        <f>L16&gt;C16</f>
        <v>0</v>
      </c>
    </row>
    <row r="17" spans="1:13" ht="20.100000000000001" customHeight="1" x14ac:dyDescent="0.25">
      <c r="A17" s="95" t="s">
        <v>6</v>
      </c>
      <c r="B17" s="95" t="s">
        <v>57</v>
      </c>
      <c r="C17" s="96">
        <v>33.130000000000003</v>
      </c>
      <c r="D17" s="96">
        <v>32.83</v>
      </c>
      <c r="E17" s="96">
        <v>33.28</v>
      </c>
      <c r="F17" s="97">
        <v>33.049999999999997</v>
      </c>
      <c r="G17" s="98">
        <v>2.4205748865357159E-3</v>
      </c>
      <c r="H17" s="97" t="s">
        <v>988</v>
      </c>
      <c r="I17" s="97">
        <v>4.3899999999999997</v>
      </c>
      <c r="J17" s="96" t="s">
        <v>39</v>
      </c>
      <c r="K17" s="96">
        <v>34.19</v>
      </c>
      <c r="L17" s="97">
        <f>K17*0.9</f>
        <v>30.770999999999997</v>
      </c>
      <c r="M17" s="97" t="b">
        <f>L17&gt;C17</f>
        <v>0</v>
      </c>
    </row>
    <row r="18" spans="1:13" ht="20.100000000000001" customHeight="1" x14ac:dyDescent="0.25">
      <c r="A18" s="95" t="s">
        <v>402</v>
      </c>
      <c r="B18" s="95" t="s">
        <v>836</v>
      </c>
      <c r="C18" s="96">
        <v>65.97</v>
      </c>
      <c r="D18" s="96" t="s">
        <v>39</v>
      </c>
      <c r="E18" s="96" t="s">
        <v>39</v>
      </c>
      <c r="F18" s="97">
        <v>65.97</v>
      </c>
      <c r="G18" s="98">
        <v>0</v>
      </c>
      <c r="H18" s="97" t="s">
        <v>39</v>
      </c>
      <c r="I18" s="97">
        <v>3.21</v>
      </c>
      <c r="J18" s="96" t="s">
        <v>39</v>
      </c>
      <c r="K18" s="96">
        <v>64.88</v>
      </c>
      <c r="L18" s="97">
        <f>K18*0.9</f>
        <v>58.391999999999996</v>
      </c>
      <c r="M18" s="97" t="b">
        <f>L18&gt;C18</f>
        <v>0</v>
      </c>
    </row>
    <row r="19" spans="1:13" ht="20.100000000000001" customHeight="1" x14ac:dyDescent="0.25">
      <c r="A19" s="95" t="s">
        <v>915</v>
      </c>
      <c r="B19" s="95" t="s">
        <v>916</v>
      </c>
      <c r="C19" s="96">
        <v>38.979999999999997</v>
      </c>
      <c r="D19" s="96">
        <v>38.549999999999997</v>
      </c>
      <c r="E19" s="96">
        <v>39.130000000000003</v>
      </c>
      <c r="F19" s="97">
        <v>38.81</v>
      </c>
      <c r="G19" s="98">
        <v>4.3803143519710024E-3</v>
      </c>
      <c r="H19" s="97" t="s">
        <v>989</v>
      </c>
      <c r="I19" s="97">
        <v>3.08</v>
      </c>
      <c r="J19" s="96">
        <v>22.42</v>
      </c>
      <c r="K19" s="96">
        <v>37.54</v>
      </c>
      <c r="L19" s="97">
        <f>K19*0.9</f>
        <v>33.786000000000001</v>
      </c>
      <c r="M19" s="97" t="b">
        <f>L19&gt;C19</f>
        <v>0</v>
      </c>
    </row>
    <row r="20" spans="1:13" ht="20.100000000000001" customHeight="1" x14ac:dyDescent="0.25">
      <c r="A20" s="95" t="s">
        <v>271</v>
      </c>
      <c r="B20" s="95" t="s">
        <v>272</v>
      </c>
      <c r="C20" s="96">
        <v>125.06</v>
      </c>
      <c r="D20" s="96">
        <v>124.42</v>
      </c>
      <c r="E20" s="96">
        <v>126.96</v>
      </c>
      <c r="F20" s="97">
        <v>125.29</v>
      </c>
      <c r="G20" s="98">
        <v>-1.8357410806928245E-3</v>
      </c>
      <c r="H20" s="97" t="s">
        <v>990</v>
      </c>
      <c r="I20" s="97">
        <v>2.83</v>
      </c>
      <c r="J20" s="96">
        <v>22.38</v>
      </c>
      <c r="K20" s="96">
        <v>121.44</v>
      </c>
      <c r="L20" s="97">
        <f>K20*0.9</f>
        <v>109.29600000000001</v>
      </c>
      <c r="M20" s="97" t="b">
        <f>L20&gt;C20</f>
        <v>0</v>
      </c>
    </row>
    <row r="21" spans="1:13" ht="20.100000000000001" customHeight="1" x14ac:dyDescent="0.25">
      <c r="A21" s="95" t="s">
        <v>404</v>
      </c>
      <c r="B21" s="95" t="s">
        <v>424</v>
      </c>
      <c r="C21" s="96">
        <v>24.38</v>
      </c>
      <c r="D21" s="96">
        <v>24.16</v>
      </c>
      <c r="E21" s="96">
        <v>24.41</v>
      </c>
      <c r="F21" s="97">
        <v>24.42</v>
      </c>
      <c r="G21" s="98">
        <v>-1.6380016380017485E-3</v>
      </c>
      <c r="H21" s="97" t="s">
        <v>991</v>
      </c>
      <c r="I21" s="97">
        <v>2.74</v>
      </c>
      <c r="J21" s="96">
        <v>29.66</v>
      </c>
      <c r="K21" s="96">
        <v>24.14</v>
      </c>
      <c r="L21" s="97">
        <f>K21*0.9</f>
        <v>21.726000000000003</v>
      </c>
      <c r="M21" s="97" t="b">
        <f>L21&gt;C21</f>
        <v>0</v>
      </c>
    </row>
    <row r="22" spans="1:13" ht="20.100000000000001" customHeight="1" x14ac:dyDescent="0.25">
      <c r="A22" s="95" t="s">
        <v>2</v>
      </c>
      <c r="B22" s="95" t="s">
        <v>58</v>
      </c>
      <c r="C22" s="96">
        <v>12.3</v>
      </c>
      <c r="D22" s="96">
        <v>12.15</v>
      </c>
      <c r="E22" s="96">
        <v>12.48</v>
      </c>
      <c r="F22" s="97">
        <v>12.15</v>
      </c>
      <c r="G22" s="98">
        <v>1.2345679012345708E-2</v>
      </c>
      <c r="H22" s="97" t="s">
        <v>629</v>
      </c>
      <c r="I22" s="97">
        <v>1</v>
      </c>
      <c r="J22" s="96" t="s">
        <v>39</v>
      </c>
      <c r="K22" s="96">
        <v>14</v>
      </c>
      <c r="L22" s="97">
        <f>K22*0.9</f>
        <v>12.6</v>
      </c>
      <c r="M22" s="97" t="b">
        <f>L22&gt;C22</f>
        <v>1</v>
      </c>
    </row>
    <row r="23" spans="1:13" ht="20.100000000000001" customHeight="1" x14ac:dyDescent="0.25">
      <c r="A23" s="95" t="s">
        <v>387</v>
      </c>
      <c r="B23" s="95" t="s">
        <v>408</v>
      </c>
      <c r="C23" s="96">
        <v>62.9</v>
      </c>
      <c r="D23" s="96">
        <v>62.47</v>
      </c>
      <c r="E23" s="96">
        <v>63.03</v>
      </c>
      <c r="F23" s="97">
        <v>62.99</v>
      </c>
      <c r="G23" s="98">
        <v>-1.4287982219400445E-3</v>
      </c>
      <c r="H23" s="97" t="s">
        <v>992</v>
      </c>
      <c r="I23" s="97">
        <v>3.14</v>
      </c>
      <c r="J23" s="96">
        <v>41.41</v>
      </c>
      <c r="K23" s="96">
        <v>60.8</v>
      </c>
      <c r="L23" s="97">
        <f>K23*0.9</f>
        <v>54.72</v>
      </c>
      <c r="M23" s="97" t="b">
        <f>L23&gt;C23</f>
        <v>0</v>
      </c>
    </row>
    <row r="24" spans="1:13" ht="20.100000000000001" customHeight="1" x14ac:dyDescent="0.25">
      <c r="A24" s="95" t="s">
        <v>7</v>
      </c>
      <c r="B24" s="95" t="s">
        <v>59</v>
      </c>
      <c r="C24" s="96">
        <v>42.38</v>
      </c>
      <c r="D24" s="96">
        <v>42.33</v>
      </c>
      <c r="E24" s="96">
        <v>42.82</v>
      </c>
      <c r="F24" s="97">
        <v>42.74</v>
      </c>
      <c r="G24" s="98">
        <v>-8.4230229293401834E-3</v>
      </c>
      <c r="H24" s="97" t="s">
        <v>993</v>
      </c>
      <c r="I24" s="97">
        <v>3.82</v>
      </c>
      <c r="J24" s="96">
        <v>15.3</v>
      </c>
      <c r="K24" s="96">
        <v>45</v>
      </c>
      <c r="L24" s="97">
        <f>K24*0.9</f>
        <v>40.5</v>
      </c>
      <c r="M24" s="97" t="b">
        <f>L24&gt;C24</f>
        <v>0</v>
      </c>
    </row>
    <row r="25" spans="1:13" ht="20.100000000000001" customHeight="1" x14ac:dyDescent="0.25">
      <c r="A25" s="95" t="s">
        <v>401</v>
      </c>
      <c r="B25" s="95" t="s">
        <v>422</v>
      </c>
      <c r="C25" s="96">
        <v>76.95</v>
      </c>
      <c r="D25" s="96">
        <v>76.45</v>
      </c>
      <c r="E25" s="96">
        <v>77.23</v>
      </c>
      <c r="F25" s="97">
        <v>77.08</v>
      </c>
      <c r="G25" s="98">
        <v>-1.6865594187856182E-3</v>
      </c>
      <c r="H25" s="97" t="s">
        <v>994</v>
      </c>
      <c r="I25" s="97">
        <v>3.29</v>
      </c>
      <c r="J25" s="96">
        <v>20.32</v>
      </c>
      <c r="K25" s="96">
        <v>75.150000000000006</v>
      </c>
      <c r="L25" s="97">
        <f>K25*0.9</f>
        <v>67.635000000000005</v>
      </c>
      <c r="M25" s="97" t="b">
        <f>L25&gt;C25</f>
        <v>0</v>
      </c>
    </row>
    <row r="26" spans="1:13" ht="20.100000000000001" customHeight="1" x14ac:dyDescent="0.25">
      <c r="A26" s="95" t="s">
        <v>388</v>
      </c>
      <c r="B26" s="95" t="s">
        <v>409</v>
      </c>
      <c r="C26" s="96">
        <v>34.71</v>
      </c>
      <c r="D26" s="96">
        <v>34.549999999999997</v>
      </c>
      <c r="E26" s="96">
        <v>34.950000000000003</v>
      </c>
      <c r="F26" s="97">
        <v>34.93</v>
      </c>
      <c r="G26" s="98">
        <v>-6.2983109075293118E-3</v>
      </c>
      <c r="H26" s="97" t="s">
        <v>995</v>
      </c>
      <c r="I26" s="97">
        <v>4.34</v>
      </c>
      <c r="J26" s="96">
        <v>13.46</v>
      </c>
      <c r="K26" s="96">
        <v>37.17</v>
      </c>
      <c r="L26" s="97">
        <f>K26*0.9</f>
        <v>33.453000000000003</v>
      </c>
      <c r="M26" s="97" t="b">
        <f>L26&gt;C26</f>
        <v>0</v>
      </c>
    </row>
    <row r="27" spans="1:13" ht="20.100000000000001" customHeight="1" x14ac:dyDescent="0.25">
      <c r="A27" s="95" t="s">
        <v>400</v>
      </c>
      <c r="B27" s="95" t="s">
        <v>421</v>
      </c>
      <c r="C27" s="96">
        <v>72.61</v>
      </c>
      <c r="D27" s="96">
        <v>72.06</v>
      </c>
      <c r="E27" s="96">
        <v>73.040000000000006</v>
      </c>
      <c r="F27" s="97">
        <v>72.84</v>
      </c>
      <c r="G27" s="98">
        <v>-3.1576057111477756E-3</v>
      </c>
      <c r="H27" s="97" t="s">
        <v>996</v>
      </c>
      <c r="I27" s="97">
        <v>3.21</v>
      </c>
      <c r="J27" s="96">
        <v>19.66</v>
      </c>
      <c r="K27" s="96">
        <v>70.510000000000005</v>
      </c>
      <c r="L27" s="97">
        <f>K27*0.9</f>
        <v>63.459000000000003</v>
      </c>
      <c r="M27" s="97" t="b">
        <f>L27&gt;C27</f>
        <v>0</v>
      </c>
    </row>
    <row r="28" spans="1:13" ht="20.100000000000001" customHeight="1" x14ac:dyDescent="0.25">
      <c r="A28" s="95" t="s">
        <v>385</v>
      </c>
      <c r="B28" s="95" t="s">
        <v>406</v>
      </c>
      <c r="C28" s="96">
        <v>52.22</v>
      </c>
      <c r="D28" s="96">
        <v>51.94</v>
      </c>
      <c r="E28" s="96">
        <v>52.34</v>
      </c>
      <c r="F28" s="97">
        <v>52.13</v>
      </c>
      <c r="G28" s="98">
        <v>1.7264530980240994E-3</v>
      </c>
      <c r="H28" s="97" t="s">
        <v>997</v>
      </c>
      <c r="I28" s="97">
        <v>4.18</v>
      </c>
      <c r="J28" s="96">
        <v>20.73</v>
      </c>
      <c r="K28" s="96">
        <v>51.02</v>
      </c>
      <c r="L28" s="97">
        <f>K28*0.9</f>
        <v>45.918000000000006</v>
      </c>
      <c r="M28" s="97" t="b">
        <f>L28&gt;C28</f>
        <v>0</v>
      </c>
    </row>
    <row r="29" spans="1:13" ht="20.100000000000001" customHeight="1" x14ac:dyDescent="0.25">
      <c r="A29" s="95" t="s">
        <v>389</v>
      </c>
      <c r="B29" s="95" t="s">
        <v>410</v>
      </c>
      <c r="C29" s="96">
        <v>106.04</v>
      </c>
      <c r="D29" s="96">
        <v>105.55</v>
      </c>
      <c r="E29" s="96">
        <v>106.08</v>
      </c>
      <c r="F29" s="97">
        <v>106.09</v>
      </c>
      <c r="G29" s="98">
        <v>-4.7129795456685039E-4</v>
      </c>
      <c r="H29" s="97" t="s">
        <v>998</v>
      </c>
      <c r="I29" s="97">
        <v>2.9</v>
      </c>
      <c r="J29" s="96">
        <v>28</v>
      </c>
      <c r="K29" s="96">
        <v>105.95</v>
      </c>
      <c r="L29" s="97">
        <f>K29*0.9</f>
        <v>95.355000000000004</v>
      </c>
      <c r="M29" s="97" t="b">
        <f>L29&gt;C29</f>
        <v>0</v>
      </c>
    </row>
    <row r="30" spans="1:13" ht="20.100000000000001" customHeight="1" x14ac:dyDescent="0.25">
      <c r="A30" s="99" t="s">
        <v>139</v>
      </c>
      <c r="B30" s="95" t="s">
        <v>141</v>
      </c>
      <c r="C30" s="96">
        <v>80.569999999999993</v>
      </c>
      <c r="D30" s="96">
        <v>78.900000000000006</v>
      </c>
      <c r="E30" s="96">
        <v>80.86</v>
      </c>
      <c r="F30" s="97">
        <v>79.27</v>
      </c>
      <c r="G30" s="98">
        <v>1.6399646776838618E-2</v>
      </c>
      <c r="H30" s="97" t="s">
        <v>999</v>
      </c>
      <c r="I30" s="97">
        <v>3.01</v>
      </c>
      <c r="J30" s="96">
        <v>42.41</v>
      </c>
      <c r="K30" s="96">
        <v>72.89</v>
      </c>
      <c r="L30" s="97">
        <f>K30*0.9</f>
        <v>65.600999999999999</v>
      </c>
      <c r="M30" s="97" t="b">
        <f>L30&gt;C30</f>
        <v>0</v>
      </c>
    </row>
    <row r="31" spans="1:13" ht="20.100000000000001" customHeight="1" x14ac:dyDescent="0.25">
      <c r="A31" s="95" t="s">
        <v>405</v>
      </c>
      <c r="B31" s="95" t="s">
        <v>837</v>
      </c>
      <c r="C31" s="96">
        <v>27.64</v>
      </c>
      <c r="D31" s="96" t="s">
        <v>39</v>
      </c>
      <c r="E31" s="96" t="s">
        <v>39</v>
      </c>
      <c r="F31" s="97">
        <v>27.64</v>
      </c>
      <c r="G31" s="98">
        <v>0</v>
      </c>
      <c r="H31" s="97" t="s">
        <v>39</v>
      </c>
      <c r="I31" s="97">
        <v>3.33</v>
      </c>
      <c r="J31" s="96" t="s">
        <v>39</v>
      </c>
      <c r="K31" s="96">
        <v>27.39</v>
      </c>
      <c r="L31" s="97">
        <f>K31*0.9</f>
        <v>24.651</v>
      </c>
      <c r="M31" s="97" t="b">
        <f>L31&gt;C31</f>
        <v>0</v>
      </c>
    </row>
    <row r="32" spans="1:13" ht="20.100000000000001" customHeight="1" x14ac:dyDescent="0.25">
      <c r="A32" s="95" t="s">
        <v>393</v>
      </c>
      <c r="B32" s="95" t="s">
        <v>414</v>
      </c>
      <c r="C32" s="96">
        <v>61.11</v>
      </c>
      <c r="D32" s="96">
        <v>60.93</v>
      </c>
      <c r="E32" s="96">
        <v>61.43</v>
      </c>
      <c r="F32" s="97">
        <v>61.46</v>
      </c>
      <c r="G32" s="98">
        <v>-5.694760820045581E-3</v>
      </c>
      <c r="H32" s="97" t="s">
        <v>1000</v>
      </c>
      <c r="I32" s="97">
        <v>3.27</v>
      </c>
      <c r="J32" s="96">
        <v>21.82</v>
      </c>
      <c r="K32" s="96">
        <v>60.64</v>
      </c>
      <c r="L32" s="97">
        <f>K32*0.9</f>
        <v>54.576000000000001</v>
      </c>
      <c r="M32" s="97" t="b">
        <f>L32&gt;C32</f>
        <v>0</v>
      </c>
    </row>
    <row r="33" spans="1:13" ht="20.100000000000001" customHeight="1" x14ac:dyDescent="0.25">
      <c r="A33" s="95" t="s">
        <v>392</v>
      </c>
      <c r="B33" s="95" t="s">
        <v>413</v>
      </c>
      <c r="C33" s="96">
        <v>42.38</v>
      </c>
      <c r="D33" s="96">
        <v>41.84</v>
      </c>
      <c r="E33" s="96">
        <v>42.46</v>
      </c>
      <c r="F33" s="97">
        <v>42.2</v>
      </c>
      <c r="G33" s="98">
        <v>4.2654028436018886E-3</v>
      </c>
      <c r="H33" s="97" t="s">
        <v>1001</v>
      </c>
      <c r="I33" s="97">
        <v>3.26</v>
      </c>
      <c r="J33" s="96">
        <v>20.09</v>
      </c>
      <c r="K33" s="96">
        <v>41.79</v>
      </c>
      <c r="L33" s="97">
        <f>K33*0.9</f>
        <v>37.610999999999997</v>
      </c>
      <c r="M33" s="97" t="b">
        <f>L33&gt;C33</f>
        <v>0</v>
      </c>
    </row>
  </sheetData>
  <conditionalFormatting sqref="G1:G33">
    <cfRule type="colorScale" priority="7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9"/>
  <sheetViews>
    <sheetView workbookViewId="0">
      <selection activeCell="F14" sqref="F14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1" t="s">
        <v>461</v>
      </c>
      <c r="B2" s="2" t="s">
        <v>468</v>
      </c>
      <c r="C2" s="4">
        <v>72.06</v>
      </c>
      <c r="D2" s="4">
        <v>72.010000000000005</v>
      </c>
      <c r="E2" s="4">
        <v>73.05</v>
      </c>
      <c r="F2" s="5">
        <v>73</v>
      </c>
      <c r="G2" s="6">
        <v>-1.2876712328767092E-2</v>
      </c>
      <c r="H2" s="5" t="s">
        <v>965</v>
      </c>
      <c r="I2" s="5">
        <v>2.76</v>
      </c>
      <c r="J2" s="4">
        <v>15.51</v>
      </c>
      <c r="K2" s="4">
        <v>70.260000000000005</v>
      </c>
      <c r="L2" s="100">
        <f t="shared" ref="L2:L9" si="0">K2*0.9</f>
        <v>63.234000000000009</v>
      </c>
      <c r="M2" s="100" t="b">
        <f t="shared" ref="M2:M9" si="1">L2&gt;C2</f>
        <v>0</v>
      </c>
    </row>
    <row r="3" spans="1:13" ht="20.100000000000001" customHeight="1" x14ac:dyDescent="0.25">
      <c r="A3" s="2" t="s">
        <v>462</v>
      </c>
      <c r="B3" s="2" t="s">
        <v>469</v>
      </c>
      <c r="C3" s="4">
        <v>70.3</v>
      </c>
      <c r="D3" s="4">
        <v>69.81</v>
      </c>
      <c r="E3" s="4">
        <v>70.42</v>
      </c>
      <c r="F3" s="5">
        <v>70.099999999999994</v>
      </c>
      <c r="G3" s="6">
        <v>2.8530670470756471E-3</v>
      </c>
      <c r="H3" s="5" t="s">
        <v>966</v>
      </c>
      <c r="I3" s="5">
        <v>3.39</v>
      </c>
      <c r="J3" s="4">
        <v>13.01</v>
      </c>
      <c r="K3" s="4">
        <v>75.2</v>
      </c>
      <c r="L3" s="100">
        <f t="shared" si="0"/>
        <v>67.680000000000007</v>
      </c>
      <c r="M3" s="100" t="b">
        <f t="shared" si="1"/>
        <v>0</v>
      </c>
    </row>
    <row r="4" spans="1:13" ht="20.100000000000001" customHeight="1" x14ac:dyDescent="0.25">
      <c r="A4" s="81" t="s">
        <v>463</v>
      </c>
      <c r="B4" s="2" t="s">
        <v>470</v>
      </c>
      <c r="C4" s="4">
        <v>31.32</v>
      </c>
      <c r="D4" s="4">
        <v>31.1</v>
      </c>
      <c r="E4" s="4">
        <v>31.75</v>
      </c>
      <c r="F4" s="5">
        <v>32.67</v>
      </c>
      <c r="G4" s="6">
        <v>-4.132231404958682E-2</v>
      </c>
      <c r="H4" s="5" t="s">
        <v>967</v>
      </c>
      <c r="I4" s="5">
        <v>1.48</v>
      </c>
      <c r="J4" s="4">
        <v>14.66</v>
      </c>
      <c r="K4" s="4">
        <v>35.86</v>
      </c>
      <c r="L4" s="100">
        <f t="shared" si="0"/>
        <v>32.274000000000001</v>
      </c>
      <c r="M4" s="100" t="b">
        <f t="shared" si="1"/>
        <v>1</v>
      </c>
    </row>
    <row r="5" spans="1:13" ht="20.100000000000001" customHeight="1" x14ac:dyDescent="0.25">
      <c r="A5" s="2" t="s">
        <v>464</v>
      </c>
      <c r="B5" s="2" t="s">
        <v>471</v>
      </c>
      <c r="C5" s="4">
        <v>29.08</v>
      </c>
      <c r="D5" s="4">
        <v>28.49</v>
      </c>
      <c r="E5" s="4">
        <v>29.47</v>
      </c>
      <c r="F5" s="5">
        <v>30.7</v>
      </c>
      <c r="G5" s="6">
        <v>-5.2768729641693844E-2</v>
      </c>
      <c r="H5" s="5" t="s">
        <v>968</v>
      </c>
      <c r="I5" s="5">
        <v>1.75</v>
      </c>
      <c r="J5" s="4">
        <v>20.62</v>
      </c>
      <c r="K5" s="4">
        <v>31.54</v>
      </c>
      <c r="L5" s="100">
        <f t="shared" si="0"/>
        <v>28.385999999999999</v>
      </c>
      <c r="M5" s="100" t="b">
        <f t="shared" si="1"/>
        <v>0</v>
      </c>
    </row>
    <row r="6" spans="1:13" ht="20.100000000000001" customHeight="1" x14ac:dyDescent="0.25">
      <c r="A6" s="81" t="s">
        <v>465</v>
      </c>
      <c r="B6" s="2" t="s">
        <v>472</v>
      </c>
      <c r="C6" s="4">
        <v>71.75</v>
      </c>
      <c r="D6" s="4">
        <v>70.87</v>
      </c>
      <c r="E6" s="4">
        <v>72.33</v>
      </c>
      <c r="F6" s="5">
        <v>72</v>
      </c>
      <c r="G6" s="6">
        <v>-3.472222222222222E-3</v>
      </c>
      <c r="H6" s="5" t="s">
        <v>969</v>
      </c>
      <c r="I6" s="5">
        <v>1.36</v>
      </c>
      <c r="J6" s="4">
        <v>16.78</v>
      </c>
      <c r="K6" s="4">
        <v>86.45</v>
      </c>
      <c r="L6" s="100">
        <f t="shared" si="0"/>
        <v>77.805000000000007</v>
      </c>
      <c r="M6" s="100" t="b">
        <f t="shared" si="1"/>
        <v>1</v>
      </c>
    </row>
    <row r="7" spans="1:13" ht="20.100000000000001" customHeight="1" x14ac:dyDescent="0.25">
      <c r="A7" s="2" t="s">
        <v>466</v>
      </c>
      <c r="B7" s="2" t="s">
        <v>473</v>
      </c>
      <c r="C7" s="4">
        <v>82.5</v>
      </c>
      <c r="D7" s="4">
        <v>81.739999999999995</v>
      </c>
      <c r="E7" s="4">
        <v>83.02</v>
      </c>
      <c r="F7" s="5">
        <v>83.28</v>
      </c>
      <c r="G7" s="6">
        <v>-9.3659942363112526E-3</v>
      </c>
      <c r="H7" s="5" t="s">
        <v>970</v>
      </c>
      <c r="I7" s="5" t="s">
        <v>39</v>
      </c>
      <c r="J7" s="4">
        <v>27.37</v>
      </c>
      <c r="K7" s="4">
        <v>86.69</v>
      </c>
      <c r="L7" s="100">
        <f t="shared" si="0"/>
        <v>78.021000000000001</v>
      </c>
      <c r="M7" s="100" t="b">
        <f t="shared" si="1"/>
        <v>0</v>
      </c>
    </row>
    <row r="8" spans="1:13" ht="20.100000000000001" customHeight="1" x14ac:dyDescent="0.25">
      <c r="A8" s="2" t="s">
        <v>964</v>
      </c>
      <c r="B8" s="2" t="s">
        <v>971</v>
      </c>
      <c r="C8" s="4">
        <v>19.68</v>
      </c>
      <c r="D8" s="4">
        <v>19</v>
      </c>
      <c r="E8" s="4">
        <v>19.96</v>
      </c>
      <c r="F8" s="5">
        <v>22.81</v>
      </c>
      <c r="G8" s="6">
        <v>-0.13722051731696622</v>
      </c>
      <c r="H8" s="5" t="s">
        <v>593</v>
      </c>
      <c r="I8" s="5" t="s">
        <v>39</v>
      </c>
      <c r="J8" s="4">
        <v>20.98</v>
      </c>
      <c r="K8" s="4">
        <v>25.21</v>
      </c>
      <c r="L8" s="100">
        <f>K8*0.9</f>
        <v>22.689</v>
      </c>
      <c r="M8" s="100" t="b">
        <f>L8&gt;C8</f>
        <v>1</v>
      </c>
    </row>
    <row r="9" spans="1:13" ht="20.100000000000001" customHeight="1" x14ac:dyDescent="0.25">
      <c r="A9" s="2" t="s">
        <v>467</v>
      </c>
      <c r="B9" s="2" t="s">
        <v>474</v>
      </c>
      <c r="C9" s="4">
        <v>155.63999999999999</v>
      </c>
      <c r="D9" s="4">
        <v>155.4</v>
      </c>
      <c r="E9" s="4">
        <v>157.87</v>
      </c>
      <c r="F9" s="5">
        <v>158.06</v>
      </c>
      <c r="G9" s="6">
        <v>-1.5310641528533569E-2</v>
      </c>
      <c r="H9" s="5" t="s">
        <v>972</v>
      </c>
      <c r="I9" s="5">
        <v>1.1399999999999999</v>
      </c>
      <c r="J9" s="4">
        <v>29.42</v>
      </c>
      <c r="K9" s="4">
        <v>156.33000000000001</v>
      </c>
      <c r="L9" s="100">
        <f t="shared" si="0"/>
        <v>140.697</v>
      </c>
      <c r="M9" s="100" t="b">
        <f t="shared" si="1"/>
        <v>0</v>
      </c>
    </row>
  </sheetData>
  <conditionalFormatting sqref="G1:G9">
    <cfRule type="colorScale" priority="88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7:G9">
    <cfRule type="colorScale" priority="9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M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546</v>
      </c>
      <c r="M1" s="76" t="s">
        <v>572</v>
      </c>
    </row>
    <row r="2" spans="1:13" ht="20.100000000000001" customHeight="1" thickTop="1" x14ac:dyDescent="0.25">
      <c r="A2" s="2" t="s">
        <v>531</v>
      </c>
      <c r="B2" s="2" t="s">
        <v>535</v>
      </c>
      <c r="C2" s="4">
        <v>64.349999999999994</v>
      </c>
      <c r="D2" s="4">
        <v>64.08</v>
      </c>
      <c r="E2" s="4">
        <v>64.62</v>
      </c>
      <c r="F2" s="5">
        <v>64</v>
      </c>
      <c r="G2" s="6">
        <v>5.4687499999999112E-3</v>
      </c>
      <c r="H2" s="5" t="s">
        <v>838</v>
      </c>
      <c r="I2" s="5">
        <v>2.56</v>
      </c>
      <c r="J2" s="4">
        <v>25.15</v>
      </c>
      <c r="K2" s="4">
        <v>61.59</v>
      </c>
      <c r="L2" s="100">
        <f t="shared" ref="L2:L5" si="0">K2*0.9</f>
        <v>55.431000000000004</v>
      </c>
      <c r="M2" s="100" t="b">
        <f t="shared" ref="M2:M5" si="1">L2&gt;C2</f>
        <v>0</v>
      </c>
    </row>
    <row r="3" spans="1:13" ht="20.100000000000001" customHeight="1" x14ac:dyDescent="0.25">
      <c r="A3" s="2" t="s">
        <v>532</v>
      </c>
      <c r="B3" s="2" t="s">
        <v>536</v>
      </c>
      <c r="C3" s="4">
        <v>51.08</v>
      </c>
      <c r="D3" s="4">
        <v>50.9</v>
      </c>
      <c r="E3" s="4">
        <v>51.28</v>
      </c>
      <c r="F3" s="5">
        <v>50.72</v>
      </c>
      <c r="G3" s="6">
        <v>7.0977917981072444E-3</v>
      </c>
      <c r="H3" s="5" t="s">
        <v>756</v>
      </c>
      <c r="I3" s="5">
        <v>2.52</v>
      </c>
      <c r="J3" s="4">
        <v>24.55</v>
      </c>
      <c r="K3" s="4">
        <v>48.9</v>
      </c>
      <c r="L3" s="100">
        <f t="shared" si="0"/>
        <v>44.01</v>
      </c>
      <c r="M3" s="100" t="b">
        <f t="shared" si="1"/>
        <v>0</v>
      </c>
    </row>
    <row r="4" spans="1:13" ht="20.100000000000001" customHeight="1" x14ac:dyDescent="0.25">
      <c r="A4" s="2" t="s">
        <v>533</v>
      </c>
      <c r="B4" s="2" t="s">
        <v>537</v>
      </c>
      <c r="C4" s="4">
        <v>84.15</v>
      </c>
      <c r="D4" s="4">
        <v>84.14</v>
      </c>
      <c r="E4" s="4">
        <v>86.05</v>
      </c>
      <c r="F4" s="5">
        <v>85.36</v>
      </c>
      <c r="G4" s="6">
        <v>-1.417525773195869E-2</v>
      </c>
      <c r="H4" s="5" t="s">
        <v>839</v>
      </c>
      <c r="I4" s="5" t="s">
        <v>39</v>
      </c>
      <c r="J4" s="4">
        <v>29.62</v>
      </c>
      <c r="K4" s="4">
        <v>105.31</v>
      </c>
      <c r="L4" s="100">
        <f t="shared" si="0"/>
        <v>94.779000000000011</v>
      </c>
      <c r="M4" s="100" t="b">
        <f t="shared" si="1"/>
        <v>1</v>
      </c>
    </row>
    <row r="5" spans="1:13" ht="20.100000000000001" customHeight="1" x14ac:dyDescent="0.25">
      <c r="A5" s="2" t="s">
        <v>534</v>
      </c>
      <c r="B5" s="2" t="s">
        <v>538</v>
      </c>
      <c r="C5" s="4">
        <v>78.489999999999995</v>
      </c>
      <c r="D5" s="4">
        <v>77.94</v>
      </c>
      <c r="E5" s="4">
        <v>79.709999999999994</v>
      </c>
      <c r="F5" s="5">
        <v>77.8</v>
      </c>
      <c r="G5" s="6">
        <v>8.8688946015423875E-3</v>
      </c>
      <c r="H5" s="5" t="s">
        <v>840</v>
      </c>
      <c r="I5" s="5">
        <v>0.75</v>
      </c>
      <c r="J5" s="4" t="s">
        <v>39</v>
      </c>
      <c r="K5" s="4">
        <v>69.53</v>
      </c>
      <c r="L5" s="100">
        <f t="shared" si="0"/>
        <v>62.577000000000005</v>
      </c>
      <c r="M5" s="100" t="b">
        <f t="shared" si="1"/>
        <v>0</v>
      </c>
    </row>
  </sheetData>
  <conditionalFormatting sqref="G1:G5">
    <cfRule type="colorScale" priority="6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Index</vt:lpstr>
      <vt:lpstr>Advertisers</vt:lpstr>
      <vt:lpstr>Aerospace</vt:lpstr>
      <vt:lpstr>AgChemical</vt:lpstr>
      <vt:lpstr>Airlines</vt:lpstr>
      <vt:lpstr>Apparel</vt:lpstr>
      <vt:lpstr>Auto</vt:lpstr>
      <vt:lpstr>BioPharma</vt:lpstr>
      <vt:lpstr>Brokers</vt:lpstr>
      <vt:lpstr>Builder</vt:lpstr>
      <vt:lpstr>Cruise</vt:lpstr>
      <vt:lpstr>Defense</vt:lpstr>
      <vt:lpstr>Electricity</vt:lpstr>
      <vt:lpstr>Electronics</vt:lpstr>
      <vt:lpstr>E_P</vt:lpstr>
      <vt:lpstr>ETF</vt:lpstr>
      <vt:lpstr>Fashion</vt:lpstr>
      <vt:lpstr>FastFood</vt:lpstr>
      <vt:lpstr>Financial</vt:lpstr>
      <vt:lpstr>Food</vt:lpstr>
      <vt:lpstr>Game</vt:lpstr>
      <vt:lpstr>Health</vt:lpstr>
      <vt:lpstr>HomeProducts</vt:lpstr>
      <vt:lpstr>Industrials</vt:lpstr>
      <vt:lpstr>IndustryCongl.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Technology</vt:lpstr>
      <vt:lpstr>TeleComm</vt:lpstr>
      <vt:lpstr>UtilityREIT</vt:lpstr>
      <vt:lpstr>VarietyStores</vt:lpstr>
      <vt:lpstr>WasteMgt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2016-09-09T03:41:02Z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dc3fc8bd-e837-4936-b935-f1f150e8e847</vt:lpwstr>
  </property>
</Properties>
</file>