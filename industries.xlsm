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drawings/drawing28.xml" ContentType="application/vnd.openxmlformats-officedocument.drawing+xml"/>
  <Override PartName="/xl/tables/table28.xml" ContentType="application/vnd.openxmlformats-officedocument.spreadsheetml.table+xml"/>
  <Override PartName="/xl/drawings/drawing29.xml" ContentType="application/vnd.openxmlformats-officedocument.drawing+xml"/>
  <Override PartName="/xl/tables/table29.xml" ContentType="application/vnd.openxmlformats-officedocument.spreadsheetml.table+xml"/>
  <Override PartName="/xl/drawings/drawing30.xml" ContentType="application/vnd.openxmlformats-officedocument.drawing+xml"/>
  <Override PartName="/xl/tables/table30.xml" ContentType="application/vnd.openxmlformats-officedocument.spreadsheetml.table+xml"/>
  <Override PartName="/xl/drawings/drawing31.xml" ContentType="application/vnd.openxmlformats-officedocument.drawing+xml"/>
  <Override PartName="/xl/tables/table31.xml" ContentType="application/vnd.openxmlformats-officedocument.spreadsheetml.table+xml"/>
  <Override PartName="/xl/drawings/drawing32.xml" ContentType="application/vnd.openxmlformats-officedocument.drawing+xml"/>
  <Override PartName="/xl/tables/table32.xml" ContentType="application/vnd.openxmlformats-officedocument.spreadsheetml.table+xml"/>
  <Override PartName="/xl/drawings/drawing33.xml" ContentType="application/vnd.openxmlformats-officedocument.drawing+xml"/>
  <Override PartName="/xl/tables/table33.xml" ContentType="application/vnd.openxmlformats-officedocument.spreadsheetml.table+xml"/>
  <Override PartName="/xl/drawings/drawing34.xml" ContentType="application/vnd.openxmlformats-officedocument.drawing+xml"/>
  <Override PartName="/xl/tables/table34.xml" ContentType="application/vnd.openxmlformats-officedocument.spreadsheetml.table+xml"/>
  <Override PartName="/xl/drawings/drawing35.xml" ContentType="application/vnd.openxmlformats-officedocument.drawing+xml"/>
  <Override PartName="/xl/tables/table35.xml" ContentType="application/vnd.openxmlformats-officedocument.spreadsheetml.table+xml"/>
  <Override PartName="/xl/drawings/drawing36.xml" ContentType="application/vnd.openxmlformats-officedocument.drawing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Index" sheetId="15" r:id="rId1"/>
    <sheet name="Advertisers" sheetId="42" r:id="rId2"/>
    <sheet name="Aerospace" sheetId="22" r:id="rId3"/>
    <sheet name="AgChemical" sheetId="26" r:id="rId4"/>
    <sheet name="Airlines" sheetId="18" r:id="rId5"/>
    <sheet name="Apparel" sheetId="35" r:id="rId6"/>
    <sheet name="Auto" sheetId="40" r:id="rId7"/>
    <sheet name="BioPharma" sheetId="6" r:id="rId8"/>
    <sheet name="Brokers" sheetId="47" r:id="rId9"/>
    <sheet name="Builder" sheetId="41" r:id="rId10"/>
    <sheet name="Cruise" sheetId="44" r:id="rId11"/>
    <sheet name="Defense" sheetId="16" r:id="rId12"/>
    <sheet name="Electricity" sheetId="1" r:id="rId13"/>
    <sheet name="Electronics" sheetId="31" r:id="rId14"/>
    <sheet name="E_P" sheetId="2" r:id="rId15"/>
    <sheet name="ETF" sheetId="36" r:id="rId16"/>
    <sheet name="Fashion" sheetId="4" r:id="rId17"/>
    <sheet name="FastFood" sheetId="37" r:id="rId18"/>
    <sheet name="Financial" sheetId="13" r:id="rId19"/>
    <sheet name="Food" sheetId="17" r:id="rId20"/>
    <sheet name="Game" sheetId="43" r:id="rId21"/>
    <sheet name="Health" sheetId="3" r:id="rId22"/>
    <sheet name="HomeProducts" sheetId="45" r:id="rId23"/>
    <sheet name="Industrials" sheetId="7" r:id="rId24"/>
    <sheet name="IndustryCongl." sheetId="38" r:id="rId25"/>
    <sheet name="Insurance" sheetId="8" r:id="rId26"/>
    <sheet name="Media" sheetId="11" r:id="rId27"/>
    <sheet name="Metal" sheetId="28" r:id="rId28"/>
    <sheet name="Packaging" sheetId="24" r:id="rId29"/>
    <sheet name="Railroads" sheetId="10" r:id="rId30"/>
    <sheet name="Semiconductor" sheetId="5" r:id="rId31"/>
    <sheet name="Solar" sheetId="12" r:id="rId32"/>
    <sheet name="Technology" sheetId="30" r:id="rId33"/>
    <sheet name="TeleComm" sheetId="19" r:id="rId34"/>
    <sheet name="UtilityREIT" sheetId="9" r:id="rId35"/>
    <sheet name="VarietyStores" sheetId="34" r:id="rId36"/>
    <sheet name="WasteMgt" sheetId="39" r:id="rId3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3" l="1"/>
  <c r="M13" i="3" s="1"/>
  <c r="L10" i="3"/>
  <c r="M10" i="3" s="1"/>
  <c r="L11" i="3"/>
  <c r="M11" i="3"/>
  <c r="L12" i="3"/>
  <c r="M12" i="3" s="1"/>
  <c r="L7" i="40" l="1"/>
  <c r="M7" i="40" s="1"/>
  <c r="L5" i="19"/>
  <c r="M5" i="19" s="1"/>
  <c r="L3" i="26" l="1"/>
  <c r="L4" i="26"/>
  <c r="L5" i="26"/>
  <c r="L6" i="26"/>
  <c r="L7" i="26"/>
  <c r="L8" i="26"/>
  <c r="L9" i="26"/>
  <c r="L10" i="26"/>
  <c r="L11" i="26"/>
  <c r="L12" i="26"/>
  <c r="L13" i="26"/>
  <c r="L2" i="26"/>
  <c r="L3" i="22"/>
  <c r="L4" i="22"/>
  <c r="L5" i="22"/>
  <c r="L6" i="22"/>
  <c r="L7" i="22"/>
  <c r="L8" i="22"/>
  <c r="L2" i="22"/>
  <c r="L6" i="41"/>
  <c r="M6" i="41" s="1"/>
  <c r="L2" i="18" l="1"/>
  <c r="L3" i="18"/>
  <c r="L4" i="18"/>
  <c r="L5" i="18"/>
  <c r="L6" i="18"/>
  <c r="L7" i="18"/>
  <c r="L8" i="18"/>
  <c r="L9" i="18"/>
  <c r="L10" i="18"/>
  <c r="L11" i="18"/>
  <c r="L8" i="34" l="1"/>
  <c r="M8" i="34" s="1"/>
  <c r="L6" i="47" l="1"/>
  <c r="M6" i="47" s="1"/>
  <c r="L5" i="47"/>
  <c r="M5" i="47" s="1"/>
  <c r="L4" i="47"/>
  <c r="M4" i="47" s="1"/>
  <c r="L3" i="47"/>
  <c r="M3" i="47" s="1"/>
  <c r="L2" i="47"/>
  <c r="M2" i="47" s="1"/>
  <c r="L7" i="45"/>
  <c r="M7" i="45" s="1"/>
  <c r="L6" i="45"/>
  <c r="M6" i="45" s="1"/>
  <c r="L5" i="45"/>
  <c r="M5" i="45" s="1"/>
  <c r="L4" i="45"/>
  <c r="M4" i="45" s="1"/>
  <c r="L3" i="45"/>
  <c r="M3" i="45" s="1"/>
  <c r="L2" i="45"/>
  <c r="M2" i="45" s="1"/>
  <c r="L8" i="16" l="1"/>
  <c r="M8" i="16" s="1"/>
  <c r="M10" i="18" l="1"/>
  <c r="L11" i="13"/>
  <c r="M11" i="13" s="1"/>
  <c r="L12" i="6"/>
  <c r="M12" i="6" s="1"/>
  <c r="L19" i="9"/>
  <c r="M19" i="9" s="1"/>
  <c r="L13" i="8"/>
  <c r="M13" i="8" s="1"/>
  <c r="M8" i="22"/>
  <c r="L5" i="44" l="1"/>
  <c r="M5" i="44" s="1"/>
  <c r="L6" i="44"/>
  <c r="M6" i="44" s="1"/>
  <c r="L4" i="44"/>
  <c r="M4" i="44" s="1"/>
  <c r="L3" i="44"/>
  <c r="M3" i="44" s="1"/>
  <c r="L2" i="44"/>
  <c r="M2" i="44" s="1"/>
  <c r="L6" i="40"/>
  <c r="M6" i="40" s="1"/>
  <c r="L5" i="40" l="1"/>
  <c r="M5" i="40" s="1"/>
  <c r="L6" i="43"/>
  <c r="M6" i="43" s="1"/>
  <c r="L7" i="43"/>
  <c r="M7" i="43" s="1"/>
  <c r="L5" i="43"/>
  <c r="M5" i="43" s="1"/>
  <c r="L4" i="43"/>
  <c r="M4" i="43" s="1"/>
  <c r="L3" i="43"/>
  <c r="M3" i="43" s="1"/>
  <c r="L2" i="43"/>
  <c r="M2" i="43" s="1"/>
  <c r="L8" i="24"/>
  <c r="M8" i="24" s="1"/>
  <c r="L3" i="42"/>
  <c r="L4" i="42"/>
  <c r="M4" i="42" s="1"/>
  <c r="L5" i="42"/>
  <c r="L2" i="42"/>
  <c r="M5" i="42"/>
  <c r="M3" i="42"/>
  <c r="M2" i="42"/>
  <c r="L7" i="41"/>
  <c r="M7" i="41" s="1"/>
  <c r="L5" i="41"/>
  <c r="M5" i="41" s="1"/>
  <c r="L4" i="41"/>
  <c r="M4" i="41" s="1"/>
  <c r="L3" i="41"/>
  <c r="M3" i="41" s="1"/>
  <c r="L2" i="41"/>
  <c r="M2" i="41" s="1"/>
  <c r="L2" i="39"/>
  <c r="M2" i="39" s="1"/>
  <c r="L3" i="39"/>
  <c r="M3" i="39" s="1"/>
  <c r="L4" i="39"/>
  <c r="M4" i="39" s="1"/>
  <c r="L5" i="39"/>
  <c r="M5" i="39" s="1"/>
  <c r="L2" i="34"/>
  <c r="M2" i="34" s="1"/>
  <c r="L3" i="34"/>
  <c r="M3" i="34" s="1"/>
  <c r="L4" i="34"/>
  <c r="M4" i="34" s="1"/>
  <c r="L5" i="34"/>
  <c r="M5" i="34" s="1"/>
  <c r="L6" i="34"/>
  <c r="M6" i="34" s="1"/>
  <c r="L7" i="34"/>
  <c r="M7" i="34" s="1"/>
  <c r="L9" i="34"/>
  <c r="M9" i="34" s="1"/>
  <c r="L27" i="9"/>
  <c r="M27" i="9" s="1"/>
  <c r="L16" i="9"/>
  <c r="M16" i="9" s="1"/>
  <c r="L24" i="9"/>
  <c r="M24" i="9" s="1"/>
  <c r="L3" i="9"/>
  <c r="M3" i="9" s="1"/>
  <c r="L12" i="9"/>
  <c r="M12" i="9" s="1"/>
  <c r="L25" i="9"/>
  <c r="M25" i="9" s="1"/>
  <c r="L2" i="9"/>
  <c r="M2" i="9" s="1"/>
  <c r="L29" i="9"/>
  <c r="M29" i="9" s="1"/>
  <c r="L20" i="9"/>
  <c r="M20" i="9" s="1"/>
  <c r="L28" i="9"/>
  <c r="M28" i="9" s="1"/>
  <c r="L11" i="9"/>
  <c r="M11" i="9" s="1"/>
  <c r="L14" i="9"/>
  <c r="M14" i="9" s="1"/>
  <c r="L8" i="9"/>
  <c r="M8" i="9" s="1"/>
  <c r="L33" i="9"/>
  <c r="M33" i="9" s="1"/>
  <c r="L18" i="9"/>
  <c r="M18" i="9" s="1"/>
  <c r="L6" i="9"/>
  <c r="M6" i="9" s="1"/>
  <c r="L10" i="9"/>
  <c r="M10" i="9" s="1"/>
  <c r="L9" i="9"/>
  <c r="M9" i="9" s="1"/>
  <c r="L13" i="9"/>
  <c r="M13" i="9" s="1"/>
  <c r="L32" i="9"/>
  <c r="M32" i="9" s="1"/>
  <c r="L21" i="9"/>
  <c r="M21" i="9" s="1"/>
  <c r="L5" i="9"/>
  <c r="M5" i="9" s="1"/>
  <c r="L4" i="9"/>
  <c r="M4" i="9" s="1"/>
  <c r="L17" i="9"/>
  <c r="M17" i="9" s="1"/>
  <c r="L23" i="9"/>
  <c r="M23" i="9" s="1"/>
  <c r="L31" i="9"/>
  <c r="M31" i="9" s="1"/>
  <c r="L26" i="9"/>
  <c r="M26" i="9" s="1"/>
  <c r="L30" i="9"/>
  <c r="M30" i="9" s="1"/>
  <c r="L7" i="9"/>
  <c r="M7" i="9" s="1"/>
  <c r="L22" i="9"/>
  <c r="M22" i="9" s="1"/>
  <c r="L15" i="9"/>
  <c r="M15" i="9" s="1"/>
  <c r="L2" i="19"/>
  <c r="M2" i="19" s="1"/>
  <c r="L3" i="19"/>
  <c r="M3" i="19" s="1"/>
  <c r="L4" i="19"/>
  <c r="M4" i="19" s="1"/>
  <c r="L6" i="19"/>
  <c r="M6" i="19" s="1"/>
  <c r="M2" i="30"/>
  <c r="N2" i="30" s="1"/>
  <c r="M3" i="30"/>
  <c r="N3" i="30" s="1"/>
  <c r="M4" i="30"/>
  <c r="N4" i="30" s="1"/>
  <c r="M5" i="30"/>
  <c r="M6" i="30"/>
  <c r="N6" i="30" s="1"/>
  <c r="M7" i="30"/>
  <c r="N7" i="30" s="1"/>
  <c r="M8" i="30"/>
  <c r="N8" i="30" s="1"/>
  <c r="M9" i="30"/>
  <c r="N9" i="30" s="1"/>
  <c r="M10" i="30"/>
  <c r="N10" i="30" s="1"/>
  <c r="M11" i="30"/>
  <c r="N11" i="30" s="1"/>
  <c r="M12" i="30"/>
  <c r="N12" i="30" s="1"/>
  <c r="N5" i="30"/>
  <c r="L2" i="12"/>
  <c r="M2" i="12" s="1"/>
  <c r="L3" i="12"/>
  <c r="M3" i="12" s="1"/>
  <c r="L4" i="12"/>
  <c r="M4" i="12" s="1"/>
  <c r="L5" i="12"/>
  <c r="M5" i="12" s="1"/>
  <c r="L6" i="12"/>
  <c r="M6" i="12" s="1"/>
  <c r="L7" i="12"/>
  <c r="M7" i="12" s="1"/>
  <c r="L8" i="12"/>
  <c r="M8" i="12" s="1"/>
  <c r="L11" i="5"/>
  <c r="M11" i="5" s="1"/>
  <c r="L12" i="5"/>
  <c r="M12" i="5" s="1"/>
  <c r="L2" i="5"/>
  <c r="M2" i="5" s="1"/>
  <c r="L3" i="5"/>
  <c r="L4" i="5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M3" i="5"/>
  <c r="M4" i="5"/>
  <c r="L2" i="10"/>
  <c r="M2" i="10" s="1"/>
  <c r="L3" i="10"/>
  <c r="M3" i="10" s="1"/>
  <c r="L4" i="10"/>
  <c r="M4" i="10" s="1"/>
  <c r="L5" i="10"/>
  <c r="M5" i="10" s="1"/>
  <c r="L6" i="10"/>
  <c r="M6" i="10" s="1"/>
  <c r="L7" i="10"/>
  <c r="M7" i="10" s="1"/>
  <c r="L8" i="10"/>
  <c r="M8" i="10" s="1"/>
  <c r="L2" i="24"/>
  <c r="M2" i="24" s="1"/>
  <c r="L3" i="24"/>
  <c r="M3" i="24" s="1"/>
  <c r="L4" i="24"/>
  <c r="M4" i="24" s="1"/>
  <c r="L5" i="24"/>
  <c r="M5" i="24" s="1"/>
  <c r="L6" i="24"/>
  <c r="M6" i="24" s="1"/>
  <c r="L7" i="24"/>
  <c r="M7" i="24" s="1"/>
  <c r="L2" i="28"/>
  <c r="M2" i="28" s="1"/>
  <c r="L3" i="28"/>
  <c r="M3" i="28" s="1"/>
  <c r="L4" i="28"/>
  <c r="L5" i="28"/>
  <c r="M5" i="28" s="1"/>
  <c r="L6" i="28"/>
  <c r="M6" i="28" s="1"/>
  <c r="L7" i="28"/>
  <c r="M7" i="28" s="1"/>
  <c r="L8" i="28"/>
  <c r="M8" i="28" s="1"/>
  <c r="L9" i="28"/>
  <c r="M9" i="28" s="1"/>
  <c r="L10" i="28"/>
  <c r="M10" i="28" s="1"/>
  <c r="L11" i="28"/>
  <c r="M11" i="28" s="1"/>
  <c r="L12" i="28"/>
  <c r="M12" i="28" s="1"/>
  <c r="L13" i="28"/>
  <c r="M13" i="28" s="1"/>
  <c r="L14" i="28"/>
  <c r="M14" i="28" s="1"/>
  <c r="M4" i="28"/>
  <c r="L2" i="11"/>
  <c r="M2" i="11" s="1"/>
  <c r="L3" i="11"/>
  <c r="M3" i="11" s="1"/>
  <c r="L4" i="11"/>
  <c r="M4" i="11" s="1"/>
  <c r="L5" i="11"/>
  <c r="M5" i="11" s="1"/>
  <c r="L6" i="11"/>
  <c r="M6" i="11" s="1"/>
  <c r="L7" i="11"/>
  <c r="M7" i="11" s="1"/>
  <c r="L8" i="11"/>
  <c r="M8" i="11" s="1"/>
  <c r="L2" i="8"/>
  <c r="M2" i="8" s="1"/>
  <c r="L3" i="8"/>
  <c r="M3" i="8" s="1"/>
  <c r="L4" i="8"/>
  <c r="M4" i="8" s="1"/>
  <c r="L5" i="8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12" i="8" s="1"/>
  <c r="M5" i="8"/>
  <c r="L14" i="38"/>
  <c r="M14" i="38" s="1"/>
  <c r="L15" i="38"/>
  <c r="M15" i="38" s="1"/>
  <c r="L16" i="38"/>
  <c r="M16" i="38" s="1"/>
  <c r="L17" i="38"/>
  <c r="M17" i="38" s="1"/>
  <c r="L18" i="38"/>
  <c r="M18" i="38" s="1"/>
  <c r="L2" i="38"/>
  <c r="M2" i="38" s="1"/>
  <c r="L3" i="38"/>
  <c r="M3" i="38" s="1"/>
  <c r="L4" i="38"/>
  <c r="M4" i="38" s="1"/>
  <c r="L5" i="38"/>
  <c r="L6" i="38"/>
  <c r="M6" i="38" s="1"/>
  <c r="L7" i="38"/>
  <c r="M7" i="38" s="1"/>
  <c r="L8" i="38"/>
  <c r="M8" i="38" s="1"/>
  <c r="L9" i="38"/>
  <c r="M9" i="38" s="1"/>
  <c r="L10" i="38"/>
  <c r="M10" i="38" s="1"/>
  <c r="L11" i="38"/>
  <c r="L12" i="38"/>
  <c r="M12" i="38" s="1"/>
  <c r="L13" i="38"/>
  <c r="M13" i="38" s="1"/>
  <c r="M5" i="38"/>
  <c r="M11" i="38"/>
  <c r="L4" i="40"/>
  <c r="M4" i="40" s="1"/>
  <c r="L8" i="40"/>
  <c r="M8" i="40" s="1"/>
  <c r="L3" i="40"/>
  <c r="M3" i="40" s="1"/>
  <c r="L2" i="40"/>
  <c r="M2" i="40" s="1"/>
  <c r="L2" i="7"/>
  <c r="M2" i="7" s="1"/>
  <c r="L3" i="7"/>
  <c r="M3" i="7" s="1"/>
  <c r="L4" i="7"/>
  <c r="M4" i="7" s="1"/>
  <c r="L5" i="7"/>
  <c r="M5" i="7" s="1"/>
  <c r="L6" i="7"/>
  <c r="M6" i="7" s="1"/>
  <c r="L7" i="7"/>
  <c r="M7" i="7" s="1"/>
  <c r="L8" i="7"/>
  <c r="M8" i="7" s="1"/>
  <c r="L9" i="7"/>
  <c r="M9" i="7" s="1"/>
  <c r="L10" i="7"/>
  <c r="M10" i="7" s="1"/>
  <c r="L11" i="7"/>
  <c r="M11" i="7" s="1"/>
  <c r="L12" i="7"/>
  <c r="M12" i="7" s="1"/>
  <c r="L13" i="7"/>
  <c r="M13" i="7" s="1"/>
  <c r="L9" i="3"/>
  <c r="M9" i="3" s="1"/>
  <c r="L2" i="3"/>
  <c r="M2" i="3" s="1"/>
  <c r="L3" i="3"/>
  <c r="M3" i="3" s="1"/>
  <c r="L4" i="3"/>
  <c r="M4" i="3" s="1"/>
  <c r="L5" i="3"/>
  <c r="M5" i="3" s="1"/>
  <c r="L6" i="3"/>
  <c r="M6" i="3" s="1"/>
  <c r="L7" i="3"/>
  <c r="M7" i="3" s="1"/>
  <c r="L8" i="3"/>
  <c r="M8" i="3" s="1"/>
  <c r="L9" i="17"/>
  <c r="M9" i="17" s="1"/>
  <c r="L2" i="17"/>
  <c r="L3" i="17"/>
  <c r="L4" i="17"/>
  <c r="M4" i="17" s="1"/>
  <c r="L5" i="17"/>
  <c r="M5" i="17" s="1"/>
  <c r="L6" i="17"/>
  <c r="M6" i="17" s="1"/>
  <c r="L7" i="17"/>
  <c r="M7" i="17" s="1"/>
  <c r="L8" i="17"/>
  <c r="M8" i="17" s="1"/>
  <c r="L10" i="17"/>
  <c r="M10" i="17" s="1"/>
  <c r="M2" i="17"/>
  <c r="M3" i="17"/>
  <c r="L2" i="2"/>
  <c r="M2" i="2" s="1"/>
  <c r="L3" i="2"/>
  <c r="M3" i="2" s="1"/>
  <c r="L4" i="2"/>
  <c r="L5" i="2"/>
  <c r="M5" i="2" s="1"/>
  <c r="L6" i="2"/>
  <c r="M6" i="2" s="1"/>
  <c r="L7" i="2"/>
  <c r="M7" i="2" s="1"/>
  <c r="L8" i="2"/>
  <c r="M8" i="2" s="1"/>
  <c r="L9" i="2"/>
  <c r="M9" i="2" s="1"/>
  <c r="L10" i="2"/>
  <c r="M10" i="2" s="1"/>
  <c r="L11" i="2"/>
  <c r="M11" i="2" s="1"/>
  <c r="L12" i="2"/>
  <c r="M12" i="2" s="1"/>
  <c r="L13" i="2"/>
  <c r="M13" i="2" s="1"/>
  <c r="L14" i="2"/>
  <c r="M14" i="2" s="1"/>
  <c r="L15" i="2"/>
  <c r="M15" i="2" s="1"/>
  <c r="L16" i="2"/>
  <c r="M16" i="2" s="1"/>
  <c r="L17" i="2"/>
  <c r="M17" i="2" s="1"/>
  <c r="L2" i="4"/>
  <c r="M2" i="4" s="1"/>
  <c r="L3" i="4"/>
  <c r="M3" i="4" s="1"/>
  <c r="L4" i="4"/>
  <c r="M4" i="4" s="1"/>
  <c r="L5" i="4"/>
  <c r="M5" i="4" s="1"/>
  <c r="L6" i="4"/>
  <c r="M6" i="4" s="1"/>
  <c r="L7" i="4"/>
  <c r="M7" i="4" s="1"/>
  <c r="L8" i="4"/>
  <c r="M8" i="4" s="1"/>
  <c r="L9" i="4"/>
  <c r="M9" i="4" s="1"/>
  <c r="L2" i="37"/>
  <c r="M2" i="37" s="1"/>
  <c r="L3" i="37"/>
  <c r="M3" i="37" s="1"/>
  <c r="L4" i="37"/>
  <c r="M4" i="37" s="1"/>
  <c r="L5" i="37"/>
  <c r="M5" i="37" s="1"/>
  <c r="L6" i="37"/>
  <c r="M6" i="37" s="1"/>
  <c r="L7" i="37"/>
  <c r="M7" i="37" s="1"/>
  <c r="L8" i="37"/>
  <c r="M8" i="37" s="1"/>
  <c r="L9" i="37"/>
  <c r="M9" i="37" s="1"/>
  <c r="L10" i="37"/>
  <c r="M10" i="37" s="1"/>
  <c r="L2" i="13"/>
  <c r="M2" i="13" s="1"/>
  <c r="L3" i="13"/>
  <c r="L4" i="13"/>
  <c r="M4" i="13" s="1"/>
  <c r="L5" i="13"/>
  <c r="M5" i="13" s="1"/>
  <c r="L6" i="13"/>
  <c r="M6" i="13" s="1"/>
  <c r="L7" i="13"/>
  <c r="M7" i="13" s="1"/>
  <c r="L8" i="13"/>
  <c r="M8" i="13" s="1"/>
  <c r="L9" i="13"/>
  <c r="M9" i="13" s="1"/>
  <c r="L10" i="13"/>
  <c r="M10" i="13" s="1"/>
  <c r="L12" i="13"/>
  <c r="M12" i="13" s="1"/>
  <c r="L13" i="13"/>
  <c r="M13" i="13" s="1"/>
  <c r="L14" i="13"/>
  <c r="M14" i="13" s="1"/>
  <c r="L15" i="13"/>
  <c r="M15" i="13" s="1"/>
  <c r="L16" i="13"/>
  <c r="M16" i="13" s="1"/>
  <c r="L17" i="13"/>
  <c r="M17" i="13" s="1"/>
  <c r="L18" i="13"/>
  <c r="M18" i="13" s="1"/>
  <c r="L19" i="13"/>
  <c r="M19" i="13" s="1"/>
  <c r="M3" i="13"/>
  <c r="L2" i="36"/>
  <c r="M2" i="36" s="1"/>
  <c r="L3" i="36"/>
  <c r="M3" i="36" s="1"/>
  <c r="L4" i="36"/>
  <c r="M4" i="36" s="1"/>
  <c r="M4" i="2"/>
  <c r="L2" i="31"/>
  <c r="M2" i="31" s="1"/>
  <c r="L3" i="31"/>
  <c r="M3" i="31" s="1"/>
  <c r="L4" i="31"/>
  <c r="M4" i="31" s="1"/>
  <c r="L5" i="31"/>
  <c r="M5" i="31" s="1"/>
  <c r="L6" i="31"/>
  <c r="M6" i="31" s="1"/>
  <c r="L7" i="31"/>
  <c r="M7" i="31" s="1"/>
  <c r="L8" i="31"/>
  <c r="M8" i="31" s="1"/>
  <c r="L2" i="1"/>
  <c r="M2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3" i="16"/>
  <c r="M3" i="16" s="1"/>
  <c r="L4" i="16"/>
  <c r="M4" i="16" s="1"/>
  <c r="L5" i="16"/>
  <c r="M5" i="16" s="1"/>
  <c r="L6" i="16"/>
  <c r="M6" i="16" s="1"/>
  <c r="L7" i="16"/>
  <c r="M7" i="16" s="1"/>
  <c r="L9" i="16"/>
  <c r="M9" i="16" s="1"/>
  <c r="L10" i="16"/>
  <c r="M10" i="16" s="1"/>
  <c r="L2" i="16"/>
  <c r="M2" i="16" s="1"/>
  <c r="L2" i="6"/>
  <c r="M2" i="6" s="1"/>
  <c r="L3" i="6"/>
  <c r="M3" i="6" s="1"/>
  <c r="L4" i="6"/>
  <c r="M4" i="6" s="1"/>
  <c r="L5" i="6"/>
  <c r="M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3" i="6"/>
  <c r="M13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L2" i="35"/>
  <c r="M2" i="35" s="1"/>
  <c r="L3" i="35"/>
  <c r="M3" i="35" s="1"/>
  <c r="L4" i="35"/>
  <c r="M4" i="35" s="1"/>
  <c r="L5" i="35"/>
  <c r="M5" i="35" s="1"/>
  <c r="L6" i="35"/>
  <c r="M6" i="35" s="1"/>
  <c r="L7" i="35"/>
  <c r="M7" i="35" s="1"/>
  <c r="L8" i="35"/>
  <c r="M8" i="35" s="1"/>
  <c r="M3" i="18"/>
  <c r="M4" i="18"/>
  <c r="M5" i="18"/>
  <c r="M6" i="18"/>
  <c r="M7" i="18"/>
  <c r="M8" i="18"/>
  <c r="M9" i="18"/>
  <c r="M11" i="18"/>
  <c r="M2" i="18"/>
  <c r="M3" i="26"/>
  <c r="M4" i="26"/>
  <c r="M5" i="26"/>
  <c r="M6" i="26"/>
  <c r="M7" i="26"/>
  <c r="M8" i="26"/>
  <c r="M9" i="26"/>
  <c r="M10" i="26"/>
  <c r="M11" i="26"/>
  <c r="M12" i="26"/>
  <c r="M13" i="26"/>
  <c r="M2" i="26"/>
  <c r="M2" i="22" l="1"/>
  <c r="M3" i="22"/>
  <c r="M4" i="22"/>
  <c r="M5" i="22"/>
  <c r="M6" i="22"/>
  <c r="M7" i="22"/>
</calcChain>
</file>

<file path=xl/sharedStrings.xml><?xml version="1.0" encoding="utf-8"?>
<sst xmlns="http://schemas.openxmlformats.org/spreadsheetml/2006/main" count="2051" uniqueCount="1029">
  <si>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</si>
  <si>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</si>
  <si>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</si>
  <si>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</si>
  <si>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</si>
  <si>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</si>
  <si>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</si>
  <si>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</si>
  <si>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</si>
  <si>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</si>
  <si>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</si>
  <si>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</si>
  <si>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</si>
  <si>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</si>
  <si>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</si>
  <si>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</si>
  <si>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</si>
  <si>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</si>
  <si>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</si>
  <si>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</si>
  <si>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</si>
  <si>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</si>
  <si>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</si>
  <si>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</si>
  <si>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</si>
  <si>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</si>
  <si>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</si>
  <si>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</si>
  <si>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</si>
  <si>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</si>
  <si>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</si>
  <si>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</si>
  <si>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</si>
  <si>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</si>
  <si>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</si>
  <si>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</si>
  <si>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</si>
  <si>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</si>
  <si>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</si>
  <si>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</si>
  <si>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</si>
  <si>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</si>
  <si>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</si>
  <si>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</si>
  <si>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</si>
  <si>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</si>
  <si>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</si>
  <si>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</si>
  <si>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</si>
  <si>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</si>
  <si>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</si>
  <si>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</si>
  <si>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</si>
  <si>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</si>
  <si>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</si>
  <si>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</si>
  <si>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</si>
  <si>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</si>
  <si>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</si>
  <si>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</si>
  <si>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</si>
  <si>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</si>
  <si>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</si>
  <si>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</si>
  <si>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</si>
  <si>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</si>
  <si>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</si>
  <si>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</si>
  <si>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</si>
  <si>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</si>
  <si>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</si>
  <si>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</si>
  <si>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</si>
  <si>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</si>
  <si>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</si>
  <si>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</si>
  <si>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LRCX</t>
  </si>
  <si>
    <t>QCOM</t>
  </si>
  <si>
    <t>"Intel Corporation"</t>
  </si>
  <si>
    <t>"Micron Technology, Inc."</t>
  </si>
  <si>
    <t>SWKS</t>
  </si>
  <si>
    <t>"Skyworks Solutions, Inc."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</si>
  <si>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</si>
  <si>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</si>
  <si>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</si>
  <si>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</si>
  <si>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</si>
  <si>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</si>
  <si>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</si>
  <si>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</si>
  <si>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</si>
  <si>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</si>
  <si>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</si>
  <si>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</si>
  <si>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</si>
  <si>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</si>
  <si>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</si>
  <si>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</si>
  <si>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</si>
  <si>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</si>
  <si>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</si>
  <si>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</si>
  <si>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</si>
  <si>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</si>
  <si>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</si>
  <si>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</si>
  <si>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</si>
  <si>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</si>
  <si>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</si>
  <si>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</si>
  <si>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</si>
  <si>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</si>
  <si>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</si>
  <si>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</si>
  <si>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</si>
  <si>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</si>
  <si>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</si>
  <si>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</si>
  <si>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</si>
  <si>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</si>
  <si>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</si>
  <si>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</si>
  <si>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</si>
  <si>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</si>
  <si>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</si>
  <si>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</si>
  <si>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</si>
  <si>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</si>
  <si>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</si>
  <si>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</si>
  <si>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</si>
  <si>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</si>
  <si>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</si>
  <si>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</si>
  <si>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</si>
  <si>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</si>
  <si>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</si>
  <si>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</si>
  <si>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</si>
  <si>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</si>
  <si>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</si>
  <si>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</si>
  <si>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</si>
  <si>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</si>
  <si>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</si>
  <si>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</si>
  <si>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</si>
  <si>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</si>
  <si>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</si>
  <si>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</si>
  <si>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</si>
  <si>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</si>
  <si>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</si>
  <si>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</si>
  <si>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</si>
  <si>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</si>
  <si>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</si>
  <si>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</si>
  <si>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</si>
  <si>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</si>
  <si>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</si>
  <si>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</si>
  <si>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</si>
  <si>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</si>
  <si>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</si>
  <si>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</si>
  <si>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</si>
  <si>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</si>
  <si>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</si>
  <si>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</si>
  <si>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</si>
  <si>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</si>
  <si>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</si>
  <si>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</si>
  <si>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</si>
  <si>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</si>
  <si>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</si>
  <si>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</si>
  <si>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</si>
  <si>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</si>
  <si>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</si>
  <si>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</si>
  <si>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</si>
  <si>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</si>
  <si>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</si>
  <si>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</si>
  <si>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</si>
  <si>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</si>
  <si>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</si>
  <si>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</si>
  <si>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</si>
  <si>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</si>
  <si>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</si>
  <si>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</si>
  <si>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</si>
  <si>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</si>
  <si>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</si>
  <si>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</si>
  <si>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</si>
  <si>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</si>
  <si>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</si>
  <si>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</si>
  <si>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</si>
  <si>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</si>
  <si>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</si>
  <si>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</si>
  <si>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</si>
  <si>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</si>
  <si>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</si>
  <si>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</si>
  <si>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</si>
  <si>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</si>
  <si>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</si>
  <si>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</si>
  <si>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</si>
  <si>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</si>
  <si>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</si>
  <si>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</si>
  <si>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</si>
  <si>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</si>
  <si>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</si>
  <si>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</si>
  <si>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</si>
  <si>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</si>
  <si>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</si>
  <si>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</si>
  <si>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</si>
  <si>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</si>
  <si>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</si>
  <si>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</si>
  <si>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</si>
  <si>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</si>
  <si>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</si>
  <si>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</si>
  <si>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</si>
  <si>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</si>
  <si>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</si>
  <si>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</si>
  <si>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</si>
  <si>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</si>
  <si>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</si>
  <si>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</si>
  <si>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</si>
  <si>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</si>
  <si>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</si>
  <si>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</si>
  <si>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</si>
  <si>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</si>
  <si>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</si>
  <si>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</si>
  <si>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</si>
  <si>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</si>
  <si>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</si>
  <si>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</si>
  <si>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</si>
  <si>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</si>
  <si>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</si>
  <si>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</si>
  <si>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</si>
  <si>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</si>
  <si>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</si>
  <si>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</si>
  <si>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</si>
  <si>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</si>
  <si>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</si>
  <si>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</si>
  <si>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</si>
  <si>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</si>
  <si>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</si>
  <si>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</si>
  <si>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</si>
  <si>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</si>
  <si>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</si>
  <si>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</si>
  <si>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</si>
  <si>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</si>
  <si>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</si>
  <si>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</si>
  <si>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</si>
  <si>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</si>
  <si>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</si>
  <si>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</si>
  <si>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</si>
  <si>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</si>
  <si>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</si>
  <si>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</si>
  <si>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</si>
  <si>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</si>
  <si>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</si>
  <si>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</si>
  <si>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</si>
  <si>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</si>
  <si>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</si>
  <si>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</si>
  <si>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</si>
  <si>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</si>
  <si>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</si>
  <si>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</si>
  <si>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</si>
  <si>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</si>
  <si>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</si>
  <si>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</si>
  <si>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</si>
  <si>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</si>
  <si>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</si>
  <si>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</si>
  <si>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</si>
  <si>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</si>
  <si>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</si>
  <si>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</si>
  <si>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</si>
  <si>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</si>
  <si>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</si>
  <si>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</si>
  <si>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</si>
  <si>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</si>
  <si>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</si>
  <si>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</si>
  <si>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</si>
  <si>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</si>
  <si>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</si>
  <si>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</si>
  <si>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BURBY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</si>
  <si>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</si>
  <si>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</si>
  <si>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</si>
  <si>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</si>
  <si>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</si>
  <si>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</si>
  <si>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</si>
  <si>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</si>
  <si>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</si>
  <si>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</si>
  <si>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</si>
  <si>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</si>
  <si>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</si>
  <si>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SEDG</t>
  </si>
  <si>
    <t>"SolarEdge Technologies, Inc."</t>
  </si>
  <si>
    <t>"Biogen Inc."</t>
  </si>
  <si>
    <t>"Mylan N.V."</t>
  </si>
  <si>
    <t>Metal</t>
  </si>
  <si>
    <t>ACH</t>
  </si>
  <si>
    <t>"Aluminum Corporation of China L"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</si>
  <si>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</si>
  <si>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</si>
  <si>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</si>
  <si>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</si>
  <si>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</si>
  <si>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</si>
  <si>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</si>
  <si>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"CSX Corporation"</t>
  </si>
  <si>
    <t>WDC</t>
  </si>
  <si>
    <t>"Broadcom Limited"</t>
  </si>
  <si>
    <t>"Western Digital Corporation"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</si>
  <si>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</si>
  <si>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</si>
  <si>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</si>
  <si>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</si>
  <si>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</si>
  <si>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</si>
  <si>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</si>
  <si>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</si>
  <si>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</si>
  <si>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</si>
  <si>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</si>
  <si>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</si>
  <si>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</si>
  <si>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</si>
  <si>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</si>
  <si>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</si>
  <si>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</si>
  <si>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</si>
  <si>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</si>
  <si>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</si>
  <si>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</si>
  <si>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</si>
  <si>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</si>
  <si>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</si>
  <si>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Application Software</t>
  </si>
  <si>
    <t>Technology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</si>
  <si>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</si>
  <si>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</si>
  <si>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</si>
  <si>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</si>
  <si>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</si>
  <si>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</si>
  <si>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</si>
  <si>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</si>
  <si>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</si>
  <si>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</si>
  <si>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</si>
  <si>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</si>
  <si>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</si>
  <si>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</si>
  <si>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</si>
  <si>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</si>
  <si>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</si>
  <si>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</si>
  <si>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</si>
  <si>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</si>
  <si>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</si>
  <si>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</si>
  <si>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</si>
  <si>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</si>
  <si>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</si>
  <si>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</si>
  <si>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</si>
  <si>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</si>
  <si>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</si>
  <si>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</si>
  <si>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</si>
  <si>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</si>
  <si>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</si>
  <si>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</si>
  <si>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</si>
  <si>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"CMS Energy Corporation Common S"</t>
  </si>
  <si>
    <t>"SCANA Corporation Common Stock"</t>
  </si>
  <si>
    <t>"Pinnacle West Capital Corporati"</t>
  </si>
  <si>
    <t>"The AES Corporation Common Stoc"</t>
  </si>
  <si>
    <t>"NiSource Inc Common Stock"</t>
  </si>
  <si>
    <t>UAN</t>
  </si>
  <si>
    <t>IPI</t>
  </si>
  <si>
    <t>ICL</t>
  </si>
  <si>
    <t>TNH</t>
  </si>
  <si>
    <t>"CVR Partners, LP Common Units r"</t>
  </si>
  <si>
    <t>"Intrepid Potash, Inc Common Sto"</t>
  </si>
  <si>
    <t>"Israel Chemicals Limited Ordina"</t>
  </si>
  <si>
    <t>"Terra Nitrogen Company, L.P. Co"</t>
  </si>
  <si>
    <t>VALE</t>
  </si>
  <si>
    <t>"VALE S.A.  American Depositary "</t>
  </si>
  <si>
    <t>KALU</t>
  </si>
  <si>
    <t>"Kaiser Aluminum Corporation"</t>
  </si>
  <si>
    <t>AAPL</t>
  </si>
  <si>
    <t>ADI</t>
  </si>
  <si>
    <t>TXN</t>
  </si>
  <si>
    <t>QRVO</t>
  </si>
  <si>
    <t>"Apple Inc."</t>
  </si>
  <si>
    <t>"Analog Devices, Inc."</t>
  </si>
  <si>
    <t>"Texas Instruments Incorporated"</t>
  </si>
  <si>
    <t>"Qorvo, Inc."</t>
  </si>
  <si>
    <t>Electronics</t>
  </si>
  <si>
    <t>V</t>
  </si>
  <si>
    <t>MA</t>
  </si>
  <si>
    <t>AXP</t>
  </si>
  <si>
    <t>"Visa Inc."</t>
  </si>
  <si>
    <t>"Mastercard Incorporated Common "</t>
  </si>
  <si>
    <t>"American Express Company Common"</t>
  </si>
  <si>
    <t>DFS</t>
  </si>
  <si>
    <t>"Discover Financial Services Com"</t>
  </si>
  <si>
    <t>F</t>
  </si>
  <si>
    <t>3.11B</t>
  </si>
  <si>
    <t>"Ford Motor Company Common Stock"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</si>
  <si>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</si>
  <si>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</si>
  <si>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</si>
  <si>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</si>
  <si>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</si>
  <si>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</si>
  <si>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</si>
  <si>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</si>
  <si>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"Target Corporation Common Stock"</t>
  </si>
  <si>
    <t>"Kroger Company (The) Common Sto"</t>
  </si>
  <si>
    <t>"Whole Foods Market, Inc."</t>
  </si>
  <si>
    <t>"Dollar General Corporation Comm"</t>
  </si>
  <si>
    <t>"Dollar Tree, Inc."</t>
  </si>
  <si>
    <t>"Costco Wholesale Corporation"</t>
  </si>
  <si>
    <t>VarietyStores</t>
  </si>
  <si>
    <t>NKE</t>
  </si>
  <si>
    <t>UA</t>
  </si>
  <si>
    <t>FOSL</t>
  </si>
  <si>
    <t>FINL</t>
  </si>
  <si>
    <t>"Nike, Inc. Common Stock"</t>
  </si>
  <si>
    <t>"Fossil Group, Inc."</t>
  </si>
  <si>
    <t>"The Finish Line, Inc."</t>
  </si>
  <si>
    <t>SIG</t>
  </si>
  <si>
    <t>"Signet Jewelers Limited Common "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</si>
  <si>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</si>
  <si>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</si>
  <si>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</si>
  <si>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</si>
  <si>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</si>
  <si>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</si>
  <si>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</si>
  <si>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</si>
  <si>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DEPO</t>
  </si>
  <si>
    <t>"Depomed, Inc."</t>
  </si>
  <si>
    <t>TEVA</t>
  </si>
  <si>
    <t>PRGO</t>
  </si>
  <si>
    <t>"Teva Pharmaceutical Industries "</t>
  </si>
  <si>
    <t>"Perrigo Company plc Ordinary Sh"</t>
  </si>
  <si>
    <t>ENDP</t>
  </si>
  <si>
    <t>MCD</t>
  </si>
  <si>
    <t>CMG</t>
  </si>
  <si>
    <t>JACK</t>
  </si>
  <si>
    <t>YUM</t>
  </si>
  <si>
    <t>WEN</t>
  </si>
  <si>
    <t>SONC</t>
  </si>
  <si>
    <t>PZZA</t>
  </si>
  <si>
    <t>"McDonald's Corporation Common S"</t>
  </si>
  <si>
    <t>"Chipotle Mexican Grill, Inc. Co"</t>
  </si>
  <si>
    <t>"Jack In The Box Inc."</t>
  </si>
  <si>
    <t>"Yum! Brands, Inc."</t>
  </si>
  <si>
    <t>"Wendy's Company (The)"</t>
  </si>
  <si>
    <t>"Sonic Corp."</t>
  </si>
  <si>
    <t>"Papa John's International, Inc."</t>
  </si>
  <si>
    <t>FastFood</t>
  </si>
  <si>
    <t>SAVE</t>
  </si>
  <si>
    <t>"Spirit Airlines, Inc."</t>
  </si>
  <si>
    <t>JETS</t>
  </si>
  <si>
    <t>"U.S. Global Jets ETF"</t>
  </si>
  <si>
    <t>CEA</t>
  </si>
  <si>
    <t>"China Eastern Airlines Corporat"</t>
  </si>
  <si>
    <t>ATI</t>
  </si>
  <si>
    <t>MLM</t>
  </si>
  <si>
    <t>SUM</t>
  </si>
  <si>
    <t>VMC</t>
  </si>
  <si>
    <t>"Allegheny Technologies Incorpor"</t>
  </si>
  <si>
    <t>"Martin Marietta Materials, Inc."</t>
  </si>
  <si>
    <t>"Summit Materials, Inc. Class A "</t>
  </si>
  <si>
    <t>"Vulcan Materials Company (Holdi"</t>
  </si>
  <si>
    <t>IR</t>
  </si>
  <si>
    <t>WM</t>
  </si>
  <si>
    <t>RSG</t>
  </si>
  <si>
    <t>SRCL</t>
  </si>
  <si>
    <t>WCN</t>
  </si>
  <si>
    <t>"Waste Management, Inc. Common S"</t>
  </si>
  <si>
    <t>"Republic Services, Inc. Common "</t>
  </si>
  <si>
    <t>"Stericycle, Inc."</t>
  </si>
  <si>
    <t>"Waste Connections, Inc. Common "</t>
  </si>
  <si>
    <t>WasteMgt</t>
  </si>
  <si>
    <t>SEE</t>
  </si>
  <si>
    <t>WRK</t>
  </si>
  <si>
    <t>"Sealed Air Corporation Common S"</t>
  </si>
  <si>
    <t>"Westrock Company Common Stock"</t>
  </si>
  <si>
    <t>Target</t>
  </si>
  <si>
    <t>HA</t>
  </si>
  <si>
    <t>"Hawaiian Holdings, Inc."</t>
  </si>
  <si>
    <t>TCK</t>
  </si>
  <si>
    <t>"Teck Resources Ltd Ordinary Sha"</t>
  </si>
  <si>
    <t>OCI.AS</t>
  </si>
  <si>
    <t>"OCI"</t>
  </si>
  <si>
    <t>Buy?</t>
  </si>
  <si>
    <t>FL</t>
  </si>
  <si>
    <t>LULU</t>
  </si>
  <si>
    <t>"Foot Locker, Inc."</t>
  </si>
  <si>
    <t>"lululemon athletica inc."</t>
  </si>
  <si>
    <t>HRS</t>
  </si>
  <si>
    <t>CAE</t>
  </si>
  <si>
    <t>TDY</t>
  </si>
  <si>
    <t>"Harris Corporation Common Stock"</t>
  </si>
  <si>
    <t>"CAE Inc. Ordinary Shares"</t>
  </si>
  <si>
    <t>3.88B</t>
  </si>
  <si>
    <t>"Teledyne Technologies Incorpora"</t>
  </si>
  <si>
    <t>3.79B</t>
  </si>
  <si>
    <t>3.78B</t>
  </si>
  <si>
    <t>13.99B</t>
  </si>
  <si>
    <t>68.55B</t>
  </si>
  <si>
    <t>93.36B</t>
  </si>
  <si>
    <t>E_P</t>
  </si>
  <si>
    <t>PLKI</t>
  </si>
  <si>
    <t>"Popeyes Louisiana Kitchen, Inc."</t>
  </si>
  <si>
    <t>BWLD</t>
  </si>
  <si>
    <t>"Buffalo Wild Wings, Inc."</t>
  </si>
  <si>
    <t>HSY</t>
  </si>
  <si>
    <t>"The Hershey Company Common Stoc"</t>
  </si>
  <si>
    <t>STX</t>
  </si>
  <si>
    <t>170.69B</t>
  </si>
  <si>
    <t>15.12B</t>
  </si>
  <si>
    <t>17.34B</t>
  </si>
  <si>
    <t>"Seagate Technology PLC"</t>
  </si>
  <si>
    <t>10.13B</t>
  </si>
  <si>
    <t>13.35B</t>
  </si>
  <si>
    <t>AMAT</t>
  </si>
  <si>
    <t>FCAU</t>
  </si>
  <si>
    <t>TSLA</t>
  </si>
  <si>
    <t>"Fiat Chrysler Automobiles N.V. "</t>
  </si>
  <si>
    <t>"Tesla Motors, Inc."</t>
  </si>
  <si>
    <t>Auto</t>
  </si>
  <si>
    <t>PNR</t>
  </si>
  <si>
    <t>XYL</t>
  </si>
  <si>
    <t>TYC</t>
  </si>
  <si>
    <t>ROP</t>
  </si>
  <si>
    <t>PWR</t>
  </si>
  <si>
    <t>JEC</t>
  </si>
  <si>
    <t>PH</t>
  </si>
  <si>
    <t>R</t>
  </si>
  <si>
    <t>LEG</t>
  </si>
  <si>
    <t>ROK</t>
  </si>
  <si>
    <t>"Ingersoll-Rand plc (Ireland)"</t>
  </si>
  <si>
    <t>"Pentair plc. Ordinary Share"</t>
  </si>
  <si>
    <t>"Xylem Inc. Common Stock New"</t>
  </si>
  <si>
    <t>"Tyco International plc (Ireland"</t>
  </si>
  <si>
    <t>"Roper Technologies, Inc. Common"</t>
  </si>
  <si>
    <t>"Quanta Services, Inc. Common St"</t>
  </si>
  <si>
    <t>3.95B</t>
  </si>
  <si>
    <t>"Jacobs Engineering Group Inc. C"</t>
  </si>
  <si>
    <t>"Parker-Hannifin Corporation Com"</t>
  </si>
  <si>
    <t>"Ryder System, Inc. Common Stock"</t>
  </si>
  <si>
    <t>"Leggett &amp; Platt, Incorporated C"</t>
  </si>
  <si>
    <t>"Rockwell Automation, Inc. Commo"</t>
  </si>
  <si>
    <t>"D/B/A Chubb Limited New Common "</t>
  </si>
  <si>
    <t>"XL Group Ltd."</t>
  </si>
  <si>
    <t>MCHP</t>
  </si>
  <si>
    <t>NVDA</t>
  </si>
  <si>
    <t>"Applied Materials, Inc."</t>
  </si>
  <si>
    <t>32.45B</t>
  </si>
  <si>
    <t>"Microchip Technology Incorporat"</t>
  </si>
  <si>
    <t>13.50B</t>
  </si>
  <si>
    <t>"NVIDIA Corporation"</t>
  </si>
  <si>
    <t>33.45B</t>
  </si>
  <si>
    <t>3.91B</t>
  </si>
  <si>
    <t>2.94B</t>
  </si>
  <si>
    <t>1.85B</t>
  </si>
  <si>
    <t>1.42B</t>
  </si>
  <si>
    <t>708.35M</t>
  </si>
  <si>
    <t>"SunEdison, Inc."</t>
  </si>
  <si>
    <t>13.36B</t>
  </si>
  <si>
    <t>170.06B</t>
  </si>
  <si>
    <t>28.91B</t>
  </si>
  <si>
    <t>51.44B</t>
  </si>
  <si>
    <t>51.61B</t>
  </si>
  <si>
    <t>41.19B</t>
  </si>
  <si>
    <t>8.44B</t>
  </si>
  <si>
    <t>8.91B</t>
  </si>
  <si>
    <t>547.67B</t>
  </si>
  <si>
    <t>363.29B</t>
  </si>
  <si>
    <t>9.67B</t>
  </si>
  <si>
    <t>"AGL Resources, Inc."</t>
  </si>
  <si>
    <t>"TECO Energy, Inc."</t>
  </si>
  <si>
    <t>LEN</t>
  </si>
  <si>
    <t>DHI</t>
  </si>
  <si>
    <t>TOL</t>
  </si>
  <si>
    <t>PHM</t>
  </si>
  <si>
    <t>KBH</t>
  </si>
  <si>
    <t>"Lennar Corporation Class A Comm"</t>
  </si>
  <si>
    <t>"D.R. Horton, Inc. Common Stock"</t>
  </si>
  <si>
    <t>"Toll Brothers Inc. Common Stock"</t>
  </si>
  <si>
    <t>"PulteGroup, Inc. Common Stock"</t>
  </si>
  <si>
    <t>"KB Home Common Stock"</t>
  </si>
  <si>
    <t>Builder</t>
  </si>
  <si>
    <t>Advertisers</t>
  </si>
  <si>
    <t>IPG</t>
  </si>
  <si>
    <t>OMC</t>
  </si>
  <si>
    <t>WPPGY</t>
  </si>
  <si>
    <t>PUBGY</t>
  </si>
  <si>
    <t>"Interpublic Group of Companies,"</t>
  </si>
  <si>
    <t>"Omnicom Group Inc. Common Stock"</t>
  </si>
  <si>
    <t>AVY</t>
  </si>
  <si>
    <t>"Avery Dennison Corporation Comm"</t>
  </si>
  <si>
    <t>ATVI</t>
  </si>
  <si>
    <t>EA</t>
  </si>
  <si>
    <t>TTWO</t>
  </si>
  <si>
    <t>NTDOF</t>
  </si>
  <si>
    <t>SNE</t>
  </si>
  <si>
    <t>GME</t>
  </si>
  <si>
    <t>Game</t>
  </si>
  <si>
    <t>"Activision Blizzard, Inc"</t>
  </si>
  <si>
    <t>"Electronic Arts Inc."</t>
  </si>
  <si>
    <t>"Take-Two Interactive Software, "</t>
  </si>
  <si>
    <t>"Gamestop Corporation Common Sto"</t>
  </si>
  <si>
    <t>"Sony Corporation Common Stock"</t>
  </si>
  <si>
    <t>AAP</t>
  </si>
  <si>
    <t>"Advance Auto Parts Inc Advance "</t>
  </si>
  <si>
    <t>IndustryCongl.</t>
  </si>
  <si>
    <t>AZO</t>
  </si>
  <si>
    <t>"AutoZone, Inc. Common Stock"</t>
  </si>
  <si>
    <t>CCL</t>
  </si>
  <si>
    <t>RCL</t>
  </si>
  <si>
    <t>NCLH</t>
  </si>
  <si>
    <t>"Carnival Corporation Common Sto"</t>
  </si>
  <si>
    <t>"Royal Caribbean Cruises Ltd. Co"</t>
  </si>
  <si>
    <t>"Norwegian Cruise Line Holdings "</t>
  </si>
  <si>
    <t>LIND</t>
  </si>
  <si>
    <t>"Lindblad Expeditions Holdings I"</t>
  </si>
  <si>
    <t>Cruise</t>
  </si>
  <si>
    <t>TDG</t>
  </si>
  <si>
    <t>"Transdigm Group Incorporated Tr"</t>
  </si>
  <si>
    <t>AJG</t>
  </si>
  <si>
    <t>"Arthur J. Gallagher &amp; Co. Commo"</t>
  </si>
  <si>
    <t>LNT</t>
  </si>
  <si>
    <t>"Alliant Energy Corporation Comm"</t>
  </si>
  <si>
    <t>REGN</t>
  </si>
  <si>
    <t>"Regeneron Pharmaceuticals, Inc."</t>
  </si>
  <si>
    <t>STI</t>
  </si>
  <si>
    <t>"SunTrust Banks, Inc. Common Sto"</t>
  </si>
  <si>
    <t>ALK</t>
  </si>
  <si>
    <t>"Alaska Air Group, Inc. Common S"</t>
  </si>
  <si>
    <t>LDOS</t>
  </si>
  <si>
    <t>"Leidos Holdings, Inc. Common St"</t>
  </si>
  <si>
    <t>PG</t>
  </si>
  <si>
    <t>NWL</t>
  </si>
  <si>
    <t>CLX</t>
  </si>
  <si>
    <t>CL</t>
  </si>
  <si>
    <t>JNJ</t>
  </si>
  <si>
    <t>KMB</t>
  </si>
  <si>
    <t>"Procter &amp; Gamble Company (The) "</t>
  </si>
  <si>
    <t>"Newell Brands Inc. Common Stock"</t>
  </si>
  <si>
    <t>"Clorox Company (The) Common Sto"</t>
  </si>
  <si>
    <t>"Colgate-Palmolive Company Commo"</t>
  </si>
  <si>
    <t>"Johnson &amp; Johnson Common Stock"</t>
  </si>
  <si>
    <t>"Kimberly-Clark Corporation Comm"</t>
  </si>
  <si>
    <t>HomeProducts</t>
  </si>
  <si>
    <t>ETFC</t>
  </si>
  <si>
    <t>IBKR</t>
  </si>
  <si>
    <t>SCHW</t>
  </si>
  <si>
    <t>AMTD</t>
  </si>
  <si>
    <t>KCG</t>
  </si>
  <si>
    <t>"E*TRADE Financial Corporation"</t>
  </si>
  <si>
    <t>"Interactive Brokers Group, Inc."</t>
  </si>
  <si>
    <t>2.38B</t>
  </si>
  <si>
    <t>"Charles Schwab Corporation (The"</t>
  </si>
  <si>
    <t>"TD Ameritrade Holding Corporati"</t>
  </si>
  <si>
    <t>"KCG Holdings, Inc. Class A Comm"</t>
  </si>
  <si>
    <t>Brokers</t>
  </si>
  <si>
    <t>SFM</t>
  </si>
  <si>
    <t>"Sprouts Farmers Market, Inc."</t>
  </si>
  <si>
    <t>12.14B</t>
  </si>
  <si>
    <t>32.48B</t>
  </si>
  <si>
    <t>8.59B</t>
  </si>
  <si>
    <t>13.52B</t>
  </si>
  <si>
    <t>11.95B</t>
  </si>
  <si>
    <t>10.03B</t>
  </si>
  <si>
    <t>541.45M</t>
  </si>
  <si>
    <t>47.18B</t>
  </si>
  <si>
    <t>16.96B</t>
  </si>
  <si>
    <t>55.49B</t>
  </si>
  <si>
    <t>23.14B</t>
  </si>
  <si>
    <t>24.04B</t>
  </si>
  <si>
    <t>17.41B</t>
  </si>
  <si>
    <t>14.37B</t>
  </si>
  <si>
    <t>31.89B</t>
  </si>
  <si>
    <t>14.09B</t>
  </si>
  <si>
    <t>8.86B</t>
  </si>
  <si>
    <t>57.77B</t>
  </si>
  <si>
    <t>7.85B</t>
  </si>
  <si>
    <t>31.36B</t>
  </si>
  <si>
    <t>21.44B</t>
  </si>
  <si>
    <t>8.55B</t>
  </si>
  <si>
    <t>23.54B</t>
  </si>
  <si>
    <t>10.38B</t>
  </si>
  <si>
    <t>49.17B</t>
  </si>
  <si>
    <t>26.52B</t>
  </si>
  <si>
    <t>4.87B</t>
  </si>
  <si>
    <t>19.29B</t>
  </si>
  <si>
    <t>21.53B</t>
  </si>
  <si>
    <t>3.71B</t>
  </si>
  <si>
    <t>1.24B</t>
  </si>
  <si>
    <t>CAA</t>
  </si>
  <si>
    <t>"CalAtlantic Group, Inc. Common "</t>
  </si>
  <si>
    <t>"PUBLICIS GROUPE SA ADR EACH REP"</t>
  </si>
  <si>
    <t>79.04B</t>
  </si>
  <si>
    <t>10.53B</t>
  </si>
  <si>
    <t>3.66B</t>
  </si>
  <si>
    <t>9.77B</t>
  </si>
  <si>
    <t>1.29B</t>
  </si>
  <si>
    <t>48.37B</t>
  </si>
  <si>
    <t>48.12B</t>
  </si>
  <si>
    <t>1.49B</t>
  </si>
  <si>
    <t>148.75B</t>
  </si>
  <si>
    <t>45.90B</t>
  </si>
  <si>
    <t>37.68B</t>
  </si>
  <si>
    <t>40.36B</t>
  </si>
  <si>
    <t>71.92B</t>
  </si>
  <si>
    <t>11.10B</t>
  </si>
  <si>
    <t>3.02B</t>
  </si>
  <si>
    <t>3.60B</t>
  </si>
  <si>
    <t>1.45B</t>
  </si>
  <si>
    <t>14.26B</t>
  </si>
  <si>
    <t>619.24B</t>
  </si>
  <si>
    <t>68.04B</t>
  </si>
  <si>
    <t>19.08B</t>
  </si>
  <si>
    <t>69.58B</t>
  </si>
  <si>
    <t>7.13B</t>
  </si>
  <si>
    <t>92.83B</t>
  </si>
  <si>
    <t>29.36B</t>
  </si>
  <si>
    <t>5.64B</t>
  </si>
  <si>
    <t>11.30B</t>
  </si>
  <si>
    <t>49.38B</t>
  </si>
  <si>
    <t>21.46B</t>
  </si>
  <si>
    <t>50.09B</t>
  </si>
  <si>
    <t>14.56B</t>
  </si>
  <si>
    <t>12.06B</t>
  </si>
  <si>
    <t>4.51B</t>
  </si>
  <si>
    <t>14.53B</t>
  </si>
  <si>
    <t>54.26B</t>
  </si>
  <si>
    <t>30.04B</t>
  </si>
  <si>
    <t>6.23B</t>
  </si>
  <si>
    <t>5.30B</t>
  </si>
  <si>
    <t>3.09B</t>
  </si>
  <si>
    <t>8.08B</t>
  </si>
  <si>
    <t>8.23B</t>
  </si>
  <si>
    <t>"BURBERRY GROUP UNSP ADR EACH RE"</t>
  </si>
  <si>
    <t>7.55B</t>
  </si>
  <si>
    <t>5.88B</t>
  </si>
  <si>
    <t>98.38B</t>
  </si>
  <si>
    <t>11.92B</t>
  </si>
  <si>
    <t>3.25B</t>
  </si>
  <si>
    <t>34.33B</t>
  </si>
  <si>
    <t>2.83B</t>
  </si>
  <si>
    <t>2.87B</t>
  </si>
  <si>
    <t>1.15B</t>
  </si>
  <si>
    <t>2.84B</t>
  </si>
  <si>
    <t>162.90B</t>
  </si>
  <si>
    <t>42.77B</t>
  </si>
  <si>
    <t>60.19B</t>
  </si>
  <si>
    <t>134.84B</t>
  </si>
  <si>
    <t>35.93B</t>
  </si>
  <si>
    <t>27.25B</t>
  </si>
  <si>
    <t>18.29B</t>
  </si>
  <si>
    <t>70.78B</t>
  </si>
  <si>
    <t>237.71B</t>
  </si>
  <si>
    <t>21.91B</t>
  </si>
  <si>
    <t>60.39B</t>
  </si>
  <si>
    <t>51.04B</t>
  </si>
  <si>
    <t>72.91B</t>
  </si>
  <si>
    <t>229.22B</t>
  </si>
  <si>
    <t>193.68B</t>
  </si>
  <si>
    <t>109.07B</t>
  </si>
  <si>
    <t>58.81B</t>
  </si>
  <si>
    <t>23.04B</t>
  </si>
  <si>
    <t>24.45B</t>
  </si>
  <si>
    <t>18.97B</t>
  </si>
  <si>
    <t>17.06B</t>
  </si>
  <si>
    <t>38.92B</t>
  </si>
  <si>
    <t>27.33B</t>
  </si>
  <si>
    <t>108.30B</t>
  </si>
  <si>
    <t>66.75B</t>
  </si>
  <si>
    <t>20.36B</t>
  </si>
  <si>
    <t>14.17B</t>
  </si>
  <si>
    <t>32.94B</t>
  </si>
  <si>
    <t>24.93B</t>
  </si>
  <si>
    <t>"NINTENDO CO LTD NPV"</t>
  </si>
  <si>
    <t>31.53B</t>
  </si>
  <si>
    <t>2.82B</t>
  </si>
  <si>
    <t>40.11B</t>
  </si>
  <si>
    <t>234.98B</t>
  </si>
  <si>
    <t>24.59B</t>
  </si>
  <si>
    <t>15.89B</t>
  </si>
  <si>
    <t>64.15B</t>
  </si>
  <si>
    <t>323.52B</t>
  </si>
  <si>
    <t>43.81B</t>
  </si>
  <si>
    <t>32.88B</t>
  </si>
  <si>
    <t>265.97B</t>
  </si>
  <si>
    <t>105.81B</t>
  </si>
  <si>
    <t>2.52B</t>
  </si>
  <si>
    <t>3.63B</t>
  </si>
  <si>
    <t>83.78B</t>
  </si>
  <si>
    <t>86.94B</t>
  </si>
  <si>
    <t>47.94B</t>
  </si>
  <si>
    <t>16.33B</t>
  </si>
  <si>
    <t>10.76B</t>
  </si>
  <si>
    <t>8.95B</t>
  </si>
  <si>
    <t>17.96B</t>
  </si>
  <si>
    <t>3.77B</t>
  </si>
  <si>
    <t>17.23B</t>
  </si>
  <si>
    <t>6.03B</t>
  </si>
  <si>
    <t>16.27B</t>
  </si>
  <si>
    <t>3.54B</t>
  </si>
  <si>
    <t>6.49B</t>
  </si>
  <si>
    <t>14.74B</t>
  </si>
  <si>
    <t>5.29B</t>
  </si>
  <si>
    <t>25.04B</t>
  </si>
  <si>
    <t>58.00B</t>
  </si>
  <si>
    <t>12.30B</t>
  </si>
  <si>
    <t>16.13B</t>
  </si>
  <si>
    <t>18.12B</t>
  </si>
  <si>
    <t>34.71B</t>
  </si>
  <si>
    <t>33.06B</t>
  </si>
  <si>
    <t>9.20B</t>
  </si>
  <si>
    <t>61.99B</t>
  </si>
  <si>
    <t>8.79B</t>
  </si>
  <si>
    <t>23.03B</t>
  </si>
  <si>
    <t>158.99B</t>
  </si>
  <si>
    <t>10.18B</t>
  </si>
  <si>
    <t>44.51B</t>
  </si>
  <si>
    <t>7.91B</t>
  </si>
  <si>
    <t>14.68B</t>
  </si>
  <si>
    <t>12.42B</t>
  </si>
  <si>
    <t>13.20B</t>
  </si>
  <si>
    <t>2.33B</t>
  </si>
  <si>
    <t>515.48M</t>
  </si>
  <si>
    <t>5.73B</t>
  </si>
  <si>
    <t>5.38B</t>
  </si>
  <si>
    <t>1.72B</t>
  </si>
  <si>
    <t>11.03B</t>
  </si>
  <si>
    <t>1.37B</t>
  </si>
  <si>
    <t>14.42B</t>
  </si>
  <si>
    <t>20.23B</t>
  </si>
  <si>
    <t>4.44B</t>
  </si>
  <si>
    <t>7.48B</t>
  </si>
  <si>
    <t>1.78B</t>
  </si>
  <si>
    <t>9.02B</t>
  </si>
  <si>
    <t>11.87B</t>
  </si>
  <si>
    <t>6.79B</t>
  </si>
  <si>
    <t>48.36B</t>
  </si>
  <si>
    <t>21.71B</t>
  </si>
  <si>
    <t>27.75B</t>
  </si>
  <si>
    <t>9.83B</t>
  </si>
  <si>
    <t>26.82B</t>
  </si>
  <si>
    <t>76.94B</t>
  </si>
  <si>
    <t>225.41B</t>
  </si>
  <si>
    <t>39.79B</t>
  </si>
  <si>
    <t>29.34B</t>
  </si>
  <si>
    <t>9.05B</t>
  </si>
  <si>
    <t>20.26B</t>
  </si>
  <si>
    <t>19.12B</t>
  </si>
  <si>
    <t>2.98B</t>
  </si>
  <si>
    <t>66.74B</t>
  </si>
  <si>
    <t>27.78B</t>
  </si>
  <si>
    <t>6.91B</t>
  </si>
  <si>
    <t>13.19B</t>
  </si>
  <si>
    <t>35.64B</t>
  </si>
  <si>
    <t>149.24B</t>
  </si>
  <si>
    <t>412.98M</t>
  </si>
  <si>
    <t>8.56B</t>
  </si>
  <si>
    <t>31.57B</t>
  </si>
  <si>
    <t>4.54B</t>
  </si>
  <si>
    <t>30.72B</t>
  </si>
  <si>
    <t>14.07B</t>
  </si>
  <si>
    <t>3.53B</t>
  </si>
  <si>
    <t>21.18B</t>
  </si>
  <si>
    <t>56.51B</t>
  </si>
  <si>
    <t>10.00B</t>
  </si>
  <si>
    <t>55.14B</t>
  </si>
  <si>
    <t>CHTR</t>
  </si>
  <si>
    <t>4.88B</t>
  </si>
  <si>
    <t>14.98B</t>
  </si>
  <si>
    <t>249.83B</t>
  </si>
  <si>
    <t>"Charter Communications, Inc."</t>
  </si>
  <si>
    <t>73.14B</t>
  </si>
  <si>
    <t>211.89B</t>
  </si>
  <si>
    <t>LKQ</t>
  </si>
  <si>
    <t>"LKQ Corporation"</t>
  </si>
  <si>
    <t>TMO</t>
  </si>
  <si>
    <t>DGX</t>
  </si>
  <si>
    <t>PDCO</t>
  </si>
  <si>
    <t>HSIC</t>
  </si>
  <si>
    <t>17.37B</t>
  </si>
  <si>
    <t>23.38B</t>
  </si>
  <si>
    <t>33.07B</t>
  </si>
  <si>
    <t>44.69B</t>
  </si>
  <si>
    <t>85.45B</t>
  </si>
  <si>
    <t>784.92M</t>
  </si>
  <si>
    <t>152.40B</t>
  </si>
  <si>
    <t>1.57B</t>
  </si>
  <si>
    <t>"Thermo Fisher Scientific Inc Co"</t>
  </si>
  <si>
    <t>57.44B</t>
  </si>
  <si>
    <t>"Quest Diagnostics Incorporated "</t>
  </si>
  <si>
    <t>12.64B</t>
  </si>
  <si>
    <t>"Patterson Companies, Inc."</t>
  </si>
  <si>
    <t>3.85B</t>
  </si>
  <si>
    <t>"Henry Schein, Inc."</t>
  </si>
  <si>
    <t>12.25B</t>
  </si>
  <si>
    <t>9.49B</t>
  </si>
  <si>
    <t>20.49B</t>
  </si>
  <si>
    <t>"WPP plc - American Depositary S"</t>
  </si>
  <si>
    <t>96.58B</t>
  </si>
  <si>
    <t>13.08B</t>
  </si>
  <si>
    <t>2.75B</t>
  </si>
  <si>
    <t>12.29B</t>
  </si>
  <si>
    <t>4.32B</t>
  </si>
  <si>
    <t>5.49B</t>
  </si>
  <si>
    <t>13.31B</t>
  </si>
  <si>
    <t>11.00B</t>
  </si>
  <si>
    <t>198.97M</t>
  </si>
  <si>
    <t>15.11B</t>
  </si>
  <si>
    <t>16.58B</t>
  </si>
  <si>
    <t>2.00B</t>
  </si>
  <si>
    <t>45.25B</t>
  </si>
  <si>
    <t>2960.50B</t>
  </si>
  <si>
    <t>36.97B</t>
  </si>
  <si>
    <t>45.81B</t>
  </si>
  <si>
    <t>5.40B</t>
  </si>
  <si>
    <t>7.21B</t>
  </si>
  <si>
    <t>649.11M</t>
  </si>
  <si>
    <t>25.72B</t>
  </si>
  <si>
    <t>38.32B</t>
  </si>
  <si>
    <t>23.85B</t>
  </si>
  <si>
    <t>30.65B</t>
  </si>
  <si>
    <t>7.09B</t>
  </si>
  <si>
    <t>4.09B</t>
  </si>
  <si>
    <t>6.67B</t>
  </si>
  <si>
    <t>11.07B</t>
  </si>
  <si>
    <t>3.03B</t>
  </si>
  <si>
    <t>86.14B</t>
  </si>
  <si>
    <t>"Under Armour, Inc. Class C Comm"</t>
  </si>
  <si>
    <t>12.62B</t>
  </si>
  <si>
    <t>10.82B</t>
  </si>
  <si>
    <t>1.62B</t>
  </si>
  <si>
    <t>983.22M</t>
  </si>
  <si>
    <t>10.47B</t>
  </si>
  <si>
    <t>9.50B</t>
  </si>
  <si>
    <t>57.41B</t>
  </si>
  <si>
    <t>10.84B</t>
  </si>
  <si>
    <t>28.81B</t>
  </si>
  <si>
    <t>12.93B</t>
  </si>
  <si>
    <t>23.02B</t>
  </si>
  <si>
    <t>10.54B</t>
  </si>
  <si>
    <t>52.33B</t>
  </si>
  <si>
    <t>100.01B</t>
  </si>
  <si>
    <t>57.71B</t>
  </si>
  <si>
    <t>72.11B</t>
  </si>
  <si>
    <t>29.61B</t>
  </si>
  <si>
    <t>106.72B</t>
  </si>
  <si>
    <t>62.61B</t>
  </si>
  <si>
    <t>2.59B</t>
  </si>
  <si>
    <t>87.96B</t>
  </si>
  <si>
    <t>95.78B</t>
  </si>
  <si>
    <t>71.76B</t>
  </si>
  <si>
    <t>39.08B</t>
  </si>
  <si>
    <t>168.82B</t>
  </si>
  <si>
    <t>"OncoSec Medical Incorporated"</t>
  </si>
  <si>
    <t>27.59M</t>
  </si>
  <si>
    <t>192.37B</t>
  </si>
  <si>
    <t>95.33B</t>
  </si>
  <si>
    <t>19.54B</t>
  </si>
  <si>
    <t>36.84B</t>
  </si>
  <si>
    <t>11.83B</t>
  </si>
  <si>
    <t>"Endo International plc - Ordina"</t>
  </si>
  <si>
    <t>3.49B</t>
  </si>
  <si>
    <t>9.78B</t>
  </si>
  <si>
    <t>2.69B</t>
  </si>
  <si>
    <t>52.13B</t>
  </si>
  <si>
    <t>22.81B</t>
  </si>
  <si>
    <t>1.19B</t>
  </si>
  <si>
    <t>10.21B</t>
  </si>
  <si>
    <t>5.27B</t>
  </si>
  <si>
    <t>6.48B</t>
  </si>
  <si>
    <t>1.46B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</si>
</sst>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4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  <font>
      <sz val="12"/>
      <name val="Calibri"/>
      <family val="2"/>
    </font>
    <font>
      <sz val="12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theme="8" tint="0.59999389629810485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19" fillId="0" borderId="0" xfId="0" applyFont="1"/>
    <xf numFmtId="0" fontId="1" fillId="5" borderId="0" xfId="0" applyFont="1" applyFill="1"/>
    <xf numFmtId="0" fontId="3" fillId="7" borderId="0" xfId="0" applyFont="1" applyFill="1"/>
    <xf numFmtId="0" fontId="3" fillId="7" borderId="0" xfId="0" applyFont="1" applyFill="1" applyAlignment="1">
      <alignment horizontal="right"/>
    </xf>
    <xf numFmtId="2" fontId="3" fillId="7" borderId="0" xfId="0" applyNumberFormat="1" applyFont="1" applyFill="1" applyAlignment="1">
      <alignment horizontal="right"/>
    </xf>
    <xf numFmtId="10" fontId="3" fillId="7" borderId="0" xfId="0" applyNumberFormat="1" applyFont="1" applyFill="1" applyAlignment="1">
      <alignment horizontal="right"/>
    </xf>
    <xf numFmtId="0" fontId="3" fillId="7" borderId="0" xfId="0" applyNumberFormat="1" applyFont="1" applyFill="1"/>
    <xf numFmtId="0" fontId="13" fillId="7" borderId="0" xfId="0" applyFont="1" applyFill="1"/>
    <xf numFmtId="0" fontId="19" fillId="7" borderId="0" xfId="0" applyFont="1" applyFill="1"/>
    <xf numFmtId="0" fontId="16" fillId="2" borderId="0" xfId="0" applyFont="1" applyFill="1" applyAlignment="1"/>
    <xf numFmtId="0" fontId="12" fillId="2" borderId="0" xfId="2" applyFont="1" applyFill="1" applyAlignment="1"/>
    <xf numFmtId="0" fontId="20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right"/>
    </xf>
    <xf numFmtId="10" fontId="21" fillId="0" borderId="0" xfId="0" applyNumberFormat="1" applyFont="1" applyAlignment="1">
      <alignment horizontal="right"/>
    </xf>
    <xf numFmtId="0" fontId="5" fillId="8" borderId="1" xfId="0" applyFont="1" applyFill="1" applyBorder="1" applyAlignment="1">
      <alignment horizontal="left" vertical="center"/>
    </xf>
    <xf numFmtId="0" fontId="5" fillId="8" borderId="2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right"/>
    </xf>
    <xf numFmtId="0" fontId="3" fillId="6" borderId="4" xfId="0" applyFont="1" applyFill="1" applyBorder="1" applyAlignment="1">
      <alignment horizontal="right"/>
    </xf>
    <xf numFmtId="0" fontId="20" fillId="6" borderId="3" xfId="0" applyFont="1" applyFill="1" applyBorder="1" applyAlignment="1">
      <alignment horizontal="right"/>
    </xf>
    <xf numFmtId="0" fontId="20" fillId="6" borderId="4" xfId="0" applyFont="1" applyFill="1" applyBorder="1" applyAlignment="1">
      <alignment horizontal="right"/>
    </xf>
    <xf numFmtId="0" fontId="22" fillId="0" borderId="0" xfId="0" applyFont="1"/>
    <xf numFmtId="0" fontId="1" fillId="9" borderId="0" xfId="0" applyFont="1" applyFill="1"/>
    <xf numFmtId="0" fontId="3" fillId="9" borderId="0" xfId="0" applyFont="1" applyFill="1"/>
    <xf numFmtId="0" fontId="3" fillId="9" borderId="0" xfId="0" applyNumberFormat="1" applyFont="1" applyFill="1" applyAlignment="1">
      <alignment horizontal="right"/>
    </xf>
    <xf numFmtId="2" fontId="3" fillId="9" borderId="0" xfId="0" applyNumberFormat="1" applyFont="1" applyFill="1" applyAlignment="1">
      <alignment horizontal="right"/>
    </xf>
    <xf numFmtId="10" fontId="3" fillId="9" borderId="0" xfId="1" applyNumberFormat="1" applyFont="1" applyFill="1" applyAlignment="1">
      <alignment horizontal="right"/>
    </xf>
    <xf numFmtId="10" fontId="3" fillId="9" borderId="0" xfId="0" applyNumberFormat="1" applyFont="1" applyFill="1" applyAlignment="1">
      <alignment horizontal="right"/>
    </xf>
    <xf numFmtId="0" fontId="3" fillId="9" borderId="0" xfId="0" applyFont="1" applyFill="1" applyAlignment="1">
      <alignment horizontal="right"/>
    </xf>
    <xf numFmtId="2" fontId="20" fillId="6" borderId="3" xfId="0" applyNumberFormat="1" applyFont="1" applyFill="1" applyBorder="1" applyAlignment="1">
      <alignment horizontal="right"/>
    </xf>
    <xf numFmtId="2" fontId="20" fillId="6" borderId="4" xfId="0" applyNumberFormat="1" applyFont="1" applyFill="1" applyBorder="1" applyAlignment="1">
      <alignment horizontal="right"/>
    </xf>
    <xf numFmtId="2" fontId="20" fillId="10" borderId="3" xfId="0" applyNumberFormat="1" applyFont="1" applyFill="1" applyBorder="1" applyAlignment="1">
      <alignment horizontal="right"/>
    </xf>
    <xf numFmtId="2" fontId="20" fillId="10" borderId="4" xfId="0" applyNumberFormat="1" applyFont="1" applyFill="1" applyBorder="1" applyAlignment="1">
      <alignment horizontal="right"/>
    </xf>
    <xf numFmtId="0" fontId="22" fillId="9" borderId="0" xfId="0" applyFont="1" applyFill="1"/>
    <xf numFmtId="0" fontId="1" fillId="4" borderId="0" xfId="0" applyFont="1" applyFill="1"/>
    <xf numFmtId="0" fontId="3" fillId="11" borderId="0" xfId="0" applyFont="1" applyFill="1"/>
    <xf numFmtId="0" fontId="3" fillId="11" borderId="0" xfId="0" applyFont="1" applyFill="1" applyAlignment="1">
      <alignment horizontal="right"/>
    </xf>
    <xf numFmtId="2" fontId="3" fillId="11" borderId="0" xfId="0" applyNumberFormat="1" applyFont="1" applyFill="1" applyAlignment="1">
      <alignment horizontal="right"/>
    </xf>
    <xf numFmtId="10" fontId="3" fillId="11" borderId="0" xfId="0" applyNumberFormat="1" applyFont="1" applyFill="1" applyAlignment="1">
      <alignment horizontal="right"/>
    </xf>
    <xf numFmtId="0" fontId="1" fillId="11" borderId="0" xfId="0" applyFont="1" applyFill="1"/>
    <xf numFmtId="2" fontId="20" fillId="0" borderId="0" xfId="0" applyNumberFormat="1" applyFont="1" applyAlignment="1">
      <alignment horizontal="right"/>
    </xf>
    <xf numFmtId="0" fontId="21" fillId="6" borderId="3" xfId="0" applyNumberFormat="1" applyFont="1" applyFill="1" applyBorder="1" applyAlignment="1">
      <alignment horizontal="right"/>
    </xf>
    <xf numFmtId="0" fontId="21" fillId="0" borderId="0" xfId="0" applyNumberFormat="1" applyFont="1" applyAlignment="1">
      <alignment horizontal="right"/>
    </xf>
    <xf numFmtId="0" fontId="3" fillId="6" borderId="3" xfId="0" applyNumberFormat="1" applyFont="1" applyFill="1" applyBorder="1" applyAlignment="1">
      <alignment horizontal="right"/>
    </xf>
    <xf numFmtId="0" fontId="3" fillId="6" borderId="4" xfId="0" applyNumberFormat="1" applyFont="1" applyFill="1" applyBorder="1" applyAlignment="1">
      <alignment horizontal="right"/>
    </xf>
    <xf numFmtId="0" fontId="23" fillId="0" borderId="0" xfId="0" applyFont="1"/>
  </cellXfs>
  <cellStyles count="3">
    <cellStyle name="Comma" xfId="1" builtinId="3"/>
    <cellStyle name="Hyperlink" xfId="2" builtinId="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0"/>
      <tableStyleElement type="headerRow" dxfId="539"/>
    </tableStyle>
  </tableStyles>
  <colors>
    <mruColors>
      <color rgb="FF87D78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0</xdr:row>
      <xdr:rowOff>85725</xdr:rowOff>
    </xdr:from>
    <xdr:to>
      <xdr:col>16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</xdr:colOff>
      <xdr:row>0</xdr:row>
      <xdr:rowOff>142875</xdr:rowOff>
    </xdr:from>
    <xdr:to>
      <xdr:col>19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0</xdr:row>
      <xdr:rowOff>76200</xdr:rowOff>
    </xdr:from>
    <xdr:to>
      <xdr:col>21</xdr:col>
      <xdr:colOff>161925</xdr:colOff>
      <xdr:row>8</xdr:row>
      <xdr:rowOff>28575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0" y="76200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2</xdr:row>
      <xdr:rowOff>152401</xdr:rowOff>
    </xdr:from>
    <xdr:to>
      <xdr:col>19</xdr:col>
      <xdr:colOff>19051</xdr:colOff>
      <xdr:row>8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409575</xdr:colOff>
      <xdr:row>1</xdr:row>
      <xdr:rowOff>0</xdr:rowOff>
    </xdr:from>
    <xdr:to>
      <xdr:col>22</xdr:col>
      <xdr:colOff>57150</xdr:colOff>
      <xdr:row>8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247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10</xdr:row>
      <xdr:rowOff>57150</xdr:rowOff>
    </xdr:from>
    <xdr:to>
      <xdr:col>16</xdr:col>
      <xdr:colOff>209550</xdr:colOff>
      <xdr:row>17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2533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409575</xdr:colOff>
      <xdr:row>1</xdr:row>
      <xdr:rowOff>200025</xdr:rowOff>
    </xdr:from>
    <xdr:to>
      <xdr:col>16</xdr:col>
      <xdr:colOff>142875</xdr:colOff>
      <xdr:row>9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8150" y="44767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7</xdr:row>
      <xdr:rowOff>66675</xdr:rowOff>
    </xdr:from>
    <xdr:to>
      <xdr:col>17</xdr:col>
      <xdr:colOff>428625</xdr:colOff>
      <xdr:row>13</xdr:row>
      <xdr:rowOff>57150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8002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85725</xdr:colOff>
      <xdr:row>7</xdr:row>
      <xdr:rowOff>209550</xdr:rowOff>
    </xdr:from>
    <xdr:to>
      <xdr:col>17</xdr:col>
      <xdr:colOff>342900</xdr:colOff>
      <xdr:row>13</xdr:row>
      <xdr:rowOff>200025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2075" y="19431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152400</xdr:colOff>
      <xdr:row>0</xdr:row>
      <xdr:rowOff>200025</xdr:rowOff>
    </xdr:from>
    <xdr:to>
      <xdr:col>20</xdr:col>
      <xdr:colOff>409575</xdr:colOff>
      <xdr:row>6</xdr:row>
      <xdr:rowOff>190500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2000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0</xdr:row>
      <xdr:rowOff>123825</xdr:rowOff>
    </xdr:from>
    <xdr:to>
      <xdr:col>20</xdr:col>
      <xdr:colOff>504825</xdr:colOff>
      <xdr:row>6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8050" y="1238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485775</xdr:colOff>
      <xdr:row>0</xdr:row>
      <xdr:rowOff>161925</xdr:rowOff>
    </xdr:from>
    <xdr:to>
      <xdr:col>21</xdr:col>
      <xdr:colOff>133350</xdr:colOff>
      <xdr:row>8</xdr:row>
      <xdr:rowOff>114300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1619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857250</xdr:colOff>
      <xdr:row>1</xdr:row>
      <xdr:rowOff>123825</xdr:rowOff>
    </xdr:from>
    <xdr:to>
      <xdr:col>15</xdr:col>
      <xdr:colOff>1019175</xdr:colOff>
      <xdr:row>7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44775" y="371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285750</xdr:colOff>
      <xdr:row>2</xdr:row>
      <xdr:rowOff>57150</xdr:rowOff>
    </xdr:from>
    <xdr:to>
      <xdr:col>21</xdr:col>
      <xdr:colOff>542925</xdr:colOff>
      <xdr:row>8</xdr:row>
      <xdr:rowOff>47625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0" y="552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180975</xdr:colOff>
      <xdr:row>7</xdr:row>
      <xdr:rowOff>161925</xdr:rowOff>
    </xdr:from>
    <xdr:to>
      <xdr:col>17</xdr:col>
      <xdr:colOff>438150</xdr:colOff>
      <xdr:row>13</xdr:row>
      <xdr:rowOff>152400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0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476250</xdr:colOff>
      <xdr:row>1</xdr:row>
      <xdr:rowOff>200025</xdr:rowOff>
    </xdr:from>
    <xdr:to>
      <xdr:col>22</xdr:col>
      <xdr:colOff>123825</xdr:colOff>
      <xdr:row>9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9125" y="447675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209550</xdr:colOff>
      <xdr:row>7</xdr:row>
      <xdr:rowOff>123825</xdr:rowOff>
    </xdr:from>
    <xdr:to>
      <xdr:col>17</xdr:col>
      <xdr:colOff>466725</xdr:colOff>
      <xdr:row>15</xdr:row>
      <xdr:rowOff>19050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0725" y="18573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295275</xdr:colOff>
      <xdr:row>6</xdr:row>
      <xdr:rowOff>76200</xdr:rowOff>
    </xdr:from>
    <xdr:to>
      <xdr:col>17</xdr:col>
      <xdr:colOff>552450</xdr:colOff>
      <xdr:row>11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6875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6</xdr:row>
      <xdr:rowOff>104775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514350</xdr:colOff>
      <xdr:row>8</xdr:row>
      <xdr:rowOff>104775</xdr:rowOff>
    </xdr:from>
    <xdr:to>
      <xdr:col>18</xdr:col>
      <xdr:colOff>161925</xdr:colOff>
      <xdr:row>18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208597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133350</xdr:colOff>
      <xdr:row>9</xdr:row>
      <xdr:rowOff>85725</xdr:rowOff>
    </xdr:from>
    <xdr:to>
      <xdr:col>18</xdr:col>
      <xdr:colOff>390525</xdr:colOff>
      <xdr:row>15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7050" y="23145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66675</xdr:colOff>
      <xdr:row>11</xdr:row>
      <xdr:rowOff>152400</xdr:rowOff>
    </xdr:from>
    <xdr:to>
      <xdr:col>18</xdr:col>
      <xdr:colOff>323850</xdr:colOff>
      <xdr:row>20</xdr:row>
      <xdr:rowOff>152400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25725" y="2705100"/>
          <a:ext cx="16287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32" name="Table35152033" displayName="Table35152033" ref="A1:M5" totalsRowShown="0" headerRowDxfId="538" dataDxfId="537">
  <autoFilter ref="A1:M5"/>
  <sortState ref="A2:I9">
    <sortCondition ref="A1:A9"/>
  </sortState>
  <tableColumns count="13">
    <tableColumn id="1" name="Ticker" dataDxfId="536"/>
    <tableColumn id="2" name="Company Name" dataDxfId="535"/>
    <tableColumn id="3" name="LatestPrice" dataDxfId="534"/>
    <tableColumn id="4" name="DaysLow" dataDxfId="533"/>
    <tableColumn id="5" name="DaysHigh" dataDxfId="532"/>
    <tableColumn id="6" name="PreviousClose" dataDxfId="531"/>
    <tableColumn id="10" name="%Change" dataDxfId="530"/>
    <tableColumn id="7" name="MarketCap" dataDxfId="529"/>
    <tableColumn id="8" name="DivYield" dataDxfId="528"/>
    <tableColumn id="9" name="P/E" dataDxfId="527"/>
    <tableColumn id="11" name="MA200" dataDxfId="526"/>
    <tableColumn id="12" name="Target" dataDxfId="525">
      <calculatedColumnFormula>K2*0.9</calculatedColumnFormula>
    </tableColumn>
    <tableColumn id="13" name="Buy?" dataDxfId="524">
      <calculatedColumnFormula>Table35152033[[#This Row],[LatestPrice]]&lt;Table35152033[[#This Row],[Target]]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M8" totalsRowShown="0" headerRowDxfId="523" dataDxfId="522">
  <autoFilter ref="A1:M8"/>
  <sortState ref="A2:I9">
    <sortCondition ref="A1:A9"/>
  </sortState>
  <tableColumns count="13">
    <tableColumn id="1" name="Ticker" dataDxfId="521"/>
    <tableColumn id="2" name="Company Name" dataDxfId="520"/>
    <tableColumn id="3" name="LatestPrice" dataDxfId="519"/>
    <tableColumn id="4" name="DaysLow" dataDxfId="518"/>
    <tableColumn id="5" name="DaysHigh" dataDxfId="517"/>
    <tableColumn id="6" name="PreviousClose" dataDxfId="516"/>
    <tableColumn id="10" name="%Change" dataDxfId="515"/>
    <tableColumn id="7" name="MarketCap" dataDxfId="514"/>
    <tableColumn id="8" name="DivYield" dataDxfId="513"/>
    <tableColumn id="9" name="P/E" dataDxfId="512"/>
    <tableColumn id="11" name="MA200" dataDxfId="511"/>
    <tableColumn id="12" name="Target" dataDxfId="510">
      <calculatedColumnFormula>K2*0.9</calculatedColumnFormula>
    </tableColumn>
    <tableColumn id="13" name="Buy?" dataDxfId="509">
      <calculatedColumnFormula>Table351520[[#This Row],[LatestPrice]]&lt;Table351520[[#This Row],[Target]]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13" totalsRowShown="0" headerRowDxfId="508" dataDxfId="507">
  <autoFilter ref="A1:K13"/>
  <sortState ref="A2:K13">
    <sortCondition ref="H1:H13"/>
  </sortState>
  <tableColumns count="11">
    <tableColumn id="1" name="Ticker" dataDxfId="506"/>
    <tableColumn id="2" name="Company Name" dataDxfId="505"/>
    <tableColumn id="3" name="LatestPrice" dataDxfId="504"/>
    <tableColumn id="4" name="DaysLow" dataDxfId="503"/>
    <tableColumn id="5" name="DaysHigh" dataDxfId="502"/>
    <tableColumn id="6" name="PreviousClose" dataDxfId="501"/>
    <tableColumn id="10" name="%Change" dataDxfId="500"/>
    <tableColumn id="7" name="MarketCap" dataDxfId="499"/>
    <tableColumn id="8" name="DivYield" dataDxfId="498"/>
    <tableColumn id="9" name="P/E" dataDxfId="497"/>
    <tableColumn id="11" name="MA200" dataDxfId="49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M11" totalsRowShown="0" headerRowDxfId="495" dataDxfId="494">
  <autoFilter ref="A1:M11"/>
  <sortState ref="A2:I9">
    <sortCondition ref="A1:A9"/>
  </sortState>
  <tableColumns count="13">
    <tableColumn id="1" name="Ticker" dataDxfId="493"/>
    <tableColumn id="2" name="Company Name" dataDxfId="492"/>
    <tableColumn id="3" name="LatestPrice" dataDxfId="491"/>
    <tableColumn id="4" name="DaysLow" dataDxfId="490"/>
    <tableColumn id="5" name="DaysHigh" dataDxfId="489"/>
    <tableColumn id="6" name="PreviousClose" dataDxfId="488"/>
    <tableColumn id="10" name="%Change" dataDxfId="487"/>
    <tableColumn id="7" name="MarketCap" dataDxfId="486"/>
    <tableColumn id="8" name="DivYield" dataDxfId="485"/>
    <tableColumn id="9" name="P/E" dataDxfId="484"/>
    <tableColumn id="11" name="MA200" dataDxfId="483"/>
    <tableColumn id="12" name="Target" dataDxfId="482">
      <calculatedColumnFormula>K2*0.9</calculatedColumnFormula>
    </tableColumn>
    <tableColumn id="13" name="Buy?" dataDxfId="481">
      <calculatedColumnFormula>L2&gt;C2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5" name="Table35152226" displayName="Table35152226" ref="A1:M8" totalsRowShown="0" headerRowDxfId="480" dataDxfId="479">
  <autoFilter ref="A1:M8"/>
  <sortState ref="A2:I9">
    <sortCondition ref="A1:A9"/>
  </sortState>
  <tableColumns count="13">
    <tableColumn id="1" name="Ticker" dataDxfId="478"/>
    <tableColumn id="2" name="Company Name" dataDxfId="477"/>
    <tableColumn id="3" name="LatestPrice" dataDxfId="476"/>
    <tableColumn id="4" name="DaysLow" dataDxfId="475"/>
    <tableColumn id="5" name="DaysHigh" dataDxfId="474"/>
    <tableColumn id="6" name="PreviousClose" dataDxfId="473"/>
    <tableColumn id="10" name="%Change" dataDxfId="472"/>
    <tableColumn id="7" name="MarketCap" dataDxfId="471"/>
    <tableColumn id="8" name="DivYield" dataDxfId="470"/>
    <tableColumn id="9" name="P/E" dataDxfId="469"/>
    <tableColumn id="11" name="MA200" dataDxfId="468"/>
    <tableColumn id="12" name="Target" dataDxfId="467">
      <calculatedColumnFormula>K2*0.89</calculatedColumnFormula>
    </tableColumn>
    <tableColumn id="13" name="Buy?" dataDxfId="466">
      <calculatedColumnFormula>L2&gt;C2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0" name="Table28931" displayName="Table28931" ref="A1:M8" totalsRowShown="0" headerRowDxfId="465" dataDxfId="464">
  <autoFilter ref="A1:M8"/>
  <sortState ref="A2:K12">
    <sortCondition ref="A1:A12"/>
  </sortState>
  <tableColumns count="13">
    <tableColumn id="1" name="Ticker" dataDxfId="463"/>
    <tableColumn id="2" name="Company Name" dataDxfId="462"/>
    <tableColumn id="3" name="LatestPrice" dataDxfId="461"/>
    <tableColumn id="4" name="DaysLow" dataDxfId="460"/>
    <tableColumn id="5" name="DaysHigh" dataDxfId="459"/>
    <tableColumn id="6" name="PreviousClose" dataDxfId="458"/>
    <tableColumn id="7" name="%Change" dataDxfId="457" dataCellStyle="Comma"/>
    <tableColumn id="8" name="MarketCap" dataDxfId="456"/>
    <tableColumn id="9" name="DivYield" dataDxfId="455"/>
    <tableColumn id="10" name="P/E" dataDxfId="454"/>
    <tableColumn id="11" name="MA200" dataDxfId="453"/>
    <tableColumn id="12" name="Target" dataDxfId="452">
      <calculatedColumnFormula>K2*0.9</calculatedColumnFormula>
    </tableColumn>
    <tableColumn id="13" name="Buy?" dataDxfId="451">
      <calculatedColumnFormula>L2&gt;C2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7" name="Table28" displayName="Table28" ref="A1:M21" totalsRowShown="0" headerRowDxfId="450" dataDxfId="449">
  <autoFilter ref="A1:M21"/>
  <sortState ref="A2:K16">
    <sortCondition ref="A1:A16"/>
  </sortState>
  <tableColumns count="13">
    <tableColumn id="1" name="Ticker" dataDxfId="448"/>
    <tableColumn id="2" name="Company Name" dataDxfId="447"/>
    <tableColumn id="3" name="LatestPrice" dataDxfId="446"/>
    <tableColumn id="4" name="DaysLow" dataDxfId="445"/>
    <tableColumn id="5" name="DaysHigh" dataDxfId="444"/>
    <tableColumn id="6" name="PreviousClose" dataDxfId="443"/>
    <tableColumn id="7" name="%Change" dataDxfId="442" dataCellStyle="Comma"/>
    <tableColumn id="8" name="MarketCap" dataDxfId="441"/>
    <tableColumn id="9" name="DivYield" dataDxfId="440"/>
    <tableColumn id="10" name="P/E" dataDxfId="439"/>
    <tableColumn id="11" name="MA200" dataDxfId="438"/>
    <tableColumn id="12" name="Target" dataDxfId="437">
      <calculatedColumnFormula>K2*0.89</calculatedColumnFormula>
    </tableColumn>
    <tableColumn id="13" name="Buy?" dataDxfId="436">
      <calculatedColumnFormula>L2&gt;C2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37" name="Table283238" displayName="Table283238" ref="A1:M6" totalsRowShown="0" headerRowDxfId="435" dataDxfId="434">
  <autoFilter ref="A1:M6"/>
  <sortState ref="A2:K16">
    <sortCondition ref="A1:A16"/>
  </sortState>
  <tableColumns count="13">
    <tableColumn id="1" name="Ticker" dataDxfId="433"/>
    <tableColumn id="2" name="Company Name" dataDxfId="432"/>
    <tableColumn id="3" name="LatestPrice" dataDxfId="431"/>
    <tableColumn id="4" name="DaysLow" dataDxfId="430"/>
    <tableColumn id="5" name="DaysHigh" dataDxfId="429"/>
    <tableColumn id="6" name="PreviousClose" dataDxfId="428"/>
    <tableColumn id="7" name="%Change" dataDxfId="427" dataCellStyle="Comma"/>
    <tableColumn id="8" name="MarketCap" dataDxfId="426"/>
    <tableColumn id="9" name="DivYield" dataDxfId="425"/>
    <tableColumn id="10" name="P/E" dataDxfId="424"/>
    <tableColumn id="11" name="MA200" dataDxfId="423"/>
    <tableColumn id="12" name="Target" dataDxfId="422">
      <calculatedColumnFormula>K2*0.89</calculatedColumnFormula>
    </tableColumn>
    <tableColumn id="13" name="Buy?" dataDxfId="421">
      <calculatedColumnFormula>L2&gt;C2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31" name="Table2832" displayName="Table2832" ref="A1:M7" totalsRowShown="0" headerRowDxfId="420" dataDxfId="419">
  <autoFilter ref="A1:M7"/>
  <sortState ref="A2:K16">
    <sortCondition ref="A1:A16"/>
  </sortState>
  <tableColumns count="13">
    <tableColumn id="1" name="Ticker" dataDxfId="418"/>
    <tableColumn id="2" name="Company Name" dataDxfId="417"/>
    <tableColumn id="3" name="LatestPrice" dataDxfId="416"/>
    <tableColumn id="4" name="DaysLow" dataDxfId="415"/>
    <tableColumn id="5" name="DaysHigh" dataDxfId="414"/>
    <tableColumn id="6" name="PreviousClose" dataDxfId="413"/>
    <tableColumn id="7" name="%Change" dataDxfId="412" dataCellStyle="Comma"/>
    <tableColumn id="8" name="MarketCap" dataDxfId="411"/>
    <tableColumn id="9" name="DivYield" dataDxfId="410"/>
    <tableColumn id="10" name="P/E" dataDxfId="409"/>
    <tableColumn id="11" name="MA200" dataDxfId="408"/>
    <tableColumn id="12" name="Target" dataDxfId="407">
      <calculatedColumnFormula>K2*0.89</calculatedColumnFormula>
    </tableColumn>
    <tableColumn id="13" name="Buy?" dataDxfId="406">
      <calculatedColumnFormula>L2&gt;C2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34" name="Table3101835" displayName="Table3101835" ref="A1:M6" totalsRowShown="0" headerRowDxfId="405" dataDxfId="404">
  <autoFilter ref="A1:M6"/>
  <sortState ref="A2:K8">
    <sortCondition ref="A1:A8"/>
  </sortState>
  <tableColumns count="13">
    <tableColumn id="1" name="Ticker" dataDxfId="403"/>
    <tableColumn id="2" name="Company Name" dataDxfId="402"/>
    <tableColumn id="3" name="LatestPrice" dataDxfId="401"/>
    <tableColumn id="4" name="DaysLow" dataDxfId="400"/>
    <tableColumn id="5" name="DaysHigh" dataDxfId="399"/>
    <tableColumn id="6" name="PreviousClose" dataDxfId="398"/>
    <tableColumn id="10" name="%Change" dataDxfId="397"/>
    <tableColumn id="7" name="MarketCap" dataDxfId="396"/>
    <tableColumn id="8" name="DivYield" dataDxfId="395"/>
    <tableColumn id="9" name="P/E" dataDxfId="394"/>
    <tableColumn id="11" name="MA200" dataDxfId="393"/>
    <tableColumn id="12" name="Target" dataDxfId="392">
      <calculatedColumnFormula>K2*0.89</calculatedColumnFormula>
    </tableColumn>
    <tableColumn id="13" name="Buy?" dataDxfId="391">
      <calculatedColumnFormula>L2&gt;C2</calculatedColumnFormula>
    </tableColumn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7" name="Table31018" displayName="Table31018" ref="A1:M10" totalsRowShown="0" headerRowDxfId="390" dataDxfId="389">
  <autoFilter ref="A1:M10"/>
  <sortState ref="A2:K8">
    <sortCondition ref="A1:A8"/>
  </sortState>
  <tableColumns count="13">
    <tableColumn id="1" name="Ticker" dataDxfId="388"/>
    <tableColumn id="2" name="Company Name" dataDxfId="387"/>
    <tableColumn id="3" name="LatestPrice" dataDxfId="386"/>
    <tableColumn id="4" name="DaysLow" dataDxfId="385"/>
    <tableColumn id="5" name="DaysHigh" dataDxfId="384"/>
    <tableColumn id="6" name="PreviousClose" dataDxfId="383"/>
    <tableColumn id="10" name="%Change" dataDxfId="382"/>
    <tableColumn id="7" name="MarketCap" dataDxfId="381"/>
    <tableColumn id="8" name="DivYield" dataDxfId="380"/>
    <tableColumn id="9" name="P/E" dataDxfId="379"/>
    <tableColumn id="11" name="MA200" dataDxfId="378"/>
    <tableColumn id="12" name="Target" dataDxfId="377">
      <calculatedColumnFormula>K2*0.89</calculatedColumnFormula>
    </tableColumn>
    <tableColumn id="13" name="Buy?" dataDxfId="376">
      <calculatedColumnFormula>L2&gt;C2</calculatedColumnFormula>
    </tableColumn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3" name="Table3" displayName="Table3" ref="A1:M12" totalsRowShown="0" headerRowDxfId="375" dataDxfId="374">
  <autoFilter ref="A1:M12"/>
  <sortState ref="A2:I9">
    <sortCondition ref="A1:A9"/>
  </sortState>
  <tableColumns count="13">
    <tableColumn id="1" name="Ticker" dataDxfId="373"/>
    <tableColumn id="2" name="Company Name" dataDxfId="372"/>
    <tableColumn id="3" name="LatestPrice" dataDxfId="371"/>
    <tableColumn id="4" name="DaysLow" dataDxfId="370"/>
    <tableColumn id="5" name="DaysHigh" dataDxfId="369"/>
    <tableColumn id="6" name="PreviousClose" dataDxfId="368"/>
    <tableColumn id="10" name="%Change" dataDxfId="367"/>
    <tableColumn id="7" name="MarketCap" dataDxfId="366"/>
    <tableColumn id="8" name="DivYield" dataDxfId="365"/>
    <tableColumn id="9" name="P/E" dataDxfId="364"/>
    <tableColumn id="11" name="MA200" dataDxfId="363"/>
    <tableColumn id="12" name="Target" dataDxfId="362">
      <calculatedColumnFormula>K2*0.89</calculatedColumnFormula>
    </tableColumn>
    <tableColumn id="13" name="Buy?" dataDxfId="361">
      <calculatedColumnFormula>L2&gt;C2</calculatedColumnFormula>
    </tableColumn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23" name="Table324" displayName="Table324" ref="A1:M8" totalsRowShown="0" headerRowDxfId="360" dataDxfId="359">
  <autoFilter ref="A1:M8"/>
  <sortState ref="A2:I9">
    <sortCondition ref="A1:A9"/>
  </sortState>
  <tableColumns count="13">
    <tableColumn id="1" name="Ticker" dataDxfId="358"/>
    <tableColumn id="2" name="Company Name" dataDxfId="357"/>
    <tableColumn id="3" name="LatestPrice" dataDxfId="356"/>
    <tableColumn id="4" name="DaysLow" dataDxfId="355"/>
    <tableColumn id="5" name="DaysHigh" dataDxfId="354"/>
    <tableColumn id="6" name="PreviousClose" dataDxfId="353"/>
    <tableColumn id="10" name="%Change" dataDxfId="352"/>
    <tableColumn id="7" name="MarketCap" dataDxfId="351"/>
    <tableColumn id="8" name="DivYield" dataDxfId="350"/>
    <tableColumn id="9" name="P/E" dataDxfId="349"/>
    <tableColumn id="11" name="MA200" dataDxfId="348"/>
    <tableColumn id="12" name="Target" dataDxfId="347">
      <calculatedColumnFormula>K2*0.89</calculatedColumnFormula>
    </tableColumn>
    <tableColumn id="13" name="Buy?" dataDxfId="346">
      <calculatedColumnFormula>L2&gt;C2</calculatedColumnFormula>
    </tableColumn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2" name="Table2" displayName="Table2" ref="A1:M17" totalsRowShown="0" headerRowDxfId="345" dataDxfId="344">
  <autoFilter ref="A1:M17"/>
  <sortState ref="A2:K15">
    <sortCondition ref="A1:A15"/>
  </sortState>
  <tableColumns count="13">
    <tableColumn id="1" name="Ticker" dataDxfId="343"/>
    <tableColumn id="2" name="Company Name" dataDxfId="342"/>
    <tableColumn id="3" name="LatestPrice" dataDxfId="341"/>
    <tableColumn id="4" name="DaysLow" dataDxfId="340"/>
    <tableColumn id="5" name="DaysHigh" dataDxfId="339"/>
    <tableColumn id="6" name="PreviousClose" dataDxfId="338"/>
    <tableColumn id="7" name="%Change" dataDxfId="337" dataCellStyle="Comma"/>
    <tableColumn id="8" name="MarketCap" dataDxfId="336"/>
    <tableColumn id="9" name="DivYield" dataDxfId="335"/>
    <tableColumn id="10" name="P/E" dataDxfId="334"/>
    <tableColumn id="11" name="MA200" dataDxfId="333"/>
    <tableColumn id="12" name="Target" dataDxfId="332">
      <calculatedColumnFormula>K2*0.9</calculatedColumnFormula>
    </tableColumn>
    <tableColumn id="13" name="Buy?" dataDxfId="331">
      <calculatedColumnFormula>L2&gt;C2</calculatedColumnFormula>
    </tableColumn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6" name="Table227" displayName="Table227" ref="A1:M4" totalsRowShown="0" headerRowDxfId="330" dataDxfId="329">
  <autoFilter ref="A1:M4"/>
  <sortState ref="A2:K15">
    <sortCondition ref="A1:A15"/>
  </sortState>
  <tableColumns count="13">
    <tableColumn id="1" name="Ticker" dataDxfId="328"/>
    <tableColumn id="2" name="Company Name" dataDxfId="327"/>
    <tableColumn id="3" name="LatestPrice" dataDxfId="326"/>
    <tableColumn id="4" name="DaysLow" dataDxfId="325"/>
    <tableColumn id="5" name="DaysHigh" dataDxfId="324"/>
    <tableColumn id="6" name="PreviousClose" dataDxfId="323"/>
    <tableColumn id="7" name="%Change" dataDxfId="322" dataCellStyle="Comma"/>
    <tableColumn id="8" name="MarketCap" dataDxfId="321"/>
    <tableColumn id="9" name="DivYield" dataDxfId="320"/>
    <tableColumn id="10" name="P/E" dataDxfId="319"/>
    <tableColumn id="11" name="MA200" dataDxfId="318"/>
    <tableColumn id="12" name="Target" dataDxfId="317">
      <calculatedColumnFormula>K2*0.89</calculatedColumnFormula>
    </tableColumn>
    <tableColumn id="13" name="Buy?" dataDxfId="316">
      <calculatedColumnFormula>L2&gt;C2</calculatedColumnFormula>
    </tableColumn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5" name="Table26216" displayName="Table26216" ref="A1:M9" totalsRowShown="0" headerRowDxfId="315" dataDxfId="314">
  <autoFilter ref="A1:M9"/>
  <sortState ref="A2:K6">
    <sortCondition ref="A1:A6"/>
  </sortState>
  <tableColumns count="13">
    <tableColumn id="1" name="Ticker" dataDxfId="313"/>
    <tableColumn id="2" name="Company Name" dataDxfId="312"/>
    <tableColumn id="3" name="LatestPrice" dataDxfId="311"/>
    <tableColumn id="4" name="DaysLow" dataDxfId="310"/>
    <tableColumn id="5" name="DaysHigh" dataDxfId="309"/>
    <tableColumn id="6" name="PreviousClose" dataDxfId="308"/>
    <tableColumn id="7" name="%Change" dataDxfId="307"/>
    <tableColumn id="8" name="MarketCap" dataDxfId="306"/>
    <tableColumn id="9" name="DivYield" dataDxfId="305"/>
    <tableColumn id="10" name="P/E" dataDxfId="304"/>
    <tableColumn id="11" name="MA200" dataDxfId="303"/>
    <tableColumn id="12" name="Target" dataDxfId="302">
      <calculatedColumnFormula>K2*0.9</calculatedColumnFormula>
    </tableColumn>
    <tableColumn id="13" name="Buy?" dataDxfId="301">
      <calculatedColumnFormula>L2&gt;C2</calculatedColumnFormula>
    </tableColumn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7" name="Table2621628" displayName="Table2621628" ref="A1:M10" totalsRowShown="0" headerRowDxfId="300" dataDxfId="299">
  <autoFilter ref="A1:M10"/>
  <sortState ref="A2:K6">
    <sortCondition ref="A1:A6"/>
  </sortState>
  <tableColumns count="13">
    <tableColumn id="1" name="Ticker" dataDxfId="298"/>
    <tableColumn id="2" name="Company Name" dataDxfId="297"/>
    <tableColumn id="3" name="LatestPrice" dataDxfId="296"/>
    <tableColumn id="4" name="DaysLow" dataDxfId="295"/>
    <tableColumn id="5" name="DaysHigh" dataDxfId="294"/>
    <tableColumn id="6" name="PreviousClose" dataDxfId="293"/>
    <tableColumn id="7" name="%Change" dataDxfId="292"/>
    <tableColumn id="8" name="MarketCap" dataDxfId="291"/>
    <tableColumn id="9" name="DivYield" dataDxfId="290"/>
    <tableColumn id="10" name="P/E" dataDxfId="289"/>
    <tableColumn id="11" name="MA200" dataDxfId="288"/>
    <tableColumn id="12" name="Target" dataDxfId="287">
      <calculatedColumnFormula>K2*0.9</calculatedColumnFormula>
    </tableColumn>
    <tableColumn id="13" name="Buy?" dataDxfId="286">
      <calculatedColumnFormula>L2&gt;C2</calculatedColumnFormula>
    </tableColumn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3" name="Table26214" displayName="Table26214" ref="A1:M19" totalsRowShown="0" headerRowDxfId="285" dataDxfId="284">
  <autoFilter ref="A1:M19"/>
  <sortState ref="A2:K14">
    <sortCondition ref="A1:A14"/>
  </sortState>
  <tableColumns count="13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7" name="%Change" dataDxfId="277"/>
    <tableColumn id="8" name="MarketCap" dataDxfId="276"/>
    <tableColumn id="9" name="DivYield" dataDxfId="275"/>
    <tableColumn id="10" name="P/E" dataDxfId="274"/>
    <tableColumn id="11" name="MA200" dataDxfId="273"/>
    <tableColumn id="12" name="Target" dataDxfId="272">
      <calculatedColumnFormula>K2*0.9</calculatedColumnFormula>
    </tableColumn>
    <tableColumn id="13" name="Buy?" dataDxfId="271">
      <calculatedColumnFormula>L2&gt;C2</calculatedColumnFormula>
    </tableColumn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8" name="Table2619" displayName="Table2619" ref="A1:M10" totalsRowShown="0" headerRowDxfId="270" dataDxfId="269">
  <autoFilter ref="A1:M10"/>
  <sortState ref="A2:K9">
    <sortCondition ref="A1:A9"/>
  </sortState>
  <tableColumns count="13">
    <tableColumn id="1" name="Ticker" dataDxfId="268"/>
    <tableColumn id="2" name="Company Name" dataDxfId="267"/>
    <tableColumn id="3" name="LatestPrice" dataDxfId="266"/>
    <tableColumn id="4" name="DaysLow" dataDxfId="265"/>
    <tableColumn id="5" name="DaysHigh" dataDxfId="264"/>
    <tableColumn id="6" name="PreviousClose" dataDxfId="263"/>
    <tableColumn id="7" name="%Change" dataDxfId="262"/>
    <tableColumn id="8" name="MarketCap" dataDxfId="261"/>
    <tableColumn id="9" name="DivYield" dataDxfId="260"/>
    <tableColumn id="10" name="P/E" dataDxfId="259"/>
    <tableColumn id="11" name="MA200" dataDxfId="258"/>
    <tableColumn id="12" name="Target" dataDxfId="257">
      <calculatedColumnFormula>K2*0.9</calculatedColumnFormula>
    </tableColumn>
    <tableColumn id="13" name="Buy?" dataDxfId="256">
      <calculatedColumnFormula>L2&gt;C2</calculatedColumnFormula>
    </tableColumn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33" name="Table261934" displayName="Table261934" ref="A1:M7" totalsRowShown="0" headerRowDxfId="255" dataDxfId="254">
  <autoFilter ref="A1:M7"/>
  <sortState ref="A2:K9">
    <sortCondition ref="A1:A9"/>
  </sortState>
  <tableColumns count="13">
    <tableColumn id="1" name="Ticker" dataDxfId="253"/>
    <tableColumn id="2" name="Company Name" dataDxfId="252"/>
    <tableColumn id="3" name="LatestPrice" dataDxfId="251"/>
    <tableColumn id="4" name="DaysLow" dataDxfId="250"/>
    <tableColumn id="5" name="DaysHigh" dataDxfId="249"/>
    <tableColumn id="6" name="PreviousClose" dataDxfId="248"/>
    <tableColumn id="7" name="%Change" dataDxfId="247"/>
    <tableColumn id="8" name="MarketCap" dataDxfId="246"/>
    <tableColumn id="9" name="DivYield" dataDxfId="245"/>
    <tableColumn id="10" name="P/E" dataDxfId="244"/>
    <tableColumn id="11" name="MA200" dataDxfId="243"/>
    <tableColumn id="12" name="Target" dataDxfId="242">
      <calculatedColumnFormula>K2*0.9</calculatedColumnFormula>
    </tableColumn>
    <tableColumn id="13" name="Buy?" dataDxfId="241">
      <calculatedColumnFormula>L2&gt;C2</calculatedColumnFormula>
    </tableColumn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5" name="Table26" displayName="Table26" ref="A1:M13" totalsRowShown="0" headerRowDxfId="240" dataDxfId="239">
  <autoFilter ref="A1:M13"/>
  <sortState ref="A2:K8">
    <sortCondition ref="A1:A8"/>
  </sortState>
  <tableColumns count="13">
    <tableColumn id="1" name="Ticker" dataDxfId="238"/>
    <tableColumn id="2" name="Company Name" dataDxfId="237"/>
    <tableColumn id="3" name="LatestPrice" dataDxfId="236"/>
    <tableColumn id="4" name="DaysLow" dataDxfId="235"/>
    <tableColumn id="5" name="DaysHigh" dataDxfId="234"/>
    <tableColumn id="6" name="PreviousClose" dataDxfId="233"/>
    <tableColumn id="7" name="%Change" dataDxfId="232"/>
    <tableColumn id="8" name="MarketCap" dataDxfId="231"/>
    <tableColumn id="9" name="DivYield" dataDxfId="230"/>
    <tableColumn id="10" name="P/E" dataDxfId="229"/>
    <tableColumn id="11" name="MA200" dataDxfId="228"/>
    <tableColumn id="12" name="Target" dataDxfId="227">
      <calculatedColumnFormula>K2*0.9</calculatedColumnFormula>
    </tableColumn>
    <tableColumn id="13" name="Buy?" dataDxfId="226">
      <calculatedColumnFormula>L2&gt;C2</calculatedColumnFormula>
    </tableColumn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35" name="Table3515222636" displayName="Table3515222636" ref="A1:M7" totalsRowShown="0" headerRowDxfId="225" dataDxfId="224">
  <autoFilter ref="A1:M7"/>
  <sortState ref="A2:I9">
    <sortCondition ref="A1:A9"/>
  </sortState>
  <tableColumns count="13">
    <tableColumn id="1" name="Ticker" dataDxfId="223"/>
    <tableColumn id="2" name="Company Name" dataDxfId="222"/>
    <tableColumn id="3" name="LatestPrice" dataDxfId="221"/>
    <tableColumn id="4" name="DaysLow" dataDxfId="220"/>
    <tableColumn id="5" name="DaysHigh" dataDxfId="219"/>
    <tableColumn id="6" name="PreviousClose" dataDxfId="218"/>
    <tableColumn id="10" name="%Change" dataDxfId="217"/>
    <tableColumn id="7" name="MarketCap" dataDxfId="216"/>
    <tableColumn id="8" name="DivYield" dataDxfId="215"/>
    <tableColumn id="9" name="P/E" dataDxfId="214"/>
    <tableColumn id="11" name="MA200" dataDxfId="213"/>
    <tableColumn id="12" name="Target" dataDxfId="212">
      <calculatedColumnFormula>K2*0.89</calculatedColumnFormula>
    </tableColumn>
    <tableColumn id="13" name="Buy?" dataDxfId="211">
      <calculatedColumnFormula>L2&gt;C2</calculatedColumnFormula>
    </tableColumn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8" name="Table289" displayName="Table289" ref="A1:M13" totalsRowShown="0" headerRowDxfId="210" dataDxfId="209">
  <autoFilter ref="A1:M13"/>
  <sortState ref="A2:K12">
    <sortCondition ref="A1:A12"/>
  </sortState>
  <tableColumns count="13">
    <tableColumn id="1" name="Ticker" dataDxfId="208"/>
    <tableColumn id="2" name="Company Name" dataDxfId="207"/>
    <tableColumn id="3" name="LatestPrice" dataDxfId="206"/>
    <tableColumn id="4" name="DaysLow" dataDxfId="205"/>
    <tableColumn id="5" name="DaysHigh" dataDxfId="204"/>
    <tableColumn id="6" name="PreviousClose" dataDxfId="203"/>
    <tableColumn id="7" name="%Change" dataDxfId="202" dataCellStyle="Comma"/>
    <tableColumn id="8" name="MarketCap" dataDxfId="201"/>
    <tableColumn id="9" name="DivYield" dataDxfId="200"/>
    <tableColumn id="10" name="P/E" dataDxfId="199"/>
    <tableColumn id="11" name="MA200" dataDxfId="198"/>
    <tableColumn id="12" name="Target" dataDxfId="197">
      <calculatedColumnFormula>K2*0.9</calculatedColumnFormula>
    </tableColumn>
    <tableColumn id="13" name="Buy?" dataDxfId="196">
      <calculatedColumnFormula>L2&gt;C2</calculatedColumnFormula>
    </tableColumn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28" name="Table28929" displayName="Table28929" ref="A1:M18" totalsRowShown="0" headerRowDxfId="195" dataDxfId="194">
  <autoFilter ref="A1:M18"/>
  <sortState ref="A2:K12">
    <sortCondition ref="A1:A12"/>
  </sortState>
  <tableColumns count="13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 dataCellStyle="Comma"/>
    <tableColumn id="8" name="MarketCap" dataDxfId="186"/>
    <tableColumn id="9" name="DivYield" dataDxfId="185"/>
    <tableColumn id="10" name="P/E" dataDxfId="184"/>
    <tableColumn id="11" name="MA200" dataDxfId="183"/>
    <tableColumn id="12" name="Target" dataDxfId="182">
      <calculatedColumnFormula>K2*0.9</calculatedColumnFormula>
    </tableColumn>
    <tableColumn id="13" name="Buy?" dataDxfId="181">
      <calculatedColumnFormula>L2&gt;C2</calculatedColumnFormula>
    </tableColumn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16" name="Table31017" displayName="Table31017" ref="A1:M13" totalsRowShown="0" headerRowDxfId="180" dataDxfId="179">
  <autoFilter ref="A1:M13"/>
  <sortState ref="A2:K11">
    <sortCondition ref="A1:A11"/>
  </sortState>
  <tableColumns count="13">
    <tableColumn id="1" name="Ticker" dataDxfId="178"/>
    <tableColumn id="2" name="Company Name" dataDxfId="177"/>
    <tableColumn id="3" name="LatestPrice" dataDxfId="176"/>
    <tableColumn id="4" name="DaysLow" dataDxfId="175"/>
    <tableColumn id="5" name="DaysHigh" dataDxfId="174"/>
    <tableColumn id="6" name="PreviousClose" dataDxfId="173"/>
    <tableColumn id="10" name="%Change" dataDxfId="172"/>
    <tableColumn id="7" name="MarketCap" dataDxfId="171"/>
    <tableColumn id="8" name="DivYield" dataDxfId="170"/>
    <tableColumn id="9" name="P/E" dataDxfId="169"/>
    <tableColumn id="11" name="MA200" dataDxfId="168"/>
    <tableColumn id="12" name="Target" dataDxfId="167">
      <calculatedColumnFormula>K2*0.9</calculatedColumnFormula>
    </tableColumn>
    <tableColumn id="13" name="Buy?" dataDxfId="166">
      <calculatedColumnFormula>L2&gt;C2</calculatedColumnFormula>
    </tableColumn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11" name="Table31012" displayName="Table31012" ref="A1:M8" totalsRowShown="0" headerRowDxfId="165" dataDxfId="164">
  <autoFilter ref="A1:M8"/>
  <sortState ref="A2:K8">
    <sortCondition ref="A1:A8"/>
  </sortState>
  <tableColumns count="13">
    <tableColumn id="1" name="Ticker" dataDxfId="163"/>
    <tableColumn id="2" name="Company Name" dataDxfId="162"/>
    <tableColumn id="3" name="LatestPrice" dataDxfId="161"/>
    <tableColumn id="4" name="DaysLow" dataDxfId="160"/>
    <tableColumn id="5" name="DaysHigh" dataDxfId="159"/>
    <tableColumn id="6" name="PreviousClose" dataDxfId="158"/>
    <tableColumn id="10" name="%Change" dataDxfId="157"/>
    <tableColumn id="7" name="MarketCap" dataDxfId="156"/>
    <tableColumn id="8" name="DivYield" dataDxfId="155"/>
    <tableColumn id="9" name="P/E" dataDxfId="154"/>
    <tableColumn id="11" name="MA200" dataDxfId="153"/>
    <tableColumn id="12" name="Target" dataDxfId="152">
      <calculatedColumnFormula>K2*0.9</calculatedColumnFormula>
    </tableColumn>
    <tableColumn id="13" name="Buy?" dataDxfId="151">
      <calculatedColumnFormula>L2&gt;C2</calculatedColumnFormula>
    </tableColumn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22" name="Table28923" displayName="Table28923" ref="A1:M14" totalsRowShown="0" headerRowDxfId="150" dataDxfId="149">
  <autoFilter ref="A1:M14"/>
  <sortState ref="A2:K12">
    <sortCondition ref="A1:A12"/>
  </sortState>
  <tableColumns count="13">
    <tableColumn id="1" name="Ticker" dataDxfId="148"/>
    <tableColumn id="2" name="Company Name" dataDxfId="147"/>
    <tableColumn id="3" name="LatestPrice" dataDxfId="146"/>
    <tableColumn id="4" name="DaysLow" dataDxfId="145"/>
    <tableColumn id="5" name="DaysHigh" dataDxfId="144"/>
    <tableColumn id="6" name="PreviousClose" dataDxfId="143"/>
    <tableColumn id="7" name="%Change" dataDxfId="142" dataCellStyle="Comma"/>
    <tableColumn id="8" name="MarketCap" dataDxfId="141"/>
    <tableColumn id="9" name="DivYield" dataDxfId="140"/>
    <tableColumn id="10" name="P/E" dataDxfId="139"/>
    <tableColumn id="11" name="MA200" dataDxfId="138"/>
    <tableColumn id="12" name="Target" dataDxfId="137">
      <calculatedColumnFormula>K2*0.9</calculatedColumnFormula>
    </tableColumn>
    <tableColumn id="13" name="Buy?" dataDxfId="136">
      <calculatedColumnFormula>L2&gt;C2</calculatedColumnFormula>
    </tableColumn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0" name="Table2621621" displayName="Table2621621" ref="A1:M8" totalsRowShown="0" headerRowDxfId="135" dataDxfId="134">
  <autoFilter ref="A1:M8"/>
  <sortState ref="A2:K6">
    <sortCondition ref="A1:A6"/>
  </sortState>
  <tableColumns count="13">
    <tableColumn id="1" name="Ticker" dataDxfId="133"/>
    <tableColumn id="2" name="Company Name" dataDxfId="132"/>
    <tableColumn id="3" name="LatestPrice" dataDxfId="131"/>
    <tableColumn id="4" name="DaysLow" dataDxfId="130"/>
    <tableColumn id="5" name="DaysHigh" dataDxfId="129"/>
    <tableColumn id="6" name="PreviousClose" dataDxfId="128"/>
    <tableColumn id="7" name="%Change" dataDxfId="127"/>
    <tableColumn id="8" name="MarketCap" dataDxfId="126"/>
    <tableColumn id="9" name="DivYield" dataDxfId="125"/>
    <tableColumn id="10" name="P/E" dataDxfId="124"/>
    <tableColumn id="11" name="MA200" dataDxfId="123"/>
    <tableColumn id="12" name="Target" dataDxfId="122">
      <calculatedColumnFormula>K2*0.9</calculatedColumnFormula>
    </tableColumn>
    <tableColumn id="13" name="Buy?" dataDxfId="121">
      <calculatedColumnFormula>L2&gt;C2</calculatedColumnFormula>
    </tableColumn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id="9" name="Table310" displayName="Table310" ref="A1:M8" totalsRowShown="0" headerRowDxfId="120" dataDxfId="119">
  <autoFilter ref="A1:M8"/>
  <sortState ref="A2:K8">
    <sortCondition ref="A1:A8"/>
  </sortState>
  <tableColumns count="13">
    <tableColumn id="1" name="Ticker" dataDxfId="118"/>
    <tableColumn id="2" name="Company Name" dataDxfId="117"/>
    <tableColumn id="3" name="LatestPrice" dataDxfId="116"/>
    <tableColumn id="4" name="DaysLow" dataDxfId="115"/>
    <tableColumn id="5" name="DaysHigh" dataDxfId="114"/>
    <tableColumn id="6" name="PreviousClose" dataDxfId="113"/>
    <tableColumn id="10" name="%Change" dataDxfId="112"/>
    <tableColumn id="7" name="MarketCap" dataDxfId="111"/>
    <tableColumn id="8" name="DivYield" dataDxfId="110"/>
    <tableColumn id="9" name="P/E" dataDxfId="109"/>
    <tableColumn id="11" name="MA200" dataDxfId="108"/>
    <tableColumn id="12" name="Target" dataDxfId="107">
      <calculatedColumnFormula>K2*0.9</calculatedColumnFormula>
    </tableColumn>
    <tableColumn id="13" name="Buy?" dataDxfId="106">
      <calculatedColumnFormula>L2&gt;C2</calculatedColumnFormula>
    </tableColumn>
  </tableColumns>
  <tableStyleInfo name="TableStyleMedium13" showFirstColumn="0" showLastColumn="0" showRowStripes="1" showColumnStripes="0"/>
</table>
</file>

<file path=xl/tables/table30.xml><?xml version="1.0" encoding="utf-8"?>
<table xmlns="http://schemas.openxmlformats.org/spreadsheetml/2006/main" id="1" name="Table262" displayName="Table262" ref="A1:M12" totalsRowShown="0" headerRowDxfId="105" dataDxfId="104">
  <autoFilter ref="A1:M12"/>
  <sortState ref="A2:K8">
    <sortCondition ref="A1:A8"/>
  </sortState>
  <tableColumns count="13">
    <tableColumn id="1" name="Ticker" dataDxfId="103"/>
    <tableColumn id="2" name="Company Name" dataDxfId="102"/>
    <tableColumn id="3" name="LatestPrice" dataDxfId="101"/>
    <tableColumn id="4" name="DaysLow" dataDxfId="100"/>
    <tableColumn id="5" name="DaysHigh" dataDxfId="99"/>
    <tableColumn id="6" name="PreviousClose" dataDxfId="98"/>
    <tableColumn id="7" name="%Change" dataDxfId="97"/>
    <tableColumn id="8" name="MarketCap" dataDxfId="96"/>
    <tableColumn id="9" name="DivYield" dataDxfId="95"/>
    <tableColumn id="10" name="P/E" dataDxfId="94"/>
    <tableColumn id="11" name="MA200" dataDxfId="93"/>
    <tableColumn id="12" name="Target" dataDxfId="92">
      <calculatedColumnFormula>K2*0.9</calculatedColumnFormula>
    </tableColumn>
    <tableColumn id="13" name="Buy?" dataDxfId="91">
      <calculatedColumnFormula>L2&gt;C2</calculatedColumnFormula>
    </tableColumn>
  </tableColumns>
  <tableStyleInfo name="TableStyleMedium13" showFirstColumn="0" showLastColumn="0" showRowStripes="1" showColumnStripes="0"/>
</table>
</file>

<file path=xl/tables/table31.xml><?xml version="1.0" encoding="utf-8"?>
<table xmlns="http://schemas.openxmlformats.org/spreadsheetml/2006/main" id="12" name="Table26213" displayName="Table26213" ref="A1:M8" totalsRowShown="0" headerRowDxfId="90" dataDxfId="89">
  <autoFilter ref="A1:M8"/>
  <sortState ref="A2:K6">
    <sortCondition ref="A1:A6"/>
  </sortState>
  <tableColumns count="13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/>
    <tableColumn id="8" name="MarketCap" dataDxfId="81"/>
    <tableColumn id="9" name="DivYield" dataDxfId="80"/>
    <tableColumn id="10" name="P/E" dataDxfId="79"/>
    <tableColumn id="11" name="MA200" dataDxfId="78"/>
    <tableColumn id="12" name="Target" dataDxfId="77">
      <calculatedColumnFormula>K2*0.9</calculatedColumnFormula>
    </tableColumn>
    <tableColumn id="13" name="Buy?" dataDxfId="76">
      <calculatedColumnFormula>L2&gt;C2</calculatedColumnFormula>
    </tableColumn>
  </tableColumns>
  <tableStyleInfo name="TableStyleMedium13" showFirstColumn="0" showLastColumn="0" showRowStripes="1" showColumnStripes="0"/>
</table>
</file>

<file path=xl/tables/table32.xml><?xml version="1.0" encoding="utf-8"?>
<table xmlns="http://schemas.openxmlformats.org/spreadsheetml/2006/main" id="14" name="Table28915" displayName="Table28915" ref="A1:N12" totalsRowShown="0" headerRowDxfId="75" dataDxfId="74">
  <autoFilter ref="A1:N12"/>
  <sortState ref="A2:L16">
    <sortCondition ref="L1:L16"/>
  </sortState>
  <tableColumns count="14">
    <tableColumn id="1" name="Ticker" dataDxfId="73"/>
    <tableColumn id="2" name="Company Name" dataDxfId="72"/>
    <tableColumn id="3" name="LatestPrice" dataDxfId="71"/>
    <tableColumn id="4" name="DaysLow" dataDxfId="70"/>
    <tableColumn id="5" name="DaysHigh" dataDxfId="69"/>
    <tableColumn id="6" name="PreviousClose" dataDxfId="68"/>
    <tableColumn id="7" name="%Change" dataDxfId="67" dataCellStyle="Comma"/>
    <tableColumn id="8" name="MarketCap" dataDxfId="66"/>
    <tableColumn id="9" name="DivYield" dataDxfId="65"/>
    <tableColumn id="10" name="P/E" dataDxfId="64"/>
    <tableColumn id="11" name="MA200" dataDxfId="63"/>
    <tableColumn id="12" name="Category" dataDxfId="62"/>
    <tableColumn id="13" name="Target" dataDxfId="61">
      <calculatedColumnFormula>K2*0.9</calculatedColumnFormula>
    </tableColumn>
    <tableColumn id="14" name="Buy?" dataDxfId="60">
      <calculatedColumnFormula>M2&gt;D2</calculatedColumnFormula>
    </tableColumn>
  </tableColumns>
  <tableStyleInfo name="TableStyleMedium13" showFirstColumn="0" showLastColumn="0" showRowStripes="1" showColumnStripes="0"/>
</table>
</file>

<file path=xl/tables/table33.xml><?xml version="1.0" encoding="utf-8"?>
<table xmlns="http://schemas.openxmlformats.org/spreadsheetml/2006/main" id="6" name="Table262137" displayName="Table262137" ref="A1:M6" totalsRowShown="0" headerRowDxfId="59" dataDxfId="58">
  <autoFilter ref="A1:M6"/>
  <sortState ref="A2:K6">
    <sortCondition ref="A1:A6"/>
  </sortState>
  <tableColumns count="13">
    <tableColumn id="1" name="Ticker" dataDxfId="57"/>
    <tableColumn id="2" name="Company Name" dataDxfId="56"/>
    <tableColumn id="3" name="LatestPrice" dataDxfId="55"/>
    <tableColumn id="4" name="DaysLow" dataDxfId="54"/>
    <tableColumn id="5" name="DaysHigh" dataDxfId="53"/>
    <tableColumn id="6" name="PreviousClose" dataDxfId="52"/>
    <tableColumn id="7" name="%Change" dataDxfId="51"/>
    <tableColumn id="8" name="MarketCap" dataDxfId="50"/>
    <tableColumn id="9" name="DivYield" dataDxfId="49"/>
    <tableColumn id="10" name="P/E" dataDxfId="48"/>
    <tableColumn id="11" name="MA200" dataDxfId="47"/>
    <tableColumn id="12" name="Target" dataDxfId="46">
      <calculatedColumnFormula>K2*0.9</calculatedColumnFormula>
    </tableColumn>
    <tableColumn id="13" name="Buy?" dataDxfId="45">
      <calculatedColumnFormula>L2&gt;C2</calculatedColumnFormula>
    </tableColumn>
  </tableColumns>
  <tableStyleInfo name="TableStyleMedium13" showFirstColumn="0" showLastColumn="0" showRowStripes="1" showColumnStripes="0"/>
</table>
</file>

<file path=xl/tables/table34.xml><?xml version="1.0" encoding="utf-8"?>
<table xmlns="http://schemas.openxmlformats.org/spreadsheetml/2006/main" id="10" name="Table31011" displayName="Table31011" ref="A1:M33" totalsRowShown="0" headerRowDxfId="44" dataDxfId="43">
  <autoFilter ref="A1:M33"/>
  <sortState ref="A2:M33">
    <sortCondition ref="A1:A33"/>
  </sortState>
  <tableColumns count="13">
    <tableColumn id="1" name="Ticker" dataDxfId="42"/>
    <tableColumn id="2" name="Company Name" dataDxfId="41"/>
    <tableColumn id="3" name="LatestPrice" dataDxfId="40"/>
    <tableColumn id="4" name="DaysLow" dataDxfId="39"/>
    <tableColumn id="5" name="DaysHigh" dataDxfId="38"/>
    <tableColumn id="6" name="PreviousClose" dataDxfId="37"/>
    <tableColumn id="10" name="%Change" dataDxfId="36"/>
    <tableColumn id="7" name="MarketCap" dataDxfId="35"/>
    <tableColumn id="8" name="DivYield" dataDxfId="34"/>
    <tableColumn id="9" name="P/E" dataDxfId="33"/>
    <tableColumn id="11" name="MA200" dataDxfId="32"/>
    <tableColumn id="12" name="Target" dataDxfId="31">
      <calculatedColumnFormula>K2*0.9</calculatedColumnFormula>
    </tableColumn>
    <tableColumn id="13" name="Buy?" dataDxfId="30">
      <calculatedColumnFormula>L2&gt;C2</calculatedColumnFormula>
    </tableColumn>
  </tableColumns>
  <tableStyleInfo name="TableStyleMedium13" showFirstColumn="0" showLastColumn="0" showRowStripes="1" showColumnStripes="0"/>
</table>
</file>

<file path=xl/tables/table35.xml><?xml version="1.0" encoding="utf-8"?>
<table xmlns="http://schemas.openxmlformats.org/spreadsheetml/2006/main" id="24" name="Table3101125" displayName="Table3101125" ref="A1:M9" totalsRowShown="0" headerRowDxfId="29" dataDxfId="28">
  <autoFilter ref="A1:M9"/>
  <sortState ref="A2:K33">
    <sortCondition ref="J1:J33"/>
  </sortState>
  <tableColumns count="13">
    <tableColumn id="1" name="Ticker" dataDxfId="27"/>
    <tableColumn id="2" name="Company Name" dataDxfId="26"/>
    <tableColumn id="3" name="LatestPrice" dataDxfId="25"/>
    <tableColumn id="4" name="DaysLow" dataDxfId="24"/>
    <tableColumn id="5" name="DaysHigh" dataDxfId="23"/>
    <tableColumn id="6" name="PreviousClose" dataDxfId="22"/>
    <tableColumn id="10" name="%Change" dataDxfId="21"/>
    <tableColumn id="7" name="MarketCap" dataDxfId="20"/>
    <tableColumn id="8" name="DivYield" dataDxfId="19"/>
    <tableColumn id="9" name="P/E" dataDxfId="18"/>
    <tableColumn id="11" name="MA200" dataDxfId="17"/>
    <tableColumn id="12" name="Target" dataDxfId="16">
      <calculatedColumnFormula>K2*0.9</calculatedColumnFormula>
    </tableColumn>
    <tableColumn id="13" name="Buy?" dataDxfId="15">
      <calculatedColumnFormula>L2&gt;C2</calculatedColumnFormula>
    </tableColumn>
  </tableColumns>
  <tableStyleInfo name="TableStyleMedium13" showFirstColumn="0" showLastColumn="0" showRowStripes="1" showColumnStripes="0"/>
</table>
</file>

<file path=xl/tables/table36.xml><?xml version="1.0" encoding="utf-8"?>
<table xmlns="http://schemas.openxmlformats.org/spreadsheetml/2006/main" id="29" name="Table310112530" displayName="Table310112530" ref="A1:M5" totalsRowShown="0" headerRowDxfId="14" dataDxfId="13">
  <autoFilter ref="A1:M5"/>
  <sortState ref="A2:K33">
    <sortCondition ref="J1:J33"/>
  </sortState>
  <tableColumns count="13">
    <tableColumn id="1" name="Ticker" dataDxfId="12"/>
    <tableColumn id="2" name="Company Name" dataDxfId="11"/>
    <tableColumn id="3" name="LatestPrice" dataDxfId="10"/>
    <tableColumn id="4" name="DaysLow" dataDxfId="9"/>
    <tableColumn id="5" name="DaysHigh" dataDxfId="8"/>
    <tableColumn id="6" name="PreviousClose" dataDxfId="7"/>
    <tableColumn id="10" name="%Change" dataDxfId="6"/>
    <tableColumn id="7" name="MarketCap" dataDxfId="5"/>
    <tableColumn id="8" name="DivYield" dataDxfId="4"/>
    <tableColumn id="9" name="P/E" dataDxfId="3"/>
    <tableColumn id="11" name="MA200" dataDxfId="2"/>
    <tableColumn id="12" name="Target" dataDxfId="1">
      <calculatedColumnFormula>K2*0.9</calculatedColumnFormula>
    </tableColumn>
    <tableColumn id="13" name="Buy?" dataDxfId="0">
      <calculatedColumnFormula>L2&gt;C2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43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9.140625" defaultRowHeight="24.95" customHeight="1" x14ac:dyDescent="0.4"/>
  <cols>
    <col min="1" max="1" width="15.7109375" style="21" customWidth="1"/>
    <col min="2" max="2" width="15.7109375" style="22" customWidth="1"/>
    <col min="3" max="38" width="15.7109375" style="21" customWidth="1"/>
    <col min="39" max="16384" width="9.140625" style="21"/>
  </cols>
  <sheetData>
    <row r="1" spans="1:37" ht="24.95" customHeight="1" x14ac:dyDescent="0.4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 t="s">
        <v>256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24.95" customHeight="1" x14ac:dyDescent="0.4">
      <c r="A2" s="37"/>
      <c r="B2" s="25" t="s">
        <v>640</v>
      </c>
      <c r="C2" s="25" t="s">
        <v>304</v>
      </c>
      <c r="D2" s="25" t="s">
        <v>335</v>
      </c>
      <c r="E2" s="25" t="s">
        <v>255</v>
      </c>
      <c r="F2" s="25" t="s">
        <v>483</v>
      </c>
      <c r="G2" s="25" t="s">
        <v>577</v>
      </c>
      <c r="H2" s="25" t="s">
        <v>200</v>
      </c>
      <c r="I2" s="25" t="s">
        <v>713</v>
      </c>
      <c r="J2" s="25" t="s">
        <v>639</v>
      </c>
      <c r="K2" s="25" t="s">
        <v>674</v>
      </c>
      <c r="L2" s="25" t="s">
        <v>219</v>
      </c>
      <c r="M2" s="25" t="s">
        <v>201</v>
      </c>
      <c r="N2" s="25" t="s">
        <v>440</v>
      </c>
      <c r="O2" s="25" t="s">
        <v>558</v>
      </c>
      <c r="P2" s="25" t="s">
        <v>480</v>
      </c>
      <c r="Q2" s="25" t="s">
        <v>202</v>
      </c>
      <c r="R2" s="25" t="s">
        <v>505</v>
      </c>
      <c r="S2" s="25" t="s">
        <v>240</v>
      </c>
      <c r="T2" s="25" t="s">
        <v>235</v>
      </c>
      <c r="U2" s="25" t="s">
        <v>655</v>
      </c>
      <c r="V2" s="25" t="s">
        <v>203</v>
      </c>
      <c r="W2" s="25" t="s">
        <v>701</v>
      </c>
      <c r="X2" s="25" t="s">
        <v>204</v>
      </c>
      <c r="Y2" s="25" t="s">
        <v>663</v>
      </c>
      <c r="Z2" s="25" t="s">
        <v>205</v>
      </c>
      <c r="AA2" s="25" t="s">
        <v>206</v>
      </c>
      <c r="AB2" s="25" t="s">
        <v>340</v>
      </c>
      <c r="AC2" s="69" t="s">
        <v>321</v>
      </c>
      <c r="AD2" s="69" t="s">
        <v>207</v>
      </c>
      <c r="AE2" s="69" t="s">
        <v>208</v>
      </c>
      <c r="AF2" s="69" t="s">
        <v>209</v>
      </c>
      <c r="AG2" s="69" t="s">
        <v>379</v>
      </c>
      <c r="AH2" s="69" t="s">
        <v>267</v>
      </c>
      <c r="AI2" s="69" t="s">
        <v>210</v>
      </c>
      <c r="AJ2" s="69" t="s">
        <v>466</v>
      </c>
      <c r="AK2" s="69" t="s">
        <v>529</v>
      </c>
    </row>
    <row r="3" spans="1:37" ht="24.95" customHeight="1" x14ac:dyDescent="0.4">
      <c r="A3" s="24"/>
      <c r="B3" s="2" t="s">
        <v>641</v>
      </c>
      <c r="C3" s="2" t="s">
        <v>122</v>
      </c>
      <c r="D3" s="59" t="s">
        <v>326</v>
      </c>
      <c r="E3" s="2" t="s">
        <v>245</v>
      </c>
      <c r="F3" s="1" t="s">
        <v>467</v>
      </c>
      <c r="G3" s="1" t="s">
        <v>126</v>
      </c>
      <c r="H3" s="2" t="s">
        <v>106</v>
      </c>
      <c r="I3" s="2" t="s">
        <v>702</v>
      </c>
      <c r="J3" s="2" t="s">
        <v>629</v>
      </c>
      <c r="K3" s="2" t="s">
        <v>666</v>
      </c>
      <c r="L3" s="2" t="s">
        <v>211</v>
      </c>
      <c r="M3" s="2" t="s">
        <v>3</v>
      </c>
      <c r="N3" s="59" t="s">
        <v>80</v>
      </c>
      <c r="O3" s="2" t="s">
        <v>19</v>
      </c>
      <c r="P3" s="2" t="s">
        <v>476</v>
      </c>
      <c r="Q3" s="2" t="s">
        <v>71</v>
      </c>
      <c r="R3" s="2" t="s">
        <v>491</v>
      </c>
      <c r="S3" s="61" t="s">
        <v>181</v>
      </c>
      <c r="T3" s="23" t="s">
        <v>223</v>
      </c>
      <c r="U3" s="23" t="s">
        <v>649</v>
      </c>
      <c r="V3" s="83" t="s">
        <v>37</v>
      </c>
      <c r="W3" s="2" t="s">
        <v>689</v>
      </c>
      <c r="X3" s="2" t="s">
        <v>122</v>
      </c>
      <c r="Y3" s="2" t="s">
        <v>520</v>
      </c>
      <c r="Z3" s="33" t="s">
        <v>292</v>
      </c>
      <c r="AA3" s="2" t="s">
        <v>162</v>
      </c>
      <c r="AB3" s="1" t="s">
        <v>117</v>
      </c>
      <c r="AC3" s="1" t="s">
        <v>313</v>
      </c>
      <c r="AD3" s="1" t="s">
        <v>145</v>
      </c>
      <c r="AE3" s="1" t="s">
        <v>75</v>
      </c>
      <c r="AF3" s="2" t="s">
        <v>173</v>
      </c>
      <c r="AG3" s="39" t="s">
        <v>370</v>
      </c>
      <c r="AH3" s="1" t="s">
        <v>259</v>
      </c>
      <c r="AI3" s="95" t="s">
        <v>392</v>
      </c>
      <c r="AJ3" s="1" t="s">
        <v>452</v>
      </c>
      <c r="AK3" s="2" t="s">
        <v>521</v>
      </c>
    </row>
    <row r="4" spans="1:37" ht="24.95" customHeight="1" x14ac:dyDescent="0.4">
      <c r="A4" s="24"/>
      <c r="B4" s="2" t="s">
        <v>642</v>
      </c>
      <c r="C4" s="2" t="s">
        <v>300</v>
      </c>
      <c r="D4" s="2" t="s">
        <v>421</v>
      </c>
      <c r="E4" s="81" t="s">
        <v>246</v>
      </c>
      <c r="F4" s="2" t="s">
        <v>468</v>
      </c>
      <c r="G4" s="2" t="s">
        <v>573</v>
      </c>
      <c r="H4" s="2" t="s">
        <v>99</v>
      </c>
      <c r="I4" s="2" t="s">
        <v>703</v>
      </c>
      <c r="J4" s="2" t="s">
        <v>630</v>
      </c>
      <c r="K4" s="2" t="s">
        <v>667</v>
      </c>
      <c r="L4" s="2" t="s">
        <v>212</v>
      </c>
      <c r="M4" s="81" t="s">
        <v>0</v>
      </c>
      <c r="N4" s="1" t="s">
        <v>432</v>
      </c>
      <c r="O4" s="2" t="s">
        <v>21</v>
      </c>
      <c r="P4" s="59" t="s">
        <v>477</v>
      </c>
      <c r="Q4" s="2" t="s">
        <v>84</v>
      </c>
      <c r="R4" s="2" t="s">
        <v>492</v>
      </c>
      <c r="S4" s="61" t="s">
        <v>277</v>
      </c>
      <c r="T4" s="23" t="s">
        <v>225</v>
      </c>
      <c r="U4" s="23" t="s">
        <v>650</v>
      </c>
      <c r="V4" s="93" t="s">
        <v>33</v>
      </c>
      <c r="W4" s="1" t="s">
        <v>690</v>
      </c>
      <c r="X4" s="2" t="s">
        <v>125</v>
      </c>
      <c r="Y4" s="2" t="s">
        <v>578</v>
      </c>
      <c r="Z4" s="1" t="s">
        <v>86</v>
      </c>
      <c r="AA4" s="2" t="s">
        <v>160</v>
      </c>
      <c r="AB4" s="2" t="s">
        <v>156</v>
      </c>
      <c r="AC4" s="2" t="s">
        <v>314</v>
      </c>
      <c r="AD4" s="1" t="s">
        <v>144</v>
      </c>
      <c r="AE4" s="1" t="s">
        <v>73</v>
      </c>
      <c r="AF4" s="2" t="s">
        <v>176</v>
      </c>
      <c r="AG4" s="39" t="s">
        <v>366</v>
      </c>
      <c r="AH4" s="2" t="s">
        <v>260</v>
      </c>
      <c r="AI4" s="95" t="s">
        <v>3</v>
      </c>
      <c r="AJ4" s="2" t="s">
        <v>453</v>
      </c>
      <c r="AK4" s="2" t="s">
        <v>522</v>
      </c>
    </row>
    <row r="5" spans="1:37" ht="24.95" customHeight="1" x14ac:dyDescent="0.4">
      <c r="A5" s="24"/>
      <c r="B5" s="2" t="s">
        <v>643</v>
      </c>
      <c r="C5" s="2" t="s">
        <v>301</v>
      </c>
      <c r="D5" s="2" t="s">
        <v>324</v>
      </c>
      <c r="E5" s="59" t="s">
        <v>247</v>
      </c>
      <c r="F5" s="2" t="s">
        <v>71</v>
      </c>
      <c r="G5" s="2" t="s">
        <v>574</v>
      </c>
      <c r="H5" s="2" t="s">
        <v>98</v>
      </c>
      <c r="I5" s="2" t="s">
        <v>704</v>
      </c>
      <c r="J5" s="2" t="s">
        <v>631</v>
      </c>
      <c r="K5" s="81" t="s">
        <v>159</v>
      </c>
      <c r="L5" s="2" t="s">
        <v>213</v>
      </c>
      <c r="M5" s="2" t="s">
        <v>1</v>
      </c>
      <c r="N5" s="1" t="s">
        <v>75</v>
      </c>
      <c r="O5" s="2" t="s">
        <v>20</v>
      </c>
      <c r="P5" s="2" t="s">
        <v>481</v>
      </c>
      <c r="Q5" s="1" t="s">
        <v>70</v>
      </c>
      <c r="R5" s="2" t="s">
        <v>493</v>
      </c>
      <c r="S5" s="66" t="s">
        <v>236</v>
      </c>
      <c r="T5" s="23" t="s">
        <v>226</v>
      </c>
      <c r="U5" s="23" t="s">
        <v>651</v>
      </c>
      <c r="V5" s="83" t="s">
        <v>34</v>
      </c>
      <c r="W5" s="2" t="s">
        <v>691</v>
      </c>
      <c r="X5" s="2" t="s">
        <v>124</v>
      </c>
      <c r="Y5" s="2" t="s">
        <v>579</v>
      </c>
      <c r="Z5" s="33" t="s">
        <v>288</v>
      </c>
      <c r="AA5" s="81" t="s">
        <v>159</v>
      </c>
      <c r="AB5" s="27" t="s">
        <v>238</v>
      </c>
      <c r="AC5" s="1" t="s">
        <v>315</v>
      </c>
      <c r="AD5" s="2" t="s">
        <v>147</v>
      </c>
      <c r="AE5" s="2" t="s">
        <v>76</v>
      </c>
      <c r="AF5" s="1" t="s">
        <v>140</v>
      </c>
      <c r="AG5" s="39" t="s">
        <v>369</v>
      </c>
      <c r="AH5" s="2" t="s">
        <v>261</v>
      </c>
      <c r="AI5" s="95" t="s">
        <v>398</v>
      </c>
      <c r="AJ5" s="81" t="s">
        <v>454</v>
      </c>
      <c r="AK5" s="2" t="s">
        <v>523</v>
      </c>
    </row>
    <row r="6" spans="1:37" ht="24.95" customHeight="1" x14ac:dyDescent="0.4">
      <c r="A6" s="24"/>
      <c r="B6" s="2" t="s">
        <v>644</v>
      </c>
      <c r="C6" s="2" t="s">
        <v>305</v>
      </c>
      <c r="D6" s="38" t="s">
        <v>323</v>
      </c>
      <c r="E6" s="81" t="s">
        <v>248</v>
      </c>
      <c r="F6" s="2" t="s">
        <v>469</v>
      </c>
      <c r="G6" s="2" t="s">
        <v>661</v>
      </c>
      <c r="H6" s="2" t="s">
        <v>241</v>
      </c>
      <c r="I6" s="2" t="s">
        <v>705</v>
      </c>
      <c r="J6" s="2" t="s">
        <v>632</v>
      </c>
      <c r="K6" s="71" t="s">
        <v>672</v>
      </c>
      <c r="L6" s="2" t="s">
        <v>214</v>
      </c>
      <c r="M6" s="2" t="s">
        <v>4</v>
      </c>
      <c r="N6" s="2" t="s">
        <v>433</v>
      </c>
      <c r="O6" s="2" t="s">
        <v>22</v>
      </c>
      <c r="P6" s="2"/>
      <c r="Q6" s="1" t="s">
        <v>69</v>
      </c>
      <c r="R6" s="2" t="s">
        <v>494</v>
      </c>
      <c r="S6" s="61" t="s">
        <v>182</v>
      </c>
      <c r="T6" s="23" t="s">
        <v>222</v>
      </c>
      <c r="U6" s="23" t="s">
        <v>652</v>
      </c>
      <c r="V6" s="2" t="s">
        <v>32</v>
      </c>
      <c r="W6" s="2" t="s">
        <v>692</v>
      </c>
      <c r="X6" s="1" t="s">
        <v>126</v>
      </c>
      <c r="Y6" s="2" t="s">
        <v>580</v>
      </c>
      <c r="Z6" s="33" t="s">
        <v>290</v>
      </c>
      <c r="AA6" s="2" t="s">
        <v>163</v>
      </c>
      <c r="AB6" s="2" t="s">
        <v>343</v>
      </c>
      <c r="AC6" s="2" t="s">
        <v>316</v>
      </c>
      <c r="AD6" s="2" t="s">
        <v>149</v>
      </c>
      <c r="AE6" s="81" t="s">
        <v>74</v>
      </c>
      <c r="AF6" s="2" t="s">
        <v>175</v>
      </c>
      <c r="AG6" s="39" t="s">
        <v>367</v>
      </c>
      <c r="AH6" s="105" t="s">
        <v>924</v>
      </c>
      <c r="AI6" s="95" t="s">
        <v>393</v>
      </c>
      <c r="AJ6" s="2" t="s">
        <v>455</v>
      </c>
      <c r="AK6" s="2" t="s">
        <v>524</v>
      </c>
    </row>
    <row r="7" spans="1:37" ht="24.95" customHeight="1" x14ac:dyDescent="0.4">
      <c r="A7" s="24"/>
      <c r="B7" s="2"/>
      <c r="C7" s="1" t="s">
        <v>121</v>
      </c>
      <c r="D7" s="2" t="s">
        <v>423</v>
      </c>
      <c r="E7" s="2" t="s">
        <v>249</v>
      </c>
      <c r="F7" s="2" t="s">
        <v>470</v>
      </c>
      <c r="G7" s="71" t="s">
        <v>664</v>
      </c>
      <c r="H7" s="2" t="s">
        <v>101</v>
      </c>
      <c r="I7" s="2" t="s">
        <v>706</v>
      </c>
      <c r="J7" s="105" t="s">
        <v>747</v>
      </c>
      <c r="K7" s="81" t="s">
        <v>668</v>
      </c>
      <c r="L7" s="2" t="s">
        <v>305</v>
      </c>
      <c r="M7" s="2" t="s">
        <v>6</v>
      </c>
      <c r="N7" s="2" t="s">
        <v>434</v>
      </c>
      <c r="O7" s="2" t="s">
        <v>23</v>
      </c>
      <c r="P7" s="2"/>
      <c r="Q7" s="2" t="s">
        <v>72</v>
      </c>
      <c r="R7" s="2" t="s">
        <v>495</v>
      </c>
      <c r="S7" s="61" t="s">
        <v>186</v>
      </c>
      <c r="T7" s="23" t="s">
        <v>224</v>
      </c>
      <c r="U7" s="23" t="s">
        <v>654</v>
      </c>
      <c r="V7" s="81" t="s">
        <v>31</v>
      </c>
      <c r="W7" s="2" t="s">
        <v>693</v>
      </c>
      <c r="X7" s="2" t="s">
        <v>123</v>
      </c>
      <c r="Y7" s="2" t="s">
        <v>581</v>
      </c>
      <c r="Z7" s="2" t="s">
        <v>289</v>
      </c>
      <c r="AA7" s="2" t="s">
        <v>161</v>
      </c>
      <c r="AB7" s="2" t="s">
        <v>344</v>
      </c>
      <c r="AC7" s="2" t="s">
        <v>530</v>
      </c>
      <c r="AD7" s="2" t="s">
        <v>146</v>
      </c>
      <c r="AE7" s="2" t="s">
        <v>77</v>
      </c>
      <c r="AF7" s="2" t="s">
        <v>311</v>
      </c>
      <c r="AG7" s="39" t="s">
        <v>368</v>
      </c>
      <c r="AH7" s="2" t="s">
        <v>265</v>
      </c>
      <c r="AI7" s="95" t="s">
        <v>394</v>
      </c>
      <c r="AJ7" s="81" t="s">
        <v>456</v>
      </c>
      <c r="AK7"/>
    </row>
    <row r="8" spans="1:37" ht="24.95" customHeight="1" x14ac:dyDescent="0.4">
      <c r="A8" s="24"/>
      <c r="B8" s="2"/>
      <c r="C8" s="2" t="s">
        <v>307</v>
      </c>
      <c r="D8" s="2" t="s">
        <v>428</v>
      </c>
      <c r="E8" s="2" t="s">
        <v>506</v>
      </c>
      <c r="F8" s="2" t="s">
        <v>542</v>
      </c>
      <c r="G8" s="2" t="s">
        <v>931</v>
      </c>
      <c r="H8" s="1" t="s">
        <v>96</v>
      </c>
      <c r="I8"/>
      <c r="J8" s="2" t="s">
        <v>633</v>
      </c>
      <c r="K8"/>
      <c r="L8" s="2" t="s">
        <v>546</v>
      </c>
      <c r="M8" s="2" t="s">
        <v>2</v>
      </c>
      <c r="N8" s="2" t="s">
        <v>435</v>
      </c>
      <c r="O8" s="2" t="s">
        <v>24</v>
      </c>
      <c r="P8" s="2"/>
      <c r="Q8" s="2" t="s">
        <v>322</v>
      </c>
      <c r="R8" s="2" t="s">
        <v>496</v>
      </c>
      <c r="S8" s="61" t="s">
        <v>195</v>
      </c>
      <c r="T8" s="23" t="s">
        <v>220</v>
      </c>
      <c r="U8" s="23" t="s">
        <v>653</v>
      </c>
      <c r="V8" s="2" t="s">
        <v>35</v>
      </c>
      <c r="W8" s="2" t="s">
        <v>694</v>
      </c>
      <c r="X8" s="1" t="s">
        <v>118</v>
      </c>
      <c r="Y8" s="2" t="s">
        <v>582</v>
      </c>
      <c r="Z8" s="2" t="s">
        <v>89</v>
      </c>
      <c r="AA8" s="2" t="s">
        <v>165</v>
      </c>
      <c r="AB8" s="2" t="s">
        <v>347</v>
      </c>
      <c r="AC8" s="2" t="s">
        <v>531</v>
      </c>
      <c r="AD8" s="1" t="s">
        <v>148</v>
      </c>
      <c r="AE8" s="1" t="s">
        <v>80</v>
      </c>
      <c r="AF8" s="2" t="s">
        <v>336</v>
      </c>
      <c r="AG8" s="45" t="s">
        <v>356</v>
      </c>
      <c r="AH8"/>
      <c r="AI8" s="95" t="s">
        <v>270</v>
      </c>
      <c r="AJ8" s="2" t="s">
        <v>457</v>
      </c>
      <c r="AK8"/>
    </row>
    <row r="9" spans="1:37" ht="24.95" customHeight="1" x14ac:dyDescent="0.4">
      <c r="A9" s="24"/>
      <c r="B9" s="2"/>
      <c r="C9" s="2" t="s">
        <v>675</v>
      </c>
      <c r="D9" s="71" t="s">
        <v>539</v>
      </c>
      <c r="E9" s="2" t="s">
        <v>508</v>
      </c>
      <c r="F9" s="2" t="s">
        <v>543</v>
      </c>
      <c r="G9" s="81" t="s">
        <v>449</v>
      </c>
      <c r="H9" s="1" t="s">
        <v>94</v>
      </c>
      <c r="I9"/>
      <c r="J9"/>
      <c r="K9"/>
      <c r="L9" s="2" t="s">
        <v>687</v>
      </c>
      <c r="M9" s="2" t="s">
        <v>7</v>
      </c>
      <c r="N9" s="2" t="s">
        <v>77</v>
      </c>
      <c r="O9" s="1" t="s">
        <v>18</v>
      </c>
      <c r="P9" s="2"/>
      <c r="Q9" s="81" t="s">
        <v>474</v>
      </c>
      <c r="R9" s="2" t="s">
        <v>497</v>
      </c>
      <c r="S9" s="61" t="s">
        <v>196</v>
      </c>
      <c r="T9" s="23" t="s">
        <v>221</v>
      </c>
      <c r="U9" s="7"/>
      <c r="V9" s="1" t="s">
        <v>36</v>
      </c>
      <c r="W9" s="2"/>
      <c r="X9" s="1" t="s">
        <v>120</v>
      </c>
      <c r="Y9" s="2" t="s">
        <v>522</v>
      </c>
      <c r="Z9" s="2" t="s">
        <v>88</v>
      </c>
      <c r="AA9" s="2" t="s">
        <v>164</v>
      </c>
      <c r="AB9" s="2" t="s">
        <v>341</v>
      </c>
      <c r="AC9" s="2" t="s">
        <v>647</v>
      </c>
      <c r="AD9" s="1" t="s">
        <v>143</v>
      </c>
      <c r="AE9" s="2" t="s">
        <v>565</v>
      </c>
      <c r="AF9" s="2" t="s">
        <v>174</v>
      </c>
      <c r="AG9" s="45" t="s">
        <v>358</v>
      </c>
      <c r="AH9"/>
      <c r="AI9" s="99" t="s">
        <v>137</v>
      </c>
      <c r="AJ9" s="2" t="s">
        <v>714</v>
      </c>
      <c r="AK9"/>
    </row>
    <row r="10" spans="1:37" ht="24.95" customHeight="1" x14ac:dyDescent="0.4">
      <c r="A10" s="24"/>
      <c r="B10" s="2"/>
      <c r="C10" s="2"/>
      <c r="D10" s="2" t="s">
        <v>328</v>
      </c>
      <c r="E10" s="2" t="s">
        <v>510</v>
      </c>
      <c r="F10" s="2"/>
      <c r="G10"/>
      <c r="H10" s="2" t="s">
        <v>105</v>
      </c>
      <c r="I10"/>
      <c r="J10"/>
      <c r="K10"/>
      <c r="L10" s="2" t="s">
        <v>547</v>
      </c>
      <c r="M10" s="2" t="s">
        <v>5</v>
      </c>
      <c r="N10" s="2"/>
      <c r="O10" s="81" t="s">
        <v>17</v>
      </c>
      <c r="P10" s="2"/>
      <c r="Q10" s="2" t="s">
        <v>469</v>
      </c>
      <c r="R10" s="2" t="s">
        <v>559</v>
      </c>
      <c r="S10" s="61" t="s">
        <v>180</v>
      </c>
      <c r="T10" s="23" t="s">
        <v>563</v>
      </c>
      <c r="U10" s="7"/>
      <c r="V10" s="2" t="s">
        <v>142</v>
      </c>
      <c r="W10" s="2"/>
      <c r="X10" s="1" t="s">
        <v>119</v>
      </c>
      <c r="Y10" s="2" t="s">
        <v>583</v>
      </c>
      <c r="Z10" s="2" t="s">
        <v>87</v>
      </c>
      <c r="AA10"/>
      <c r="AB10" s="2" t="s">
        <v>430</v>
      </c>
      <c r="AC10"/>
      <c r="AD10"/>
      <c r="AE10" s="2" t="s">
        <v>572</v>
      </c>
      <c r="AF10"/>
      <c r="AG10" s="45" t="s">
        <v>359</v>
      </c>
      <c r="AH10"/>
      <c r="AI10" s="95" t="s">
        <v>381</v>
      </c>
      <c r="AJ10" s="2" t="s">
        <v>458</v>
      </c>
      <c r="AK10"/>
    </row>
    <row r="11" spans="1:37" ht="24.95" customHeight="1" x14ac:dyDescent="0.4">
      <c r="A11" s="24"/>
      <c r="B11" s="2"/>
      <c r="C11" s="2"/>
      <c r="D11" s="2" t="s">
        <v>325</v>
      </c>
      <c r="E11" s="2" t="s">
        <v>685</v>
      </c>
      <c r="F11" s="2"/>
      <c r="G11"/>
      <c r="H11" s="81" t="s">
        <v>95</v>
      </c>
      <c r="I11"/>
      <c r="J11"/>
      <c r="K11"/>
      <c r="L11" s="2" t="s">
        <v>548</v>
      </c>
      <c r="M11" s="2" t="s">
        <v>268</v>
      </c>
      <c r="N11" s="2"/>
      <c r="O11" s="2" t="s">
        <v>25</v>
      </c>
      <c r="P11" s="2"/>
      <c r="Q11"/>
      <c r="R11" s="2" t="s">
        <v>561</v>
      </c>
      <c r="S11" s="61" t="s">
        <v>184</v>
      </c>
      <c r="T11" s="23" t="s">
        <v>227</v>
      </c>
      <c r="U11" s="7"/>
      <c r="V11" s="2" t="s">
        <v>933</v>
      </c>
      <c r="W11" s="2"/>
      <c r="X11" s="1" t="s">
        <v>121</v>
      </c>
      <c r="Y11" s="2" t="s">
        <v>584</v>
      </c>
      <c r="Z11" s="2" t="s">
        <v>297</v>
      </c>
      <c r="AA11"/>
      <c r="AB11" s="2" t="s">
        <v>512</v>
      </c>
      <c r="AC11"/>
      <c r="AD11"/>
      <c r="AE11" s="2" t="s">
        <v>351</v>
      </c>
      <c r="AF11"/>
      <c r="AG11" s="45" t="s">
        <v>354</v>
      </c>
      <c r="AH11"/>
      <c r="AI11" s="95" t="s">
        <v>390</v>
      </c>
      <c r="AJ11"/>
      <c r="AK11"/>
    </row>
    <row r="12" spans="1:37" ht="24.95" customHeight="1" x14ac:dyDescent="0.4">
      <c r="A12" s="24"/>
      <c r="B12" s="2"/>
      <c r="C12" s="2"/>
      <c r="D12" s="2" t="s">
        <v>422</v>
      </c>
      <c r="E12" s="2" t="s">
        <v>535</v>
      </c>
      <c r="F12" s="2"/>
      <c r="G12"/>
      <c r="H12" s="2" t="s">
        <v>102</v>
      </c>
      <c r="I12"/>
      <c r="J12"/>
      <c r="K12"/>
      <c r="L12"/>
      <c r="M12" s="2" t="s">
        <v>270</v>
      </c>
      <c r="N12" s="2"/>
      <c r="O12" s="2" t="s">
        <v>26</v>
      </c>
      <c r="P12" s="2"/>
      <c r="Q12"/>
      <c r="R12"/>
      <c r="S12" s="61" t="s">
        <v>683</v>
      </c>
      <c r="T12" s="7"/>
      <c r="U12" s="7"/>
      <c r="V12" s="2" t="s">
        <v>934</v>
      </c>
      <c r="W12" s="2"/>
      <c r="X12" s="2" t="s">
        <v>272</v>
      </c>
      <c r="Y12" s="2" t="s">
        <v>585</v>
      </c>
      <c r="Z12" s="2" t="s">
        <v>298</v>
      </c>
      <c r="AA12"/>
      <c r="AB12" s="2" t="s">
        <v>513</v>
      </c>
      <c r="AC12"/>
      <c r="AD12"/>
      <c r="AE12" s="2" t="s">
        <v>602</v>
      </c>
      <c r="AF12"/>
      <c r="AG12" s="45" t="s">
        <v>355</v>
      </c>
      <c r="AH12"/>
      <c r="AI12" s="95" t="s">
        <v>280</v>
      </c>
      <c r="AJ12"/>
      <c r="AK12"/>
    </row>
    <row r="13" spans="1:37" ht="24.95" customHeight="1" x14ac:dyDescent="0.4">
      <c r="A13" s="24"/>
      <c r="B13" s="2"/>
      <c r="C13" s="2"/>
      <c r="D13" s="81" t="s">
        <v>327</v>
      </c>
      <c r="E13" s="2"/>
      <c r="F13" s="2"/>
      <c r="G13"/>
      <c r="H13" s="2" t="s">
        <v>681</v>
      </c>
      <c r="I13"/>
      <c r="J13"/>
      <c r="K13"/>
      <c r="L13"/>
      <c r="M13" s="28" t="s">
        <v>280</v>
      </c>
      <c r="N13" s="2"/>
      <c r="O13" s="2" t="s">
        <v>27</v>
      </c>
      <c r="P13" s="2"/>
      <c r="Q13"/>
      <c r="R13"/>
      <c r="S13" s="61" t="s">
        <v>183</v>
      </c>
      <c r="T13" s="7"/>
      <c r="U13" s="7"/>
      <c r="V13" s="2" t="s">
        <v>935</v>
      </c>
      <c r="W13" s="2"/>
      <c r="X13" s="2" t="s">
        <v>274</v>
      </c>
      <c r="Y13" s="2" t="s">
        <v>123</v>
      </c>
      <c r="Z13" s="33" t="s">
        <v>291</v>
      </c>
      <c r="AA13"/>
      <c r="AB13" s="2" t="s">
        <v>514</v>
      </c>
      <c r="AC13"/>
      <c r="AD13"/>
      <c r="AE13" s="2" t="s">
        <v>603</v>
      </c>
      <c r="AF13"/>
      <c r="AG13" s="94" t="s">
        <v>357</v>
      </c>
      <c r="AH13"/>
      <c r="AI13" s="95" t="s">
        <v>386</v>
      </c>
      <c r="AJ13"/>
      <c r="AK13"/>
    </row>
    <row r="14" spans="1:37" ht="24.95" customHeight="1" x14ac:dyDescent="0.4">
      <c r="A14" s="24"/>
      <c r="B14" s="2"/>
      <c r="C14" s="2"/>
      <c r="D14" s="2" t="s">
        <v>420</v>
      </c>
      <c r="E14" s="2"/>
      <c r="F14" s="2"/>
      <c r="G14"/>
      <c r="H14" s="2" t="s">
        <v>103</v>
      </c>
      <c r="I14"/>
      <c r="J14"/>
      <c r="K14"/>
      <c r="L14"/>
      <c r="M14" s="2"/>
      <c r="N14" s="2"/>
      <c r="O14" s="2" t="s">
        <v>28</v>
      </c>
      <c r="P14" s="2"/>
      <c r="Q14"/>
      <c r="R14"/>
      <c r="S14" s="61" t="s">
        <v>194</v>
      </c>
      <c r="T14" s="7"/>
      <c r="U14" s="7"/>
      <c r="V14" s="2" t="s">
        <v>936</v>
      </c>
      <c r="W14" s="2"/>
      <c r="X14" s="81" t="s">
        <v>449</v>
      </c>
      <c r="Y14" s="2" t="s">
        <v>586</v>
      </c>
      <c r="Z14" s="2" t="s">
        <v>677</v>
      </c>
      <c r="AA14"/>
      <c r="AB14" s="2" t="s">
        <v>515</v>
      </c>
      <c r="AC14"/>
      <c r="AD14"/>
      <c r="AE14"/>
      <c r="AF14"/>
      <c r="AG14"/>
      <c r="AH14"/>
      <c r="AI14" s="95" t="s">
        <v>385</v>
      </c>
      <c r="AJ14"/>
      <c r="AK14"/>
    </row>
    <row r="15" spans="1:37" ht="24.95" customHeight="1" x14ac:dyDescent="0.4">
      <c r="A15" s="24"/>
      <c r="B15" s="2"/>
      <c r="C15" s="2"/>
      <c r="D15" s="2"/>
      <c r="E15" s="2"/>
      <c r="F15" s="2"/>
      <c r="G15"/>
      <c r="H15" s="1" t="s">
        <v>484</v>
      </c>
      <c r="I15"/>
      <c r="J15"/>
      <c r="K15"/>
      <c r="L15"/>
      <c r="M15" s="2"/>
      <c r="N15" s="2"/>
      <c r="O15" s="2" t="s">
        <v>29</v>
      </c>
      <c r="P15" s="2"/>
      <c r="Q15"/>
      <c r="R15"/>
      <c r="S15" s="61" t="s">
        <v>276</v>
      </c>
      <c r="T15" s="7"/>
      <c r="U15" s="7"/>
      <c r="V15" s="7"/>
      <c r="W15" s="2"/>
      <c r="X15"/>
      <c r="Y15" s="2" t="s">
        <v>587</v>
      </c>
      <c r="Z15"/>
      <c r="AA15"/>
      <c r="AB15" s="2" t="s">
        <v>537</v>
      </c>
      <c r="AC15"/>
      <c r="AD15"/>
      <c r="AE15"/>
      <c r="AF15"/>
      <c r="AG15"/>
      <c r="AH15"/>
      <c r="AI15" s="95" t="s">
        <v>389</v>
      </c>
      <c r="AJ15"/>
      <c r="AK15"/>
    </row>
    <row r="16" spans="1:37" ht="24.95" customHeight="1" x14ac:dyDescent="0.4">
      <c r="A16" s="24"/>
      <c r="B16" s="2"/>
      <c r="C16" s="2"/>
      <c r="D16" s="2"/>
      <c r="E16" s="2"/>
      <c r="F16" s="2"/>
      <c r="G16"/>
      <c r="H16" s="1" t="s">
        <v>97</v>
      </c>
      <c r="I16"/>
      <c r="J16"/>
      <c r="K16"/>
      <c r="L16"/>
      <c r="M16" s="2"/>
      <c r="N16" s="2"/>
      <c r="O16" s="2" t="s">
        <v>30</v>
      </c>
      <c r="P16" s="2"/>
      <c r="Q16"/>
      <c r="R16"/>
      <c r="S16" s="67" t="s">
        <v>185</v>
      </c>
      <c r="T16" s="7"/>
      <c r="U16" s="7"/>
      <c r="V16" s="7"/>
      <c r="W16" s="2"/>
      <c r="X16"/>
      <c r="Y16" s="2" t="s">
        <v>125</v>
      </c>
      <c r="Z16"/>
      <c r="AA16"/>
      <c r="AB16"/>
      <c r="AC16"/>
      <c r="AD16"/>
      <c r="AE16"/>
      <c r="AF16"/>
      <c r="AG16"/>
      <c r="AH16"/>
      <c r="AI16" s="95" t="s">
        <v>391</v>
      </c>
      <c r="AJ16"/>
      <c r="AK16"/>
    </row>
    <row r="17" spans="1:37" ht="24.95" customHeight="1" x14ac:dyDescent="0.4">
      <c r="A17" s="24"/>
      <c r="B17" s="2"/>
      <c r="C17" s="2"/>
      <c r="D17" s="2"/>
      <c r="E17" s="2"/>
      <c r="F17" s="2"/>
      <c r="G17"/>
      <c r="H17" s="2" t="s">
        <v>100</v>
      </c>
      <c r="I17"/>
      <c r="J17"/>
      <c r="K17"/>
      <c r="L17"/>
      <c r="M17" s="2"/>
      <c r="N17" s="2"/>
      <c r="O17" s="2" t="s">
        <v>309</v>
      </c>
      <c r="P17" s="2"/>
      <c r="Q17"/>
      <c r="R17"/>
      <c r="S17" s="52" t="s">
        <v>441</v>
      </c>
      <c r="T17" s="7"/>
      <c r="U17" s="7"/>
      <c r="V17" s="7"/>
      <c r="W17" s="2"/>
      <c r="X17"/>
      <c r="Y17" s="2" t="s">
        <v>272</v>
      </c>
      <c r="Z17"/>
      <c r="AA17"/>
      <c r="AB17"/>
      <c r="AC17"/>
      <c r="AD17"/>
      <c r="AE17"/>
      <c r="AF17"/>
      <c r="AG17"/>
      <c r="AH17"/>
      <c r="AI17" s="95" t="s">
        <v>4</v>
      </c>
      <c r="AJ17"/>
      <c r="AK17"/>
    </row>
    <row r="18" spans="1:37" ht="24.95" customHeight="1" x14ac:dyDescent="0.4">
      <c r="B18" s="2"/>
      <c r="C18" s="2"/>
      <c r="D18" s="2"/>
      <c r="E18" s="2"/>
      <c r="F18" s="2"/>
      <c r="G18"/>
      <c r="H18" s="2" t="s">
        <v>243</v>
      </c>
      <c r="I18"/>
      <c r="J18"/>
      <c r="K18"/>
      <c r="L18"/>
      <c r="M18" s="2"/>
      <c r="N18" s="2"/>
      <c r="O18" s="1" t="s">
        <v>257</v>
      </c>
      <c r="P18" s="2"/>
      <c r="Q18"/>
      <c r="R18"/>
      <c r="S18" s="52" t="s">
        <v>442</v>
      </c>
      <c r="T18" s="7"/>
      <c r="U18" s="7"/>
      <c r="V18" s="7"/>
      <c r="W18" s="2"/>
      <c r="X18"/>
      <c r="Y18" s="1" t="s">
        <v>119</v>
      </c>
      <c r="Z18"/>
      <c r="AA18"/>
      <c r="AB18"/>
      <c r="AC18"/>
      <c r="AD18"/>
      <c r="AE18"/>
      <c r="AF18"/>
      <c r="AG18"/>
      <c r="AH18"/>
      <c r="AI18" s="95" t="s">
        <v>6</v>
      </c>
      <c r="AJ18"/>
      <c r="AK18"/>
    </row>
    <row r="19" spans="1:37" ht="24.95" customHeight="1" x14ac:dyDescent="0.4">
      <c r="B19" s="2"/>
      <c r="C19" s="2"/>
      <c r="D19" s="2"/>
      <c r="E19" s="2"/>
      <c r="F19" s="2"/>
      <c r="G19"/>
      <c r="H19" s="82" t="s">
        <v>104</v>
      </c>
      <c r="I19"/>
      <c r="J19"/>
      <c r="K19"/>
      <c r="L19"/>
      <c r="M19" s="2"/>
      <c r="N19" s="2"/>
      <c r="O19" s="2"/>
      <c r="P19" s="2"/>
      <c r="Q19"/>
      <c r="R19"/>
      <c r="S19" s="60" t="s">
        <v>443</v>
      </c>
      <c r="T19" s="7"/>
      <c r="U19" s="7"/>
      <c r="V19" s="7"/>
      <c r="W19" s="2"/>
      <c r="X19"/>
      <c r="Y19" s="2" t="s">
        <v>305</v>
      </c>
      <c r="Z19"/>
      <c r="AA19"/>
      <c r="AB19"/>
      <c r="AC19"/>
      <c r="AD19"/>
      <c r="AE19"/>
      <c r="AF19"/>
      <c r="AG19"/>
      <c r="AH19"/>
      <c r="AI19" s="95" t="s">
        <v>397</v>
      </c>
      <c r="AJ19"/>
      <c r="AK19"/>
    </row>
    <row r="20" spans="1:37" ht="24.95" customHeight="1" x14ac:dyDescent="0.4">
      <c r="B20" s="2"/>
      <c r="C20" s="2"/>
      <c r="D20" s="2"/>
      <c r="E20" s="2"/>
      <c r="F20" s="2"/>
      <c r="G20"/>
      <c r="H20" s="83" t="s">
        <v>486</v>
      </c>
      <c r="I20"/>
      <c r="J20"/>
      <c r="K20"/>
      <c r="L20"/>
      <c r="M20" s="2"/>
      <c r="N20" s="2"/>
      <c r="O20" s="2"/>
      <c r="P20" s="2"/>
      <c r="Q20"/>
      <c r="R20"/>
      <c r="S20" s="52" t="s">
        <v>447</v>
      </c>
      <c r="T20" s="7"/>
      <c r="U20" s="7"/>
      <c r="V20" s="7"/>
      <c r="W20" s="2"/>
      <c r="X20"/>
      <c r="Y20"/>
      <c r="Z20"/>
      <c r="AA20"/>
      <c r="AB20"/>
      <c r="AC20"/>
      <c r="AD20"/>
      <c r="AE20"/>
      <c r="AF20"/>
      <c r="AG20"/>
      <c r="AH20"/>
      <c r="AI20" s="95" t="s">
        <v>679</v>
      </c>
      <c r="AJ20"/>
      <c r="AK20"/>
    </row>
    <row r="21" spans="1:37" ht="24.95" customHeight="1" x14ac:dyDescent="0.4">
      <c r="B21" s="2"/>
      <c r="C21" s="2"/>
      <c r="D21" s="2"/>
      <c r="E21" s="2"/>
      <c r="F21" s="2"/>
      <c r="G21"/>
      <c r="H21" s="83" t="s">
        <v>487</v>
      </c>
      <c r="I21"/>
      <c r="J21"/>
      <c r="K21"/>
      <c r="L21"/>
      <c r="M21" s="2"/>
      <c r="N21" s="2"/>
      <c r="O21" s="2"/>
      <c r="P21" s="2"/>
      <c r="Q21"/>
      <c r="R21"/>
      <c r="S21"/>
      <c r="T21" s="7"/>
      <c r="U21" s="7"/>
      <c r="V21" s="7"/>
      <c r="W21" s="2"/>
      <c r="X21"/>
      <c r="Y21"/>
      <c r="Z21"/>
      <c r="AA21"/>
      <c r="AB21"/>
      <c r="AC21"/>
      <c r="AD21"/>
      <c r="AE21"/>
      <c r="AF21"/>
      <c r="AG21"/>
      <c r="AH21"/>
      <c r="AI21" s="95" t="s">
        <v>268</v>
      </c>
      <c r="AJ21"/>
      <c r="AK21"/>
    </row>
    <row r="22" spans="1:37" ht="24.95" customHeight="1" x14ac:dyDescent="0.4">
      <c r="B22" s="2"/>
      <c r="C22" s="2"/>
      <c r="D22" s="2"/>
      <c r="E22" s="2"/>
      <c r="F22" s="2"/>
      <c r="G22"/>
      <c r="H22" s="83" t="s">
        <v>490</v>
      </c>
      <c r="I22"/>
      <c r="J22"/>
      <c r="K22"/>
      <c r="L22"/>
      <c r="M22" s="2"/>
      <c r="N22" s="2"/>
      <c r="O22" s="2"/>
      <c r="P22" s="2"/>
      <c r="Q22"/>
      <c r="R22"/>
      <c r="S22"/>
      <c r="T22" s="7"/>
      <c r="U22" s="7"/>
      <c r="V22" s="7"/>
      <c r="W22" s="2"/>
      <c r="X22"/>
      <c r="Y22"/>
      <c r="Z22"/>
      <c r="AA22"/>
      <c r="AB22"/>
      <c r="AC22"/>
      <c r="AD22"/>
      <c r="AE22"/>
      <c r="AF22"/>
      <c r="AG22"/>
      <c r="AH22"/>
      <c r="AI22" s="95" t="s">
        <v>399</v>
      </c>
      <c r="AJ22"/>
      <c r="AK22"/>
    </row>
    <row r="23" spans="1:37" ht="24.95" customHeight="1" x14ac:dyDescent="0.4">
      <c r="B23" s="2"/>
      <c r="C23" s="2"/>
      <c r="D23" s="2"/>
      <c r="E23" s="2"/>
      <c r="F23" s="2"/>
      <c r="G23"/>
      <c r="H23"/>
      <c r="I23"/>
      <c r="J23"/>
      <c r="K23"/>
      <c r="L23"/>
      <c r="M23" s="2"/>
      <c r="N23" s="2"/>
      <c r="O23" s="2"/>
      <c r="P23" s="2"/>
      <c r="Q23"/>
      <c r="R23"/>
      <c r="S23"/>
      <c r="T23" s="7"/>
      <c r="U23" s="7"/>
      <c r="V23" s="7"/>
      <c r="W23" s="2"/>
      <c r="X23"/>
      <c r="Y23"/>
      <c r="Z23"/>
      <c r="AA23"/>
      <c r="AB23"/>
      <c r="AC23"/>
      <c r="AD23"/>
      <c r="AE23"/>
      <c r="AF23"/>
      <c r="AG23"/>
      <c r="AH23"/>
      <c r="AI23" s="95" t="s">
        <v>2</v>
      </c>
      <c r="AJ23"/>
      <c r="AK23"/>
    </row>
    <row r="24" spans="1:37" ht="24.95" customHeight="1" x14ac:dyDescent="0.4">
      <c r="B24" s="2"/>
      <c r="C24" s="2"/>
      <c r="D24" s="2"/>
      <c r="E24" s="2"/>
      <c r="F24" s="2"/>
      <c r="G24"/>
      <c r="H24"/>
      <c r="I24"/>
      <c r="J24"/>
      <c r="K24"/>
      <c r="L24"/>
      <c r="M24" s="2"/>
      <c r="N24" s="2"/>
      <c r="O24" s="2"/>
      <c r="P24" s="2"/>
      <c r="Q24"/>
      <c r="R24"/>
      <c r="S24"/>
      <c r="T24" s="7"/>
      <c r="U24" s="7"/>
      <c r="V24" s="7"/>
      <c r="W24" s="2"/>
      <c r="X24"/>
      <c r="Y24"/>
      <c r="Z24"/>
      <c r="AA24"/>
      <c r="AB24"/>
      <c r="AC24"/>
      <c r="AD24"/>
      <c r="AE24"/>
      <c r="AF24"/>
      <c r="AG24"/>
      <c r="AH24"/>
      <c r="AI24" s="95" t="s">
        <v>382</v>
      </c>
      <c r="AJ24"/>
      <c r="AK24"/>
    </row>
    <row r="25" spans="1:37" ht="24.95" customHeight="1" x14ac:dyDescent="0.4">
      <c r="B25" s="2"/>
      <c r="C25" s="2"/>
      <c r="D25" s="2"/>
      <c r="E25" s="2"/>
      <c r="F25" s="2"/>
      <c r="G25"/>
      <c r="H25"/>
      <c r="I25"/>
      <c r="J25"/>
      <c r="K25"/>
      <c r="L25"/>
      <c r="M25" s="2"/>
      <c r="N25" s="2"/>
      <c r="O25" s="2"/>
      <c r="P25" s="2"/>
      <c r="Q25"/>
      <c r="R25"/>
      <c r="S25"/>
      <c r="T25" s="7"/>
      <c r="U25" s="7"/>
      <c r="V25" s="7"/>
      <c r="W25" s="2"/>
      <c r="X25"/>
      <c r="Y25"/>
      <c r="Z25"/>
      <c r="AA25"/>
      <c r="AB25"/>
      <c r="AC25"/>
      <c r="AD25"/>
      <c r="AE25"/>
      <c r="AF25"/>
      <c r="AG25"/>
      <c r="AH25"/>
      <c r="AI25" s="95" t="s">
        <v>7</v>
      </c>
      <c r="AJ25"/>
      <c r="AK25"/>
    </row>
    <row r="26" spans="1:37" ht="24.95" customHeight="1" x14ac:dyDescent="0.4">
      <c r="B26" s="2"/>
      <c r="C26" s="2"/>
      <c r="D26" s="2"/>
      <c r="E26" s="2"/>
      <c r="F26" s="2"/>
      <c r="G26"/>
      <c r="H26"/>
      <c r="I26"/>
      <c r="J26"/>
      <c r="K26"/>
      <c r="L26"/>
      <c r="M26" s="2"/>
      <c r="N26" s="2"/>
      <c r="O26" s="2"/>
      <c r="P26" s="2"/>
      <c r="Q26"/>
      <c r="R26"/>
      <c r="S26"/>
      <c r="T26" s="7"/>
      <c r="U26" s="7"/>
      <c r="V26" s="7"/>
      <c r="W26" s="2"/>
      <c r="X26"/>
      <c r="Y26"/>
      <c r="Z26"/>
      <c r="AA26"/>
      <c r="AB26"/>
      <c r="AC26"/>
      <c r="AD26"/>
      <c r="AE26"/>
      <c r="AF26"/>
      <c r="AG26"/>
      <c r="AH26"/>
      <c r="AI26" s="95" t="s">
        <v>396</v>
      </c>
      <c r="AJ26"/>
      <c r="AK26"/>
    </row>
    <row r="27" spans="1:37" ht="24.95" customHeight="1" x14ac:dyDescent="0.4">
      <c r="B27" s="2"/>
      <c r="C27" s="2"/>
      <c r="D27" s="2"/>
      <c r="E27" s="2"/>
      <c r="F27" s="2"/>
      <c r="G27"/>
      <c r="H27"/>
      <c r="I27"/>
      <c r="J27"/>
      <c r="K27"/>
      <c r="L27"/>
      <c r="M27" s="2"/>
      <c r="N27" s="2"/>
      <c r="O27" s="2"/>
      <c r="P27" s="2"/>
      <c r="Q27"/>
      <c r="R27"/>
      <c r="S27"/>
      <c r="T27" s="7"/>
      <c r="U27" s="7"/>
      <c r="V27" s="7"/>
      <c r="W27" s="2"/>
      <c r="X27"/>
      <c r="Y27"/>
      <c r="Z27"/>
      <c r="AA27"/>
      <c r="AB27"/>
      <c r="AC27"/>
      <c r="AD27"/>
      <c r="AE27"/>
      <c r="AF27"/>
      <c r="AG27"/>
      <c r="AH27"/>
      <c r="AI27" s="95" t="s">
        <v>383</v>
      </c>
      <c r="AJ27"/>
      <c r="AK27"/>
    </row>
    <row r="28" spans="1:37" ht="24.95" customHeight="1" x14ac:dyDescent="0.4">
      <c r="B28" s="2"/>
      <c r="C28" s="2"/>
      <c r="D28" s="2"/>
      <c r="E28" s="2"/>
      <c r="F28" s="2"/>
      <c r="G28"/>
      <c r="H28"/>
      <c r="I28"/>
      <c r="J28"/>
      <c r="K28"/>
      <c r="L28"/>
      <c r="M28" s="2"/>
      <c r="N28" s="2"/>
      <c r="O28" s="2"/>
      <c r="P28" s="2"/>
      <c r="Q28"/>
      <c r="R28"/>
      <c r="S28"/>
      <c r="T28" s="7"/>
      <c r="U28" s="7"/>
      <c r="V28" s="7"/>
      <c r="W28" s="2"/>
      <c r="X28"/>
      <c r="Y28"/>
      <c r="Z28"/>
      <c r="AA28"/>
      <c r="AB28"/>
      <c r="AC28"/>
      <c r="AD28"/>
      <c r="AE28"/>
      <c r="AF28"/>
      <c r="AG28"/>
      <c r="AH28"/>
      <c r="AI28" s="95" t="s">
        <v>395</v>
      </c>
      <c r="AJ28"/>
      <c r="AK28"/>
    </row>
    <row r="29" spans="1:37" ht="24.95" customHeight="1" x14ac:dyDescent="0.4">
      <c r="B29" s="2"/>
      <c r="C29" s="2"/>
      <c r="D29" s="2"/>
      <c r="E29" s="2"/>
      <c r="F29" s="2"/>
      <c r="G29"/>
      <c r="H29"/>
      <c r="I29"/>
      <c r="J29"/>
      <c r="K29"/>
      <c r="L29"/>
      <c r="M29" s="2"/>
      <c r="N29" s="2"/>
      <c r="O29" s="2"/>
      <c r="P29" s="2"/>
      <c r="Q29"/>
      <c r="R29"/>
      <c r="S29"/>
      <c r="T29" s="7"/>
      <c r="U29" s="7"/>
      <c r="V29" s="7"/>
      <c r="W29" s="2"/>
      <c r="X29"/>
      <c r="Y29"/>
      <c r="Z29"/>
      <c r="AA29"/>
      <c r="AB29"/>
      <c r="AC29"/>
      <c r="AD29"/>
      <c r="AE29"/>
      <c r="AF29"/>
      <c r="AG29"/>
      <c r="AH29"/>
      <c r="AI29" s="95" t="s">
        <v>380</v>
      </c>
      <c r="AJ29"/>
      <c r="AK29"/>
    </row>
    <row r="30" spans="1:37" ht="24.95" customHeight="1" x14ac:dyDescent="0.4">
      <c r="B30" s="2"/>
      <c r="C30" s="2"/>
      <c r="D30" s="2"/>
      <c r="E30" s="2"/>
      <c r="F30" s="2"/>
      <c r="G30"/>
      <c r="H30"/>
      <c r="I30"/>
      <c r="J30"/>
      <c r="K30"/>
      <c r="L30"/>
      <c r="M30" s="2"/>
      <c r="N30" s="2"/>
      <c r="O30" s="2"/>
      <c r="P30" s="2"/>
      <c r="Q30"/>
      <c r="R30"/>
      <c r="S30"/>
      <c r="T30" s="7"/>
      <c r="U30" s="7"/>
      <c r="V30" s="7"/>
      <c r="W30" s="2"/>
      <c r="X30"/>
      <c r="Y30"/>
      <c r="Z30"/>
      <c r="AA30"/>
      <c r="AB30"/>
      <c r="AC30"/>
      <c r="AD30"/>
      <c r="AE30"/>
      <c r="AF30"/>
      <c r="AG30"/>
      <c r="AH30"/>
      <c r="AI30" s="95" t="s">
        <v>384</v>
      </c>
      <c r="AJ30"/>
      <c r="AK30"/>
    </row>
    <row r="31" spans="1:37" ht="24.95" customHeight="1" x14ac:dyDescent="0.4">
      <c r="B31" s="2"/>
      <c r="C31" s="2"/>
      <c r="D31" s="2"/>
      <c r="E31" s="2"/>
      <c r="F31" s="2"/>
      <c r="G31"/>
      <c r="H31"/>
      <c r="I31"/>
      <c r="J31"/>
      <c r="K31"/>
      <c r="L31"/>
      <c r="M31" s="2"/>
      <c r="N31" s="2"/>
      <c r="O31" s="2"/>
      <c r="P31" s="2"/>
      <c r="Q31"/>
      <c r="R31"/>
      <c r="S31"/>
      <c r="T31" s="7"/>
      <c r="U31" s="7"/>
      <c r="V31" s="7"/>
      <c r="W31" s="2"/>
      <c r="X31"/>
      <c r="Y31"/>
      <c r="Z31"/>
      <c r="AA31"/>
      <c r="AB31"/>
      <c r="AC31"/>
      <c r="AD31"/>
      <c r="AE31"/>
      <c r="AF31"/>
      <c r="AG31"/>
      <c r="AH31"/>
      <c r="AI31" s="99" t="s">
        <v>136</v>
      </c>
      <c r="AJ31"/>
      <c r="AK31"/>
    </row>
    <row r="32" spans="1:37" ht="24.95" customHeight="1" x14ac:dyDescent="0.4">
      <c r="B32" s="2"/>
      <c r="C32" s="2"/>
      <c r="D32" s="2"/>
      <c r="E32" s="2"/>
      <c r="F32" s="2"/>
      <c r="G32"/>
      <c r="H32"/>
      <c r="I32"/>
      <c r="J32"/>
      <c r="K32"/>
      <c r="L32"/>
      <c r="M32" s="2"/>
      <c r="N32" s="2"/>
      <c r="O32" s="2"/>
      <c r="P32" s="2"/>
      <c r="Q32"/>
      <c r="R32"/>
      <c r="S32"/>
      <c r="T32" s="7"/>
      <c r="U32" s="7"/>
      <c r="V32" s="7"/>
      <c r="W32" s="2"/>
      <c r="X32"/>
      <c r="Y32"/>
      <c r="Z32"/>
      <c r="AA32"/>
      <c r="AB32"/>
      <c r="AC32"/>
      <c r="AD32"/>
      <c r="AE32"/>
      <c r="AF32"/>
      <c r="AG32"/>
      <c r="AH32"/>
      <c r="AI32" s="95" t="s">
        <v>400</v>
      </c>
      <c r="AJ32"/>
      <c r="AK32"/>
    </row>
    <row r="33" spans="2:37" ht="24.95" customHeight="1" x14ac:dyDescent="0.4">
      <c r="B33" s="2"/>
      <c r="C33" s="2"/>
      <c r="D33" s="2"/>
      <c r="E33" s="2"/>
      <c r="F33" s="2"/>
      <c r="G33"/>
      <c r="H33"/>
      <c r="I33"/>
      <c r="J33"/>
      <c r="K33"/>
      <c r="L33"/>
      <c r="M33" s="2"/>
      <c r="N33" s="2"/>
      <c r="O33" s="2"/>
      <c r="P33" s="2"/>
      <c r="Q33"/>
      <c r="R33"/>
      <c r="S33"/>
      <c r="T33" s="7"/>
      <c r="U33" s="7"/>
      <c r="V33" s="7"/>
      <c r="W33" s="2"/>
      <c r="X33"/>
      <c r="Y33"/>
      <c r="Z33"/>
      <c r="AA33"/>
      <c r="AB33"/>
      <c r="AC33"/>
      <c r="AD33"/>
      <c r="AE33"/>
      <c r="AF33"/>
      <c r="AG33"/>
      <c r="AH33"/>
      <c r="AI33" s="95" t="s">
        <v>388</v>
      </c>
      <c r="AJ33"/>
      <c r="AK33"/>
    </row>
    <row r="34" spans="2:37" ht="24.95" customHeight="1" x14ac:dyDescent="0.4">
      <c r="B34" s="2"/>
      <c r="C34" s="2"/>
      <c r="D34" s="2"/>
      <c r="E34" s="2"/>
      <c r="F34" s="2"/>
      <c r="G34"/>
      <c r="H34"/>
      <c r="I34"/>
      <c r="J34"/>
      <c r="K34"/>
      <c r="L34"/>
      <c r="M34" s="2"/>
      <c r="N34" s="2"/>
      <c r="O34" s="2"/>
      <c r="P34" s="2"/>
      <c r="Q34"/>
      <c r="R34"/>
      <c r="S34"/>
      <c r="T34" s="7"/>
      <c r="U34" s="7"/>
      <c r="V34" s="7"/>
      <c r="W34" s="2"/>
      <c r="X34"/>
      <c r="Y34"/>
      <c r="Z34"/>
      <c r="AA34"/>
      <c r="AB34"/>
      <c r="AC34"/>
      <c r="AD34"/>
      <c r="AE34"/>
      <c r="AF34"/>
      <c r="AG34"/>
      <c r="AH34"/>
      <c r="AI34" s="95" t="s">
        <v>387</v>
      </c>
      <c r="AJ34"/>
      <c r="AK34"/>
    </row>
    <row r="35" spans="2:37" ht="24.95" customHeight="1" x14ac:dyDescent="0.4">
      <c r="B35" s="2"/>
      <c r="C35" s="2"/>
      <c r="D35" s="2"/>
      <c r="E35" s="2"/>
      <c r="F35" s="2"/>
      <c r="G35"/>
      <c r="H35"/>
      <c r="I35"/>
      <c r="J35"/>
      <c r="K35"/>
      <c r="L35"/>
      <c r="M35" s="2"/>
      <c r="N35" s="2"/>
      <c r="O35" s="2"/>
      <c r="P35" s="2"/>
      <c r="Q35"/>
      <c r="R35"/>
      <c r="S35"/>
      <c r="T35" s="7"/>
      <c r="U35" s="7"/>
      <c r="V35" s="7"/>
      <c r="W35" s="2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24.95" customHeight="1" x14ac:dyDescent="0.4">
      <c r="B36" s="2"/>
      <c r="C36" s="2"/>
      <c r="D36" s="2"/>
      <c r="E36" s="2"/>
      <c r="F36" s="2"/>
      <c r="G36"/>
      <c r="H36"/>
      <c r="I36"/>
      <c r="J36"/>
      <c r="K36"/>
      <c r="L36"/>
      <c r="M36" s="2"/>
      <c r="N36" s="2"/>
      <c r="O36" s="2"/>
      <c r="P36" s="2"/>
      <c r="Q36"/>
      <c r="R36"/>
      <c r="S36"/>
      <c r="T36" s="7"/>
      <c r="U36" s="7"/>
      <c r="V36" s="7"/>
      <c r="W36" s="2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24.95" customHeight="1" x14ac:dyDescent="0.4">
      <c r="B37" s="2"/>
      <c r="C37" s="2"/>
      <c r="D37" s="2"/>
      <c r="E37" s="2"/>
      <c r="F37" s="2"/>
      <c r="G37"/>
      <c r="H37"/>
      <c r="I37"/>
      <c r="J37"/>
      <c r="K37"/>
      <c r="L37"/>
      <c r="M37" s="2"/>
      <c r="N37" s="2"/>
      <c r="O37" s="2"/>
      <c r="P37" s="2"/>
      <c r="Q37"/>
      <c r="R37"/>
      <c r="S37"/>
      <c r="T37" s="7"/>
      <c r="U37" s="7"/>
      <c r="V37" s="7"/>
      <c r="W37" s="2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24.95" customHeight="1" x14ac:dyDescent="0.4">
      <c r="B38" s="2"/>
      <c r="C38" s="2"/>
      <c r="D38" s="2"/>
      <c r="E38" s="2"/>
      <c r="F38" s="2"/>
      <c r="G38"/>
      <c r="H38"/>
      <c r="I38"/>
      <c r="J38"/>
      <c r="K38"/>
      <c r="L38"/>
      <c r="M38" s="2"/>
      <c r="N38" s="2"/>
      <c r="O38" s="2"/>
      <c r="P38" s="2"/>
      <c r="Q38"/>
      <c r="R38"/>
      <c r="S38"/>
      <c r="T38" s="7"/>
      <c r="U38" s="7"/>
      <c r="V38" s="7"/>
      <c r="W38" s="2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24.95" customHeight="1" x14ac:dyDescent="0.4">
      <c r="B39" s="2"/>
      <c r="C39" s="2"/>
      <c r="D39" s="2"/>
      <c r="E39" s="2"/>
      <c r="F39" s="2"/>
      <c r="G39"/>
      <c r="H39"/>
      <c r="I39"/>
      <c r="J39"/>
      <c r="K39"/>
      <c r="L39"/>
      <c r="M39" s="2"/>
      <c r="N39" s="2"/>
      <c r="O39" s="2"/>
      <c r="P39" s="2"/>
      <c r="Q39"/>
      <c r="R39"/>
      <c r="S39"/>
      <c r="T39" s="7"/>
      <c r="U39" s="7"/>
      <c r="V39" s="7"/>
      <c r="W39" s="2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24.95" customHeight="1" x14ac:dyDescent="0.4">
      <c r="B40" s="2"/>
      <c r="C40" s="2"/>
      <c r="D40" s="2"/>
      <c r="E40" s="2"/>
      <c r="F40" s="2"/>
      <c r="G40"/>
      <c r="H40"/>
      <c r="I40"/>
      <c r="J40"/>
      <c r="K40"/>
      <c r="L40"/>
      <c r="M40" s="2"/>
      <c r="N40" s="2"/>
      <c r="O40" s="2"/>
      <c r="P40" s="2"/>
      <c r="Q40"/>
      <c r="R40"/>
      <c r="S40"/>
      <c r="T40" s="7"/>
      <c r="U40" s="7"/>
      <c r="V40" s="7"/>
      <c r="W40" s="2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24.95" customHeight="1" x14ac:dyDescent="0.4">
      <c r="B41" s="2"/>
      <c r="C41" s="2"/>
      <c r="D41" s="2"/>
      <c r="E41" s="2"/>
      <c r="F41" s="2"/>
      <c r="G41"/>
      <c r="H41"/>
      <c r="I41"/>
      <c r="J41"/>
      <c r="K41"/>
      <c r="L41"/>
      <c r="M41" s="2"/>
      <c r="N41" s="2"/>
      <c r="O41" s="2"/>
      <c r="P41" s="2"/>
      <c r="Q41"/>
      <c r="R41"/>
      <c r="S41"/>
      <c r="T41" s="7"/>
      <c r="U41" s="7"/>
      <c r="V41" s="7"/>
      <c r="W41" s="2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24.95" customHeight="1" x14ac:dyDescent="0.4">
      <c r="B42" s="2"/>
      <c r="C42" s="2"/>
      <c r="D42" s="2"/>
      <c r="E42" s="2"/>
      <c r="F42" s="2"/>
      <c r="G42"/>
      <c r="H42"/>
      <c r="I42"/>
      <c r="J42"/>
      <c r="K42"/>
      <c r="L42"/>
      <c r="M42" s="2"/>
      <c r="N42" s="2"/>
      <c r="O42" s="2"/>
      <c r="P42" s="2"/>
      <c r="Q42"/>
      <c r="R42"/>
      <c r="S42"/>
      <c r="T42" s="7"/>
      <c r="U42" s="7"/>
      <c r="V42" s="7"/>
      <c r="W42" s="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24.95" customHeight="1" x14ac:dyDescent="0.4">
      <c r="B43" s="2"/>
      <c r="C43" s="2"/>
      <c r="D43" s="2"/>
      <c r="E43" s="2"/>
      <c r="F43" s="2"/>
      <c r="G43"/>
      <c r="H43"/>
      <c r="I43"/>
      <c r="J43"/>
      <c r="K43"/>
      <c r="L43"/>
      <c r="M43" s="2"/>
      <c r="N43" s="2"/>
      <c r="O43" s="2"/>
      <c r="P43" s="2"/>
      <c r="Q43"/>
      <c r="R43"/>
      <c r="S43"/>
      <c r="T43" s="7"/>
      <c r="U43" s="7"/>
      <c r="V43" s="7"/>
      <c r="W43" s="2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</sheetData>
  <sortState ref="A3:AJ23">
    <sortCondition ref="A2"/>
  </sortState>
  <hyperlinks>
    <hyperlink ref="B2" location="Advertisers!A1" display="Advertisers"/>
    <hyperlink ref="C2" location="Aerospace!A1" display="Aerospace"/>
    <hyperlink ref="D2" location="AgChemical!A1" display="AgChemical"/>
    <hyperlink ref="E2" location="Airlines!A1" display="Airlines"/>
    <hyperlink ref="F2" location="Apparel!A1" display="Apparel"/>
    <hyperlink ref="G2" location="Auto!A1" display="Auto"/>
    <hyperlink ref="H2" location="BioPharma!A1" display="BioPharma"/>
    <hyperlink ref="I2" location="Brokers!A1" display="Brokers"/>
    <hyperlink ref="J2" location="Builder!A1" display="Builder"/>
    <hyperlink ref="K2" location="Cruise!A1" display="Cruise"/>
    <hyperlink ref="L2" location="Defense!A1" display="Defense"/>
    <hyperlink ref="M2" location="Electricity!A1" display="Electricity"/>
    <hyperlink ref="N2" location="Electronics!A1" display="Electronics"/>
    <hyperlink ref="O2" location="E_P!A1" display="E_P"/>
    <hyperlink ref="P2" location="ETF!A1" display="ETF"/>
    <hyperlink ref="Q2" location="Fashion!A1" display="Fashion"/>
    <hyperlink ref="R2" location="FastFood!A1" display="FastFood"/>
    <hyperlink ref="S2" location="Financial!A1" display="Financial"/>
    <hyperlink ref="T2" location="Food!A1" display="Food"/>
    <hyperlink ref="U2" location="Game!A1" display="Game"/>
    <hyperlink ref="V2" location="Health!A1" display="Health"/>
    <hyperlink ref="W2" location="HomeProducts!A1" display="HomeProducts"/>
    <hyperlink ref="X2" location="Industrials!A1" display="Industrials"/>
    <hyperlink ref="Y2" location="IndustryCongl.!A1" display="IndustryCongl."/>
    <hyperlink ref="Z2" location="Insurance!A1" display="Insurance"/>
    <hyperlink ref="AA2" location="Media!A1" display="Media"/>
    <hyperlink ref="AB2" location="Metal!A1" display="Metal"/>
    <hyperlink ref="AC2" location="Packaging!A1" display="Packaging"/>
    <hyperlink ref="AD2" location="Railroads!A1" display="Railroads"/>
    <hyperlink ref="AE2" location="Semiconductor!A1" display="Semiconductor"/>
    <hyperlink ref="AF2" location="Solar!A1" display="Solar"/>
    <hyperlink ref="AG2" location="Technology!A1" display="Technology"/>
    <hyperlink ref="AH2" location="TeleComm!A1" display="TeleComm"/>
    <hyperlink ref="AI2" location="UtilityREIT!A1" display="UtilityREIT"/>
    <hyperlink ref="AJ2" location="VarietyStores!A1" display="VarietyStores"/>
    <hyperlink ref="AK2" location="WasteMgt!A1" display="WasteMg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534</v>
      </c>
      <c r="M1" s="13" t="s">
        <v>541</v>
      </c>
    </row>
    <row r="2" spans="1:13" ht="20.100000000000001" customHeight="1" x14ac:dyDescent="0.25">
      <c r="A2" s="2" t="s">
        <v>641</v>
      </c>
      <c r="B2" s="2" t="s">
        <v>645</v>
      </c>
      <c r="C2" s="4">
        <v>23.91</v>
      </c>
      <c r="D2" s="4">
        <v>23.6</v>
      </c>
      <c r="E2" s="4">
        <v>23.97</v>
      </c>
      <c r="F2" s="5">
        <v>23.63</v>
      </c>
      <c r="G2" s="6">
        <v>1.1849344054168478E-2</v>
      </c>
      <c r="H2" s="4" t="s">
        <v>953</v>
      </c>
      <c r="I2" s="5">
        <v>2.5099999999999998</v>
      </c>
      <c r="J2" s="4">
        <v>17.88</v>
      </c>
      <c r="K2" s="4">
        <v>23.1</v>
      </c>
      <c r="L2" s="70">
        <f>K2*0.9</f>
        <v>20.790000000000003</v>
      </c>
      <c r="M2" s="70" t="b">
        <f>Table35152033[[#This Row],[LatestPrice]]&lt;Table35152033[[#This Row],[Target]]</f>
        <v>0</v>
      </c>
    </row>
    <row r="3" spans="1:13" ht="20.100000000000001" customHeight="1" x14ac:dyDescent="0.25">
      <c r="A3" s="2" t="s">
        <v>642</v>
      </c>
      <c r="B3" s="2" t="s">
        <v>646</v>
      </c>
      <c r="C3" s="4">
        <v>86.87</v>
      </c>
      <c r="D3" s="4">
        <v>85.28</v>
      </c>
      <c r="E3" s="4">
        <v>86.9</v>
      </c>
      <c r="F3" s="5">
        <v>85.43</v>
      </c>
      <c r="G3" s="6">
        <v>1.6855905419641784E-2</v>
      </c>
      <c r="H3" s="4" t="s">
        <v>954</v>
      </c>
      <c r="I3" s="5">
        <v>2.5299999999999998</v>
      </c>
      <c r="J3" s="4">
        <v>18.62</v>
      </c>
      <c r="K3" s="4">
        <v>83.28</v>
      </c>
      <c r="L3" s="70">
        <f t="shared" ref="L3:L5" si="0">K3*0.9</f>
        <v>74.951999999999998</v>
      </c>
      <c r="M3" s="70" t="b">
        <f>Table35152033[[#This Row],[LatestPrice]]&lt;Table35152033[[#This Row],[Target]]</f>
        <v>0</v>
      </c>
    </row>
    <row r="4" spans="1:13" ht="20.100000000000001" customHeight="1" x14ac:dyDescent="0.25">
      <c r="A4" s="2" t="s">
        <v>643</v>
      </c>
      <c r="B4" s="2" t="s">
        <v>955</v>
      </c>
      <c r="C4" s="4">
        <v>111.23</v>
      </c>
      <c r="D4" s="4">
        <v>110.21</v>
      </c>
      <c r="E4" s="4">
        <v>111.45</v>
      </c>
      <c r="F4" s="5">
        <v>107.92</v>
      </c>
      <c r="G4" s="6">
        <v>3.0670867309117885E-2</v>
      </c>
      <c r="H4" s="4" t="s">
        <v>39</v>
      </c>
      <c r="I4" s="5">
        <v>2.98</v>
      </c>
      <c r="J4" s="4" t="s">
        <v>39</v>
      </c>
      <c r="K4" s="4">
        <v>0</v>
      </c>
      <c r="L4" s="70">
        <f t="shared" si="0"/>
        <v>0</v>
      </c>
      <c r="M4" s="70" t="b">
        <f>Table35152033[[#This Row],[LatestPrice]]&lt;Table35152033[[#This Row],[Target]]</f>
        <v>0</v>
      </c>
    </row>
    <row r="5" spans="1:13" ht="20.100000000000001" customHeight="1" x14ac:dyDescent="0.25">
      <c r="A5" s="2" t="s">
        <v>644</v>
      </c>
      <c r="B5" s="2" t="s">
        <v>749</v>
      </c>
      <c r="C5" s="4">
        <v>16.815000000000001</v>
      </c>
      <c r="D5" s="4">
        <v>16.63</v>
      </c>
      <c r="E5" s="4">
        <v>16.850999999999999</v>
      </c>
      <c r="F5" s="5">
        <v>16.149999999999999</v>
      </c>
      <c r="G5" s="6">
        <v>4.1176470588235467E-2</v>
      </c>
      <c r="H5" s="4" t="s">
        <v>39</v>
      </c>
      <c r="I5" s="5">
        <v>2.64</v>
      </c>
      <c r="J5" s="4" t="s">
        <v>39</v>
      </c>
      <c r="K5" s="4">
        <v>0</v>
      </c>
      <c r="L5" s="70">
        <f t="shared" si="0"/>
        <v>0</v>
      </c>
      <c r="M5" s="70" t="b">
        <f>Table35152033[[#This Row],[LatestPrice]]&lt;Table35152033[[#This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8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534</v>
      </c>
      <c r="M1" s="13" t="s">
        <v>541</v>
      </c>
    </row>
    <row r="2" spans="1:13" ht="20.100000000000001" customHeight="1" x14ac:dyDescent="0.25">
      <c r="A2" s="2" t="s">
        <v>122</v>
      </c>
      <c r="B2" s="2" t="s">
        <v>132</v>
      </c>
      <c r="C2" s="4">
        <v>156.49</v>
      </c>
      <c r="D2" s="4">
        <v>155.41999999999999</v>
      </c>
      <c r="E2" s="4">
        <v>156.88</v>
      </c>
      <c r="F2" s="5">
        <v>155.38999999999999</v>
      </c>
      <c r="G2" s="6">
        <v>7.078962610206724E-3</v>
      </c>
      <c r="H2" s="4" t="s">
        <v>956</v>
      </c>
      <c r="I2" s="5">
        <v>2.79</v>
      </c>
      <c r="J2" s="4">
        <v>23.91</v>
      </c>
      <c r="K2" s="4">
        <v>135.26</v>
      </c>
      <c r="L2" s="70">
        <f>K2*0.9</f>
        <v>121.73399999999999</v>
      </c>
      <c r="M2" s="70" t="b">
        <f>Table351520[[#This Row],[LatestPrice]]&lt;Table351520[[#This Row],[Target]]</f>
        <v>0</v>
      </c>
    </row>
    <row r="3" spans="1:13" ht="20.100000000000001" customHeight="1" x14ac:dyDescent="0.25">
      <c r="A3" s="2" t="s">
        <v>300</v>
      </c>
      <c r="B3" s="2" t="s">
        <v>302</v>
      </c>
      <c r="C3" s="4">
        <v>48.39</v>
      </c>
      <c r="D3" s="4">
        <v>48.05</v>
      </c>
      <c r="E3" s="4">
        <v>48.9</v>
      </c>
      <c r="F3" s="5">
        <v>47.92</v>
      </c>
      <c r="G3" s="6">
        <v>9.8080133555926308E-3</v>
      </c>
      <c r="H3" s="4" t="s">
        <v>957</v>
      </c>
      <c r="I3" s="5">
        <v>0.17</v>
      </c>
      <c r="J3" s="4">
        <v>13.57</v>
      </c>
      <c r="K3" s="4">
        <v>40.090000000000003</v>
      </c>
      <c r="L3" s="70">
        <f t="shared" ref="L3:L8" si="0">K3*0.9</f>
        <v>36.081000000000003</v>
      </c>
      <c r="M3" s="70" t="b">
        <f>Table351520[[#This Row],[LatestPrice]]&lt;Table351520[[#This Row],[Target]]</f>
        <v>0</v>
      </c>
    </row>
    <row r="4" spans="1:13" ht="20.100000000000001" customHeight="1" x14ac:dyDescent="0.25">
      <c r="A4" s="2" t="s">
        <v>301</v>
      </c>
      <c r="B4" s="2" t="s">
        <v>303</v>
      </c>
      <c r="C4" s="4">
        <v>93.05</v>
      </c>
      <c r="D4" s="4">
        <v>92.5</v>
      </c>
      <c r="E4" s="4">
        <v>94.7</v>
      </c>
      <c r="F4" s="5">
        <v>93.7</v>
      </c>
      <c r="G4" s="6">
        <v>-6.9370330843116935E-3</v>
      </c>
      <c r="H4" s="4" t="s">
        <v>958</v>
      </c>
      <c r="I4" s="5">
        <v>0</v>
      </c>
      <c r="J4" s="4">
        <v>27.23</v>
      </c>
      <c r="K4" s="4">
        <v>72.209999999999994</v>
      </c>
      <c r="L4" s="70">
        <f t="shared" si="0"/>
        <v>64.98899999999999</v>
      </c>
      <c r="M4" s="70" t="b">
        <f>Table351520[[#This Row],[LatestPrice]]&lt;Table351520[[#This Row],[Target]]</f>
        <v>0</v>
      </c>
    </row>
    <row r="5" spans="1:13" ht="20.100000000000001" customHeight="1" x14ac:dyDescent="0.25">
      <c r="A5" s="2" t="s">
        <v>305</v>
      </c>
      <c r="B5" s="2" t="s">
        <v>306</v>
      </c>
      <c r="C5" s="4">
        <v>94.37</v>
      </c>
      <c r="D5" s="4">
        <v>94.21</v>
      </c>
      <c r="E5" s="4">
        <v>94.64</v>
      </c>
      <c r="F5" s="5">
        <v>94.68</v>
      </c>
      <c r="G5" s="6">
        <v>-3.2741867342628039E-3</v>
      </c>
      <c r="H5" s="4" t="s">
        <v>959</v>
      </c>
      <c r="I5" s="5">
        <v>1.4</v>
      </c>
      <c r="J5" s="4">
        <v>17.13</v>
      </c>
      <c r="K5" s="4">
        <v>85.62</v>
      </c>
      <c r="L5" s="70">
        <f t="shared" si="0"/>
        <v>77.058000000000007</v>
      </c>
      <c r="M5" s="70" t="b">
        <f>Table351520[[#This Row],[LatestPrice]]&lt;Table351520[[#This Row],[Target]]</f>
        <v>0</v>
      </c>
    </row>
    <row r="6" spans="1:13" ht="20.100000000000001" customHeight="1" x14ac:dyDescent="0.25">
      <c r="A6" s="1" t="s">
        <v>121</v>
      </c>
      <c r="B6" s="2" t="s">
        <v>131</v>
      </c>
      <c r="C6" s="4">
        <v>70.069999999999993</v>
      </c>
      <c r="D6" s="4">
        <v>70</v>
      </c>
      <c r="E6" s="4">
        <v>70.78</v>
      </c>
      <c r="F6" s="5">
        <v>70.84</v>
      </c>
      <c r="G6" s="6">
        <v>-1.0869565217391448E-2</v>
      </c>
      <c r="H6" s="4" t="s">
        <v>960</v>
      </c>
      <c r="I6" s="5">
        <v>0.63</v>
      </c>
      <c r="J6" s="4">
        <v>24.59</v>
      </c>
      <c r="K6" s="4">
        <v>60.66</v>
      </c>
      <c r="L6" s="70">
        <f t="shared" si="0"/>
        <v>54.594000000000001</v>
      </c>
      <c r="M6" s="70" t="b">
        <f>Table351520[[#This Row],[LatestPrice]]&lt;Table351520[[#This Row],[Target]]</f>
        <v>0</v>
      </c>
    </row>
    <row r="7" spans="1:13" ht="20.100000000000001" customHeight="1" x14ac:dyDescent="0.25">
      <c r="A7" s="2" t="s">
        <v>307</v>
      </c>
      <c r="B7" s="2" t="s">
        <v>308</v>
      </c>
      <c r="C7" s="4">
        <v>81.650000000000006</v>
      </c>
      <c r="D7" s="4">
        <v>81.040000000000006</v>
      </c>
      <c r="E7" s="4">
        <v>82.37</v>
      </c>
      <c r="F7" s="5">
        <v>81.92</v>
      </c>
      <c r="G7" s="6">
        <v>-3.2958984374999514E-3</v>
      </c>
      <c r="H7" s="4" t="s">
        <v>961</v>
      </c>
      <c r="I7" s="5">
        <v>0.2</v>
      </c>
      <c r="J7" s="4">
        <v>36.950000000000003</v>
      </c>
      <c r="K7" s="4">
        <v>69.39</v>
      </c>
      <c r="L7" s="70">
        <f t="shared" si="0"/>
        <v>62.451000000000001</v>
      </c>
      <c r="M7" s="70" t="b">
        <f>Table351520[[#This Row],[LatestPrice]]&lt;Table351520[[#This Row],[Target]]</f>
        <v>0</v>
      </c>
    </row>
    <row r="8" spans="1:13" ht="20.100000000000001" customHeight="1" x14ac:dyDescent="0.25">
      <c r="A8" s="2" t="s">
        <v>675</v>
      </c>
      <c r="B8" s="2" t="s">
        <v>676</v>
      </c>
      <c r="C8" s="4">
        <v>249.46</v>
      </c>
      <c r="D8" s="4">
        <v>247.81</v>
      </c>
      <c r="E8" s="4">
        <v>250.56</v>
      </c>
      <c r="F8" s="5">
        <v>249.73</v>
      </c>
      <c r="G8" s="6">
        <v>-1.0811676610738871E-3</v>
      </c>
      <c r="H8" s="4" t="s">
        <v>962</v>
      </c>
      <c r="I8" s="5">
        <v>0</v>
      </c>
      <c r="J8" s="4">
        <v>24.01</v>
      </c>
      <c r="K8" s="4">
        <v>271.79000000000002</v>
      </c>
      <c r="L8" s="70">
        <f t="shared" si="0"/>
        <v>244.61100000000002</v>
      </c>
      <c r="M8" s="70" t="b">
        <f>Table351520[[#This Row],[LatestPrice]]&lt;Table351520[[#This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13"/>
  <sheetViews>
    <sheetView topLeftCell="A3106"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59" t="s">
        <v>326</v>
      </c>
      <c r="B2" s="2" t="s">
        <v>334</v>
      </c>
      <c r="C2" s="4">
        <v>31.42</v>
      </c>
      <c r="D2" s="4">
        <v>30.19</v>
      </c>
      <c r="E2" s="4">
        <v>31.54</v>
      </c>
      <c r="F2" s="5">
        <v>30.18</v>
      </c>
      <c r="G2" s="6">
        <v>4.1086812458581909E-2</v>
      </c>
      <c r="H2" s="4" t="s">
        <v>963</v>
      </c>
      <c r="I2" s="5">
        <v>3.5</v>
      </c>
      <c r="J2" s="4">
        <v>25.04</v>
      </c>
      <c r="K2" s="4">
        <v>26.73</v>
      </c>
      <c r="L2" s="79">
        <f>Table351522[[#This Row],[MA200]]*0.9</f>
        <v>24.057000000000002</v>
      </c>
      <c r="M2" s="80" t="b">
        <f>L2&gt;Table351522[[#This Row],[LatestPrice]]</f>
        <v>0</v>
      </c>
    </row>
    <row r="3" spans="1:13" ht="20.100000000000001" customHeight="1" x14ac:dyDescent="0.25">
      <c r="A3" s="2" t="s">
        <v>421</v>
      </c>
      <c r="B3" s="2" t="s">
        <v>425</v>
      </c>
      <c r="C3" s="4">
        <v>2.65</v>
      </c>
      <c r="D3" s="4">
        <v>2.2799999999999998</v>
      </c>
      <c r="E3" s="4">
        <v>3.04</v>
      </c>
      <c r="F3" s="5">
        <v>2.39</v>
      </c>
      <c r="G3" s="6">
        <v>0.108786610878661</v>
      </c>
      <c r="H3" s="4" t="s">
        <v>964</v>
      </c>
      <c r="I3" s="5">
        <v>0</v>
      </c>
      <c r="J3" s="4" t="s">
        <v>39</v>
      </c>
      <c r="K3" s="4">
        <v>1.32</v>
      </c>
      <c r="L3" s="79">
        <f>Table351522[[#This Row],[MA200]]*0.9</f>
        <v>1.1880000000000002</v>
      </c>
      <c r="M3" s="80" t="b">
        <f>L3&gt;Table351522[[#This Row],[LatestPrice]]</f>
        <v>0</v>
      </c>
    </row>
    <row r="4" spans="1:13" ht="20.100000000000001" customHeight="1" x14ac:dyDescent="0.25">
      <c r="A4" s="2" t="s">
        <v>324</v>
      </c>
      <c r="B4" s="2" t="s">
        <v>330</v>
      </c>
      <c r="C4" s="4">
        <v>109.38</v>
      </c>
      <c r="D4" s="4">
        <v>106.47</v>
      </c>
      <c r="E4" s="4">
        <v>109.71</v>
      </c>
      <c r="F4" s="5">
        <v>106.65</v>
      </c>
      <c r="G4" s="6">
        <v>2.5597749648382462E-2</v>
      </c>
      <c r="H4" s="4" t="s">
        <v>965</v>
      </c>
      <c r="I4" s="5">
        <v>3.39</v>
      </c>
      <c r="J4" s="4">
        <v>20.83</v>
      </c>
      <c r="K4" s="4">
        <v>93.09</v>
      </c>
      <c r="L4" s="79">
        <f>Table351522[[#This Row],[MA200]]*0.9</f>
        <v>83.781000000000006</v>
      </c>
      <c r="M4" s="80" t="b">
        <f>L4&gt;Table351522[[#This Row],[LatestPrice]]</f>
        <v>0</v>
      </c>
    </row>
    <row r="5" spans="1:13" ht="20.100000000000001" customHeight="1" x14ac:dyDescent="0.25">
      <c r="A5" s="38" t="s">
        <v>323</v>
      </c>
      <c r="B5" s="2" t="s">
        <v>329</v>
      </c>
      <c r="C5" s="4">
        <v>19.75</v>
      </c>
      <c r="D5" s="4">
        <v>19.29</v>
      </c>
      <c r="E5" s="4">
        <v>19.84</v>
      </c>
      <c r="F5" s="5">
        <v>19.28</v>
      </c>
      <c r="G5" s="6">
        <v>2.4377593360995792E-2</v>
      </c>
      <c r="H5" s="4" t="s">
        <v>966</v>
      </c>
      <c r="I5" s="5">
        <v>2.11</v>
      </c>
      <c r="J5" s="4">
        <v>34.65</v>
      </c>
      <c r="K5" s="4">
        <v>16.75</v>
      </c>
      <c r="L5" s="79">
        <f>Table351522[[#This Row],[MA200]]*0.9</f>
        <v>15.075000000000001</v>
      </c>
      <c r="M5" s="80" t="b">
        <f>L5&gt;Table351522[[#This Row],[LatestPrice]]</f>
        <v>0</v>
      </c>
    </row>
    <row r="6" spans="1:13" ht="20.100000000000001" customHeight="1" x14ac:dyDescent="0.25">
      <c r="A6" s="2" t="s">
        <v>423</v>
      </c>
      <c r="B6" s="2" t="s">
        <v>427</v>
      </c>
      <c r="C6" s="4">
        <v>106.84</v>
      </c>
      <c r="D6" s="4">
        <v>106.27</v>
      </c>
      <c r="E6" s="4">
        <v>109</v>
      </c>
      <c r="F6" s="5">
        <v>108.01</v>
      </c>
      <c r="G6" s="6">
        <v>-1.0832330339783369E-2</v>
      </c>
      <c r="H6" s="4" t="s">
        <v>967</v>
      </c>
      <c r="I6" s="5">
        <v>6.63</v>
      </c>
      <c r="J6" s="4">
        <v>12.95</v>
      </c>
      <c r="K6" s="4">
        <v>108.86</v>
      </c>
      <c r="L6" s="79">
        <f>Table351522[[#This Row],[MA200]]*0.9</f>
        <v>97.974000000000004</v>
      </c>
      <c r="M6" s="80" t="b">
        <f>L6&gt;Table351522[[#This Row],[LatestPrice]]</f>
        <v>0</v>
      </c>
    </row>
    <row r="7" spans="1:13" ht="20.100000000000001" customHeight="1" x14ac:dyDescent="0.25">
      <c r="A7" s="2" t="s">
        <v>428</v>
      </c>
      <c r="B7" s="2" t="s">
        <v>429</v>
      </c>
      <c r="C7" s="4">
        <v>8.7799999999999994</v>
      </c>
      <c r="D7" s="4">
        <v>8.73</v>
      </c>
      <c r="E7" s="4">
        <v>9.01</v>
      </c>
      <c r="F7" s="5">
        <v>8.94</v>
      </c>
      <c r="G7" s="6">
        <v>-1.7897091722595095E-2</v>
      </c>
      <c r="H7" s="4" t="s">
        <v>968</v>
      </c>
      <c r="I7" s="5">
        <v>0</v>
      </c>
      <c r="J7" s="4" t="s">
        <v>39</v>
      </c>
      <c r="K7" s="4">
        <v>5.86</v>
      </c>
      <c r="L7" s="79">
        <f>Table351522[[#This Row],[MA200]]*0.9</f>
        <v>5.274</v>
      </c>
      <c r="M7" s="80" t="b">
        <f>L7&gt;Table351522[[#This Row],[LatestPrice]]</f>
        <v>0</v>
      </c>
    </row>
    <row r="8" spans="1:13" ht="20.100000000000001" customHeight="1" x14ac:dyDescent="0.25">
      <c r="A8" s="71" t="s">
        <v>539</v>
      </c>
      <c r="B8" s="71" t="s">
        <v>540</v>
      </c>
      <c r="C8" s="72">
        <v>14.05</v>
      </c>
      <c r="D8" s="72">
        <v>13.96</v>
      </c>
      <c r="E8" s="72">
        <v>14.24</v>
      </c>
      <c r="F8" s="73">
        <v>14.06</v>
      </c>
      <c r="G8" s="74">
        <v>-7.1123755334280136E-4</v>
      </c>
      <c r="H8" s="72" t="s">
        <v>969</v>
      </c>
      <c r="I8" s="73" t="s">
        <v>39</v>
      </c>
      <c r="J8" s="72" t="s">
        <v>39</v>
      </c>
      <c r="K8" s="72">
        <v>13.36</v>
      </c>
      <c r="L8" s="79">
        <f>Table351522[[#This Row],[MA200]]*0.9</f>
        <v>12.023999999999999</v>
      </c>
      <c r="M8" s="80" t="b">
        <f>L8&gt;Table351522[[#This Row],[LatestPrice]]</f>
        <v>0</v>
      </c>
    </row>
    <row r="9" spans="1:13" ht="20.100000000000001" customHeight="1" x14ac:dyDescent="0.25">
      <c r="A9" s="2" t="s">
        <v>328</v>
      </c>
      <c r="B9" s="2" t="s">
        <v>333</v>
      </c>
      <c r="C9" s="4">
        <v>80.44</v>
      </c>
      <c r="D9" s="4">
        <v>80.19</v>
      </c>
      <c r="E9" s="4">
        <v>80.58</v>
      </c>
      <c r="F9" s="5">
        <v>80.05</v>
      </c>
      <c r="G9" s="6">
        <v>4.8719550281074398E-3</v>
      </c>
      <c r="H9" s="4" t="s">
        <v>970</v>
      </c>
      <c r="I9" s="5">
        <v>2.85</v>
      </c>
      <c r="J9" s="4">
        <v>31.34</v>
      </c>
      <c r="K9" s="4">
        <v>81.290000000000006</v>
      </c>
      <c r="L9" s="79">
        <f>Table351522[[#This Row],[MA200]]*0.9</f>
        <v>73.161000000000001</v>
      </c>
      <c r="M9" s="80" t="b">
        <f>L9&gt;Table351522[[#This Row],[LatestPrice]]</f>
        <v>0</v>
      </c>
    </row>
    <row r="10" spans="1:13" ht="20.100000000000001" customHeight="1" x14ac:dyDescent="0.25">
      <c r="A10" s="2" t="s">
        <v>325</v>
      </c>
      <c r="B10" s="2" t="s">
        <v>331</v>
      </c>
      <c r="C10" s="4">
        <v>104.59</v>
      </c>
      <c r="D10" s="4">
        <v>104.34</v>
      </c>
      <c r="E10" s="4">
        <v>105.32</v>
      </c>
      <c r="F10" s="5">
        <v>104.7</v>
      </c>
      <c r="G10" s="6">
        <v>-1.050620821394455E-3</v>
      </c>
      <c r="H10" s="4" t="s">
        <v>971</v>
      </c>
      <c r="I10" s="5">
        <v>2.0699999999999998</v>
      </c>
      <c r="J10" s="4">
        <v>35</v>
      </c>
      <c r="K10" s="4">
        <v>104.38</v>
      </c>
      <c r="L10" s="79">
        <f>Table351522[[#This Row],[MA200]]*0.9</f>
        <v>93.941999999999993</v>
      </c>
      <c r="M10" s="80" t="b">
        <f>L10&gt;Table351522[[#This Row],[LatestPrice]]</f>
        <v>0</v>
      </c>
    </row>
    <row r="11" spans="1:13" ht="20.100000000000001" customHeight="1" x14ac:dyDescent="0.25">
      <c r="A11" s="2" t="s">
        <v>422</v>
      </c>
      <c r="B11" s="2" t="s">
        <v>426</v>
      </c>
      <c r="C11" s="4">
        <v>4.24</v>
      </c>
      <c r="D11" s="4">
        <v>4.2300000000000004</v>
      </c>
      <c r="E11" s="4">
        <v>4.2699999999999996</v>
      </c>
      <c r="F11" s="5">
        <v>4.24</v>
      </c>
      <c r="G11" s="6">
        <v>0</v>
      </c>
      <c r="H11" s="4" t="s">
        <v>972</v>
      </c>
      <c r="I11" s="5">
        <v>4.55</v>
      </c>
      <c r="J11" s="4" t="s">
        <v>39</v>
      </c>
      <c r="K11" s="4">
        <v>3.97</v>
      </c>
      <c r="L11" s="79">
        <f>Table351522[[#This Row],[MA200]]*0.9</f>
        <v>3.5730000000000004</v>
      </c>
      <c r="M11" s="80" t="b">
        <f>L11&gt;Table351522[[#This Row],[LatestPrice]]</f>
        <v>0</v>
      </c>
    </row>
    <row r="12" spans="1:13" ht="20.100000000000001" customHeight="1" x14ac:dyDescent="0.25">
      <c r="A12" s="81" t="s">
        <v>327</v>
      </c>
      <c r="B12" s="2" t="s">
        <v>332</v>
      </c>
      <c r="C12" s="4">
        <v>30.95</v>
      </c>
      <c r="D12" s="4">
        <v>30.04</v>
      </c>
      <c r="E12" s="4">
        <v>30.95</v>
      </c>
      <c r="F12" s="5">
        <v>30.37</v>
      </c>
      <c r="G12" s="6">
        <v>1.9097793875535011E-2</v>
      </c>
      <c r="H12" s="4" t="s">
        <v>973</v>
      </c>
      <c r="I12" s="5">
        <v>3.88</v>
      </c>
      <c r="J12" s="4">
        <v>103.17</v>
      </c>
      <c r="K12" s="4">
        <v>25.64</v>
      </c>
      <c r="L12" s="79">
        <f>Table351522[[#This Row],[MA200]]*0.9</f>
        <v>23.076000000000001</v>
      </c>
      <c r="M12" s="80" t="b">
        <f>L12&gt;Table351522[[#This Row],[LatestPrice]]</f>
        <v>0</v>
      </c>
    </row>
    <row r="13" spans="1:13" ht="20.100000000000001" customHeight="1" x14ac:dyDescent="0.25">
      <c r="A13" s="2" t="s">
        <v>420</v>
      </c>
      <c r="B13" s="2" t="s">
        <v>424</v>
      </c>
      <c r="C13" s="4">
        <v>5.73</v>
      </c>
      <c r="D13" s="4">
        <v>5.46</v>
      </c>
      <c r="E13" s="4">
        <v>5.82</v>
      </c>
      <c r="F13" s="5">
        <v>5.47</v>
      </c>
      <c r="G13" s="6">
        <v>4.7531992687385866E-2</v>
      </c>
      <c r="H13" s="4" t="s">
        <v>974</v>
      </c>
      <c r="I13" s="5">
        <v>11.87</v>
      </c>
      <c r="J13" s="4">
        <v>84.26</v>
      </c>
      <c r="K13" s="4">
        <v>6.44</v>
      </c>
      <c r="L13" s="79">
        <f>Table351522[[#This Row],[MA200]]*0.9</f>
        <v>5.7960000000000003</v>
      </c>
      <c r="M13" s="80" t="b">
        <f>L13&gt;Table351522[[#This Row],[LatestPrice]]</f>
        <v>1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2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1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245</v>
      </c>
      <c r="B2" s="2" t="s">
        <v>250</v>
      </c>
      <c r="C2" s="4">
        <v>49.64</v>
      </c>
      <c r="D2" s="4">
        <v>48.74</v>
      </c>
      <c r="E2" s="4">
        <v>50.64</v>
      </c>
      <c r="F2" s="5">
        <v>48.05</v>
      </c>
      <c r="G2" s="6">
        <v>3.30905306971905E-2</v>
      </c>
      <c r="H2" s="4" t="s">
        <v>975</v>
      </c>
      <c r="I2" s="5">
        <v>0.81</v>
      </c>
      <c r="J2" s="4">
        <v>5.15</v>
      </c>
      <c r="K2" s="4">
        <v>36.81</v>
      </c>
      <c r="L2" s="77">
        <f t="shared" ref="L2:L11" si="0">K2*0.9</f>
        <v>33.129000000000005</v>
      </c>
      <c r="M2" s="78" t="b">
        <f t="shared" ref="M2:M11" si="1">L2&gt;C2</f>
        <v>0</v>
      </c>
    </row>
    <row r="3" spans="1:13" ht="20.100000000000001" customHeight="1" x14ac:dyDescent="0.25">
      <c r="A3" s="81" t="s">
        <v>246</v>
      </c>
      <c r="B3" s="2" t="s">
        <v>251</v>
      </c>
      <c r="C3" s="4">
        <v>51.78</v>
      </c>
      <c r="D3" s="4">
        <v>51.26</v>
      </c>
      <c r="E3" s="4">
        <v>52.76</v>
      </c>
      <c r="F3" s="5">
        <v>51.35</v>
      </c>
      <c r="G3" s="6">
        <v>8.3739045764362162E-3</v>
      </c>
      <c r="H3" s="4" t="s">
        <v>976</v>
      </c>
      <c r="I3" s="5">
        <v>1.56</v>
      </c>
      <c r="J3" s="4">
        <v>8.4</v>
      </c>
      <c r="K3" s="4">
        <v>40.51</v>
      </c>
      <c r="L3" s="77">
        <f t="shared" si="0"/>
        <v>36.458999999999996</v>
      </c>
      <c r="M3" s="78" t="b">
        <f t="shared" si="1"/>
        <v>0</v>
      </c>
    </row>
    <row r="4" spans="1:13" ht="20.100000000000001" customHeight="1" x14ac:dyDescent="0.25">
      <c r="A4" s="59" t="s">
        <v>247</v>
      </c>
      <c r="B4" s="2" t="s">
        <v>252</v>
      </c>
      <c r="C4" s="4">
        <v>75.17</v>
      </c>
      <c r="D4" s="4">
        <v>74.430000000000007</v>
      </c>
      <c r="E4" s="4">
        <v>76.13</v>
      </c>
      <c r="F4" s="5">
        <v>72.739999999999995</v>
      </c>
      <c r="G4" s="6">
        <v>3.3406653835578871E-2</v>
      </c>
      <c r="H4" s="4" t="s">
        <v>977</v>
      </c>
      <c r="I4" s="5">
        <v>0</v>
      </c>
      <c r="J4" s="4">
        <v>9.6</v>
      </c>
      <c r="K4" s="4">
        <v>51.68</v>
      </c>
      <c r="L4" s="77">
        <f t="shared" si="0"/>
        <v>46.512</v>
      </c>
      <c r="M4" s="78" t="b">
        <f t="shared" si="1"/>
        <v>0</v>
      </c>
    </row>
    <row r="5" spans="1:13" ht="20.100000000000001" customHeight="1" x14ac:dyDescent="0.25">
      <c r="A5" s="81" t="s">
        <v>248</v>
      </c>
      <c r="B5" s="2" t="s">
        <v>253</v>
      </c>
      <c r="C5" s="4">
        <v>49.79</v>
      </c>
      <c r="D5" s="4">
        <v>49.22</v>
      </c>
      <c r="E5" s="4">
        <v>50.68</v>
      </c>
      <c r="F5" s="5">
        <v>49.6</v>
      </c>
      <c r="G5" s="6">
        <v>3.8306451612902764E-3</v>
      </c>
      <c r="H5" s="4" t="s">
        <v>978</v>
      </c>
      <c r="I5" s="5">
        <v>0.8</v>
      </c>
      <c r="J5" s="4">
        <v>14.15</v>
      </c>
      <c r="K5" s="4">
        <v>40.44</v>
      </c>
      <c r="L5" s="77">
        <f t="shared" si="0"/>
        <v>36.396000000000001</v>
      </c>
      <c r="M5" s="78" t="b">
        <f t="shared" si="1"/>
        <v>0</v>
      </c>
    </row>
    <row r="6" spans="1:13" ht="20.100000000000001" customHeight="1" x14ac:dyDescent="0.25">
      <c r="A6" s="2" t="s">
        <v>249</v>
      </c>
      <c r="B6" s="2" t="s">
        <v>254</v>
      </c>
      <c r="C6" s="4">
        <v>21.9</v>
      </c>
      <c r="D6" s="4">
        <v>21.73</v>
      </c>
      <c r="E6" s="4">
        <v>22.53</v>
      </c>
      <c r="F6" s="5">
        <v>21.83</v>
      </c>
      <c r="G6" s="6">
        <v>3.2065964269354231E-3</v>
      </c>
      <c r="H6" s="4" t="s">
        <v>979</v>
      </c>
      <c r="I6" s="5" t="s">
        <v>39</v>
      </c>
      <c r="J6" s="4">
        <v>9.7200000000000006</v>
      </c>
      <c r="K6" s="4">
        <v>17.78</v>
      </c>
      <c r="L6" s="77">
        <f t="shared" si="0"/>
        <v>16.002000000000002</v>
      </c>
      <c r="M6" s="78" t="b">
        <f t="shared" si="1"/>
        <v>0</v>
      </c>
    </row>
    <row r="7" spans="1:13" ht="20.100000000000001" customHeight="1" x14ac:dyDescent="0.25">
      <c r="A7" s="2" t="s">
        <v>506</v>
      </c>
      <c r="B7" s="2" t="s">
        <v>507</v>
      </c>
      <c r="C7" s="4">
        <v>59.06</v>
      </c>
      <c r="D7" s="4">
        <v>58.65</v>
      </c>
      <c r="E7" s="4">
        <v>60.4</v>
      </c>
      <c r="F7" s="5">
        <v>58.7</v>
      </c>
      <c r="G7" s="6">
        <v>6.1328790459965832E-3</v>
      </c>
      <c r="H7" s="4" t="s">
        <v>980</v>
      </c>
      <c r="I7" s="5" t="s">
        <v>39</v>
      </c>
      <c r="J7" s="4">
        <v>14.44</v>
      </c>
      <c r="K7" s="4">
        <v>44.74</v>
      </c>
      <c r="L7" s="77">
        <f t="shared" si="0"/>
        <v>40.266000000000005</v>
      </c>
      <c r="M7" s="78" t="b">
        <f t="shared" si="1"/>
        <v>0</v>
      </c>
    </row>
    <row r="8" spans="1:13" ht="20.100000000000001" customHeight="1" x14ac:dyDescent="0.25">
      <c r="A8" s="2" t="s">
        <v>508</v>
      </c>
      <c r="B8" s="2" t="s">
        <v>509</v>
      </c>
      <c r="C8" s="4">
        <v>28.86</v>
      </c>
      <c r="D8" s="4">
        <v>28.67</v>
      </c>
      <c r="E8" s="4">
        <v>29.14</v>
      </c>
      <c r="F8" s="5">
        <v>28.47</v>
      </c>
      <c r="G8" s="6">
        <v>1.3698630136986321E-2</v>
      </c>
      <c r="H8" s="4" t="s">
        <v>39</v>
      </c>
      <c r="I8" s="5" t="s">
        <v>39</v>
      </c>
      <c r="J8" s="4" t="s">
        <v>39</v>
      </c>
      <c r="K8" s="4">
        <v>23.41</v>
      </c>
      <c r="L8" s="77">
        <f t="shared" si="0"/>
        <v>21.068999999999999</v>
      </c>
      <c r="M8" s="78" t="b">
        <f t="shared" si="1"/>
        <v>0</v>
      </c>
    </row>
    <row r="9" spans="1:13" ht="20.100000000000001" customHeight="1" x14ac:dyDescent="0.25">
      <c r="A9" s="2" t="s">
        <v>510</v>
      </c>
      <c r="B9" s="2" t="s">
        <v>511</v>
      </c>
      <c r="C9" s="4">
        <v>23.116399999999999</v>
      </c>
      <c r="D9" s="4">
        <v>23.09</v>
      </c>
      <c r="E9" s="4">
        <v>23.26</v>
      </c>
      <c r="F9" s="5">
        <v>23.48</v>
      </c>
      <c r="G9" s="6">
        <v>-1.5485519591141469E-2</v>
      </c>
      <c r="H9" s="4" t="s">
        <v>981</v>
      </c>
      <c r="I9" s="5">
        <v>1.63</v>
      </c>
      <c r="J9" s="4">
        <v>7.3384999999999998</v>
      </c>
      <c r="K9" s="4">
        <v>25.429099999999998</v>
      </c>
      <c r="L9" s="77">
        <f t="shared" si="0"/>
        <v>22.886189999999999</v>
      </c>
      <c r="M9" s="78" t="b">
        <f t="shared" si="1"/>
        <v>0</v>
      </c>
    </row>
    <row r="10" spans="1:13" ht="20.100000000000001" customHeight="1" x14ac:dyDescent="0.25">
      <c r="A10" s="2" t="s">
        <v>685</v>
      </c>
      <c r="B10" s="2" t="s">
        <v>686</v>
      </c>
      <c r="C10" s="4">
        <v>89.77</v>
      </c>
      <c r="D10" s="4">
        <v>88.89</v>
      </c>
      <c r="E10" s="4">
        <v>90.27</v>
      </c>
      <c r="F10" s="5">
        <v>88.55</v>
      </c>
      <c r="G10" s="6">
        <v>1.3777526821005069E-2</v>
      </c>
      <c r="H10" s="4" t="s">
        <v>982</v>
      </c>
      <c r="I10" s="5">
        <v>1.23</v>
      </c>
      <c r="J10" s="4">
        <v>12.59</v>
      </c>
      <c r="K10" s="4">
        <v>68.69</v>
      </c>
      <c r="L10" s="103">
        <f t="shared" si="0"/>
        <v>61.820999999999998</v>
      </c>
      <c r="M10" s="104" t="b">
        <f>L10&gt;C10</f>
        <v>0</v>
      </c>
    </row>
    <row r="11" spans="1:13" ht="20.100000000000001" customHeight="1" x14ac:dyDescent="0.25">
      <c r="A11" s="2" t="s">
        <v>535</v>
      </c>
      <c r="B11" s="2" t="s">
        <v>536</v>
      </c>
      <c r="C11" s="4">
        <v>56.75</v>
      </c>
      <c r="D11" s="4">
        <v>56.15</v>
      </c>
      <c r="E11" s="4">
        <v>58</v>
      </c>
      <c r="F11" s="5">
        <v>56.45</v>
      </c>
      <c r="G11" s="6">
        <v>5.314437555358674E-3</v>
      </c>
      <c r="H11" s="4" t="s">
        <v>983</v>
      </c>
      <c r="I11" s="5" t="s">
        <v>39</v>
      </c>
      <c r="J11" s="4">
        <v>11.44</v>
      </c>
      <c r="K11" s="4">
        <v>45.39</v>
      </c>
      <c r="L11" s="77">
        <f t="shared" si="0"/>
        <v>40.850999999999999</v>
      </c>
      <c r="M11" s="78" t="b">
        <f t="shared" si="1"/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8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1" t="s">
        <v>467</v>
      </c>
      <c r="B2" s="2" t="s">
        <v>471</v>
      </c>
      <c r="C2" s="4">
        <v>51.72</v>
      </c>
      <c r="D2" s="4">
        <v>51.5</v>
      </c>
      <c r="E2" s="4">
        <v>51.97</v>
      </c>
      <c r="F2" s="5">
        <v>51.55</v>
      </c>
      <c r="G2" s="6">
        <v>3.297769156159102E-3</v>
      </c>
      <c r="H2" s="4" t="s">
        <v>984</v>
      </c>
      <c r="I2" s="5">
        <v>1.39</v>
      </c>
      <c r="J2" s="4">
        <v>23.34</v>
      </c>
      <c r="K2" s="4">
        <v>54.25</v>
      </c>
      <c r="L2" s="79">
        <f t="shared" ref="L2:L8" si="0">K2*0.89</f>
        <v>48.282499999999999</v>
      </c>
      <c r="M2" s="80" t="b">
        <f t="shared" ref="M2:M8" si="1">L2&gt;C2</f>
        <v>0</v>
      </c>
    </row>
    <row r="3" spans="1:13" ht="20.100000000000001" customHeight="1" x14ac:dyDescent="0.25">
      <c r="A3" s="2" t="s">
        <v>468</v>
      </c>
      <c r="B3" s="2" t="s">
        <v>985</v>
      </c>
      <c r="C3" s="4">
        <v>28.81</v>
      </c>
      <c r="D3" s="4">
        <v>28.28</v>
      </c>
      <c r="E3" s="4">
        <v>29.53</v>
      </c>
      <c r="F3" s="5">
        <v>28.82</v>
      </c>
      <c r="G3" s="6">
        <v>-3.4698126301185161E-4</v>
      </c>
      <c r="H3" s="4" t="s">
        <v>986</v>
      </c>
      <c r="I3" s="5" t="s">
        <v>39</v>
      </c>
      <c r="J3" s="4">
        <v>64.02</v>
      </c>
      <c r="K3" s="4">
        <v>33.04</v>
      </c>
      <c r="L3" s="70">
        <f t="shared" si="0"/>
        <v>29.4056</v>
      </c>
      <c r="M3" s="70" t="b">
        <f t="shared" si="1"/>
        <v>1</v>
      </c>
    </row>
    <row r="4" spans="1:13" ht="20.100000000000001" customHeight="1" x14ac:dyDescent="0.25">
      <c r="A4" s="2" t="s">
        <v>71</v>
      </c>
      <c r="B4" s="2" t="s">
        <v>282</v>
      </c>
      <c r="C4" s="4">
        <v>38.58</v>
      </c>
      <c r="D4" s="4">
        <v>38.299999999999997</v>
      </c>
      <c r="E4" s="4">
        <v>38.86</v>
      </c>
      <c r="F4" s="5">
        <v>38.64</v>
      </c>
      <c r="G4" s="6">
        <v>-1.5527950310559595E-3</v>
      </c>
      <c r="H4" s="4" t="s">
        <v>987</v>
      </c>
      <c r="I4" s="5">
        <v>3.5</v>
      </c>
      <c r="J4" s="4">
        <v>22.43</v>
      </c>
      <c r="K4" s="4">
        <v>38.5</v>
      </c>
      <c r="L4" s="70">
        <f t="shared" si="0"/>
        <v>34.265000000000001</v>
      </c>
      <c r="M4" s="70" t="b">
        <f t="shared" si="1"/>
        <v>0</v>
      </c>
    </row>
    <row r="5" spans="1:13" ht="20.100000000000001" customHeight="1" x14ac:dyDescent="0.25">
      <c r="A5" s="2" t="s">
        <v>469</v>
      </c>
      <c r="B5" s="2" t="s">
        <v>472</v>
      </c>
      <c r="C5" s="4">
        <v>33.72</v>
      </c>
      <c r="D5" s="4">
        <v>33.65</v>
      </c>
      <c r="E5" s="4">
        <v>34.85</v>
      </c>
      <c r="F5" s="5">
        <v>34.619999999999997</v>
      </c>
      <c r="G5" s="6">
        <v>-2.5996533795493895E-2</v>
      </c>
      <c r="H5" s="4" t="s">
        <v>988</v>
      </c>
      <c r="I5" s="5" t="s">
        <v>39</v>
      </c>
      <c r="J5" s="4">
        <v>16.41</v>
      </c>
      <c r="K5" s="4">
        <v>29.69</v>
      </c>
      <c r="L5" s="70">
        <f t="shared" si="0"/>
        <v>26.424100000000003</v>
      </c>
      <c r="M5" s="70" t="b">
        <f t="shared" si="1"/>
        <v>0</v>
      </c>
    </row>
    <row r="6" spans="1:13" ht="20.100000000000001" customHeight="1" x14ac:dyDescent="0.25">
      <c r="A6" s="2" t="s">
        <v>470</v>
      </c>
      <c r="B6" s="2" t="s">
        <v>473</v>
      </c>
      <c r="C6" s="4">
        <v>24.24</v>
      </c>
      <c r="D6" s="4">
        <v>24</v>
      </c>
      <c r="E6" s="4">
        <v>24.5</v>
      </c>
      <c r="F6" s="5">
        <v>24.36</v>
      </c>
      <c r="G6" s="6">
        <v>-4.9261083743842773E-3</v>
      </c>
      <c r="H6" s="4" t="s">
        <v>989</v>
      </c>
      <c r="I6" s="5">
        <v>1.65</v>
      </c>
      <c r="J6" s="4">
        <v>76.709999999999994</v>
      </c>
      <c r="K6" s="4">
        <v>21.48</v>
      </c>
      <c r="L6" s="70">
        <f t="shared" si="0"/>
        <v>19.1172</v>
      </c>
      <c r="M6" s="70" t="b">
        <f t="shared" si="1"/>
        <v>0</v>
      </c>
    </row>
    <row r="7" spans="1:13" ht="20.100000000000001" customHeight="1" x14ac:dyDescent="0.25">
      <c r="A7" s="2" t="s">
        <v>542</v>
      </c>
      <c r="B7" s="2" t="s">
        <v>544</v>
      </c>
      <c r="C7" s="4">
        <v>78.099999999999994</v>
      </c>
      <c r="D7" s="4">
        <v>77.7</v>
      </c>
      <c r="E7" s="4">
        <v>79.37</v>
      </c>
      <c r="F7" s="5">
        <v>79.2</v>
      </c>
      <c r="G7" s="6">
        <v>-1.3888888888888996E-2</v>
      </c>
      <c r="H7" s="4" t="s">
        <v>990</v>
      </c>
      <c r="I7" s="5">
        <v>1.41</v>
      </c>
      <c r="J7" s="4">
        <v>16.86</v>
      </c>
      <c r="K7" s="4">
        <v>63.6</v>
      </c>
      <c r="L7" s="70">
        <f t="shared" si="0"/>
        <v>56.603999999999999</v>
      </c>
      <c r="M7" s="70" t="b">
        <f t="shared" si="1"/>
        <v>0</v>
      </c>
    </row>
    <row r="8" spans="1:13" ht="20.100000000000001" customHeight="1" x14ac:dyDescent="0.25">
      <c r="A8" s="2" t="s">
        <v>543</v>
      </c>
      <c r="B8" s="2" t="s">
        <v>545</v>
      </c>
      <c r="C8" s="4">
        <v>69.3</v>
      </c>
      <c r="D8" s="4">
        <v>68.25</v>
      </c>
      <c r="E8" s="4">
        <v>69.709999999999994</v>
      </c>
      <c r="F8" s="5">
        <v>68.84</v>
      </c>
      <c r="G8" s="6">
        <v>6.6821615339917742E-3</v>
      </c>
      <c r="H8" s="4" t="s">
        <v>991</v>
      </c>
      <c r="I8" s="5" t="s">
        <v>39</v>
      </c>
      <c r="J8" s="4">
        <v>33.46</v>
      </c>
      <c r="K8" s="4">
        <v>67.290000000000006</v>
      </c>
      <c r="L8" s="70">
        <f t="shared" si="0"/>
        <v>59.888100000000009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1" t="s">
        <v>126</v>
      </c>
      <c r="B2" s="2" t="s">
        <v>158</v>
      </c>
      <c r="C2" s="20">
        <v>37.659999999999997</v>
      </c>
      <c r="D2" s="20">
        <v>36.409999999999997</v>
      </c>
      <c r="E2" s="20">
        <v>37.68</v>
      </c>
      <c r="F2" s="5">
        <v>36.42</v>
      </c>
      <c r="G2" s="26">
        <v>3.4047226798462241E-2</v>
      </c>
      <c r="H2" s="6" t="s">
        <v>992</v>
      </c>
      <c r="I2" s="5">
        <v>4.04</v>
      </c>
      <c r="J2" s="4">
        <v>4.3</v>
      </c>
      <c r="K2" s="4">
        <v>31.5</v>
      </c>
      <c r="L2" s="5">
        <f t="shared" ref="L2:L8" si="0">K2*0.9</f>
        <v>28.35</v>
      </c>
      <c r="M2" s="5" t="b">
        <f t="shared" ref="M2:M8" si="1">L2&gt;C2</f>
        <v>0</v>
      </c>
    </row>
    <row r="3" spans="1:13" ht="20.100000000000001" customHeight="1" x14ac:dyDescent="0.25">
      <c r="A3" s="2" t="s">
        <v>573</v>
      </c>
      <c r="B3" s="2" t="s">
        <v>575</v>
      </c>
      <c r="C3" s="20">
        <v>8.41</v>
      </c>
      <c r="D3" s="20">
        <v>8.34</v>
      </c>
      <c r="E3" s="20">
        <v>8.5</v>
      </c>
      <c r="F3" s="5">
        <v>8.4499999999999993</v>
      </c>
      <c r="G3" s="26">
        <v>-4.733727810650787E-3</v>
      </c>
      <c r="H3" s="6" t="s">
        <v>993</v>
      </c>
      <c r="I3" s="5">
        <v>0</v>
      </c>
      <c r="J3" s="4">
        <v>7.58</v>
      </c>
      <c r="K3" s="4">
        <v>6.82</v>
      </c>
      <c r="L3" s="5">
        <f t="shared" si="0"/>
        <v>6.1380000000000008</v>
      </c>
      <c r="M3" s="5" t="b">
        <f t="shared" si="1"/>
        <v>0</v>
      </c>
    </row>
    <row r="4" spans="1:13" ht="20.100000000000001" customHeight="1" x14ac:dyDescent="0.25">
      <c r="A4" s="2" t="s">
        <v>574</v>
      </c>
      <c r="B4" s="2" t="s">
        <v>576</v>
      </c>
      <c r="C4" s="20">
        <v>192.18</v>
      </c>
      <c r="D4" s="20">
        <v>190.81</v>
      </c>
      <c r="E4" s="20">
        <v>193.84</v>
      </c>
      <c r="F4" s="5">
        <v>192.29</v>
      </c>
      <c r="G4" s="26">
        <v>-5.7205262884177659E-4</v>
      </c>
      <c r="H4" s="6" t="s">
        <v>994</v>
      </c>
      <c r="I4" s="5" t="s">
        <v>39</v>
      </c>
      <c r="J4" s="4" t="s">
        <v>39</v>
      </c>
      <c r="K4" s="4">
        <v>208.7</v>
      </c>
      <c r="L4" s="5">
        <f>K4*0.9</f>
        <v>187.82999999999998</v>
      </c>
      <c r="M4" s="5" t="b">
        <f>L4&gt;C4</f>
        <v>0</v>
      </c>
    </row>
    <row r="5" spans="1:13" ht="20.100000000000001" customHeight="1" x14ac:dyDescent="0.25">
      <c r="A5" s="2" t="s">
        <v>661</v>
      </c>
      <c r="B5" s="2" t="s">
        <v>662</v>
      </c>
      <c r="C5" s="20">
        <v>175.58</v>
      </c>
      <c r="D5" s="20">
        <v>173.96</v>
      </c>
      <c r="E5" s="20">
        <v>177.32</v>
      </c>
      <c r="F5" s="5">
        <v>176.52</v>
      </c>
      <c r="G5" s="26">
        <v>-5.3251756174937555E-3</v>
      </c>
      <c r="H5" s="6" t="s">
        <v>995</v>
      </c>
      <c r="I5" s="5">
        <v>0.14000000000000001</v>
      </c>
      <c r="J5" s="4">
        <v>28.77</v>
      </c>
      <c r="K5" s="4">
        <v>156.35</v>
      </c>
      <c r="L5" s="5">
        <f>K5*0.9</f>
        <v>140.715</v>
      </c>
      <c r="M5" s="5" t="b">
        <f>L5&gt;C5</f>
        <v>0</v>
      </c>
    </row>
    <row r="6" spans="1:13" ht="20.100000000000001" customHeight="1" x14ac:dyDescent="0.25">
      <c r="A6" s="71" t="s">
        <v>664</v>
      </c>
      <c r="B6" s="2" t="s">
        <v>665</v>
      </c>
      <c r="C6" s="20">
        <v>803.1</v>
      </c>
      <c r="D6" s="20">
        <v>799.1</v>
      </c>
      <c r="E6" s="20">
        <v>811.59</v>
      </c>
      <c r="F6" s="5">
        <v>807.71</v>
      </c>
      <c r="G6" s="26">
        <v>-5.7074940263213449E-3</v>
      </c>
      <c r="H6" s="6" t="s">
        <v>996</v>
      </c>
      <c r="I6" s="5" t="s">
        <v>39</v>
      </c>
      <c r="J6" s="4">
        <v>19.190000000000001</v>
      </c>
      <c r="K6" s="4">
        <v>769.37</v>
      </c>
      <c r="L6" s="5">
        <f>K6*0.9</f>
        <v>692.43299999999999</v>
      </c>
      <c r="M6" s="5" t="b">
        <f>L6&gt;C6</f>
        <v>0</v>
      </c>
    </row>
    <row r="7" spans="1:13" ht="20.100000000000001" customHeight="1" x14ac:dyDescent="0.25">
      <c r="A7" s="2" t="s">
        <v>931</v>
      </c>
      <c r="B7" s="2" t="s">
        <v>932</v>
      </c>
      <c r="C7" s="20">
        <v>34.29</v>
      </c>
      <c r="D7" s="20">
        <v>33.51</v>
      </c>
      <c r="E7" s="20">
        <v>34.299999999999997</v>
      </c>
      <c r="F7" s="5">
        <v>33.659999999999997</v>
      </c>
      <c r="G7" s="26">
        <v>1.871657754010703E-2</v>
      </c>
      <c r="H7" s="6" t="s">
        <v>997</v>
      </c>
      <c r="I7" s="5" t="s">
        <v>39</v>
      </c>
      <c r="J7" s="4">
        <v>22.41</v>
      </c>
      <c r="K7" s="4">
        <v>33.590000000000003</v>
      </c>
      <c r="L7" s="5">
        <f>K7*0.9</f>
        <v>30.231000000000005</v>
      </c>
      <c r="M7" s="5" t="b">
        <f>L7&gt;C7</f>
        <v>0</v>
      </c>
    </row>
    <row r="8" spans="1:13" ht="20.100000000000001" customHeight="1" x14ac:dyDescent="0.25">
      <c r="A8" s="81" t="s">
        <v>449</v>
      </c>
      <c r="B8" s="2" t="s">
        <v>451</v>
      </c>
      <c r="C8" s="20">
        <v>13.17</v>
      </c>
      <c r="D8" s="20">
        <v>12.91</v>
      </c>
      <c r="E8" s="20">
        <v>13.2</v>
      </c>
      <c r="F8" s="5">
        <v>13.03</v>
      </c>
      <c r="G8" s="26">
        <v>1.0744435917114395E-2</v>
      </c>
      <c r="H8" s="6" t="s">
        <v>998</v>
      </c>
      <c r="I8" s="5">
        <v>4.5599999999999996</v>
      </c>
      <c r="J8" s="4">
        <v>7.28</v>
      </c>
      <c r="K8" s="4">
        <v>12.5</v>
      </c>
      <c r="L8" s="5">
        <f t="shared" si="0"/>
        <v>11.25</v>
      </c>
      <c r="M8" s="5" t="b">
        <f t="shared" si="1"/>
        <v>0</v>
      </c>
    </row>
  </sheetData>
  <conditionalFormatting sqref="G3:G7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95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1"/>
  <sheetViews>
    <sheetView workbookViewId="0">
      <selection activeCell="G5" sqref="G5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106</v>
      </c>
      <c r="B2" s="2" t="s">
        <v>107</v>
      </c>
      <c r="C2" s="11">
        <v>61.54</v>
      </c>
      <c r="D2" s="4">
        <v>60.92</v>
      </c>
      <c r="E2" s="4">
        <v>61.92</v>
      </c>
      <c r="F2" s="5">
        <v>60.9</v>
      </c>
      <c r="G2" s="26">
        <v>1.050903119868638E-2</v>
      </c>
      <c r="H2" s="6" t="s">
        <v>999</v>
      </c>
      <c r="I2" s="5">
        <v>4.16</v>
      </c>
      <c r="J2" s="4">
        <v>16.64</v>
      </c>
      <c r="K2" s="4">
        <v>62.68</v>
      </c>
      <c r="L2" s="4">
        <f t="shared" ref="L2:L21" si="0">K2*0.89</f>
        <v>55.785200000000003</v>
      </c>
      <c r="M2" s="4" t="b">
        <f t="shared" ref="M2:M21" si="1">L2&gt;C2</f>
        <v>0</v>
      </c>
    </row>
    <row r="3" spans="1:13" ht="20.100000000000001" customHeight="1" x14ac:dyDescent="0.25">
      <c r="A3" s="2" t="s">
        <v>99</v>
      </c>
      <c r="B3" s="2" t="s">
        <v>108</v>
      </c>
      <c r="C3" s="4">
        <v>39.200000000000003</v>
      </c>
      <c r="D3" s="4">
        <v>38.78</v>
      </c>
      <c r="E3" s="4">
        <v>39.340000000000003</v>
      </c>
      <c r="F3" s="5">
        <v>38.68</v>
      </c>
      <c r="G3" s="6">
        <v>1.344364012409522E-2</v>
      </c>
      <c r="H3" s="4" t="s">
        <v>1000</v>
      </c>
      <c r="I3" s="5">
        <v>2.65</v>
      </c>
      <c r="J3" s="4">
        <v>42.79</v>
      </c>
      <c r="K3" s="4">
        <v>41</v>
      </c>
      <c r="L3" s="4">
        <f t="shared" si="0"/>
        <v>36.49</v>
      </c>
      <c r="M3" s="4" t="b">
        <f t="shared" si="1"/>
        <v>0</v>
      </c>
    </row>
    <row r="4" spans="1:13" ht="20.100000000000001" customHeight="1" x14ac:dyDescent="0.25">
      <c r="A4" s="2" t="s">
        <v>98</v>
      </c>
      <c r="B4" s="2" t="s">
        <v>109</v>
      </c>
      <c r="C4" s="4">
        <v>192.25</v>
      </c>
      <c r="D4" s="4">
        <v>189.13</v>
      </c>
      <c r="E4" s="4">
        <v>196.3</v>
      </c>
      <c r="F4" s="5">
        <v>188.47</v>
      </c>
      <c r="G4" s="6">
        <v>2.0056242372791432E-2</v>
      </c>
      <c r="H4" s="4" t="s">
        <v>1001</v>
      </c>
      <c r="I4" s="5">
        <v>1.46</v>
      </c>
      <c r="J4" s="4">
        <v>5.39</v>
      </c>
      <c r="K4" s="4">
        <v>230.92</v>
      </c>
      <c r="L4" s="4">
        <f t="shared" si="0"/>
        <v>205.5188</v>
      </c>
      <c r="M4" s="4" t="b">
        <f t="shared" si="1"/>
        <v>1</v>
      </c>
    </row>
    <row r="5" spans="1:13" ht="20.100000000000001" customHeight="1" x14ac:dyDescent="0.25">
      <c r="A5" s="2" t="s">
        <v>241</v>
      </c>
      <c r="B5" s="2" t="s">
        <v>242</v>
      </c>
      <c r="C5" s="20">
        <v>132.07</v>
      </c>
      <c r="D5" s="20">
        <v>126.06</v>
      </c>
      <c r="E5" s="20">
        <v>134.06</v>
      </c>
      <c r="F5" s="5">
        <v>126</v>
      </c>
      <c r="G5" s="26">
        <v>4.817460317460312E-2</v>
      </c>
      <c r="H5" s="6" t="s">
        <v>1002</v>
      </c>
      <c r="I5" s="5" t="s">
        <v>39</v>
      </c>
      <c r="J5" s="4">
        <v>80.53</v>
      </c>
      <c r="K5" s="4">
        <v>127.84</v>
      </c>
      <c r="L5" s="4">
        <f t="shared" si="0"/>
        <v>113.77760000000001</v>
      </c>
      <c r="M5" s="4" t="b">
        <f t="shared" si="1"/>
        <v>0</v>
      </c>
    </row>
    <row r="6" spans="1:13" ht="20.100000000000001" customHeight="1" x14ac:dyDescent="0.25">
      <c r="A6" s="2" t="s">
        <v>101</v>
      </c>
      <c r="B6" s="2" t="s">
        <v>110</v>
      </c>
      <c r="C6" s="11">
        <v>143.44999999999999</v>
      </c>
      <c r="D6" s="4">
        <v>141</v>
      </c>
      <c r="E6" s="4">
        <v>144.58000000000001</v>
      </c>
      <c r="F6" s="5">
        <v>140.59</v>
      </c>
      <c r="G6" s="26">
        <v>2.0342840884842343E-2</v>
      </c>
      <c r="H6" s="6" t="s">
        <v>1003</v>
      </c>
      <c r="I6" s="5">
        <v>2.79</v>
      </c>
      <c r="J6" s="4">
        <v>14.36</v>
      </c>
      <c r="K6" s="4">
        <v>159.88999999999999</v>
      </c>
      <c r="L6" s="4">
        <f t="shared" si="0"/>
        <v>142.3021</v>
      </c>
      <c r="M6" s="4" t="b">
        <f t="shared" si="1"/>
        <v>0</v>
      </c>
    </row>
    <row r="7" spans="1:13" s="7" customFormat="1" ht="20.100000000000001" customHeight="1" x14ac:dyDescent="0.25">
      <c r="A7" s="1" t="s">
        <v>96</v>
      </c>
      <c r="B7" s="2" t="s">
        <v>338</v>
      </c>
      <c r="C7" s="4">
        <v>287.77</v>
      </c>
      <c r="D7" s="4">
        <v>281.79000000000002</v>
      </c>
      <c r="E7" s="4">
        <v>306.98</v>
      </c>
      <c r="F7" s="5">
        <v>289.54000000000002</v>
      </c>
      <c r="G7" s="6">
        <v>-6.113144988602744E-3</v>
      </c>
      <c r="H7" s="4" t="s">
        <v>1004</v>
      </c>
      <c r="I7" s="5" t="s">
        <v>39</v>
      </c>
      <c r="J7" s="4">
        <v>16.27</v>
      </c>
      <c r="K7" s="4">
        <v>289.33</v>
      </c>
      <c r="L7" s="4">
        <f t="shared" si="0"/>
        <v>257.50369999999998</v>
      </c>
      <c r="M7" s="4" t="b">
        <f t="shared" si="1"/>
        <v>0</v>
      </c>
    </row>
    <row r="8" spans="1:13" ht="20.100000000000001" customHeight="1" x14ac:dyDescent="0.25">
      <c r="A8" s="1" t="s">
        <v>94</v>
      </c>
      <c r="B8" s="2" t="s">
        <v>111</v>
      </c>
      <c r="C8" s="4">
        <v>69.5</v>
      </c>
      <c r="D8" s="4">
        <v>69.400000000000006</v>
      </c>
      <c r="E8" s="4">
        <v>73.8</v>
      </c>
      <c r="F8" s="5">
        <v>71.8</v>
      </c>
      <c r="G8" s="6">
        <v>-3.2033426183843972E-2</v>
      </c>
      <c r="H8" s="4" t="s">
        <v>1005</v>
      </c>
      <c r="I8" s="5" t="s">
        <v>39</v>
      </c>
      <c r="J8" s="4" t="s">
        <v>39</v>
      </c>
      <c r="K8" s="4">
        <v>54.78</v>
      </c>
      <c r="L8" s="4">
        <f t="shared" si="0"/>
        <v>48.754200000000004</v>
      </c>
      <c r="M8" s="4" t="b">
        <f t="shared" si="1"/>
        <v>0</v>
      </c>
    </row>
    <row r="9" spans="1:13" s="7" customFormat="1" ht="20.100000000000001" customHeight="1" x14ac:dyDescent="0.25">
      <c r="A9" s="2" t="s">
        <v>105</v>
      </c>
      <c r="B9" s="2" t="s">
        <v>112</v>
      </c>
      <c r="C9" s="11">
        <v>113.47</v>
      </c>
      <c r="D9" s="4">
        <v>112.74</v>
      </c>
      <c r="E9" s="4">
        <v>115.14</v>
      </c>
      <c r="F9" s="5">
        <v>113.06</v>
      </c>
      <c r="G9" s="26">
        <v>3.6263930656288395E-3</v>
      </c>
      <c r="H9" s="6" t="s">
        <v>1006</v>
      </c>
      <c r="I9" s="5" t="s">
        <v>39</v>
      </c>
      <c r="J9" s="4">
        <v>43.1</v>
      </c>
      <c r="K9" s="4">
        <v>107.66</v>
      </c>
      <c r="L9" s="4">
        <f t="shared" si="0"/>
        <v>95.817399999999992</v>
      </c>
      <c r="M9" s="4" t="b">
        <f t="shared" si="1"/>
        <v>0</v>
      </c>
    </row>
    <row r="10" spans="1:13" ht="20.100000000000001" customHeight="1" x14ac:dyDescent="0.25">
      <c r="A10" s="81" t="s">
        <v>95</v>
      </c>
      <c r="B10" s="2" t="s">
        <v>113</v>
      </c>
      <c r="C10" s="4">
        <v>72.7</v>
      </c>
      <c r="D10" s="4">
        <v>71.95</v>
      </c>
      <c r="E10" s="4">
        <v>73.13</v>
      </c>
      <c r="F10" s="5">
        <v>72.02</v>
      </c>
      <c r="G10" s="6">
        <v>9.4418217161900426E-3</v>
      </c>
      <c r="H10" s="4" t="s">
        <v>1007</v>
      </c>
      <c r="I10" s="5">
        <v>2.59</v>
      </c>
      <c r="J10" s="4">
        <v>6.72</v>
      </c>
      <c r="K10" s="4">
        <v>79.47</v>
      </c>
      <c r="L10" s="4">
        <f t="shared" si="0"/>
        <v>70.728300000000004</v>
      </c>
      <c r="M10" s="4" t="b">
        <f t="shared" si="1"/>
        <v>0</v>
      </c>
    </row>
    <row r="11" spans="1:13" ht="20.100000000000001" customHeight="1" x14ac:dyDescent="0.25">
      <c r="A11" s="2" t="s">
        <v>102</v>
      </c>
      <c r="B11" s="2" t="s">
        <v>114</v>
      </c>
      <c r="C11" s="11">
        <v>67.849999999999994</v>
      </c>
      <c r="D11" s="4">
        <v>67.22</v>
      </c>
      <c r="E11" s="4">
        <v>68.17</v>
      </c>
      <c r="F11" s="5">
        <v>67.19</v>
      </c>
      <c r="G11" s="26">
        <v>9.8228903110581436E-3</v>
      </c>
      <c r="H11" s="6" t="s">
        <v>1008</v>
      </c>
      <c r="I11" s="5">
        <v>3.01</v>
      </c>
      <c r="J11" s="4">
        <v>29.51</v>
      </c>
      <c r="K11" s="4">
        <v>77.3</v>
      </c>
      <c r="L11" s="4">
        <f t="shared" si="0"/>
        <v>68.796999999999997</v>
      </c>
      <c r="M11" s="4" t="b">
        <f t="shared" si="1"/>
        <v>1</v>
      </c>
    </row>
    <row r="12" spans="1:13" ht="20.100000000000001" customHeight="1" x14ac:dyDescent="0.25">
      <c r="A12" s="2" t="s">
        <v>681</v>
      </c>
      <c r="B12" s="2" t="s">
        <v>682</v>
      </c>
      <c r="C12" s="20">
        <v>372.83</v>
      </c>
      <c r="D12" s="20">
        <v>369.77</v>
      </c>
      <c r="E12" s="20">
        <v>379.5</v>
      </c>
      <c r="F12" s="5">
        <v>369.15</v>
      </c>
      <c r="G12" s="26">
        <v>9.9688473520249416E-3</v>
      </c>
      <c r="H12" s="6" t="s">
        <v>1009</v>
      </c>
      <c r="I12" s="5" t="s">
        <v>39</v>
      </c>
      <c r="J12" s="4">
        <v>54.4</v>
      </c>
      <c r="K12" s="4">
        <v>388.75</v>
      </c>
      <c r="L12" s="20">
        <f>K12*0.89</f>
        <v>345.98750000000001</v>
      </c>
      <c r="M12" s="20" t="b">
        <f>L12&gt;C12</f>
        <v>0</v>
      </c>
    </row>
    <row r="13" spans="1:13" ht="20.100000000000001" customHeight="1" x14ac:dyDescent="0.25">
      <c r="A13" s="2" t="s">
        <v>103</v>
      </c>
      <c r="B13" s="2" t="s">
        <v>115</v>
      </c>
      <c r="C13" s="11">
        <v>61.23</v>
      </c>
      <c r="D13" s="4">
        <v>60.4</v>
      </c>
      <c r="E13" s="4">
        <v>61.51</v>
      </c>
      <c r="F13" s="5">
        <v>60.12</v>
      </c>
      <c r="G13" s="26">
        <v>1.8463073852295401E-2</v>
      </c>
      <c r="H13" s="6" t="s">
        <v>1010</v>
      </c>
      <c r="I13" s="5">
        <v>3.07</v>
      </c>
      <c r="J13" s="4">
        <v>31.27</v>
      </c>
      <c r="K13" s="4">
        <v>60.47</v>
      </c>
      <c r="L13" s="4">
        <f t="shared" si="0"/>
        <v>53.818300000000001</v>
      </c>
      <c r="M13" s="4" t="b">
        <f t="shared" si="1"/>
        <v>0</v>
      </c>
    </row>
    <row r="14" spans="1:13" ht="20.100000000000001" customHeight="1" x14ac:dyDescent="0.25">
      <c r="A14" s="1" t="s">
        <v>484</v>
      </c>
      <c r="B14" s="2" t="s">
        <v>485</v>
      </c>
      <c r="C14" s="11">
        <v>20.2</v>
      </c>
      <c r="D14" s="4">
        <v>20</v>
      </c>
      <c r="E14" s="4">
        <v>20.49</v>
      </c>
      <c r="F14" s="5">
        <v>20.05</v>
      </c>
      <c r="G14" s="26">
        <v>7.4812967581046668E-3</v>
      </c>
      <c r="H14" s="6" t="s">
        <v>746</v>
      </c>
      <c r="I14" s="5" t="s">
        <v>39</v>
      </c>
      <c r="J14" s="4" t="s">
        <v>39</v>
      </c>
      <c r="K14" s="4">
        <v>21.13</v>
      </c>
      <c r="L14" s="4">
        <f t="shared" si="0"/>
        <v>18.805699999999998</v>
      </c>
      <c r="M14" s="4" t="b">
        <f t="shared" si="1"/>
        <v>0</v>
      </c>
    </row>
    <row r="15" spans="1:13" ht="20.100000000000001" customHeight="1" x14ac:dyDescent="0.25">
      <c r="A15" s="1" t="s">
        <v>97</v>
      </c>
      <c r="B15" s="2" t="s">
        <v>1011</v>
      </c>
      <c r="C15" s="4">
        <v>1.44</v>
      </c>
      <c r="D15" s="4">
        <v>1.31</v>
      </c>
      <c r="E15" s="4">
        <v>1.47</v>
      </c>
      <c r="F15" s="5">
        <v>1.31</v>
      </c>
      <c r="G15" s="6">
        <v>9.9236641221373961E-2</v>
      </c>
      <c r="H15" s="4" t="s">
        <v>1012</v>
      </c>
      <c r="I15" s="5" t="s">
        <v>39</v>
      </c>
      <c r="J15" s="4" t="s">
        <v>39</v>
      </c>
      <c r="K15" s="4">
        <v>1.7</v>
      </c>
      <c r="L15" s="4">
        <f t="shared" si="0"/>
        <v>1.5129999999999999</v>
      </c>
      <c r="M15" s="4" t="b">
        <f t="shared" si="1"/>
        <v>1</v>
      </c>
    </row>
    <row r="16" spans="1:13" ht="20.100000000000001" customHeight="1" x14ac:dyDescent="0.25">
      <c r="A16" s="2" t="s">
        <v>100</v>
      </c>
      <c r="B16" s="2" t="s">
        <v>116</v>
      </c>
      <c r="C16" s="4">
        <v>31.7</v>
      </c>
      <c r="D16" s="4">
        <v>31.09</v>
      </c>
      <c r="E16" s="4">
        <v>31.92</v>
      </c>
      <c r="F16" s="5">
        <v>30.94</v>
      </c>
      <c r="G16" s="6">
        <v>2.4563671622495085E-2</v>
      </c>
      <c r="H16" s="4" t="s">
        <v>1013</v>
      </c>
      <c r="I16" s="5">
        <v>3.79</v>
      </c>
      <c r="J16" s="4">
        <v>31.83</v>
      </c>
      <c r="K16" s="4">
        <v>34.020000000000003</v>
      </c>
      <c r="L16" s="4">
        <f t="shared" si="0"/>
        <v>30.277800000000003</v>
      </c>
      <c r="M16" s="4" t="b">
        <f t="shared" si="1"/>
        <v>0</v>
      </c>
    </row>
    <row r="17" spans="1:13" ht="20.100000000000001" customHeight="1" x14ac:dyDescent="0.25">
      <c r="A17" s="2" t="s">
        <v>243</v>
      </c>
      <c r="B17" s="2" t="s">
        <v>244</v>
      </c>
      <c r="C17" s="20">
        <v>57.04</v>
      </c>
      <c r="D17" s="20">
        <v>55.1</v>
      </c>
      <c r="E17" s="20">
        <v>57.18</v>
      </c>
      <c r="F17" s="5">
        <v>55.23</v>
      </c>
      <c r="G17" s="26">
        <v>3.2772044178888328E-2</v>
      </c>
      <c r="H17" s="6" t="s">
        <v>1014</v>
      </c>
      <c r="I17" s="5">
        <v>2.73</v>
      </c>
      <c r="J17" s="4">
        <v>28.53</v>
      </c>
      <c r="K17" s="4">
        <v>62.02</v>
      </c>
      <c r="L17" s="4">
        <f t="shared" si="0"/>
        <v>55.197800000000001</v>
      </c>
      <c r="M17" s="4" t="b">
        <f t="shared" si="1"/>
        <v>0</v>
      </c>
    </row>
    <row r="18" spans="1:13" ht="20.100000000000001" customHeight="1" x14ac:dyDescent="0.25">
      <c r="A18" s="82" t="s">
        <v>104</v>
      </c>
      <c r="B18" s="83" t="s">
        <v>339</v>
      </c>
      <c r="C18" s="84">
        <v>36.51</v>
      </c>
      <c r="D18" s="84">
        <v>36.07</v>
      </c>
      <c r="E18" s="84">
        <v>37.15</v>
      </c>
      <c r="F18" s="85">
        <v>36.06</v>
      </c>
      <c r="G18" s="86">
        <v>1.247920133111469E-2</v>
      </c>
      <c r="H18" s="87" t="s">
        <v>1015</v>
      </c>
      <c r="I18" s="85">
        <v>0</v>
      </c>
      <c r="J18" s="88">
        <v>73.17</v>
      </c>
      <c r="K18" s="88">
        <v>41.85</v>
      </c>
      <c r="L18" s="88">
        <f t="shared" si="0"/>
        <v>37.246500000000005</v>
      </c>
      <c r="M18" s="88" t="b">
        <f t="shared" si="1"/>
        <v>1</v>
      </c>
    </row>
    <row r="19" spans="1:13" ht="20.100000000000001" customHeight="1" x14ac:dyDescent="0.25">
      <c r="A19" s="83" t="s">
        <v>486</v>
      </c>
      <c r="B19" s="83" t="s">
        <v>488</v>
      </c>
      <c r="C19" s="84">
        <v>36.299999999999997</v>
      </c>
      <c r="D19" s="84">
        <v>36.15</v>
      </c>
      <c r="E19" s="84">
        <v>36.86</v>
      </c>
      <c r="F19" s="85">
        <v>35.909999999999997</v>
      </c>
      <c r="G19" s="86">
        <v>1.0860484544695088E-2</v>
      </c>
      <c r="H19" s="87" t="s">
        <v>1016</v>
      </c>
      <c r="I19" s="85">
        <v>3.75</v>
      </c>
      <c r="J19" s="88">
        <v>21.12</v>
      </c>
      <c r="K19" s="88">
        <v>48.2</v>
      </c>
      <c r="L19" s="88">
        <f t="shared" si="0"/>
        <v>42.898000000000003</v>
      </c>
      <c r="M19" s="88" t="b">
        <f t="shared" si="1"/>
        <v>1</v>
      </c>
    </row>
    <row r="20" spans="1:13" ht="20.100000000000001" customHeight="1" x14ac:dyDescent="0.25">
      <c r="A20" s="83" t="s">
        <v>487</v>
      </c>
      <c r="B20" s="83" t="s">
        <v>489</v>
      </c>
      <c r="C20" s="84">
        <v>82.5</v>
      </c>
      <c r="D20" s="84">
        <v>82.16</v>
      </c>
      <c r="E20" s="84">
        <v>83.7</v>
      </c>
      <c r="F20" s="85">
        <v>81.95</v>
      </c>
      <c r="G20" s="86">
        <v>6.7114093959731195E-3</v>
      </c>
      <c r="H20" s="87" t="s">
        <v>1017</v>
      </c>
      <c r="I20" s="85">
        <v>0.7</v>
      </c>
      <c r="J20" s="88" t="s">
        <v>39</v>
      </c>
      <c r="K20" s="88">
        <v>91.39</v>
      </c>
      <c r="L20" s="88">
        <f t="shared" si="0"/>
        <v>81.337100000000007</v>
      </c>
      <c r="M20" s="88" t="b">
        <f t="shared" si="1"/>
        <v>0</v>
      </c>
    </row>
    <row r="21" spans="1:13" ht="20.100000000000001" customHeight="1" x14ac:dyDescent="0.25">
      <c r="A21" s="83" t="s">
        <v>490</v>
      </c>
      <c r="B21" s="83" t="s">
        <v>1018</v>
      </c>
      <c r="C21" s="84">
        <v>15.64</v>
      </c>
      <c r="D21" s="84">
        <v>15.52</v>
      </c>
      <c r="E21" s="84">
        <v>16.09</v>
      </c>
      <c r="F21" s="85">
        <v>15.65</v>
      </c>
      <c r="G21" s="86">
        <v>-6.3897763578273396E-4</v>
      </c>
      <c r="H21" s="87" t="s">
        <v>1019</v>
      </c>
      <c r="I21" s="85" t="s">
        <v>39</v>
      </c>
      <c r="J21" s="88" t="s">
        <v>39</v>
      </c>
      <c r="K21" s="88">
        <v>18.559999999999999</v>
      </c>
      <c r="L21" s="88">
        <f t="shared" si="0"/>
        <v>16.5184</v>
      </c>
      <c r="M21" s="88" t="b">
        <f t="shared" si="1"/>
        <v>1</v>
      </c>
    </row>
  </sheetData>
  <conditionalFormatting sqref="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:G2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21">
    <cfRule type="colorScale" priority="9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10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702</v>
      </c>
      <c r="B2" s="2" t="s">
        <v>707</v>
      </c>
      <c r="C2" s="4">
        <v>35.64</v>
      </c>
      <c r="D2" s="4">
        <v>35.159999999999997</v>
      </c>
      <c r="E2" s="4">
        <v>35.74</v>
      </c>
      <c r="F2" s="5">
        <v>35.44</v>
      </c>
      <c r="G2" s="6">
        <v>5.6433408577878912E-3</v>
      </c>
      <c r="H2" s="4" t="s">
        <v>1020</v>
      </c>
      <c r="I2" s="5">
        <v>0</v>
      </c>
      <c r="J2" s="4">
        <v>19.670000000000002</v>
      </c>
      <c r="K2" s="4">
        <v>27.64</v>
      </c>
      <c r="L2" s="79">
        <f t="shared" ref="L2:L6" si="0">K2*0.89</f>
        <v>24.599600000000002</v>
      </c>
      <c r="M2" s="80" t="b">
        <f t="shared" ref="M2:M6" si="1">L2&gt;C2</f>
        <v>0</v>
      </c>
    </row>
    <row r="3" spans="1:13" ht="20.100000000000001" customHeight="1" x14ac:dyDescent="0.25">
      <c r="A3" s="2" t="s">
        <v>703</v>
      </c>
      <c r="B3" s="2" t="s">
        <v>708</v>
      </c>
      <c r="C3" s="11">
        <v>39.6</v>
      </c>
      <c r="D3" s="4">
        <v>38.799999999999997</v>
      </c>
      <c r="E3" s="4">
        <v>39.61</v>
      </c>
      <c r="F3" s="5">
        <v>39.19</v>
      </c>
      <c r="G3" s="26">
        <v>1.0461852513396369E-2</v>
      </c>
      <c r="H3" s="6" t="s">
        <v>1021</v>
      </c>
      <c r="I3" s="5">
        <v>1.01</v>
      </c>
      <c r="J3" s="4">
        <v>27.14</v>
      </c>
      <c r="K3" s="4">
        <v>36.1</v>
      </c>
      <c r="L3" s="4">
        <f t="shared" si="0"/>
        <v>32.129000000000005</v>
      </c>
      <c r="M3" s="4" t="b">
        <f t="shared" si="1"/>
        <v>0</v>
      </c>
    </row>
    <row r="4" spans="1:13" ht="20.100000000000001" customHeight="1" x14ac:dyDescent="0.25">
      <c r="A4" s="2" t="s">
        <v>704</v>
      </c>
      <c r="B4" s="2" t="s">
        <v>710</v>
      </c>
      <c r="C4" s="4">
        <v>39.32</v>
      </c>
      <c r="D4" s="4">
        <v>38.96</v>
      </c>
      <c r="E4" s="4">
        <v>39.5</v>
      </c>
      <c r="F4" s="5">
        <v>39.42</v>
      </c>
      <c r="G4" s="6">
        <v>-2.5367833587012028E-3</v>
      </c>
      <c r="H4" s="4" t="s">
        <v>1022</v>
      </c>
      <c r="I4" s="5">
        <v>0.71</v>
      </c>
      <c r="J4" s="4">
        <v>31.71</v>
      </c>
      <c r="K4" s="4">
        <v>31.04</v>
      </c>
      <c r="L4" s="4">
        <f t="shared" si="0"/>
        <v>27.625599999999999</v>
      </c>
      <c r="M4" s="4" t="b">
        <f t="shared" si="1"/>
        <v>0</v>
      </c>
    </row>
    <row r="5" spans="1:13" ht="20.100000000000001" customHeight="1" x14ac:dyDescent="0.25">
      <c r="A5" s="2" t="s">
        <v>705</v>
      </c>
      <c r="B5" s="2" t="s">
        <v>711</v>
      </c>
      <c r="C5" s="4">
        <v>43.37</v>
      </c>
      <c r="D5" s="4">
        <v>42.87</v>
      </c>
      <c r="E5" s="4">
        <v>43.59</v>
      </c>
      <c r="F5" s="5">
        <v>43.22</v>
      </c>
      <c r="G5" s="6">
        <v>3.4706154558074636E-3</v>
      </c>
      <c r="H5" s="4" t="s">
        <v>1023</v>
      </c>
      <c r="I5" s="5">
        <v>1.66</v>
      </c>
      <c r="J5" s="4">
        <v>27.45</v>
      </c>
      <c r="K5" s="4">
        <v>33.19</v>
      </c>
      <c r="L5" s="4">
        <f t="shared" si="0"/>
        <v>29.539099999999998</v>
      </c>
      <c r="M5" s="4" t="b">
        <f t="shared" si="1"/>
        <v>0</v>
      </c>
    </row>
    <row r="6" spans="1:13" ht="20.100000000000001" customHeight="1" x14ac:dyDescent="0.25">
      <c r="A6" s="2" t="s">
        <v>706</v>
      </c>
      <c r="B6" s="2" t="s">
        <v>712</v>
      </c>
      <c r="C6" s="20">
        <v>13.99</v>
      </c>
      <c r="D6" s="20">
        <v>13.88</v>
      </c>
      <c r="E6" s="20">
        <v>14.32</v>
      </c>
      <c r="F6" s="5">
        <v>14.36</v>
      </c>
      <c r="G6" s="26">
        <v>-2.5766016713091869E-2</v>
      </c>
      <c r="H6" s="6" t="s">
        <v>1024</v>
      </c>
      <c r="I6" s="5" t="s">
        <v>39</v>
      </c>
      <c r="J6" s="4">
        <v>22.17</v>
      </c>
      <c r="K6" s="4">
        <v>14.24</v>
      </c>
      <c r="L6" s="4">
        <f t="shared" si="0"/>
        <v>12.6736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10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629</v>
      </c>
      <c r="B2" s="2" t="s">
        <v>634</v>
      </c>
      <c r="C2" s="4">
        <v>44.83</v>
      </c>
      <c r="D2" s="4">
        <v>44.23</v>
      </c>
      <c r="E2" s="4">
        <v>45.69</v>
      </c>
      <c r="F2" s="5">
        <v>45.67</v>
      </c>
      <c r="G2" s="6">
        <v>-1.8392818042478724E-2</v>
      </c>
      <c r="H2" s="4" t="s">
        <v>1025</v>
      </c>
      <c r="I2" s="5">
        <v>0.36</v>
      </c>
      <c r="J2" s="4">
        <v>11.79</v>
      </c>
      <c r="K2" s="4">
        <v>44.91</v>
      </c>
      <c r="L2" s="79">
        <f t="shared" ref="L2:L7" si="0">K2*0.89</f>
        <v>39.969899999999996</v>
      </c>
      <c r="M2" s="80" t="b">
        <f t="shared" ref="M2:M7" si="1">L2&gt;C2</f>
        <v>0</v>
      </c>
    </row>
    <row r="3" spans="1:13" ht="20.100000000000001" customHeight="1" x14ac:dyDescent="0.25">
      <c r="A3" s="2" t="s">
        <v>630</v>
      </c>
      <c r="B3" s="2" t="s">
        <v>635</v>
      </c>
      <c r="C3" s="11">
        <v>28.86</v>
      </c>
      <c r="D3" s="4">
        <v>28.51</v>
      </c>
      <c r="E3" s="4">
        <v>29.46</v>
      </c>
      <c r="F3" s="5">
        <v>29.49</v>
      </c>
      <c r="G3" s="26">
        <v>-2.1363173957273621E-2</v>
      </c>
      <c r="H3" s="6" t="s">
        <v>850</v>
      </c>
      <c r="I3" s="5">
        <v>1.39</v>
      </c>
      <c r="J3" s="4">
        <v>12.23</v>
      </c>
      <c r="K3" s="4">
        <v>30.68</v>
      </c>
      <c r="L3" s="4">
        <f t="shared" si="0"/>
        <v>27.305199999999999</v>
      </c>
      <c r="M3" s="4" t="b">
        <f t="shared" si="1"/>
        <v>0</v>
      </c>
    </row>
    <row r="4" spans="1:13" ht="20.100000000000001" customHeight="1" x14ac:dyDescent="0.25">
      <c r="A4" s="2" t="s">
        <v>631</v>
      </c>
      <c r="B4" s="2" t="s">
        <v>636</v>
      </c>
      <c r="C4" s="4">
        <v>32.17</v>
      </c>
      <c r="D4" s="4">
        <v>32.07</v>
      </c>
      <c r="E4" s="4">
        <v>33.01</v>
      </c>
      <c r="F4" s="5">
        <v>32.979999999999997</v>
      </c>
      <c r="G4" s="6">
        <v>-2.4560339599757286E-2</v>
      </c>
      <c r="H4" s="4" t="s">
        <v>1026</v>
      </c>
      <c r="I4" s="5" t="s">
        <v>39</v>
      </c>
      <c r="J4" s="4">
        <v>14.76</v>
      </c>
      <c r="K4" s="4">
        <v>28.81</v>
      </c>
      <c r="L4" s="4">
        <f t="shared" si="0"/>
        <v>25.640899999999998</v>
      </c>
      <c r="M4" s="4" t="b">
        <f t="shared" si="1"/>
        <v>0</v>
      </c>
    </row>
    <row r="5" spans="1:13" ht="20.100000000000001" customHeight="1" x14ac:dyDescent="0.25">
      <c r="A5" s="2" t="s">
        <v>632</v>
      </c>
      <c r="B5" s="2" t="s">
        <v>637</v>
      </c>
      <c r="C5" s="4">
        <v>19.600000000000001</v>
      </c>
      <c r="D5" s="4">
        <v>19.3</v>
      </c>
      <c r="E5" s="4">
        <v>19.760000000000002</v>
      </c>
      <c r="F5" s="5">
        <v>19.850000000000001</v>
      </c>
      <c r="G5" s="6">
        <v>-1.2594458438287152E-2</v>
      </c>
      <c r="H5" s="4" t="s">
        <v>1027</v>
      </c>
      <c r="I5" s="5">
        <v>1.84</v>
      </c>
      <c r="J5" s="4">
        <v>12.33</v>
      </c>
      <c r="K5" s="4">
        <v>19.78</v>
      </c>
      <c r="L5" s="4">
        <f t="shared" si="0"/>
        <v>17.604200000000002</v>
      </c>
      <c r="M5" s="4" t="b">
        <f t="shared" si="1"/>
        <v>0</v>
      </c>
    </row>
    <row r="6" spans="1:13" ht="20.100000000000001" customHeight="1" x14ac:dyDescent="0.25">
      <c r="A6" s="105" t="s">
        <v>747</v>
      </c>
      <c r="B6" s="2" t="s">
        <v>748</v>
      </c>
      <c r="C6" s="20">
        <v>35.229999999999997</v>
      </c>
      <c r="D6" s="20">
        <v>34.700000000000003</v>
      </c>
      <c r="E6" s="20">
        <v>35.76</v>
      </c>
      <c r="F6" s="5">
        <v>35.78</v>
      </c>
      <c r="G6" s="26">
        <v>-1.5371716042481953E-2</v>
      </c>
      <c r="H6" s="6" t="s">
        <v>980</v>
      </c>
      <c r="I6" s="5">
        <v>0.45</v>
      </c>
      <c r="J6" s="4">
        <v>12.18</v>
      </c>
      <c r="K6" s="4">
        <v>35.26</v>
      </c>
      <c r="L6" s="20">
        <f>K6*0.89</f>
        <v>31.381399999999999</v>
      </c>
      <c r="M6" s="20" t="b">
        <f>L6&gt;C6</f>
        <v>0</v>
      </c>
    </row>
    <row r="7" spans="1:13" ht="20.100000000000001" customHeight="1" x14ac:dyDescent="0.25">
      <c r="A7" s="2" t="s">
        <v>633</v>
      </c>
      <c r="B7" s="2" t="s">
        <v>638</v>
      </c>
      <c r="C7" s="20">
        <v>17.21</v>
      </c>
      <c r="D7" s="20">
        <v>16.87</v>
      </c>
      <c r="E7" s="20">
        <v>17.29</v>
      </c>
      <c r="F7" s="5">
        <v>17.260000000000002</v>
      </c>
      <c r="G7" s="26">
        <v>-2.8968713789108173E-3</v>
      </c>
      <c r="H7" s="6" t="s">
        <v>1028</v>
      </c>
      <c r="I7" s="5">
        <v>0.57999999999999996</v>
      </c>
      <c r="J7" s="4">
        <v>14.9</v>
      </c>
      <c r="K7" s="4">
        <v>15.35</v>
      </c>
      <c r="L7" s="4">
        <f t="shared" si="0"/>
        <v>13.6615</v>
      </c>
      <c r="M7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7">
    <cfRule type="colorScale" priority="9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6"/>
  <sheetViews>
    <sheetView workbookViewId="0">
      <selection activeCell="E13" sqref="E13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666</v>
      </c>
      <c r="B2" s="2" t="s">
        <v>669</v>
      </c>
      <c r="C2" s="4">
        <v>48.82</v>
      </c>
      <c r="D2" s="4">
        <v>48.46</v>
      </c>
      <c r="E2" s="4">
        <v>49.23</v>
      </c>
      <c r="F2" s="5">
        <v>48.26</v>
      </c>
      <c r="G2" s="6">
        <v>1.1603812681309621E-2</v>
      </c>
      <c r="H2" s="4" t="s">
        <v>911</v>
      </c>
      <c r="I2" s="5">
        <v>2.9</v>
      </c>
      <c r="J2" s="4">
        <v>15.18</v>
      </c>
      <c r="K2" s="4">
        <v>47.81</v>
      </c>
      <c r="L2" s="77">
        <f t="shared" ref="L2:L6" si="0">K2*0.89</f>
        <v>42.550900000000006</v>
      </c>
      <c r="M2" s="78" t="b">
        <f t="shared" ref="M2:M6" si="1">L2&gt;C2</f>
        <v>0</v>
      </c>
    </row>
    <row r="3" spans="1:13" ht="20.100000000000001" customHeight="1" x14ac:dyDescent="0.25">
      <c r="A3" s="2" t="s">
        <v>667</v>
      </c>
      <c r="B3" s="2" t="s">
        <v>670</v>
      </c>
      <c r="C3" s="4">
        <v>74.95</v>
      </c>
      <c r="D3" s="4">
        <v>73.959999999999994</v>
      </c>
      <c r="E3" s="4">
        <v>75.72</v>
      </c>
      <c r="F3" s="5">
        <v>74.25</v>
      </c>
      <c r="G3" s="6">
        <v>9.4276094276094652E-3</v>
      </c>
      <c r="H3" s="4" t="s">
        <v>864</v>
      </c>
      <c r="I3" s="5">
        <v>2.58</v>
      </c>
      <c r="J3" s="4">
        <v>21.39</v>
      </c>
      <c r="K3" s="4">
        <v>73.739999999999995</v>
      </c>
      <c r="L3" s="77">
        <f t="shared" si="0"/>
        <v>65.628599999999992</v>
      </c>
      <c r="M3" s="4" t="b">
        <f t="shared" si="1"/>
        <v>0</v>
      </c>
    </row>
    <row r="4" spans="1:13" ht="20.100000000000001" customHeight="1" x14ac:dyDescent="0.25">
      <c r="A4" s="81" t="s">
        <v>159</v>
      </c>
      <c r="B4" s="2" t="s">
        <v>168</v>
      </c>
      <c r="C4" s="4">
        <v>92.86</v>
      </c>
      <c r="D4" s="4">
        <v>92.21</v>
      </c>
      <c r="E4" s="4">
        <v>93.49</v>
      </c>
      <c r="F4" s="5">
        <v>91.8</v>
      </c>
      <c r="G4" s="6">
        <v>1.1546840958605689E-2</v>
      </c>
      <c r="H4" s="4" t="s">
        <v>912</v>
      </c>
      <c r="I4" s="5">
        <v>1.55</v>
      </c>
      <c r="J4" s="4">
        <v>16.690000000000001</v>
      </c>
      <c r="K4" s="4">
        <v>97.92</v>
      </c>
      <c r="L4" s="77">
        <f t="shared" si="0"/>
        <v>87.148800000000008</v>
      </c>
      <c r="M4" s="4" t="b">
        <f t="shared" si="1"/>
        <v>0</v>
      </c>
    </row>
    <row r="5" spans="1:13" ht="20.100000000000001" customHeight="1" x14ac:dyDescent="0.25">
      <c r="A5" s="71" t="s">
        <v>672</v>
      </c>
      <c r="B5" s="71" t="s">
        <v>673</v>
      </c>
      <c r="C5" s="72">
        <v>9</v>
      </c>
      <c r="D5" s="72">
        <v>8.9700000000000006</v>
      </c>
      <c r="E5" s="72">
        <v>9.1999999999999993</v>
      </c>
      <c r="F5" s="73">
        <v>9.1999999999999993</v>
      </c>
      <c r="G5" s="74">
        <v>-2.1739130434782532E-2</v>
      </c>
      <c r="H5" s="72" t="s">
        <v>913</v>
      </c>
      <c r="I5" s="73" t="s">
        <v>39</v>
      </c>
      <c r="J5" s="72">
        <v>41.86</v>
      </c>
      <c r="K5" s="72">
        <v>9.6199999999999992</v>
      </c>
      <c r="L5" s="101">
        <f>K5*0.89</f>
        <v>8.5617999999999999</v>
      </c>
      <c r="M5" s="102" t="b">
        <f>L5&gt;C5</f>
        <v>0</v>
      </c>
    </row>
    <row r="6" spans="1:13" ht="20.100000000000001" customHeight="1" x14ac:dyDescent="0.25">
      <c r="A6" s="81" t="s">
        <v>668</v>
      </c>
      <c r="B6" s="2" t="s">
        <v>671</v>
      </c>
      <c r="C6" s="4">
        <v>37.700000000000003</v>
      </c>
      <c r="D6" s="4">
        <v>36.93</v>
      </c>
      <c r="E6" s="4">
        <v>38</v>
      </c>
      <c r="F6" s="5">
        <v>37.159999999999997</v>
      </c>
      <c r="G6" s="6">
        <v>1.4531754574811795E-2</v>
      </c>
      <c r="H6" s="4" t="s">
        <v>914</v>
      </c>
      <c r="I6" s="5" t="s">
        <v>39</v>
      </c>
      <c r="J6" s="4">
        <v>16.98</v>
      </c>
      <c r="K6" s="4">
        <v>43.94</v>
      </c>
      <c r="L6" s="77">
        <f t="shared" si="0"/>
        <v>39.1066</v>
      </c>
      <c r="M6" s="4" t="b">
        <f t="shared" si="1"/>
        <v>1</v>
      </c>
    </row>
  </sheetData>
  <conditionalFormatting sqref="G1:G6">
    <cfRule type="colorScale" priority="8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0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211</v>
      </c>
      <c r="B2" s="2" t="s">
        <v>215</v>
      </c>
      <c r="C2" s="4">
        <v>150.75</v>
      </c>
      <c r="D2" s="4">
        <v>149.57</v>
      </c>
      <c r="E2" s="4">
        <v>151.66</v>
      </c>
      <c r="F2" s="5">
        <v>152.16</v>
      </c>
      <c r="G2" s="6">
        <v>-9.2665615141955607E-3</v>
      </c>
      <c r="H2" s="4" t="s">
        <v>759</v>
      </c>
      <c r="I2" s="5">
        <v>2.0299999999999998</v>
      </c>
      <c r="J2" s="4">
        <v>16.03</v>
      </c>
      <c r="K2" s="4">
        <v>141.62</v>
      </c>
      <c r="L2" s="77">
        <f t="shared" ref="L2:L10" si="0">K2*0.89</f>
        <v>126.04180000000001</v>
      </c>
      <c r="M2" s="78" t="b">
        <f t="shared" ref="M2:M10" si="1">L2&gt;C2</f>
        <v>0</v>
      </c>
    </row>
    <row r="3" spans="1:13" ht="20.100000000000001" customHeight="1" x14ac:dyDescent="0.25">
      <c r="A3" s="2" t="s">
        <v>212</v>
      </c>
      <c r="B3" s="2" t="s">
        <v>216</v>
      </c>
      <c r="C3" s="4">
        <v>211</v>
      </c>
      <c r="D3" s="4">
        <v>210.6</v>
      </c>
      <c r="E3" s="4">
        <v>211.91</v>
      </c>
      <c r="F3" s="5">
        <v>211.39</v>
      </c>
      <c r="G3" s="6">
        <v>-1.8449311698755209E-3</v>
      </c>
      <c r="H3" s="4" t="s">
        <v>760</v>
      </c>
      <c r="I3" s="5">
        <v>1.7</v>
      </c>
      <c r="J3" s="4">
        <v>18.98</v>
      </c>
      <c r="K3" s="4">
        <v>209.94</v>
      </c>
      <c r="L3" s="77">
        <f t="shared" si="0"/>
        <v>186.8466</v>
      </c>
      <c r="M3" s="4" t="b">
        <f t="shared" si="1"/>
        <v>0</v>
      </c>
    </row>
    <row r="4" spans="1:13" ht="20.100000000000001" customHeight="1" x14ac:dyDescent="0.25">
      <c r="A4" s="2" t="s">
        <v>213</v>
      </c>
      <c r="B4" s="2" t="s">
        <v>217</v>
      </c>
      <c r="C4" s="4">
        <v>136.76</v>
      </c>
      <c r="D4" s="4">
        <v>136.63999999999999</v>
      </c>
      <c r="E4" s="4">
        <v>137.5</v>
      </c>
      <c r="F4" s="5">
        <v>137.71</v>
      </c>
      <c r="G4" s="6">
        <v>-6.8985549342823107E-3</v>
      </c>
      <c r="H4" s="4" t="s">
        <v>761</v>
      </c>
      <c r="I4" s="5">
        <v>2.13</v>
      </c>
      <c r="J4" s="4">
        <v>19.11</v>
      </c>
      <c r="K4" s="4">
        <v>132.47</v>
      </c>
      <c r="L4" s="77">
        <f t="shared" si="0"/>
        <v>117.89830000000001</v>
      </c>
      <c r="M4" s="4" t="b">
        <f t="shared" si="1"/>
        <v>0</v>
      </c>
    </row>
    <row r="5" spans="1:13" ht="20.100000000000001" customHeight="1" x14ac:dyDescent="0.25">
      <c r="A5" s="2" t="s">
        <v>214</v>
      </c>
      <c r="B5" s="2" t="s">
        <v>218</v>
      </c>
      <c r="C5" s="4">
        <v>237.45</v>
      </c>
      <c r="D5" s="4">
        <v>237.25</v>
      </c>
      <c r="E5" s="4">
        <v>238.64</v>
      </c>
      <c r="F5" s="5">
        <v>239.09</v>
      </c>
      <c r="G5" s="6">
        <v>-6.8593416705007102E-3</v>
      </c>
      <c r="H5" s="4" t="s">
        <v>762</v>
      </c>
      <c r="I5" s="5">
        <v>2.76</v>
      </c>
      <c r="J5" s="4">
        <v>19.77</v>
      </c>
      <c r="K5" s="4">
        <v>239</v>
      </c>
      <c r="L5" s="77">
        <f t="shared" si="0"/>
        <v>212.71</v>
      </c>
      <c r="M5" s="4" t="b">
        <f t="shared" si="1"/>
        <v>0</v>
      </c>
    </row>
    <row r="6" spans="1:13" ht="20.100000000000001" customHeight="1" x14ac:dyDescent="0.25">
      <c r="A6" s="2" t="s">
        <v>305</v>
      </c>
      <c r="B6" s="2" t="s">
        <v>306</v>
      </c>
      <c r="C6" s="4">
        <v>81.040000000000006</v>
      </c>
      <c r="D6" s="4">
        <v>80.98</v>
      </c>
      <c r="E6" s="4">
        <v>82.12</v>
      </c>
      <c r="F6" s="5">
        <v>82.33</v>
      </c>
      <c r="G6" s="6">
        <v>-1.5668650552653856E-2</v>
      </c>
      <c r="H6" s="4" t="s">
        <v>751</v>
      </c>
      <c r="I6" s="5">
        <v>1.6</v>
      </c>
      <c r="J6" s="4">
        <v>15.27</v>
      </c>
      <c r="K6" s="4">
        <v>87.65</v>
      </c>
      <c r="L6" s="77">
        <f t="shared" si="0"/>
        <v>78.008500000000012</v>
      </c>
      <c r="M6" s="4" t="b">
        <f t="shared" si="1"/>
        <v>0</v>
      </c>
    </row>
    <row r="7" spans="1:13" ht="20.100000000000001" customHeight="1" x14ac:dyDescent="0.25">
      <c r="A7" s="2" t="s">
        <v>546</v>
      </c>
      <c r="B7" s="2" t="s">
        <v>549</v>
      </c>
      <c r="C7" s="4">
        <v>89.36</v>
      </c>
      <c r="D7" s="4">
        <v>89.23</v>
      </c>
      <c r="E7" s="4">
        <v>90.3</v>
      </c>
      <c r="F7" s="5">
        <v>90.33</v>
      </c>
      <c r="G7" s="6">
        <v>-1.0738403631130287E-2</v>
      </c>
      <c r="H7" s="4" t="s">
        <v>763</v>
      </c>
      <c r="I7" s="5">
        <v>2.35</v>
      </c>
      <c r="J7" s="4">
        <v>34.61</v>
      </c>
      <c r="K7" s="4">
        <v>82.5</v>
      </c>
      <c r="L7" s="77">
        <f t="shared" si="0"/>
        <v>73.424999999999997</v>
      </c>
      <c r="M7" s="4" t="b">
        <f t="shared" si="1"/>
        <v>0</v>
      </c>
    </row>
    <row r="8" spans="1:13" ht="20.100000000000001" customHeight="1" x14ac:dyDescent="0.25">
      <c r="A8" s="2" t="s">
        <v>687</v>
      </c>
      <c r="B8" s="2" t="s">
        <v>688</v>
      </c>
      <c r="C8" s="4">
        <v>41.53</v>
      </c>
      <c r="D8" s="4">
        <v>41.22</v>
      </c>
      <c r="E8" s="4">
        <v>41.84</v>
      </c>
      <c r="F8" s="5">
        <v>41.78</v>
      </c>
      <c r="G8" s="6">
        <v>-5.983724269985639E-3</v>
      </c>
      <c r="H8" s="4" t="s">
        <v>764</v>
      </c>
      <c r="I8" s="5">
        <v>3.1</v>
      </c>
      <c r="J8" s="4">
        <v>10.91</v>
      </c>
      <c r="K8" s="4">
        <v>47.88</v>
      </c>
      <c r="L8" s="103">
        <f>K8*0.89</f>
        <v>42.613200000000006</v>
      </c>
      <c r="M8" s="20" t="b">
        <f>L8&gt;C8</f>
        <v>1</v>
      </c>
    </row>
    <row r="9" spans="1:13" ht="20.100000000000001" customHeight="1" x14ac:dyDescent="0.25">
      <c r="A9" s="2" t="s">
        <v>547</v>
      </c>
      <c r="B9" s="2" t="s">
        <v>550</v>
      </c>
      <c r="C9" s="4">
        <v>13.8</v>
      </c>
      <c r="D9" s="4">
        <v>13.73</v>
      </c>
      <c r="E9" s="4">
        <v>13.87</v>
      </c>
      <c r="F9" s="5">
        <v>13.87</v>
      </c>
      <c r="G9" s="6">
        <v>-5.0468637346790567E-3</v>
      </c>
      <c r="H9" s="4" t="s">
        <v>745</v>
      </c>
      <c r="I9" s="5">
        <v>1.75</v>
      </c>
      <c r="J9" s="4">
        <v>19.09</v>
      </c>
      <c r="K9" s="4">
        <v>12.48</v>
      </c>
      <c r="L9" s="77">
        <f t="shared" si="0"/>
        <v>11.107200000000001</v>
      </c>
      <c r="M9" s="4" t="b">
        <f t="shared" si="1"/>
        <v>0</v>
      </c>
    </row>
    <row r="10" spans="1:13" ht="20.100000000000001" customHeight="1" x14ac:dyDescent="0.25">
      <c r="A10" s="2" t="s">
        <v>548</v>
      </c>
      <c r="B10" s="2" t="s">
        <v>552</v>
      </c>
      <c r="C10" s="4">
        <v>103.77</v>
      </c>
      <c r="D10" s="4">
        <v>103.74</v>
      </c>
      <c r="E10" s="4">
        <v>105.37</v>
      </c>
      <c r="F10" s="5">
        <v>105.45</v>
      </c>
      <c r="G10" s="6">
        <v>-1.5931721194879154E-2</v>
      </c>
      <c r="H10" s="4" t="s">
        <v>765</v>
      </c>
      <c r="I10" s="5" t="s">
        <v>39</v>
      </c>
      <c r="J10" s="4">
        <v>19.5</v>
      </c>
      <c r="K10" s="4">
        <v>97.29</v>
      </c>
      <c r="L10" s="77">
        <f t="shared" si="0"/>
        <v>86.588100000000011</v>
      </c>
      <c r="M10" s="4" t="b">
        <f t="shared" si="1"/>
        <v>0</v>
      </c>
    </row>
  </sheetData>
  <conditionalFormatting sqref="G1:G10">
    <cfRule type="colorScale" priority="8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"/>
  <sheetViews>
    <sheetView workbookViewId="0">
      <pane ySplit="1" topLeftCell="A2" activePane="bottomLeft" state="frozen"/>
      <selection activeCell="E18" sqref="E18"/>
      <selection pane="bottomLeft" activeCell="H16" sqref="H16"/>
    </sheetView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3</v>
      </c>
      <c r="B2" s="2" t="s">
        <v>53</v>
      </c>
      <c r="C2" s="4">
        <v>64.209999999999994</v>
      </c>
      <c r="D2" s="4">
        <v>63.75</v>
      </c>
      <c r="E2" s="4">
        <v>65.069999999999993</v>
      </c>
      <c r="F2" s="5">
        <v>64.5</v>
      </c>
      <c r="G2" s="6">
        <v>-4.4961240310078488E-3</v>
      </c>
      <c r="H2" s="4" t="s">
        <v>915</v>
      </c>
      <c r="I2" s="5">
        <v>3.43</v>
      </c>
      <c r="J2" s="4">
        <v>15.85</v>
      </c>
      <c r="K2" s="4">
        <v>66.25</v>
      </c>
      <c r="L2" s="77">
        <f t="shared" ref="L2:L12" si="0">K2*0.89</f>
        <v>58.962499999999999</v>
      </c>
      <c r="M2" s="78" t="b">
        <f t="shared" ref="M2:M12" si="1">L2&gt;C2</f>
        <v>0</v>
      </c>
    </row>
    <row r="3" spans="1:13" ht="20.100000000000001" customHeight="1" x14ac:dyDescent="0.25">
      <c r="A3" s="81" t="s">
        <v>0</v>
      </c>
      <c r="B3" s="2" t="s">
        <v>54</v>
      </c>
      <c r="C3" s="4">
        <v>12.64</v>
      </c>
      <c r="D3" s="4">
        <v>12.54</v>
      </c>
      <c r="E3" s="4">
        <v>12.82</v>
      </c>
      <c r="F3" s="5">
        <v>12.76</v>
      </c>
      <c r="G3" s="6">
        <v>-9.4043887147334804E-3</v>
      </c>
      <c r="H3" s="4" t="s">
        <v>916</v>
      </c>
      <c r="I3" s="5" t="s">
        <v>39</v>
      </c>
      <c r="J3" s="4" t="s">
        <v>39</v>
      </c>
      <c r="K3" s="4">
        <v>14.18</v>
      </c>
      <c r="L3" s="4">
        <f t="shared" si="0"/>
        <v>12.620200000000001</v>
      </c>
      <c r="M3" s="4" t="b">
        <f t="shared" si="1"/>
        <v>0</v>
      </c>
    </row>
    <row r="4" spans="1:13" ht="20.100000000000001" customHeight="1" x14ac:dyDescent="0.25">
      <c r="A4" s="2" t="s">
        <v>1</v>
      </c>
      <c r="B4" s="2" t="s">
        <v>55</v>
      </c>
      <c r="C4" s="4">
        <v>12.39</v>
      </c>
      <c r="D4" s="4">
        <v>11.69</v>
      </c>
      <c r="E4" s="4">
        <v>12.4</v>
      </c>
      <c r="F4" s="5">
        <v>12.04</v>
      </c>
      <c r="G4" s="6">
        <v>2.9069767441860586E-2</v>
      </c>
      <c r="H4" s="4" t="s">
        <v>766</v>
      </c>
      <c r="I4" s="5">
        <v>0</v>
      </c>
      <c r="J4" s="4" t="s">
        <v>39</v>
      </c>
      <c r="K4" s="4">
        <v>15.58</v>
      </c>
      <c r="L4" s="4">
        <f t="shared" si="0"/>
        <v>13.866200000000001</v>
      </c>
      <c r="M4" s="4" t="b">
        <f t="shared" si="1"/>
        <v>1</v>
      </c>
    </row>
    <row r="5" spans="1:13" ht="20.100000000000001" customHeight="1" x14ac:dyDescent="0.25">
      <c r="A5" s="2" t="s">
        <v>4</v>
      </c>
      <c r="B5" s="2" t="s">
        <v>56</v>
      </c>
      <c r="C5" s="4">
        <v>33.29</v>
      </c>
      <c r="D5" s="4">
        <v>33.01</v>
      </c>
      <c r="E5" s="4">
        <v>33.65</v>
      </c>
      <c r="F5" s="5">
        <v>33.29</v>
      </c>
      <c r="G5" s="6">
        <v>0</v>
      </c>
      <c r="H5" s="4" t="s">
        <v>917</v>
      </c>
      <c r="I5" s="5">
        <v>3.74</v>
      </c>
      <c r="J5" s="4">
        <v>22.28</v>
      </c>
      <c r="K5" s="4">
        <v>34.96</v>
      </c>
      <c r="L5" s="4">
        <f t="shared" si="0"/>
        <v>31.1144</v>
      </c>
      <c r="M5" s="4" t="b">
        <f t="shared" si="1"/>
        <v>0</v>
      </c>
    </row>
    <row r="6" spans="1:13" ht="20.100000000000001" customHeight="1" x14ac:dyDescent="0.25">
      <c r="A6" s="2" t="s">
        <v>6</v>
      </c>
      <c r="B6" s="2" t="s">
        <v>57</v>
      </c>
      <c r="C6" s="4">
        <v>33.08</v>
      </c>
      <c r="D6" s="4">
        <v>32.9</v>
      </c>
      <c r="E6" s="4">
        <v>33.5</v>
      </c>
      <c r="F6" s="5">
        <v>33.17</v>
      </c>
      <c r="G6" s="6">
        <v>-2.7132951462165633E-3</v>
      </c>
      <c r="H6" s="4" t="s">
        <v>918</v>
      </c>
      <c r="I6" s="5">
        <v>4.29</v>
      </c>
      <c r="J6" s="4" t="s">
        <v>39</v>
      </c>
      <c r="K6" s="4">
        <v>34.1</v>
      </c>
      <c r="L6" s="4">
        <f t="shared" si="0"/>
        <v>30.349</v>
      </c>
      <c r="M6" s="4" t="b">
        <f t="shared" si="1"/>
        <v>0</v>
      </c>
    </row>
    <row r="7" spans="1:13" ht="20.100000000000001" customHeight="1" x14ac:dyDescent="0.25">
      <c r="A7" s="2" t="s">
        <v>2</v>
      </c>
      <c r="B7" s="2" t="s">
        <v>58</v>
      </c>
      <c r="C7" s="4">
        <v>11.21</v>
      </c>
      <c r="D7" s="4">
        <v>11.04</v>
      </c>
      <c r="E7" s="4">
        <v>11.26</v>
      </c>
      <c r="F7" s="5">
        <v>11.1</v>
      </c>
      <c r="G7" s="6">
        <v>9.9099099099100186E-3</v>
      </c>
      <c r="H7" s="4" t="s">
        <v>919</v>
      </c>
      <c r="I7" s="5">
        <v>1.05</v>
      </c>
      <c r="J7" s="4" t="s">
        <v>39</v>
      </c>
      <c r="K7" s="4">
        <v>13.88</v>
      </c>
      <c r="L7" s="4">
        <f t="shared" si="0"/>
        <v>12.353200000000001</v>
      </c>
      <c r="M7" s="4" t="b">
        <f t="shared" si="1"/>
        <v>1</v>
      </c>
    </row>
    <row r="8" spans="1:13" ht="20.100000000000001" customHeight="1" x14ac:dyDescent="0.25">
      <c r="A8" s="2" t="s">
        <v>7</v>
      </c>
      <c r="B8" s="2" t="s">
        <v>59</v>
      </c>
      <c r="C8" s="4">
        <v>41.87</v>
      </c>
      <c r="D8" s="4">
        <v>41.64</v>
      </c>
      <c r="E8" s="4">
        <v>42.52</v>
      </c>
      <c r="F8" s="5">
        <v>42.11</v>
      </c>
      <c r="G8" s="6">
        <v>-5.6993588221325572E-3</v>
      </c>
      <c r="H8" s="4" t="s">
        <v>920</v>
      </c>
      <c r="I8" s="5">
        <v>3.84</v>
      </c>
      <c r="J8" s="4">
        <v>15.12</v>
      </c>
      <c r="K8" s="4">
        <v>44.83</v>
      </c>
      <c r="L8" s="4">
        <f t="shared" si="0"/>
        <v>39.898699999999998</v>
      </c>
      <c r="M8" s="4" t="b">
        <f t="shared" si="1"/>
        <v>0</v>
      </c>
    </row>
    <row r="9" spans="1:13" ht="20.100000000000001" customHeight="1" x14ac:dyDescent="0.25">
      <c r="A9" s="2" t="s">
        <v>5</v>
      </c>
      <c r="B9" s="2" t="s">
        <v>60</v>
      </c>
      <c r="C9" s="4">
        <v>13.85</v>
      </c>
      <c r="D9" s="4">
        <v>13.8</v>
      </c>
      <c r="E9" s="4">
        <v>13.86</v>
      </c>
      <c r="F9" s="5">
        <v>13.81</v>
      </c>
      <c r="G9" s="6">
        <v>2.8964518464879904E-3</v>
      </c>
      <c r="H9" s="4" t="s">
        <v>890</v>
      </c>
      <c r="I9" s="5" t="s">
        <v>39</v>
      </c>
      <c r="J9" s="4" t="s">
        <v>39</v>
      </c>
      <c r="K9" s="4">
        <v>12.6</v>
      </c>
      <c r="L9" s="4">
        <f t="shared" si="0"/>
        <v>11.214</v>
      </c>
      <c r="M9" s="4" t="b">
        <f t="shared" si="1"/>
        <v>0</v>
      </c>
    </row>
    <row r="10" spans="1:13" ht="20.100000000000001" customHeight="1" x14ac:dyDescent="0.25">
      <c r="A10" s="2" t="s">
        <v>268</v>
      </c>
      <c r="B10" s="2" t="s">
        <v>269</v>
      </c>
      <c r="C10" s="4">
        <v>122.32</v>
      </c>
      <c r="D10" s="4">
        <v>121.76</v>
      </c>
      <c r="E10" s="4">
        <v>124.88</v>
      </c>
      <c r="F10" s="5">
        <v>123.7</v>
      </c>
      <c r="G10" s="6">
        <v>-1.1156022635408323E-2</v>
      </c>
      <c r="H10" s="4" t="s">
        <v>921</v>
      </c>
      <c r="I10" s="5">
        <v>2.75</v>
      </c>
      <c r="J10" s="4">
        <v>21.89</v>
      </c>
      <c r="K10" s="4">
        <v>122.6</v>
      </c>
      <c r="L10" s="4">
        <f t="shared" si="0"/>
        <v>109.11399999999999</v>
      </c>
      <c r="M10" s="4" t="b">
        <f t="shared" si="1"/>
        <v>0</v>
      </c>
    </row>
    <row r="11" spans="1:13" ht="20.100000000000001" customHeight="1" x14ac:dyDescent="0.25">
      <c r="A11" s="2" t="s">
        <v>270</v>
      </c>
      <c r="B11" s="2" t="s">
        <v>271</v>
      </c>
      <c r="C11" s="4">
        <v>23.23</v>
      </c>
      <c r="D11" s="4">
        <v>23.13</v>
      </c>
      <c r="E11" s="4">
        <v>23.77</v>
      </c>
      <c r="F11" s="5">
        <v>23.58</v>
      </c>
      <c r="G11" s="6">
        <v>-1.4843087362171242E-2</v>
      </c>
      <c r="H11" s="4" t="s">
        <v>922</v>
      </c>
      <c r="I11" s="5">
        <v>4.2699999999999996</v>
      </c>
      <c r="J11" s="4" t="s">
        <v>39</v>
      </c>
      <c r="K11" s="4">
        <v>22.55</v>
      </c>
      <c r="L11" s="4">
        <f t="shared" si="0"/>
        <v>20.069500000000001</v>
      </c>
      <c r="M11" s="4" t="b">
        <f t="shared" si="1"/>
        <v>0</v>
      </c>
    </row>
    <row r="12" spans="1:13" ht="20.100000000000001" customHeight="1" x14ac:dyDescent="0.25">
      <c r="A12" s="28" t="s">
        <v>280</v>
      </c>
      <c r="B12" s="28" t="s">
        <v>281</v>
      </c>
      <c r="C12" s="29">
        <v>80.040000000000006</v>
      </c>
      <c r="D12" s="29">
        <v>79.510000000000005</v>
      </c>
      <c r="E12" s="29">
        <v>80.94</v>
      </c>
      <c r="F12" s="30">
        <v>80.31</v>
      </c>
      <c r="G12" s="31">
        <v>-3.3619723571161253E-3</v>
      </c>
      <c r="H12" s="29" t="s">
        <v>923</v>
      </c>
      <c r="I12" s="30">
        <v>4.22</v>
      </c>
      <c r="J12" s="29">
        <v>21.16</v>
      </c>
      <c r="K12" s="29">
        <v>81.22</v>
      </c>
      <c r="L12" s="4">
        <f t="shared" si="0"/>
        <v>72.285799999999995</v>
      </c>
      <c r="M12" s="4" t="b">
        <f t="shared" si="1"/>
        <v>0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8"/>
  <sheetViews>
    <sheetView workbookViewId="0">
      <pane ySplit="1" topLeftCell="A2" activePane="bottomLeft" state="frozen"/>
      <selection activeCell="E18" sqref="E18"/>
      <selection pane="bottomLeft"/>
    </sheetView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59" t="s">
        <v>80</v>
      </c>
      <c r="B2" s="2" t="s">
        <v>81</v>
      </c>
      <c r="C2" s="4">
        <v>76.069999999999993</v>
      </c>
      <c r="D2" s="4">
        <v>75</v>
      </c>
      <c r="E2" s="4">
        <v>77.239999999999995</v>
      </c>
      <c r="F2" s="5">
        <v>77.02</v>
      </c>
      <c r="G2" s="6">
        <v>-1.2334458582186483E-2</v>
      </c>
      <c r="H2" s="4" t="s">
        <v>767</v>
      </c>
      <c r="I2" s="5">
        <v>1.45</v>
      </c>
      <c r="J2" s="4">
        <v>15.07</v>
      </c>
      <c r="K2" s="4">
        <v>69.06</v>
      </c>
      <c r="L2" s="79">
        <f t="shared" ref="L2:L8" si="0">K2*0.89</f>
        <v>61.4634</v>
      </c>
      <c r="M2" s="80" t="b">
        <f t="shared" ref="M2:M8" si="1">L2&gt;C2</f>
        <v>0</v>
      </c>
    </row>
    <row r="3" spans="1:13" ht="20.100000000000001" customHeight="1" x14ac:dyDescent="0.25">
      <c r="A3" s="1" t="s">
        <v>432</v>
      </c>
      <c r="B3" s="2" t="s">
        <v>436</v>
      </c>
      <c r="C3" s="4">
        <v>114.92</v>
      </c>
      <c r="D3" s="4">
        <v>114.04</v>
      </c>
      <c r="E3" s="4">
        <v>116.13</v>
      </c>
      <c r="F3" s="5">
        <v>115.57</v>
      </c>
      <c r="G3" s="6">
        <v>-5.6242969628795669E-3</v>
      </c>
      <c r="H3" s="4" t="s">
        <v>768</v>
      </c>
      <c r="I3" s="5">
        <v>1.97</v>
      </c>
      <c r="J3" s="4">
        <v>13.4</v>
      </c>
      <c r="K3" s="4">
        <v>101.83</v>
      </c>
      <c r="L3" s="70">
        <f t="shared" si="0"/>
        <v>90.628699999999995</v>
      </c>
      <c r="M3" s="70" t="b">
        <f t="shared" si="1"/>
        <v>0</v>
      </c>
    </row>
    <row r="4" spans="1:13" ht="20.100000000000001" customHeight="1" x14ac:dyDescent="0.25">
      <c r="A4" s="1" t="s">
        <v>75</v>
      </c>
      <c r="B4" s="2" t="s">
        <v>352</v>
      </c>
      <c r="C4" s="4">
        <v>171.24</v>
      </c>
      <c r="D4" s="4">
        <v>169.85</v>
      </c>
      <c r="E4" s="4">
        <v>172.99</v>
      </c>
      <c r="F4" s="5">
        <v>172.72</v>
      </c>
      <c r="G4" s="6">
        <v>-8.5687818434459807E-3</v>
      </c>
      <c r="H4" s="4" t="s">
        <v>769</v>
      </c>
      <c r="I4" s="5">
        <v>1.2</v>
      </c>
      <c r="J4" s="4" t="s">
        <v>39</v>
      </c>
      <c r="K4" s="4">
        <v>156.76</v>
      </c>
      <c r="L4" s="70">
        <f t="shared" si="0"/>
        <v>139.5164</v>
      </c>
      <c r="M4" s="70" t="b">
        <f t="shared" si="1"/>
        <v>0</v>
      </c>
    </row>
    <row r="5" spans="1:13" ht="20.100000000000001" customHeight="1" x14ac:dyDescent="0.25">
      <c r="A5" s="2" t="s">
        <v>433</v>
      </c>
      <c r="B5" s="2" t="s">
        <v>437</v>
      </c>
      <c r="C5" s="4">
        <v>62.05</v>
      </c>
      <c r="D5" s="4">
        <v>61.46</v>
      </c>
      <c r="E5" s="4">
        <v>62.85</v>
      </c>
      <c r="F5" s="5">
        <v>62.65</v>
      </c>
      <c r="G5" s="6">
        <v>-9.577015163607365E-3</v>
      </c>
      <c r="H5" s="4" t="s">
        <v>770</v>
      </c>
      <c r="I5" s="5">
        <v>2.68</v>
      </c>
      <c r="J5" s="4">
        <v>29.31</v>
      </c>
      <c r="K5" s="4">
        <v>58.87</v>
      </c>
      <c r="L5" s="70">
        <f t="shared" si="0"/>
        <v>52.394300000000001</v>
      </c>
      <c r="M5" s="70" t="b">
        <f t="shared" si="1"/>
        <v>0</v>
      </c>
    </row>
    <row r="6" spans="1:13" ht="20.100000000000001" customHeight="1" x14ac:dyDescent="0.25">
      <c r="A6" s="2" t="s">
        <v>434</v>
      </c>
      <c r="B6" s="2" t="s">
        <v>438</v>
      </c>
      <c r="C6" s="4">
        <v>69.36</v>
      </c>
      <c r="D6" s="4">
        <v>68.48</v>
      </c>
      <c r="E6" s="4">
        <v>69.97</v>
      </c>
      <c r="F6" s="5">
        <v>69.22</v>
      </c>
      <c r="G6" s="6">
        <v>2.0225368390638628E-3</v>
      </c>
      <c r="H6" s="4" t="s">
        <v>771</v>
      </c>
      <c r="I6" s="5">
        <v>2.2400000000000002</v>
      </c>
      <c r="J6" s="4">
        <v>23.37</v>
      </c>
      <c r="K6" s="4">
        <v>61.97</v>
      </c>
      <c r="L6" s="70">
        <f t="shared" si="0"/>
        <v>55.153300000000002</v>
      </c>
      <c r="M6" s="70" t="b">
        <f t="shared" si="1"/>
        <v>0</v>
      </c>
    </row>
    <row r="7" spans="1:13" ht="20.100000000000001" customHeight="1" x14ac:dyDescent="0.25">
      <c r="A7" s="2" t="s">
        <v>435</v>
      </c>
      <c r="B7" s="2" t="s">
        <v>439</v>
      </c>
      <c r="C7" s="4">
        <v>55.76</v>
      </c>
      <c r="D7" s="4">
        <v>54.98</v>
      </c>
      <c r="E7" s="4">
        <v>56.67</v>
      </c>
      <c r="F7" s="5">
        <v>56.53</v>
      </c>
      <c r="G7" s="6">
        <v>-1.3621086148947517E-2</v>
      </c>
      <c r="H7" s="4" t="s">
        <v>772</v>
      </c>
      <c r="I7" s="5" t="s">
        <v>39</v>
      </c>
      <c r="J7" s="4" t="s">
        <v>39</v>
      </c>
      <c r="K7" s="4">
        <v>52.45</v>
      </c>
      <c r="L7" s="70">
        <f t="shared" si="0"/>
        <v>46.680500000000002</v>
      </c>
      <c r="M7" s="70" t="b">
        <f t="shared" si="1"/>
        <v>0</v>
      </c>
    </row>
    <row r="8" spans="1:13" ht="20.100000000000001" customHeight="1" x14ac:dyDescent="0.25">
      <c r="A8" s="2" t="s">
        <v>77</v>
      </c>
      <c r="B8" s="2" t="s">
        <v>83</v>
      </c>
      <c r="C8" s="4">
        <v>62.99</v>
      </c>
      <c r="D8" s="4">
        <v>62.37</v>
      </c>
      <c r="E8" s="4">
        <v>63.44</v>
      </c>
      <c r="F8" s="5">
        <v>62.54</v>
      </c>
      <c r="G8" s="6">
        <v>7.1953949472338156E-3</v>
      </c>
      <c r="H8" s="4" t="s">
        <v>773</v>
      </c>
      <c r="I8" s="5">
        <v>3.44</v>
      </c>
      <c r="J8" s="4">
        <v>18.45</v>
      </c>
      <c r="K8" s="4">
        <v>55.27</v>
      </c>
      <c r="L8" s="70">
        <f t="shared" si="0"/>
        <v>49.190300000000001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0"/>
  <sheetViews>
    <sheetView workbookViewId="0"/>
  </sheetViews>
  <sheetFormatPr defaultColWidth="9.140625"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19</v>
      </c>
      <c r="B2" s="2" t="s">
        <v>38</v>
      </c>
      <c r="C2" s="4">
        <v>57.52</v>
      </c>
      <c r="D2" s="4">
        <v>55.8</v>
      </c>
      <c r="E2" s="4">
        <v>57.68</v>
      </c>
      <c r="F2" s="5">
        <v>56.93</v>
      </c>
      <c r="G2" s="6">
        <v>1.036360442648873E-2</v>
      </c>
      <c r="H2" s="4" t="s">
        <v>774</v>
      </c>
      <c r="I2" s="5">
        <v>0.36</v>
      </c>
      <c r="J2" s="4" t="s">
        <v>39</v>
      </c>
      <c r="K2" s="4">
        <v>51.3</v>
      </c>
      <c r="L2" s="79">
        <f t="shared" ref="L2:L17" si="0">K2*0.9</f>
        <v>46.17</v>
      </c>
      <c r="M2" s="80" t="b">
        <f t="shared" ref="M2:M17" si="1">L2&gt;C2</f>
        <v>0</v>
      </c>
    </row>
    <row r="3" spans="1:13" ht="20.100000000000001" customHeight="1" x14ac:dyDescent="0.25">
      <c r="A3" s="2" t="s">
        <v>21</v>
      </c>
      <c r="B3" s="2" t="s">
        <v>40</v>
      </c>
      <c r="C3" s="4">
        <v>7.35</v>
      </c>
      <c r="D3" s="4">
        <v>7.06</v>
      </c>
      <c r="E3" s="4">
        <v>7.37</v>
      </c>
      <c r="F3" s="5">
        <v>7.25</v>
      </c>
      <c r="G3" s="6">
        <v>1.3793103448275813E-2</v>
      </c>
      <c r="H3" s="4" t="s">
        <v>775</v>
      </c>
      <c r="I3" s="5">
        <v>0</v>
      </c>
      <c r="J3" s="4" t="s">
        <v>39</v>
      </c>
      <c r="K3" s="4">
        <v>4.9800000000000004</v>
      </c>
      <c r="L3" s="4">
        <f t="shared" si="0"/>
        <v>4.4820000000000002</v>
      </c>
      <c r="M3" s="4" t="b">
        <f t="shared" si="1"/>
        <v>0</v>
      </c>
    </row>
    <row r="4" spans="1:13" ht="20.100000000000001" customHeight="1" x14ac:dyDescent="0.25">
      <c r="A4" s="2" t="s">
        <v>20</v>
      </c>
      <c r="B4" s="2" t="s">
        <v>41</v>
      </c>
      <c r="C4" s="4">
        <v>24.3</v>
      </c>
      <c r="D4" s="4">
        <v>24.02</v>
      </c>
      <c r="E4" s="4">
        <v>24.74</v>
      </c>
      <c r="F4" s="5">
        <v>25.04</v>
      </c>
      <c r="G4" s="6">
        <v>-2.9552715654952016E-2</v>
      </c>
      <c r="H4" s="4" t="s">
        <v>776</v>
      </c>
      <c r="I4" s="5">
        <v>0.32</v>
      </c>
      <c r="J4" s="4" t="s">
        <v>39</v>
      </c>
      <c r="K4" s="4">
        <v>24.03</v>
      </c>
      <c r="L4" s="4">
        <f t="shared" si="0"/>
        <v>21.627000000000002</v>
      </c>
      <c r="M4" s="4" t="b">
        <f t="shared" si="1"/>
        <v>0</v>
      </c>
    </row>
    <row r="5" spans="1:13" ht="20.100000000000001" customHeight="1" x14ac:dyDescent="0.25">
      <c r="A5" s="2" t="s">
        <v>22</v>
      </c>
      <c r="B5" s="2" t="s">
        <v>42</v>
      </c>
      <c r="C5" s="4">
        <v>39.869999999999997</v>
      </c>
      <c r="D5" s="4">
        <v>39.5</v>
      </c>
      <c r="E5" s="4">
        <v>39.979999999999997</v>
      </c>
      <c r="F5" s="5">
        <v>40.03</v>
      </c>
      <c r="G5" s="6">
        <v>-3.9970022483138568E-3</v>
      </c>
      <c r="H5" s="4" t="s">
        <v>777</v>
      </c>
      <c r="I5" s="5">
        <v>3.73</v>
      </c>
      <c r="J5" s="4" t="s">
        <v>39</v>
      </c>
      <c r="K5" s="4">
        <v>42.52</v>
      </c>
      <c r="L5" s="4">
        <f t="shared" si="0"/>
        <v>38.268000000000001</v>
      </c>
      <c r="M5" s="4" t="b">
        <f t="shared" si="1"/>
        <v>0</v>
      </c>
    </row>
    <row r="6" spans="1:13" ht="20.100000000000001" customHeight="1" x14ac:dyDescent="0.25">
      <c r="A6" s="2" t="s">
        <v>23</v>
      </c>
      <c r="B6" s="2" t="s">
        <v>43</v>
      </c>
      <c r="C6" s="4">
        <v>40.99</v>
      </c>
      <c r="D6" s="4">
        <v>39.92</v>
      </c>
      <c r="E6" s="4">
        <v>41.13</v>
      </c>
      <c r="F6" s="5">
        <v>40.9</v>
      </c>
      <c r="G6" s="6">
        <v>2.2004889975550958E-3</v>
      </c>
      <c r="H6" s="4" t="s">
        <v>778</v>
      </c>
      <c r="I6" s="5">
        <v>0.6</v>
      </c>
      <c r="J6" s="4" t="s">
        <v>39</v>
      </c>
      <c r="K6" s="4">
        <v>34.78</v>
      </c>
      <c r="L6" s="4">
        <f t="shared" si="0"/>
        <v>31.302000000000003</v>
      </c>
      <c r="M6" s="4" t="b">
        <f t="shared" si="1"/>
        <v>0</v>
      </c>
    </row>
    <row r="7" spans="1:13" ht="20.100000000000001" customHeight="1" x14ac:dyDescent="0.25">
      <c r="A7" s="2" t="s">
        <v>24</v>
      </c>
      <c r="B7" s="2" t="s">
        <v>44</v>
      </c>
      <c r="C7" s="4">
        <v>90.97</v>
      </c>
      <c r="D7" s="4">
        <v>89.27</v>
      </c>
      <c r="E7" s="4">
        <v>91.46</v>
      </c>
      <c r="F7" s="5">
        <v>90.95</v>
      </c>
      <c r="G7" s="6">
        <v>2.1990104452991775E-4</v>
      </c>
      <c r="H7" s="4" t="s">
        <v>779</v>
      </c>
      <c r="I7" s="5">
        <v>0.74</v>
      </c>
      <c r="J7" s="4" t="s">
        <v>39</v>
      </c>
      <c r="K7" s="4">
        <v>81.39</v>
      </c>
      <c r="L7" s="4">
        <f t="shared" si="0"/>
        <v>73.251000000000005</v>
      </c>
      <c r="M7" s="4" t="b">
        <f t="shared" si="1"/>
        <v>0</v>
      </c>
    </row>
    <row r="8" spans="1:13" ht="20.100000000000001" customHeight="1" x14ac:dyDescent="0.25">
      <c r="A8" s="1" t="s">
        <v>18</v>
      </c>
      <c r="B8" s="2" t="s">
        <v>45</v>
      </c>
      <c r="C8" s="4">
        <v>46.48</v>
      </c>
      <c r="D8" s="4">
        <v>45.66</v>
      </c>
      <c r="E8" s="4">
        <v>46.79</v>
      </c>
      <c r="F8" s="5">
        <v>46.65</v>
      </c>
      <c r="G8" s="6">
        <v>-3.6441586280814941E-3</v>
      </c>
      <c r="H8" s="4" t="s">
        <v>780</v>
      </c>
      <c r="I8" s="5">
        <v>2.13</v>
      </c>
      <c r="J8" s="4" t="s">
        <v>39</v>
      </c>
      <c r="K8" s="4">
        <v>55.52</v>
      </c>
      <c r="L8" s="4">
        <f t="shared" si="0"/>
        <v>49.968000000000004</v>
      </c>
      <c r="M8" s="4" t="b">
        <f t="shared" si="1"/>
        <v>1</v>
      </c>
    </row>
    <row r="9" spans="1:13" ht="20.100000000000001" customHeight="1" x14ac:dyDescent="0.25">
      <c r="A9" s="81" t="s">
        <v>17</v>
      </c>
      <c r="B9" s="2" t="s">
        <v>46</v>
      </c>
      <c r="C9" s="4">
        <v>14.24</v>
      </c>
      <c r="D9" s="4">
        <v>13.9</v>
      </c>
      <c r="E9" s="4">
        <v>14.28</v>
      </c>
      <c r="F9" s="5">
        <v>14.26</v>
      </c>
      <c r="G9" s="6">
        <v>-1.4025245441794932E-3</v>
      </c>
      <c r="H9" s="4" t="s">
        <v>781</v>
      </c>
      <c r="I9" s="5">
        <v>1.4</v>
      </c>
      <c r="J9" s="4" t="s">
        <v>39</v>
      </c>
      <c r="K9" s="4">
        <v>13.39</v>
      </c>
      <c r="L9" s="4">
        <f t="shared" si="0"/>
        <v>12.051</v>
      </c>
      <c r="M9" s="4" t="b">
        <f t="shared" si="1"/>
        <v>0</v>
      </c>
    </row>
    <row r="10" spans="1:13" ht="20.100000000000001" customHeight="1" x14ac:dyDescent="0.25">
      <c r="A10" s="2" t="s">
        <v>25</v>
      </c>
      <c r="B10" s="2" t="s">
        <v>47</v>
      </c>
      <c r="C10" s="11">
        <v>26.19</v>
      </c>
      <c r="D10" s="4">
        <v>25.17</v>
      </c>
      <c r="E10" s="4">
        <v>26.28</v>
      </c>
      <c r="F10" s="5">
        <v>25.89</v>
      </c>
      <c r="G10" s="26">
        <v>1.1587485515643132E-2</v>
      </c>
      <c r="H10" s="6" t="s">
        <v>782</v>
      </c>
      <c r="I10" s="5">
        <v>5.0599999999999996</v>
      </c>
      <c r="J10" s="4" t="s">
        <v>39</v>
      </c>
      <c r="K10" s="4">
        <v>28.61</v>
      </c>
      <c r="L10" s="4">
        <f t="shared" si="0"/>
        <v>25.748999999999999</v>
      </c>
      <c r="M10" s="4" t="b">
        <f t="shared" si="1"/>
        <v>0</v>
      </c>
    </row>
    <row r="11" spans="1:13" ht="20.100000000000001" customHeight="1" x14ac:dyDescent="0.25">
      <c r="A11" s="2" t="s">
        <v>26</v>
      </c>
      <c r="B11" s="2" t="s">
        <v>48</v>
      </c>
      <c r="C11" s="11">
        <v>33.799999999999997</v>
      </c>
      <c r="D11" s="4">
        <v>33.270000000000003</v>
      </c>
      <c r="E11" s="4">
        <v>33.880000000000003</v>
      </c>
      <c r="F11" s="5">
        <v>33.92</v>
      </c>
      <c r="G11" s="26">
        <v>-3.5377358490567379E-3</v>
      </c>
      <c r="H11" s="6" t="s">
        <v>783</v>
      </c>
      <c r="I11" s="5">
        <v>1.18</v>
      </c>
      <c r="J11" s="4" t="s">
        <v>39</v>
      </c>
      <c r="K11" s="4">
        <v>34.729999999999997</v>
      </c>
      <c r="L11" s="4">
        <f t="shared" si="0"/>
        <v>31.256999999999998</v>
      </c>
      <c r="M11" s="4" t="b">
        <f t="shared" si="1"/>
        <v>0</v>
      </c>
    </row>
    <row r="12" spans="1:13" ht="20.100000000000001" customHeight="1" x14ac:dyDescent="0.25">
      <c r="A12" s="2" t="s">
        <v>27</v>
      </c>
      <c r="B12" s="2" t="s">
        <v>49</v>
      </c>
      <c r="C12" s="11">
        <v>71.03</v>
      </c>
      <c r="D12" s="4">
        <v>70.930000000000007</v>
      </c>
      <c r="E12" s="4">
        <v>71.8</v>
      </c>
      <c r="F12" s="5">
        <v>72.27</v>
      </c>
      <c r="G12" s="26">
        <v>-1.7157880171578731E-2</v>
      </c>
      <c r="H12" s="6" t="s">
        <v>784</v>
      </c>
      <c r="I12" s="5">
        <v>4.2300000000000004</v>
      </c>
      <c r="J12" s="4" t="s">
        <v>39</v>
      </c>
      <c r="K12" s="4">
        <v>74.23</v>
      </c>
      <c r="L12" s="4">
        <f t="shared" si="0"/>
        <v>66.807000000000002</v>
      </c>
      <c r="M12" s="4" t="b">
        <f t="shared" si="1"/>
        <v>0</v>
      </c>
    </row>
    <row r="13" spans="1:13" ht="20.100000000000001" customHeight="1" x14ac:dyDescent="0.25">
      <c r="A13" s="2" t="s">
        <v>28</v>
      </c>
      <c r="B13" s="2" t="s">
        <v>50</v>
      </c>
      <c r="C13" s="11">
        <v>177.12</v>
      </c>
      <c r="D13" s="4">
        <v>174.09</v>
      </c>
      <c r="E13" s="4">
        <v>177.46</v>
      </c>
      <c r="F13" s="5">
        <v>178.48</v>
      </c>
      <c r="G13" s="26">
        <v>-7.6199013895113478E-3</v>
      </c>
      <c r="H13" s="6" t="s">
        <v>785</v>
      </c>
      <c r="I13" s="5">
        <v>0.05</v>
      </c>
      <c r="J13" s="4" t="s">
        <v>39</v>
      </c>
      <c r="K13" s="4">
        <v>157.31</v>
      </c>
      <c r="L13" s="4">
        <f t="shared" si="0"/>
        <v>141.57900000000001</v>
      </c>
      <c r="M13" s="4" t="b">
        <f t="shared" si="1"/>
        <v>0</v>
      </c>
    </row>
    <row r="14" spans="1:13" ht="20.100000000000001" customHeight="1" x14ac:dyDescent="0.25">
      <c r="A14" s="2" t="s">
        <v>29</v>
      </c>
      <c r="B14" s="2" t="s">
        <v>51</v>
      </c>
      <c r="C14" s="11">
        <v>37.380000000000003</v>
      </c>
      <c r="D14" s="4">
        <v>36.950000000000003</v>
      </c>
      <c r="E14" s="4">
        <v>38.39</v>
      </c>
      <c r="F14" s="5">
        <v>39.369999999999997</v>
      </c>
      <c r="G14" s="26">
        <v>-5.0546101092202055E-2</v>
      </c>
      <c r="H14" s="6" t="s">
        <v>786</v>
      </c>
      <c r="I14" s="5">
        <v>0.2</v>
      </c>
      <c r="J14" s="4" t="s">
        <v>39</v>
      </c>
      <c r="K14" s="4">
        <v>39.35</v>
      </c>
      <c r="L14" s="4">
        <f t="shared" si="0"/>
        <v>35.414999999999999</v>
      </c>
      <c r="M14" s="4" t="b">
        <f t="shared" si="1"/>
        <v>0</v>
      </c>
    </row>
    <row r="15" spans="1:13" ht="20.100000000000001" customHeight="1" x14ac:dyDescent="0.25">
      <c r="A15" s="2" t="s">
        <v>30</v>
      </c>
      <c r="B15" s="2" t="s">
        <v>52</v>
      </c>
      <c r="C15" s="11">
        <v>13.68</v>
      </c>
      <c r="D15" s="4">
        <v>13.57</v>
      </c>
      <c r="E15" s="4">
        <v>13.96</v>
      </c>
      <c r="F15" s="5">
        <v>14.08</v>
      </c>
      <c r="G15" s="26">
        <v>-2.8409090909090936E-2</v>
      </c>
      <c r="H15" s="6" t="s">
        <v>787</v>
      </c>
      <c r="I15" s="5">
        <v>0</v>
      </c>
      <c r="J15" s="4" t="s">
        <v>39</v>
      </c>
      <c r="K15" s="4">
        <v>11.99</v>
      </c>
      <c r="L15" s="4">
        <f t="shared" si="0"/>
        <v>10.791</v>
      </c>
      <c r="M15" s="4" t="b">
        <f t="shared" si="1"/>
        <v>0</v>
      </c>
    </row>
    <row r="16" spans="1:13" ht="20.100000000000001" customHeight="1" x14ac:dyDescent="0.25">
      <c r="A16" s="2" t="s">
        <v>309</v>
      </c>
      <c r="B16" s="2" t="s">
        <v>310</v>
      </c>
      <c r="C16" s="20">
        <v>10</v>
      </c>
      <c r="D16" s="20">
        <v>9.9</v>
      </c>
      <c r="E16" s="20">
        <v>10.07</v>
      </c>
      <c r="F16" s="5">
        <v>10.14</v>
      </c>
      <c r="G16" s="26">
        <v>-1.3806706114398477E-2</v>
      </c>
      <c r="H16" s="6" t="s">
        <v>39</v>
      </c>
      <c r="I16" s="5" t="s">
        <v>39</v>
      </c>
      <c r="J16" s="4" t="s">
        <v>39</v>
      </c>
      <c r="K16" s="4">
        <v>10.74</v>
      </c>
      <c r="L16" s="4">
        <f t="shared" si="0"/>
        <v>9.6660000000000004</v>
      </c>
      <c r="M16" s="4" t="b">
        <f t="shared" si="1"/>
        <v>0</v>
      </c>
    </row>
    <row r="17" spans="1:13" ht="20.100000000000001" customHeight="1" x14ac:dyDescent="0.25">
      <c r="A17" s="1" t="s">
        <v>257</v>
      </c>
      <c r="B17" s="2" t="s">
        <v>258</v>
      </c>
      <c r="C17" s="20">
        <v>59</v>
      </c>
      <c r="D17" s="20">
        <v>57.82</v>
      </c>
      <c r="E17" s="20">
        <v>59.07</v>
      </c>
      <c r="F17" s="5">
        <v>58.35</v>
      </c>
      <c r="G17" s="26">
        <v>1.1139674378748904E-2</v>
      </c>
      <c r="H17" s="6" t="s">
        <v>788</v>
      </c>
      <c r="I17" s="5">
        <v>2.88</v>
      </c>
      <c r="J17" s="4">
        <v>173.53</v>
      </c>
      <c r="K17" s="4">
        <v>60.14</v>
      </c>
      <c r="L17" s="4">
        <f t="shared" si="0"/>
        <v>54.126000000000005</v>
      </c>
      <c r="M17" s="4" t="b">
        <f t="shared" si="1"/>
        <v>0</v>
      </c>
    </row>
    <row r="18" spans="1:13" ht="20.100000000000001" customHeight="1" x14ac:dyDescent="0.25">
      <c r="C18" s="8"/>
    </row>
    <row r="19" spans="1:13" ht="20.100000000000001" customHeight="1" x14ac:dyDescent="0.25">
      <c r="C19" s="8"/>
    </row>
    <row r="20" spans="1:13" ht="20.100000000000001" customHeight="1" x14ac:dyDescent="0.25">
      <c r="C20" s="8"/>
    </row>
    <row r="21" spans="1:13" ht="20.100000000000001" customHeight="1" x14ac:dyDescent="0.25">
      <c r="C21" s="8"/>
    </row>
    <row r="22" spans="1:13" ht="20.100000000000001" customHeight="1" x14ac:dyDescent="0.25">
      <c r="C22" s="8"/>
    </row>
    <row r="23" spans="1:13" ht="20.100000000000001" customHeight="1" x14ac:dyDescent="0.25">
      <c r="C23" s="8"/>
    </row>
    <row r="24" spans="1:13" ht="20.100000000000001" customHeight="1" x14ac:dyDescent="0.25">
      <c r="C24" s="8"/>
    </row>
    <row r="25" spans="1:13" ht="20.100000000000001" customHeight="1" x14ac:dyDescent="0.25">
      <c r="C25" s="8"/>
    </row>
    <row r="26" spans="1:13" ht="20.100000000000001" customHeight="1" x14ac:dyDescent="0.25">
      <c r="C26" s="8"/>
    </row>
    <row r="27" spans="1:13" ht="20.100000000000001" customHeight="1" x14ac:dyDescent="0.25">
      <c r="C27" s="8"/>
    </row>
    <row r="28" spans="1:13" ht="20.100000000000001" customHeight="1" x14ac:dyDescent="0.25">
      <c r="C28" s="8"/>
    </row>
    <row r="29" spans="1:13" ht="20.100000000000001" customHeight="1" x14ac:dyDescent="0.25">
      <c r="C29" s="8"/>
    </row>
    <row r="30" spans="1:13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16"/>
  <sheetViews>
    <sheetView workbookViewId="0"/>
  </sheetViews>
  <sheetFormatPr defaultColWidth="9.140625"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476</v>
      </c>
      <c r="B2" s="2" t="s">
        <v>478</v>
      </c>
      <c r="C2" s="4">
        <v>213.37</v>
      </c>
      <c r="D2" s="4">
        <v>212.57</v>
      </c>
      <c r="E2" s="4">
        <v>213.69</v>
      </c>
      <c r="F2" s="5">
        <v>214.19</v>
      </c>
      <c r="G2" s="6">
        <v>-3.8283766749147635E-3</v>
      </c>
      <c r="H2" s="4" t="s">
        <v>39</v>
      </c>
      <c r="I2" s="5">
        <v>2.2000000000000002</v>
      </c>
      <c r="J2" s="4" t="s">
        <v>39</v>
      </c>
      <c r="K2" s="4">
        <v>209.87</v>
      </c>
      <c r="L2" s="79">
        <f t="shared" ref="L2:L4" si="0">K2*0.89</f>
        <v>186.7843</v>
      </c>
      <c r="M2" s="80" t="b">
        <f t="shared" ref="M2:M4" si="1">L2&gt;C2</f>
        <v>0</v>
      </c>
    </row>
    <row r="3" spans="1:13" ht="20.100000000000001" customHeight="1" x14ac:dyDescent="0.25">
      <c r="A3" s="59" t="s">
        <v>477</v>
      </c>
      <c r="B3" s="2" t="s">
        <v>479</v>
      </c>
      <c r="C3" s="4">
        <v>47.61</v>
      </c>
      <c r="D3" s="4">
        <v>47.52</v>
      </c>
      <c r="E3" s="4">
        <v>47.79</v>
      </c>
      <c r="F3" s="5">
        <v>48.46</v>
      </c>
      <c r="G3" s="6">
        <v>-1.7540239372678526E-2</v>
      </c>
      <c r="H3" s="4" t="s">
        <v>39</v>
      </c>
      <c r="I3" s="5">
        <v>7</v>
      </c>
      <c r="J3" s="4" t="s">
        <v>39</v>
      </c>
      <c r="K3" s="4">
        <v>48.26</v>
      </c>
      <c r="L3" s="4">
        <f t="shared" si="0"/>
        <v>42.9514</v>
      </c>
      <c r="M3" s="4" t="b">
        <f t="shared" si="1"/>
        <v>0</v>
      </c>
    </row>
    <row r="4" spans="1:13" ht="20.100000000000001" customHeight="1" x14ac:dyDescent="0.25">
      <c r="A4" s="2" t="s">
        <v>481</v>
      </c>
      <c r="B4" s="2" t="s">
        <v>482</v>
      </c>
      <c r="C4" s="20">
        <v>36.799999999999997</v>
      </c>
      <c r="D4" s="20">
        <v>36.5</v>
      </c>
      <c r="E4" s="20">
        <v>36.880000000000003</v>
      </c>
      <c r="F4" s="5">
        <v>37.049999999999997</v>
      </c>
      <c r="G4" s="26">
        <v>-6.7476383265856954E-3</v>
      </c>
      <c r="H4" s="6" t="s">
        <v>39</v>
      </c>
      <c r="I4" s="5">
        <v>4.8</v>
      </c>
      <c r="J4" s="4" t="s">
        <v>39</v>
      </c>
      <c r="K4" s="4">
        <v>35.159999999999997</v>
      </c>
      <c r="L4" s="4">
        <f t="shared" si="0"/>
        <v>31.292399999999997</v>
      </c>
      <c r="M4" s="4" t="b">
        <f t="shared" si="1"/>
        <v>0</v>
      </c>
    </row>
    <row r="5" spans="1:13" ht="20.100000000000001" customHeight="1" x14ac:dyDescent="0.25">
      <c r="C5" s="8"/>
    </row>
    <row r="6" spans="1:13" ht="20.100000000000001" customHeight="1" x14ac:dyDescent="0.25">
      <c r="C6" s="8"/>
    </row>
    <row r="7" spans="1:13" ht="20.100000000000001" customHeight="1" x14ac:dyDescent="0.25">
      <c r="C7" s="8"/>
    </row>
    <row r="8" spans="1:13" ht="20.100000000000001" customHeight="1" x14ac:dyDescent="0.25">
      <c r="C8" s="8"/>
    </row>
    <row r="9" spans="1:13" ht="20.100000000000001" customHeight="1" x14ac:dyDescent="0.25">
      <c r="C9" s="8"/>
    </row>
    <row r="10" spans="1:13" ht="20.100000000000001" customHeight="1" x14ac:dyDescent="0.25">
      <c r="C10" s="8"/>
    </row>
    <row r="11" spans="1:13" ht="20.100000000000001" customHeight="1" x14ac:dyDescent="0.25">
      <c r="C11" s="8"/>
    </row>
    <row r="12" spans="1:13" ht="20.100000000000001" customHeight="1" x14ac:dyDescent="0.25">
      <c r="C12" s="8"/>
    </row>
    <row r="13" spans="1:13" ht="20.100000000000001" customHeight="1" x14ac:dyDescent="0.25">
      <c r="C13" s="8"/>
    </row>
    <row r="14" spans="1:13" ht="20.100000000000001" customHeight="1" x14ac:dyDescent="0.25">
      <c r="C14" s="8"/>
    </row>
    <row r="15" spans="1:13" ht="20.100000000000001" customHeight="1" x14ac:dyDescent="0.25">
      <c r="C15" s="8"/>
    </row>
    <row r="16" spans="1:13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71</v>
      </c>
      <c r="B2" s="2" t="s">
        <v>282</v>
      </c>
      <c r="C2" s="4">
        <v>35.04</v>
      </c>
      <c r="D2" s="4">
        <v>34.880000000000003</v>
      </c>
      <c r="E2" s="4">
        <v>35.74</v>
      </c>
      <c r="F2" s="5">
        <v>35.869999999999997</v>
      </c>
      <c r="G2" s="6">
        <v>-2.3139113465291284E-2</v>
      </c>
      <c r="H2" s="4" t="s">
        <v>753</v>
      </c>
      <c r="I2" s="5">
        <v>3.81</v>
      </c>
      <c r="J2" s="5">
        <v>21.24</v>
      </c>
      <c r="K2" s="5">
        <v>39.76</v>
      </c>
      <c r="L2" s="89">
        <f t="shared" ref="L2:L9" si="0">K2*0.9</f>
        <v>35.783999999999999</v>
      </c>
      <c r="M2" s="90" t="b">
        <f t="shared" ref="M2:M9" si="1">L2&gt;C2</f>
        <v>1</v>
      </c>
    </row>
    <row r="3" spans="1:13" ht="20.100000000000001" customHeight="1" x14ac:dyDescent="0.25">
      <c r="A3" s="2" t="s">
        <v>84</v>
      </c>
      <c r="B3" s="2" t="s">
        <v>283</v>
      </c>
      <c r="C3" s="4">
        <v>10.1</v>
      </c>
      <c r="D3" s="4">
        <v>9.9499999999999993</v>
      </c>
      <c r="E3" s="4">
        <v>10.220000000000001</v>
      </c>
      <c r="F3" s="5">
        <v>10.1</v>
      </c>
      <c r="G3" s="6">
        <v>0</v>
      </c>
      <c r="H3" s="4" t="s">
        <v>450</v>
      </c>
      <c r="I3" s="5">
        <v>0</v>
      </c>
      <c r="J3" s="5" t="s">
        <v>39</v>
      </c>
      <c r="K3" s="5">
        <v>9.44</v>
      </c>
      <c r="L3" s="5">
        <f t="shared" si="0"/>
        <v>8.4960000000000004</v>
      </c>
      <c r="M3" s="5" t="b">
        <f t="shared" si="1"/>
        <v>0</v>
      </c>
    </row>
    <row r="4" spans="1:13" ht="20.100000000000001" customHeight="1" x14ac:dyDescent="0.25">
      <c r="A4" s="1" t="s">
        <v>70</v>
      </c>
      <c r="B4" s="2" t="s">
        <v>284</v>
      </c>
      <c r="C4" s="4">
        <v>18.62</v>
      </c>
      <c r="D4" s="4">
        <v>18.41</v>
      </c>
      <c r="E4" s="4">
        <v>18.73</v>
      </c>
      <c r="F4" s="5">
        <v>18.850000000000001</v>
      </c>
      <c r="G4" s="6">
        <v>-1.2201591511936361E-2</v>
      </c>
      <c r="H4" s="4" t="s">
        <v>709</v>
      </c>
      <c r="I4" s="5">
        <v>0</v>
      </c>
      <c r="J4" s="5">
        <v>23.3</v>
      </c>
      <c r="K4" s="5">
        <v>21.83</v>
      </c>
      <c r="L4" s="5">
        <f t="shared" si="0"/>
        <v>19.646999999999998</v>
      </c>
      <c r="M4" s="5" t="b">
        <f t="shared" si="1"/>
        <v>1</v>
      </c>
    </row>
    <row r="5" spans="1:13" ht="20.100000000000001" customHeight="1" x14ac:dyDescent="0.25">
      <c r="A5" s="1" t="s">
        <v>69</v>
      </c>
      <c r="B5" s="2" t="s">
        <v>285</v>
      </c>
      <c r="C5" s="4">
        <v>47.85</v>
      </c>
      <c r="D5" s="4">
        <v>47.14</v>
      </c>
      <c r="E5" s="4">
        <v>47.94</v>
      </c>
      <c r="F5" s="5">
        <v>47.68</v>
      </c>
      <c r="G5" s="6">
        <v>3.5654362416107739E-3</v>
      </c>
      <c r="H5" s="4" t="s">
        <v>789</v>
      </c>
      <c r="I5" s="5" t="s">
        <v>39</v>
      </c>
      <c r="J5" s="5">
        <v>10.8</v>
      </c>
      <c r="K5" s="5">
        <v>50.83</v>
      </c>
      <c r="L5" s="5">
        <f t="shared" si="0"/>
        <v>45.747</v>
      </c>
      <c r="M5" s="5" t="b">
        <f t="shared" si="1"/>
        <v>0</v>
      </c>
    </row>
    <row r="6" spans="1:13" ht="20.100000000000001" customHeight="1" x14ac:dyDescent="0.25">
      <c r="A6" s="2" t="s">
        <v>72</v>
      </c>
      <c r="B6" s="2" t="s">
        <v>286</v>
      </c>
      <c r="C6" s="4">
        <v>100.07</v>
      </c>
      <c r="D6" s="4">
        <v>99.15</v>
      </c>
      <c r="E6" s="4">
        <v>100.25</v>
      </c>
      <c r="F6" s="5">
        <v>100.06</v>
      </c>
      <c r="G6" s="6">
        <v>9.9940035978322056E-5</v>
      </c>
      <c r="H6" s="4" t="s">
        <v>790</v>
      </c>
      <c r="I6" s="5">
        <v>2</v>
      </c>
      <c r="J6" s="5">
        <v>27.35</v>
      </c>
      <c r="K6" s="5">
        <v>96.4</v>
      </c>
      <c r="L6" s="5">
        <f t="shared" si="0"/>
        <v>86.76</v>
      </c>
      <c r="M6" s="5" t="b">
        <f t="shared" si="1"/>
        <v>0</v>
      </c>
    </row>
    <row r="7" spans="1:13" ht="20.100000000000001" customHeight="1" x14ac:dyDescent="0.25">
      <c r="A7" s="2" t="s">
        <v>322</v>
      </c>
      <c r="B7" s="19" t="s">
        <v>791</v>
      </c>
      <c r="C7" s="4">
        <v>17.09</v>
      </c>
      <c r="D7" s="4">
        <v>16.97</v>
      </c>
      <c r="E7" s="4">
        <v>17.09</v>
      </c>
      <c r="F7" s="5">
        <v>16.78</v>
      </c>
      <c r="G7" s="6">
        <v>1.8474374255065477E-2</v>
      </c>
      <c r="H7" s="6" t="s">
        <v>792</v>
      </c>
      <c r="I7" s="5">
        <v>3</v>
      </c>
      <c r="J7" s="5">
        <v>18.739999999999998</v>
      </c>
      <c r="K7" s="5">
        <v>17.329999999999998</v>
      </c>
      <c r="L7" s="5">
        <f t="shared" si="0"/>
        <v>15.597</v>
      </c>
      <c r="M7" s="5" t="b">
        <f t="shared" si="1"/>
        <v>0</v>
      </c>
    </row>
    <row r="8" spans="1:13" ht="20.100000000000001" customHeight="1" x14ac:dyDescent="0.25">
      <c r="A8" s="81" t="s">
        <v>474</v>
      </c>
      <c r="B8" s="19" t="s">
        <v>475</v>
      </c>
      <c r="C8" s="4">
        <v>77.77</v>
      </c>
      <c r="D8" s="4">
        <v>77.36</v>
      </c>
      <c r="E8" s="4">
        <v>79.3</v>
      </c>
      <c r="F8" s="5">
        <v>79</v>
      </c>
      <c r="G8" s="6">
        <v>-1.5569620253164607E-2</v>
      </c>
      <c r="H8" s="6" t="s">
        <v>793</v>
      </c>
      <c r="I8" s="5">
        <v>1.32</v>
      </c>
      <c r="J8" s="5">
        <v>11.85</v>
      </c>
      <c r="K8" s="5">
        <v>98.3</v>
      </c>
      <c r="L8" s="5">
        <f t="shared" si="0"/>
        <v>88.47</v>
      </c>
      <c r="M8" s="5" t="b">
        <f t="shared" si="1"/>
        <v>1</v>
      </c>
    </row>
    <row r="9" spans="1:13" ht="15.75" x14ac:dyDescent="0.25">
      <c r="A9" s="2" t="s">
        <v>469</v>
      </c>
      <c r="B9" s="19" t="s">
        <v>472</v>
      </c>
      <c r="C9" s="4">
        <v>26.81</v>
      </c>
      <c r="D9" s="4">
        <v>26.46</v>
      </c>
      <c r="E9" s="4">
        <v>27.04</v>
      </c>
      <c r="F9" s="5">
        <v>27</v>
      </c>
      <c r="G9" s="6">
        <v>-7.0370370370370847E-3</v>
      </c>
      <c r="H9" s="6" t="s">
        <v>754</v>
      </c>
      <c r="I9" s="5" t="s">
        <v>39</v>
      </c>
      <c r="J9" s="5">
        <v>9.27</v>
      </c>
      <c r="K9" s="5">
        <v>34.49</v>
      </c>
      <c r="L9" s="5">
        <f t="shared" si="0"/>
        <v>31.041000000000004</v>
      </c>
      <c r="M9" s="5" t="b">
        <f t="shared" si="1"/>
        <v>1</v>
      </c>
    </row>
  </sheetData>
  <conditionalFormatting sqref="G1:G9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10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491</v>
      </c>
      <c r="B2" s="2" t="s">
        <v>498</v>
      </c>
      <c r="C2" s="4">
        <v>115.28</v>
      </c>
      <c r="D2" s="4">
        <v>114.83</v>
      </c>
      <c r="E2" s="4">
        <v>116.26</v>
      </c>
      <c r="F2" s="5">
        <v>116.14</v>
      </c>
      <c r="G2" s="6">
        <v>-7.4048562080247923E-3</v>
      </c>
      <c r="H2" s="4" t="s">
        <v>794</v>
      </c>
      <c r="I2" s="5">
        <v>3.09</v>
      </c>
      <c r="J2" s="5">
        <v>22.01</v>
      </c>
      <c r="K2" s="5">
        <v>122.37</v>
      </c>
      <c r="L2" s="89">
        <f t="shared" ref="L2:L10" si="0">K2*0.9</f>
        <v>110.13300000000001</v>
      </c>
      <c r="M2" s="90" t="b">
        <f t="shared" ref="M2:M9" si="1">L2&gt;C2</f>
        <v>0</v>
      </c>
    </row>
    <row r="3" spans="1:13" ht="20.100000000000001" customHeight="1" x14ac:dyDescent="0.25">
      <c r="A3" s="2" t="s">
        <v>492</v>
      </c>
      <c r="B3" s="2" t="s">
        <v>499</v>
      </c>
      <c r="C3" s="4">
        <v>409.32</v>
      </c>
      <c r="D3" s="4">
        <v>406.5</v>
      </c>
      <c r="E3" s="4">
        <v>414.89</v>
      </c>
      <c r="F3" s="5">
        <v>413.96</v>
      </c>
      <c r="G3" s="6">
        <v>-1.1208812445646889E-2</v>
      </c>
      <c r="H3" s="4" t="s">
        <v>795</v>
      </c>
      <c r="I3" s="5" t="s">
        <v>39</v>
      </c>
      <c r="J3" s="5">
        <v>58.97</v>
      </c>
      <c r="K3" s="5">
        <v>435.79</v>
      </c>
      <c r="L3" s="5">
        <f t="shared" si="0"/>
        <v>392.21100000000001</v>
      </c>
      <c r="M3" s="5" t="b">
        <f t="shared" si="1"/>
        <v>0</v>
      </c>
    </row>
    <row r="4" spans="1:13" ht="20.100000000000001" customHeight="1" x14ac:dyDescent="0.25">
      <c r="A4" s="2" t="s">
        <v>493</v>
      </c>
      <c r="B4" s="2" t="s">
        <v>500</v>
      </c>
      <c r="C4" s="4">
        <v>99.34</v>
      </c>
      <c r="D4" s="4">
        <v>98.35</v>
      </c>
      <c r="E4" s="4">
        <v>99.97</v>
      </c>
      <c r="F4" s="5">
        <v>98.51</v>
      </c>
      <c r="G4" s="6">
        <v>8.425540554258433E-3</v>
      </c>
      <c r="H4" s="4" t="s">
        <v>796</v>
      </c>
      <c r="I4" s="5">
        <v>1.22</v>
      </c>
      <c r="J4" s="5">
        <v>30.21</v>
      </c>
      <c r="K4" s="5">
        <v>80.73</v>
      </c>
      <c r="L4" s="5">
        <f t="shared" si="0"/>
        <v>72.657000000000011</v>
      </c>
      <c r="M4" s="5" t="b">
        <f t="shared" si="1"/>
        <v>0</v>
      </c>
    </row>
    <row r="5" spans="1:13" ht="20.100000000000001" customHeight="1" x14ac:dyDescent="0.25">
      <c r="A5" s="2" t="s">
        <v>494</v>
      </c>
      <c r="B5" s="2" t="s">
        <v>501</v>
      </c>
      <c r="C5" s="4">
        <v>88.04</v>
      </c>
      <c r="D5" s="4">
        <v>87.08</v>
      </c>
      <c r="E5" s="4">
        <v>88.07</v>
      </c>
      <c r="F5" s="5">
        <v>87.79</v>
      </c>
      <c r="G5" s="6">
        <v>2.8477047499715228E-3</v>
      </c>
      <c r="H5" s="4" t="s">
        <v>797</v>
      </c>
      <c r="I5" s="5">
        <v>2.12</v>
      </c>
      <c r="J5" s="5">
        <v>26.53</v>
      </c>
      <c r="K5" s="5">
        <v>83.81</v>
      </c>
      <c r="L5" s="5">
        <f t="shared" si="0"/>
        <v>75.429000000000002</v>
      </c>
      <c r="M5" s="5" t="b">
        <f t="shared" si="1"/>
        <v>0</v>
      </c>
    </row>
    <row r="6" spans="1:13" ht="20.100000000000001" customHeight="1" x14ac:dyDescent="0.25">
      <c r="A6" s="2" t="s">
        <v>495</v>
      </c>
      <c r="B6" s="2" t="s">
        <v>502</v>
      </c>
      <c r="C6" s="4">
        <v>10.85</v>
      </c>
      <c r="D6" s="4">
        <v>10.74</v>
      </c>
      <c r="E6" s="4">
        <v>10.91</v>
      </c>
      <c r="F6" s="5">
        <v>10.81</v>
      </c>
      <c r="G6" s="6">
        <v>3.7002775208139819E-3</v>
      </c>
      <c r="H6" s="4" t="s">
        <v>798</v>
      </c>
      <c r="I6" s="5">
        <v>2.31</v>
      </c>
      <c r="J6" s="5">
        <v>20.91</v>
      </c>
      <c r="K6" s="5">
        <v>10.199999999999999</v>
      </c>
      <c r="L6" s="5">
        <f t="shared" si="0"/>
        <v>9.18</v>
      </c>
      <c r="M6" s="5" t="b">
        <f t="shared" si="1"/>
        <v>0</v>
      </c>
    </row>
    <row r="7" spans="1:13" ht="20.100000000000001" customHeight="1" x14ac:dyDescent="0.25">
      <c r="A7" s="2" t="s">
        <v>496</v>
      </c>
      <c r="B7" s="19" t="s">
        <v>503</v>
      </c>
      <c r="C7" s="4">
        <v>26.14</v>
      </c>
      <c r="D7" s="4">
        <v>26.1</v>
      </c>
      <c r="E7" s="4">
        <v>26.32</v>
      </c>
      <c r="F7" s="5">
        <v>26.24</v>
      </c>
      <c r="G7" s="6">
        <v>-3.8109756097560164E-3</v>
      </c>
      <c r="H7" s="6" t="s">
        <v>746</v>
      </c>
      <c r="I7" s="5">
        <v>1.68</v>
      </c>
      <c r="J7" s="5">
        <v>20.34</v>
      </c>
      <c r="K7" s="5">
        <v>30.35</v>
      </c>
      <c r="L7" s="5">
        <f t="shared" si="0"/>
        <v>27.315000000000001</v>
      </c>
      <c r="M7" s="5" t="b">
        <f t="shared" si="1"/>
        <v>1</v>
      </c>
    </row>
    <row r="8" spans="1:13" ht="20.100000000000001" customHeight="1" x14ac:dyDescent="0.25">
      <c r="A8" s="2" t="s">
        <v>497</v>
      </c>
      <c r="B8" s="19" t="s">
        <v>504</v>
      </c>
      <c r="C8" s="4">
        <v>77.61</v>
      </c>
      <c r="D8" s="4">
        <v>77.33</v>
      </c>
      <c r="E8" s="4">
        <v>78.33</v>
      </c>
      <c r="F8" s="5">
        <v>78.260000000000005</v>
      </c>
      <c r="G8" s="6">
        <v>-8.3056478405316332E-3</v>
      </c>
      <c r="H8" s="6" t="s">
        <v>799</v>
      </c>
      <c r="I8" s="5">
        <v>1.03</v>
      </c>
      <c r="J8" s="5">
        <v>32.93</v>
      </c>
      <c r="K8" s="5">
        <v>64.83</v>
      </c>
      <c r="L8" s="5">
        <f t="shared" si="0"/>
        <v>58.347000000000001</v>
      </c>
      <c r="M8" s="5" t="b">
        <f t="shared" si="1"/>
        <v>0</v>
      </c>
    </row>
    <row r="9" spans="1:13" ht="18" customHeight="1" x14ac:dyDescent="0.25">
      <c r="A9" s="2" t="s">
        <v>559</v>
      </c>
      <c r="B9" s="19" t="s">
        <v>560</v>
      </c>
      <c r="C9" s="4">
        <v>54.2</v>
      </c>
      <c r="D9" s="4">
        <v>53.7</v>
      </c>
      <c r="E9" s="4">
        <v>54.79</v>
      </c>
      <c r="F9" s="5">
        <v>53.84</v>
      </c>
      <c r="G9" s="6">
        <v>6.6864784546805242E-3</v>
      </c>
      <c r="H9" s="6" t="s">
        <v>800</v>
      </c>
      <c r="I9" s="5">
        <v>0</v>
      </c>
      <c r="J9" s="5">
        <v>28.14</v>
      </c>
      <c r="K9" s="5">
        <v>54.85</v>
      </c>
      <c r="L9" s="5">
        <f t="shared" si="0"/>
        <v>49.365000000000002</v>
      </c>
      <c r="M9" s="5" t="b">
        <f t="shared" si="1"/>
        <v>0</v>
      </c>
    </row>
    <row r="10" spans="1:13" ht="15.75" x14ac:dyDescent="0.25">
      <c r="A10" s="2" t="s">
        <v>561</v>
      </c>
      <c r="B10" s="19" t="s">
        <v>562</v>
      </c>
      <c r="C10" s="4">
        <v>155.09</v>
      </c>
      <c r="D10" s="4">
        <v>154.47999999999999</v>
      </c>
      <c r="E10" s="4">
        <v>157.49</v>
      </c>
      <c r="F10" s="5">
        <v>157.37</v>
      </c>
      <c r="G10" s="6">
        <v>-1.4488148948338319E-2</v>
      </c>
      <c r="H10" s="6" t="s">
        <v>801</v>
      </c>
      <c r="I10" s="5" t="s">
        <v>39</v>
      </c>
      <c r="J10" s="5">
        <v>29.19</v>
      </c>
      <c r="K10" s="5">
        <v>149.46</v>
      </c>
      <c r="L10" s="5">
        <f t="shared" si="0"/>
        <v>134.51400000000001</v>
      </c>
      <c r="M10" s="5" t="b">
        <f>L10&gt;C10</f>
        <v>0</v>
      </c>
    </row>
  </sheetData>
  <conditionalFormatting sqref="G1:G1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10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9"/>
  <sheetViews>
    <sheetView workbookViewId="0"/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61" t="s">
        <v>181</v>
      </c>
      <c r="B2" s="61" t="s">
        <v>188</v>
      </c>
      <c r="C2" s="62">
        <v>15.49</v>
      </c>
      <c r="D2" s="62">
        <v>15.48</v>
      </c>
      <c r="E2" s="62">
        <v>15.68</v>
      </c>
      <c r="F2" s="63">
        <v>15.67</v>
      </c>
      <c r="G2" s="64">
        <v>-1.1486917677089963E-2</v>
      </c>
      <c r="H2" s="62" t="s">
        <v>802</v>
      </c>
      <c r="I2" s="63">
        <v>1.92</v>
      </c>
      <c r="J2" s="63">
        <v>12.98</v>
      </c>
      <c r="K2" s="63">
        <v>14.21</v>
      </c>
      <c r="L2" s="89">
        <f t="shared" ref="L2:L19" si="0">K2*0.9</f>
        <v>12.789000000000001</v>
      </c>
      <c r="M2" s="90" t="b">
        <f t="shared" ref="M2:M19" si="1">L2&gt;C2</f>
        <v>0</v>
      </c>
    </row>
    <row r="3" spans="1:13" ht="20.100000000000001" customHeight="1" x14ac:dyDescent="0.25">
      <c r="A3" s="61" t="s">
        <v>277</v>
      </c>
      <c r="B3" s="65" t="s">
        <v>278</v>
      </c>
      <c r="C3" s="62">
        <v>40.06</v>
      </c>
      <c r="D3" s="62">
        <v>40</v>
      </c>
      <c r="E3" s="62">
        <v>40.56</v>
      </c>
      <c r="F3" s="63">
        <v>40.85</v>
      </c>
      <c r="G3" s="64">
        <v>-1.9339045287637677E-2</v>
      </c>
      <c r="H3" s="64" t="s">
        <v>803</v>
      </c>
      <c r="I3" s="63">
        <v>1.86</v>
      </c>
      <c r="J3" s="63">
        <v>14.37</v>
      </c>
      <c r="K3" s="63">
        <v>39.43</v>
      </c>
      <c r="L3" s="5">
        <f t="shared" si="0"/>
        <v>35.487000000000002</v>
      </c>
      <c r="M3" s="5" t="b">
        <f t="shared" si="1"/>
        <v>0</v>
      </c>
    </row>
    <row r="4" spans="1:13" ht="20.100000000000001" customHeight="1" x14ac:dyDescent="0.25">
      <c r="A4" s="66" t="s">
        <v>236</v>
      </c>
      <c r="B4" s="65" t="s">
        <v>237</v>
      </c>
      <c r="C4" s="62">
        <v>365.97</v>
      </c>
      <c r="D4" s="62">
        <v>360.11</v>
      </c>
      <c r="E4" s="62">
        <v>366.58</v>
      </c>
      <c r="F4" s="63">
        <v>365.5</v>
      </c>
      <c r="G4" s="64">
        <v>1.2859097127223729E-3</v>
      </c>
      <c r="H4" s="64" t="s">
        <v>804</v>
      </c>
      <c r="I4" s="63">
        <v>2.5099999999999998</v>
      </c>
      <c r="J4" s="63">
        <v>19.5</v>
      </c>
      <c r="K4" s="63">
        <v>352.83</v>
      </c>
      <c r="L4" s="5">
        <f t="shared" si="0"/>
        <v>317.54699999999997</v>
      </c>
      <c r="M4" s="5" t="b">
        <f t="shared" si="1"/>
        <v>0</v>
      </c>
    </row>
    <row r="5" spans="1:13" ht="20.100000000000001" customHeight="1" x14ac:dyDescent="0.25">
      <c r="A5" s="61" t="s">
        <v>182</v>
      </c>
      <c r="B5" s="61" t="s">
        <v>189</v>
      </c>
      <c r="C5" s="62">
        <v>46.41</v>
      </c>
      <c r="D5" s="62">
        <v>46.24</v>
      </c>
      <c r="E5" s="62">
        <v>46.79</v>
      </c>
      <c r="F5" s="63">
        <v>47.08</v>
      </c>
      <c r="G5" s="64">
        <v>-1.4231096006796978E-2</v>
      </c>
      <c r="H5" s="62" t="s">
        <v>805</v>
      </c>
      <c r="I5" s="63">
        <v>0.66</v>
      </c>
      <c r="J5" s="63">
        <v>9.82</v>
      </c>
      <c r="K5" s="63">
        <v>44.23</v>
      </c>
      <c r="L5" s="5">
        <f t="shared" si="0"/>
        <v>39.806999999999995</v>
      </c>
      <c r="M5" s="5" t="b">
        <f t="shared" si="1"/>
        <v>0</v>
      </c>
    </row>
    <row r="6" spans="1:13" ht="20.100000000000001" customHeight="1" x14ac:dyDescent="0.25">
      <c r="A6" s="61" t="s">
        <v>186</v>
      </c>
      <c r="B6" s="61" t="s">
        <v>193</v>
      </c>
      <c r="C6" s="62">
        <v>70.209999999999994</v>
      </c>
      <c r="D6" s="62">
        <v>69.78</v>
      </c>
      <c r="E6" s="62">
        <v>70.61</v>
      </c>
      <c r="F6" s="63">
        <v>70.989999999999995</v>
      </c>
      <c r="G6" s="64">
        <v>-1.0987463022960997E-2</v>
      </c>
      <c r="H6" s="62" t="s">
        <v>806</v>
      </c>
      <c r="I6" s="63">
        <v>2.25</v>
      </c>
      <c r="J6" s="63">
        <v>9.91</v>
      </c>
      <c r="K6" s="63">
        <v>69</v>
      </c>
      <c r="L6" s="5">
        <f t="shared" si="0"/>
        <v>62.1</v>
      </c>
      <c r="M6" s="5" t="b">
        <f t="shared" si="1"/>
        <v>0</v>
      </c>
    </row>
    <row r="7" spans="1:13" ht="20.100000000000001" customHeight="1" x14ac:dyDescent="0.25">
      <c r="A7" s="61" t="s">
        <v>195</v>
      </c>
      <c r="B7" s="65" t="s">
        <v>198</v>
      </c>
      <c r="C7" s="62">
        <v>13.09</v>
      </c>
      <c r="D7" s="62">
        <v>12.94</v>
      </c>
      <c r="E7" s="62">
        <v>13.12</v>
      </c>
      <c r="F7" s="63">
        <v>13.73</v>
      </c>
      <c r="G7" s="64">
        <v>-4.6613255644573963E-2</v>
      </c>
      <c r="H7" s="64" t="s">
        <v>807</v>
      </c>
      <c r="I7" s="63">
        <v>5.37</v>
      </c>
      <c r="J7" s="63" t="s">
        <v>39</v>
      </c>
      <c r="K7" s="63">
        <v>13.17</v>
      </c>
      <c r="L7" s="5">
        <f t="shared" si="0"/>
        <v>11.853</v>
      </c>
      <c r="M7" s="5" t="b">
        <f t="shared" si="1"/>
        <v>0</v>
      </c>
    </row>
    <row r="8" spans="1:13" ht="20.100000000000001" customHeight="1" x14ac:dyDescent="0.25">
      <c r="A8" s="61" t="s">
        <v>196</v>
      </c>
      <c r="B8" s="65" t="s">
        <v>199</v>
      </c>
      <c r="C8" s="62">
        <v>13.38</v>
      </c>
      <c r="D8" s="62">
        <v>13.27</v>
      </c>
      <c r="E8" s="62">
        <v>13.48</v>
      </c>
      <c r="F8" s="63">
        <v>14.76</v>
      </c>
      <c r="G8" s="64">
        <v>-9.3495934959349533E-2</v>
      </c>
      <c r="H8" s="64" t="s">
        <v>808</v>
      </c>
      <c r="I8" s="63">
        <v>0</v>
      </c>
      <c r="J8" s="63" t="s">
        <v>39</v>
      </c>
      <c r="K8" s="63">
        <v>16.07</v>
      </c>
      <c r="L8" s="5">
        <f t="shared" si="0"/>
        <v>14.463000000000001</v>
      </c>
      <c r="M8" s="5" t="b">
        <f t="shared" si="1"/>
        <v>1</v>
      </c>
    </row>
    <row r="9" spans="1:13" ht="20.100000000000001" customHeight="1" x14ac:dyDescent="0.25">
      <c r="A9" s="61" t="s">
        <v>180</v>
      </c>
      <c r="B9" s="61" t="s">
        <v>187</v>
      </c>
      <c r="C9" s="62">
        <v>166</v>
      </c>
      <c r="D9" s="62">
        <v>165.61</v>
      </c>
      <c r="E9" s="62">
        <v>168.05</v>
      </c>
      <c r="F9" s="63">
        <v>168.08</v>
      </c>
      <c r="G9" s="64">
        <v>-1.2375059495478418E-2</v>
      </c>
      <c r="H9" s="62" t="s">
        <v>809</v>
      </c>
      <c r="I9" s="63">
        <v>1.56</v>
      </c>
      <c r="J9" s="63">
        <v>15.74</v>
      </c>
      <c r="K9" s="63">
        <v>157.94</v>
      </c>
      <c r="L9" s="5">
        <f t="shared" si="0"/>
        <v>142.14600000000002</v>
      </c>
      <c r="M9" s="5" t="b">
        <f t="shared" si="1"/>
        <v>0</v>
      </c>
    </row>
    <row r="10" spans="1:13" ht="20.100000000000001" customHeight="1" x14ac:dyDescent="0.25">
      <c r="A10" s="61" t="s">
        <v>184</v>
      </c>
      <c r="B10" s="61" t="s">
        <v>191</v>
      </c>
      <c r="C10" s="62">
        <v>65.819999999999993</v>
      </c>
      <c r="D10" s="62">
        <v>65.44</v>
      </c>
      <c r="E10" s="62">
        <v>66.260000000000005</v>
      </c>
      <c r="F10" s="63">
        <v>66.64</v>
      </c>
      <c r="G10" s="64">
        <v>-1.2304921968787626E-2</v>
      </c>
      <c r="H10" s="62" t="s">
        <v>810</v>
      </c>
      <c r="I10" s="63">
        <v>2.88</v>
      </c>
      <c r="J10" s="63">
        <v>11.15</v>
      </c>
      <c r="K10" s="63">
        <v>62.84</v>
      </c>
      <c r="L10" s="5">
        <f t="shared" si="0"/>
        <v>56.556000000000004</v>
      </c>
      <c r="M10" s="5" t="b">
        <f t="shared" si="1"/>
        <v>0</v>
      </c>
    </row>
    <row r="11" spans="1:13" ht="20.100000000000001" customHeight="1" x14ac:dyDescent="0.25">
      <c r="A11" s="61" t="s">
        <v>683</v>
      </c>
      <c r="B11" s="65" t="s">
        <v>684</v>
      </c>
      <c r="C11" s="62">
        <v>43.71</v>
      </c>
      <c r="D11" s="62">
        <v>43.46</v>
      </c>
      <c r="E11" s="62">
        <v>43.88</v>
      </c>
      <c r="F11" s="63">
        <v>44.11</v>
      </c>
      <c r="G11" s="64">
        <v>-9.068238494672377E-3</v>
      </c>
      <c r="H11" s="64" t="s">
        <v>811</v>
      </c>
      <c r="I11" s="63">
        <v>2.4</v>
      </c>
      <c r="J11" s="63">
        <v>11.84</v>
      </c>
      <c r="K11" s="63">
        <v>40.76</v>
      </c>
      <c r="L11" s="5">
        <f>K11*0.9</f>
        <v>36.683999999999997</v>
      </c>
      <c r="M11" s="5" t="b">
        <f>L11&gt;C11</f>
        <v>0</v>
      </c>
    </row>
    <row r="12" spans="1:13" ht="20.100000000000001" customHeight="1" x14ac:dyDescent="0.25">
      <c r="A12" s="61" t="s">
        <v>183</v>
      </c>
      <c r="B12" s="61" t="s">
        <v>190</v>
      </c>
      <c r="C12" s="62">
        <v>31.59</v>
      </c>
      <c r="D12" s="62">
        <v>31.38</v>
      </c>
      <c r="E12" s="62">
        <v>31.8</v>
      </c>
      <c r="F12" s="63">
        <v>31.95</v>
      </c>
      <c r="G12" s="64">
        <v>-1.12676056338028E-2</v>
      </c>
      <c r="H12" s="62" t="s">
        <v>812</v>
      </c>
      <c r="I12" s="63">
        <v>2.5299999999999998</v>
      </c>
      <c r="J12" s="63">
        <v>14.61</v>
      </c>
      <c r="K12" s="63">
        <v>27.22</v>
      </c>
      <c r="L12" s="5">
        <f t="shared" si="0"/>
        <v>24.498000000000001</v>
      </c>
      <c r="M12" s="5" t="b">
        <f t="shared" si="1"/>
        <v>0</v>
      </c>
    </row>
    <row r="13" spans="1:13" ht="20.100000000000001" customHeight="1" x14ac:dyDescent="0.25">
      <c r="A13" s="61" t="s">
        <v>194</v>
      </c>
      <c r="B13" s="65" t="s">
        <v>197</v>
      </c>
      <c r="C13" s="62">
        <v>13.77</v>
      </c>
      <c r="D13" s="62">
        <v>13.72</v>
      </c>
      <c r="E13" s="62">
        <v>13.83</v>
      </c>
      <c r="F13" s="63">
        <v>14.26</v>
      </c>
      <c r="G13" s="64">
        <v>-3.436185133239833E-2</v>
      </c>
      <c r="H13" s="64" t="s">
        <v>813</v>
      </c>
      <c r="I13" s="63">
        <v>6.19</v>
      </c>
      <c r="J13" s="63">
        <v>10.75</v>
      </c>
      <c r="K13" s="63">
        <v>14.84</v>
      </c>
      <c r="L13" s="5">
        <f t="shared" si="0"/>
        <v>13.356</v>
      </c>
      <c r="M13" s="5" t="b">
        <f t="shared" si="1"/>
        <v>0</v>
      </c>
    </row>
    <row r="14" spans="1:13" ht="20.100000000000001" customHeight="1" x14ac:dyDescent="0.25">
      <c r="A14" s="61" t="s">
        <v>276</v>
      </c>
      <c r="B14" s="65" t="s">
        <v>279</v>
      </c>
      <c r="C14" s="62">
        <v>42.6</v>
      </c>
      <c r="D14" s="62">
        <v>42.41</v>
      </c>
      <c r="E14" s="62">
        <v>42.79</v>
      </c>
      <c r="F14" s="63">
        <v>43.03</v>
      </c>
      <c r="G14" s="64">
        <v>-9.9930281199163314E-3</v>
      </c>
      <c r="H14" s="64" t="s">
        <v>814</v>
      </c>
      <c r="I14" s="63">
        <v>2.38</v>
      </c>
      <c r="J14" s="63">
        <v>13.35</v>
      </c>
      <c r="K14" s="63">
        <v>41.72</v>
      </c>
      <c r="L14" s="5">
        <f t="shared" si="0"/>
        <v>37.548000000000002</v>
      </c>
      <c r="M14" s="5" t="b">
        <f t="shared" si="1"/>
        <v>0</v>
      </c>
    </row>
    <row r="15" spans="1:13" ht="20.100000000000001" customHeight="1" x14ac:dyDescent="0.25">
      <c r="A15" s="67" t="s">
        <v>185</v>
      </c>
      <c r="B15" s="61" t="s">
        <v>192</v>
      </c>
      <c r="C15" s="62">
        <v>45.43</v>
      </c>
      <c r="D15" s="62">
        <v>45.25</v>
      </c>
      <c r="E15" s="62">
        <v>45.87</v>
      </c>
      <c r="F15" s="63">
        <v>46.15</v>
      </c>
      <c r="G15" s="64">
        <v>-1.5601300108342337E-2</v>
      </c>
      <c r="H15" s="62" t="s">
        <v>815</v>
      </c>
      <c r="I15" s="63">
        <v>3.29</v>
      </c>
      <c r="J15" s="63">
        <v>11.22</v>
      </c>
      <c r="K15" s="63">
        <v>48.74</v>
      </c>
      <c r="L15" s="5">
        <f t="shared" si="0"/>
        <v>43.866</v>
      </c>
      <c r="M15" s="5" t="b">
        <f t="shared" si="1"/>
        <v>0</v>
      </c>
    </row>
    <row r="16" spans="1:13" ht="20.100000000000001" customHeight="1" x14ac:dyDescent="0.25">
      <c r="A16" s="52" t="s">
        <v>441</v>
      </c>
      <c r="B16" s="52" t="s">
        <v>444</v>
      </c>
      <c r="C16" s="53">
        <v>82.07</v>
      </c>
      <c r="D16" s="53">
        <v>81.42</v>
      </c>
      <c r="E16" s="53">
        <v>82.26</v>
      </c>
      <c r="F16" s="54">
        <v>82.01</v>
      </c>
      <c r="G16" s="55">
        <v>7.3161809535407952E-4</v>
      </c>
      <c r="H16" s="53" t="s">
        <v>816</v>
      </c>
      <c r="I16" s="54">
        <v>0.68</v>
      </c>
      <c r="J16" s="53">
        <v>34.880000000000003</v>
      </c>
      <c r="K16" s="53">
        <v>77.88</v>
      </c>
      <c r="L16" s="5">
        <f t="shared" si="0"/>
        <v>70.091999999999999</v>
      </c>
      <c r="M16" s="5" t="b">
        <f t="shared" si="1"/>
        <v>0</v>
      </c>
    </row>
    <row r="17" spans="1:13" ht="20.100000000000001" customHeight="1" x14ac:dyDescent="0.25">
      <c r="A17" s="52" t="s">
        <v>442</v>
      </c>
      <c r="B17" s="52" t="s">
        <v>445</v>
      </c>
      <c r="C17" s="53">
        <v>99.36</v>
      </c>
      <c r="D17" s="53">
        <v>98.59</v>
      </c>
      <c r="E17" s="53">
        <v>99.69</v>
      </c>
      <c r="F17" s="54">
        <v>99.47</v>
      </c>
      <c r="G17" s="55">
        <v>-1.105861063637272E-3</v>
      </c>
      <c r="H17" s="53" t="s">
        <v>817</v>
      </c>
      <c r="I17" s="54">
        <v>0.77</v>
      </c>
      <c r="J17" s="53">
        <v>29.15</v>
      </c>
      <c r="K17" s="53">
        <v>94.31</v>
      </c>
      <c r="L17" s="5">
        <f t="shared" si="0"/>
        <v>84.879000000000005</v>
      </c>
      <c r="M17" s="5" t="b">
        <f t="shared" si="1"/>
        <v>0</v>
      </c>
    </row>
    <row r="18" spans="1:13" ht="20.100000000000001" customHeight="1" x14ac:dyDescent="0.25">
      <c r="A18" s="60" t="s">
        <v>443</v>
      </c>
      <c r="B18" s="52" t="s">
        <v>446</v>
      </c>
      <c r="C18" s="56">
        <v>63.66</v>
      </c>
      <c r="D18" s="53">
        <v>63.16</v>
      </c>
      <c r="E18" s="53">
        <v>63.95</v>
      </c>
      <c r="F18" s="54">
        <v>63.83</v>
      </c>
      <c r="G18" s="57">
        <v>-2.663324455585175E-3</v>
      </c>
      <c r="H18" s="55" t="s">
        <v>818</v>
      </c>
      <c r="I18" s="54">
        <v>1.82</v>
      </c>
      <c r="J18" s="53">
        <v>11.26</v>
      </c>
      <c r="K18" s="53">
        <v>63.06</v>
      </c>
      <c r="L18" s="5">
        <f t="shared" si="0"/>
        <v>56.754000000000005</v>
      </c>
      <c r="M18" s="5" t="b">
        <f t="shared" si="1"/>
        <v>0</v>
      </c>
    </row>
    <row r="19" spans="1:13" ht="20.100000000000001" customHeight="1" x14ac:dyDescent="0.25">
      <c r="A19" s="52" t="s">
        <v>447</v>
      </c>
      <c r="B19" s="52" t="s">
        <v>448</v>
      </c>
      <c r="C19" s="58">
        <v>57.09</v>
      </c>
      <c r="D19" s="58">
        <v>56.92</v>
      </c>
      <c r="E19" s="58">
        <v>57.5</v>
      </c>
      <c r="F19" s="54">
        <v>57.69</v>
      </c>
      <c r="G19" s="57">
        <v>-1.0400416016640568E-2</v>
      </c>
      <c r="H19" s="55" t="s">
        <v>819</v>
      </c>
      <c r="I19" s="54">
        <v>2.09</v>
      </c>
      <c r="J19" s="53">
        <v>10.73</v>
      </c>
      <c r="K19" s="53">
        <v>54.6</v>
      </c>
      <c r="L19" s="5">
        <f t="shared" si="0"/>
        <v>49.14</v>
      </c>
      <c r="M19" s="5" t="b">
        <f t="shared" si="1"/>
        <v>0</v>
      </c>
    </row>
  </sheetData>
  <conditionalFormatting sqref="G20:G1048576 G1: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:G1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0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3" t="s">
        <v>223</v>
      </c>
      <c r="B2" s="2" t="s">
        <v>230</v>
      </c>
      <c r="C2" s="4">
        <v>42.03</v>
      </c>
      <c r="D2" s="4">
        <v>41.73</v>
      </c>
      <c r="E2" s="4">
        <v>42.07</v>
      </c>
      <c r="F2" s="5">
        <v>42.28</v>
      </c>
      <c r="G2" s="6">
        <v>-5.9129612109744562E-3</v>
      </c>
      <c r="H2" s="4" t="s">
        <v>820</v>
      </c>
      <c r="I2" s="5">
        <v>2.86</v>
      </c>
      <c r="J2" s="5">
        <v>17</v>
      </c>
      <c r="K2" s="5">
        <v>40.69</v>
      </c>
      <c r="L2" s="89">
        <f t="shared" ref="L2:L10" si="0">K2*0.9</f>
        <v>36.621000000000002</v>
      </c>
      <c r="M2" s="90" t="b">
        <f t="shared" ref="M2:M10" si="1">L2&gt;C2</f>
        <v>0</v>
      </c>
    </row>
    <row r="3" spans="1:13" ht="20.100000000000001" customHeight="1" x14ac:dyDescent="0.25">
      <c r="A3" s="23" t="s">
        <v>225</v>
      </c>
      <c r="B3" s="2" t="s">
        <v>232</v>
      </c>
      <c r="C3" s="4">
        <v>43.25</v>
      </c>
      <c r="D3" s="4">
        <v>43.07</v>
      </c>
      <c r="E3" s="4">
        <v>43.59</v>
      </c>
      <c r="F3" s="5">
        <v>43.66</v>
      </c>
      <c r="G3" s="6">
        <v>-9.3907466788821954E-3</v>
      </c>
      <c r="H3" s="4" t="s">
        <v>821</v>
      </c>
      <c r="I3" s="5">
        <v>2.29</v>
      </c>
      <c r="J3" s="5" t="s">
        <v>39</v>
      </c>
      <c r="K3" s="5">
        <v>45.75</v>
      </c>
      <c r="L3" s="5">
        <f t="shared" si="0"/>
        <v>41.175000000000004</v>
      </c>
      <c r="M3" s="5" t="b">
        <f t="shared" si="1"/>
        <v>0</v>
      </c>
    </row>
    <row r="4" spans="1:13" ht="20.100000000000001" customHeight="1" x14ac:dyDescent="0.25">
      <c r="A4" s="23" t="s">
        <v>226</v>
      </c>
      <c r="B4" s="2" t="s">
        <v>233</v>
      </c>
      <c r="C4" s="4">
        <v>55.38</v>
      </c>
      <c r="D4" s="4">
        <v>55.06</v>
      </c>
      <c r="E4" s="4">
        <v>55.6</v>
      </c>
      <c r="F4" s="5">
        <v>55.78</v>
      </c>
      <c r="G4" s="6">
        <v>-7.1710290426675975E-3</v>
      </c>
      <c r="H4" s="4" t="s">
        <v>822</v>
      </c>
      <c r="I4" s="5">
        <v>2.5099999999999998</v>
      </c>
      <c r="J4" s="5">
        <v>30.6</v>
      </c>
      <c r="K4" s="5">
        <v>62.49</v>
      </c>
      <c r="L4" s="5">
        <f t="shared" si="0"/>
        <v>56.241</v>
      </c>
      <c r="M4" s="5" t="b">
        <f t="shared" si="1"/>
        <v>1</v>
      </c>
    </row>
    <row r="5" spans="1:13" ht="20.100000000000001" customHeight="1" x14ac:dyDescent="0.25">
      <c r="A5" s="23" t="s">
        <v>222</v>
      </c>
      <c r="B5" s="2" t="s">
        <v>229</v>
      </c>
      <c r="C5" s="4">
        <v>65.19</v>
      </c>
      <c r="D5" s="4">
        <v>64.83</v>
      </c>
      <c r="E5" s="4">
        <v>65.459999999999994</v>
      </c>
      <c r="F5" s="5">
        <v>65.540000000000006</v>
      </c>
      <c r="G5" s="6">
        <v>-5.3402502288679961E-3</v>
      </c>
      <c r="H5" s="4" t="s">
        <v>823</v>
      </c>
      <c r="I5" s="5">
        <v>2.93</v>
      </c>
      <c r="J5" s="5">
        <v>23.53</v>
      </c>
      <c r="K5" s="5">
        <v>65.86</v>
      </c>
      <c r="L5" s="5">
        <f t="shared" si="0"/>
        <v>59.274000000000001</v>
      </c>
      <c r="M5" s="5" t="b">
        <f t="shared" si="1"/>
        <v>0</v>
      </c>
    </row>
    <row r="6" spans="1:13" ht="20.100000000000001" customHeight="1" x14ac:dyDescent="0.25">
      <c r="A6" s="23" t="s">
        <v>224</v>
      </c>
      <c r="B6" s="2" t="s">
        <v>231</v>
      </c>
      <c r="C6" s="4">
        <v>78.02</v>
      </c>
      <c r="D6" s="4">
        <v>77.59</v>
      </c>
      <c r="E6" s="4">
        <v>78.31</v>
      </c>
      <c r="F6" s="5">
        <v>78.260000000000005</v>
      </c>
      <c r="G6" s="6">
        <v>-3.0667007411194617E-3</v>
      </c>
      <c r="H6" s="4" t="s">
        <v>824</v>
      </c>
      <c r="I6" s="5">
        <v>2.66</v>
      </c>
      <c r="J6" s="5">
        <v>44.63</v>
      </c>
      <c r="K6" s="5">
        <v>78.47</v>
      </c>
      <c r="L6" s="5">
        <f t="shared" si="0"/>
        <v>70.623000000000005</v>
      </c>
      <c r="M6" s="5" t="b">
        <f t="shared" si="1"/>
        <v>0</v>
      </c>
    </row>
    <row r="7" spans="1:13" ht="20.100000000000001" customHeight="1" x14ac:dyDescent="0.25">
      <c r="A7" s="23" t="s">
        <v>220</v>
      </c>
      <c r="B7" s="2" t="s">
        <v>349</v>
      </c>
      <c r="C7" s="4">
        <v>88.94</v>
      </c>
      <c r="D7" s="4">
        <v>87.65</v>
      </c>
      <c r="E7" s="4">
        <v>89.13</v>
      </c>
      <c r="F7" s="5">
        <v>89.17</v>
      </c>
      <c r="G7" s="6">
        <v>-2.5793428283055284E-3</v>
      </c>
      <c r="H7" s="4" t="s">
        <v>825</v>
      </c>
      <c r="I7" s="5">
        <v>2.74</v>
      </c>
      <c r="J7" s="5">
        <v>65.209999999999994</v>
      </c>
      <c r="K7" s="5">
        <v>83.73</v>
      </c>
      <c r="L7" s="5">
        <f t="shared" si="0"/>
        <v>75.356999999999999</v>
      </c>
      <c r="M7" s="5" t="b">
        <f t="shared" si="1"/>
        <v>0</v>
      </c>
    </row>
    <row r="8" spans="1:13" ht="20.100000000000001" customHeight="1" x14ac:dyDescent="0.25">
      <c r="A8" s="23" t="s">
        <v>221</v>
      </c>
      <c r="B8" s="2" t="s">
        <v>228</v>
      </c>
      <c r="C8" s="4">
        <v>42.91</v>
      </c>
      <c r="D8" s="4">
        <v>42.53</v>
      </c>
      <c r="E8" s="4">
        <v>43.06</v>
      </c>
      <c r="F8" s="5">
        <v>43.02</v>
      </c>
      <c r="G8" s="6">
        <v>-2.5569502556951774E-3</v>
      </c>
      <c r="H8" s="4" t="s">
        <v>826</v>
      </c>
      <c r="I8" s="5">
        <v>1.79</v>
      </c>
      <c r="J8" s="5">
        <v>9.09</v>
      </c>
      <c r="K8" s="5">
        <v>43.33</v>
      </c>
      <c r="L8" s="5">
        <f t="shared" si="0"/>
        <v>38.997</v>
      </c>
      <c r="M8" s="5" t="b">
        <f t="shared" si="1"/>
        <v>0</v>
      </c>
    </row>
    <row r="9" spans="1:13" ht="20.100000000000001" customHeight="1" x14ac:dyDescent="0.25">
      <c r="A9" s="23" t="s">
        <v>563</v>
      </c>
      <c r="B9" s="19" t="s">
        <v>564</v>
      </c>
      <c r="C9" s="4">
        <v>95.48</v>
      </c>
      <c r="D9" s="4">
        <v>95.32</v>
      </c>
      <c r="E9" s="4">
        <v>96.63</v>
      </c>
      <c r="F9" s="5">
        <v>96.01</v>
      </c>
      <c r="G9" s="6">
        <v>-5.5202583064264251E-3</v>
      </c>
      <c r="H9" s="6" t="s">
        <v>827</v>
      </c>
      <c r="I9" s="5">
        <v>2.58</v>
      </c>
      <c r="J9" s="5">
        <v>27.96</v>
      </c>
      <c r="K9" s="5">
        <v>98.75</v>
      </c>
      <c r="L9" s="5">
        <f>K9*0.9</f>
        <v>88.875</v>
      </c>
      <c r="M9" s="5" t="b">
        <f>L9&gt;C9</f>
        <v>0</v>
      </c>
    </row>
    <row r="10" spans="1:13" ht="20.100000000000001" customHeight="1" x14ac:dyDescent="0.25">
      <c r="A10" s="23" t="s">
        <v>227</v>
      </c>
      <c r="B10" s="19" t="s">
        <v>234</v>
      </c>
      <c r="C10" s="4">
        <v>76.75</v>
      </c>
      <c r="D10" s="4">
        <v>76.3</v>
      </c>
      <c r="E10" s="4">
        <v>77.13</v>
      </c>
      <c r="F10" s="5">
        <v>77.290000000000006</v>
      </c>
      <c r="G10" s="6">
        <v>-6.9866735670850852E-3</v>
      </c>
      <c r="H10" s="6" t="s">
        <v>828</v>
      </c>
      <c r="I10" s="5">
        <v>2.13</v>
      </c>
      <c r="J10" s="5">
        <v>28.88</v>
      </c>
      <c r="K10" s="5">
        <v>84.7</v>
      </c>
      <c r="L10" s="5">
        <f t="shared" si="0"/>
        <v>76.23</v>
      </c>
      <c r="M10" s="5" t="b">
        <f t="shared" si="1"/>
        <v>0</v>
      </c>
    </row>
  </sheetData>
  <conditionalFormatting sqref="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0">
    <cfRule type="colorScale" priority="6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7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3" t="s">
        <v>649</v>
      </c>
      <c r="B2" s="2" t="s">
        <v>656</v>
      </c>
      <c r="C2" s="4">
        <v>44.42</v>
      </c>
      <c r="D2" s="4">
        <v>44.05</v>
      </c>
      <c r="E2" s="4">
        <v>44.67</v>
      </c>
      <c r="F2" s="5">
        <v>44.59</v>
      </c>
      <c r="G2" s="6">
        <v>-3.812514016595687E-3</v>
      </c>
      <c r="H2" s="4" t="s">
        <v>829</v>
      </c>
      <c r="I2" s="5">
        <v>0.57999999999999996</v>
      </c>
      <c r="J2" s="5">
        <v>44.73</v>
      </c>
      <c r="K2" s="5">
        <v>37.65</v>
      </c>
      <c r="L2" s="89">
        <f t="shared" ref="L2:L7" si="0">K2*0.9</f>
        <v>33.884999999999998</v>
      </c>
      <c r="M2" s="90" t="b">
        <f t="shared" ref="M2:M7" si="1">L2&gt;C2</f>
        <v>0</v>
      </c>
    </row>
    <row r="3" spans="1:13" ht="20.100000000000001" customHeight="1" x14ac:dyDescent="0.25">
      <c r="A3" s="23" t="s">
        <v>650</v>
      </c>
      <c r="B3" s="2" t="s">
        <v>657</v>
      </c>
      <c r="C3" s="4">
        <v>82.89</v>
      </c>
      <c r="D3" s="4">
        <v>82.16</v>
      </c>
      <c r="E3" s="4">
        <v>83.36</v>
      </c>
      <c r="F3" s="5">
        <v>83.37</v>
      </c>
      <c r="G3" s="6">
        <v>-5.7574667146456033E-3</v>
      </c>
      <c r="H3" s="4" t="s">
        <v>830</v>
      </c>
      <c r="I3" s="5" t="s">
        <v>39</v>
      </c>
      <c r="J3" s="5">
        <v>23.35</v>
      </c>
      <c r="K3" s="5">
        <v>72.66</v>
      </c>
      <c r="L3" s="5">
        <f t="shared" si="0"/>
        <v>65.394000000000005</v>
      </c>
      <c r="M3" s="5" t="b">
        <f t="shared" si="1"/>
        <v>0</v>
      </c>
    </row>
    <row r="4" spans="1:13" ht="20.100000000000001" customHeight="1" x14ac:dyDescent="0.25">
      <c r="A4" s="23" t="s">
        <v>651</v>
      </c>
      <c r="B4" s="2" t="s">
        <v>658</v>
      </c>
      <c r="C4" s="4">
        <v>44.73</v>
      </c>
      <c r="D4" s="4">
        <v>44.39</v>
      </c>
      <c r="E4" s="4">
        <v>45.26</v>
      </c>
      <c r="F4" s="5">
        <v>45.23</v>
      </c>
      <c r="G4" s="6">
        <v>-1.1054609772275039E-2</v>
      </c>
      <c r="H4" s="4" t="s">
        <v>554</v>
      </c>
      <c r="I4" s="5" t="s">
        <v>39</v>
      </c>
      <c r="J4" s="5">
        <v>186.38</v>
      </c>
      <c r="K4" s="5">
        <v>38.32</v>
      </c>
      <c r="L4" s="5">
        <f t="shared" si="0"/>
        <v>34.488</v>
      </c>
      <c r="M4" s="5" t="b">
        <f t="shared" si="1"/>
        <v>0</v>
      </c>
    </row>
    <row r="5" spans="1:13" ht="20.100000000000001" customHeight="1" x14ac:dyDescent="0.25">
      <c r="A5" s="23" t="s">
        <v>652</v>
      </c>
      <c r="B5" s="2" t="s">
        <v>831</v>
      </c>
      <c r="C5" s="4">
        <v>262.5</v>
      </c>
      <c r="D5" s="4">
        <v>262.5</v>
      </c>
      <c r="E5" s="4">
        <v>264</v>
      </c>
      <c r="F5" s="5">
        <v>265.5</v>
      </c>
      <c r="G5" s="6">
        <v>-1.1299435028248588E-2</v>
      </c>
      <c r="H5" s="4" t="s">
        <v>832</v>
      </c>
      <c r="I5" s="5">
        <v>0.56999999999999995</v>
      </c>
      <c r="J5" s="5" t="s">
        <v>39</v>
      </c>
      <c r="K5" s="5">
        <v>174.33</v>
      </c>
      <c r="L5" s="5">
        <f t="shared" si="0"/>
        <v>156.89700000000002</v>
      </c>
      <c r="M5" s="5" t="b">
        <f t="shared" si="1"/>
        <v>0</v>
      </c>
    </row>
    <row r="6" spans="1:13" ht="20.100000000000001" customHeight="1" x14ac:dyDescent="0.25">
      <c r="A6" s="23" t="s">
        <v>654</v>
      </c>
      <c r="B6" s="19" t="s">
        <v>659</v>
      </c>
      <c r="C6" s="4">
        <v>27.09</v>
      </c>
      <c r="D6" s="4">
        <v>26.9</v>
      </c>
      <c r="E6" s="4">
        <v>27.26</v>
      </c>
      <c r="F6" s="5">
        <v>27.25</v>
      </c>
      <c r="G6" s="6">
        <v>-5.8715596330275281E-3</v>
      </c>
      <c r="H6" s="6" t="s">
        <v>833</v>
      </c>
      <c r="I6" s="5">
        <v>5.48</v>
      </c>
      <c r="J6" s="5">
        <v>7.14</v>
      </c>
      <c r="K6" s="5">
        <v>29.65</v>
      </c>
      <c r="L6" s="5">
        <f>K6*0.9</f>
        <v>26.684999999999999</v>
      </c>
      <c r="M6" s="5" t="b">
        <f>L6&gt;C6</f>
        <v>0</v>
      </c>
    </row>
    <row r="7" spans="1:13" ht="20.100000000000001" customHeight="1" x14ac:dyDescent="0.25">
      <c r="A7" s="23" t="s">
        <v>653</v>
      </c>
      <c r="B7" s="2" t="s">
        <v>660</v>
      </c>
      <c r="C7" s="4">
        <v>31.79</v>
      </c>
      <c r="D7" s="4">
        <v>31.7</v>
      </c>
      <c r="E7" s="4">
        <v>32.049999999999997</v>
      </c>
      <c r="F7" s="5">
        <v>32.47</v>
      </c>
      <c r="G7" s="6">
        <v>-2.0942408376963342E-2</v>
      </c>
      <c r="H7" s="4" t="s">
        <v>834</v>
      </c>
      <c r="I7" s="5">
        <v>0.55000000000000004</v>
      </c>
      <c r="J7" s="5">
        <v>48.39</v>
      </c>
      <c r="K7" s="5">
        <v>28.26</v>
      </c>
      <c r="L7" s="5">
        <f t="shared" si="0"/>
        <v>25.434000000000001</v>
      </c>
      <c r="M7" s="5" t="b">
        <f t="shared" si="1"/>
        <v>0</v>
      </c>
    </row>
  </sheetData>
  <conditionalFormatting sqref="G1:G7">
    <cfRule type="colorScale" priority="7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3"/>
  <sheetViews>
    <sheetView workbookViewId="0">
      <selection activeCell="D19" sqref="D19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83" t="s">
        <v>37</v>
      </c>
      <c r="B2" s="83" t="s">
        <v>61</v>
      </c>
      <c r="C2" s="88">
        <v>78.900000000000006</v>
      </c>
      <c r="D2" s="88">
        <v>77.02</v>
      </c>
      <c r="E2" s="88">
        <v>79.22</v>
      </c>
      <c r="F2" s="85">
        <v>76.88</v>
      </c>
      <c r="G2" s="87">
        <v>2.6274713839750396E-2</v>
      </c>
      <c r="H2" s="88" t="s">
        <v>937</v>
      </c>
      <c r="I2" s="85">
        <v>1.85</v>
      </c>
      <c r="J2" s="85">
        <v>12.48</v>
      </c>
      <c r="K2" s="85">
        <v>81.12</v>
      </c>
      <c r="L2" s="91">
        <f t="shared" ref="L2:L8" si="0">K2*0.9</f>
        <v>73.00800000000001</v>
      </c>
      <c r="M2" s="92" t="b">
        <f t="shared" ref="M2:M9" si="1">L2&gt;C2</f>
        <v>0</v>
      </c>
    </row>
    <row r="3" spans="1:13" ht="20.100000000000001" customHeight="1" x14ac:dyDescent="0.25">
      <c r="A3" s="93" t="s">
        <v>33</v>
      </c>
      <c r="B3" s="83" t="s">
        <v>62</v>
      </c>
      <c r="C3" s="88">
        <v>73.040000000000006</v>
      </c>
      <c r="D3" s="88">
        <v>71.099999999999994</v>
      </c>
      <c r="E3" s="88">
        <v>73.290000000000006</v>
      </c>
      <c r="F3" s="85">
        <v>71.11</v>
      </c>
      <c r="G3" s="87">
        <v>2.7141049078891952E-2</v>
      </c>
      <c r="H3" s="88" t="s">
        <v>938</v>
      </c>
      <c r="I3" s="85">
        <v>2.46</v>
      </c>
      <c r="J3" s="85">
        <v>17.68</v>
      </c>
      <c r="K3" s="85">
        <v>77.17</v>
      </c>
      <c r="L3" s="85">
        <f t="shared" si="0"/>
        <v>69.453000000000003</v>
      </c>
      <c r="M3" s="85" t="b">
        <f t="shared" si="1"/>
        <v>0</v>
      </c>
    </row>
    <row r="4" spans="1:13" ht="20.100000000000001" customHeight="1" x14ac:dyDescent="0.25">
      <c r="A4" s="83" t="s">
        <v>34</v>
      </c>
      <c r="B4" s="83" t="s">
        <v>65</v>
      </c>
      <c r="C4" s="88">
        <v>146.25</v>
      </c>
      <c r="D4" s="88">
        <v>142.49</v>
      </c>
      <c r="E4" s="88">
        <v>147.76</v>
      </c>
      <c r="F4" s="85">
        <v>143.34</v>
      </c>
      <c r="G4" s="87">
        <v>2.0301381331100855E-2</v>
      </c>
      <c r="H4" s="88" t="s">
        <v>939</v>
      </c>
      <c r="I4" s="85">
        <v>0.77</v>
      </c>
      <c r="J4" s="85">
        <v>17.53</v>
      </c>
      <c r="K4" s="85">
        <v>172.35</v>
      </c>
      <c r="L4" s="85">
        <f t="shared" si="0"/>
        <v>155.11500000000001</v>
      </c>
      <c r="M4" s="85" t="b">
        <f t="shared" si="1"/>
        <v>1</v>
      </c>
    </row>
    <row r="5" spans="1:13" ht="20.100000000000001" customHeight="1" x14ac:dyDescent="0.25">
      <c r="A5" s="2" t="s">
        <v>32</v>
      </c>
      <c r="B5" s="2" t="s">
        <v>64</v>
      </c>
      <c r="C5" s="4">
        <v>72.48</v>
      </c>
      <c r="D5" s="4">
        <v>71.510000000000005</v>
      </c>
      <c r="E5" s="4">
        <v>72.48</v>
      </c>
      <c r="F5" s="5">
        <v>70.75</v>
      </c>
      <c r="G5" s="6">
        <v>2.4452296819788041E-2</v>
      </c>
      <c r="H5" s="4" t="s">
        <v>940</v>
      </c>
      <c r="I5" s="5">
        <v>0</v>
      </c>
      <c r="J5" s="5">
        <v>17.13</v>
      </c>
      <c r="K5" s="5">
        <v>73.989999999999995</v>
      </c>
      <c r="L5" s="5">
        <f t="shared" si="0"/>
        <v>66.590999999999994</v>
      </c>
      <c r="M5" s="5" t="b">
        <f t="shared" si="1"/>
        <v>0</v>
      </c>
    </row>
    <row r="6" spans="1:13" ht="20.100000000000001" customHeight="1" x14ac:dyDescent="0.25">
      <c r="A6" s="81" t="s">
        <v>31</v>
      </c>
      <c r="B6" s="2" t="s">
        <v>63</v>
      </c>
      <c r="C6" s="4">
        <v>80.13</v>
      </c>
      <c r="D6" s="4">
        <v>78.739999999999995</v>
      </c>
      <c r="E6" s="4">
        <v>80.540000000000006</v>
      </c>
      <c r="F6" s="5">
        <v>78.11</v>
      </c>
      <c r="G6" s="6">
        <v>2.5860965305338574E-2</v>
      </c>
      <c r="H6" s="4" t="s">
        <v>941</v>
      </c>
      <c r="I6" s="5">
        <v>2.12</v>
      </c>
      <c r="J6" s="5">
        <v>17.170000000000002</v>
      </c>
      <c r="K6" s="5">
        <v>90.08</v>
      </c>
      <c r="L6" s="5">
        <f t="shared" si="0"/>
        <v>81.072000000000003</v>
      </c>
      <c r="M6" s="5" t="b">
        <f t="shared" si="1"/>
        <v>1</v>
      </c>
    </row>
    <row r="7" spans="1:13" ht="20.100000000000001" customHeight="1" x14ac:dyDescent="0.25">
      <c r="A7" s="2" t="s">
        <v>35</v>
      </c>
      <c r="B7" s="2" t="s">
        <v>66</v>
      </c>
      <c r="C7" s="4">
        <v>25.5</v>
      </c>
      <c r="D7" s="4">
        <v>25.15</v>
      </c>
      <c r="E7" s="4">
        <v>25.95</v>
      </c>
      <c r="F7" s="5">
        <v>25.35</v>
      </c>
      <c r="G7" s="6">
        <v>5.917159763313553E-3</v>
      </c>
      <c r="H7" s="4" t="s">
        <v>942</v>
      </c>
      <c r="I7" s="5" t="s">
        <v>39</v>
      </c>
      <c r="J7" s="5">
        <v>23.25</v>
      </c>
      <c r="K7" s="5">
        <v>25.46</v>
      </c>
      <c r="L7" s="5">
        <f t="shared" si="0"/>
        <v>22.914000000000001</v>
      </c>
      <c r="M7" s="5" t="b">
        <f t="shared" si="1"/>
        <v>0</v>
      </c>
    </row>
    <row r="8" spans="1:13" ht="20.100000000000001" customHeight="1" x14ac:dyDescent="0.25">
      <c r="A8" s="1" t="s">
        <v>36</v>
      </c>
      <c r="B8" s="2" t="s">
        <v>67</v>
      </c>
      <c r="C8" s="4">
        <v>160.12</v>
      </c>
      <c r="D8" s="4">
        <v>157.71</v>
      </c>
      <c r="E8" s="4">
        <v>160.16</v>
      </c>
      <c r="F8" s="5">
        <v>159.32</v>
      </c>
      <c r="G8" s="6">
        <v>5.0213406979664286E-3</v>
      </c>
      <c r="H8" s="4" t="s">
        <v>943</v>
      </c>
      <c r="I8" s="5">
        <v>1.56</v>
      </c>
      <c r="J8" s="5">
        <v>23.65</v>
      </c>
      <c r="K8" s="5">
        <v>141.6</v>
      </c>
      <c r="L8" s="5">
        <f t="shared" si="0"/>
        <v>127.44</v>
      </c>
      <c r="M8" s="5" t="b">
        <f t="shared" si="1"/>
        <v>0</v>
      </c>
    </row>
    <row r="9" spans="1:13" ht="20.100000000000001" customHeight="1" x14ac:dyDescent="0.25">
      <c r="A9" s="2" t="s">
        <v>142</v>
      </c>
      <c r="B9" s="19" t="s">
        <v>287</v>
      </c>
      <c r="C9" s="4">
        <v>31.26</v>
      </c>
      <c r="D9" s="4">
        <v>30.75</v>
      </c>
      <c r="E9" s="4">
        <v>31.43</v>
      </c>
      <c r="F9" s="5">
        <v>30.79</v>
      </c>
      <c r="G9" s="6">
        <v>1.5264696329977344E-2</v>
      </c>
      <c r="H9" s="6" t="s">
        <v>944</v>
      </c>
      <c r="I9" s="5" t="s">
        <v>39</v>
      </c>
      <c r="J9" s="5">
        <v>23.17</v>
      </c>
      <c r="K9" s="5">
        <v>31.89</v>
      </c>
      <c r="L9" s="5">
        <f>K9*0.9</f>
        <v>28.701000000000001</v>
      </c>
      <c r="M9" s="5" t="b">
        <f t="shared" si="1"/>
        <v>0</v>
      </c>
    </row>
    <row r="10" spans="1:13" ht="20.100000000000001" customHeight="1" x14ac:dyDescent="0.25">
      <c r="A10" s="2" t="s">
        <v>933</v>
      </c>
      <c r="B10" s="19" t="s">
        <v>945</v>
      </c>
      <c r="C10" s="4">
        <v>145.41</v>
      </c>
      <c r="D10" s="4">
        <v>143.75</v>
      </c>
      <c r="E10" s="4">
        <v>145.65</v>
      </c>
      <c r="F10" s="5">
        <v>143.07</v>
      </c>
      <c r="G10" s="6">
        <v>1.6355630111134434E-2</v>
      </c>
      <c r="H10" s="6" t="s">
        <v>946</v>
      </c>
      <c r="I10" s="5">
        <v>0.41</v>
      </c>
      <c r="J10" s="5">
        <v>29.06</v>
      </c>
      <c r="K10" s="5">
        <v>151.43</v>
      </c>
      <c r="L10" s="5">
        <f t="shared" ref="L10:L13" si="2">K10*0.9</f>
        <v>136.28700000000001</v>
      </c>
      <c r="M10" s="5" t="b">
        <f t="shared" ref="M10:M12" si="3">L10&gt;C10</f>
        <v>0</v>
      </c>
    </row>
    <row r="11" spans="1:13" ht="20.100000000000001" customHeight="1" x14ac:dyDescent="0.25">
      <c r="A11" s="2" t="s">
        <v>934</v>
      </c>
      <c r="B11" s="19" t="s">
        <v>947</v>
      </c>
      <c r="C11" s="4">
        <v>91.14</v>
      </c>
      <c r="D11" s="4">
        <v>89.46</v>
      </c>
      <c r="E11" s="4">
        <v>91.23</v>
      </c>
      <c r="F11" s="5">
        <v>89.68</v>
      </c>
      <c r="G11" s="6">
        <v>1.6280107047279144E-2</v>
      </c>
      <c r="H11" s="6" t="s">
        <v>948</v>
      </c>
      <c r="I11" s="5">
        <v>1.97</v>
      </c>
      <c r="J11" s="5">
        <v>19.34</v>
      </c>
      <c r="K11" s="5">
        <v>83.02</v>
      </c>
      <c r="L11" s="5">
        <f t="shared" si="2"/>
        <v>74.718000000000004</v>
      </c>
      <c r="M11" s="5" t="b">
        <f t="shared" si="3"/>
        <v>0</v>
      </c>
    </row>
    <row r="12" spans="1:13" ht="20.100000000000001" customHeight="1" x14ac:dyDescent="0.25">
      <c r="A12" s="2" t="s">
        <v>935</v>
      </c>
      <c r="B12" s="19" t="s">
        <v>949</v>
      </c>
      <c r="C12" s="4">
        <v>40.4</v>
      </c>
      <c r="D12" s="4">
        <v>39.869999999999997</v>
      </c>
      <c r="E12" s="4">
        <v>40.42</v>
      </c>
      <c r="F12" s="5">
        <v>39.83</v>
      </c>
      <c r="G12" s="6">
        <v>1.4310820989204125E-2</v>
      </c>
      <c r="H12" s="6" t="s">
        <v>950</v>
      </c>
      <c r="I12" s="5">
        <v>2.38</v>
      </c>
      <c r="J12" s="5">
        <v>18.760000000000002</v>
      </c>
      <c r="K12" s="5">
        <v>46.25</v>
      </c>
      <c r="L12" s="5">
        <f t="shared" si="2"/>
        <v>41.625</v>
      </c>
      <c r="M12" s="5" t="b">
        <f t="shared" si="3"/>
        <v>1</v>
      </c>
    </row>
    <row r="13" spans="1:13" ht="20.100000000000001" customHeight="1" x14ac:dyDescent="0.25">
      <c r="A13" s="2" t="s">
        <v>936</v>
      </c>
      <c r="B13" s="19" t="s">
        <v>951</v>
      </c>
      <c r="C13" s="4">
        <v>152.19</v>
      </c>
      <c r="D13" s="4">
        <v>150.06</v>
      </c>
      <c r="E13" s="4">
        <v>152.88</v>
      </c>
      <c r="F13" s="5">
        <v>150.43</v>
      </c>
      <c r="G13" s="6">
        <v>1.1699793924084231E-2</v>
      </c>
      <c r="H13" s="6" t="s">
        <v>952</v>
      </c>
      <c r="I13" s="5" t="s">
        <v>39</v>
      </c>
      <c r="J13" s="5">
        <v>25.27</v>
      </c>
      <c r="K13" s="5">
        <v>165.09</v>
      </c>
      <c r="L13" s="5">
        <f t="shared" si="2"/>
        <v>148.58100000000002</v>
      </c>
      <c r="M13" s="5" t="b">
        <f t="shared" ref="M13" si="4">L13&gt;C13</f>
        <v>0</v>
      </c>
    </row>
  </sheetData>
  <conditionalFormatting sqref="G1:G1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7"/>
  <sheetViews>
    <sheetView workbookViewId="0"/>
  </sheetViews>
  <sheetFormatPr defaultColWidth="9.140625"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689</v>
      </c>
      <c r="B2" s="2" t="s">
        <v>695</v>
      </c>
      <c r="C2" s="4">
        <v>88.05</v>
      </c>
      <c r="D2" s="4">
        <v>87.3</v>
      </c>
      <c r="E2" s="4">
        <v>88.11</v>
      </c>
      <c r="F2" s="5">
        <v>88.06</v>
      </c>
      <c r="G2" s="6">
        <v>-1.1355893708840695E-4</v>
      </c>
      <c r="H2" s="4" t="s">
        <v>835</v>
      </c>
      <c r="I2" s="5">
        <v>3.04</v>
      </c>
      <c r="J2" s="4">
        <v>23.84</v>
      </c>
      <c r="K2" s="4">
        <v>83.76</v>
      </c>
      <c r="L2" s="79">
        <f t="shared" ref="L2:L7" si="0">K2*0.89</f>
        <v>74.546400000000006</v>
      </c>
      <c r="M2" s="80" t="b">
        <f t="shared" ref="M2:M7" si="1">L2&gt;C2</f>
        <v>0</v>
      </c>
    </row>
    <row r="3" spans="1:13" ht="20.100000000000001" customHeight="1" x14ac:dyDescent="0.25">
      <c r="A3" s="1" t="s">
        <v>690</v>
      </c>
      <c r="B3" s="2" t="s">
        <v>696</v>
      </c>
      <c r="C3" s="4">
        <v>50.99</v>
      </c>
      <c r="D3" s="4">
        <v>50.13</v>
      </c>
      <c r="E3" s="4">
        <v>51.06</v>
      </c>
      <c r="F3" s="5">
        <v>50.83</v>
      </c>
      <c r="G3" s="6">
        <v>3.1477473932717626E-3</v>
      </c>
      <c r="H3" s="4" t="s">
        <v>836</v>
      </c>
      <c r="I3" s="5">
        <v>1.52</v>
      </c>
      <c r="J3" s="4">
        <v>49.46</v>
      </c>
      <c r="K3" s="4">
        <v>47.74</v>
      </c>
      <c r="L3" s="70">
        <f t="shared" si="0"/>
        <v>42.488600000000005</v>
      </c>
      <c r="M3" s="70" t="b">
        <f t="shared" si="1"/>
        <v>0</v>
      </c>
    </row>
    <row r="4" spans="1:13" ht="20.100000000000001" customHeight="1" x14ac:dyDescent="0.25">
      <c r="A4" s="2" t="s">
        <v>691</v>
      </c>
      <c r="B4" s="2" t="s">
        <v>697</v>
      </c>
      <c r="C4" s="4">
        <v>122.73</v>
      </c>
      <c r="D4" s="4">
        <v>121.75</v>
      </c>
      <c r="E4" s="4">
        <v>123.21</v>
      </c>
      <c r="F4" s="5">
        <v>122.54</v>
      </c>
      <c r="G4" s="6">
        <v>1.5505141178390543E-3</v>
      </c>
      <c r="H4" s="4" t="s">
        <v>837</v>
      </c>
      <c r="I4" s="5">
        <v>2.61</v>
      </c>
      <c r="J4" s="4">
        <v>24.95</v>
      </c>
      <c r="K4" s="4">
        <v>130.21</v>
      </c>
      <c r="L4" s="70">
        <f t="shared" si="0"/>
        <v>115.88690000000001</v>
      </c>
      <c r="M4" s="70" t="b">
        <f t="shared" si="1"/>
        <v>0</v>
      </c>
    </row>
    <row r="5" spans="1:13" ht="20.100000000000001" customHeight="1" x14ac:dyDescent="0.25">
      <c r="A5" s="2" t="s">
        <v>692</v>
      </c>
      <c r="B5" s="2" t="s">
        <v>698</v>
      </c>
      <c r="C5" s="4">
        <v>71.959999999999994</v>
      </c>
      <c r="D5" s="4">
        <v>71.38</v>
      </c>
      <c r="E5" s="4">
        <v>72.08</v>
      </c>
      <c r="F5" s="5">
        <v>72.099999999999994</v>
      </c>
      <c r="G5" s="6">
        <v>-1.9417475728155419E-3</v>
      </c>
      <c r="H5" s="4" t="s">
        <v>838</v>
      </c>
      <c r="I5" s="5">
        <v>2.16</v>
      </c>
      <c r="J5" s="4">
        <v>46.34</v>
      </c>
      <c r="K5" s="4">
        <v>71.91</v>
      </c>
      <c r="L5" s="70">
        <f t="shared" si="0"/>
        <v>63.999899999999997</v>
      </c>
      <c r="M5" s="70" t="b">
        <f t="shared" si="1"/>
        <v>0</v>
      </c>
    </row>
    <row r="6" spans="1:13" ht="20.100000000000001" customHeight="1" x14ac:dyDescent="0.25">
      <c r="A6" s="2" t="s">
        <v>693</v>
      </c>
      <c r="B6" s="2" t="s">
        <v>699</v>
      </c>
      <c r="C6" s="4">
        <v>118.25</v>
      </c>
      <c r="D6" s="4">
        <v>118.12</v>
      </c>
      <c r="E6" s="4">
        <v>119.14</v>
      </c>
      <c r="F6" s="5">
        <v>118.63</v>
      </c>
      <c r="G6" s="6">
        <v>-3.20323695523894E-3</v>
      </c>
      <c r="H6" s="4" t="s">
        <v>839</v>
      </c>
      <c r="I6" s="5">
        <v>2.7</v>
      </c>
      <c r="J6" s="4">
        <v>22.04</v>
      </c>
      <c r="K6" s="4">
        <v>115.71</v>
      </c>
      <c r="L6" s="70">
        <f t="shared" si="0"/>
        <v>102.9819</v>
      </c>
      <c r="M6" s="70" t="b">
        <f t="shared" si="1"/>
        <v>0</v>
      </c>
    </row>
    <row r="7" spans="1:13" ht="20.100000000000001" customHeight="1" x14ac:dyDescent="0.25">
      <c r="A7" s="2" t="s">
        <v>694</v>
      </c>
      <c r="B7" s="2" t="s">
        <v>700</v>
      </c>
      <c r="C7" s="4">
        <v>121.81</v>
      </c>
      <c r="D7" s="4">
        <v>121.2</v>
      </c>
      <c r="E7" s="4">
        <v>122.81</v>
      </c>
      <c r="F7" s="5">
        <v>122.44</v>
      </c>
      <c r="G7" s="6">
        <v>-5.1453773276706584E-3</v>
      </c>
      <c r="H7" s="4" t="s">
        <v>840</v>
      </c>
      <c r="I7" s="5">
        <v>3.02</v>
      </c>
      <c r="J7" s="4">
        <v>22.59</v>
      </c>
      <c r="K7" s="4">
        <v>131.19</v>
      </c>
      <c r="L7" s="70">
        <f t="shared" si="0"/>
        <v>116.7591</v>
      </c>
      <c r="M7" s="70" t="b">
        <f t="shared" si="1"/>
        <v>0</v>
      </c>
    </row>
  </sheetData>
  <conditionalFormatting sqref="G1:G1048576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7">
    <cfRule type="colorScale" priority="8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3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122</v>
      </c>
      <c r="B2" s="2" t="s">
        <v>132</v>
      </c>
      <c r="C2" s="4">
        <v>126.7</v>
      </c>
      <c r="D2" s="4">
        <v>126.34</v>
      </c>
      <c r="E2" s="4">
        <v>127.71</v>
      </c>
      <c r="F2" s="5">
        <v>127.77</v>
      </c>
      <c r="G2" s="6">
        <v>-8.3744227909524401E-3</v>
      </c>
      <c r="H2" s="4" t="s">
        <v>750</v>
      </c>
      <c r="I2" s="5">
        <v>3.42</v>
      </c>
      <c r="J2" s="4">
        <v>22.81</v>
      </c>
      <c r="K2" s="4">
        <v>130.41999999999999</v>
      </c>
      <c r="L2" s="5">
        <f t="shared" ref="L2:L13" si="0">K2*0.9</f>
        <v>117.37799999999999</v>
      </c>
      <c r="M2" s="5" t="b">
        <f t="shared" ref="M2:M13" si="1">L2&gt;C2</f>
        <v>0</v>
      </c>
    </row>
    <row r="3" spans="1:13" ht="20.100000000000001" customHeight="1" x14ac:dyDescent="0.25">
      <c r="A3" s="2" t="s">
        <v>125</v>
      </c>
      <c r="B3" s="2" t="s">
        <v>135</v>
      </c>
      <c r="C3" s="4">
        <v>51.09</v>
      </c>
      <c r="D3" s="4">
        <v>50.85</v>
      </c>
      <c r="E3" s="4">
        <v>51.36</v>
      </c>
      <c r="F3" s="5">
        <v>51.58</v>
      </c>
      <c r="G3" s="6">
        <v>-9.4998061264054846E-3</v>
      </c>
      <c r="H3" s="4" t="s">
        <v>841</v>
      </c>
      <c r="I3" s="5">
        <v>3.68</v>
      </c>
      <c r="J3" s="4">
        <v>18.09</v>
      </c>
      <c r="K3" s="4">
        <v>53.32</v>
      </c>
      <c r="L3" s="5">
        <f t="shared" si="0"/>
        <v>47.988</v>
      </c>
      <c r="M3" s="5" t="b">
        <f t="shared" si="1"/>
        <v>0</v>
      </c>
    </row>
    <row r="4" spans="1:13" ht="20.100000000000001" customHeight="1" x14ac:dyDescent="0.25">
      <c r="A4" s="2" t="s">
        <v>124</v>
      </c>
      <c r="B4" s="2" t="s">
        <v>134</v>
      </c>
      <c r="C4" s="11">
        <v>29.68</v>
      </c>
      <c r="D4" s="4">
        <v>29.54</v>
      </c>
      <c r="E4" s="4">
        <v>29.75</v>
      </c>
      <c r="F4" s="5">
        <v>29.75</v>
      </c>
      <c r="G4" s="26">
        <v>-2.352941176470598E-3</v>
      </c>
      <c r="H4" s="6" t="s">
        <v>842</v>
      </c>
      <c r="I4" s="5">
        <v>3.1</v>
      </c>
      <c r="J4" s="4">
        <v>25.09</v>
      </c>
      <c r="K4" s="4">
        <v>30.86</v>
      </c>
      <c r="L4" s="5">
        <f t="shared" si="0"/>
        <v>27.774000000000001</v>
      </c>
      <c r="M4" s="5" t="b">
        <f t="shared" si="1"/>
        <v>0</v>
      </c>
    </row>
    <row r="5" spans="1:13" ht="20.100000000000001" customHeight="1" x14ac:dyDescent="0.25">
      <c r="A5" s="1" t="s">
        <v>126</v>
      </c>
      <c r="B5" s="2" t="s">
        <v>158</v>
      </c>
      <c r="C5" s="20">
        <v>30.97</v>
      </c>
      <c r="D5" s="20">
        <v>30.6</v>
      </c>
      <c r="E5" s="20">
        <v>31.13</v>
      </c>
      <c r="F5" s="5">
        <v>31.12</v>
      </c>
      <c r="G5" s="26">
        <v>-4.8200514138818165E-3</v>
      </c>
      <c r="H5" s="6" t="s">
        <v>755</v>
      </c>
      <c r="I5" s="5">
        <v>4.95</v>
      </c>
      <c r="J5" s="4">
        <v>3.97</v>
      </c>
      <c r="K5" s="4">
        <v>30.77</v>
      </c>
      <c r="L5" s="5">
        <f t="shared" si="0"/>
        <v>27.693000000000001</v>
      </c>
      <c r="M5" s="5" t="b">
        <f t="shared" si="1"/>
        <v>0</v>
      </c>
    </row>
    <row r="6" spans="1:13" ht="20.100000000000001" customHeight="1" x14ac:dyDescent="0.25">
      <c r="A6" s="2" t="s">
        <v>123</v>
      </c>
      <c r="B6" s="2" t="s">
        <v>133</v>
      </c>
      <c r="C6" s="4">
        <v>175.06</v>
      </c>
      <c r="D6" s="4">
        <v>174.38</v>
      </c>
      <c r="E6" s="4">
        <v>175.95</v>
      </c>
      <c r="F6" s="5">
        <v>176.59</v>
      </c>
      <c r="G6" s="6">
        <v>-8.6641372671159237E-3</v>
      </c>
      <c r="H6" s="4" t="s">
        <v>843</v>
      </c>
      <c r="I6" s="5">
        <v>2.5099999999999998</v>
      </c>
      <c r="J6" s="4">
        <v>22.34</v>
      </c>
      <c r="K6" s="4">
        <v>171.43</v>
      </c>
      <c r="L6" s="5">
        <f t="shared" si="0"/>
        <v>154.28700000000001</v>
      </c>
      <c r="M6" s="5" t="b">
        <f t="shared" si="1"/>
        <v>0</v>
      </c>
    </row>
    <row r="7" spans="1:13" ht="20.100000000000001" customHeight="1" x14ac:dyDescent="0.25">
      <c r="A7" s="1" t="s">
        <v>118</v>
      </c>
      <c r="B7" s="2" t="s">
        <v>128</v>
      </c>
      <c r="C7" s="11">
        <v>32.17</v>
      </c>
      <c r="D7" s="4">
        <v>31.86</v>
      </c>
      <c r="E7" s="4">
        <v>32.369999999999997</v>
      </c>
      <c r="F7" s="5">
        <v>32.53</v>
      </c>
      <c r="G7" s="26">
        <v>-1.1066707654472777E-2</v>
      </c>
      <c r="H7" s="6" t="s">
        <v>844</v>
      </c>
      <c r="I7" s="5">
        <v>3.2</v>
      </c>
      <c r="J7" s="4">
        <v>19.32</v>
      </c>
      <c r="K7" s="4">
        <v>32.99</v>
      </c>
      <c r="L7" s="5">
        <f t="shared" si="0"/>
        <v>29.691000000000003</v>
      </c>
      <c r="M7" s="5" t="b">
        <f t="shared" si="1"/>
        <v>0</v>
      </c>
    </row>
    <row r="8" spans="1:13" ht="20.100000000000001" customHeight="1" x14ac:dyDescent="0.25">
      <c r="A8" s="1" t="s">
        <v>120</v>
      </c>
      <c r="B8" s="2" t="s">
        <v>130</v>
      </c>
      <c r="C8" s="4">
        <v>23.8</v>
      </c>
      <c r="D8" s="4">
        <v>23.1</v>
      </c>
      <c r="E8" s="4">
        <v>23.87</v>
      </c>
      <c r="F8" s="5">
        <v>23.42</v>
      </c>
      <c r="G8" s="6">
        <v>1.6225448334756573E-2</v>
      </c>
      <c r="H8" s="4" t="s">
        <v>845</v>
      </c>
      <c r="I8" s="5">
        <v>1.89</v>
      </c>
      <c r="J8" s="4">
        <v>6.15</v>
      </c>
      <c r="K8" s="4">
        <v>19.899999999999999</v>
      </c>
      <c r="L8" s="5">
        <f t="shared" si="0"/>
        <v>17.91</v>
      </c>
      <c r="M8" s="5" t="b">
        <f t="shared" si="1"/>
        <v>0</v>
      </c>
    </row>
    <row r="9" spans="1:13" ht="20.100000000000001" customHeight="1" x14ac:dyDescent="0.25">
      <c r="A9" s="1" t="s">
        <v>119</v>
      </c>
      <c r="B9" s="2" t="s">
        <v>129</v>
      </c>
      <c r="C9" s="4">
        <v>100.1</v>
      </c>
      <c r="D9" s="4">
        <v>99.85</v>
      </c>
      <c r="E9" s="4">
        <v>102.57</v>
      </c>
      <c r="F9" s="5">
        <v>102.71</v>
      </c>
      <c r="G9" s="6">
        <v>-2.5411352351280298E-2</v>
      </c>
      <c r="H9" s="4" t="s">
        <v>846</v>
      </c>
      <c r="I9" s="5">
        <v>2.6</v>
      </c>
      <c r="J9" s="4">
        <v>11.81</v>
      </c>
      <c r="K9" s="4">
        <v>102.73</v>
      </c>
      <c r="L9" s="5">
        <f t="shared" si="0"/>
        <v>92.457000000000008</v>
      </c>
      <c r="M9" s="5" t="b">
        <f t="shared" si="1"/>
        <v>0</v>
      </c>
    </row>
    <row r="10" spans="1:13" ht="20.100000000000001" customHeight="1" x14ac:dyDescent="0.25">
      <c r="A10" s="1" t="s">
        <v>121</v>
      </c>
      <c r="B10" s="2" t="s">
        <v>131</v>
      </c>
      <c r="C10" s="11">
        <v>59.45</v>
      </c>
      <c r="D10" s="4">
        <v>59.25</v>
      </c>
      <c r="E10" s="4">
        <v>60.04</v>
      </c>
      <c r="F10" s="5">
        <v>60.07</v>
      </c>
      <c r="G10" s="26">
        <v>-1.0321291826202721E-2</v>
      </c>
      <c r="H10" s="6" t="s">
        <v>752</v>
      </c>
      <c r="I10" s="5">
        <v>0.73</v>
      </c>
      <c r="J10" s="4">
        <v>22.66</v>
      </c>
      <c r="K10" s="4">
        <v>56.3</v>
      </c>
      <c r="L10" s="5">
        <f t="shared" si="0"/>
        <v>50.67</v>
      </c>
      <c r="M10" s="5" t="b">
        <f t="shared" si="1"/>
        <v>0</v>
      </c>
    </row>
    <row r="11" spans="1:13" ht="20.100000000000001" customHeight="1" x14ac:dyDescent="0.25">
      <c r="A11" s="2" t="s">
        <v>272</v>
      </c>
      <c r="B11" s="2" t="s">
        <v>273</v>
      </c>
      <c r="C11" s="20">
        <v>114.26</v>
      </c>
      <c r="D11" s="20">
        <v>113.49</v>
      </c>
      <c r="E11" s="20">
        <v>114.86</v>
      </c>
      <c r="F11" s="5">
        <v>115.28</v>
      </c>
      <c r="G11" s="26">
        <v>-8.8480222068007975E-3</v>
      </c>
      <c r="H11" s="6" t="s">
        <v>847</v>
      </c>
      <c r="I11" s="5">
        <v>2.09</v>
      </c>
      <c r="J11" s="4">
        <v>18.079999999999998</v>
      </c>
      <c r="K11" s="4">
        <v>114.33</v>
      </c>
      <c r="L11" s="5">
        <f t="shared" si="0"/>
        <v>102.89700000000001</v>
      </c>
      <c r="M11" s="5" t="b">
        <f t="shared" si="1"/>
        <v>0</v>
      </c>
    </row>
    <row r="12" spans="1:13" ht="20.100000000000001" customHeight="1" x14ac:dyDescent="0.25">
      <c r="A12" s="2" t="s">
        <v>274</v>
      </c>
      <c r="B12" s="2" t="s">
        <v>275</v>
      </c>
      <c r="C12" s="20">
        <v>82.05</v>
      </c>
      <c r="D12" s="20">
        <v>81.209999999999994</v>
      </c>
      <c r="E12" s="20">
        <v>82.08</v>
      </c>
      <c r="F12" s="5">
        <v>82.03</v>
      </c>
      <c r="G12" s="26">
        <v>2.4381323905883239E-4</v>
      </c>
      <c r="H12" s="6" t="s">
        <v>848</v>
      </c>
      <c r="I12" s="5">
        <v>3.8</v>
      </c>
      <c r="J12" s="4">
        <v>54.7</v>
      </c>
      <c r="K12" s="4">
        <v>76.790000000000006</v>
      </c>
      <c r="L12" s="5">
        <f t="shared" si="0"/>
        <v>69.111000000000004</v>
      </c>
      <c r="M12" s="5" t="b">
        <f t="shared" si="1"/>
        <v>0</v>
      </c>
    </row>
    <row r="13" spans="1:13" ht="20.100000000000001" customHeight="1" x14ac:dyDescent="0.25">
      <c r="A13" s="81" t="s">
        <v>449</v>
      </c>
      <c r="B13" s="2" t="s">
        <v>451</v>
      </c>
      <c r="C13" s="20">
        <v>12.11</v>
      </c>
      <c r="D13" s="20">
        <v>12.01</v>
      </c>
      <c r="E13" s="20">
        <v>12.13</v>
      </c>
      <c r="F13" s="5">
        <v>12.11</v>
      </c>
      <c r="G13" s="26">
        <v>0</v>
      </c>
      <c r="H13" s="6" t="s">
        <v>756</v>
      </c>
      <c r="I13" s="5">
        <v>4.9400000000000004</v>
      </c>
      <c r="J13" s="4">
        <v>5.71</v>
      </c>
      <c r="K13" s="4">
        <v>13.05</v>
      </c>
      <c r="L13" s="5">
        <f t="shared" si="0"/>
        <v>11.745000000000001</v>
      </c>
      <c r="M13" s="5" t="b">
        <f t="shared" si="1"/>
        <v>0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1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520</v>
      </c>
      <c r="B2" s="2" t="s">
        <v>588</v>
      </c>
      <c r="C2" s="4">
        <v>63.31</v>
      </c>
      <c r="D2" s="4">
        <v>62.97</v>
      </c>
      <c r="E2" s="4">
        <v>63.48</v>
      </c>
      <c r="F2" s="5">
        <v>63.83</v>
      </c>
      <c r="G2" s="6">
        <v>-8.1466395112015678E-3</v>
      </c>
      <c r="H2" s="4" t="s">
        <v>849</v>
      </c>
      <c r="I2" s="5">
        <v>2.0099999999999998</v>
      </c>
      <c r="J2" s="4">
        <v>11.66</v>
      </c>
      <c r="K2" s="4">
        <v>64.5</v>
      </c>
      <c r="L2" s="5">
        <f t="shared" ref="L2:L18" si="0">K2*0.9</f>
        <v>58.050000000000004</v>
      </c>
      <c r="M2" s="5" t="b">
        <f t="shared" ref="M2:M13" si="1">L2&gt;C2</f>
        <v>0</v>
      </c>
    </row>
    <row r="3" spans="1:13" ht="20.100000000000001" customHeight="1" x14ac:dyDescent="0.25">
      <c r="A3" s="2" t="s">
        <v>578</v>
      </c>
      <c r="B3" s="2" t="s">
        <v>589</v>
      </c>
      <c r="C3" s="4">
        <v>59.4</v>
      </c>
      <c r="D3" s="4">
        <v>58.2</v>
      </c>
      <c r="E3" s="4">
        <v>59.42</v>
      </c>
      <c r="F3" s="5">
        <v>59.01</v>
      </c>
      <c r="G3" s="6">
        <v>6.609049313675658E-3</v>
      </c>
      <c r="H3" s="4" t="s">
        <v>850</v>
      </c>
      <c r="I3" s="5">
        <v>2.31</v>
      </c>
      <c r="J3" s="4" t="s">
        <v>39</v>
      </c>
      <c r="K3" s="4">
        <v>58.81</v>
      </c>
      <c r="L3" s="5">
        <f t="shared" si="0"/>
        <v>52.929000000000002</v>
      </c>
      <c r="M3" s="5" t="b">
        <f t="shared" si="1"/>
        <v>0</v>
      </c>
    </row>
    <row r="4" spans="1:13" ht="20.100000000000001" customHeight="1" x14ac:dyDescent="0.25">
      <c r="A4" s="2" t="s">
        <v>579</v>
      </c>
      <c r="B4" s="2" t="s">
        <v>590</v>
      </c>
      <c r="C4" s="11">
        <v>49.96</v>
      </c>
      <c r="D4" s="4">
        <v>49.63</v>
      </c>
      <c r="E4" s="4">
        <v>50.09</v>
      </c>
      <c r="F4" s="5">
        <v>50.26</v>
      </c>
      <c r="G4" s="26">
        <v>-5.9689614007162189E-3</v>
      </c>
      <c r="H4" s="6" t="s">
        <v>851</v>
      </c>
      <c r="I4" s="5">
        <v>1.25</v>
      </c>
      <c r="J4" s="4">
        <v>26.67</v>
      </c>
      <c r="K4" s="4">
        <v>44.54</v>
      </c>
      <c r="L4" s="5">
        <f t="shared" si="0"/>
        <v>40.085999999999999</v>
      </c>
      <c r="M4" s="5" t="b">
        <f t="shared" si="1"/>
        <v>0</v>
      </c>
    </row>
    <row r="5" spans="1:13" ht="20.100000000000001" customHeight="1" x14ac:dyDescent="0.25">
      <c r="A5" s="2" t="s">
        <v>580</v>
      </c>
      <c r="B5" s="2" t="s">
        <v>591</v>
      </c>
      <c r="C5" s="20">
        <v>45.59</v>
      </c>
      <c r="D5" s="20" t="s">
        <v>39</v>
      </c>
      <c r="E5" s="20" t="s">
        <v>39</v>
      </c>
      <c r="F5" s="5">
        <v>45.59</v>
      </c>
      <c r="G5" s="26">
        <v>0</v>
      </c>
      <c r="H5" s="6" t="s">
        <v>39</v>
      </c>
      <c r="I5" s="5">
        <v>0</v>
      </c>
      <c r="J5" s="4" t="s">
        <v>39</v>
      </c>
      <c r="K5" s="4">
        <v>40.5</v>
      </c>
      <c r="L5" s="5">
        <f t="shared" si="0"/>
        <v>36.450000000000003</v>
      </c>
      <c r="M5" s="5" t="b">
        <f t="shared" si="1"/>
        <v>0</v>
      </c>
    </row>
    <row r="6" spans="1:13" ht="20.100000000000001" customHeight="1" x14ac:dyDescent="0.25">
      <c r="A6" s="2" t="s">
        <v>581</v>
      </c>
      <c r="B6" s="2" t="s">
        <v>592</v>
      </c>
      <c r="C6" s="4">
        <v>177.19</v>
      </c>
      <c r="D6" s="4">
        <v>175.39</v>
      </c>
      <c r="E6" s="4">
        <v>177.55</v>
      </c>
      <c r="F6" s="5">
        <v>178.19</v>
      </c>
      <c r="G6" s="6">
        <v>-5.6119872046691737E-3</v>
      </c>
      <c r="H6" s="4" t="s">
        <v>852</v>
      </c>
      <c r="I6" s="5">
        <v>0.67</v>
      </c>
      <c r="J6" s="4">
        <v>26.65</v>
      </c>
      <c r="K6" s="4">
        <v>174.5</v>
      </c>
      <c r="L6" s="5">
        <f t="shared" si="0"/>
        <v>157.05000000000001</v>
      </c>
      <c r="M6" s="5" t="b">
        <f t="shared" si="1"/>
        <v>0</v>
      </c>
    </row>
    <row r="7" spans="1:13" ht="20.100000000000001" customHeight="1" x14ac:dyDescent="0.25">
      <c r="A7" s="2" t="s">
        <v>582</v>
      </c>
      <c r="B7" s="2" t="s">
        <v>593</v>
      </c>
      <c r="C7" s="11">
        <v>24.93</v>
      </c>
      <c r="D7" s="4">
        <v>24.49</v>
      </c>
      <c r="E7" s="4">
        <v>24.95</v>
      </c>
      <c r="F7" s="5">
        <v>24.94</v>
      </c>
      <c r="G7" s="26">
        <v>-4.0096230954296563E-4</v>
      </c>
      <c r="H7" s="6" t="s">
        <v>853</v>
      </c>
      <c r="I7" s="5" t="s">
        <v>39</v>
      </c>
      <c r="J7" s="4">
        <v>16.84</v>
      </c>
      <c r="K7" s="4">
        <v>23.76</v>
      </c>
      <c r="L7" s="5">
        <f t="shared" si="0"/>
        <v>21.384</v>
      </c>
      <c r="M7" s="5" t="b">
        <f t="shared" si="1"/>
        <v>0</v>
      </c>
    </row>
    <row r="8" spans="1:13" ht="20.100000000000001" customHeight="1" x14ac:dyDescent="0.25">
      <c r="A8" s="2" t="s">
        <v>522</v>
      </c>
      <c r="B8" s="2" t="s">
        <v>526</v>
      </c>
      <c r="C8" s="4">
        <v>50.26</v>
      </c>
      <c r="D8" s="4">
        <v>49.77</v>
      </c>
      <c r="E8" s="4">
        <v>50.32</v>
      </c>
      <c r="F8" s="5">
        <v>50.24</v>
      </c>
      <c r="G8" s="6">
        <v>3.9808917197444306E-4</v>
      </c>
      <c r="H8" s="4" t="s">
        <v>854</v>
      </c>
      <c r="I8" s="5">
        <v>2.5499999999999998</v>
      </c>
      <c r="J8" s="4">
        <v>24.15</v>
      </c>
      <c r="K8" s="4">
        <v>49.16</v>
      </c>
      <c r="L8" s="5">
        <f t="shared" si="0"/>
        <v>44.244</v>
      </c>
      <c r="M8" s="5" t="b">
        <f t="shared" si="1"/>
        <v>0</v>
      </c>
    </row>
    <row r="9" spans="1:13" ht="20.100000000000001" customHeight="1" x14ac:dyDescent="0.25">
      <c r="A9" s="2" t="s">
        <v>583</v>
      </c>
      <c r="B9" s="2" t="s">
        <v>595</v>
      </c>
      <c r="C9" s="4">
        <v>49.67</v>
      </c>
      <c r="D9" s="4">
        <v>49.15</v>
      </c>
      <c r="E9" s="4">
        <v>49.86</v>
      </c>
      <c r="F9" s="5">
        <v>50.14</v>
      </c>
      <c r="G9" s="6">
        <v>-9.3737534902273399E-3</v>
      </c>
      <c r="H9" s="4" t="s">
        <v>855</v>
      </c>
      <c r="I9" s="5" t="s">
        <v>39</v>
      </c>
      <c r="J9" s="4">
        <v>28.79</v>
      </c>
      <c r="K9" s="4">
        <v>48.64</v>
      </c>
      <c r="L9" s="5">
        <f t="shared" si="0"/>
        <v>43.776000000000003</v>
      </c>
      <c r="M9" s="5" t="b">
        <f t="shared" si="1"/>
        <v>0</v>
      </c>
    </row>
    <row r="10" spans="1:13" ht="20.100000000000001" customHeight="1" x14ac:dyDescent="0.25">
      <c r="A10" s="2" t="s">
        <v>584</v>
      </c>
      <c r="B10" s="2" t="s">
        <v>596</v>
      </c>
      <c r="C10" s="11">
        <v>121.52</v>
      </c>
      <c r="D10" s="4">
        <v>120.86</v>
      </c>
      <c r="E10" s="4">
        <v>121.89</v>
      </c>
      <c r="F10" s="5">
        <v>122.56</v>
      </c>
      <c r="G10" s="26">
        <v>-8.4856396866841242E-3</v>
      </c>
      <c r="H10" s="6" t="s">
        <v>856</v>
      </c>
      <c r="I10" s="5">
        <v>2.06</v>
      </c>
      <c r="J10" s="4">
        <v>20.63</v>
      </c>
      <c r="K10" s="4">
        <v>113.82</v>
      </c>
      <c r="L10" s="5">
        <f t="shared" si="0"/>
        <v>102.438</v>
      </c>
      <c r="M10" s="5" t="b">
        <f t="shared" si="1"/>
        <v>0</v>
      </c>
    </row>
    <row r="11" spans="1:13" ht="20.100000000000001" customHeight="1" x14ac:dyDescent="0.25">
      <c r="A11" s="2" t="s">
        <v>585</v>
      </c>
      <c r="B11" s="2" t="s">
        <v>597</v>
      </c>
      <c r="C11" s="20">
        <v>66.11</v>
      </c>
      <c r="D11" s="20">
        <v>65.3</v>
      </c>
      <c r="E11" s="20">
        <v>66.27</v>
      </c>
      <c r="F11" s="5">
        <v>66.099999999999994</v>
      </c>
      <c r="G11" s="26">
        <v>1.5128593040854941E-4</v>
      </c>
      <c r="H11" s="6" t="s">
        <v>857</v>
      </c>
      <c r="I11" s="5">
        <v>2.7</v>
      </c>
      <c r="J11" s="4">
        <v>11.94</v>
      </c>
      <c r="K11" s="4">
        <v>65.349999999999994</v>
      </c>
      <c r="L11" s="5">
        <f t="shared" si="0"/>
        <v>58.814999999999998</v>
      </c>
      <c r="M11" s="5" t="b">
        <f t="shared" si="1"/>
        <v>0</v>
      </c>
    </row>
    <row r="12" spans="1:13" ht="20.100000000000001" customHeight="1" x14ac:dyDescent="0.25">
      <c r="A12" s="2" t="s">
        <v>123</v>
      </c>
      <c r="B12" s="2" t="s">
        <v>133</v>
      </c>
      <c r="C12" s="20">
        <v>175.06</v>
      </c>
      <c r="D12" s="20">
        <v>174.38</v>
      </c>
      <c r="E12" s="20">
        <v>175.95</v>
      </c>
      <c r="F12" s="5">
        <v>176.59</v>
      </c>
      <c r="G12" s="26">
        <v>-8.6641372671159237E-3</v>
      </c>
      <c r="H12" s="6" t="s">
        <v>843</v>
      </c>
      <c r="I12" s="5">
        <v>2.5099999999999998</v>
      </c>
      <c r="J12" s="4">
        <v>22.34</v>
      </c>
      <c r="K12" s="4">
        <v>171.43</v>
      </c>
      <c r="L12" s="5">
        <f t="shared" si="0"/>
        <v>154.28700000000001</v>
      </c>
      <c r="M12" s="5" t="b">
        <f t="shared" si="1"/>
        <v>0</v>
      </c>
    </row>
    <row r="13" spans="1:13" ht="20.100000000000001" customHeight="1" x14ac:dyDescent="0.25">
      <c r="A13" s="2" t="s">
        <v>586</v>
      </c>
      <c r="B13" s="2" t="s">
        <v>598</v>
      </c>
      <c r="C13" s="20">
        <v>48.53</v>
      </c>
      <c r="D13" s="20">
        <v>48.4</v>
      </c>
      <c r="E13" s="20">
        <v>49.06</v>
      </c>
      <c r="F13" s="5">
        <v>49.26</v>
      </c>
      <c r="G13" s="26">
        <v>-1.4819326025172492E-2</v>
      </c>
      <c r="H13" s="6" t="s">
        <v>858</v>
      </c>
      <c r="I13" s="5">
        <v>2.76</v>
      </c>
      <c r="J13" s="4">
        <v>17.75</v>
      </c>
      <c r="K13" s="4">
        <v>49.98</v>
      </c>
      <c r="L13" s="5">
        <f t="shared" si="0"/>
        <v>44.981999999999999</v>
      </c>
      <c r="M13" s="5" t="b">
        <f t="shared" si="1"/>
        <v>0</v>
      </c>
    </row>
    <row r="14" spans="1:13" ht="20.100000000000001" customHeight="1" x14ac:dyDescent="0.25">
      <c r="A14" s="2" t="s">
        <v>587</v>
      </c>
      <c r="B14" s="2" t="s">
        <v>599</v>
      </c>
      <c r="C14" s="20">
        <v>113.89</v>
      </c>
      <c r="D14" s="20">
        <v>113.27</v>
      </c>
      <c r="E14" s="20">
        <v>114.59</v>
      </c>
      <c r="F14" s="5">
        <v>115.45</v>
      </c>
      <c r="G14" s="26">
        <v>-1.3512343005630163E-2</v>
      </c>
      <c r="H14" s="6" t="s">
        <v>859</v>
      </c>
      <c r="I14" s="5">
        <v>2.5299999999999998</v>
      </c>
      <c r="J14" s="4">
        <v>20.260000000000002</v>
      </c>
      <c r="K14" s="4">
        <v>114.63</v>
      </c>
      <c r="L14" s="5">
        <f t="shared" si="0"/>
        <v>103.167</v>
      </c>
      <c r="M14" s="5" t="b">
        <f t="shared" ref="M14:M18" si="2">L14&gt;C14</f>
        <v>0</v>
      </c>
    </row>
    <row r="15" spans="1:13" ht="20.100000000000001" customHeight="1" x14ac:dyDescent="0.25">
      <c r="A15" s="2" t="s">
        <v>125</v>
      </c>
      <c r="B15" s="2" t="s">
        <v>135</v>
      </c>
      <c r="C15" s="20">
        <v>51.09</v>
      </c>
      <c r="D15" s="20">
        <v>50.85</v>
      </c>
      <c r="E15" s="20">
        <v>51.36</v>
      </c>
      <c r="F15" s="5">
        <v>51.58</v>
      </c>
      <c r="G15" s="26">
        <v>-9.4998061264054846E-3</v>
      </c>
      <c r="H15" s="6" t="s">
        <v>841</v>
      </c>
      <c r="I15" s="5">
        <v>3.68</v>
      </c>
      <c r="J15" s="4">
        <v>18.09</v>
      </c>
      <c r="K15" s="4">
        <v>53.32</v>
      </c>
      <c r="L15" s="5">
        <f t="shared" si="0"/>
        <v>47.988</v>
      </c>
      <c r="M15" s="5" t="b">
        <f t="shared" si="2"/>
        <v>0</v>
      </c>
    </row>
    <row r="16" spans="1:13" ht="20.100000000000001" customHeight="1" x14ac:dyDescent="0.25">
      <c r="A16" s="2" t="s">
        <v>272</v>
      </c>
      <c r="B16" s="2" t="s">
        <v>273</v>
      </c>
      <c r="C16" s="20">
        <v>114.26</v>
      </c>
      <c r="D16" s="20">
        <v>113.49</v>
      </c>
      <c r="E16" s="20">
        <v>114.86</v>
      </c>
      <c r="F16" s="5">
        <v>115.28</v>
      </c>
      <c r="G16" s="26">
        <v>-8.8480222068007975E-3</v>
      </c>
      <c r="H16" s="6" t="s">
        <v>847</v>
      </c>
      <c r="I16" s="5">
        <v>2.09</v>
      </c>
      <c r="J16" s="4">
        <v>18.079999999999998</v>
      </c>
      <c r="K16" s="4">
        <v>114.33</v>
      </c>
      <c r="L16" s="5">
        <f t="shared" si="0"/>
        <v>102.89700000000001</v>
      </c>
      <c r="M16" s="5" t="b">
        <f t="shared" si="2"/>
        <v>0</v>
      </c>
    </row>
    <row r="17" spans="1:13" ht="20.100000000000001" customHeight="1" x14ac:dyDescent="0.25">
      <c r="A17" s="1" t="s">
        <v>119</v>
      </c>
      <c r="B17" s="2" t="s">
        <v>129</v>
      </c>
      <c r="C17" s="20">
        <v>100.1</v>
      </c>
      <c r="D17" s="20">
        <v>99.85</v>
      </c>
      <c r="E17" s="20">
        <v>102.57</v>
      </c>
      <c r="F17" s="5">
        <v>102.71</v>
      </c>
      <c r="G17" s="26">
        <v>-2.5411352351280298E-2</v>
      </c>
      <c r="H17" s="6" t="s">
        <v>846</v>
      </c>
      <c r="I17" s="5">
        <v>2.6</v>
      </c>
      <c r="J17" s="4">
        <v>11.81</v>
      </c>
      <c r="K17" s="4">
        <v>102.73</v>
      </c>
      <c r="L17" s="5">
        <f t="shared" si="0"/>
        <v>92.457000000000008</v>
      </c>
      <c r="M17" s="5" t="b">
        <f t="shared" si="2"/>
        <v>0</v>
      </c>
    </row>
    <row r="18" spans="1:13" ht="20.100000000000001" customHeight="1" x14ac:dyDescent="0.25">
      <c r="A18" s="2" t="s">
        <v>305</v>
      </c>
      <c r="B18" s="2" t="s">
        <v>306</v>
      </c>
      <c r="C18" s="20">
        <v>81.040000000000006</v>
      </c>
      <c r="D18" s="20">
        <v>80.98</v>
      </c>
      <c r="E18" s="20">
        <v>82.12</v>
      </c>
      <c r="F18" s="5">
        <v>82.33</v>
      </c>
      <c r="G18" s="26">
        <v>-1.5668650552653856E-2</v>
      </c>
      <c r="H18" s="6" t="s">
        <v>751</v>
      </c>
      <c r="I18" s="5">
        <v>1.6</v>
      </c>
      <c r="J18" s="4">
        <v>15.27</v>
      </c>
      <c r="K18" s="4">
        <v>87.65</v>
      </c>
      <c r="L18" s="5">
        <f t="shared" si="0"/>
        <v>78.885000000000005</v>
      </c>
      <c r="M18" s="5" t="b">
        <f t="shared" si="2"/>
        <v>0</v>
      </c>
    </row>
  </sheetData>
  <conditionalFormatting sqref="G9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8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33" t="s">
        <v>292</v>
      </c>
      <c r="B2" s="33" t="s">
        <v>295</v>
      </c>
      <c r="C2" s="34">
        <v>87.86</v>
      </c>
      <c r="D2" s="34">
        <v>87.45</v>
      </c>
      <c r="E2" s="34">
        <v>88.16</v>
      </c>
      <c r="F2" s="35">
        <v>87.88</v>
      </c>
      <c r="G2" s="36">
        <v>-2.2758306781970895E-4</v>
      </c>
      <c r="H2" s="34" t="s">
        <v>860</v>
      </c>
      <c r="I2" s="35">
        <v>2.2799999999999998</v>
      </c>
      <c r="J2" s="34">
        <v>12.97</v>
      </c>
      <c r="K2" s="34">
        <v>83.76</v>
      </c>
      <c r="L2" s="5">
        <f t="shared" ref="L2:L12" si="0">K2*0.9</f>
        <v>75.384</v>
      </c>
      <c r="M2" s="5" t="b">
        <f t="shared" ref="M2:M12" si="1">L2&gt;C2</f>
        <v>0</v>
      </c>
    </row>
    <row r="3" spans="1:13" ht="20.100000000000001" customHeight="1" x14ac:dyDescent="0.25">
      <c r="A3" s="1" t="s">
        <v>86</v>
      </c>
      <c r="B3" s="2" t="s">
        <v>93</v>
      </c>
      <c r="C3" s="4">
        <v>67.41</v>
      </c>
      <c r="D3" s="4">
        <v>67.239999999999995</v>
      </c>
      <c r="E3" s="4">
        <v>67.77</v>
      </c>
      <c r="F3" s="5">
        <v>67.819999999999993</v>
      </c>
      <c r="G3" s="6">
        <v>-6.0454143320553908E-3</v>
      </c>
      <c r="H3" s="4" t="s">
        <v>861</v>
      </c>
      <c r="I3" s="5">
        <v>1.96</v>
      </c>
      <c r="J3" s="4">
        <v>16.98</v>
      </c>
      <c r="K3" s="4">
        <v>67.540000000000006</v>
      </c>
      <c r="L3" s="5">
        <f t="shared" si="0"/>
        <v>60.786000000000008</v>
      </c>
      <c r="M3" s="5" t="b">
        <f t="shared" si="1"/>
        <v>0</v>
      </c>
    </row>
    <row r="4" spans="1:13" ht="20.100000000000001" customHeight="1" x14ac:dyDescent="0.25">
      <c r="A4" s="33" t="s">
        <v>288</v>
      </c>
      <c r="B4" s="33" t="s">
        <v>600</v>
      </c>
      <c r="C4" s="34">
        <v>124.71</v>
      </c>
      <c r="D4" s="34">
        <v>123.88</v>
      </c>
      <c r="E4" s="34">
        <v>125.47</v>
      </c>
      <c r="F4" s="35">
        <v>125.42</v>
      </c>
      <c r="G4" s="36">
        <v>-5.660979110189826E-3</v>
      </c>
      <c r="H4" s="34" t="s">
        <v>862</v>
      </c>
      <c r="I4" s="35">
        <v>0</v>
      </c>
      <c r="J4" s="34">
        <v>20.66</v>
      </c>
      <c r="K4" s="34">
        <v>124.03</v>
      </c>
      <c r="L4" s="5">
        <f t="shared" si="0"/>
        <v>111.62700000000001</v>
      </c>
      <c r="M4" s="5" t="b">
        <f t="shared" si="1"/>
        <v>0</v>
      </c>
    </row>
    <row r="5" spans="1:13" ht="20.100000000000001" customHeight="1" x14ac:dyDescent="0.25">
      <c r="A5" s="33" t="s">
        <v>290</v>
      </c>
      <c r="B5" s="33" t="s">
        <v>294</v>
      </c>
      <c r="C5" s="34">
        <v>74.73</v>
      </c>
      <c r="D5" s="34">
        <v>74.44</v>
      </c>
      <c r="E5" s="34">
        <v>75.680000000000007</v>
      </c>
      <c r="F5" s="35">
        <v>75.73</v>
      </c>
      <c r="G5" s="36">
        <v>-1.3204806549584048E-2</v>
      </c>
      <c r="H5" s="34" t="s">
        <v>863</v>
      </c>
      <c r="I5" s="35">
        <v>2.54</v>
      </c>
      <c r="J5" s="34">
        <v>19.36</v>
      </c>
      <c r="K5" s="34">
        <v>70.31</v>
      </c>
      <c r="L5" s="5">
        <f t="shared" si="0"/>
        <v>63.279000000000003</v>
      </c>
      <c r="M5" s="5" t="b">
        <f t="shared" si="1"/>
        <v>0</v>
      </c>
    </row>
    <row r="6" spans="1:13" ht="20.100000000000001" customHeight="1" x14ac:dyDescent="0.25">
      <c r="A6" s="2" t="s">
        <v>289</v>
      </c>
      <c r="B6" s="2" t="s">
        <v>296</v>
      </c>
      <c r="C6" s="4">
        <v>41.8</v>
      </c>
      <c r="D6" s="4">
        <v>41.61</v>
      </c>
      <c r="E6" s="4">
        <v>42.06</v>
      </c>
      <c r="F6" s="5">
        <v>42.15</v>
      </c>
      <c r="G6" s="6">
        <v>-8.3036773428232843E-3</v>
      </c>
      <c r="H6" s="4" t="s">
        <v>864</v>
      </c>
      <c r="I6" s="5">
        <v>1.99</v>
      </c>
      <c r="J6" s="4">
        <v>12.82</v>
      </c>
      <c r="K6" s="4">
        <v>43.57</v>
      </c>
      <c r="L6" s="5">
        <f t="shared" si="0"/>
        <v>39.213000000000001</v>
      </c>
      <c r="M6" s="5" t="b">
        <f t="shared" si="1"/>
        <v>0</v>
      </c>
    </row>
    <row r="7" spans="1:13" ht="20.100000000000001" customHeight="1" x14ac:dyDescent="0.25">
      <c r="A7" s="2" t="s">
        <v>89</v>
      </c>
      <c r="B7" s="2" t="s">
        <v>92</v>
      </c>
      <c r="C7" s="4">
        <v>31.13</v>
      </c>
      <c r="D7" s="4">
        <v>30.92</v>
      </c>
      <c r="E7" s="4">
        <v>31.44</v>
      </c>
      <c r="F7" s="5">
        <v>31.09</v>
      </c>
      <c r="G7" s="6">
        <v>1.2865873271148006E-3</v>
      </c>
      <c r="H7" s="4" t="s">
        <v>865</v>
      </c>
      <c r="I7" s="5">
        <v>2.89</v>
      </c>
      <c r="J7" s="4">
        <v>17.29</v>
      </c>
      <c r="K7" s="4">
        <v>33.15</v>
      </c>
      <c r="L7" s="5">
        <f t="shared" si="0"/>
        <v>29.835000000000001</v>
      </c>
      <c r="M7" s="5" t="b">
        <f t="shared" si="1"/>
        <v>0</v>
      </c>
    </row>
    <row r="8" spans="1:13" ht="20.100000000000001" customHeight="1" x14ac:dyDescent="0.25">
      <c r="A8" s="2" t="s">
        <v>88</v>
      </c>
      <c r="B8" s="2" t="s">
        <v>91</v>
      </c>
      <c r="C8" s="4">
        <v>79.42</v>
      </c>
      <c r="D8" s="4">
        <v>78.989999999999995</v>
      </c>
      <c r="E8" s="4">
        <v>80.040000000000006</v>
      </c>
      <c r="F8" s="5">
        <v>80.45</v>
      </c>
      <c r="G8" s="6">
        <v>-1.280298321939094E-2</v>
      </c>
      <c r="H8" s="4" t="s">
        <v>866</v>
      </c>
      <c r="I8" s="5">
        <v>3.52</v>
      </c>
      <c r="J8" s="4">
        <v>8.16</v>
      </c>
      <c r="K8" s="4">
        <v>75.05</v>
      </c>
      <c r="L8" s="5">
        <f t="shared" si="0"/>
        <v>67.545000000000002</v>
      </c>
      <c r="M8" s="5" t="b">
        <f t="shared" si="1"/>
        <v>0</v>
      </c>
    </row>
    <row r="9" spans="1:13" ht="20.100000000000001" customHeight="1" x14ac:dyDescent="0.25">
      <c r="A9" s="2" t="s">
        <v>87</v>
      </c>
      <c r="B9" s="2" t="s">
        <v>90</v>
      </c>
      <c r="C9" s="4">
        <v>114.67</v>
      </c>
      <c r="D9" s="4">
        <v>113.6</v>
      </c>
      <c r="E9" s="4">
        <v>115.1</v>
      </c>
      <c r="F9" s="5">
        <v>114.94</v>
      </c>
      <c r="G9" s="6">
        <v>-2.3490516791369064E-3</v>
      </c>
      <c r="H9" s="4" t="s">
        <v>867</v>
      </c>
      <c r="I9" s="5">
        <v>2.36</v>
      </c>
      <c r="J9" s="4">
        <v>11.04</v>
      </c>
      <c r="K9" s="4">
        <v>114.84</v>
      </c>
      <c r="L9" s="5">
        <f t="shared" si="0"/>
        <v>103.35600000000001</v>
      </c>
      <c r="M9" s="5" t="b">
        <f t="shared" si="1"/>
        <v>0</v>
      </c>
    </row>
    <row r="10" spans="1:13" ht="20.100000000000001" customHeight="1" x14ac:dyDescent="0.25">
      <c r="A10" s="2" t="s">
        <v>297</v>
      </c>
      <c r="B10" s="2" t="s">
        <v>601</v>
      </c>
      <c r="C10" s="4">
        <v>33.450000000000003</v>
      </c>
      <c r="D10" s="4">
        <v>33.36</v>
      </c>
      <c r="E10" s="4">
        <v>33.729999999999997</v>
      </c>
      <c r="F10" s="5">
        <v>33.86</v>
      </c>
      <c r="G10" s="6">
        <v>-1.2108682811576982E-2</v>
      </c>
      <c r="H10" s="4" t="s">
        <v>868</v>
      </c>
      <c r="I10" s="5">
        <v>2.36</v>
      </c>
      <c r="J10" s="4">
        <v>30.86</v>
      </c>
      <c r="K10" s="4">
        <v>34.229999999999997</v>
      </c>
      <c r="L10" s="5">
        <f t="shared" si="0"/>
        <v>30.806999999999999</v>
      </c>
      <c r="M10" s="5" t="b">
        <f t="shared" si="1"/>
        <v>0</v>
      </c>
    </row>
    <row r="11" spans="1:13" ht="20.100000000000001" customHeight="1" x14ac:dyDescent="0.25">
      <c r="A11" s="2" t="s">
        <v>298</v>
      </c>
      <c r="B11" s="2" t="s">
        <v>299</v>
      </c>
      <c r="C11" s="4">
        <v>57.9</v>
      </c>
      <c r="D11" s="4">
        <v>57.72</v>
      </c>
      <c r="E11" s="4">
        <v>58.26</v>
      </c>
      <c r="F11" s="5">
        <v>58.59</v>
      </c>
      <c r="G11" s="6">
        <v>-1.1776753712237666E-2</v>
      </c>
      <c r="H11" s="4" t="s">
        <v>869</v>
      </c>
      <c r="I11" s="5">
        <v>2.2000000000000002</v>
      </c>
      <c r="J11" s="4" t="s">
        <v>39</v>
      </c>
      <c r="K11" s="4">
        <v>55.39</v>
      </c>
      <c r="L11" s="5">
        <f t="shared" si="0"/>
        <v>49.850999999999999</v>
      </c>
      <c r="M11" s="5" t="b">
        <f t="shared" si="1"/>
        <v>0</v>
      </c>
    </row>
    <row r="12" spans="1:13" ht="20.100000000000001" customHeight="1" x14ac:dyDescent="0.25">
      <c r="A12" s="33" t="s">
        <v>291</v>
      </c>
      <c r="B12" s="33" t="s">
        <v>293</v>
      </c>
      <c r="C12" s="34">
        <v>812.08</v>
      </c>
      <c r="D12" s="34">
        <v>810.52</v>
      </c>
      <c r="E12" s="34">
        <v>819.86</v>
      </c>
      <c r="F12" s="35">
        <v>819.92</v>
      </c>
      <c r="G12" s="36">
        <v>-9.5619084788758878E-3</v>
      </c>
      <c r="H12" s="34" t="s">
        <v>594</v>
      </c>
      <c r="I12" s="35">
        <v>0.12</v>
      </c>
      <c r="J12" s="34">
        <v>8.01</v>
      </c>
      <c r="K12" s="34">
        <v>813.13</v>
      </c>
      <c r="L12" s="5">
        <f t="shared" si="0"/>
        <v>731.81700000000001</v>
      </c>
      <c r="M12" s="5" t="b">
        <f t="shared" si="1"/>
        <v>0</v>
      </c>
    </row>
    <row r="13" spans="1:13" ht="20.100000000000001" customHeight="1" x14ac:dyDescent="0.25">
      <c r="A13" s="2" t="s">
        <v>677</v>
      </c>
      <c r="B13" s="33" t="s">
        <v>678</v>
      </c>
      <c r="C13" s="34">
        <v>49.65</v>
      </c>
      <c r="D13" s="34">
        <v>49.4</v>
      </c>
      <c r="E13" s="34">
        <v>50.14</v>
      </c>
      <c r="F13" s="35">
        <v>50.02</v>
      </c>
      <c r="G13" s="36">
        <v>-7.39704118352668E-3</v>
      </c>
      <c r="H13" s="34" t="s">
        <v>870</v>
      </c>
      <c r="I13" s="35">
        <v>3.08</v>
      </c>
      <c r="J13" s="34">
        <v>22.51</v>
      </c>
      <c r="K13" s="34">
        <v>46.75</v>
      </c>
      <c r="L13" s="5">
        <f t="shared" ref="L13" si="2">K13*0.9</f>
        <v>42.075000000000003</v>
      </c>
      <c r="M13" s="5" t="b">
        <f t="shared" ref="M13" si="3">L13&gt;C13</f>
        <v>0</v>
      </c>
    </row>
  </sheetData>
  <conditionalFormatting sqref="G1:G13">
    <cfRule type="colorScale" priority="7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162</v>
      </c>
      <c r="B2" s="2" t="s">
        <v>166</v>
      </c>
      <c r="C2" s="4">
        <v>51.79</v>
      </c>
      <c r="D2" s="4">
        <v>51.13</v>
      </c>
      <c r="E2" s="4">
        <v>52.35</v>
      </c>
      <c r="F2" s="5">
        <v>52.24</v>
      </c>
      <c r="G2" s="6">
        <v>-8.614088820827006E-3</v>
      </c>
      <c r="H2" s="4" t="s">
        <v>871</v>
      </c>
      <c r="I2" s="5">
        <v>1.38</v>
      </c>
      <c r="J2" s="4">
        <v>15.32</v>
      </c>
      <c r="K2" s="4">
        <v>53.72</v>
      </c>
      <c r="L2" s="5">
        <f t="shared" ref="L2:L8" si="0">K2*0.9</f>
        <v>48.347999999999999</v>
      </c>
      <c r="M2" s="5" t="b">
        <f t="shared" ref="M2:M8" si="1">L2&gt;C2</f>
        <v>0</v>
      </c>
    </row>
    <row r="3" spans="1:13" ht="20.100000000000001" customHeight="1" x14ac:dyDescent="0.25">
      <c r="A3" s="2" t="s">
        <v>160</v>
      </c>
      <c r="B3" s="2" t="s">
        <v>167</v>
      </c>
      <c r="C3" s="4">
        <v>65.92</v>
      </c>
      <c r="D3" s="4">
        <v>65.28</v>
      </c>
      <c r="E3" s="4">
        <v>66.14</v>
      </c>
      <c r="F3" s="5">
        <v>66.239999999999995</v>
      </c>
      <c r="G3" s="6">
        <v>-4.8309178743960327E-3</v>
      </c>
      <c r="H3" s="4" t="s">
        <v>872</v>
      </c>
      <c r="I3" s="5">
        <v>1.69</v>
      </c>
      <c r="J3" s="4">
        <v>20.04</v>
      </c>
      <c r="K3" s="4">
        <v>63.35</v>
      </c>
      <c r="L3" s="5">
        <f t="shared" si="0"/>
        <v>57.015000000000001</v>
      </c>
      <c r="M3" s="5" t="b">
        <f t="shared" si="1"/>
        <v>0</v>
      </c>
    </row>
    <row r="4" spans="1:13" ht="20.100000000000001" customHeight="1" x14ac:dyDescent="0.25">
      <c r="A4" s="81" t="s">
        <v>159</v>
      </c>
      <c r="B4" s="2" t="s">
        <v>168</v>
      </c>
      <c r="C4" s="4">
        <v>92.56</v>
      </c>
      <c r="D4" s="4">
        <v>91.8</v>
      </c>
      <c r="E4" s="4">
        <v>92.74</v>
      </c>
      <c r="F4" s="5">
        <v>92.5</v>
      </c>
      <c r="G4" s="6">
        <v>6.4864864864867323E-4</v>
      </c>
      <c r="H4" s="4" t="s">
        <v>758</v>
      </c>
      <c r="I4" s="5">
        <v>1.54</v>
      </c>
      <c r="J4" s="4">
        <v>16.64</v>
      </c>
      <c r="K4" s="4">
        <v>98.42</v>
      </c>
      <c r="L4" s="5">
        <f t="shared" si="0"/>
        <v>88.578000000000003</v>
      </c>
      <c r="M4" s="5" t="b">
        <f t="shared" si="1"/>
        <v>0</v>
      </c>
    </row>
    <row r="5" spans="1:13" ht="20.100000000000001" customHeight="1" x14ac:dyDescent="0.25">
      <c r="A5" s="2" t="s">
        <v>163</v>
      </c>
      <c r="B5" s="2" t="s">
        <v>169</v>
      </c>
      <c r="C5" s="4">
        <v>24.35</v>
      </c>
      <c r="D5" s="4">
        <v>23.95</v>
      </c>
      <c r="E5" s="4">
        <v>24.39</v>
      </c>
      <c r="F5" s="5">
        <v>24.41</v>
      </c>
      <c r="G5" s="6">
        <v>-2.4580090126996609E-3</v>
      </c>
      <c r="H5" s="4" t="s">
        <v>873</v>
      </c>
      <c r="I5" s="5" t="s">
        <v>39</v>
      </c>
      <c r="J5" s="4">
        <v>13.24</v>
      </c>
      <c r="K5" s="4">
        <v>26.82</v>
      </c>
      <c r="L5" s="5">
        <f t="shared" si="0"/>
        <v>24.138000000000002</v>
      </c>
      <c r="M5" s="5" t="b">
        <f t="shared" si="1"/>
        <v>0</v>
      </c>
    </row>
    <row r="6" spans="1:13" ht="20.100000000000001" customHeight="1" x14ac:dyDescent="0.25">
      <c r="A6" s="2" t="s">
        <v>161</v>
      </c>
      <c r="B6" s="2" t="s">
        <v>170</v>
      </c>
      <c r="C6" s="4">
        <v>23.9</v>
      </c>
      <c r="D6" s="4">
        <v>23.33</v>
      </c>
      <c r="E6" s="4">
        <v>23.94</v>
      </c>
      <c r="F6" s="5">
        <v>23.84</v>
      </c>
      <c r="G6" s="6">
        <v>2.5167785234898794E-3</v>
      </c>
      <c r="H6" s="4" t="s">
        <v>874</v>
      </c>
      <c r="I6" s="5">
        <v>1.52</v>
      </c>
      <c r="J6" s="4">
        <v>16.88</v>
      </c>
      <c r="K6" s="4">
        <v>27.75</v>
      </c>
      <c r="L6" s="5">
        <f t="shared" si="0"/>
        <v>24.975000000000001</v>
      </c>
      <c r="M6" s="5" t="b">
        <f t="shared" si="1"/>
        <v>1</v>
      </c>
    </row>
    <row r="7" spans="1:13" ht="20.100000000000001" customHeight="1" x14ac:dyDescent="0.25">
      <c r="A7" s="2" t="s">
        <v>165</v>
      </c>
      <c r="B7" s="2" t="s">
        <v>171</v>
      </c>
      <c r="C7" s="4">
        <v>13.64</v>
      </c>
      <c r="D7" s="4">
        <v>13.47</v>
      </c>
      <c r="E7" s="4">
        <v>13.69</v>
      </c>
      <c r="F7" s="5">
        <v>13.64</v>
      </c>
      <c r="G7" s="6">
        <v>0</v>
      </c>
      <c r="H7" s="4" t="s">
        <v>875</v>
      </c>
      <c r="I7" s="5">
        <v>1.47</v>
      </c>
      <c r="J7" s="4">
        <v>44.72</v>
      </c>
      <c r="K7" s="4">
        <v>12.37</v>
      </c>
      <c r="L7" s="5">
        <f t="shared" si="0"/>
        <v>11.132999999999999</v>
      </c>
      <c r="M7" s="5" t="b">
        <f t="shared" si="1"/>
        <v>0</v>
      </c>
    </row>
    <row r="8" spans="1:13" ht="20.100000000000001" customHeight="1" x14ac:dyDescent="0.25">
      <c r="A8" s="2" t="s">
        <v>164</v>
      </c>
      <c r="B8" s="2" t="s">
        <v>172</v>
      </c>
      <c r="C8" s="4">
        <v>37</v>
      </c>
      <c r="D8" s="4">
        <v>36.69</v>
      </c>
      <c r="E8" s="4">
        <v>37.35</v>
      </c>
      <c r="F8" s="5">
        <v>37.270000000000003</v>
      </c>
      <c r="G8" s="6">
        <v>-7.2444325194527259E-3</v>
      </c>
      <c r="H8" s="4" t="s">
        <v>876</v>
      </c>
      <c r="I8" s="5">
        <v>4.29</v>
      </c>
      <c r="J8" s="4">
        <v>7.12</v>
      </c>
      <c r="K8" s="4">
        <v>41.55</v>
      </c>
      <c r="L8" s="5">
        <f t="shared" si="0"/>
        <v>37.394999999999996</v>
      </c>
      <c r="M8" s="5" t="b">
        <f t="shared" si="1"/>
        <v>1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14"/>
  <sheetViews>
    <sheetView workbookViewId="0">
      <selection activeCell="R10" sqref="R10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1" t="s">
        <v>117</v>
      </c>
      <c r="B2" s="2" t="s">
        <v>127</v>
      </c>
      <c r="C2" s="4">
        <v>9.44</v>
      </c>
      <c r="D2" s="4">
        <v>9.34</v>
      </c>
      <c r="E2" s="4">
        <v>9.4700000000000006</v>
      </c>
      <c r="F2" s="5">
        <v>9.4700000000000006</v>
      </c>
      <c r="G2" s="6">
        <v>-3.1678986272440481E-3</v>
      </c>
      <c r="H2" s="4" t="s">
        <v>877</v>
      </c>
      <c r="I2" s="5">
        <v>1.27</v>
      </c>
      <c r="J2" s="4" t="s">
        <v>39</v>
      </c>
      <c r="K2" s="4">
        <v>9.91</v>
      </c>
      <c r="L2" s="5">
        <f t="shared" ref="L2:L14" si="0">K2*0.9</f>
        <v>8.9190000000000005</v>
      </c>
      <c r="M2" s="5" t="b">
        <f t="shared" ref="M2:M14" si="1">L2&gt;C2</f>
        <v>0</v>
      </c>
    </row>
    <row r="3" spans="1:13" ht="20.100000000000001" customHeight="1" x14ac:dyDescent="0.25">
      <c r="A3" s="2" t="s">
        <v>156</v>
      </c>
      <c r="B3" s="2" t="s">
        <v>157</v>
      </c>
      <c r="C3" s="20">
        <v>9.94</v>
      </c>
      <c r="D3" s="20">
        <v>9.51</v>
      </c>
      <c r="E3" s="20">
        <v>9.99</v>
      </c>
      <c r="F3" s="5">
        <v>9.7799999999999994</v>
      </c>
      <c r="G3" s="26">
        <v>1.6359918200409013E-2</v>
      </c>
      <c r="H3" s="6" t="s">
        <v>878</v>
      </c>
      <c r="I3" s="5">
        <v>0</v>
      </c>
      <c r="J3" s="4" t="s">
        <v>39</v>
      </c>
      <c r="K3" s="4">
        <v>11.11</v>
      </c>
      <c r="L3" s="5">
        <f t="shared" si="0"/>
        <v>9.9990000000000006</v>
      </c>
      <c r="M3" s="5" t="b">
        <f t="shared" si="1"/>
        <v>1</v>
      </c>
    </row>
    <row r="4" spans="1:13" ht="20.100000000000001" customHeight="1" x14ac:dyDescent="0.25">
      <c r="A4" s="27" t="s">
        <v>238</v>
      </c>
      <c r="B4" s="2" t="s">
        <v>239</v>
      </c>
      <c r="C4" s="20">
        <v>15.91</v>
      </c>
      <c r="D4" s="20">
        <v>15.72</v>
      </c>
      <c r="E4" s="20">
        <v>16.25</v>
      </c>
      <c r="F4" s="5">
        <v>16.059999999999999</v>
      </c>
      <c r="G4" s="26">
        <v>-9.3399750933996634E-3</v>
      </c>
      <c r="H4" s="6" t="s">
        <v>879</v>
      </c>
      <c r="I4" s="5">
        <v>1.23</v>
      </c>
      <c r="J4" s="4" t="s">
        <v>39</v>
      </c>
      <c r="K4" s="4">
        <v>18.02</v>
      </c>
      <c r="L4" s="5">
        <f t="shared" si="0"/>
        <v>16.218</v>
      </c>
      <c r="M4" s="5" t="b">
        <f t="shared" si="1"/>
        <v>1</v>
      </c>
    </row>
    <row r="5" spans="1:13" ht="20.100000000000001" customHeight="1" x14ac:dyDescent="0.25">
      <c r="A5" s="2" t="s">
        <v>343</v>
      </c>
      <c r="B5" s="2" t="s">
        <v>345</v>
      </c>
      <c r="C5" s="20">
        <v>5.92</v>
      </c>
      <c r="D5" s="20">
        <v>5.72</v>
      </c>
      <c r="E5" s="20">
        <v>5.93</v>
      </c>
      <c r="F5" s="5">
        <v>5.83</v>
      </c>
      <c r="G5" s="26">
        <v>1.5437392795883338E-2</v>
      </c>
      <c r="H5" s="6" t="s">
        <v>880</v>
      </c>
      <c r="I5" s="5">
        <v>0</v>
      </c>
      <c r="J5" s="4" t="s">
        <v>39</v>
      </c>
      <c r="K5" s="4">
        <v>7.06</v>
      </c>
      <c r="L5" s="5">
        <f t="shared" si="0"/>
        <v>6.3540000000000001</v>
      </c>
      <c r="M5" s="5" t="b">
        <f t="shared" si="1"/>
        <v>1</v>
      </c>
    </row>
    <row r="6" spans="1:13" ht="20.100000000000001" customHeight="1" x14ac:dyDescent="0.25">
      <c r="A6" s="2" t="s">
        <v>344</v>
      </c>
      <c r="B6" s="2" t="s">
        <v>346</v>
      </c>
      <c r="C6" s="20">
        <v>45.74</v>
      </c>
      <c r="D6" s="20">
        <v>45.18</v>
      </c>
      <c r="E6" s="20">
        <v>46.12</v>
      </c>
      <c r="F6" s="5">
        <v>45.62</v>
      </c>
      <c r="G6" s="26">
        <v>2.6304252520825198E-3</v>
      </c>
      <c r="H6" s="6" t="s">
        <v>780</v>
      </c>
      <c r="I6" s="5">
        <v>3.29</v>
      </c>
      <c r="J6" s="4">
        <v>31.35</v>
      </c>
      <c r="K6" s="4">
        <v>49.22</v>
      </c>
      <c r="L6" s="5">
        <f t="shared" si="0"/>
        <v>44.298000000000002</v>
      </c>
      <c r="M6" s="5" t="b">
        <f t="shared" si="1"/>
        <v>0</v>
      </c>
    </row>
    <row r="7" spans="1:13" ht="20.100000000000001" customHeight="1" x14ac:dyDescent="0.25">
      <c r="A7" s="2" t="s">
        <v>347</v>
      </c>
      <c r="B7" s="2" t="s">
        <v>348</v>
      </c>
      <c r="C7" s="20">
        <v>23.49</v>
      </c>
      <c r="D7" s="20">
        <v>23.44</v>
      </c>
      <c r="E7" s="20">
        <v>23.81</v>
      </c>
      <c r="F7" s="5">
        <v>23.66</v>
      </c>
      <c r="G7" s="26">
        <v>-7.1851225697380262E-3</v>
      </c>
      <c r="H7" s="6" t="s">
        <v>881</v>
      </c>
      <c r="I7" s="5">
        <v>2.37</v>
      </c>
      <c r="J7" s="4">
        <v>479.39</v>
      </c>
      <c r="K7" s="4">
        <v>24.4</v>
      </c>
      <c r="L7" s="5">
        <f t="shared" si="0"/>
        <v>21.96</v>
      </c>
      <c r="M7" s="5" t="b">
        <f t="shared" si="1"/>
        <v>0</v>
      </c>
    </row>
    <row r="8" spans="1:13" ht="20.100000000000001" customHeight="1" x14ac:dyDescent="0.25">
      <c r="A8" s="2" t="s">
        <v>341</v>
      </c>
      <c r="B8" s="2" t="s">
        <v>342</v>
      </c>
      <c r="C8" s="20">
        <v>9.02</v>
      </c>
      <c r="D8" s="20">
        <v>8.85</v>
      </c>
      <c r="E8" s="20">
        <v>9.0299999999999994</v>
      </c>
      <c r="F8" s="5">
        <v>8.93</v>
      </c>
      <c r="G8" s="26">
        <v>1.0078387458006703E-2</v>
      </c>
      <c r="H8" s="6" t="s">
        <v>882</v>
      </c>
      <c r="I8" s="5">
        <v>0</v>
      </c>
      <c r="J8" s="4">
        <v>360.8</v>
      </c>
      <c r="K8" s="4">
        <v>8.3800000000000008</v>
      </c>
      <c r="L8" s="5">
        <f t="shared" si="0"/>
        <v>7.5420000000000007</v>
      </c>
      <c r="M8" s="5" t="b">
        <f t="shared" si="1"/>
        <v>0</v>
      </c>
    </row>
    <row r="9" spans="1:13" ht="20.100000000000001" customHeight="1" x14ac:dyDescent="0.25">
      <c r="A9" s="2" t="s">
        <v>430</v>
      </c>
      <c r="B9" s="2" t="s">
        <v>431</v>
      </c>
      <c r="C9" s="20">
        <v>83.32</v>
      </c>
      <c r="D9" s="20">
        <v>81.45</v>
      </c>
      <c r="E9" s="20">
        <v>83.44</v>
      </c>
      <c r="F9" s="5">
        <v>83.05</v>
      </c>
      <c r="G9" s="26">
        <v>3.2510535821793623E-3</v>
      </c>
      <c r="H9" s="6" t="s">
        <v>757</v>
      </c>
      <c r="I9" s="5">
        <v>2.17</v>
      </c>
      <c r="J9" s="4">
        <v>16.84</v>
      </c>
      <c r="K9" s="4">
        <v>85.98</v>
      </c>
      <c r="L9" s="5">
        <f t="shared" si="0"/>
        <v>77.382000000000005</v>
      </c>
      <c r="M9" s="5" t="b">
        <f t="shared" si="1"/>
        <v>0</v>
      </c>
    </row>
    <row r="10" spans="1:13" ht="20.100000000000001" customHeight="1" x14ac:dyDescent="0.25">
      <c r="A10" s="2" t="s">
        <v>512</v>
      </c>
      <c r="B10" s="2" t="s">
        <v>516</v>
      </c>
      <c r="C10" s="20">
        <v>15.77</v>
      </c>
      <c r="D10" s="20">
        <v>15.62</v>
      </c>
      <c r="E10" s="20">
        <v>15.89</v>
      </c>
      <c r="F10" s="5">
        <v>15.94</v>
      </c>
      <c r="G10" s="26">
        <v>-1.0664993726474274E-2</v>
      </c>
      <c r="H10" s="6" t="s">
        <v>883</v>
      </c>
      <c r="I10" s="5">
        <v>2.0099999999999998</v>
      </c>
      <c r="J10" s="4" t="s">
        <v>39</v>
      </c>
      <c r="K10" s="4">
        <v>15.39</v>
      </c>
      <c r="L10" s="5">
        <f t="shared" si="0"/>
        <v>13.851000000000001</v>
      </c>
      <c r="M10" s="5" t="b">
        <f t="shared" si="1"/>
        <v>0</v>
      </c>
    </row>
    <row r="11" spans="1:13" ht="20.100000000000001" customHeight="1" x14ac:dyDescent="0.25">
      <c r="A11" s="2" t="s">
        <v>513</v>
      </c>
      <c r="B11" s="2" t="s">
        <v>517</v>
      </c>
      <c r="C11" s="20">
        <v>173.95</v>
      </c>
      <c r="D11" s="20">
        <v>173.54</v>
      </c>
      <c r="E11" s="20">
        <v>178.21</v>
      </c>
      <c r="F11" s="5">
        <v>177.83</v>
      </c>
      <c r="G11" s="26">
        <v>-2.1818590788955879E-2</v>
      </c>
      <c r="H11" s="6" t="s">
        <v>884</v>
      </c>
      <c r="I11" s="5">
        <v>0.95</v>
      </c>
      <c r="J11" s="4">
        <v>30.99</v>
      </c>
      <c r="K11" s="4">
        <v>180.08</v>
      </c>
      <c r="L11" s="5">
        <f t="shared" si="0"/>
        <v>162.072</v>
      </c>
      <c r="M11" s="5" t="b">
        <f t="shared" si="1"/>
        <v>0</v>
      </c>
    </row>
    <row r="12" spans="1:13" ht="20.100000000000001" customHeight="1" x14ac:dyDescent="0.25">
      <c r="A12" s="2" t="s">
        <v>514</v>
      </c>
      <c r="B12" s="2" t="s">
        <v>518</v>
      </c>
      <c r="C12" s="20">
        <v>18.21</v>
      </c>
      <c r="D12" s="20">
        <v>18.149999999999999</v>
      </c>
      <c r="E12" s="20">
        <v>18.739999999999998</v>
      </c>
      <c r="F12" s="5">
        <v>18.29</v>
      </c>
      <c r="G12" s="26">
        <v>-4.3739748496445215E-3</v>
      </c>
      <c r="H12" s="6" t="s">
        <v>885</v>
      </c>
      <c r="I12" s="5" t="s">
        <v>39</v>
      </c>
      <c r="J12" s="4">
        <v>54.68</v>
      </c>
      <c r="K12" s="4">
        <v>20.420000000000002</v>
      </c>
      <c r="L12" s="5">
        <f t="shared" si="0"/>
        <v>18.378000000000004</v>
      </c>
      <c r="M12" s="5" t="b">
        <f t="shared" si="1"/>
        <v>1</v>
      </c>
    </row>
    <row r="13" spans="1:13" ht="20.100000000000001" customHeight="1" x14ac:dyDescent="0.25">
      <c r="A13" s="2" t="s">
        <v>515</v>
      </c>
      <c r="B13" s="2" t="s">
        <v>519</v>
      </c>
      <c r="C13" s="20">
        <v>108.34</v>
      </c>
      <c r="D13" s="20">
        <v>108.19</v>
      </c>
      <c r="E13" s="20">
        <v>110.14</v>
      </c>
      <c r="F13" s="5">
        <v>109.75</v>
      </c>
      <c r="G13" s="26">
        <v>-1.2847380410022749E-2</v>
      </c>
      <c r="H13" s="6" t="s">
        <v>886</v>
      </c>
      <c r="I13" s="5">
        <v>0.73</v>
      </c>
      <c r="J13" s="4">
        <v>41.34</v>
      </c>
      <c r="K13" s="4">
        <v>113.98</v>
      </c>
      <c r="L13" s="5">
        <f t="shared" si="0"/>
        <v>102.58200000000001</v>
      </c>
      <c r="M13" s="5" t="b">
        <f t="shared" si="1"/>
        <v>0</v>
      </c>
    </row>
    <row r="14" spans="1:13" ht="20.100000000000001" customHeight="1" x14ac:dyDescent="0.25">
      <c r="A14" s="2" t="s">
        <v>537</v>
      </c>
      <c r="B14" s="2" t="s">
        <v>538</v>
      </c>
      <c r="C14" s="20">
        <v>18.260000000000002</v>
      </c>
      <c r="D14" s="20">
        <v>17.84</v>
      </c>
      <c r="E14" s="20">
        <v>18.34</v>
      </c>
      <c r="F14" s="5">
        <v>18.239999999999998</v>
      </c>
      <c r="G14" s="26">
        <v>1.0964912280703469E-3</v>
      </c>
      <c r="H14" s="6" t="s">
        <v>751</v>
      </c>
      <c r="I14" s="5">
        <v>0.45</v>
      </c>
      <c r="J14" s="4" t="s">
        <v>39</v>
      </c>
      <c r="K14" s="4">
        <v>11.73</v>
      </c>
      <c r="L14" s="5">
        <f t="shared" si="0"/>
        <v>10.557</v>
      </c>
      <c r="M14" s="5" t="b">
        <f t="shared" si="1"/>
        <v>0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4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8"/>
  <sheetViews>
    <sheetView workbookViewId="0"/>
  </sheetViews>
  <sheetFormatPr defaultRowHeight="15" x14ac:dyDescent="0.25"/>
  <cols>
    <col min="2" max="2" width="40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1" t="s">
        <v>313</v>
      </c>
      <c r="B2" s="2" t="s">
        <v>317</v>
      </c>
      <c r="C2" s="4">
        <v>49.19</v>
      </c>
      <c r="D2" s="4">
        <v>48.71</v>
      </c>
      <c r="E2" s="4">
        <v>49.86</v>
      </c>
      <c r="F2" s="5">
        <v>48.25</v>
      </c>
      <c r="G2" s="6">
        <v>1.9481865284974045E-2</v>
      </c>
      <c r="H2" s="4" t="s">
        <v>887</v>
      </c>
      <c r="I2" s="5">
        <v>3.7</v>
      </c>
      <c r="J2" s="5">
        <v>26.65</v>
      </c>
      <c r="K2" s="5">
        <v>43.13</v>
      </c>
      <c r="L2" s="5">
        <f t="shared" ref="L2:L8" si="0">K2*0.9</f>
        <v>38.817</v>
      </c>
      <c r="M2" s="5" t="b">
        <f t="shared" ref="M2:M7" si="1">L2&gt;C2</f>
        <v>0</v>
      </c>
    </row>
    <row r="3" spans="1:13" ht="20.100000000000001" customHeight="1" x14ac:dyDescent="0.25">
      <c r="A3" s="2" t="s">
        <v>314</v>
      </c>
      <c r="B3" s="2" t="s">
        <v>318</v>
      </c>
      <c r="C3" s="4">
        <v>13.9</v>
      </c>
      <c r="D3" s="4">
        <v>13.88</v>
      </c>
      <c r="E3" s="4">
        <v>14.17</v>
      </c>
      <c r="F3" s="5">
        <v>14.1</v>
      </c>
      <c r="G3" s="6">
        <v>-1.4184397163120517E-2</v>
      </c>
      <c r="H3" s="4" t="s">
        <v>888</v>
      </c>
      <c r="I3" s="5">
        <v>1.86</v>
      </c>
      <c r="J3" s="5">
        <v>17.940000000000001</v>
      </c>
      <c r="K3" s="5">
        <v>13.25</v>
      </c>
      <c r="L3" s="5">
        <f t="shared" si="0"/>
        <v>11.925000000000001</v>
      </c>
      <c r="M3" s="5" t="b">
        <f t="shared" si="1"/>
        <v>0</v>
      </c>
    </row>
    <row r="4" spans="1:13" ht="20.100000000000001" customHeight="1" x14ac:dyDescent="0.25">
      <c r="A4" s="1" t="s">
        <v>315</v>
      </c>
      <c r="B4" s="2" t="s">
        <v>319</v>
      </c>
      <c r="C4" s="4">
        <v>80.06</v>
      </c>
      <c r="D4" s="4">
        <v>79.739999999999995</v>
      </c>
      <c r="E4" s="4">
        <v>82.06</v>
      </c>
      <c r="F4" s="5">
        <v>80.03</v>
      </c>
      <c r="G4" s="6">
        <v>3.7485942771462122E-4</v>
      </c>
      <c r="H4" s="4" t="s">
        <v>889</v>
      </c>
      <c r="I4" s="5">
        <v>3.73</v>
      </c>
      <c r="J4" s="5">
        <v>17.010000000000002</v>
      </c>
      <c r="K4" s="5">
        <v>67.39</v>
      </c>
      <c r="L4" s="5">
        <f t="shared" si="0"/>
        <v>60.651000000000003</v>
      </c>
      <c r="M4" s="5" t="b">
        <f t="shared" si="1"/>
        <v>0</v>
      </c>
    </row>
    <row r="5" spans="1:13" ht="20.100000000000001" customHeight="1" x14ac:dyDescent="0.25">
      <c r="A5" s="2" t="s">
        <v>316</v>
      </c>
      <c r="B5" s="2" t="s">
        <v>320</v>
      </c>
      <c r="C5" s="4">
        <v>18.43</v>
      </c>
      <c r="D5" s="4">
        <v>18.190000000000001</v>
      </c>
      <c r="E5" s="4">
        <v>19.100000000000001</v>
      </c>
      <c r="F5" s="5">
        <v>17.87</v>
      </c>
      <c r="G5" s="6">
        <v>3.1337437045327293E-2</v>
      </c>
      <c r="H5" s="4" t="s">
        <v>890</v>
      </c>
      <c r="I5" s="5">
        <v>2.2400000000000002</v>
      </c>
      <c r="J5" s="5">
        <v>21.68</v>
      </c>
      <c r="K5" s="5">
        <v>14.52</v>
      </c>
      <c r="L5" s="5">
        <f t="shared" si="0"/>
        <v>13.068</v>
      </c>
      <c r="M5" s="5" t="b">
        <f t="shared" si="1"/>
        <v>0</v>
      </c>
    </row>
    <row r="6" spans="1:13" ht="20.100000000000001" customHeight="1" x14ac:dyDescent="0.25">
      <c r="A6" s="2" t="s">
        <v>530</v>
      </c>
      <c r="B6" s="2" t="s">
        <v>532</v>
      </c>
      <c r="C6" s="4">
        <v>45.85</v>
      </c>
      <c r="D6" s="4">
        <v>45.4</v>
      </c>
      <c r="E6" s="4">
        <v>46.17</v>
      </c>
      <c r="F6" s="5">
        <v>46.26</v>
      </c>
      <c r="G6" s="6">
        <v>-8.8629485516644319E-3</v>
      </c>
      <c r="H6" s="4" t="s">
        <v>891</v>
      </c>
      <c r="I6" s="5">
        <v>1.38</v>
      </c>
      <c r="J6" s="5">
        <v>26.14</v>
      </c>
      <c r="K6" s="5">
        <v>47.44</v>
      </c>
      <c r="L6" s="5">
        <f t="shared" si="0"/>
        <v>42.695999999999998</v>
      </c>
      <c r="M6" s="5" t="b">
        <f t="shared" si="1"/>
        <v>0</v>
      </c>
    </row>
    <row r="7" spans="1:13" ht="20.100000000000001" customHeight="1" x14ac:dyDescent="0.25">
      <c r="A7" s="2" t="s">
        <v>531</v>
      </c>
      <c r="B7" s="2" t="s">
        <v>533</v>
      </c>
      <c r="C7" s="4">
        <v>47.72</v>
      </c>
      <c r="D7" s="4">
        <v>46.88</v>
      </c>
      <c r="E7" s="4">
        <v>48.93</v>
      </c>
      <c r="F7" s="5">
        <v>46.53</v>
      </c>
      <c r="G7" s="6">
        <v>2.5574897915323396E-2</v>
      </c>
      <c r="H7" s="4" t="s">
        <v>892</v>
      </c>
      <c r="I7" s="5">
        <v>3.26</v>
      </c>
      <c r="J7" s="5" t="s">
        <v>39</v>
      </c>
      <c r="K7" s="5">
        <v>40.76</v>
      </c>
      <c r="L7" s="5">
        <f t="shared" si="0"/>
        <v>36.683999999999997</v>
      </c>
      <c r="M7" s="5" t="b">
        <f t="shared" si="1"/>
        <v>0</v>
      </c>
    </row>
    <row r="8" spans="1:13" ht="20.100000000000001" customHeight="1" x14ac:dyDescent="0.25">
      <c r="A8" s="2" t="s">
        <v>647</v>
      </c>
      <c r="B8" s="2" t="s">
        <v>648</v>
      </c>
      <c r="C8" s="4">
        <v>76.41</v>
      </c>
      <c r="D8" s="4">
        <v>76.400000000000006</v>
      </c>
      <c r="E8" s="4">
        <v>77.25</v>
      </c>
      <c r="F8" s="5">
        <v>76.84</v>
      </c>
      <c r="G8" s="6">
        <v>-5.5960437272254918E-3</v>
      </c>
      <c r="H8" s="4" t="s">
        <v>893</v>
      </c>
      <c r="I8" s="5">
        <v>2.17</v>
      </c>
      <c r="J8" s="5">
        <v>22.77</v>
      </c>
      <c r="K8" s="5">
        <v>74.180000000000007</v>
      </c>
      <c r="L8" s="5">
        <f t="shared" si="0"/>
        <v>66.762000000000015</v>
      </c>
      <c r="M8" s="5" t="b">
        <f t="shared" ref="M8" si="2">L8&gt;C8</f>
        <v>0</v>
      </c>
    </row>
  </sheetData>
  <conditionalFormatting sqref="G1:G8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1" t="s">
        <v>145</v>
      </c>
      <c r="B2" s="2" t="s">
        <v>150</v>
      </c>
      <c r="C2" s="4">
        <v>62.67</v>
      </c>
      <c r="D2" s="4">
        <v>61.9</v>
      </c>
      <c r="E2" s="4">
        <v>62.93</v>
      </c>
      <c r="F2" s="5">
        <v>62.62</v>
      </c>
      <c r="G2" s="6">
        <v>7.9846694346860853E-4</v>
      </c>
      <c r="H2" s="4" t="s">
        <v>894</v>
      </c>
      <c r="I2" s="5">
        <v>1.89</v>
      </c>
      <c r="J2" s="4">
        <v>17.87</v>
      </c>
      <c r="K2" s="4">
        <v>61.34</v>
      </c>
      <c r="L2" s="5">
        <f t="shared" ref="L2:L8" si="0">K2*0.9</f>
        <v>55.206000000000003</v>
      </c>
      <c r="M2" s="5" t="b">
        <f t="shared" ref="M2:M8" si="1">L2&gt;C2</f>
        <v>0</v>
      </c>
    </row>
    <row r="3" spans="1:13" ht="20.100000000000001" customHeight="1" x14ac:dyDescent="0.25">
      <c r="A3" s="1" t="s">
        <v>144</v>
      </c>
      <c r="B3" s="2" t="s">
        <v>151</v>
      </c>
      <c r="C3" s="4">
        <v>146.94999999999999</v>
      </c>
      <c r="D3" s="4">
        <v>145.66999999999999</v>
      </c>
      <c r="E3" s="4">
        <v>147.66999999999999</v>
      </c>
      <c r="F3" s="5">
        <v>148.24</v>
      </c>
      <c r="G3" s="6">
        <v>-8.7021046950891828E-3</v>
      </c>
      <c r="H3" s="4" t="s">
        <v>895</v>
      </c>
      <c r="I3" s="5">
        <v>1.04</v>
      </c>
      <c r="J3" s="4">
        <v>19.46</v>
      </c>
      <c r="K3" s="4">
        <v>138.16999999999999</v>
      </c>
      <c r="L3" s="5">
        <f t="shared" si="0"/>
        <v>124.35299999999999</v>
      </c>
      <c r="M3" s="5" t="b">
        <f t="shared" si="1"/>
        <v>0</v>
      </c>
    </row>
    <row r="4" spans="1:13" ht="20.100000000000001" customHeight="1" x14ac:dyDescent="0.25">
      <c r="A4" s="2" t="s">
        <v>147</v>
      </c>
      <c r="B4" s="2" t="s">
        <v>350</v>
      </c>
      <c r="C4" s="4">
        <v>29.33</v>
      </c>
      <c r="D4" s="4">
        <v>28.87</v>
      </c>
      <c r="E4" s="4">
        <v>29.41</v>
      </c>
      <c r="F4" s="5">
        <v>29.23</v>
      </c>
      <c r="G4" s="6">
        <v>3.4211426616489178E-3</v>
      </c>
      <c r="H4" s="4" t="s">
        <v>896</v>
      </c>
      <c r="I4" s="5">
        <v>2.4900000000000002</v>
      </c>
      <c r="J4" s="4">
        <v>16.010000000000002</v>
      </c>
      <c r="K4" s="4">
        <v>26.77</v>
      </c>
      <c r="L4" s="5">
        <f t="shared" si="0"/>
        <v>24.093</v>
      </c>
      <c r="M4" s="5" t="b">
        <f t="shared" si="1"/>
        <v>0</v>
      </c>
    </row>
    <row r="5" spans="1:13" ht="20.100000000000001" customHeight="1" x14ac:dyDescent="0.25">
      <c r="A5" s="2" t="s">
        <v>149</v>
      </c>
      <c r="B5" s="2" t="s">
        <v>152</v>
      </c>
      <c r="C5" s="4">
        <v>65.239999999999995</v>
      </c>
      <c r="D5" s="4">
        <v>64.930000000000007</v>
      </c>
      <c r="E5" s="4">
        <v>65.98</v>
      </c>
      <c r="F5" s="5">
        <v>66.650000000000006</v>
      </c>
      <c r="G5" s="6">
        <v>-2.1155288822205711E-2</v>
      </c>
      <c r="H5" s="4" t="s">
        <v>553</v>
      </c>
      <c r="I5" s="5" t="s">
        <v>39</v>
      </c>
      <c r="J5" s="4">
        <v>16.989999999999998</v>
      </c>
      <c r="K5" s="4">
        <v>62.71</v>
      </c>
      <c r="L5" s="5">
        <f t="shared" si="0"/>
        <v>56.439</v>
      </c>
      <c r="M5" s="5" t="b">
        <f t="shared" si="1"/>
        <v>0</v>
      </c>
    </row>
    <row r="6" spans="1:13" ht="20.100000000000001" customHeight="1" x14ac:dyDescent="0.25">
      <c r="A6" s="2" t="s">
        <v>146</v>
      </c>
      <c r="B6" s="2" t="s">
        <v>153</v>
      </c>
      <c r="C6" s="4">
        <v>91.07</v>
      </c>
      <c r="D6" s="4">
        <v>90.37</v>
      </c>
      <c r="E6" s="4">
        <v>91.67</v>
      </c>
      <c r="F6" s="5">
        <v>91.93</v>
      </c>
      <c r="G6" s="6">
        <v>-9.3549439791146913E-3</v>
      </c>
      <c r="H6" s="4" t="s">
        <v>897</v>
      </c>
      <c r="I6" s="5">
        <v>1.43</v>
      </c>
      <c r="J6" s="4">
        <v>19.82</v>
      </c>
      <c r="K6" s="4">
        <v>91.75</v>
      </c>
      <c r="L6" s="5">
        <f t="shared" si="0"/>
        <v>82.575000000000003</v>
      </c>
      <c r="M6" s="5" t="b">
        <f t="shared" si="1"/>
        <v>0</v>
      </c>
    </row>
    <row r="7" spans="1:13" ht="20.100000000000001" customHeight="1" x14ac:dyDescent="0.25">
      <c r="A7" s="1" t="s">
        <v>148</v>
      </c>
      <c r="B7" s="2" t="s">
        <v>154</v>
      </c>
      <c r="C7" s="4">
        <v>91.35</v>
      </c>
      <c r="D7" s="4">
        <v>90.44</v>
      </c>
      <c r="E7" s="4">
        <v>91.78</v>
      </c>
      <c r="F7" s="5">
        <v>91.51</v>
      </c>
      <c r="G7" s="6">
        <v>-1.74844279313748E-3</v>
      </c>
      <c r="H7" s="4" t="s">
        <v>898</v>
      </c>
      <c r="I7" s="5">
        <v>2.58</v>
      </c>
      <c r="J7" s="4">
        <v>17.11</v>
      </c>
      <c r="K7" s="4">
        <v>86.16</v>
      </c>
      <c r="L7" s="5">
        <f t="shared" si="0"/>
        <v>77.543999999999997</v>
      </c>
      <c r="M7" s="5" t="b">
        <f t="shared" si="1"/>
        <v>0</v>
      </c>
    </row>
    <row r="8" spans="1:13" ht="20.100000000000001" customHeight="1" x14ac:dyDescent="0.25">
      <c r="A8" s="1" t="s">
        <v>143</v>
      </c>
      <c r="B8" s="2" t="s">
        <v>155</v>
      </c>
      <c r="C8" s="4">
        <v>92.38</v>
      </c>
      <c r="D8" s="4">
        <v>91.76</v>
      </c>
      <c r="E8" s="4">
        <v>93.14</v>
      </c>
      <c r="F8" s="5">
        <v>92.94</v>
      </c>
      <c r="G8" s="6">
        <v>-6.0253927264902335E-3</v>
      </c>
      <c r="H8" s="4" t="s">
        <v>899</v>
      </c>
      <c r="I8" s="5">
        <v>2.37</v>
      </c>
      <c r="J8" s="4">
        <v>17.989999999999998</v>
      </c>
      <c r="K8" s="4">
        <v>87.14</v>
      </c>
      <c r="L8" s="5">
        <f t="shared" si="0"/>
        <v>78.426000000000002</v>
      </c>
      <c r="M8" s="5" t="b">
        <f t="shared" si="1"/>
        <v>0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2"/>
  <sheetViews>
    <sheetView workbookViewId="0">
      <selection activeCell="L1" sqref="L1:M2"/>
    </sheetView>
  </sheetViews>
  <sheetFormatPr defaultRowHeight="21.95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1.95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534</v>
      </c>
      <c r="M1" s="76" t="s">
        <v>541</v>
      </c>
    </row>
    <row r="2" spans="1:13" ht="21.95" customHeight="1" thickTop="1" x14ac:dyDescent="0.25">
      <c r="A2" s="1" t="s">
        <v>75</v>
      </c>
      <c r="B2" s="2" t="s">
        <v>352</v>
      </c>
      <c r="C2" s="4">
        <v>173.11</v>
      </c>
      <c r="D2" s="4">
        <v>168.8</v>
      </c>
      <c r="E2" s="4">
        <v>177.34</v>
      </c>
      <c r="F2" s="5">
        <v>177.09</v>
      </c>
      <c r="G2" s="6">
        <v>-2.2474448020780337E-2</v>
      </c>
      <c r="H2" s="4" t="s">
        <v>556</v>
      </c>
      <c r="I2" s="5">
        <v>1.1299999999999999</v>
      </c>
      <c r="J2" s="5" t="s">
        <v>39</v>
      </c>
      <c r="K2" s="5">
        <v>154.62</v>
      </c>
      <c r="L2" s="5">
        <f t="shared" ref="L2:L12" si="0">K2*0.9</f>
        <v>139.15800000000002</v>
      </c>
      <c r="M2" s="5" t="b">
        <f t="shared" ref="M2:M10" si="1">L2&gt;C2</f>
        <v>0</v>
      </c>
    </row>
    <row r="3" spans="1:13" ht="21.95" customHeight="1" x14ac:dyDescent="0.25">
      <c r="A3" s="1" t="s">
        <v>73</v>
      </c>
      <c r="B3" s="2" t="s">
        <v>78</v>
      </c>
      <c r="C3" s="4">
        <v>36.08</v>
      </c>
      <c r="D3" s="4">
        <v>35.950000000000003</v>
      </c>
      <c r="E3" s="4">
        <v>36.33</v>
      </c>
      <c r="F3" s="5">
        <v>36.020000000000003</v>
      </c>
      <c r="G3" s="6">
        <v>1.6657412548582778E-3</v>
      </c>
      <c r="H3" s="4" t="s">
        <v>566</v>
      </c>
      <c r="I3" s="5">
        <v>2.89</v>
      </c>
      <c r="J3" s="5">
        <v>17.5</v>
      </c>
      <c r="K3" s="5">
        <v>32.31</v>
      </c>
      <c r="L3" s="5">
        <f t="shared" si="0"/>
        <v>29.079000000000004</v>
      </c>
      <c r="M3" s="5" t="b">
        <f t="shared" si="1"/>
        <v>0</v>
      </c>
    </row>
    <row r="4" spans="1:13" ht="21.95" customHeight="1" x14ac:dyDescent="0.25">
      <c r="A4" s="2" t="s">
        <v>76</v>
      </c>
      <c r="B4" s="2" t="s">
        <v>82</v>
      </c>
      <c r="C4" s="4">
        <v>94.36</v>
      </c>
      <c r="D4" s="4">
        <v>93.69</v>
      </c>
      <c r="E4" s="4">
        <v>95.41</v>
      </c>
      <c r="F4" s="5">
        <v>94.63</v>
      </c>
      <c r="G4" s="6">
        <v>-2.8532177956250241E-3</v>
      </c>
      <c r="H4" s="4" t="s">
        <v>567</v>
      </c>
      <c r="I4" s="5">
        <v>1.27</v>
      </c>
      <c r="J4" s="5">
        <v>18.079999999999998</v>
      </c>
      <c r="K4" s="5">
        <v>82.37</v>
      </c>
      <c r="L4" s="5">
        <f t="shared" si="0"/>
        <v>74.13300000000001</v>
      </c>
      <c r="M4" s="5" t="b">
        <f t="shared" si="1"/>
        <v>0</v>
      </c>
    </row>
    <row r="5" spans="1:13" ht="21.95" customHeight="1" x14ac:dyDescent="0.25">
      <c r="A5" s="81" t="s">
        <v>74</v>
      </c>
      <c r="B5" s="2" t="s">
        <v>79</v>
      </c>
      <c r="C5" s="4">
        <v>16.7</v>
      </c>
      <c r="D5" s="4">
        <v>16.57</v>
      </c>
      <c r="E5" s="4">
        <v>16.97</v>
      </c>
      <c r="F5" s="5">
        <v>16.64</v>
      </c>
      <c r="G5" s="6">
        <v>3.6057692307691538E-3</v>
      </c>
      <c r="H5" s="4" t="s">
        <v>568</v>
      </c>
      <c r="I5" s="5">
        <v>0</v>
      </c>
      <c r="J5" s="5">
        <v>47.99</v>
      </c>
      <c r="K5" s="5">
        <v>12.24</v>
      </c>
      <c r="L5" s="5">
        <f t="shared" si="0"/>
        <v>11.016</v>
      </c>
      <c r="M5" s="5" t="b">
        <f t="shared" si="1"/>
        <v>0</v>
      </c>
    </row>
    <row r="6" spans="1:13" ht="21.95" customHeight="1" x14ac:dyDescent="0.25">
      <c r="A6" s="2" t="s">
        <v>77</v>
      </c>
      <c r="B6" s="2" t="s">
        <v>83</v>
      </c>
      <c r="C6" s="4">
        <v>63.35</v>
      </c>
      <c r="D6" s="4">
        <v>63.09</v>
      </c>
      <c r="E6" s="4">
        <v>63.7</v>
      </c>
      <c r="F6" s="5">
        <v>63.47</v>
      </c>
      <c r="G6" s="6">
        <v>-1.8906570033086095E-3</v>
      </c>
      <c r="H6" s="4" t="s">
        <v>557</v>
      </c>
      <c r="I6" s="5">
        <v>3.34</v>
      </c>
      <c r="J6" s="5">
        <v>18.55</v>
      </c>
      <c r="K6" s="5">
        <v>54.64</v>
      </c>
      <c r="L6" s="5">
        <f t="shared" si="0"/>
        <v>49.176000000000002</v>
      </c>
      <c r="M6" s="5" t="b">
        <f t="shared" si="1"/>
        <v>0</v>
      </c>
    </row>
    <row r="7" spans="1:13" ht="21.95" customHeight="1" x14ac:dyDescent="0.25">
      <c r="A7" s="1" t="s">
        <v>80</v>
      </c>
      <c r="B7" s="2" t="s">
        <v>81</v>
      </c>
      <c r="C7" s="4">
        <v>74.62</v>
      </c>
      <c r="D7" s="4">
        <v>74.209999999999994</v>
      </c>
      <c r="E7" s="4">
        <v>75.430000000000007</v>
      </c>
      <c r="F7" s="5">
        <v>75.09</v>
      </c>
      <c r="G7" s="6">
        <v>-6.2591556798508299E-3</v>
      </c>
      <c r="H7" s="4" t="s">
        <v>555</v>
      </c>
      <c r="I7" s="5">
        <v>1.51</v>
      </c>
      <c r="J7" s="5">
        <v>14.78</v>
      </c>
      <c r="K7" s="5">
        <v>68.61</v>
      </c>
      <c r="L7" s="5">
        <f t="shared" si="0"/>
        <v>61.749000000000002</v>
      </c>
      <c r="M7" s="5" t="b">
        <f t="shared" si="1"/>
        <v>0</v>
      </c>
    </row>
    <row r="8" spans="1:13" ht="21.95" customHeight="1" x14ac:dyDescent="0.25">
      <c r="A8" s="2" t="s">
        <v>565</v>
      </c>
      <c r="B8" s="2" t="s">
        <v>569</v>
      </c>
      <c r="C8" s="4">
        <v>33.92</v>
      </c>
      <c r="D8" s="4">
        <v>33.47</v>
      </c>
      <c r="E8" s="4">
        <v>34.25</v>
      </c>
      <c r="F8" s="5">
        <v>33.71</v>
      </c>
      <c r="G8" s="6">
        <v>6.2296054583209984E-3</v>
      </c>
      <c r="H8" s="4" t="s">
        <v>570</v>
      </c>
      <c r="I8" s="5">
        <v>7.48</v>
      </c>
      <c r="J8" s="5">
        <v>41.37</v>
      </c>
      <c r="K8" s="5">
        <v>28.47</v>
      </c>
      <c r="L8" s="5">
        <f t="shared" si="0"/>
        <v>25.623000000000001</v>
      </c>
      <c r="M8" s="5" t="b">
        <f t="shared" si="1"/>
        <v>0</v>
      </c>
    </row>
    <row r="9" spans="1:13" ht="21.95" customHeight="1" x14ac:dyDescent="0.25">
      <c r="A9" s="2" t="s">
        <v>572</v>
      </c>
      <c r="B9" s="19" t="s">
        <v>604</v>
      </c>
      <c r="C9" s="4">
        <v>30.02</v>
      </c>
      <c r="D9" s="4">
        <v>29.82</v>
      </c>
      <c r="E9" s="4">
        <v>30.41</v>
      </c>
      <c r="F9" s="5">
        <v>30.29</v>
      </c>
      <c r="G9" s="6">
        <v>-8.9138329481676989E-3</v>
      </c>
      <c r="H9" s="6" t="s">
        <v>605</v>
      </c>
      <c r="I9" s="5">
        <v>1.33</v>
      </c>
      <c r="J9" s="5">
        <v>23.68</v>
      </c>
      <c r="K9" s="5">
        <v>23.07</v>
      </c>
      <c r="L9" s="5">
        <f t="shared" si="0"/>
        <v>20.763000000000002</v>
      </c>
      <c r="M9" s="5" t="b">
        <f t="shared" si="1"/>
        <v>0</v>
      </c>
    </row>
    <row r="10" spans="1:13" ht="21.95" customHeight="1" x14ac:dyDescent="0.25">
      <c r="A10" s="2" t="s">
        <v>351</v>
      </c>
      <c r="B10" s="2" t="s">
        <v>353</v>
      </c>
      <c r="C10" s="4">
        <v>46.97</v>
      </c>
      <c r="D10" s="4">
        <v>46.26</v>
      </c>
      <c r="E10" s="4">
        <v>47.7</v>
      </c>
      <c r="F10" s="5">
        <v>46.32</v>
      </c>
      <c r="G10" s="6">
        <v>1.4032815198618277E-2</v>
      </c>
      <c r="H10" s="4" t="s">
        <v>571</v>
      </c>
      <c r="I10" s="5">
        <v>4.32</v>
      </c>
      <c r="J10" s="5">
        <v>46.97</v>
      </c>
      <c r="K10" s="5">
        <v>45.63</v>
      </c>
      <c r="L10" s="5">
        <f t="shared" si="0"/>
        <v>41.067</v>
      </c>
      <c r="M10" s="5" t="b">
        <f t="shared" si="1"/>
        <v>0</v>
      </c>
    </row>
    <row r="11" spans="1:13" ht="21.95" customHeight="1" x14ac:dyDescent="0.25">
      <c r="A11" s="2" t="s">
        <v>602</v>
      </c>
      <c r="B11" s="2" t="s">
        <v>606</v>
      </c>
      <c r="C11" s="4">
        <v>62.69</v>
      </c>
      <c r="D11" s="4">
        <v>62.26</v>
      </c>
      <c r="E11" s="4">
        <v>63</v>
      </c>
      <c r="F11" s="5">
        <v>62.8</v>
      </c>
      <c r="G11" s="6">
        <v>-1.751592356687889E-3</v>
      </c>
      <c r="H11" s="4" t="s">
        <v>607</v>
      </c>
      <c r="I11" s="5">
        <v>2.29</v>
      </c>
      <c r="J11" s="5">
        <v>168.98</v>
      </c>
      <c r="K11" s="5">
        <v>51.32</v>
      </c>
      <c r="L11" s="5">
        <f t="shared" si="0"/>
        <v>46.188000000000002</v>
      </c>
      <c r="M11" s="5" t="b">
        <f t="shared" ref="M11:M12" si="2">L11&gt;C11</f>
        <v>0</v>
      </c>
    </row>
    <row r="12" spans="1:13" ht="21.95" customHeight="1" x14ac:dyDescent="0.25">
      <c r="A12" s="2" t="s">
        <v>603</v>
      </c>
      <c r="B12" s="2" t="s">
        <v>608</v>
      </c>
      <c r="C12" s="4">
        <v>62.53</v>
      </c>
      <c r="D12" s="4">
        <v>61.82</v>
      </c>
      <c r="E12" s="4">
        <v>63.35</v>
      </c>
      <c r="F12" s="5">
        <v>63.15</v>
      </c>
      <c r="G12" s="6">
        <v>-9.817893903404552E-3</v>
      </c>
      <c r="H12" s="4" t="s">
        <v>609</v>
      </c>
      <c r="I12" s="5">
        <v>0.73</v>
      </c>
      <c r="J12" s="5">
        <v>41.08</v>
      </c>
      <c r="K12" s="5">
        <v>44.32</v>
      </c>
      <c r="L12" s="5">
        <f t="shared" si="0"/>
        <v>39.887999999999998</v>
      </c>
      <c r="M12" s="5" t="b">
        <f t="shared" si="2"/>
        <v>0</v>
      </c>
    </row>
  </sheetData>
  <conditionalFormatting sqref="G8:G12">
    <cfRule type="colorScale" priority="6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7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8"/>
  <sheetViews>
    <sheetView workbookViewId="0">
      <selection activeCell="L1" sqref="L1:M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173</v>
      </c>
      <c r="B2" s="2" t="s">
        <v>177</v>
      </c>
      <c r="C2" s="4">
        <v>38.18</v>
      </c>
      <c r="D2" s="4">
        <v>38.11</v>
      </c>
      <c r="E2" s="4">
        <v>39.090000000000003</v>
      </c>
      <c r="F2" s="5">
        <v>38.44</v>
      </c>
      <c r="G2" s="6">
        <v>-6.7637877211237782E-3</v>
      </c>
      <c r="H2" s="4" t="s">
        <v>610</v>
      </c>
      <c r="I2" s="5" t="s">
        <v>39</v>
      </c>
      <c r="J2" s="5">
        <v>5.62</v>
      </c>
      <c r="K2" s="5">
        <v>53.6</v>
      </c>
      <c r="L2" s="5">
        <f t="shared" ref="L2:L8" si="0">K2*0.9</f>
        <v>48.24</v>
      </c>
      <c r="M2" s="5" t="b">
        <f t="shared" ref="M2:M8" si="1">L2&gt;C2</f>
        <v>1</v>
      </c>
    </row>
    <row r="3" spans="1:13" ht="20.100000000000001" customHeight="1" x14ac:dyDescent="0.25">
      <c r="A3" s="2" t="s">
        <v>176</v>
      </c>
      <c r="B3" s="2" t="s">
        <v>178</v>
      </c>
      <c r="C3" s="4">
        <v>34.130000000000003</v>
      </c>
      <c r="D3" s="4">
        <v>33.770000000000003</v>
      </c>
      <c r="E3" s="4">
        <v>34.26</v>
      </c>
      <c r="F3" s="5">
        <v>33.67</v>
      </c>
      <c r="G3" s="6">
        <v>1.3662013662013686E-2</v>
      </c>
      <c r="H3" s="4" t="s">
        <v>611</v>
      </c>
      <c r="I3" s="5">
        <v>2.85</v>
      </c>
      <c r="J3" s="5">
        <v>26.6</v>
      </c>
      <c r="K3" s="5">
        <v>35.799999999999997</v>
      </c>
      <c r="L3" s="5">
        <f t="shared" si="0"/>
        <v>32.22</v>
      </c>
      <c r="M3" s="5" t="b">
        <f t="shared" si="1"/>
        <v>0</v>
      </c>
    </row>
    <row r="4" spans="1:13" ht="20.100000000000001" customHeight="1" x14ac:dyDescent="0.25">
      <c r="A4" s="1" t="s">
        <v>140</v>
      </c>
      <c r="B4" s="2" t="s">
        <v>141</v>
      </c>
      <c r="C4" s="4">
        <v>18.48</v>
      </c>
      <c r="D4" s="4">
        <v>18.36</v>
      </c>
      <c r="E4" s="4">
        <v>19.48</v>
      </c>
      <c r="F4" s="5">
        <v>18.78</v>
      </c>
      <c r="G4" s="6">
        <v>-1.5974440894568728E-2</v>
      </c>
      <c r="H4" s="4" t="s">
        <v>612</v>
      </c>
      <c r="I4" s="5" t="s">
        <v>39</v>
      </c>
      <c r="J4" s="5" t="s">
        <v>39</v>
      </c>
      <c r="K4" s="5">
        <v>24</v>
      </c>
      <c r="L4" s="5">
        <f t="shared" si="0"/>
        <v>21.6</v>
      </c>
      <c r="M4" s="5" t="b">
        <f t="shared" si="1"/>
        <v>1</v>
      </c>
    </row>
    <row r="5" spans="1:13" ht="20.100000000000001" customHeight="1" x14ac:dyDescent="0.25">
      <c r="A5" s="2" t="s">
        <v>175</v>
      </c>
      <c r="B5" s="2" t="s">
        <v>179</v>
      </c>
      <c r="C5" s="4">
        <v>10.31</v>
      </c>
      <c r="D5" s="4">
        <v>10.119999999999999</v>
      </c>
      <c r="E5" s="4">
        <v>10.34</v>
      </c>
      <c r="F5" s="5">
        <v>10.1</v>
      </c>
      <c r="G5" s="6">
        <v>2.0792079207920876E-2</v>
      </c>
      <c r="H5" s="4" t="s">
        <v>613</v>
      </c>
      <c r="I5" s="5" t="s">
        <v>39</v>
      </c>
      <c r="J5" s="5" t="s">
        <v>39</v>
      </c>
      <c r="K5" s="5">
        <v>17.61</v>
      </c>
      <c r="L5" s="5">
        <f t="shared" si="0"/>
        <v>15.849</v>
      </c>
      <c r="M5" s="5" t="b">
        <f t="shared" si="1"/>
        <v>1</v>
      </c>
    </row>
    <row r="6" spans="1:13" ht="20.100000000000001" customHeight="1" x14ac:dyDescent="0.25">
      <c r="A6" s="2" t="s">
        <v>311</v>
      </c>
      <c r="B6" s="19" t="s">
        <v>312</v>
      </c>
      <c r="C6" s="4">
        <v>21.13</v>
      </c>
      <c r="D6" s="4">
        <v>21.02</v>
      </c>
      <c r="E6" s="4">
        <v>21.17</v>
      </c>
      <c r="F6" s="5">
        <v>20.82</v>
      </c>
      <c r="G6" s="6">
        <v>1.4889529298751139E-2</v>
      </c>
      <c r="H6" s="6" t="s">
        <v>39</v>
      </c>
      <c r="I6" s="5">
        <v>0</v>
      </c>
      <c r="J6" s="5" t="s">
        <v>39</v>
      </c>
      <c r="K6" s="5">
        <v>22.12</v>
      </c>
      <c r="L6" s="5">
        <f t="shared" si="0"/>
        <v>19.908000000000001</v>
      </c>
      <c r="M6" s="5" t="b">
        <f t="shared" si="1"/>
        <v>0</v>
      </c>
    </row>
    <row r="7" spans="1:13" ht="20.100000000000001" customHeight="1" x14ac:dyDescent="0.25">
      <c r="A7" s="2" t="s">
        <v>336</v>
      </c>
      <c r="B7" s="19" t="s">
        <v>337</v>
      </c>
      <c r="C7" s="4">
        <v>17.32</v>
      </c>
      <c r="D7" s="4">
        <v>16.739999999999998</v>
      </c>
      <c r="E7" s="4">
        <v>17.329999999999998</v>
      </c>
      <c r="F7" s="5">
        <v>16.829999999999998</v>
      </c>
      <c r="G7" s="6">
        <v>2.9114676173499825E-2</v>
      </c>
      <c r="H7" s="6" t="s">
        <v>614</v>
      </c>
      <c r="I7" s="5" t="s">
        <v>39</v>
      </c>
      <c r="J7" s="5">
        <v>10.01</v>
      </c>
      <c r="K7" s="5">
        <v>21.91</v>
      </c>
      <c r="L7" s="5">
        <f t="shared" si="0"/>
        <v>19.719000000000001</v>
      </c>
      <c r="M7" s="5" t="b">
        <f t="shared" si="1"/>
        <v>1</v>
      </c>
    </row>
    <row r="8" spans="1:13" ht="20.100000000000001" customHeight="1" x14ac:dyDescent="0.25">
      <c r="A8" s="2" t="s">
        <v>174</v>
      </c>
      <c r="B8" s="2" t="s">
        <v>615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  <c r="L8" s="5">
        <f t="shared" si="0"/>
        <v>3.411</v>
      </c>
      <c r="M8" s="5" t="b">
        <f t="shared" si="1"/>
        <v>1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12"/>
  <sheetViews>
    <sheetView workbookViewId="0">
      <selection activeCell="K21" sqref="K21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4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376</v>
      </c>
      <c r="M1" s="75" t="s">
        <v>534</v>
      </c>
      <c r="N1" s="76" t="s">
        <v>541</v>
      </c>
    </row>
    <row r="2" spans="1:14" ht="20.100000000000001" customHeight="1" thickTop="1" x14ac:dyDescent="0.25">
      <c r="A2" s="39" t="s">
        <v>370</v>
      </c>
      <c r="B2" s="39" t="s">
        <v>375</v>
      </c>
      <c r="C2" s="44">
        <v>73.75</v>
      </c>
      <c r="D2" s="44">
        <v>73.27</v>
      </c>
      <c r="E2" s="44">
        <v>74.06</v>
      </c>
      <c r="F2" s="41">
        <v>72.94</v>
      </c>
      <c r="G2" s="43">
        <v>1.1105017822868142E-2</v>
      </c>
      <c r="H2" s="42" t="s">
        <v>616</v>
      </c>
      <c r="I2" s="41" t="s">
        <v>39</v>
      </c>
      <c r="J2" s="40">
        <v>64.69</v>
      </c>
      <c r="K2" s="40">
        <v>73.38</v>
      </c>
      <c r="L2" s="4" t="s">
        <v>378</v>
      </c>
      <c r="M2" s="5">
        <f t="shared" ref="M2:M12" si="0">K2*0.9</f>
        <v>66.042000000000002</v>
      </c>
      <c r="N2" s="5" t="b">
        <f t="shared" ref="N2:N12" si="1">M2&gt;D2</f>
        <v>0</v>
      </c>
    </row>
    <row r="3" spans="1:14" ht="20.100000000000001" customHeight="1" x14ac:dyDescent="0.25">
      <c r="A3" s="39" t="s">
        <v>366</v>
      </c>
      <c r="B3" s="39" t="s">
        <v>371</v>
      </c>
      <c r="C3" s="44">
        <v>41.25</v>
      </c>
      <c r="D3" s="44">
        <v>41.03</v>
      </c>
      <c r="E3" s="44">
        <v>41.42</v>
      </c>
      <c r="F3" s="41">
        <v>41.16</v>
      </c>
      <c r="G3" s="43">
        <v>2.1865889212828817E-3</v>
      </c>
      <c r="H3" s="42" t="s">
        <v>617</v>
      </c>
      <c r="I3" s="41">
        <v>1.45</v>
      </c>
      <c r="J3" s="40">
        <v>19.93</v>
      </c>
      <c r="K3" s="40">
        <v>40.03</v>
      </c>
      <c r="L3" s="4" t="s">
        <v>378</v>
      </c>
      <c r="M3" s="5">
        <f t="shared" si="0"/>
        <v>36.027000000000001</v>
      </c>
      <c r="N3" s="5" t="b">
        <f t="shared" si="1"/>
        <v>0</v>
      </c>
    </row>
    <row r="4" spans="1:14" ht="20.100000000000001" customHeight="1" x14ac:dyDescent="0.25">
      <c r="A4" s="39" t="s">
        <v>369</v>
      </c>
      <c r="B4" s="39" t="s">
        <v>374</v>
      </c>
      <c r="C4" s="44">
        <v>112.07</v>
      </c>
      <c r="D4" s="44">
        <v>111.44</v>
      </c>
      <c r="E4" s="44">
        <v>113.11</v>
      </c>
      <c r="F4" s="41">
        <v>112.34</v>
      </c>
      <c r="G4" s="43">
        <v>-2.4034181947659803E-3</v>
      </c>
      <c r="H4" s="42" t="s">
        <v>618</v>
      </c>
      <c r="I4" s="41">
        <v>1.08</v>
      </c>
      <c r="J4" s="40">
        <v>30.35</v>
      </c>
      <c r="K4" s="40">
        <v>106.01</v>
      </c>
      <c r="L4" s="4" t="s">
        <v>378</v>
      </c>
      <c r="M4" s="5">
        <f t="shared" si="0"/>
        <v>95.409000000000006</v>
      </c>
      <c r="N4" s="5" t="b">
        <f t="shared" si="1"/>
        <v>0</v>
      </c>
    </row>
    <row r="5" spans="1:14" ht="20.100000000000001" customHeight="1" x14ac:dyDescent="0.25">
      <c r="A5" s="39" t="s">
        <v>367</v>
      </c>
      <c r="B5" s="39" t="s">
        <v>372</v>
      </c>
      <c r="C5" s="44">
        <v>75.099999999999994</v>
      </c>
      <c r="D5" s="44">
        <v>74.650000000000006</v>
      </c>
      <c r="E5" s="44">
        <v>76.47</v>
      </c>
      <c r="F5" s="41">
        <v>75.91</v>
      </c>
      <c r="G5" s="43">
        <v>-1.0670530891845637E-2</v>
      </c>
      <c r="H5" s="42" t="s">
        <v>619</v>
      </c>
      <c r="I5" s="41" t="s">
        <v>39</v>
      </c>
      <c r="J5" s="40">
        <v>231.79</v>
      </c>
      <c r="K5" s="40">
        <v>76.95</v>
      </c>
      <c r="L5" s="4" t="s">
        <v>378</v>
      </c>
      <c r="M5" s="5">
        <f t="shared" si="0"/>
        <v>69.25500000000001</v>
      </c>
      <c r="N5" s="5" t="b">
        <f t="shared" si="1"/>
        <v>0</v>
      </c>
    </row>
    <row r="6" spans="1:14" ht="20.100000000000001" customHeight="1" x14ac:dyDescent="0.25">
      <c r="A6" s="39" t="s">
        <v>368</v>
      </c>
      <c r="B6" s="39" t="s">
        <v>373</v>
      </c>
      <c r="C6" s="44">
        <v>103.57</v>
      </c>
      <c r="D6" s="44">
        <v>102.94</v>
      </c>
      <c r="E6" s="44">
        <v>104.16</v>
      </c>
      <c r="F6" s="41">
        <v>102.9</v>
      </c>
      <c r="G6" s="43">
        <v>6.5111758989308795E-3</v>
      </c>
      <c r="H6" s="42" t="s">
        <v>620</v>
      </c>
      <c r="I6" s="41">
        <v>0</v>
      </c>
      <c r="J6" s="40">
        <v>58.51</v>
      </c>
      <c r="K6" s="40">
        <v>94.99</v>
      </c>
      <c r="L6" s="4" t="s">
        <v>378</v>
      </c>
      <c r="M6" s="5">
        <f t="shared" si="0"/>
        <v>85.491</v>
      </c>
      <c r="N6" s="5" t="b">
        <f t="shared" si="1"/>
        <v>0</v>
      </c>
    </row>
    <row r="7" spans="1:14" ht="20.100000000000001" customHeight="1" x14ac:dyDescent="0.25">
      <c r="A7" s="45" t="s">
        <v>356</v>
      </c>
      <c r="B7" s="45" t="s">
        <v>362</v>
      </c>
      <c r="C7" s="49">
        <v>43.28</v>
      </c>
      <c r="D7" s="46">
        <v>43.08</v>
      </c>
      <c r="E7" s="46">
        <v>43.6</v>
      </c>
      <c r="F7" s="47">
        <v>42.93</v>
      </c>
      <c r="G7" s="50">
        <v>8.1528068949452935E-3</v>
      </c>
      <c r="H7" s="48" t="s">
        <v>621</v>
      </c>
      <c r="I7" s="47" t="s">
        <v>39</v>
      </c>
      <c r="J7" s="46" t="s">
        <v>39</v>
      </c>
      <c r="K7" s="46">
        <v>37.03</v>
      </c>
      <c r="L7" s="4" t="s">
        <v>377</v>
      </c>
      <c r="M7" s="5">
        <f t="shared" si="0"/>
        <v>33.327000000000005</v>
      </c>
      <c r="N7" s="5" t="b">
        <f t="shared" si="1"/>
        <v>0</v>
      </c>
    </row>
    <row r="8" spans="1:14" ht="20.100000000000001" customHeight="1" x14ac:dyDescent="0.25">
      <c r="A8" s="45" t="s">
        <v>358</v>
      </c>
      <c r="B8" s="45" t="s">
        <v>364</v>
      </c>
      <c r="C8" s="46">
        <v>79.02</v>
      </c>
      <c r="D8" s="46">
        <v>75.010000000000005</v>
      </c>
      <c r="E8" s="46">
        <v>82.88</v>
      </c>
      <c r="F8" s="47">
        <v>74.81</v>
      </c>
      <c r="G8" s="48">
        <v>5.6275898943991362E-2</v>
      </c>
      <c r="H8" s="46" t="s">
        <v>622</v>
      </c>
      <c r="I8" s="47">
        <v>0</v>
      </c>
      <c r="J8" s="46">
        <v>25.17</v>
      </c>
      <c r="K8" s="46">
        <v>84.83</v>
      </c>
      <c r="L8" s="4" t="s">
        <v>377</v>
      </c>
      <c r="M8" s="5">
        <f t="shared" si="0"/>
        <v>76.346999999999994</v>
      </c>
      <c r="N8" s="5" t="b">
        <f t="shared" si="1"/>
        <v>1</v>
      </c>
    </row>
    <row r="9" spans="1:14" ht="20.100000000000001" customHeight="1" x14ac:dyDescent="0.25">
      <c r="A9" s="45" t="s">
        <v>359</v>
      </c>
      <c r="B9" s="45" t="s">
        <v>365</v>
      </c>
      <c r="C9" s="49">
        <v>61.2</v>
      </c>
      <c r="D9" s="46">
        <v>60.89</v>
      </c>
      <c r="E9" s="46">
        <v>61.96</v>
      </c>
      <c r="F9" s="47">
        <v>61.32</v>
      </c>
      <c r="G9" s="50">
        <v>-1.9569471624265727E-3</v>
      </c>
      <c r="H9" s="48" t="s">
        <v>623</v>
      </c>
      <c r="I9" s="47" t="s">
        <v>39</v>
      </c>
      <c r="J9" s="46">
        <v>64.42</v>
      </c>
      <c r="K9" s="46">
        <v>64.78</v>
      </c>
      <c r="L9" s="4" t="s">
        <v>377</v>
      </c>
      <c r="M9" s="5">
        <f t="shared" si="0"/>
        <v>58.302</v>
      </c>
      <c r="N9" s="5" t="b">
        <f t="shared" si="1"/>
        <v>0</v>
      </c>
    </row>
    <row r="10" spans="1:14" ht="20.100000000000001" customHeight="1" x14ac:dyDescent="0.25">
      <c r="A10" s="45" t="s">
        <v>354</v>
      </c>
      <c r="B10" s="45" t="s">
        <v>360</v>
      </c>
      <c r="C10" s="46">
        <v>796.87</v>
      </c>
      <c r="D10" s="46">
        <v>793.26</v>
      </c>
      <c r="E10" s="46">
        <v>797.1</v>
      </c>
      <c r="F10" s="47">
        <v>791.4</v>
      </c>
      <c r="G10" s="48">
        <v>6.9118018701036484E-3</v>
      </c>
      <c r="H10" s="46" t="s">
        <v>624</v>
      </c>
      <c r="I10" s="47" t="s">
        <v>39</v>
      </c>
      <c r="J10" s="46">
        <v>30.88</v>
      </c>
      <c r="K10" s="46">
        <v>747.86</v>
      </c>
      <c r="L10" s="4" t="s">
        <v>377</v>
      </c>
      <c r="M10" s="5">
        <f t="shared" si="0"/>
        <v>673.07400000000007</v>
      </c>
      <c r="N10" s="5" t="b">
        <f t="shared" si="1"/>
        <v>0</v>
      </c>
    </row>
    <row r="11" spans="1:14" ht="20.100000000000001" customHeight="1" x14ac:dyDescent="0.25">
      <c r="A11" s="45" t="s">
        <v>355</v>
      </c>
      <c r="B11" s="45" t="s">
        <v>361</v>
      </c>
      <c r="C11" s="46">
        <v>126.51</v>
      </c>
      <c r="D11" s="46">
        <v>126</v>
      </c>
      <c r="E11" s="46">
        <v>126.86</v>
      </c>
      <c r="F11" s="47">
        <v>126.17</v>
      </c>
      <c r="G11" s="48">
        <v>2.6947768883253025E-3</v>
      </c>
      <c r="H11" s="46" t="s">
        <v>625</v>
      </c>
      <c r="I11" s="47" t="s">
        <v>39</v>
      </c>
      <c r="J11" s="46">
        <v>60.47</v>
      </c>
      <c r="K11" s="46">
        <v>116.08</v>
      </c>
      <c r="L11" s="4" t="s">
        <v>377</v>
      </c>
      <c r="M11" s="5">
        <f t="shared" si="0"/>
        <v>104.47199999999999</v>
      </c>
      <c r="N11" s="5" t="b">
        <f t="shared" si="1"/>
        <v>0</v>
      </c>
    </row>
    <row r="12" spans="1:14" ht="20.100000000000001" customHeight="1" x14ac:dyDescent="0.25">
      <c r="A12" s="94" t="s">
        <v>357</v>
      </c>
      <c r="B12" s="45" t="s">
        <v>363</v>
      </c>
      <c r="C12" s="51">
        <v>55.33</v>
      </c>
      <c r="D12" s="51">
        <v>55.01</v>
      </c>
      <c r="E12" s="51">
        <v>55.78</v>
      </c>
      <c r="F12" s="47">
        <v>55.07</v>
      </c>
      <c r="G12" s="50">
        <v>4.7212638460141275E-3</v>
      </c>
      <c r="H12" s="48" t="s">
        <v>626</v>
      </c>
      <c r="I12" s="47" t="s">
        <v>39</v>
      </c>
      <c r="J12" s="46">
        <v>30.37</v>
      </c>
      <c r="K12" s="46">
        <v>53.59</v>
      </c>
      <c r="L12" s="4" t="s">
        <v>377</v>
      </c>
      <c r="M12" s="5">
        <f t="shared" si="0"/>
        <v>48.231000000000002</v>
      </c>
      <c r="N12" s="5" t="b">
        <f t="shared" si="1"/>
        <v>0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7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8"/>
  <sheetViews>
    <sheetView workbookViewId="0">
      <selection activeCell="H10" sqref="H10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1" t="s">
        <v>259</v>
      </c>
      <c r="B2" s="2" t="s">
        <v>262</v>
      </c>
      <c r="C2" s="4">
        <v>4.16</v>
      </c>
      <c r="D2" s="4">
        <v>4.1500000000000004</v>
      </c>
      <c r="E2" s="4">
        <v>4.3099999999999996</v>
      </c>
      <c r="F2" s="5">
        <v>4.25</v>
      </c>
      <c r="G2" s="6">
        <v>-2.1176470588235262E-2</v>
      </c>
      <c r="H2" s="4" t="s">
        <v>925</v>
      </c>
      <c r="I2" s="5">
        <v>10.1</v>
      </c>
      <c r="J2" s="5" t="s">
        <v>39</v>
      </c>
      <c r="K2" s="5">
        <v>5.0199999999999996</v>
      </c>
      <c r="L2" s="5">
        <f>K2*0.9</f>
        <v>4.5179999999999998</v>
      </c>
      <c r="M2" s="5" t="b">
        <f t="shared" ref="M2:M6" si="0">L2&gt;C2</f>
        <v>1</v>
      </c>
    </row>
    <row r="3" spans="1:13" ht="20.100000000000001" customHeight="1" x14ac:dyDescent="0.25">
      <c r="A3" s="2" t="s">
        <v>260</v>
      </c>
      <c r="B3" s="2" t="s">
        <v>263</v>
      </c>
      <c r="C3" s="4">
        <v>27.43</v>
      </c>
      <c r="D3" s="4">
        <v>27.42</v>
      </c>
      <c r="E3" s="4">
        <v>27.81</v>
      </c>
      <c r="F3" s="5">
        <v>27.52</v>
      </c>
      <c r="G3" s="6">
        <v>-3.2703488372092973E-3</v>
      </c>
      <c r="H3" s="4" t="s">
        <v>926</v>
      </c>
      <c r="I3" s="5">
        <v>7.87</v>
      </c>
      <c r="J3" s="5">
        <v>15.36</v>
      </c>
      <c r="K3" s="5">
        <v>29.36</v>
      </c>
      <c r="L3" s="5">
        <f t="shared" ref="L3:L6" si="1">K3*0.9</f>
        <v>26.423999999999999</v>
      </c>
      <c r="M3" s="5" t="b">
        <f t="shared" si="0"/>
        <v>0</v>
      </c>
    </row>
    <row r="4" spans="1:13" ht="20.100000000000001" customHeight="1" x14ac:dyDescent="0.25">
      <c r="A4" s="2" t="s">
        <v>261</v>
      </c>
      <c r="B4" s="2" t="s">
        <v>264</v>
      </c>
      <c r="C4" s="4">
        <v>40.61</v>
      </c>
      <c r="D4" s="4">
        <v>40.6</v>
      </c>
      <c r="E4" s="4">
        <v>41.04</v>
      </c>
      <c r="F4" s="5">
        <v>40.729999999999997</v>
      </c>
      <c r="G4" s="6">
        <v>-2.9462312791553513E-3</v>
      </c>
      <c r="H4" s="4" t="s">
        <v>927</v>
      </c>
      <c r="I4" s="5">
        <v>4.7300000000000004</v>
      </c>
      <c r="J4" s="5">
        <v>17.510000000000002</v>
      </c>
      <c r="K4" s="5">
        <v>40.479999999999997</v>
      </c>
      <c r="L4" s="5">
        <f t="shared" si="1"/>
        <v>36.431999999999995</v>
      </c>
      <c r="M4" s="5" t="b">
        <f t="shared" si="0"/>
        <v>0</v>
      </c>
    </row>
    <row r="5" spans="1:13" ht="20.100000000000001" customHeight="1" x14ac:dyDescent="0.25">
      <c r="A5" s="105" t="s">
        <v>924</v>
      </c>
      <c r="B5" s="19" t="s">
        <v>928</v>
      </c>
      <c r="C5" s="4">
        <v>269.97000000000003</v>
      </c>
      <c r="D5" s="4">
        <v>268.89999999999998</v>
      </c>
      <c r="E5" s="4">
        <v>272.41000000000003</v>
      </c>
      <c r="F5" s="5">
        <v>271.83</v>
      </c>
      <c r="G5" s="6">
        <v>-6.8425118640325086E-3</v>
      </c>
      <c r="H5" s="6" t="s">
        <v>929</v>
      </c>
      <c r="I5" s="5" t="s">
        <v>39</v>
      </c>
      <c r="J5" s="5">
        <v>12.06</v>
      </c>
      <c r="K5" s="5">
        <v>230.87</v>
      </c>
      <c r="L5" s="5">
        <f>K5*0.9</f>
        <v>207.78300000000002</v>
      </c>
      <c r="M5" s="5" t="b">
        <f>L5&gt;C5</f>
        <v>0</v>
      </c>
    </row>
    <row r="6" spans="1:13" ht="20.100000000000001" customHeight="1" x14ac:dyDescent="0.25">
      <c r="A6" s="2" t="s">
        <v>265</v>
      </c>
      <c r="B6" s="2" t="s">
        <v>266</v>
      </c>
      <c r="C6" s="4">
        <v>51.98</v>
      </c>
      <c r="D6" s="4">
        <v>51.96</v>
      </c>
      <c r="E6" s="4">
        <v>52.57</v>
      </c>
      <c r="F6" s="5">
        <v>52.12</v>
      </c>
      <c r="G6" s="6">
        <v>-2.6861089792785987E-3</v>
      </c>
      <c r="H6" s="4" t="s">
        <v>930</v>
      </c>
      <c r="I6" s="5">
        <v>4.4400000000000004</v>
      </c>
      <c r="J6" s="5">
        <v>14.68</v>
      </c>
      <c r="K6" s="5">
        <v>52.83</v>
      </c>
      <c r="L6" s="5">
        <f t="shared" si="1"/>
        <v>47.546999999999997</v>
      </c>
      <c r="M6" s="5" t="b">
        <f t="shared" si="0"/>
        <v>0</v>
      </c>
    </row>
    <row r="7" spans="1:13" ht="20.100000000000001" customHeight="1" x14ac:dyDescent="0.25"/>
    <row r="8" spans="1:13" ht="20.100000000000001" customHeight="1" x14ac:dyDescent="0.25"/>
  </sheetData>
  <conditionalFormatting sqref="G1:G6">
    <cfRule type="colorScale" priority="9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3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95" t="s">
        <v>392</v>
      </c>
      <c r="B2" s="95" t="s">
        <v>413</v>
      </c>
      <c r="C2" s="96">
        <v>50.02</v>
      </c>
      <c r="D2" s="96">
        <v>49.58</v>
      </c>
      <c r="E2" s="96">
        <v>50.06</v>
      </c>
      <c r="F2" s="97">
        <v>49.84</v>
      </c>
      <c r="G2" s="98">
        <v>3.6115569823434931E-3</v>
      </c>
      <c r="H2" s="97" t="s">
        <v>716</v>
      </c>
      <c r="I2" s="97">
        <v>3.42</v>
      </c>
      <c r="J2" s="96">
        <v>19.5</v>
      </c>
      <c r="K2" s="96">
        <v>49.73</v>
      </c>
      <c r="L2" s="97">
        <f t="shared" ref="L2:L33" si="0">K2*0.9</f>
        <v>44.756999999999998</v>
      </c>
      <c r="M2" s="97" t="b">
        <f t="shared" ref="M2:M33" si="1">L2&gt;C2</f>
        <v>0</v>
      </c>
    </row>
    <row r="3" spans="1:13" ht="20.100000000000001" customHeight="1" x14ac:dyDescent="0.25">
      <c r="A3" s="95" t="s">
        <v>3</v>
      </c>
      <c r="B3" s="95" t="s">
        <v>53</v>
      </c>
      <c r="C3" s="96">
        <v>66.05</v>
      </c>
      <c r="D3" s="96">
        <v>65.650000000000006</v>
      </c>
      <c r="E3" s="96">
        <v>66.239999999999995</v>
      </c>
      <c r="F3" s="97">
        <v>66.040000000000006</v>
      </c>
      <c r="G3" s="98">
        <v>1.5142337976969874E-4</v>
      </c>
      <c r="H3" s="97" t="s">
        <v>717</v>
      </c>
      <c r="I3" s="97">
        <v>3.43</v>
      </c>
      <c r="J3" s="96">
        <v>16.3</v>
      </c>
      <c r="K3" s="96">
        <v>66.010000000000005</v>
      </c>
      <c r="L3" s="97">
        <f t="shared" si="0"/>
        <v>59.409000000000006</v>
      </c>
      <c r="M3" s="97" t="b">
        <f t="shared" si="1"/>
        <v>0</v>
      </c>
    </row>
    <row r="4" spans="1:13" ht="20.100000000000001" customHeight="1" x14ac:dyDescent="0.25">
      <c r="A4" s="95" t="s">
        <v>398</v>
      </c>
      <c r="B4" s="95" t="s">
        <v>418</v>
      </c>
      <c r="C4" s="96">
        <v>13.03</v>
      </c>
      <c r="D4" s="96">
        <v>12.8</v>
      </c>
      <c r="E4" s="96">
        <v>13.08</v>
      </c>
      <c r="F4" s="97">
        <v>12.84</v>
      </c>
      <c r="G4" s="98">
        <v>1.4797507788161956E-2</v>
      </c>
      <c r="H4" s="97" t="s">
        <v>718</v>
      </c>
      <c r="I4" s="97">
        <v>3.6</v>
      </c>
      <c r="J4" s="96" t="s">
        <v>39</v>
      </c>
      <c r="K4" s="96">
        <v>11.54</v>
      </c>
      <c r="L4" s="97">
        <f t="shared" si="0"/>
        <v>10.385999999999999</v>
      </c>
      <c r="M4" s="97" t="b">
        <f t="shared" si="1"/>
        <v>0</v>
      </c>
    </row>
    <row r="5" spans="1:13" ht="20.100000000000001" customHeight="1" x14ac:dyDescent="0.25">
      <c r="A5" s="95" t="s">
        <v>393</v>
      </c>
      <c r="B5" s="95" t="s">
        <v>414</v>
      </c>
      <c r="C5" s="96">
        <v>76</v>
      </c>
      <c r="D5" s="96">
        <v>75.17</v>
      </c>
      <c r="E5" s="96">
        <v>76.2</v>
      </c>
      <c r="F5" s="97">
        <v>75.900000000000006</v>
      </c>
      <c r="G5" s="98">
        <v>1.3175230566534165E-3</v>
      </c>
      <c r="H5" s="97" t="s">
        <v>719</v>
      </c>
      <c r="I5" s="97">
        <v>2.0099999999999998</v>
      </c>
      <c r="J5" s="96">
        <v>27.72</v>
      </c>
      <c r="K5" s="96">
        <v>74.7</v>
      </c>
      <c r="L5" s="97">
        <f t="shared" si="0"/>
        <v>67.23</v>
      </c>
      <c r="M5" s="97" t="b">
        <f t="shared" si="1"/>
        <v>0</v>
      </c>
    </row>
    <row r="6" spans="1:13" ht="20.100000000000001" customHeight="1" x14ac:dyDescent="0.25">
      <c r="A6" s="95" t="s">
        <v>394</v>
      </c>
      <c r="B6" s="95" t="s">
        <v>415</v>
      </c>
      <c r="C6" s="96">
        <v>42.84</v>
      </c>
      <c r="D6" s="96">
        <v>42.48</v>
      </c>
      <c r="E6" s="96">
        <v>42.96</v>
      </c>
      <c r="F6" s="97">
        <v>42.8</v>
      </c>
      <c r="G6" s="98">
        <v>9.3457943925248264E-4</v>
      </c>
      <c r="H6" s="97" t="s">
        <v>720</v>
      </c>
      <c r="I6" s="97">
        <v>2.93</v>
      </c>
      <c r="J6" s="96">
        <v>21.96</v>
      </c>
      <c r="K6" s="96">
        <v>42.46</v>
      </c>
      <c r="L6" s="97">
        <f t="shared" si="0"/>
        <v>38.213999999999999</v>
      </c>
      <c r="M6" s="97" t="b">
        <f t="shared" si="1"/>
        <v>0</v>
      </c>
    </row>
    <row r="7" spans="1:13" ht="20.100000000000001" customHeight="1" x14ac:dyDescent="0.25">
      <c r="A7" s="95" t="s">
        <v>270</v>
      </c>
      <c r="B7" s="95" t="s">
        <v>271</v>
      </c>
      <c r="C7" s="96">
        <v>23.29</v>
      </c>
      <c r="D7" s="96">
        <v>22.69</v>
      </c>
      <c r="E7" s="96">
        <v>23.35</v>
      </c>
      <c r="F7" s="97">
        <v>22.8</v>
      </c>
      <c r="G7" s="98">
        <v>2.149122807017537E-2</v>
      </c>
      <c r="H7" s="97" t="s">
        <v>721</v>
      </c>
      <c r="I7" s="97">
        <v>4.55</v>
      </c>
      <c r="J7" s="96" t="s">
        <v>39</v>
      </c>
      <c r="K7" s="96">
        <v>22.05</v>
      </c>
      <c r="L7" s="97">
        <f t="shared" si="0"/>
        <v>19.845000000000002</v>
      </c>
      <c r="M7" s="97" t="b">
        <f t="shared" si="1"/>
        <v>0</v>
      </c>
    </row>
    <row r="8" spans="1:13" ht="20.100000000000001" customHeight="1" x14ac:dyDescent="0.25">
      <c r="A8" s="99" t="s">
        <v>137</v>
      </c>
      <c r="B8" s="95" t="s">
        <v>139</v>
      </c>
      <c r="C8" s="96">
        <v>48.21</v>
      </c>
      <c r="D8" s="96">
        <v>46.56</v>
      </c>
      <c r="E8" s="96">
        <v>48.36</v>
      </c>
      <c r="F8" s="97">
        <v>46.73</v>
      </c>
      <c r="G8" s="98">
        <v>3.1671303231328995E-2</v>
      </c>
      <c r="H8" s="97" t="s">
        <v>722</v>
      </c>
      <c r="I8" s="97">
        <v>2.44</v>
      </c>
      <c r="J8" s="96">
        <v>22.32</v>
      </c>
      <c r="K8" s="96">
        <v>48.2</v>
      </c>
      <c r="L8" s="97">
        <f t="shared" si="0"/>
        <v>43.38</v>
      </c>
      <c r="M8" s="97" t="b">
        <f t="shared" si="1"/>
        <v>0</v>
      </c>
    </row>
    <row r="9" spans="1:13" ht="20.100000000000001" customHeight="1" x14ac:dyDescent="0.25">
      <c r="A9" s="95" t="s">
        <v>381</v>
      </c>
      <c r="B9" s="95" t="s">
        <v>402</v>
      </c>
      <c r="C9" s="96">
        <v>75.39</v>
      </c>
      <c r="D9" s="96">
        <v>75.05</v>
      </c>
      <c r="E9" s="96">
        <v>75.66</v>
      </c>
      <c r="F9" s="97">
        <v>75.5</v>
      </c>
      <c r="G9" s="98">
        <v>-1.4569536423840984E-3</v>
      </c>
      <c r="H9" s="97" t="s">
        <v>723</v>
      </c>
      <c r="I9" s="97">
        <v>3.75</v>
      </c>
      <c r="J9" s="96">
        <v>23.51</v>
      </c>
      <c r="K9" s="96">
        <v>73.83</v>
      </c>
      <c r="L9" s="97">
        <f t="shared" si="0"/>
        <v>66.447000000000003</v>
      </c>
      <c r="M9" s="97" t="b">
        <f t="shared" si="1"/>
        <v>0</v>
      </c>
    </row>
    <row r="10" spans="1:13" ht="20.100000000000001" customHeight="1" x14ac:dyDescent="0.25">
      <c r="A10" s="95" t="s">
        <v>390</v>
      </c>
      <c r="B10" s="95" t="s">
        <v>411</v>
      </c>
      <c r="C10" s="96">
        <v>94.54</v>
      </c>
      <c r="D10" s="96">
        <v>93.45</v>
      </c>
      <c r="E10" s="96">
        <v>94.64</v>
      </c>
      <c r="F10" s="97">
        <v>94.16</v>
      </c>
      <c r="G10" s="98">
        <v>4.0356839422261009E-3</v>
      </c>
      <c r="H10" s="97" t="s">
        <v>724</v>
      </c>
      <c r="I10" s="97">
        <v>3.3</v>
      </c>
      <c r="J10" s="96">
        <v>22.83</v>
      </c>
      <c r="K10" s="96">
        <v>92.05</v>
      </c>
      <c r="L10" s="97">
        <f t="shared" si="0"/>
        <v>82.844999999999999</v>
      </c>
      <c r="M10" s="97" t="b">
        <f t="shared" si="1"/>
        <v>0</v>
      </c>
    </row>
    <row r="11" spans="1:13" ht="20.100000000000001" customHeight="1" x14ac:dyDescent="0.25">
      <c r="A11" s="95" t="s">
        <v>280</v>
      </c>
      <c r="B11" s="95" t="s">
        <v>281</v>
      </c>
      <c r="C11" s="96">
        <v>80.540000000000006</v>
      </c>
      <c r="D11" s="96">
        <v>80.38</v>
      </c>
      <c r="E11" s="96">
        <v>81.260000000000005</v>
      </c>
      <c r="F11" s="97">
        <v>80.94</v>
      </c>
      <c r="G11" s="98">
        <v>-4.9419322955274458E-3</v>
      </c>
      <c r="H11" s="97" t="s">
        <v>725</v>
      </c>
      <c r="I11" s="97">
        <v>4.26</v>
      </c>
      <c r="J11" s="96">
        <v>21.29</v>
      </c>
      <c r="K11" s="96">
        <v>80.680000000000007</v>
      </c>
      <c r="L11" s="97">
        <f t="shared" si="0"/>
        <v>72.612000000000009</v>
      </c>
      <c r="M11" s="97" t="b">
        <f t="shared" si="1"/>
        <v>0</v>
      </c>
    </row>
    <row r="12" spans="1:13" ht="20.100000000000001" customHeight="1" x14ac:dyDescent="0.25">
      <c r="A12" s="95" t="s">
        <v>386</v>
      </c>
      <c r="B12" s="95" t="s">
        <v>407</v>
      </c>
      <c r="C12" s="96">
        <v>76.010000000000005</v>
      </c>
      <c r="D12" s="96">
        <v>75.67</v>
      </c>
      <c r="E12" s="96">
        <v>76.290000000000006</v>
      </c>
      <c r="F12" s="97">
        <v>76.28</v>
      </c>
      <c r="G12" s="98">
        <v>-3.5395909805977454E-3</v>
      </c>
      <c r="H12" s="97" t="s">
        <v>726</v>
      </c>
      <c r="I12" s="97">
        <v>3.55</v>
      </c>
      <c r="J12" s="96">
        <v>19.7</v>
      </c>
      <c r="K12" s="96">
        <v>75.819999999999993</v>
      </c>
      <c r="L12" s="97">
        <f t="shared" si="0"/>
        <v>68.238</v>
      </c>
      <c r="M12" s="97" t="b">
        <f t="shared" si="1"/>
        <v>0</v>
      </c>
    </row>
    <row r="13" spans="1:13" ht="20.100000000000001" customHeight="1" x14ac:dyDescent="0.25">
      <c r="A13" s="95" t="s">
        <v>385</v>
      </c>
      <c r="B13" s="95" t="s">
        <v>406</v>
      </c>
      <c r="C13" s="96">
        <v>73.77</v>
      </c>
      <c r="D13" s="96">
        <v>73.52</v>
      </c>
      <c r="E13" s="96">
        <v>74.040000000000006</v>
      </c>
      <c r="F13" s="97">
        <v>74.11</v>
      </c>
      <c r="G13" s="98">
        <v>-4.5877749291594041E-3</v>
      </c>
      <c r="H13" s="97" t="s">
        <v>727</v>
      </c>
      <c r="I13" s="97">
        <v>2.61</v>
      </c>
      <c r="J13" s="96">
        <v>27.35</v>
      </c>
      <c r="K13" s="96">
        <v>72.599999999999994</v>
      </c>
      <c r="L13" s="97">
        <f t="shared" si="0"/>
        <v>65.34</v>
      </c>
      <c r="M13" s="97" t="b">
        <f t="shared" si="1"/>
        <v>0</v>
      </c>
    </row>
    <row r="14" spans="1:13" ht="20.100000000000001" customHeight="1" x14ac:dyDescent="0.25">
      <c r="A14" s="95" t="s">
        <v>389</v>
      </c>
      <c r="B14" s="95" t="s">
        <v>410</v>
      </c>
      <c r="C14" s="96">
        <v>54.87</v>
      </c>
      <c r="D14" s="96">
        <v>54.56</v>
      </c>
      <c r="E14" s="96">
        <v>54.97</v>
      </c>
      <c r="F14" s="97">
        <v>54.96</v>
      </c>
      <c r="G14" s="98">
        <v>-1.6375545851529004E-3</v>
      </c>
      <c r="H14" s="97" t="s">
        <v>728</v>
      </c>
      <c r="I14" s="97">
        <v>3.27</v>
      </c>
      <c r="J14" s="96">
        <v>20.170000000000002</v>
      </c>
      <c r="K14" s="96">
        <v>56.73</v>
      </c>
      <c r="L14" s="97">
        <f t="shared" si="0"/>
        <v>51.056999999999995</v>
      </c>
      <c r="M14" s="97" t="b">
        <f t="shared" si="1"/>
        <v>0</v>
      </c>
    </row>
    <row r="15" spans="1:13" ht="20.100000000000001" customHeight="1" x14ac:dyDescent="0.25">
      <c r="A15" s="95" t="s">
        <v>391</v>
      </c>
      <c r="B15" s="95" t="s">
        <v>412</v>
      </c>
      <c r="C15" s="96">
        <v>80.27</v>
      </c>
      <c r="D15" s="96">
        <v>78.930000000000007</v>
      </c>
      <c r="E15" s="96">
        <v>80.319999999999993</v>
      </c>
      <c r="F15" s="97">
        <v>79.569999999999993</v>
      </c>
      <c r="G15" s="98">
        <v>8.797285409073808E-3</v>
      </c>
      <c r="H15" s="97" t="s">
        <v>729</v>
      </c>
      <c r="I15" s="97">
        <v>4.3099999999999996</v>
      </c>
      <c r="J15" s="96">
        <v>82.92</v>
      </c>
      <c r="K15" s="96">
        <v>77.599999999999994</v>
      </c>
      <c r="L15" s="97">
        <f t="shared" si="0"/>
        <v>69.84</v>
      </c>
      <c r="M15" s="97" t="b">
        <f t="shared" si="1"/>
        <v>0</v>
      </c>
    </row>
    <row r="16" spans="1:13" ht="20.100000000000001" customHeight="1" x14ac:dyDescent="0.25">
      <c r="A16" s="95" t="s">
        <v>4</v>
      </c>
      <c r="B16" s="95" t="s">
        <v>56</v>
      </c>
      <c r="C16" s="96">
        <v>34.56</v>
      </c>
      <c r="D16" s="96">
        <v>34.29</v>
      </c>
      <c r="E16" s="96">
        <v>34.659999999999997</v>
      </c>
      <c r="F16" s="97">
        <v>34.450000000000003</v>
      </c>
      <c r="G16" s="98">
        <v>3.1930333817126104E-3</v>
      </c>
      <c r="H16" s="97" t="s">
        <v>730</v>
      </c>
      <c r="I16" s="97">
        <v>3.73</v>
      </c>
      <c r="J16" s="96">
        <v>23.13</v>
      </c>
      <c r="K16" s="96">
        <v>34.85</v>
      </c>
      <c r="L16" s="97">
        <f t="shared" si="0"/>
        <v>31.365000000000002</v>
      </c>
      <c r="M16" s="97" t="b">
        <f t="shared" si="1"/>
        <v>0</v>
      </c>
    </row>
    <row r="17" spans="1:13" ht="20.100000000000001" customHeight="1" x14ac:dyDescent="0.25">
      <c r="A17" s="95" t="s">
        <v>6</v>
      </c>
      <c r="B17" s="95" t="s">
        <v>57</v>
      </c>
      <c r="C17" s="96">
        <v>33.130000000000003</v>
      </c>
      <c r="D17" s="96">
        <v>32.83</v>
      </c>
      <c r="E17" s="96">
        <v>33.28</v>
      </c>
      <c r="F17" s="97">
        <v>33.049999999999997</v>
      </c>
      <c r="G17" s="98">
        <v>2.4205748865357159E-3</v>
      </c>
      <c r="H17" s="97" t="s">
        <v>731</v>
      </c>
      <c r="I17" s="97">
        <v>4.3899999999999997</v>
      </c>
      <c r="J17" s="96" t="s">
        <v>39</v>
      </c>
      <c r="K17" s="96">
        <v>34.19</v>
      </c>
      <c r="L17" s="97">
        <f t="shared" si="0"/>
        <v>30.770999999999997</v>
      </c>
      <c r="M17" s="97" t="b">
        <f t="shared" si="1"/>
        <v>0</v>
      </c>
    </row>
    <row r="18" spans="1:13" ht="20.100000000000001" customHeight="1" x14ac:dyDescent="0.25">
      <c r="A18" s="95" t="s">
        <v>397</v>
      </c>
      <c r="B18" s="95" t="s">
        <v>627</v>
      </c>
      <c r="C18" s="96">
        <v>65.97</v>
      </c>
      <c r="D18" s="96" t="s">
        <v>39</v>
      </c>
      <c r="E18" s="96" t="s">
        <v>39</v>
      </c>
      <c r="F18" s="97">
        <v>65.97</v>
      </c>
      <c r="G18" s="98">
        <v>0</v>
      </c>
      <c r="H18" s="97" t="s">
        <v>39</v>
      </c>
      <c r="I18" s="97">
        <v>3.21</v>
      </c>
      <c r="J18" s="96" t="s">
        <v>39</v>
      </c>
      <c r="K18" s="96">
        <v>64.88</v>
      </c>
      <c r="L18" s="97">
        <f t="shared" si="0"/>
        <v>58.391999999999996</v>
      </c>
      <c r="M18" s="97" t="b">
        <f t="shared" si="1"/>
        <v>0</v>
      </c>
    </row>
    <row r="19" spans="1:13" ht="20.100000000000001" customHeight="1" x14ac:dyDescent="0.25">
      <c r="A19" s="95" t="s">
        <v>679</v>
      </c>
      <c r="B19" s="95" t="s">
        <v>680</v>
      </c>
      <c r="C19" s="96">
        <v>38.979999999999997</v>
      </c>
      <c r="D19" s="96">
        <v>38.549999999999997</v>
      </c>
      <c r="E19" s="96">
        <v>39.130000000000003</v>
      </c>
      <c r="F19" s="97">
        <v>38.81</v>
      </c>
      <c r="G19" s="98">
        <v>4.3803143519710024E-3</v>
      </c>
      <c r="H19" s="97" t="s">
        <v>732</v>
      </c>
      <c r="I19" s="97">
        <v>3.08</v>
      </c>
      <c r="J19" s="96">
        <v>22.42</v>
      </c>
      <c r="K19" s="96">
        <v>37.54</v>
      </c>
      <c r="L19" s="97">
        <f t="shared" si="0"/>
        <v>33.786000000000001</v>
      </c>
      <c r="M19" s="97" t="b">
        <f t="shared" si="1"/>
        <v>0</v>
      </c>
    </row>
    <row r="20" spans="1:13" ht="20.100000000000001" customHeight="1" x14ac:dyDescent="0.25">
      <c r="A20" s="95" t="s">
        <v>268</v>
      </c>
      <c r="B20" s="95" t="s">
        <v>269</v>
      </c>
      <c r="C20" s="96">
        <v>125.06</v>
      </c>
      <c r="D20" s="96">
        <v>124.42</v>
      </c>
      <c r="E20" s="96">
        <v>126.96</v>
      </c>
      <c r="F20" s="97">
        <v>125.29</v>
      </c>
      <c r="G20" s="98">
        <v>-1.8357410806928245E-3</v>
      </c>
      <c r="H20" s="97" t="s">
        <v>733</v>
      </c>
      <c r="I20" s="97">
        <v>2.83</v>
      </c>
      <c r="J20" s="96">
        <v>22.38</v>
      </c>
      <c r="K20" s="96">
        <v>121.44</v>
      </c>
      <c r="L20" s="97">
        <f t="shared" si="0"/>
        <v>109.29600000000001</v>
      </c>
      <c r="M20" s="97" t="b">
        <f t="shared" si="1"/>
        <v>0</v>
      </c>
    </row>
    <row r="21" spans="1:13" ht="20.100000000000001" customHeight="1" x14ac:dyDescent="0.25">
      <c r="A21" s="95" t="s">
        <v>399</v>
      </c>
      <c r="B21" s="95" t="s">
        <v>419</v>
      </c>
      <c r="C21" s="96">
        <v>24.38</v>
      </c>
      <c r="D21" s="96">
        <v>24.16</v>
      </c>
      <c r="E21" s="96">
        <v>24.41</v>
      </c>
      <c r="F21" s="97">
        <v>24.42</v>
      </c>
      <c r="G21" s="98">
        <v>-1.6380016380017485E-3</v>
      </c>
      <c r="H21" s="97" t="s">
        <v>734</v>
      </c>
      <c r="I21" s="97">
        <v>2.74</v>
      </c>
      <c r="J21" s="96">
        <v>29.66</v>
      </c>
      <c r="K21" s="96">
        <v>24.14</v>
      </c>
      <c r="L21" s="97">
        <f t="shared" si="0"/>
        <v>21.726000000000003</v>
      </c>
      <c r="M21" s="97" t="b">
        <f t="shared" si="1"/>
        <v>0</v>
      </c>
    </row>
    <row r="22" spans="1:13" ht="20.100000000000001" customHeight="1" x14ac:dyDescent="0.25">
      <c r="A22" s="95" t="s">
        <v>2</v>
      </c>
      <c r="B22" s="95" t="s">
        <v>58</v>
      </c>
      <c r="C22" s="96">
        <v>12.3</v>
      </c>
      <c r="D22" s="96">
        <v>12.15</v>
      </c>
      <c r="E22" s="96">
        <v>12.48</v>
      </c>
      <c r="F22" s="97">
        <v>12.15</v>
      </c>
      <c r="G22" s="98">
        <v>1.2345679012345708E-2</v>
      </c>
      <c r="H22" s="97" t="s">
        <v>551</v>
      </c>
      <c r="I22" s="97">
        <v>1</v>
      </c>
      <c r="J22" s="96" t="s">
        <v>39</v>
      </c>
      <c r="K22" s="96">
        <v>14</v>
      </c>
      <c r="L22" s="97">
        <f t="shared" si="0"/>
        <v>12.6</v>
      </c>
      <c r="M22" s="97" t="b">
        <f t="shared" si="1"/>
        <v>1</v>
      </c>
    </row>
    <row r="23" spans="1:13" ht="20.100000000000001" customHeight="1" x14ac:dyDescent="0.25">
      <c r="A23" s="95" t="s">
        <v>382</v>
      </c>
      <c r="B23" s="95" t="s">
        <v>403</v>
      </c>
      <c r="C23" s="96">
        <v>62.9</v>
      </c>
      <c r="D23" s="96">
        <v>62.47</v>
      </c>
      <c r="E23" s="96">
        <v>63.03</v>
      </c>
      <c r="F23" s="97">
        <v>62.99</v>
      </c>
      <c r="G23" s="98">
        <v>-1.4287982219400445E-3</v>
      </c>
      <c r="H23" s="97" t="s">
        <v>735</v>
      </c>
      <c r="I23" s="97">
        <v>3.14</v>
      </c>
      <c r="J23" s="96">
        <v>41.41</v>
      </c>
      <c r="K23" s="96">
        <v>60.8</v>
      </c>
      <c r="L23" s="97">
        <f t="shared" si="0"/>
        <v>54.72</v>
      </c>
      <c r="M23" s="97" t="b">
        <f t="shared" si="1"/>
        <v>0</v>
      </c>
    </row>
    <row r="24" spans="1:13" ht="20.100000000000001" customHeight="1" x14ac:dyDescent="0.25">
      <c r="A24" s="95" t="s">
        <v>7</v>
      </c>
      <c r="B24" s="95" t="s">
        <v>59</v>
      </c>
      <c r="C24" s="96">
        <v>42.38</v>
      </c>
      <c r="D24" s="96">
        <v>42.33</v>
      </c>
      <c r="E24" s="96">
        <v>42.82</v>
      </c>
      <c r="F24" s="97">
        <v>42.74</v>
      </c>
      <c r="G24" s="98">
        <v>-8.4230229293401834E-3</v>
      </c>
      <c r="H24" s="97" t="s">
        <v>736</v>
      </c>
      <c r="I24" s="97">
        <v>3.82</v>
      </c>
      <c r="J24" s="96">
        <v>15.3</v>
      </c>
      <c r="K24" s="96">
        <v>45</v>
      </c>
      <c r="L24" s="97">
        <f t="shared" si="0"/>
        <v>40.5</v>
      </c>
      <c r="M24" s="97" t="b">
        <f t="shared" si="1"/>
        <v>0</v>
      </c>
    </row>
    <row r="25" spans="1:13" ht="20.100000000000001" customHeight="1" x14ac:dyDescent="0.25">
      <c r="A25" s="95" t="s">
        <v>396</v>
      </c>
      <c r="B25" s="95" t="s">
        <v>417</v>
      </c>
      <c r="C25" s="96">
        <v>76.95</v>
      </c>
      <c r="D25" s="96">
        <v>76.45</v>
      </c>
      <c r="E25" s="96">
        <v>77.23</v>
      </c>
      <c r="F25" s="97">
        <v>77.08</v>
      </c>
      <c r="G25" s="98">
        <v>-1.6865594187856182E-3</v>
      </c>
      <c r="H25" s="97" t="s">
        <v>737</v>
      </c>
      <c r="I25" s="97">
        <v>3.29</v>
      </c>
      <c r="J25" s="96">
        <v>20.32</v>
      </c>
      <c r="K25" s="96">
        <v>75.150000000000006</v>
      </c>
      <c r="L25" s="97">
        <f t="shared" si="0"/>
        <v>67.635000000000005</v>
      </c>
      <c r="M25" s="97" t="b">
        <f t="shared" si="1"/>
        <v>0</v>
      </c>
    </row>
    <row r="26" spans="1:13" ht="20.100000000000001" customHeight="1" x14ac:dyDescent="0.25">
      <c r="A26" s="95" t="s">
        <v>383</v>
      </c>
      <c r="B26" s="95" t="s">
        <v>404</v>
      </c>
      <c r="C26" s="96">
        <v>34.71</v>
      </c>
      <c r="D26" s="96">
        <v>34.549999999999997</v>
      </c>
      <c r="E26" s="96">
        <v>34.950000000000003</v>
      </c>
      <c r="F26" s="97">
        <v>34.93</v>
      </c>
      <c r="G26" s="98">
        <v>-6.2983109075293118E-3</v>
      </c>
      <c r="H26" s="97" t="s">
        <v>738</v>
      </c>
      <c r="I26" s="97">
        <v>4.34</v>
      </c>
      <c r="J26" s="96">
        <v>13.46</v>
      </c>
      <c r="K26" s="96">
        <v>37.17</v>
      </c>
      <c r="L26" s="97">
        <f t="shared" si="0"/>
        <v>33.453000000000003</v>
      </c>
      <c r="M26" s="97" t="b">
        <f t="shared" si="1"/>
        <v>0</v>
      </c>
    </row>
    <row r="27" spans="1:13" ht="20.100000000000001" customHeight="1" x14ac:dyDescent="0.25">
      <c r="A27" s="95" t="s">
        <v>395</v>
      </c>
      <c r="B27" s="95" t="s">
        <v>416</v>
      </c>
      <c r="C27" s="96">
        <v>72.61</v>
      </c>
      <c r="D27" s="96">
        <v>72.06</v>
      </c>
      <c r="E27" s="96">
        <v>73.040000000000006</v>
      </c>
      <c r="F27" s="97">
        <v>72.84</v>
      </c>
      <c r="G27" s="98">
        <v>-3.1576057111477756E-3</v>
      </c>
      <c r="H27" s="97" t="s">
        <v>739</v>
      </c>
      <c r="I27" s="97">
        <v>3.21</v>
      </c>
      <c r="J27" s="96">
        <v>19.66</v>
      </c>
      <c r="K27" s="96">
        <v>70.510000000000005</v>
      </c>
      <c r="L27" s="97">
        <f t="shared" si="0"/>
        <v>63.459000000000003</v>
      </c>
      <c r="M27" s="97" t="b">
        <f t="shared" si="1"/>
        <v>0</v>
      </c>
    </row>
    <row r="28" spans="1:13" ht="20.100000000000001" customHeight="1" x14ac:dyDescent="0.25">
      <c r="A28" s="95" t="s">
        <v>380</v>
      </c>
      <c r="B28" s="95" t="s">
        <v>401</v>
      </c>
      <c r="C28" s="96">
        <v>52.22</v>
      </c>
      <c r="D28" s="96">
        <v>51.94</v>
      </c>
      <c r="E28" s="96">
        <v>52.34</v>
      </c>
      <c r="F28" s="97">
        <v>52.13</v>
      </c>
      <c r="G28" s="98">
        <v>1.7264530980240994E-3</v>
      </c>
      <c r="H28" s="97" t="s">
        <v>740</v>
      </c>
      <c r="I28" s="97">
        <v>4.18</v>
      </c>
      <c r="J28" s="96">
        <v>20.73</v>
      </c>
      <c r="K28" s="96">
        <v>51.02</v>
      </c>
      <c r="L28" s="97">
        <f t="shared" si="0"/>
        <v>45.918000000000006</v>
      </c>
      <c r="M28" s="97" t="b">
        <f t="shared" si="1"/>
        <v>0</v>
      </c>
    </row>
    <row r="29" spans="1:13" ht="20.100000000000001" customHeight="1" x14ac:dyDescent="0.25">
      <c r="A29" s="95" t="s">
        <v>384</v>
      </c>
      <c r="B29" s="95" t="s">
        <v>405</v>
      </c>
      <c r="C29" s="96">
        <v>106.04</v>
      </c>
      <c r="D29" s="96">
        <v>105.55</v>
      </c>
      <c r="E29" s="96">
        <v>106.08</v>
      </c>
      <c r="F29" s="97">
        <v>106.09</v>
      </c>
      <c r="G29" s="98">
        <v>-4.7129795456685039E-4</v>
      </c>
      <c r="H29" s="97" t="s">
        <v>741</v>
      </c>
      <c r="I29" s="97">
        <v>2.9</v>
      </c>
      <c r="J29" s="96">
        <v>28</v>
      </c>
      <c r="K29" s="96">
        <v>105.95</v>
      </c>
      <c r="L29" s="97">
        <f t="shared" si="0"/>
        <v>95.355000000000004</v>
      </c>
      <c r="M29" s="97" t="b">
        <f t="shared" si="1"/>
        <v>0</v>
      </c>
    </row>
    <row r="30" spans="1:13" ht="20.100000000000001" customHeight="1" x14ac:dyDescent="0.25">
      <c r="A30" s="99" t="s">
        <v>136</v>
      </c>
      <c r="B30" s="95" t="s">
        <v>138</v>
      </c>
      <c r="C30" s="96">
        <v>80.569999999999993</v>
      </c>
      <c r="D30" s="96">
        <v>78.900000000000006</v>
      </c>
      <c r="E30" s="96">
        <v>80.86</v>
      </c>
      <c r="F30" s="97">
        <v>79.27</v>
      </c>
      <c r="G30" s="98">
        <v>1.6399646776838618E-2</v>
      </c>
      <c r="H30" s="97" t="s">
        <v>742</v>
      </c>
      <c r="I30" s="97">
        <v>3.01</v>
      </c>
      <c r="J30" s="96">
        <v>42.41</v>
      </c>
      <c r="K30" s="96">
        <v>72.89</v>
      </c>
      <c r="L30" s="97">
        <f t="shared" si="0"/>
        <v>65.600999999999999</v>
      </c>
      <c r="M30" s="97" t="b">
        <f t="shared" si="1"/>
        <v>0</v>
      </c>
    </row>
    <row r="31" spans="1:13" ht="20.100000000000001" customHeight="1" x14ac:dyDescent="0.25">
      <c r="A31" s="95" t="s">
        <v>400</v>
      </c>
      <c r="B31" s="95" t="s">
        <v>628</v>
      </c>
      <c r="C31" s="96">
        <v>27.64</v>
      </c>
      <c r="D31" s="96" t="s">
        <v>39</v>
      </c>
      <c r="E31" s="96" t="s">
        <v>39</v>
      </c>
      <c r="F31" s="97">
        <v>27.64</v>
      </c>
      <c r="G31" s="98">
        <v>0</v>
      </c>
      <c r="H31" s="97" t="s">
        <v>39</v>
      </c>
      <c r="I31" s="97">
        <v>3.33</v>
      </c>
      <c r="J31" s="96" t="s">
        <v>39</v>
      </c>
      <c r="K31" s="96">
        <v>27.39</v>
      </c>
      <c r="L31" s="97">
        <f t="shared" si="0"/>
        <v>24.651</v>
      </c>
      <c r="M31" s="97" t="b">
        <f t="shared" si="1"/>
        <v>0</v>
      </c>
    </row>
    <row r="32" spans="1:13" ht="20.100000000000001" customHeight="1" x14ac:dyDescent="0.25">
      <c r="A32" s="95" t="s">
        <v>388</v>
      </c>
      <c r="B32" s="95" t="s">
        <v>409</v>
      </c>
      <c r="C32" s="96">
        <v>61.11</v>
      </c>
      <c r="D32" s="96">
        <v>60.93</v>
      </c>
      <c r="E32" s="96">
        <v>61.43</v>
      </c>
      <c r="F32" s="97">
        <v>61.46</v>
      </c>
      <c r="G32" s="98">
        <v>-5.694760820045581E-3</v>
      </c>
      <c r="H32" s="97" t="s">
        <v>743</v>
      </c>
      <c r="I32" s="97">
        <v>3.27</v>
      </c>
      <c r="J32" s="96">
        <v>21.82</v>
      </c>
      <c r="K32" s="96">
        <v>60.64</v>
      </c>
      <c r="L32" s="97">
        <f t="shared" si="0"/>
        <v>54.576000000000001</v>
      </c>
      <c r="M32" s="97" t="b">
        <f t="shared" si="1"/>
        <v>0</v>
      </c>
    </row>
    <row r="33" spans="1:13" ht="20.100000000000001" customHeight="1" x14ac:dyDescent="0.25">
      <c r="A33" s="95" t="s">
        <v>387</v>
      </c>
      <c r="B33" s="95" t="s">
        <v>408</v>
      </c>
      <c r="C33" s="96">
        <v>42.38</v>
      </c>
      <c r="D33" s="96">
        <v>41.84</v>
      </c>
      <c r="E33" s="96">
        <v>42.46</v>
      </c>
      <c r="F33" s="97">
        <v>42.2</v>
      </c>
      <c r="G33" s="98">
        <v>4.2654028436018886E-3</v>
      </c>
      <c r="H33" s="97" t="s">
        <v>744</v>
      </c>
      <c r="I33" s="97">
        <v>3.26</v>
      </c>
      <c r="J33" s="96">
        <v>20.09</v>
      </c>
      <c r="K33" s="96">
        <v>41.79</v>
      </c>
      <c r="L33" s="97">
        <f t="shared" si="0"/>
        <v>37.610999999999997</v>
      </c>
      <c r="M33" s="97" t="b">
        <f t="shared" si="1"/>
        <v>0</v>
      </c>
    </row>
  </sheetData>
  <conditionalFormatting sqref="G1:G33">
    <cfRule type="colorScale" priority="7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9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1" t="s">
        <v>452</v>
      </c>
      <c r="B2" s="2" t="s">
        <v>459</v>
      </c>
      <c r="C2" s="4">
        <v>72.87</v>
      </c>
      <c r="D2" s="4">
        <v>72.22</v>
      </c>
      <c r="E2" s="4">
        <v>72.959999999999994</v>
      </c>
      <c r="F2" s="5">
        <v>72.400000000000006</v>
      </c>
      <c r="G2" s="6">
        <v>6.4917127071823042E-3</v>
      </c>
      <c r="H2" s="5" t="s">
        <v>900</v>
      </c>
      <c r="I2" s="5">
        <v>2.8</v>
      </c>
      <c r="J2" s="4">
        <v>15.69</v>
      </c>
      <c r="K2" s="4">
        <v>70.42</v>
      </c>
      <c r="L2" s="100">
        <f t="shared" ref="L2:L9" si="0">K2*0.9</f>
        <v>63.378</v>
      </c>
      <c r="M2" s="100" t="b">
        <f t="shared" ref="M2:M9" si="1">L2&gt;C2</f>
        <v>0</v>
      </c>
    </row>
    <row r="3" spans="1:13" ht="20.100000000000001" customHeight="1" x14ac:dyDescent="0.25">
      <c r="A3" s="2" t="s">
        <v>453</v>
      </c>
      <c r="B3" s="2" t="s">
        <v>460</v>
      </c>
      <c r="C3" s="4">
        <v>69.23</v>
      </c>
      <c r="D3" s="4">
        <v>68.75</v>
      </c>
      <c r="E3" s="4">
        <v>69.33</v>
      </c>
      <c r="F3" s="5">
        <v>69.209999999999994</v>
      </c>
      <c r="G3" s="6">
        <v>2.8897558156350576E-4</v>
      </c>
      <c r="H3" s="5" t="s">
        <v>901</v>
      </c>
      <c r="I3" s="5">
        <v>3.47</v>
      </c>
      <c r="J3" s="4">
        <v>12.81</v>
      </c>
      <c r="K3" s="4">
        <v>74.989999999999995</v>
      </c>
      <c r="L3" s="100">
        <f t="shared" si="0"/>
        <v>67.491</v>
      </c>
      <c r="M3" s="100" t="b">
        <f t="shared" si="1"/>
        <v>0</v>
      </c>
    </row>
    <row r="4" spans="1:13" ht="20.100000000000001" customHeight="1" x14ac:dyDescent="0.25">
      <c r="A4" s="81" t="s">
        <v>454</v>
      </c>
      <c r="B4" s="2" t="s">
        <v>461</v>
      </c>
      <c r="C4" s="4">
        <v>31.08</v>
      </c>
      <c r="D4" s="4">
        <v>30.83</v>
      </c>
      <c r="E4" s="4">
        <v>31.35</v>
      </c>
      <c r="F4" s="5">
        <v>31.25</v>
      </c>
      <c r="G4" s="6">
        <v>-5.4400000000000542E-3</v>
      </c>
      <c r="H4" s="5" t="s">
        <v>902</v>
      </c>
      <c r="I4" s="5">
        <v>1.56</v>
      </c>
      <c r="J4" s="4">
        <v>14.74</v>
      </c>
      <c r="K4" s="4">
        <v>35.619999999999997</v>
      </c>
      <c r="L4" s="100">
        <f t="shared" si="0"/>
        <v>32.058</v>
      </c>
      <c r="M4" s="100" t="b">
        <f t="shared" si="1"/>
        <v>1</v>
      </c>
    </row>
    <row r="5" spans="1:13" ht="20.100000000000001" customHeight="1" x14ac:dyDescent="0.25">
      <c r="A5" s="2" t="s">
        <v>455</v>
      </c>
      <c r="B5" s="2" t="s">
        <v>462</v>
      </c>
      <c r="C5" s="4">
        <v>28.39</v>
      </c>
      <c r="D5" s="4">
        <v>28.11</v>
      </c>
      <c r="E5" s="4">
        <v>28.55</v>
      </c>
      <c r="F5" s="5">
        <v>28.52</v>
      </c>
      <c r="G5" s="6">
        <v>-4.5582047685834154E-3</v>
      </c>
      <c r="H5" s="5" t="s">
        <v>903</v>
      </c>
      <c r="I5" s="5">
        <v>1.89</v>
      </c>
      <c r="J5" s="4">
        <v>20.13</v>
      </c>
      <c r="K5" s="4">
        <v>31.47</v>
      </c>
      <c r="L5" s="100">
        <f t="shared" si="0"/>
        <v>28.323</v>
      </c>
      <c r="M5" s="100" t="b">
        <f t="shared" si="1"/>
        <v>0</v>
      </c>
    </row>
    <row r="6" spans="1:13" ht="20.100000000000001" customHeight="1" x14ac:dyDescent="0.25">
      <c r="A6" s="81" t="s">
        <v>456</v>
      </c>
      <c r="B6" s="2" t="s">
        <v>463</v>
      </c>
      <c r="C6" s="4">
        <v>71.91</v>
      </c>
      <c r="D6" s="4">
        <v>71.11</v>
      </c>
      <c r="E6" s="4">
        <v>72.36</v>
      </c>
      <c r="F6" s="5">
        <v>72.53</v>
      </c>
      <c r="G6" s="6">
        <v>-8.5481869571212531E-3</v>
      </c>
      <c r="H6" s="5" t="s">
        <v>904</v>
      </c>
      <c r="I6" s="5">
        <v>1.4</v>
      </c>
      <c r="J6" s="4">
        <v>16.82</v>
      </c>
      <c r="K6" s="4">
        <v>86.11</v>
      </c>
      <c r="L6" s="100">
        <f t="shared" si="0"/>
        <v>77.498999999999995</v>
      </c>
      <c r="M6" s="100" t="b">
        <f t="shared" si="1"/>
        <v>1</v>
      </c>
    </row>
    <row r="7" spans="1:13" ht="20.100000000000001" customHeight="1" x14ac:dyDescent="0.25">
      <c r="A7" s="2" t="s">
        <v>457</v>
      </c>
      <c r="B7" s="2" t="s">
        <v>464</v>
      </c>
      <c r="C7" s="4">
        <v>81.099999999999994</v>
      </c>
      <c r="D7" s="4">
        <v>80.53</v>
      </c>
      <c r="E7" s="4">
        <v>81.62</v>
      </c>
      <c r="F7" s="5">
        <v>81.99</v>
      </c>
      <c r="G7" s="6">
        <v>-1.085498231491646E-2</v>
      </c>
      <c r="H7" s="5" t="s">
        <v>905</v>
      </c>
      <c r="I7" s="5" t="s">
        <v>39</v>
      </c>
      <c r="J7" s="4">
        <v>26.91</v>
      </c>
      <c r="K7" s="4">
        <v>86.71</v>
      </c>
      <c r="L7" s="100">
        <f t="shared" si="0"/>
        <v>78.039000000000001</v>
      </c>
      <c r="M7" s="100" t="b">
        <f t="shared" si="1"/>
        <v>0</v>
      </c>
    </row>
    <row r="8" spans="1:13" ht="20.100000000000001" customHeight="1" x14ac:dyDescent="0.25">
      <c r="A8" s="2" t="s">
        <v>714</v>
      </c>
      <c r="B8" s="2" t="s">
        <v>715</v>
      </c>
      <c r="C8" s="4">
        <v>20.09</v>
      </c>
      <c r="D8" s="4">
        <v>19.79</v>
      </c>
      <c r="E8" s="4">
        <v>20.18</v>
      </c>
      <c r="F8" s="5">
        <v>20.02</v>
      </c>
      <c r="G8" s="6">
        <v>3.4965034965035108E-3</v>
      </c>
      <c r="H8" s="5" t="s">
        <v>906</v>
      </c>
      <c r="I8" s="5" t="s">
        <v>39</v>
      </c>
      <c r="J8" s="4">
        <v>21.42</v>
      </c>
      <c r="K8" s="4">
        <v>25.02</v>
      </c>
      <c r="L8" s="100">
        <f>K8*0.9</f>
        <v>22.518000000000001</v>
      </c>
      <c r="M8" s="100" t="b">
        <f>L8&gt;C8</f>
        <v>1</v>
      </c>
    </row>
    <row r="9" spans="1:13" ht="20.100000000000001" customHeight="1" x14ac:dyDescent="0.25">
      <c r="A9" s="2" t="s">
        <v>458</v>
      </c>
      <c r="B9" s="2" t="s">
        <v>465</v>
      </c>
      <c r="C9" s="4">
        <v>152.35</v>
      </c>
      <c r="D9" s="4">
        <v>151.13999999999999</v>
      </c>
      <c r="E9" s="4">
        <v>152.66</v>
      </c>
      <c r="F9" s="5">
        <v>152.66999999999999</v>
      </c>
      <c r="G9" s="6">
        <v>-2.0960241042771548E-3</v>
      </c>
      <c r="H9" s="5" t="s">
        <v>907</v>
      </c>
      <c r="I9" s="5">
        <v>1.19</v>
      </c>
      <c r="J9" s="4">
        <v>28.79</v>
      </c>
      <c r="K9" s="4">
        <v>156.38</v>
      </c>
      <c r="L9" s="100">
        <f t="shared" si="0"/>
        <v>140.74199999999999</v>
      </c>
      <c r="M9" s="100" t="b">
        <f t="shared" si="1"/>
        <v>0</v>
      </c>
    </row>
  </sheetData>
  <conditionalFormatting sqref="G1:G9">
    <cfRule type="colorScale" priority="88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9">
    <cfRule type="colorScale" priority="9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534</v>
      </c>
      <c r="M1" s="76" t="s">
        <v>541</v>
      </c>
    </row>
    <row r="2" spans="1:13" ht="20.100000000000001" customHeight="1" thickTop="1" x14ac:dyDescent="0.25">
      <c r="A2" s="2" t="s">
        <v>521</v>
      </c>
      <c r="B2" s="2" t="s">
        <v>525</v>
      </c>
      <c r="C2" s="4">
        <v>62.81</v>
      </c>
      <c r="D2" s="4">
        <v>62.48</v>
      </c>
      <c r="E2" s="4">
        <v>62.9</v>
      </c>
      <c r="F2" s="5">
        <v>62.83</v>
      </c>
      <c r="G2" s="6">
        <v>-3.183192742319914E-4</v>
      </c>
      <c r="H2" s="5" t="s">
        <v>908</v>
      </c>
      <c r="I2" s="5">
        <v>2.61</v>
      </c>
      <c r="J2" s="4">
        <v>24.54</v>
      </c>
      <c r="K2" s="4">
        <v>62.07</v>
      </c>
      <c r="L2" s="100">
        <f t="shared" ref="L2:L5" si="0">K2*0.9</f>
        <v>55.863</v>
      </c>
      <c r="M2" s="100" t="b">
        <f t="shared" ref="M2:M5" si="1">L2&gt;C2</f>
        <v>0</v>
      </c>
    </row>
    <row r="3" spans="1:13" ht="20.100000000000001" customHeight="1" x14ac:dyDescent="0.25">
      <c r="A3" s="2" t="s">
        <v>522</v>
      </c>
      <c r="B3" s="2" t="s">
        <v>526</v>
      </c>
      <c r="C3" s="4">
        <v>50.26</v>
      </c>
      <c r="D3" s="4">
        <v>49.77</v>
      </c>
      <c r="E3" s="4">
        <v>50.32</v>
      </c>
      <c r="F3" s="5">
        <v>50.24</v>
      </c>
      <c r="G3" s="6">
        <v>3.9808917197444306E-4</v>
      </c>
      <c r="H3" s="5" t="s">
        <v>854</v>
      </c>
      <c r="I3" s="5">
        <v>2.5499999999999998</v>
      </c>
      <c r="J3" s="4">
        <v>24.15</v>
      </c>
      <c r="K3" s="4">
        <v>49.16</v>
      </c>
      <c r="L3" s="100">
        <f t="shared" si="0"/>
        <v>44.244</v>
      </c>
      <c r="M3" s="100" t="b">
        <f t="shared" si="1"/>
        <v>0</v>
      </c>
    </row>
    <row r="4" spans="1:13" ht="20.100000000000001" customHeight="1" x14ac:dyDescent="0.25">
      <c r="A4" s="2" t="s">
        <v>523</v>
      </c>
      <c r="B4" s="2" t="s">
        <v>527</v>
      </c>
      <c r="C4" s="4">
        <v>81.239999999999995</v>
      </c>
      <c r="D4" s="4">
        <v>80.73</v>
      </c>
      <c r="E4" s="4">
        <v>82.39</v>
      </c>
      <c r="F4" s="5">
        <v>81.760000000000005</v>
      </c>
      <c r="G4" s="6">
        <v>-6.3600782778866216E-3</v>
      </c>
      <c r="H4" s="5" t="s">
        <v>909</v>
      </c>
      <c r="I4" s="5" t="s">
        <v>39</v>
      </c>
      <c r="J4" s="4">
        <v>28.6</v>
      </c>
      <c r="K4" s="4">
        <v>103.72</v>
      </c>
      <c r="L4" s="100">
        <f t="shared" si="0"/>
        <v>93.347999999999999</v>
      </c>
      <c r="M4" s="100" t="b">
        <f t="shared" si="1"/>
        <v>1</v>
      </c>
    </row>
    <row r="5" spans="1:13" ht="20.100000000000001" customHeight="1" x14ac:dyDescent="0.25">
      <c r="A5" s="2" t="s">
        <v>524</v>
      </c>
      <c r="B5" s="2" t="s">
        <v>528</v>
      </c>
      <c r="C5" s="4">
        <v>75.489999999999995</v>
      </c>
      <c r="D5" s="4">
        <v>75.010000000000005</v>
      </c>
      <c r="E5" s="4">
        <v>76.599999999999994</v>
      </c>
      <c r="F5" s="5">
        <v>76.72</v>
      </c>
      <c r="G5" s="6">
        <v>-1.6032325338894735E-2</v>
      </c>
      <c r="H5" s="5" t="s">
        <v>910</v>
      </c>
      <c r="I5" s="5">
        <v>0.76</v>
      </c>
      <c r="J5" s="4" t="s">
        <v>39</v>
      </c>
      <c r="K5" s="4">
        <v>69.989999999999995</v>
      </c>
      <c r="L5" s="100">
        <f t="shared" si="0"/>
        <v>62.991</v>
      </c>
      <c r="M5" s="100" t="b">
        <f t="shared" si="1"/>
        <v>0</v>
      </c>
    </row>
  </sheetData>
  <conditionalFormatting sqref="G1:G5">
    <cfRule type="colorScale" priority="6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Index</vt:lpstr>
      <vt:lpstr>Advertisers</vt:lpstr>
      <vt:lpstr>Aerospace</vt:lpstr>
      <vt:lpstr>AgChemical</vt:lpstr>
      <vt:lpstr>Airlines</vt:lpstr>
      <vt:lpstr>Apparel</vt:lpstr>
      <vt:lpstr>Auto</vt:lpstr>
      <vt:lpstr>BioPharma</vt:lpstr>
      <vt:lpstr>Brokers</vt:lpstr>
      <vt:lpstr>Builder</vt:lpstr>
      <vt:lpstr>Cruise</vt:lpstr>
      <vt:lpstr>Defense</vt:lpstr>
      <vt:lpstr>Electricity</vt:lpstr>
      <vt:lpstr>Electronics</vt:lpstr>
      <vt:lpstr>E_P</vt:lpstr>
      <vt:lpstr>ETF</vt:lpstr>
      <vt:lpstr>Fashion</vt:lpstr>
      <vt:lpstr>FastFood</vt:lpstr>
      <vt:lpstr>Financial</vt:lpstr>
      <vt:lpstr>Food</vt:lpstr>
      <vt:lpstr>Game</vt:lpstr>
      <vt:lpstr>Health</vt:lpstr>
      <vt:lpstr>HomeProducts</vt:lpstr>
      <vt:lpstr>Industrials</vt:lpstr>
      <vt:lpstr>IndustryCongl.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  <vt:lpstr>WasteMgt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2016-12-12T00:58:45Z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