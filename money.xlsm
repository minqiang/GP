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1"/>
  </bookViews>
  <sheets>
    <sheet name="CLOSED" sheetId="1" r:id="rId1"/>
    <sheet name="ACTIVE" sheetId="35" r:id="rId2"/>
    <sheet name="MRO" sheetId="25" state="hidden" r:id="rId3"/>
    <sheet name="CPN" sheetId="7" r:id="rId4"/>
    <sheet name="MU" sheetId="17" state="hidden" r:id="rId5"/>
    <sheet name="INTC" sheetId="13" state="hidden" r:id="rId6"/>
    <sheet name="HES" sheetId="10" r:id="rId7"/>
    <sheet name="UNP" sheetId="20" state="hidden" r:id="rId8"/>
    <sheet name="PINC" sheetId="11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ONCS" sheetId="12" state="hidden" r:id="rId14"/>
    <sheet name="NSC" sheetId="24" state="hidden" r:id="rId15"/>
    <sheet name="CAH" sheetId="27" state="hidden" r:id="rId16"/>
    <sheet name="SCTY" sheetId="18" state="hidden" r:id="rId17"/>
    <sheet name="ATE" sheetId="14" state="hidden" r:id="rId18"/>
    <sheet name="CTWS" sheetId="9" state="hidden" r:id="rId19"/>
    <sheet name="AVGO" sheetId="15" state="hidden" r:id="rId20"/>
    <sheet name="DIS" sheetId="34" state="hidden" r:id="rId21"/>
    <sheet name="GILD" sheetId="31" state="hidden" r:id="rId22"/>
    <sheet name="WWD" sheetId="28" state="hidden" r:id="rId23"/>
    <sheet name="GM" sheetId="29" state="hidden" r:id="rId24"/>
    <sheet name="TCO" sheetId="21" state="hidden" r:id="rId25"/>
    <sheet name="TKR" sheetId="32" state="hidden" r:id="rId26"/>
    <sheet name="UTX" sheetId="30" state="hidden" r:id="rId27"/>
    <sheet name="UNH" sheetId="26" state="hidden" r:id="rId28"/>
    <sheet name="BIIB" sheetId="33" state="hidden" r:id="rId29"/>
    <sheet name="AAVL" sheetId="8" state="hidden" r:id="rId30"/>
    <sheet name="BLUE" sheetId="4" state="hidden" r:id="rId31"/>
  </sheets>
  <definedNames>
    <definedName name="PL" localSheetId="9">AA!$O$7</definedName>
    <definedName name="PL" localSheetId="29">AAVL!$O$7</definedName>
    <definedName name="PL" localSheetId="2">MRO!$O$7</definedName>
    <definedName name="PL">AAVL!$O$7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7" i="22" l="1"/>
  <c r="M18" i="22"/>
  <c r="M19" i="22"/>
  <c r="M20" i="22"/>
  <c r="M21" i="22"/>
  <c r="M22" i="22"/>
  <c r="M23" i="22"/>
  <c r="M24" i="22"/>
  <c r="M25" i="22"/>
  <c r="M26" i="22"/>
  <c r="M27" i="22"/>
  <c r="M28" i="22"/>
  <c r="M29" i="22"/>
  <c r="E32" i="17"/>
  <c r="C33" i="17"/>
  <c r="E141" i="1"/>
  <c r="H3" i="17" l="1"/>
  <c r="H4" i="17"/>
  <c r="H5" i="17"/>
  <c r="H2" i="17"/>
  <c r="H6" i="17"/>
  <c r="H3" i="4"/>
  <c r="H4" i="4"/>
  <c r="H5" i="4"/>
  <c r="H2" i="4"/>
  <c r="E31" i="17"/>
  <c r="E30" i="17"/>
  <c r="E2" i="25"/>
  <c r="I2" i="25"/>
  <c r="E3" i="25"/>
  <c r="I3" i="25"/>
  <c r="E4" i="25"/>
  <c r="I4" i="25"/>
  <c r="E5" i="25"/>
  <c r="I5" i="25"/>
  <c r="M22" i="29" l="1"/>
  <c r="M23" i="29"/>
  <c r="M24" i="29"/>
  <c r="O24" i="29" s="1"/>
  <c r="O22" i="29"/>
  <c r="M25" i="29"/>
  <c r="M29" i="9"/>
  <c r="O29" i="9" s="1"/>
  <c r="M28" i="9"/>
  <c r="O28" i="9" s="1"/>
  <c r="M27" i="9"/>
  <c r="O27" i="9" s="1"/>
  <c r="M26" i="9"/>
  <c r="O26" i="9" s="1"/>
  <c r="M25" i="9"/>
  <c r="O25" i="9" s="1"/>
  <c r="M24" i="9"/>
  <c r="O24" i="9" s="1"/>
  <c r="M23" i="9"/>
  <c r="O23" i="9" s="1"/>
  <c r="M22" i="9"/>
  <c r="O22" i="9" s="1"/>
  <c r="M21" i="9"/>
  <c r="O21" i="9" s="1"/>
  <c r="M20" i="9"/>
  <c r="O20" i="9" s="1"/>
  <c r="M19" i="9"/>
  <c r="O19" i="9" s="1"/>
  <c r="M18" i="9"/>
  <c r="O18" i="9" s="1"/>
  <c r="M17" i="9"/>
  <c r="O17" i="9" s="1"/>
  <c r="M31" i="11"/>
  <c r="O31" i="11" s="1"/>
  <c r="M30" i="11"/>
  <c r="O30" i="11" s="1"/>
  <c r="M29" i="11"/>
  <c r="O29" i="11" s="1"/>
  <c r="M28" i="11"/>
  <c r="O28" i="11" s="1"/>
  <c r="M27" i="11"/>
  <c r="O27" i="11" s="1"/>
  <c r="M26" i="11"/>
  <c r="O26" i="11" s="1"/>
  <c r="M25" i="11"/>
  <c r="O25" i="11" s="1"/>
  <c r="M24" i="11"/>
  <c r="O24" i="11" s="1"/>
  <c r="M23" i="11"/>
  <c r="O23" i="11" s="1"/>
  <c r="M22" i="11"/>
  <c r="O22" i="11" s="1"/>
  <c r="M21" i="11"/>
  <c r="O21" i="11" s="1"/>
  <c r="M20" i="11"/>
  <c r="O20" i="11" s="1"/>
  <c r="M19" i="11"/>
  <c r="O19" i="11" s="1"/>
  <c r="M32" i="27"/>
  <c r="O32" i="27" s="1"/>
  <c r="M31" i="27"/>
  <c r="O31" i="27" s="1"/>
  <c r="M30" i="27"/>
  <c r="O30" i="27" s="1"/>
  <c r="M29" i="27"/>
  <c r="O29" i="27" s="1"/>
  <c r="M28" i="27"/>
  <c r="O28" i="27" s="1"/>
  <c r="M27" i="27"/>
  <c r="O27" i="27" s="1"/>
  <c r="M26" i="27"/>
  <c r="O26" i="27" s="1"/>
  <c r="M25" i="27"/>
  <c r="O25" i="27" s="1"/>
  <c r="M24" i="27"/>
  <c r="O24" i="27" s="1"/>
  <c r="M23" i="27"/>
  <c r="O23" i="27" s="1"/>
  <c r="M22" i="27"/>
  <c r="O22" i="27" s="1"/>
  <c r="M21" i="27"/>
  <c r="O21" i="27" s="1"/>
  <c r="M20" i="27"/>
  <c r="O20" i="27" s="1"/>
  <c r="M29" i="21"/>
  <c r="O29" i="21" s="1"/>
  <c r="M28" i="21"/>
  <c r="O28" i="21" s="1"/>
  <c r="M27" i="21"/>
  <c r="O27" i="21" s="1"/>
  <c r="M26" i="21"/>
  <c r="O26" i="21" s="1"/>
  <c r="M25" i="21"/>
  <c r="O25" i="21" s="1"/>
  <c r="M24" i="21"/>
  <c r="O24" i="21" s="1"/>
  <c r="M23" i="21"/>
  <c r="O23" i="21" s="1"/>
  <c r="M22" i="21"/>
  <c r="O22" i="21" s="1"/>
  <c r="M21" i="21"/>
  <c r="O21" i="21" s="1"/>
  <c r="M20" i="21"/>
  <c r="O20" i="21" s="1"/>
  <c r="M19" i="21"/>
  <c r="O19" i="21" s="1"/>
  <c r="M18" i="21"/>
  <c r="O18" i="21" s="1"/>
  <c r="M17" i="21"/>
  <c r="O17" i="21" s="1"/>
  <c r="M31" i="18"/>
  <c r="O31" i="18" s="1"/>
  <c r="M30" i="18"/>
  <c r="O30" i="18" s="1"/>
  <c r="M29" i="18"/>
  <c r="O29" i="18" s="1"/>
  <c r="M28" i="18"/>
  <c r="O28" i="18" s="1"/>
  <c r="M27" i="18"/>
  <c r="O27" i="18" s="1"/>
  <c r="M26" i="18"/>
  <c r="O26" i="18" s="1"/>
  <c r="M25" i="18"/>
  <c r="O25" i="18" s="1"/>
  <c r="M24" i="18"/>
  <c r="O24" i="18" s="1"/>
  <c r="M23" i="18"/>
  <c r="O23" i="18" s="1"/>
  <c r="M22" i="18"/>
  <c r="O22" i="18" s="1"/>
  <c r="M21" i="18"/>
  <c r="O21" i="18" s="1"/>
  <c r="M20" i="18"/>
  <c r="O20" i="18" s="1"/>
  <c r="M19" i="18"/>
  <c r="O19" i="18" s="1"/>
  <c r="M29" i="31"/>
  <c r="O29" i="31" s="1"/>
  <c r="O28" i="31"/>
  <c r="M28" i="31"/>
  <c r="M27" i="31"/>
  <c r="O27" i="31" s="1"/>
  <c r="M26" i="31"/>
  <c r="O26" i="31" s="1"/>
  <c r="M25" i="31"/>
  <c r="O25" i="31" s="1"/>
  <c r="M24" i="31"/>
  <c r="O24" i="31" s="1"/>
  <c r="M23" i="31"/>
  <c r="O23" i="31" s="1"/>
  <c r="O22" i="31"/>
  <c r="M22" i="31"/>
  <c r="M21" i="31"/>
  <c r="O21" i="31" s="1"/>
  <c r="O20" i="31"/>
  <c r="M20" i="31"/>
  <c r="M19" i="31"/>
  <c r="O19" i="31" s="1"/>
  <c r="M18" i="31"/>
  <c r="O18" i="31" s="1"/>
  <c r="M17" i="31"/>
  <c r="O17" i="31" s="1"/>
  <c r="M32" i="26"/>
  <c r="O32" i="26" s="1"/>
  <c r="M31" i="26"/>
  <c r="O31" i="26" s="1"/>
  <c r="M30" i="26"/>
  <c r="O30" i="26" s="1"/>
  <c r="M29" i="26"/>
  <c r="O29" i="26" s="1"/>
  <c r="M28" i="26"/>
  <c r="O28" i="26" s="1"/>
  <c r="M27" i="26"/>
  <c r="O27" i="26" s="1"/>
  <c r="M26" i="26"/>
  <c r="O26" i="26" s="1"/>
  <c r="M25" i="26"/>
  <c r="O25" i="26" s="1"/>
  <c r="M24" i="26"/>
  <c r="O24" i="26" s="1"/>
  <c r="M23" i="26"/>
  <c r="O23" i="26" s="1"/>
  <c r="M22" i="26"/>
  <c r="O22" i="26" s="1"/>
  <c r="M21" i="26"/>
  <c r="O21" i="26" s="1"/>
  <c r="M20" i="26"/>
  <c r="O20" i="26" s="1"/>
  <c r="M30" i="28"/>
  <c r="O30" i="28" s="1"/>
  <c r="M29" i="28"/>
  <c r="O29" i="28" s="1"/>
  <c r="M28" i="28"/>
  <c r="O28" i="28" s="1"/>
  <c r="M27" i="28"/>
  <c r="O27" i="28" s="1"/>
  <c r="M26" i="28"/>
  <c r="O26" i="28" s="1"/>
  <c r="M25" i="28"/>
  <c r="O25" i="28" s="1"/>
  <c r="M24" i="28"/>
  <c r="O24" i="28" s="1"/>
  <c r="M23" i="28"/>
  <c r="O23" i="28" s="1"/>
  <c r="M22" i="28"/>
  <c r="O22" i="28" s="1"/>
  <c r="M21" i="28"/>
  <c r="O21" i="28" s="1"/>
  <c r="M20" i="28"/>
  <c r="O20" i="28" s="1"/>
  <c r="M19" i="28"/>
  <c r="O19" i="28" s="1"/>
  <c r="M18" i="28"/>
  <c r="O18" i="28" s="1"/>
  <c r="M34" i="29"/>
  <c r="O34" i="29" s="1"/>
  <c r="M33" i="29"/>
  <c r="O33" i="29" s="1"/>
  <c r="M32" i="29"/>
  <c r="O32" i="29" s="1"/>
  <c r="M31" i="29"/>
  <c r="O31" i="29" s="1"/>
  <c r="M30" i="29"/>
  <c r="O30" i="29" s="1"/>
  <c r="M29" i="29"/>
  <c r="O29" i="29" s="1"/>
  <c r="M28" i="29"/>
  <c r="O28" i="29" s="1"/>
  <c r="M27" i="29"/>
  <c r="O27" i="29" s="1"/>
  <c r="M26" i="29"/>
  <c r="O26" i="29" s="1"/>
  <c r="O25" i="29"/>
  <c r="O23" i="29"/>
  <c r="M32" i="30"/>
  <c r="O32" i="30" s="1"/>
  <c r="M31" i="30"/>
  <c r="O31" i="30" s="1"/>
  <c r="M30" i="30"/>
  <c r="O30" i="30" s="1"/>
  <c r="M29" i="30"/>
  <c r="O29" i="30" s="1"/>
  <c r="M28" i="30"/>
  <c r="O28" i="30" s="1"/>
  <c r="M27" i="30"/>
  <c r="O27" i="30" s="1"/>
  <c r="M26" i="30"/>
  <c r="O26" i="30" s="1"/>
  <c r="M25" i="30"/>
  <c r="O25" i="30" s="1"/>
  <c r="M24" i="30"/>
  <c r="O24" i="30" s="1"/>
  <c r="M23" i="30"/>
  <c r="O23" i="30" s="1"/>
  <c r="M22" i="30"/>
  <c r="O22" i="30" s="1"/>
  <c r="M21" i="30"/>
  <c r="O21" i="30" s="1"/>
  <c r="M20" i="30"/>
  <c r="O20" i="30" s="1"/>
  <c r="M35" i="12"/>
  <c r="O35" i="12" s="1"/>
  <c r="M34" i="12"/>
  <c r="O34" i="12" s="1"/>
  <c r="M33" i="12"/>
  <c r="O33" i="12" s="1"/>
  <c r="M32" i="12"/>
  <c r="O32" i="12" s="1"/>
  <c r="M31" i="12"/>
  <c r="O31" i="12" s="1"/>
  <c r="M30" i="12"/>
  <c r="O30" i="12" s="1"/>
  <c r="M29" i="12"/>
  <c r="O29" i="12" s="1"/>
  <c r="M28" i="12"/>
  <c r="O28" i="12" s="1"/>
  <c r="M27" i="12"/>
  <c r="O27" i="12" s="1"/>
  <c r="M26" i="12"/>
  <c r="O26" i="12" s="1"/>
  <c r="M25" i="12"/>
  <c r="O25" i="12" s="1"/>
  <c r="M24" i="12"/>
  <c r="O24" i="12" s="1"/>
  <c r="M23" i="12"/>
  <c r="O23" i="12" s="1"/>
  <c r="M32" i="33"/>
  <c r="O32" i="33" s="1"/>
  <c r="M31" i="33"/>
  <c r="O31" i="33" s="1"/>
  <c r="M30" i="33"/>
  <c r="O30" i="33" s="1"/>
  <c r="M29" i="33"/>
  <c r="O29" i="33" s="1"/>
  <c r="M28" i="33"/>
  <c r="O28" i="33" s="1"/>
  <c r="M27" i="33"/>
  <c r="O27" i="33" s="1"/>
  <c r="M26" i="33"/>
  <c r="O26" i="33" s="1"/>
  <c r="M25" i="33"/>
  <c r="O25" i="33" s="1"/>
  <c r="M24" i="33"/>
  <c r="O24" i="33" s="1"/>
  <c r="M23" i="33"/>
  <c r="O23" i="33" s="1"/>
  <c r="M22" i="33"/>
  <c r="O22" i="33" s="1"/>
  <c r="M21" i="33"/>
  <c r="O21" i="33" s="1"/>
  <c r="M20" i="33"/>
  <c r="O20" i="33" s="1"/>
  <c r="M33" i="32"/>
  <c r="O33" i="32" s="1"/>
  <c r="M32" i="32"/>
  <c r="O32" i="32" s="1"/>
  <c r="M31" i="32"/>
  <c r="O31" i="32" s="1"/>
  <c r="M30" i="32"/>
  <c r="O30" i="32" s="1"/>
  <c r="O29" i="32"/>
  <c r="M29" i="32"/>
  <c r="M28" i="32"/>
  <c r="O28" i="32" s="1"/>
  <c r="M27" i="32"/>
  <c r="O27" i="32" s="1"/>
  <c r="M26" i="32"/>
  <c r="O26" i="32" s="1"/>
  <c r="M25" i="32"/>
  <c r="O25" i="32" s="1"/>
  <c r="M24" i="32"/>
  <c r="O24" i="32" s="1"/>
  <c r="M23" i="32"/>
  <c r="O23" i="32" s="1"/>
  <c r="M22" i="32"/>
  <c r="O22" i="32" s="1"/>
  <c r="O21" i="32"/>
  <c r="M21" i="32"/>
  <c r="M30" i="34"/>
  <c r="O30" i="34" s="1"/>
  <c r="M29" i="34"/>
  <c r="O29" i="34" s="1"/>
  <c r="M28" i="34"/>
  <c r="O28" i="34" s="1"/>
  <c r="M27" i="34"/>
  <c r="O27" i="34" s="1"/>
  <c r="M26" i="34"/>
  <c r="O26" i="34" s="1"/>
  <c r="M25" i="34"/>
  <c r="O25" i="34" s="1"/>
  <c r="M24" i="34"/>
  <c r="O24" i="34" s="1"/>
  <c r="M23" i="34"/>
  <c r="O23" i="34" s="1"/>
  <c r="M22" i="34"/>
  <c r="O22" i="34" s="1"/>
  <c r="M21" i="34"/>
  <c r="O21" i="34" s="1"/>
  <c r="M20" i="34"/>
  <c r="O20" i="34" s="1"/>
  <c r="M19" i="34"/>
  <c r="O19" i="34" s="1"/>
  <c r="M18" i="34"/>
  <c r="O18" i="34" s="1"/>
  <c r="M31" i="5"/>
  <c r="O31" i="5" s="1"/>
  <c r="M30" i="5"/>
  <c r="O30" i="5" s="1"/>
  <c r="M29" i="5"/>
  <c r="O29" i="5" s="1"/>
  <c r="M28" i="5"/>
  <c r="O28" i="5" s="1"/>
  <c r="M27" i="5"/>
  <c r="O27" i="5" s="1"/>
  <c r="M26" i="5"/>
  <c r="O26" i="5" s="1"/>
  <c r="M25" i="5"/>
  <c r="O25" i="5" s="1"/>
  <c r="M24" i="5"/>
  <c r="O24" i="5" s="1"/>
  <c r="M23" i="5"/>
  <c r="O23" i="5" s="1"/>
  <c r="M22" i="5"/>
  <c r="O22" i="5" s="1"/>
  <c r="M21" i="5"/>
  <c r="O21" i="5" s="1"/>
  <c r="M20" i="5"/>
  <c r="O20" i="5" s="1"/>
  <c r="M19" i="5"/>
  <c r="O19" i="5" s="1"/>
  <c r="M29" i="15"/>
  <c r="O29" i="15" s="1"/>
  <c r="M28" i="15"/>
  <c r="O28" i="15" s="1"/>
  <c r="M27" i="15"/>
  <c r="O27" i="15" s="1"/>
  <c r="M26" i="15"/>
  <c r="O26" i="15" s="1"/>
  <c r="M25" i="15"/>
  <c r="O25" i="15" s="1"/>
  <c r="M24" i="15"/>
  <c r="O24" i="15" s="1"/>
  <c r="M23" i="15"/>
  <c r="O23" i="15" s="1"/>
  <c r="M22" i="15"/>
  <c r="O22" i="15" s="1"/>
  <c r="M21" i="15"/>
  <c r="O21" i="15" s="1"/>
  <c r="M20" i="15"/>
  <c r="O20" i="15" s="1"/>
  <c r="M19" i="15"/>
  <c r="O19" i="15" s="1"/>
  <c r="M18" i="15"/>
  <c r="O18" i="15" s="1"/>
  <c r="M17" i="15"/>
  <c r="O17" i="15" s="1"/>
  <c r="M27" i="14"/>
  <c r="O27" i="14" s="1"/>
  <c r="M26" i="14"/>
  <c r="O26" i="14" s="1"/>
  <c r="M25" i="14"/>
  <c r="O25" i="14" s="1"/>
  <c r="M24" i="14"/>
  <c r="O24" i="14" s="1"/>
  <c r="M23" i="14"/>
  <c r="O23" i="14" s="1"/>
  <c r="M22" i="14"/>
  <c r="O22" i="14" s="1"/>
  <c r="M21" i="14"/>
  <c r="O21" i="14" s="1"/>
  <c r="M20" i="14"/>
  <c r="O20" i="14" s="1"/>
  <c r="M19" i="14"/>
  <c r="O19" i="14" s="1"/>
  <c r="M18" i="14"/>
  <c r="O18" i="14" s="1"/>
  <c r="M17" i="14"/>
  <c r="O17" i="14" s="1"/>
  <c r="M16" i="14"/>
  <c r="O16" i="14" s="1"/>
  <c r="M15" i="14"/>
  <c r="O15" i="14" s="1"/>
  <c r="M30" i="24"/>
  <c r="O30" i="24" s="1"/>
  <c r="M29" i="24"/>
  <c r="O29" i="24" s="1"/>
  <c r="M28" i="24"/>
  <c r="O28" i="24" s="1"/>
  <c r="M27" i="24"/>
  <c r="O27" i="24" s="1"/>
  <c r="M26" i="24"/>
  <c r="O26" i="24" s="1"/>
  <c r="M25" i="24"/>
  <c r="O25" i="24" s="1"/>
  <c r="M24" i="24"/>
  <c r="O24" i="24" s="1"/>
  <c r="M23" i="24"/>
  <c r="O23" i="24" s="1"/>
  <c r="M22" i="24"/>
  <c r="O22" i="24" s="1"/>
  <c r="M21" i="24"/>
  <c r="O21" i="24" s="1"/>
  <c r="M20" i="24"/>
  <c r="O20" i="24" s="1"/>
  <c r="M19" i="24"/>
  <c r="O19" i="24" s="1"/>
  <c r="M18" i="24"/>
  <c r="O18" i="24" s="1"/>
  <c r="M34" i="16"/>
  <c r="O34" i="16" s="1"/>
  <c r="M33" i="16"/>
  <c r="O33" i="16" s="1"/>
  <c r="M32" i="16"/>
  <c r="O32" i="16" s="1"/>
  <c r="M31" i="16"/>
  <c r="O31" i="16" s="1"/>
  <c r="M30" i="16"/>
  <c r="O30" i="16" s="1"/>
  <c r="M29" i="16"/>
  <c r="O29" i="16" s="1"/>
  <c r="M28" i="16"/>
  <c r="O28" i="16" s="1"/>
  <c r="M27" i="16"/>
  <c r="O27" i="16" s="1"/>
  <c r="M26" i="16"/>
  <c r="O26" i="16" s="1"/>
  <c r="M25" i="16"/>
  <c r="O25" i="16" s="1"/>
  <c r="M24" i="16"/>
  <c r="O24" i="16" s="1"/>
  <c r="M23" i="16"/>
  <c r="O23" i="16" s="1"/>
  <c r="M22" i="16"/>
  <c r="O22" i="16" s="1"/>
  <c r="M29" i="20"/>
  <c r="O29" i="20" s="1"/>
  <c r="M28" i="20"/>
  <c r="O28" i="20" s="1"/>
  <c r="M27" i="20"/>
  <c r="O27" i="20" s="1"/>
  <c r="M26" i="20"/>
  <c r="O26" i="20" s="1"/>
  <c r="M25" i="20"/>
  <c r="O25" i="20" s="1"/>
  <c r="M24" i="20"/>
  <c r="O24" i="20" s="1"/>
  <c r="M23" i="20"/>
  <c r="O23" i="20" s="1"/>
  <c r="M22" i="20"/>
  <c r="O22" i="20" s="1"/>
  <c r="M21" i="20"/>
  <c r="O21" i="20" s="1"/>
  <c r="M20" i="20"/>
  <c r="O20" i="20" s="1"/>
  <c r="M19" i="20"/>
  <c r="O19" i="20" s="1"/>
  <c r="M18" i="20"/>
  <c r="O18" i="20" s="1"/>
  <c r="M17" i="20"/>
  <c r="O17" i="20" s="1"/>
  <c r="M32" i="10"/>
  <c r="O32" i="10" s="1"/>
  <c r="M31" i="10"/>
  <c r="O31" i="10" s="1"/>
  <c r="M30" i="10"/>
  <c r="O30" i="10" s="1"/>
  <c r="M29" i="10"/>
  <c r="O29" i="10" s="1"/>
  <c r="M28" i="10"/>
  <c r="O28" i="10" s="1"/>
  <c r="M27" i="10"/>
  <c r="O27" i="10" s="1"/>
  <c r="M26" i="10"/>
  <c r="O26" i="10" s="1"/>
  <c r="M25" i="10"/>
  <c r="O25" i="10" s="1"/>
  <c r="M24" i="10"/>
  <c r="O24" i="10" s="1"/>
  <c r="M23" i="10"/>
  <c r="O23" i="10" s="1"/>
  <c r="M22" i="10"/>
  <c r="O22" i="10" s="1"/>
  <c r="M21" i="10"/>
  <c r="O21" i="10" s="1"/>
  <c r="M20" i="10"/>
  <c r="O20" i="10" s="1"/>
  <c r="M32" i="13"/>
  <c r="O32" i="13" s="1"/>
  <c r="M31" i="13"/>
  <c r="O31" i="13" s="1"/>
  <c r="M30" i="13"/>
  <c r="O30" i="13" s="1"/>
  <c r="M29" i="13"/>
  <c r="O29" i="13" s="1"/>
  <c r="M28" i="13"/>
  <c r="O28" i="13" s="1"/>
  <c r="M27" i="13"/>
  <c r="O27" i="13" s="1"/>
  <c r="M26" i="13"/>
  <c r="O26" i="13" s="1"/>
  <c r="M25" i="13"/>
  <c r="O25" i="13" s="1"/>
  <c r="M24" i="13"/>
  <c r="O24" i="13" s="1"/>
  <c r="M23" i="13"/>
  <c r="O23" i="13" s="1"/>
  <c r="M22" i="13"/>
  <c r="O22" i="13" s="1"/>
  <c r="M21" i="13"/>
  <c r="O21" i="13" s="1"/>
  <c r="M20" i="13"/>
  <c r="O20" i="13" s="1"/>
  <c r="M32" i="3"/>
  <c r="O32" i="3" s="1"/>
  <c r="M31" i="3"/>
  <c r="O31" i="3" s="1"/>
  <c r="M30" i="3"/>
  <c r="O30" i="3" s="1"/>
  <c r="M29" i="3"/>
  <c r="O29" i="3" s="1"/>
  <c r="M28" i="3"/>
  <c r="O28" i="3" s="1"/>
  <c r="M27" i="3"/>
  <c r="O27" i="3" s="1"/>
  <c r="M26" i="3"/>
  <c r="O26" i="3" s="1"/>
  <c r="M25" i="3"/>
  <c r="O25" i="3" s="1"/>
  <c r="M24" i="3"/>
  <c r="O24" i="3" s="1"/>
  <c r="M23" i="3"/>
  <c r="O23" i="3" s="1"/>
  <c r="M22" i="3"/>
  <c r="O22" i="3" s="1"/>
  <c r="M21" i="3"/>
  <c r="O21" i="3" s="1"/>
  <c r="M20" i="3"/>
  <c r="O20" i="3" s="1"/>
  <c r="M29" i="4"/>
  <c r="O29" i="4" s="1"/>
  <c r="M28" i="4"/>
  <c r="O28" i="4" s="1"/>
  <c r="M27" i="4"/>
  <c r="O27" i="4" s="1"/>
  <c r="M26" i="4"/>
  <c r="O26" i="4" s="1"/>
  <c r="M25" i="4"/>
  <c r="O25" i="4" s="1"/>
  <c r="M24" i="4"/>
  <c r="O24" i="4" s="1"/>
  <c r="M23" i="4"/>
  <c r="O23" i="4" s="1"/>
  <c r="M22" i="4"/>
  <c r="O22" i="4" s="1"/>
  <c r="M21" i="4"/>
  <c r="O21" i="4" s="1"/>
  <c r="M20" i="4"/>
  <c r="O20" i="4" s="1"/>
  <c r="M19" i="4"/>
  <c r="O19" i="4" s="1"/>
  <c r="M18" i="4"/>
  <c r="O18" i="4" s="1"/>
  <c r="M17" i="4"/>
  <c r="O17" i="4" s="1"/>
  <c r="M28" i="8"/>
  <c r="O28" i="8" s="1"/>
  <c r="M27" i="8"/>
  <c r="O27" i="8" s="1"/>
  <c r="M26" i="8"/>
  <c r="O26" i="8" s="1"/>
  <c r="M25" i="8"/>
  <c r="O25" i="8" s="1"/>
  <c r="M24" i="8"/>
  <c r="O24" i="8" s="1"/>
  <c r="M23" i="8"/>
  <c r="O23" i="8" s="1"/>
  <c r="M22" i="8"/>
  <c r="O22" i="8" s="1"/>
  <c r="M21" i="8"/>
  <c r="O21" i="8" s="1"/>
  <c r="M20" i="8"/>
  <c r="O20" i="8" s="1"/>
  <c r="M19" i="8"/>
  <c r="O19" i="8" s="1"/>
  <c r="M18" i="8"/>
  <c r="O18" i="8" s="1"/>
  <c r="M17" i="8"/>
  <c r="O17" i="8" s="1"/>
  <c r="M16" i="8"/>
  <c r="O16" i="8" s="1"/>
  <c r="C25" i="7"/>
  <c r="M30" i="7"/>
  <c r="O30" i="7" s="1"/>
  <c r="M29" i="7"/>
  <c r="O29" i="7" s="1"/>
  <c r="M28" i="7"/>
  <c r="O28" i="7" s="1"/>
  <c r="M27" i="7"/>
  <c r="O27" i="7" s="1"/>
  <c r="M26" i="7"/>
  <c r="O26" i="7" s="1"/>
  <c r="M25" i="7"/>
  <c r="O25" i="7" s="1"/>
  <c r="M24" i="7"/>
  <c r="O24" i="7" s="1"/>
  <c r="M23" i="7"/>
  <c r="O23" i="7" s="1"/>
  <c r="M22" i="7"/>
  <c r="O22" i="7" s="1"/>
  <c r="M21" i="7"/>
  <c r="O21" i="7" s="1"/>
  <c r="M20" i="7"/>
  <c r="O20" i="7" s="1"/>
  <c r="M19" i="7"/>
  <c r="O19" i="7" s="1"/>
  <c r="M18" i="7"/>
  <c r="O18" i="7" s="1"/>
  <c r="M28" i="17"/>
  <c r="O28" i="17" s="1"/>
  <c r="M27" i="17"/>
  <c r="O27" i="17" s="1"/>
  <c r="M26" i="17"/>
  <c r="O26" i="17" s="1"/>
  <c r="M25" i="17"/>
  <c r="O25" i="17" s="1"/>
  <c r="M24" i="17"/>
  <c r="O24" i="17" s="1"/>
  <c r="M23" i="17"/>
  <c r="O23" i="17" s="1"/>
  <c r="M22" i="17"/>
  <c r="O22" i="17" s="1"/>
  <c r="M21" i="17"/>
  <c r="O21" i="17" s="1"/>
  <c r="M20" i="17"/>
  <c r="O20" i="17" s="1"/>
  <c r="M19" i="17"/>
  <c r="O19" i="17" s="1"/>
  <c r="M18" i="17"/>
  <c r="O18" i="17" s="1"/>
  <c r="M17" i="17"/>
  <c r="O17" i="17" s="1"/>
  <c r="M16" i="17"/>
  <c r="O16" i="17" s="1"/>
  <c r="O29" i="22" l="1"/>
  <c r="O28" i="22"/>
  <c r="O27" i="22"/>
  <c r="O26" i="22"/>
  <c r="O25" i="22"/>
  <c r="O24" i="22"/>
  <c r="O23" i="22"/>
  <c r="O22" i="22"/>
  <c r="O21" i="22"/>
  <c r="O20" i="22"/>
  <c r="O19" i="22"/>
  <c r="O18" i="22"/>
  <c r="O17" i="22"/>
  <c r="M30" i="25" l="1"/>
  <c r="M18" i="25"/>
  <c r="M20" i="25"/>
  <c r="M21" i="25"/>
  <c r="M22" i="25"/>
  <c r="M23" i="25"/>
  <c r="M24" i="25"/>
  <c r="M25" i="25"/>
  <c r="M26" i="25"/>
  <c r="M27" i="25"/>
  <c r="M28" i="25"/>
  <c r="M29" i="25"/>
  <c r="M19" i="25"/>
  <c r="G6" i="1"/>
  <c r="E3" i="30" l="1"/>
  <c r="E8" i="30" s="1"/>
  <c r="E2" i="30"/>
  <c r="I8" i="30"/>
  <c r="G8" i="30"/>
  <c r="C8" i="30"/>
  <c r="O2" i="30" s="1"/>
  <c r="O5" i="30" s="1"/>
  <c r="O2" i="32"/>
  <c r="O5" i="32" s="1"/>
  <c r="I8" i="32"/>
  <c r="G8" i="32"/>
  <c r="E8" i="32"/>
  <c r="C8" i="32"/>
  <c r="E3" i="29"/>
  <c r="O3" i="31"/>
  <c r="O2" i="31"/>
  <c r="E2" i="31"/>
  <c r="E10" i="31" s="1"/>
  <c r="C10" i="31"/>
  <c r="O5" i="31"/>
  <c r="G6" i="34"/>
  <c r="I6" i="34"/>
  <c r="K6" i="34"/>
  <c r="C6" i="34"/>
  <c r="E3" i="15"/>
  <c r="E4" i="15"/>
  <c r="E5" i="15"/>
  <c r="E6" i="15"/>
  <c r="E5" i="9"/>
  <c r="K24" i="25"/>
  <c r="K13" i="10"/>
  <c r="E24" i="17"/>
  <c r="E29" i="17"/>
  <c r="E27" i="17"/>
  <c r="E2" i="15"/>
  <c r="H2" i="15"/>
  <c r="K7" i="15"/>
  <c r="G7" i="15"/>
  <c r="C7" i="15"/>
  <c r="I7" i="15"/>
  <c r="O6" i="26"/>
  <c r="O5" i="26"/>
  <c r="O7" i="26" s="1"/>
  <c r="O3" i="26"/>
  <c r="E6" i="26"/>
  <c r="O2" i="26"/>
  <c r="E3" i="26"/>
  <c r="E2" i="26"/>
  <c r="C6" i="26"/>
  <c r="E2" i="33"/>
  <c r="E5" i="33" s="1"/>
  <c r="O3" i="33" s="1"/>
  <c r="C5" i="33"/>
  <c r="O2" i="33" s="1"/>
  <c r="O5" i="33" s="1"/>
  <c r="E4" i="8"/>
  <c r="E5" i="8"/>
  <c r="E3" i="8"/>
  <c r="E2" i="8"/>
  <c r="C6" i="8"/>
  <c r="O2" i="8" s="1"/>
  <c r="E112" i="1"/>
  <c r="I112" i="1"/>
  <c r="E113" i="1"/>
  <c r="I113" i="1"/>
  <c r="E114" i="1"/>
  <c r="E115" i="1"/>
  <c r="E116" i="1"/>
  <c r="E117" i="1"/>
  <c r="E118" i="1"/>
  <c r="C119" i="1"/>
  <c r="G119" i="1"/>
  <c r="E121" i="1"/>
  <c r="I121" i="1"/>
  <c r="E122" i="1"/>
  <c r="I122" i="1"/>
  <c r="O5" i="21"/>
  <c r="O5" i="18"/>
  <c r="E4" i="32"/>
  <c r="O5" i="28"/>
  <c r="O3" i="24"/>
  <c r="O2" i="24"/>
  <c r="O6" i="24" s="1"/>
  <c r="E6" i="24"/>
  <c r="C6" i="24"/>
  <c r="E3" i="24"/>
  <c r="E4" i="24"/>
  <c r="E5" i="24"/>
  <c r="E2" i="24"/>
  <c r="O5" i="16"/>
  <c r="O5" i="12"/>
  <c r="O5" i="11"/>
  <c r="E21" i="17"/>
  <c r="E20" i="17"/>
  <c r="E19" i="17"/>
  <c r="O3" i="30" l="1"/>
  <c r="O6" i="30" s="1"/>
  <c r="O7" i="30" s="1"/>
  <c r="O3" i="32"/>
  <c r="O6" i="32" s="1"/>
  <c r="O7" i="32" s="1"/>
  <c r="O6" i="31"/>
  <c r="O7" i="31"/>
  <c r="E7" i="15"/>
  <c r="O2" i="15"/>
  <c r="O6" i="33"/>
  <c r="O7" i="33" s="1"/>
  <c r="E6" i="8"/>
  <c r="O3" i="8" s="1"/>
  <c r="O6" i="8"/>
  <c r="O5" i="8"/>
  <c r="E119" i="1"/>
  <c r="I119" i="1"/>
  <c r="O5" i="24"/>
  <c r="O7" i="24" s="1"/>
  <c r="O5" i="15" l="1"/>
  <c r="O3" i="15"/>
  <c r="O6" i="15" s="1"/>
  <c r="O7" i="8"/>
  <c r="L119" i="1"/>
  <c r="M119" i="1" s="1"/>
  <c r="I3" i="22"/>
  <c r="E23" i="25"/>
  <c r="C24" i="25"/>
  <c r="E8" i="4"/>
  <c r="E9" i="4"/>
  <c r="C9" i="4"/>
  <c r="I3" i="7"/>
  <c r="E22" i="25"/>
  <c r="E28" i="17"/>
  <c r="G35" i="1"/>
  <c r="C35" i="1"/>
  <c r="E34" i="1"/>
  <c r="I33" i="1"/>
  <c r="E33" i="1"/>
  <c r="I32" i="1"/>
  <c r="E32" i="1"/>
  <c r="E26" i="17"/>
  <c r="I3" i="3"/>
  <c r="G25" i="7"/>
  <c r="I2" i="7"/>
  <c r="I25" i="7" s="1"/>
  <c r="C8" i="14"/>
  <c r="O7" i="15" l="1"/>
  <c r="I35" i="1"/>
  <c r="E35" i="1"/>
  <c r="I3" i="18"/>
  <c r="E24" i="7"/>
  <c r="L35" i="1" l="1"/>
  <c r="M35" i="1" s="1"/>
  <c r="E21" i="25"/>
  <c r="E20" i="25"/>
  <c r="E25" i="17"/>
  <c r="E6" i="14"/>
  <c r="E5" i="14"/>
  <c r="E4" i="14"/>
  <c r="E3" i="14"/>
  <c r="E2" i="14"/>
  <c r="G8" i="14"/>
  <c r="O2" i="14" s="1"/>
  <c r="O5" i="14" s="1"/>
  <c r="I2" i="14"/>
  <c r="I8" i="14" s="1"/>
  <c r="E6" i="18"/>
  <c r="E8" i="18"/>
  <c r="C8" i="18"/>
  <c r="E5" i="18"/>
  <c r="G5" i="28"/>
  <c r="C5" i="28"/>
  <c r="E3" i="28"/>
  <c r="I2" i="28"/>
  <c r="I5" i="28" s="1"/>
  <c r="E2" i="28"/>
  <c r="G6" i="29"/>
  <c r="C6" i="29"/>
  <c r="O2" i="29" s="1"/>
  <c r="O5" i="29" s="1"/>
  <c r="I2" i="29"/>
  <c r="I6" i="29" s="1"/>
  <c r="E4" i="29"/>
  <c r="E5" i="29"/>
  <c r="E2" i="29"/>
  <c r="E6" i="29" s="1"/>
  <c r="E23" i="7"/>
  <c r="E11" i="3"/>
  <c r="C12" i="3"/>
  <c r="E8" i="14" l="1"/>
  <c r="O3" i="14" s="1"/>
  <c r="O6" i="14" s="1"/>
  <c r="O7" i="14" s="1"/>
  <c r="O3" i="29"/>
  <c r="O6" i="29" s="1"/>
  <c r="O7" i="29" s="1"/>
  <c r="O2" i="28"/>
  <c r="E5" i="28"/>
  <c r="E10" i="3"/>
  <c r="I6" i="11"/>
  <c r="O3" i="11" s="1"/>
  <c r="O6" i="11" s="1"/>
  <c r="O7" i="11" s="1"/>
  <c r="I3" i="11"/>
  <c r="O2" i="11"/>
  <c r="G6" i="11"/>
  <c r="E6" i="11"/>
  <c r="C6" i="11"/>
  <c r="I2" i="11"/>
  <c r="E3" i="11"/>
  <c r="E4" i="11"/>
  <c r="E5" i="11"/>
  <c r="E2" i="11"/>
  <c r="E23" i="17"/>
  <c r="O3" i="21"/>
  <c r="O6" i="21" s="1"/>
  <c r="O7" i="21" s="1"/>
  <c r="O2" i="21"/>
  <c r="I4" i="21"/>
  <c r="G4" i="21"/>
  <c r="I2" i="21"/>
  <c r="E22" i="7"/>
  <c r="E22" i="17"/>
  <c r="K80" i="1"/>
  <c r="G80" i="1"/>
  <c r="C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I59" i="1"/>
  <c r="E59" i="1"/>
  <c r="I58" i="1"/>
  <c r="E58" i="1"/>
  <c r="I57" i="1"/>
  <c r="E57" i="1"/>
  <c r="I56" i="1"/>
  <c r="E56" i="1"/>
  <c r="I55" i="1"/>
  <c r="E55" i="1"/>
  <c r="I54" i="1"/>
  <c r="E54" i="1"/>
  <c r="I53" i="1"/>
  <c r="E53" i="1"/>
  <c r="I52" i="1"/>
  <c r="E52" i="1"/>
  <c r="I51" i="1"/>
  <c r="E51" i="1"/>
  <c r="I50" i="1"/>
  <c r="E50" i="1"/>
  <c r="O2" i="18"/>
  <c r="I8" i="18"/>
  <c r="G8" i="18"/>
  <c r="E3" i="18"/>
  <c r="E4" i="18"/>
  <c r="I2" i="18"/>
  <c r="E2" i="18"/>
  <c r="I80" i="1" l="1"/>
  <c r="E80" i="1"/>
  <c r="O3" i="18"/>
  <c r="O6" i="18" s="1"/>
  <c r="O7" i="18" s="1"/>
  <c r="O3" i="28"/>
  <c r="O6" i="28" s="1"/>
  <c r="O7" i="28" s="1"/>
  <c r="I2" i="9"/>
  <c r="I7" i="9" s="1"/>
  <c r="G7" i="9"/>
  <c r="H7" i="9"/>
  <c r="K7" i="9"/>
  <c r="E3" i="9"/>
  <c r="E4" i="9"/>
  <c r="E6" i="9"/>
  <c r="E2" i="9"/>
  <c r="C7" i="9"/>
  <c r="L80" i="1" l="1"/>
  <c r="M80" i="1" s="1"/>
  <c r="O2" i="9"/>
  <c r="O5" i="9" s="1"/>
  <c r="E7" i="9"/>
  <c r="E19" i="25"/>
  <c r="E21" i="7"/>
  <c r="E18" i="25"/>
  <c r="I3" i="16"/>
  <c r="E18" i="17"/>
  <c r="E5" i="34"/>
  <c r="E4" i="34"/>
  <c r="E2" i="34"/>
  <c r="O2" i="34"/>
  <c r="O5" i="34" s="1"/>
  <c r="E3" i="34"/>
  <c r="E12" i="10"/>
  <c r="C13" i="10"/>
  <c r="E17" i="25"/>
  <c r="E11" i="10"/>
  <c r="E16" i="25"/>
  <c r="E15" i="25"/>
  <c r="E10" i="20"/>
  <c r="C11" i="20"/>
  <c r="O3" i="12"/>
  <c r="O6" i="12" s="1"/>
  <c r="O7" i="12" s="1"/>
  <c r="O2" i="12"/>
  <c r="I6" i="12"/>
  <c r="G6" i="12"/>
  <c r="E6" i="12"/>
  <c r="C6" i="12"/>
  <c r="I2" i="12"/>
  <c r="E3" i="12"/>
  <c r="E4" i="12"/>
  <c r="E5" i="12"/>
  <c r="E2" i="12"/>
  <c r="G12" i="5"/>
  <c r="E3" i="5"/>
  <c r="E4" i="5"/>
  <c r="E5" i="5"/>
  <c r="E6" i="5"/>
  <c r="E7" i="5"/>
  <c r="E8" i="5"/>
  <c r="E9" i="5"/>
  <c r="E10" i="5"/>
  <c r="E11" i="5"/>
  <c r="I2" i="5"/>
  <c r="I12" i="5" s="1"/>
  <c r="E2" i="5"/>
  <c r="E12" i="5" s="1"/>
  <c r="C12" i="5"/>
  <c r="O2" i="5" s="1"/>
  <c r="O5" i="5" s="1"/>
  <c r="C10" i="13"/>
  <c r="O2" i="13" s="1"/>
  <c r="O5" i="13" s="1"/>
  <c r="E3" i="13"/>
  <c r="E4" i="13"/>
  <c r="E5" i="13"/>
  <c r="E6" i="13"/>
  <c r="E7" i="13"/>
  <c r="E8" i="13"/>
  <c r="E9" i="13"/>
  <c r="E2" i="13"/>
  <c r="O2" i="16"/>
  <c r="I10" i="16"/>
  <c r="G10" i="16"/>
  <c r="E10" i="16"/>
  <c r="E3" i="16"/>
  <c r="E4" i="16"/>
  <c r="E5" i="16"/>
  <c r="E6" i="16"/>
  <c r="E7" i="16"/>
  <c r="E8" i="16"/>
  <c r="E9" i="16"/>
  <c r="I2" i="16"/>
  <c r="E2" i="16"/>
  <c r="C10" i="16"/>
  <c r="G12" i="3"/>
  <c r="O2" i="3" s="1"/>
  <c r="E3" i="3"/>
  <c r="E4" i="3"/>
  <c r="E5" i="3"/>
  <c r="E6" i="3"/>
  <c r="E7" i="3"/>
  <c r="E8" i="3"/>
  <c r="E9" i="3"/>
  <c r="I2" i="3"/>
  <c r="I12" i="3" s="1"/>
  <c r="E2" i="3"/>
  <c r="E8" i="27"/>
  <c r="C10" i="27"/>
  <c r="E5" i="22"/>
  <c r="E6" i="22"/>
  <c r="E7" i="22"/>
  <c r="C8" i="22"/>
  <c r="E20" i="7"/>
  <c r="G8" i="22"/>
  <c r="E4" i="22"/>
  <c r="E17" i="17"/>
  <c r="E3" i="22"/>
  <c r="I2" i="22"/>
  <c r="I8" i="22" s="1"/>
  <c r="E2" i="22"/>
  <c r="O2" i="7"/>
  <c r="O6" i="7" s="1"/>
  <c r="E19" i="7"/>
  <c r="E18" i="7"/>
  <c r="E14" i="25"/>
  <c r="E8" i="22" l="1"/>
  <c r="E6" i="34"/>
  <c r="E10" i="13"/>
  <c r="O3" i="13" s="1"/>
  <c r="O6" i="13" s="1"/>
  <c r="O7" i="9"/>
  <c r="O5" i="3"/>
  <c r="E12" i="3"/>
  <c r="O3" i="3" s="1"/>
  <c r="O6" i="3" s="1"/>
  <c r="O7" i="13"/>
  <c r="O3" i="9"/>
  <c r="O6" i="9" s="1"/>
  <c r="O3" i="16"/>
  <c r="O6" i="16" s="1"/>
  <c r="O7" i="16" s="1"/>
  <c r="O3" i="34"/>
  <c r="O6" i="34" s="1"/>
  <c r="O7" i="34" s="1"/>
  <c r="O3" i="5"/>
  <c r="O6" i="5" s="1"/>
  <c r="O7" i="5" s="1"/>
  <c r="O2" i="22"/>
  <c r="I13" i="10"/>
  <c r="I3" i="10"/>
  <c r="E3" i="10"/>
  <c r="E4" i="10"/>
  <c r="E5" i="10"/>
  <c r="E6" i="10"/>
  <c r="E7" i="10"/>
  <c r="E8" i="10"/>
  <c r="E9" i="10"/>
  <c r="E10" i="10"/>
  <c r="I2" i="10"/>
  <c r="E2" i="10"/>
  <c r="G13" i="10"/>
  <c r="O2" i="10" s="1"/>
  <c r="E13" i="7"/>
  <c r="E17" i="7"/>
  <c r="E16" i="7"/>
  <c r="E13" i="10" l="1"/>
  <c r="O3" i="10"/>
  <c r="O6" i="10" s="1"/>
  <c r="O5" i="10"/>
  <c r="O3" i="22"/>
  <c r="O6" i="22" s="1"/>
  <c r="O5" i="22"/>
  <c r="O7" i="3"/>
  <c r="E3" i="27"/>
  <c r="I10" i="27"/>
  <c r="G10" i="27"/>
  <c r="O2" i="27"/>
  <c r="O5" i="27" s="1"/>
  <c r="I2" i="27"/>
  <c r="E4" i="27"/>
  <c r="E5" i="27"/>
  <c r="E6" i="27"/>
  <c r="E7" i="27"/>
  <c r="E2" i="27"/>
  <c r="E10" i="27" s="1"/>
  <c r="E16" i="17"/>
  <c r="E13" i="25"/>
  <c r="E15" i="17"/>
  <c r="E14" i="17"/>
  <c r="O7" i="22" l="1"/>
  <c r="O7" i="10"/>
  <c r="O3" i="27"/>
  <c r="O6" i="27" s="1"/>
  <c r="O7" i="27" s="1"/>
  <c r="G33" i="17"/>
  <c r="O2" i="17" s="1"/>
  <c r="O5" i="17" s="1"/>
  <c r="E3" i="17"/>
  <c r="E4" i="17"/>
  <c r="E5" i="17"/>
  <c r="E6" i="17"/>
  <c r="E7" i="17"/>
  <c r="E8" i="17"/>
  <c r="E9" i="17"/>
  <c r="E10" i="17"/>
  <c r="E11" i="17"/>
  <c r="E12" i="17"/>
  <c r="E13" i="17"/>
  <c r="E2" i="17"/>
  <c r="I41" i="1"/>
  <c r="I42" i="1" s="1"/>
  <c r="E41" i="1"/>
  <c r="E42" i="1" s="1"/>
  <c r="G42" i="1"/>
  <c r="C42" i="1"/>
  <c r="E9" i="20"/>
  <c r="O2" i="20"/>
  <c r="O5" i="20" s="1"/>
  <c r="E8" i="20"/>
  <c r="G11" i="20"/>
  <c r="I3" i="20"/>
  <c r="E3" i="20"/>
  <c r="E4" i="20"/>
  <c r="E5" i="20"/>
  <c r="E6" i="20"/>
  <c r="E7" i="20"/>
  <c r="I2" i="20"/>
  <c r="I11" i="20" s="1"/>
  <c r="E2" i="20"/>
  <c r="G9" i="4"/>
  <c r="O2" i="4" s="1"/>
  <c r="I9" i="4"/>
  <c r="E3" i="4"/>
  <c r="E4" i="4"/>
  <c r="E5" i="4"/>
  <c r="E6" i="4"/>
  <c r="E7" i="4"/>
  <c r="E2" i="4"/>
  <c r="E3" i="7"/>
  <c r="E4" i="7"/>
  <c r="E5" i="7"/>
  <c r="E6" i="7"/>
  <c r="E7" i="7"/>
  <c r="E8" i="7"/>
  <c r="E9" i="7"/>
  <c r="E10" i="7"/>
  <c r="E11" i="7"/>
  <c r="E12" i="7"/>
  <c r="E14" i="7"/>
  <c r="E15" i="7"/>
  <c r="E2" i="7"/>
  <c r="G100" i="1"/>
  <c r="C100" i="1"/>
  <c r="G110" i="1"/>
  <c r="C110" i="1"/>
  <c r="G9" i="1"/>
  <c r="C9" i="1"/>
  <c r="G97" i="1"/>
  <c r="C97" i="1"/>
  <c r="E3" i="32"/>
  <c r="E2" i="32"/>
  <c r="G87" i="1"/>
  <c r="C87" i="1"/>
  <c r="G39" i="1"/>
  <c r="C39" i="1"/>
  <c r="G129" i="1"/>
  <c r="C129" i="1"/>
  <c r="G17" i="1"/>
  <c r="C17" i="1"/>
  <c r="G14" i="1"/>
  <c r="E13" i="1"/>
  <c r="C14" i="1"/>
  <c r="G104" i="1"/>
  <c r="C104" i="1"/>
  <c r="G94" i="1"/>
  <c r="K94" i="1"/>
  <c r="C94" i="1"/>
  <c r="G83" i="1"/>
  <c r="C83" i="1"/>
  <c r="G48" i="1"/>
  <c r="C48" i="1"/>
  <c r="G126" i="1"/>
  <c r="C126" i="1"/>
  <c r="C6" i="1"/>
  <c r="E27" i="1"/>
  <c r="G30" i="1"/>
  <c r="C30" i="1"/>
  <c r="G107" i="1"/>
  <c r="C107" i="1"/>
  <c r="K30" i="1"/>
  <c r="K107" i="1"/>
  <c r="I19" i="1"/>
  <c r="I20" i="1"/>
  <c r="I2" i="1"/>
  <c r="I3" i="1"/>
  <c r="I4" i="1"/>
  <c r="I5" i="1"/>
  <c r="I123" i="1"/>
  <c r="I44" i="1"/>
  <c r="I45" i="1"/>
  <c r="I46" i="1"/>
  <c r="I47" i="1"/>
  <c r="I82" i="1"/>
  <c r="I83" i="1" s="1"/>
  <c r="I89" i="1"/>
  <c r="I91" i="1"/>
  <c r="I92" i="1"/>
  <c r="I93" i="1"/>
  <c r="I102" i="1"/>
  <c r="I103" i="1"/>
  <c r="I11" i="1"/>
  <c r="I14" i="1" s="1"/>
  <c r="I16" i="1"/>
  <c r="I17" i="1" s="1"/>
  <c r="I128" i="1"/>
  <c r="I129" i="1" s="1"/>
  <c r="I37" i="1"/>
  <c r="I39" i="1" s="1"/>
  <c r="I85" i="1"/>
  <c r="I86" i="1"/>
  <c r="I96" i="1"/>
  <c r="I97" i="1" s="1"/>
  <c r="I8" i="1"/>
  <c r="I9" i="1" s="1"/>
  <c r="I109" i="1"/>
  <c r="I110" i="1" s="1"/>
  <c r="I99" i="1"/>
  <c r="I100" i="1" s="1"/>
  <c r="I106" i="1"/>
  <c r="I107" i="1" s="1"/>
  <c r="E19" i="1"/>
  <c r="E20" i="1"/>
  <c r="E21" i="1"/>
  <c r="E22" i="1"/>
  <c r="E23" i="1"/>
  <c r="E24" i="1"/>
  <c r="E25" i="1"/>
  <c r="E26" i="1"/>
  <c r="E28" i="1"/>
  <c r="E29" i="1"/>
  <c r="E2" i="1"/>
  <c r="E3" i="1"/>
  <c r="E4" i="1"/>
  <c r="E5" i="1"/>
  <c r="E89" i="1"/>
  <c r="E123" i="1"/>
  <c r="E124" i="1"/>
  <c r="E125" i="1"/>
  <c r="E44" i="1"/>
  <c r="E45" i="1"/>
  <c r="E46" i="1"/>
  <c r="E47" i="1"/>
  <c r="E82" i="1"/>
  <c r="E83" i="1" s="1"/>
  <c r="E90" i="1"/>
  <c r="E91" i="1"/>
  <c r="E92" i="1"/>
  <c r="E93" i="1"/>
  <c r="E102" i="1"/>
  <c r="E103" i="1"/>
  <c r="E11" i="1"/>
  <c r="E12" i="1"/>
  <c r="E16" i="1"/>
  <c r="E17" i="1" s="1"/>
  <c r="E128" i="1"/>
  <c r="E129" i="1" s="1"/>
  <c r="E37" i="1"/>
  <c r="E38" i="1"/>
  <c r="E85" i="1"/>
  <c r="E86" i="1"/>
  <c r="E96" i="1"/>
  <c r="E97" i="1" s="1"/>
  <c r="E8" i="1"/>
  <c r="E9" i="1" s="1"/>
  <c r="E109" i="1"/>
  <c r="E110" i="1" s="1"/>
  <c r="E99" i="1"/>
  <c r="E100" i="1" s="1"/>
  <c r="E106" i="1"/>
  <c r="E107" i="1" s="1"/>
  <c r="E4" i="21"/>
  <c r="E3" i="21"/>
  <c r="E2" i="21"/>
  <c r="C4" i="21"/>
  <c r="I24" i="25"/>
  <c r="G24" i="25"/>
  <c r="O2" i="25" s="1"/>
  <c r="O5" i="25" s="1"/>
  <c r="E6" i="25"/>
  <c r="E7" i="25"/>
  <c r="E8" i="25"/>
  <c r="E9" i="25"/>
  <c r="E10" i="25"/>
  <c r="E11" i="25"/>
  <c r="E12" i="25"/>
  <c r="O3" i="4" l="1"/>
  <c r="O6" i="4" s="1"/>
  <c r="O5" i="4"/>
  <c r="E33" i="17"/>
  <c r="E25" i="7"/>
  <c r="E24" i="25"/>
  <c r="O3" i="25" s="1"/>
  <c r="L17" i="1"/>
  <c r="M17" i="1" s="1"/>
  <c r="L100" i="1"/>
  <c r="M100" i="1" s="1"/>
  <c r="L83" i="1"/>
  <c r="M83" i="1" s="1"/>
  <c r="L110" i="1"/>
  <c r="M110" i="1" s="1"/>
  <c r="L42" i="1"/>
  <c r="M42" i="1" s="1"/>
  <c r="L9" i="1"/>
  <c r="M9" i="1" s="1"/>
  <c r="L107" i="1"/>
  <c r="M107" i="1" s="1"/>
  <c r="L97" i="1"/>
  <c r="M97" i="1" s="1"/>
  <c r="L129" i="1"/>
  <c r="M129" i="1" s="1"/>
  <c r="I33" i="17"/>
  <c r="O6" i="25"/>
  <c r="O7" i="25" s="1"/>
  <c r="E11" i="20"/>
  <c r="O3" i="20"/>
  <c r="O6" i="20" s="1"/>
  <c r="O7" i="20" s="1"/>
  <c r="I87" i="1"/>
  <c r="E39" i="1"/>
  <c r="E87" i="1"/>
  <c r="E14" i="1"/>
  <c r="I104" i="1"/>
  <c r="I94" i="1"/>
  <c r="E104" i="1"/>
  <c r="E94" i="1"/>
  <c r="E48" i="1"/>
  <c r="I126" i="1"/>
  <c r="I48" i="1"/>
  <c r="E126" i="1"/>
  <c r="E6" i="1"/>
  <c r="I6" i="1"/>
  <c r="I30" i="1"/>
  <c r="E30" i="1"/>
  <c r="O7" i="4" l="1"/>
  <c r="O3" i="17"/>
  <c r="O6" i="17" s="1"/>
  <c r="O7" i="17" s="1"/>
  <c r="O5" i="7"/>
  <c r="O7" i="7" s="1"/>
  <c r="O3" i="7"/>
  <c r="L30" i="1"/>
  <c r="M30" i="1" s="1"/>
  <c r="L48" i="1"/>
  <c r="L6" i="1"/>
  <c r="L104" i="1"/>
  <c r="M104" i="1" s="1"/>
  <c r="L87" i="1"/>
  <c r="M87" i="1" s="1"/>
  <c r="L126" i="1"/>
  <c r="M126" i="1" s="1"/>
  <c r="L94" i="1"/>
  <c r="M94" i="1" s="1"/>
  <c r="L39" i="1"/>
  <c r="L14" i="1"/>
  <c r="M14" i="1" s="1"/>
  <c r="M48" i="1"/>
  <c r="L134" i="1" l="1"/>
  <c r="M6" i="1"/>
  <c r="M39" i="1"/>
</calcChain>
</file>

<file path=xl/sharedStrings.xml><?xml version="1.0" encoding="utf-8"?>
<sst xmlns="http://schemas.openxmlformats.org/spreadsheetml/2006/main" count="813" uniqueCount="163">
  <si>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</si>
  <si>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</si>
  <si>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</si>
  <si>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</si>
  <si>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</si>
  <si>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</si>
  <si>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</si>
  <si>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</si>
  <si>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</si>
  <si>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</si>
  <si>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</si>
  <si>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</si>
  <si>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</si>
  <si>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</si>
  <si>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</si>
  <si>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</si>
  <si>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</si>
  <si>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</si>
  <si>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</si>
  <si>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</si>
  <si>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</si>
  <si>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</si>
  <si>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</si>
  <si>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</si>
  <si>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</si>
  <si>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</si>
  <si>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</si>
  <si>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</si>
  <si>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</si>
  <si>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</si>
  <si>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</si>
  <si>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</si>
  <si>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</si>
  <si>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</si>
  <si>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</si>
  <si>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</si>
  <si>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</si>
  <si>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</si>
  <si>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</si>
  <si>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</si>
  <si>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</si>
  <si>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</si>
  <si>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</si>
  <si>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</si>
  <si>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</si>
  <si>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</si>
  <si>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</si>
  <si>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</si>
  <si>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</si>
  <si>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</si>
  <si>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</si>
  <si>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</si>
  <si>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</si>
  <si>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</si>
  <si>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</si>
  <si>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</si>
  <si>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</si>
  <si>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</si>
  <si>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</si>
  <si>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</si>
  <si>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</si>
  <si>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</si>
  <si>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</si>
  <si>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</si>
  <si>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</si>
  <si>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</si>
  <si>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</si>
  <si>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</si>
  <si>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</si>
  <si>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</si>
  <si>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sell 35@60+</t>
  </si>
  <si>
    <t>Total P/L</t>
  </si>
  <si>
    <t>Ex-Date</t>
  </si>
  <si>
    <t>Payable</t>
  </si>
  <si>
    <t>Type</t>
  </si>
  <si>
    <t>Notes</t>
  </si>
  <si>
    <t>Ex/Eff Date</t>
  </si>
  <si>
    <t>Cash Amount</t>
  </si>
  <si>
    <t>Declaration Date</t>
  </si>
  <si>
    <t>Record Date</t>
  </si>
  <si>
    <t>Payment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</si>
  <si>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</si>
  <si>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</si>
  <si>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</si>
  <si>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</si>
  <si>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</si>
  <si>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</si>
  <si>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</si>
  <si>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</si>
  <si>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</si>
  <si>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</si>
  <si>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Competitors (size, revenue, past stock performance, M/A, etc)</t>
  </si>
  <si>
    <t>Positive Catalysts</t>
  </si>
  <si>
    <t>Negative factors</t>
  </si>
  <si>
    <t>Insiders</t>
  </si>
  <si>
    <t>Institutions</t>
  </si>
  <si>
    <t>Analysts</t>
  </si>
  <si>
    <t>Earnings</t>
  </si>
  <si>
    <t>Litigation?</t>
  </si>
  <si>
    <t>Recent news</t>
  </si>
  <si>
    <t>Plot vs SPX, beta</t>
  </si>
  <si>
    <t>volatility</t>
  </si>
  <si>
    <t>Headquarter</t>
  </si>
  <si>
    <t>Company history</t>
  </si>
  <si>
    <t>main lines of business</t>
  </si>
  <si>
    <t>Supply chain</t>
  </si>
  <si>
    <t>market cap</t>
  </si>
  <si>
    <t>debt ratio over assets</t>
  </si>
  <si>
    <t>default prob</t>
  </si>
  <si>
    <t>Next ER date</t>
  </si>
  <si>
    <t>52 week L/H</t>
  </si>
  <si>
    <t>Upcoming events</t>
  </si>
  <si>
    <t>No dividend</t>
  </si>
  <si>
    <t>insider sold @20, bought @17.15</t>
  </si>
  <si>
    <t>No div</t>
  </si>
  <si>
    <t>Sum</t>
  </si>
  <si>
    <t>sell 10</t>
  </si>
  <si>
    <t>sell 100</t>
  </si>
  <si>
    <t>buy 100</t>
  </si>
  <si>
    <t>~10/13 ER</t>
  </si>
  <si>
    <t>sell 40</t>
  </si>
  <si>
    <t>~10/29 ER</t>
  </si>
  <si>
    <t>Declaration</t>
  </si>
  <si>
    <t>Forecast</t>
  </si>
  <si>
    <t>BDVD</t>
  </si>
  <si>
    <t>~9/29</t>
  </si>
  <si>
    <t>A lot of sell by present</t>
  </si>
  <si>
    <t>buy 40</t>
  </si>
  <si>
    <t>~9/30</t>
  </si>
  <si>
    <t>permanently cutting hundreds of management positions as coal shipment slumps</t>
  </si>
  <si>
    <t>ER</t>
  </si>
  <si>
    <t>buy 15</t>
  </si>
  <si>
    <t>June</t>
  </si>
  <si>
    <t>Greenlight purchased 3.6m shares @42</t>
  </si>
  <si>
    <t>buy 20</t>
  </si>
  <si>
    <t>~9/10</t>
  </si>
  <si>
    <t>sell 10 @ 124.23</t>
  </si>
  <si>
    <t>ER after market 5:00, confirmed on website</t>
  </si>
  <si>
    <t>insider sell @132</t>
  </si>
  <si>
    <t>Disney to Build ‘Star Wars’ Themed Lands in Two Parks</t>
  </si>
  <si>
    <t>insider sell @118</t>
  </si>
  <si>
    <t>semi-annual</t>
  </si>
  <si>
    <t>sell</t>
  </si>
  <si>
    <t>buy 5</t>
  </si>
  <si>
    <t>need to find out what cars GM makes</t>
  </si>
  <si>
    <t>investor day</t>
  </si>
  <si>
    <t>ER after market, est 0.361/261.57, confirmed from web</t>
  </si>
  <si>
    <t>ex-div, 0.21</t>
  </si>
  <si>
    <t>div pay, 0.21</t>
  </si>
  <si>
    <t>3 downgrades in a row by BoA, Wedbush, etc</t>
  </si>
  <si>
    <t>tech conference call</t>
  </si>
  <si>
    <t>Future Events</t>
  </si>
  <si>
    <t>Past Events</t>
  </si>
  <si>
    <t>~8/25</t>
  </si>
  <si>
    <t>Ex-div, 0.03</t>
  </si>
  <si>
    <t>ex-div</t>
  </si>
  <si>
    <t>Recent Events</t>
  </si>
  <si>
    <t>Div payment, 0.55</t>
  </si>
  <si>
    <t>Balance Log</t>
  </si>
  <si>
    <t>balance</t>
  </si>
  <si>
    <t>daily P/L</t>
  </si>
  <si>
    <t>date</t>
  </si>
  <si>
    <t xml:space="preserve"> investment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</si>
</sst>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yy;@"/>
    <numFmt numFmtId="165" formatCode="mm/dd/yy;@"/>
  </numFmts>
  <fonts count="14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sz val="11"/>
      <color rgb="FF333333"/>
      <name val="Calibri"/>
      <family val="2"/>
      <scheme val="minor"/>
    </font>
    <font>
      <b/>
      <sz val="24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03">
    <xf numFmtId="0" fontId="0" fillId="0" borderId="0" xfId="0"/>
    <xf numFmtId="16" fontId="0" fillId="0" borderId="0" xfId="0" applyNumberFormat="1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6" borderId="0" xfId="0" applyFill="1"/>
    <xf numFmtId="0" fontId="0" fillId="0" borderId="0" xfId="0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5" fillId="0" borderId="0" xfId="0" applyFont="1"/>
    <xf numFmtId="0" fontId="0" fillId="7" borderId="1" xfId="0" applyFill="1" applyBorder="1"/>
    <xf numFmtId="2" fontId="0" fillId="4" borderId="0" xfId="0" applyNumberFormat="1" applyFill="1"/>
    <xf numFmtId="2" fontId="0" fillId="6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14" fontId="4" fillId="0" borderId="0" xfId="0" applyNumberFormat="1" applyFont="1" applyFill="1"/>
    <xf numFmtId="2" fontId="0" fillId="7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6" fillId="0" borderId="0" xfId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7" fillId="0" borderId="0" xfId="0" applyFont="1" applyFill="1" applyAlignment="1">
      <alignment horizontal="center" vertical="center"/>
    </xf>
    <xf numFmtId="2" fontId="8" fillId="0" borderId="2" xfId="0" applyNumberFormat="1" applyFont="1" applyFill="1" applyBorder="1" applyAlignment="1">
      <alignment horizontal="right" vertical="center"/>
    </xf>
    <xf numFmtId="2" fontId="8" fillId="2" borderId="2" xfId="0" applyNumberFormat="1" applyFont="1" applyFill="1" applyBorder="1" applyAlignment="1">
      <alignment horizontal="right" vertical="center"/>
    </xf>
    <xf numFmtId="0" fontId="8" fillId="2" borderId="2" xfId="0" applyFont="1" applyFill="1" applyBorder="1" applyAlignment="1">
      <alignment horizontal="right" vertical="center"/>
    </xf>
    <xf numFmtId="0" fontId="8" fillId="0" borderId="2" xfId="0" applyFont="1" applyFill="1" applyBorder="1" applyAlignment="1">
      <alignment horizontal="right" vertical="center"/>
    </xf>
    <xf numFmtId="16" fontId="8" fillId="0" borderId="2" xfId="0" applyNumberFormat="1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16" fontId="8" fillId="2" borderId="2" xfId="0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right" vertical="center"/>
    </xf>
    <xf numFmtId="2" fontId="8" fillId="0" borderId="0" xfId="0" applyNumberFormat="1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10" fontId="8" fillId="0" borderId="2" xfId="0" applyNumberFormat="1" applyFont="1" applyFill="1" applyBorder="1" applyAlignment="1">
      <alignment horizontal="right" vertical="center"/>
    </xf>
    <xf numFmtId="10" fontId="8" fillId="2" borderId="2" xfId="0" applyNumberFormat="1" applyFont="1" applyFill="1" applyBorder="1" applyAlignment="1">
      <alignment horizontal="right" vertical="center"/>
    </xf>
    <xf numFmtId="10" fontId="8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7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5" fillId="0" borderId="0" xfId="0" applyNumberFormat="1" applyFont="1" applyFill="1"/>
    <xf numFmtId="14" fontId="3" fillId="0" borderId="0" xfId="0" applyNumberFormat="1" applyFont="1"/>
    <xf numFmtId="164" fontId="0" fillId="0" borderId="0" xfId="0" applyNumberFormat="1"/>
    <xf numFmtId="0" fontId="3" fillId="2" borderId="3" xfId="0" applyFont="1" applyFill="1" applyBorder="1"/>
    <xf numFmtId="0" fontId="0" fillId="2" borderId="3" xfId="0" applyFill="1" applyBorder="1"/>
    <xf numFmtId="2" fontId="0" fillId="12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1" borderId="0" xfId="0" applyNumberFormat="1" applyFill="1"/>
    <xf numFmtId="2" fontId="5" fillId="0" borderId="0" xfId="0" applyNumberFormat="1" applyFont="1"/>
    <xf numFmtId="2" fontId="0" fillId="9" borderId="0" xfId="0" applyNumberFormat="1" applyFill="1"/>
    <xf numFmtId="165" fontId="5" fillId="0" borderId="0" xfId="0" applyNumberFormat="1" applyFont="1"/>
    <xf numFmtId="165" fontId="0" fillId="0" borderId="0" xfId="0" applyNumberFormat="1"/>
    <xf numFmtId="165" fontId="3" fillId="0" borderId="0" xfId="0" applyNumberFormat="1" applyFont="1"/>
    <xf numFmtId="165" fontId="0" fillId="0" borderId="0" xfId="0" applyNumberFormat="1" applyFont="1"/>
    <xf numFmtId="0" fontId="0" fillId="0" borderId="0" xfId="0" applyFont="1"/>
    <xf numFmtId="165" fontId="10" fillId="0" borderId="0" xfId="0" applyNumberFormat="1" applyFont="1"/>
    <xf numFmtId="2" fontId="0" fillId="8" borderId="0" xfId="0" applyNumberFormat="1" applyFill="1"/>
    <xf numFmtId="2" fontId="0" fillId="10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0" fillId="7" borderId="0" xfId="0" applyNumberFormat="1" applyFill="1"/>
    <xf numFmtId="0" fontId="3" fillId="2" borderId="0" xfId="0" applyFont="1" applyFill="1"/>
    <xf numFmtId="2" fontId="4" fillId="3" borderId="0" xfId="0" applyNumberFormat="1" applyFont="1" applyFill="1"/>
    <xf numFmtId="0" fontId="9" fillId="0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16" fontId="0" fillId="0" borderId="0" xfId="0" applyNumberFormat="1" applyAlignment="1">
      <alignment horizontal="right" vertical="center"/>
    </xf>
    <xf numFmtId="14" fontId="7" fillId="0" borderId="0" xfId="0" applyNumberFormat="1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12" fillId="13" borderId="4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right" vertical="center"/>
    </xf>
    <xf numFmtId="2" fontId="13" fillId="13" borderId="4" xfId="0" applyNumberFormat="1" applyFont="1" applyFill="1" applyBorder="1" applyAlignment="1">
      <alignment horizontal="right" vertical="center"/>
    </xf>
    <xf numFmtId="0" fontId="11" fillId="0" borderId="5" xfId="0" applyFont="1" applyFill="1" applyBorder="1" applyAlignment="1">
      <alignment horizontal="center" vertical="center"/>
    </xf>
    <xf numFmtId="2" fontId="8" fillId="0" borderId="0" xfId="0" applyNumberFormat="1" applyFont="1" applyFill="1" applyAlignment="1">
      <alignment vertical="center"/>
    </xf>
    <xf numFmtId="2" fontId="4" fillId="0" borderId="0" xfId="0" applyNumberFormat="1" applyFont="1" applyFill="1"/>
    <xf numFmtId="2" fontId="0" fillId="0" borderId="0" xfId="0" applyNumberFormat="1" applyBorder="1"/>
  </cellXfs>
  <cellStyles count="2">
    <cellStyle name="Hyperlink" xfId="1" builtinId="8"/>
    <cellStyle name="Normal" xfId="0" builtinId="0"/>
  </cellStyles>
  <dxfs count="6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e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3" Type="http://schemas.openxmlformats.org/officeDocument/2006/relationships/image" Target="../media/image25.png"/><Relationship Id="rId7" Type="http://schemas.openxmlformats.org/officeDocument/2006/relationships/image" Target="../media/image29.jpeg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6" Type="http://schemas.openxmlformats.org/officeDocument/2006/relationships/image" Target="../media/image28.png"/><Relationship Id="rId11" Type="http://schemas.openxmlformats.org/officeDocument/2006/relationships/image" Target="../media/image33.jpeg"/><Relationship Id="rId5" Type="http://schemas.openxmlformats.org/officeDocument/2006/relationships/image" Target="../media/image27.png"/><Relationship Id="rId10" Type="http://schemas.openxmlformats.org/officeDocument/2006/relationships/image" Target="../media/image32.jpeg"/><Relationship Id="rId4" Type="http://schemas.openxmlformats.org/officeDocument/2006/relationships/image" Target="../media/image26.png"/><Relationship Id="rId9" Type="http://schemas.openxmlformats.org/officeDocument/2006/relationships/image" Target="../media/image3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8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9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0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1</xdr:row>
      <xdr:rowOff>0</xdr:rowOff>
    </xdr:from>
    <xdr:to>
      <xdr:col>3</xdr:col>
      <xdr:colOff>0</xdr:colOff>
      <xdr:row>2</xdr:row>
      <xdr:rowOff>190501</xdr:rowOff>
    </xdr:to>
    <xdr:sp macro="[0]!sumPL" textlink="">
      <xdr:nvSpPr>
        <xdr:cNvPr id="2" name="Rectangle 1"/>
        <xdr:cNvSpPr/>
      </xdr:nvSpPr>
      <xdr:spPr>
        <a:xfrm>
          <a:off x="619126" y="200025"/>
          <a:ext cx="1209674" cy="390526"/>
        </a:xfrm>
        <a:prstGeom prst="rect">
          <a:avLst/>
        </a:prstGeom>
        <a:solidFill>
          <a:schemeClr val="bg1">
            <a:lumMod val="85000"/>
          </a:schemeClr>
        </a:solidFill>
        <a:effectLst>
          <a:innerShdw blurRad="63500" dist="50800" dir="108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Analyze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7</xdr:row>
      <xdr:rowOff>0</xdr:rowOff>
    </xdr:from>
    <xdr:to>
      <xdr:col>12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9526</xdr:colOff>
      <xdr:row>8</xdr:row>
      <xdr:rowOff>0</xdr:rowOff>
    </xdr:from>
    <xdr:to>
      <xdr:col>15</xdr:col>
      <xdr:colOff>600075</xdr:colOff>
      <xdr:row>13</xdr:row>
      <xdr:rowOff>72884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6" y="1552575"/>
          <a:ext cx="2447924" cy="1025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10</xdr:row>
      <xdr:rowOff>1</xdr:rowOff>
    </xdr:from>
    <xdr:to>
      <xdr:col>16</xdr:col>
      <xdr:colOff>445347</xdr:colOff>
      <xdr:row>13</xdr:row>
      <xdr:rowOff>171451</xdr:rowOff>
    </xdr:to>
    <xdr:pic>
      <xdr:nvPicPr>
        <xdr:cNvPr id="2" name="Picture 1" descr="Black horizontal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10</xdr:row>
      <xdr:rowOff>0</xdr:rowOff>
    </xdr:from>
    <xdr:to>
      <xdr:col>14</xdr:col>
      <xdr:colOff>425245</xdr:colOff>
      <xdr:row>12</xdr:row>
      <xdr:rowOff>76200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0"/>
          <a:ext cx="164444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542925</xdr:colOff>
      <xdr:row>8</xdr:row>
      <xdr:rowOff>161925</xdr:rowOff>
    </xdr:from>
    <xdr:to>
      <xdr:col>15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466724</xdr:colOff>
      <xdr:row>9</xdr:row>
      <xdr:rowOff>83820</xdr:rowOff>
    </xdr:from>
    <xdr:to>
      <xdr:col>15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9</xdr:row>
      <xdr:rowOff>1</xdr:rowOff>
    </xdr:from>
    <xdr:to>
      <xdr:col>15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9524</xdr:colOff>
      <xdr:row>8</xdr:row>
      <xdr:rowOff>171450</xdr:rowOff>
    </xdr:from>
    <xdr:to>
      <xdr:col>16</xdr:col>
      <xdr:colOff>3253</xdr:colOff>
      <xdr:row>14</xdr:row>
      <xdr:rowOff>123826</xdr:rowOff>
    </xdr:to>
    <xdr:pic>
      <xdr:nvPicPr>
        <xdr:cNvPr id="3" name="Picture 2" descr="https://d1ewxbznfa539k.cloudfront.net/s/_logo/d8e6061d7f1c780f45b2af6aa24e1d6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695450"/>
          <a:ext cx="2432129" cy="10953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438150</xdr:colOff>
      <xdr:row>8</xdr:row>
      <xdr:rowOff>28575</xdr:rowOff>
    </xdr:from>
    <xdr:to>
      <xdr:col>15</xdr:col>
      <xdr:colOff>419100</xdr:colOff>
      <xdr:row>15</xdr:row>
      <xdr:rowOff>142875</xdr:rowOff>
    </xdr:to>
    <xdr:pic>
      <xdr:nvPicPr>
        <xdr:cNvPr id="4" name="Picture 3" descr="http://img2.wikia.nocookie.net/__cb20120428100518/logopedia/images/0/0c/Alcoa_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9</xdr:row>
      <xdr:rowOff>66676</xdr:rowOff>
    </xdr:from>
    <xdr:to>
      <xdr:col>17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304800</xdr:colOff>
      <xdr:row>9</xdr:row>
      <xdr:rowOff>38100</xdr:rowOff>
    </xdr:from>
    <xdr:to>
      <xdr:col>15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9</xdr:row>
      <xdr:rowOff>28575</xdr:rowOff>
    </xdr:from>
    <xdr:to>
      <xdr:col>16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409575</xdr:colOff>
      <xdr:row>8</xdr:row>
      <xdr:rowOff>66675</xdr:rowOff>
    </xdr:from>
    <xdr:to>
      <xdr:col>15</xdr:col>
      <xdr:colOff>485775</xdr:colOff>
      <xdr:row>18</xdr:row>
      <xdr:rowOff>66675</xdr:rowOff>
    </xdr:to>
    <xdr:pic>
      <xdr:nvPicPr>
        <xdr:cNvPr id="2" name="Picture 1" descr="http://stockwiki.org/images/a/a4/OncoSec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24775" y="1590675"/>
          <a:ext cx="1905000" cy="190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38100</xdr:colOff>
      <xdr:row>9</xdr:row>
      <xdr:rowOff>123825</xdr:rowOff>
    </xdr:from>
    <xdr:to>
      <xdr:col>16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600075</xdr:colOff>
      <xdr:row>10</xdr:row>
      <xdr:rowOff>9525</xdr:rowOff>
    </xdr:from>
    <xdr:to>
      <xdr:col>16</xdr:col>
      <xdr:colOff>19050</xdr:colOff>
      <xdr:row>16</xdr:row>
      <xdr:rowOff>39709</xdr:rowOff>
    </xdr:to>
    <xdr:pic>
      <xdr:nvPicPr>
        <xdr:cNvPr id="2" name="Picture 1" descr="http://www.yashrajinc.com/images/logos/cardina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1914525"/>
          <a:ext cx="2466975" cy="1173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590550</xdr:colOff>
      <xdr:row>8</xdr:row>
      <xdr:rowOff>152399</xdr:rowOff>
    </xdr:from>
    <xdr:to>
      <xdr:col>16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</xdr:colOff>
      <xdr:row>9</xdr:row>
      <xdr:rowOff>38100</xdr:rowOff>
    </xdr:from>
    <xdr:to>
      <xdr:col>16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9524</xdr:colOff>
      <xdr:row>9</xdr:row>
      <xdr:rowOff>0</xdr:rowOff>
    </xdr:from>
    <xdr:to>
      <xdr:col>16</xdr:col>
      <xdr:colOff>13801</xdr:colOff>
      <xdr:row>12</xdr:row>
      <xdr:rowOff>9525</xdr:rowOff>
    </xdr:to>
    <xdr:pic>
      <xdr:nvPicPr>
        <xdr:cNvPr id="2" name="Picture 1" descr="http://www.annualreports.com/HostedData/CompanyLogos/4414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714500"/>
          <a:ext cx="2442677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8</xdr:row>
      <xdr:rowOff>190499</xdr:rowOff>
    </xdr:from>
    <xdr:to>
      <xdr:col>15</xdr:col>
      <xdr:colOff>542925</xdr:colOff>
      <xdr:row>13</xdr:row>
      <xdr:rowOff>44386</xdr:rowOff>
    </xdr:to>
    <xdr:pic>
      <xdr:nvPicPr>
        <xdr:cNvPr id="2" name="Picture 1" descr="http://www.mouser.com/images/microsites/Avago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590550</xdr:colOff>
      <xdr:row>8</xdr:row>
      <xdr:rowOff>9526</xdr:rowOff>
    </xdr:from>
    <xdr:to>
      <xdr:col>15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609599</xdr:colOff>
      <xdr:row>8</xdr:row>
      <xdr:rowOff>190499</xdr:rowOff>
    </xdr:from>
    <xdr:to>
      <xdr:col>16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</xdr:colOff>
      <xdr:row>10</xdr:row>
      <xdr:rowOff>0</xdr:rowOff>
    </xdr:from>
    <xdr:to>
      <xdr:col>17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9</xdr:row>
      <xdr:rowOff>0</xdr:rowOff>
    </xdr:from>
    <xdr:to>
      <xdr:col>14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200026</xdr:colOff>
      <xdr:row>40</xdr:row>
      <xdr:rowOff>57150</xdr:rowOff>
    </xdr:from>
    <xdr:to>
      <xdr:col>5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123826</xdr:colOff>
      <xdr:row>41</xdr:row>
      <xdr:rowOff>104775</xdr:rowOff>
    </xdr:from>
    <xdr:to>
      <xdr:col>8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285751</xdr:colOff>
      <xdr:row>40</xdr:row>
      <xdr:rowOff>142875</xdr:rowOff>
    </xdr:from>
    <xdr:to>
      <xdr:col>10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142876</xdr:colOff>
      <xdr:row>39</xdr:row>
      <xdr:rowOff>9524</xdr:rowOff>
    </xdr:from>
    <xdr:to>
      <xdr:col>12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190500</xdr:colOff>
      <xdr:row>39</xdr:row>
      <xdr:rowOff>85725</xdr:rowOff>
    </xdr:from>
    <xdr:to>
      <xdr:col>15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381000</xdr:colOff>
      <xdr:row>40</xdr:row>
      <xdr:rowOff>0</xdr:rowOff>
    </xdr:from>
    <xdr:to>
      <xdr:col>17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123825</xdr:colOff>
      <xdr:row>41</xdr:row>
      <xdr:rowOff>116171</xdr:rowOff>
    </xdr:from>
    <xdr:to>
      <xdr:col>20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152400</xdr:colOff>
      <xdr:row>41</xdr:row>
      <xdr:rowOff>86970</xdr:rowOff>
    </xdr:from>
    <xdr:to>
      <xdr:col>24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171450</xdr:colOff>
      <xdr:row>9</xdr:row>
      <xdr:rowOff>114301</xdr:rowOff>
    </xdr:from>
    <xdr:to>
      <xdr:col>16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9</xdr:row>
      <xdr:rowOff>0</xdr:rowOff>
    </xdr:from>
    <xdr:to>
      <xdr:col>16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11</xdr:row>
      <xdr:rowOff>0</xdr:rowOff>
    </xdr:from>
    <xdr:to>
      <xdr:col>15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8</xdr:row>
      <xdr:rowOff>19050</xdr:rowOff>
    </xdr:from>
    <xdr:to>
      <xdr:col>16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11</xdr:row>
      <xdr:rowOff>0</xdr:rowOff>
    </xdr:from>
    <xdr:to>
      <xdr:col>12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47625</xdr:colOff>
      <xdr:row>11</xdr:row>
      <xdr:rowOff>0</xdr:rowOff>
    </xdr:from>
    <xdr:to>
      <xdr:col>15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9</xdr:row>
      <xdr:rowOff>0</xdr:rowOff>
    </xdr:from>
    <xdr:to>
      <xdr:col>16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9</xdr:row>
      <xdr:rowOff>1</xdr:rowOff>
    </xdr:from>
    <xdr:to>
      <xdr:col>16</xdr:col>
      <xdr:colOff>281041</xdr:colOff>
      <xdr:row>12</xdr:row>
      <xdr:rowOff>95251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0"/>
  <sheetViews>
    <sheetView workbookViewId="0">
      <pane ySplit="1" topLeftCell="A132" activePane="bottomLeft" state="frozen"/>
      <selection activeCell="E5" sqref="E5"/>
      <selection pane="bottomLeft" activeCell="I152" sqref="I152"/>
    </sheetView>
  </sheetViews>
  <sheetFormatPr defaultRowHeight="18" customHeight="1" outlineLevelRow="1" x14ac:dyDescent="0.25"/>
  <cols>
    <col min="1" max="1" width="9.140625" style="39"/>
    <col min="2" max="2" width="11.28515625" style="46" customWidth="1"/>
    <col min="3" max="3" width="13.85546875" style="52" customWidth="1"/>
    <col min="4" max="4" width="12.5703125" style="46" customWidth="1"/>
    <col min="5" max="5" width="12.5703125" style="50" customWidth="1"/>
    <col min="6" max="6" width="13.7109375" style="46" customWidth="1"/>
    <col min="7" max="7" width="11.7109375" style="52" customWidth="1"/>
    <col min="8" max="8" width="12.42578125" style="46" customWidth="1"/>
    <col min="9" max="9" width="12.42578125" style="50" customWidth="1"/>
    <col min="10" max="10" width="9.28515625" style="46" bestFit="1" customWidth="1"/>
    <col min="11" max="11" width="9.28515625" style="50" bestFit="1" customWidth="1"/>
    <col min="12" max="12" width="11.42578125" style="52" bestFit="1" customWidth="1"/>
    <col min="13" max="13" width="9.28515625" style="52" bestFit="1" customWidth="1"/>
    <col min="14" max="16384" width="9.140625" style="46"/>
  </cols>
  <sheetData>
    <row r="1" spans="1:13" s="39" customFormat="1" ht="18" customHeight="1" x14ac:dyDescent="0.25">
      <c r="A1" s="39" t="s">
        <v>1</v>
      </c>
      <c r="B1" s="39" t="s">
        <v>2</v>
      </c>
      <c r="C1" s="49" t="s">
        <v>4</v>
      </c>
      <c r="D1" s="39" t="s">
        <v>5</v>
      </c>
      <c r="E1" s="53" t="s">
        <v>60</v>
      </c>
      <c r="F1" s="39" t="s">
        <v>3</v>
      </c>
      <c r="G1" s="49" t="s">
        <v>6</v>
      </c>
      <c r="H1" s="39" t="s">
        <v>7</v>
      </c>
      <c r="I1" s="53" t="s">
        <v>61</v>
      </c>
      <c r="J1" s="39" t="s">
        <v>89</v>
      </c>
      <c r="K1" s="53" t="s">
        <v>38</v>
      </c>
      <c r="L1" s="49" t="s">
        <v>59</v>
      </c>
      <c r="M1" s="49" t="s">
        <v>88</v>
      </c>
    </row>
    <row r="2" spans="1:13" ht="18" hidden="1" customHeight="1" outlineLevel="1" x14ac:dyDescent="0.25">
      <c r="A2" s="88" t="s">
        <v>12</v>
      </c>
      <c r="B2" s="44">
        <v>42151</v>
      </c>
      <c r="C2" s="43">
        <v>5</v>
      </c>
      <c r="D2" s="45">
        <v>42.7</v>
      </c>
      <c r="E2" s="40">
        <f>C2*D2</f>
        <v>213.5</v>
      </c>
      <c r="F2" s="44">
        <v>42181</v>
      </c>
      <c r="G2" s="43">
        <v>5</v>
      </c>
      <c r="H2" s="45">
        <v>43.35</v>
      </c>
      <c r="I2" s="40">
        <f>G2*H2</f>
        <v>216.75</v>
      </c>
      <c r="J2" s="45"/>
      <c r="K2" s="40"/>
      <c r="L2" s="40"/>
      <c r="M2" s="54"/>
    </row>
    <row r="3" spans="1:13" ht="18" hidden="1" customHeight="1" outlineLevel="1" x14ac:dyDescent="0.25">
      <c r="A3" s="88"/>
      <c r="B3" s="44">
        <v>42153</v>
      </c>
      <c r="C3" s="43">
        <v>25</v>
      </c>
      <c r="D3" s="45">
        <v>41.6</v>
      </c>
      <c r="E3" s="40">
        <f>C3*D3</f>
        <v>1040</v>
      </c>
      <c r="F3" s="44">
        <v>42200</v>
      </c>
      <c r="G3" s="43">
        <v>10</v>
      </c>
      <c r="H3" s="45">
        <v>41.64</v>
      </c>
      <c r="I3" s="40">
        <f>G3*H3</f>
        <v>416.4</v>
      </c>
      <c r="J3" s="45"/>
      <c r="K3" s="40"/>
      <c r="L3" s="40"/>
      <c r="M3" s="54"/>
    </row>
    <row r="4" spans="1:13" ht="18" hidden="1" customHeight="1" outlineLevel="1" x14ac:dyDescent="0.25">
      <c r="A4" s="88"/>
      <c r="B4" s="44">
        <v>42166</v>
      </c>
      <c r="C4" s="43">
        <v>10</v>
      </c>
      <c r="D4" s="45">
        <v>40</v>
      </c>
      <c r="E4" s="40">
        <f>C4*D4</f>
        <v>400</v>
      </c>
      <c r="F4" s="44">
        <v>42201</v>
      </c>
      <c r="G4" s="43">
        <v>125</v>
      </c>
      <c r="H4" s="45">
        <v>42.6</v>
      </c>
      <c r="I4" s="40">
        <f>G4*H4</f>
        <v>5325</v>
      </c>
      <c r="J4" s="45"/>
      <c r="K4" s="40"/>
      <c r="L4" s="40"/>
      <c r="M4" s="54"/>
    </row>
    <row r="5" spans="1:13" ht="18" hidden="1" customHeight="1" outlineLevel="1" x14ac:dyDescent="0.25">
      <c r="A5" s="88"/>
      <c r="B5" s="44">
        <v>42166</v>
      </c>
      <c r="C5" s="43">
        <v>100</v>
      </c>
      <c r="D5" s="45">
        <v>39.799999999999997</v>
      </c>
      <c r="E5" s="40">
        <f>C5*D5</f>
        <v>3979.9999999999995</v>
      </c>
      <c r="F5" s="45"/>
      <c r="G5" s="43"/>
      <c r="H5" s="45"/>
      <c r="I5" s="40">
        <f>G5*H5</f>
        <v>0</v>
      </c>
      <c r="J5" s="45"/>
      <c r="K5" s="40"/>
      <c r="L5" s="40"/>
      <c r="M5" s="54"/>
    </row>
    <row r="6" spans="1:13" ht="18" customHeight="1" collapsed="1" x14ac:dyDescent="0.25">
      <c r="A6" s="88"/>
      <c r="B6" s="44"/>
      <c r="C6" s="43">
        <f>SUM(C2:C5)</f>
        <v>140</v>
      </c>
      <c r="D6" s="45"/>
      <c r="E6" s="40">
        <f>SUM(E2:E5)</f>
        <v>5633.5</v>
      </c>
      <c r="F6" s="45"/>
      <c r="G6" s="43">
        <f t="shared" ref="G6" si="0">SUM(G2:G5)</f>
        <v>140</v>
      </c>
      <c r="H6" s="45"/>
      <c r="I6" s="40">
        <f>SUM(I2:I5)</f>
        <v>5958.15</v>
      </c>
      <c r="J6" s="45"/>
      <c r="K6" s="40"/>
      <c r="L6" s="40">
        <f>I6-E6</f>
        <v>324.64999999999964</v>
      </c>
      <c r="M6" s="54">
        <f>(L6+K6)/E6</f>
        <v>5.7628472530398447E-2</v>
      </c>
    </row>
    <row r="7" spans="1:13" ht="18" hidden="1" customHeight="1" outlineLevel="1" x14ac:dyDescent="0.25">
      <c r="A7" s="89" t="s">
        <v>48</v>
      </c>
      <c r="B7" s="47"/>
      <c r="C7" s="42"/>
      <c r="D7" s="47"/>
      <c r="E7" s="41"/>
      <c r="F7" s="47"/>
      <c r="G7" s="42"/>
      <c r="H7" s="47"/>
      <c r="I7" s="41"/>
      <c r="J7" s="47"/>
      <c r="K7" s="41"/>
      <c r="L7" s="41"/>
      <c r="M7" s="55"/>
    </row>
    <row r="8" spans="1:13" ht="18" hidden="1" customHeight="1" outlineLevel="1" x14ac:dyDescent="0.25">
      <c r="A8" s="89"/>
      <c r="B8" s="48">
        <v>42186</v>
      </c>
      <c r="C8" s="42">
        <v>10</v>
      </c>
      <c r="D8" s="47">
        <v>101.7</v>
      </c>
      <c r="E8" s="41">
        <f>C8*D8</f>
        <v>1017</v>
      </c>
      <c r="F8" s="48">
        <v>42186</v>
      </c>
      <c r="G8" s="42">
        <v>10</v>
      </c>
      <c r="H8" s="47">
        <v>103</v>
      </c>
      <c r="I8" s="41">
        <f>G8*H8</f>
        <v>1030</v>
      </c>
      <c r="J8" s="47"/>
      <c r="K8" s="41"/>
      <c r="L8" s="41"/>
      <c r="M8" s="55"/>
    </row>
    <row r="9" spans="1:13" ht="18" customHeight="1" collapsed="1" x14ac:dyDescent="0.25">
      <c r="A9" s="89"/>
      <c r="B9" s="48"/>
      <c r="C9" s="42">
        <f>SUM(C8)</f>
        <v>10</v>
      </c>
      <c r="D9" s="47"/>
      <c r="E9" s="41">
        <f>SUM(E8)</f>
        <v>1017</v>
      </c>
      <c r="F9" s="47"/>
      <c r="G9" s="42">
        <f>SUM(G8)</f>
        <v>10</v>
      </c>
      <c r="H9" s="47"/>
      <c r="I9" s="41">
        <f>SUM(I8)</f>
        <v>1030</v>
      </c>
      <c r="J9" s="47"/>
      <c r="K9" s="41"/>
      <c r="L9" s="41">
        <f>I9-E9</f>
        <v>13</v>
      </c>
      <c r="M9" s="55">
        <f>(L9+K9)/E9</f>
        <v>1.2782694198623401E-2</v>
      </c>
    </row>
    <row r="10" spans="1:13" ht="18" hidden="1" customHeight="1" outlineLevel="1" x14ac:dyDescent="0.25">
      <c r="A10" s="88" t="s">
        <v>29</v>
      </c>
      <c r="B10" s="45"/>
      <c r="C10" s="43"/>
      <c r="D10" s="45"/>
      <c r="E10" s="40"/>
      <c r="F10" s="45"/>
      <c r="G10" s="43"/>
      <c r="H10" s="45"/>
      <c r="I10" s="40"/>
      <c r="J10" s="45"/>
      <c r="K10" s="40"/>
      <c r="L10" s="40"/>
      <c r="M10" s="54"/>
    </row>
    <row r="11" spans="1:13" ht="18" hidden="1" customHeight="1" outlineLevel="1" x14ac:dyDescent="0.25">
      <c r="A11" s="88"/>
      <c r="B11" s="44">
        <v>42164</v>
      </c>
      <c r="C11" s="43">
        <v>5</v>
      </c>
      <c r="D11" s="45">
        <v>45.9</v>
      </c>
      <c r="E11" s="40">
        <f>C11*D11</f>
        <v>229.5</v>
      </c>
      <c r="F11" s="44">
        <v>42195</v>
      </c>
      <c r="G11" s="43">
        <v>20</v>
      </c>
      <c r="H11" s="45">
        <v>46.15</v>
      </c>
      <c r="I11" s="40">
        <f>G11*H11</f>
        <v>923</v>
      </c>
      <c r="J11" s="45"/>
      <c r="K11" s="40"/>
      <c r="L11" s="40"/>
      <c r="M11" s="54"/>
    </row>
    <row r="12" spans="1:13" ht="18" hidden="1" customHeight="1" outlineLevel="1" x14ac:dyDescent="0.25">
      <c r="A12" s="88"/>
      <c r="B12" s="44">
        <v>42184</v>
      </c>
      <c r="C12" s="43">
        <v>5</v>
      </c>
      <c r="D12" s="45">
        <v>44.5</v>
      </c>
      <c r="E12" s="40">
        <f>C12*D12</f>
        <v>222.5</v>
      </c>
      <c r="F12" s="45"/>
      <c r="G12" s="43"/>
      <c r="H12" s="45"/>
      <c r="I12" s="40"/>
      <c r="J12" s="45"/>
      <c r="K12" s="40"/>
      <c r="L12" s="40"/>
      <c r="M12" s="54"/>
    </row>
    <row r="13" spans="1:13" ht="18" hidden="1" customHeight="1" outlineLevel="1" x14ac:dyDescent="0.25">
      <c r="A13" s="88"/>
      <c r="B13" s="44">
        <v>42184</v>
      </c>
      <c r="C13" s="43">
        <v>10</v>
      </c>
      <c r="D13" s="45">
        <v>44.35</v>
      </c>
      <c r="E13" s="40">
        <f>C13*D13</f>
        <v>443.5</v>
      </c>
      <c r="F13" s="45"/>
      <c r="G13" s="43"/>
      <c r="H13" s="45"/>
      <c r="I13" s="40"/>
      <c r="J13" s="45"/>
      <c r="K13" s="40"/>
      <c r="L13" s="40"/>
      <c r="M13" s="54"/>
    </row>
    <row r="14" spans="1:13" ht="18" customHeight="1" collapsed="1" x14ac:dyDescent="0.25">
      <c r="A14" s="88"/>
      <c r="B14" s="44"/>
      <c r="C14" s="43">
        <f>SUM(C11:C13)</f>
        <v>20</v>
      </c>
      <c r="D14" s="45"/>
      <c r="E14" s="40">
        <f t="shared" ref="E14:I14" si="1">SUM(E11:E13)</f>
        <v>895.5</v>
      </c>
      <c r="F14" s="45"/>
      <c r="G14" s="43">
        <f t="shared" si="1"/>
        <v>20</v>
      </c>
      <c r="H14" s="45"/>
      <c r="I14" s="40">
        <f t="shared" si="1"/>
        <v>923</v>
      </c>
      <c r="J14" s="45"/>
      <c r="K14" s="40"/>
      <c r="L14" s="40">
        <f>I14-E14</f>
        <v>27.5</v>
      </c>
      <c r="M14" s="54">
        <f>(L14+K14)/E14</f>
        <v>3.0709101060859854E-2</v>
      </c>
    </row>
    <row r="15" spans="1:13" ht="18" hidden="1" customHeight="1" outlineLevel="1" x14ac:dyDescent="0.25">
      <c r="A15" s="89" t="s">
        <v>30</v>
      </c>
      <c r="B15" s="47"/>
      <c r="C15" s="42"/>
      <c r="D15" s="47"/>
      <c r="E15" s="41"/>
      <c r="F15" s="47"/>
      <c r="G15" s="42"/>
      <c r="H15" s="47"/>
      <c r="I15" s="41"/>
      <c r="J15" s="47"/>
      <c r="K15" s="41"/>
      <c r="L15" s="41"/>
      <c r="M15" s="55"/>
    </row>
    <row r="16" spans="1:13" ht="18" hidden="1" customHeight="1" outlineLevel="1" x14ac:dyDescent="0.25">
      <c r="A16" s="89"/>
      <c r="B16" s="48">
        <v>42164</v>
      </c>
      <c r="C16" s="42">
        <v>10</v>
      </c>
      <c r="D16" s="47">
        <v>141.4</v>
      </c>
      <c r="E16" s="41">
        <f>C16*D16</f>
        <v>1414</v>
      </c>
      <c r="F16" s="48">
        <v>42216</v>
      </c>
      <c r="G16" s="42">
        <v>10</v>
      </c>
      <c r="H16" s="47">
        <v>143.35</v>
      </c>
      <c r="I16" s="41">
        <f>G16*H16</f>
        <v>1433.5</v>
      </c>
      <c r="J16" s="47"/>
      <c r="K16" s="41"/>
      <c r="L16" s="41"/>
      <c r="M16" s="55"/>
    </row>
    <row r="17" spans="1:13" ht="18" customHeight="1" collapsed="1" x14ac:dyDescent="0.25">
      <c r="A17" s="89"/>
      <c r="B17" s="48"/>
      <c r="C17" s="42">
        <f>SUM(C16)</f>
        <v>10</v>
      </c>
      <c r="D17" s="47"/>
      <c r="E17" s="41">
        <f>SUM(E16)</f>
        <v>1414</v>
      </c>
      <c r="F17" s="47"/>
      <c r="G17" s="42">
        <f>SUM(G16)</f>
        <v>10</v>
      </c>
      <c r="H17" s="47"/>
      <c r="I17" s="41">
        <f>SUM(I16)</f>
        <v>1433.5</v>
      </c>
      <c r="J17" s="47"/>
      <c r="K17" s="41"/>
      <c r="L17" s="41">
        <f>I17-E17</f>
        <v>19.5</v>
      </c>
      <c r="M17" s="55">
        <f>(L17+K17)/E17</f>
        <v>1.3790664780763792E-2</v>
      </c>
    </row>
    <row r="18" spans="1:13" ht="18" hidden="1" customHeight="1" outlineLevel="1" x14ac:dyDescent="0.25">
      <c r="A18" s="88" t="s">
        <v>8</v>
      </c>
      <c r="B18" s="45"/>
      <c r="C18" s="43"/>
      <c r="D18" s="45"/>
      <c r="E18" s="40"/>
      <c r="F18" s="45"/>
      <c r="G18" s="43"/>
      <c r="H18" s="45"/>
      <c r="I18" s="40"/>
      <c r="J18" s="45"/>
      <c r="K18" s="40"/>
      <c r="L18" s="40"/>
      <c r="M18" s="54"/>
    </row>
    <row r="19" spans="1:13" ht="18" hidden="1" customHeight="1" outlineLevel="1" x14ac:dyDescent="0.25">
      <c r="A19" s="88"/>
      <c r="B19" s="44">
        <v>42145</v>
      </c>
      <c r="C19" s="43">
        <v>50</v>
      </c>
      <c r="D19" s="45">
        <v>61.7</v>
      </c>
      <c r="E19" s="40">
        <f t="shared" ref="E19:E29" si="2">C19*D19</f>
        <v>3085</v>
      </c>
      <c r="F19" s="44">
        <v>42187</v>
      </c>
      <c r="G19" s="43">
        <v>300</v>
      </c>
      <c r="H19" s="45">
        <v>57.78</v>
      </c>
      <c r="I19" s="40">
        <f>G19*H19</f>
        <v>17334</v>
      </c>
      <c r="J19" s="44">
        <v>42185</v>
      </c>
      <c r="K19" s="40">
        <v>44.61</v>
      </c>
      <c r="L19" s="40"/>
      <c r="M19" s="54"/>
    </row>
    <row r="20" spans="1:13" ht="18" hidden="1" customHeight="1" outlineLevel="1" x14ac:dyDescent="0.25">
      <c r="A20" s="88"/>
      <c r="B20" s="44">
        <v>42146</v>
      </c>
      <c r="C20" s="43">
        <v>10</v>
      </c>
      <c r="D20" s="45">
        <v>61.37</v>
      </c>
      <c r="E20" s="40">
        <f t="shared" si="2"/>
        <v>613.69999999999993</v>
      </c>
      <c r="F20" s="44">
        <v>42216</v>
      </c>
      <c r="G20" s="43">
        <v>300</v>
      </c>
      <c r="H20" s="45">
        <v>62</v>
      </c>
      <c r="I20" s="40">
        <f>G20*H20</f>
        <v>18600</v>
      </c>
      <c r="J20" s="45"/>
      <c r="K20" s="40"/>
      <c r="L20" s="40"/>
      <c r="M20" s="54"/>
    </row>
    <row r="21" spans="1:13" ht="18" hidden="1" customHeight="1" outlineLevel="1" x14ac:dyDescent="0.25">
      <c r="A21" s="88"/>
      <c r="B21" s="44">
        <v>42146</v>
      </c>
      <c r="C21" s="43">
        <v>20</v>
      </c>
      <c r="D21" s="45">
        <v>61.12</v>
      </c>
      <c r="E21" s="40">
        <f t="shared" si="2"/>
        <v>1222.3999999999999</v>
      </c>
      <c r="F21" s="45"/>
      <c r="G21" s="43"/>
      <c r="H21" s="45"/>
      <c r="I21" s="40"/>
      <c r="J21" s="45"/>
      <c r="K21" s="40"/>
      <c r="L21" s="40"/>
      <c r="M21" s="54"/>
    </row>
    <row r="22" spans="1:13" ht="18" hidden="1" customHeight="1" outlineLevel="1" x14ac:dyDescent="0.25">
      <c r="A22" s="88"/>
      <c r="B22" s="44">
        <v>42146</v>
      </c>
      <c r="C22" s="43">
        <v>20</v>
      </c>
      <c r="D22" s="45">
        <v>61.1</v>
      </c>
      <c r="E22" s="40">
        <f t="shared" si="2"/>
        <v>1222</v>
      </c>
      <c r="F22" s="45"/>
      <c r="G22" s="43"/>
      <c r="H22" s="45"/>
      <c r="I22" s="40"/>
      <c r="J22" s="45"/>
      <c r="K22" s="40"/>
      <c r="L22" s="40"/>
      <c r="M22" s="54"/>
    </row>
    <row r="23" spans="1:13" ht="18" hidden="1" customHeight="1" outlineLevel="1" x14ac:dyDescent="0.25">
      <c r="A23" s="88"/>
      <c r="B23" s="44">
        <v>42146</v>
      </c>
      <c r="C23" s="43">
        <v>10</v>
      </c>
      <c r="D23" s="45">
        <v>60.8</v>
      </c>
      <c r="E23" s="40">
        <f t="shared" si="2"/>
        <v>608</v>
      </c>
      <c r="F23" s="45"/>
      <c r="G23" s="43"/>
      <c r="H23" s="45"/>
      <c r="I23" s="40"/>
      <c r="J23" s="45"/>
      <c r="K23" s="40"/>
      <c r="L23" s="40"/>
      <c r="M23" s="54"/>
    </row>
    <row r="24" spans="1:13" ht="18" hidden="1" customHeight="1" outlineLevel="1" x14ac:dyDescent="0.25">
      <c r="A24" s="88"/>
      <c r="B24" s="44">
        <v>42146</v>
      </c>
      <c r="C24" s="43">
        <v>20</v>
      </c>
      <c r="D24" s="45">
        <v>60.7</v>
      </c>
      <c r="E24" s="40">
        <f t="shared" si="2"/>
        <v>1214</v>
      </c>
      <c r="F24" s="45"/>
      <c r="G24" s="43"/>
      <c r="H24" s="45"/>
      <c r="I24" s="40"/>
      <c r="J24" s="45"/>
      <c r="K24" s="40"/>
      <c r="L24" s="40"/>
      <c r="M24" s="54"/>
    </row>
    <row r="25" spans="1:13" ht="18" hidden="1" customHeight="1" outlineLevel="1" x14ac:dyDescent="0.25">
      <c r="A25" s="88"/>
      <c r="B25" s="44">
        <v>42150</v>
      </c>
      <c r="C25" s="43">
        <v>20</v>
      </c>
      <c r="D25" s="45">
        <v>60.6</v>
      </c>
      <c r="E25" s="40">
        <f t="shared" si="2"/>
        <v>1212</v>
      </c>
      <c r="F25" s="45"/>
      <c r="G25" s="43"/>
      <c r="H25" s="45"/>
      <c r="I25" s="40"/>
      <c r="J25" s="45"/>
      <c r="K25" s="40"/>
      <c r="L25" s="40"/>
      <c r="M25" s="54"/>
    </row>
    <row r="26" spans="1:13" ht="18" hidden="1" customHeight="1" outlineLevel="1" x14ac:dyDescent="0.25">
      <c r="A26" s="88"/>
      <c r="B26" s="44">
        <v>42152</v>
      </c>
      <c r="C26" s="43">
        <v>30</v>
      </c>
      <c r="D26" s="45">
        <v>60.33</v>
      </c>
      <c r="E26" s="40">
        <f t="shared" si="2"/>
        <v>1809.8999999999999</v>
      </c>
      <c r="F26" s="45"/>
      <c r="G26" s="43"/>
      <c r="H26" s="45"/>
      <c r="I26" s="40"/>
      <c r="J26" s="45"/>
      <c r="K26" s="40"/>
      <c r="L26" s="40"/>
      <c r="M26" s="54"/>
    </row>
    <row r="27" spans="1:13" ht="18" hidden="1" customHeight="1" outlineLevel="1" x14ac:dyDescent="0.25">
      <c r="A27" s="88"/>
      <c r="B27" s="44">
        <v>42152</v>
      </c>
      <c r="C27" s="43">
        <v>30</v>
      </c>
      <c r="D27" s="45">
        <v>60.39</v>
      </c>
      <c r="E27" s="40">
        <f t="shared" si="2"/>
        <v>1811.7</v>
      </c>
      <c r="F27" s="45"/>
      <c r="G27" s="43"/>
      <c r="H27" s="45"/>
      <c r="I27" s="40"/>
      <c r="J27" s="45"/>
      <c r="K27" s="40"/>
      <c r="L27" s="40"/>
      <c r="M27" s="54"/>
    </row>
    <row r="28" spans="1:13" ht="18" hidden="1" customHeight="1" outlineLevel="1" x14ac:dyDescent="0.25">
      <c r="A28" s="88"/>
      <c r="B28" s="44">
        <v>42166</v>
      </c>
      <c r="C28" s="43">
        <v>100</v>
      </c>
      <c r="D28" s="45">
        <v>58</v>
      </c>
      <c r="E28" s="40">
        <f t="shared" si="2"/>
        <v>5800</v>
      </c>
      <c r="F28" s="45"/>
      <c r="G28" s="43"/>
      <c r="H28" s="45"/>
      <c r="I28" s="40"/>
      <c r="J28" s="45"/>
      <c r="K28" s="40"/>
      <c r="L28" s="40"/>
      <c r="M28" s="54"/>
    </row>
    <row r="29" spans="1:13" ht="18" hidden="1" customHeight="1" outlineLevel="1" x14ac:dyDescent="0.25">
      <c r="A29" s="88"/>
      <c r="B29" s="44">
        <v>42187</v>
      </c>
      <c r="C29" s="43">
        <v>290</v>
      </c>
      <c r="D29" s="45">
        <v>57.85</v>
      </c>
      <c r="E29" s="40">
        <f t="shared" si="2"/>
        <v>16776.5</v>
      </c>
      <c r="F29" s="45"/>
      <c r="G29" s="43"/>
      <c r="H29" s="45"/>
      <c r="I29" s="40"/>
      <c r="J29" s="45"/>
      <c r="K29" s="40"/>
      <c r="L29" s="40"/>
      <c r="M29" s="54"/>
    </row>
    <row r="30" spans="1:13" ht="18" customHeight="1" collapsed="1" x14ac:dyDescent="0.25">
      <c r="A30" s="88"/>
      <c r="B30" s="44"/>
      <c r="C30" s="43">
        <f>SUM(C19:C29)</f>
        <v>600</v>
      </c>
      <c r="D30" s="45"/>
      <c r="E30" s="40">
        <f>SUM(E19:E29)</f>
        <v>35375.199999999997</v>
      </c>
      <c r="F30" s="45"/>
      <c r="G30" s="43">
        <f>SUM(G19:G29)</f>
        <v>600</v>
      </c>
      <c r="H30" s="45"/>
      <c r="I30" s="40">
        <f>SUM(I19:I29)</f>
        <v>35934</v>
      </c>
      <c r="J30" s="45"/>
      <c r="K30" s="40">
        <f>SUM(K19:K29)</f>
        <v>44.61</v>
      </c>
      <c r="L30" s="40">
        <f>I30-E30</f>
        <v>558.80000000000291</v>
      </c>
      <c r="M30" s="54">
        <f>(L30+K30)/E30</f>
        <v>1.7057430063999721E-2</v>
      </c>
    </row>
    <row r="31" spans="1:13" ht="18" hidden="1" customHeight="1" outlineLevel="1" x14ac:dyDescent="0.25">
      <c r="A31" s="89" t="s">
        <v>40</v>
      </c>
      <c r="B31" s="47"/>
      <c r="C31" s="42"/>
      <c r="D31" s="47"/>
      <c r="E31" s="41"/>
      <c r="F31" s="47"/>
      <c r="G31" s="42"/>
      <c r="H31" s="47"/>
      <c r="I31" s="41"/>
      <c r="J31" s="47"/>
      <c r="K31" s="41"/>
      <c r="L31" s="41"/>
      <c r="M31" s="55"/>
    </row>
    <row r="32" spans="1:13" ht="18" hidden="1" customHeight="1" outlineLevel="1" x14ac:dyDescent="0.25">
      <c r="A32" s="89"/>
      <c r="B32" s="48">
        <v>42184</v>
      </c>
      <c r="C32" s="42">
        <v>20</v>
      </c>
      <c r="D32" s="47">
        <v>164.18</v>
      </c>
      <c r="E32" s="41">
        <f>C32*D32</f>
        <v>3283.6000000000004</v>
      </c>
      <c r="F32" s="48">
        <v>42216</v>
      </c>
      <c r="G32" s="42">
        <v>20</v>
      </c>
      <c r="H32" s="47">
        <v>158</v>
      </c>
      <c r="I32" s="41">
        <f>G32*H32</f>
        <v>3160</v>
      </c>
      <c r="J32" s="47"/>
      <c r="K32" s="41"/>
      <c r="L32" s="41"/>
      <c r="M32" s="42"/>
    </row>
    <row r="33" spans="1:13" ht="18" hidden="1" customHeight="1" outlineLevel="1" x14ac:dyDescent="0.25">
      <c r="A33" s="89"/>
      <c r="B33" s="48">
        <v>42209</v>
      </c>
      <c r="C33" s="42">
        <v>10</v>
      </c>
      <c r="D33" s="47">
        <v>148</v>
      </c>
      <c r="E33" s="41">
        <f>C33*D33</f>
        <v>1480</v>
      </c>
      <c r="F33" s="48">
        <v>42235</v>
      </c>
      <c r="G33" s="42">
        <v>20</v>
      </c>
      <c r="H33" s="47">
        <v>159.80000000000001</v>
      </c>
      <c r="I33" s="41">
        <f>G33*H33</f>
        <v>3196</v>
      </c>
      <c r="J33" s="47"/>
      <c r="K33" s="41"/>
      <c r="L33" s="41"/>
      <c r="M33" s="42"/>
    </row>
    <row r="34" spans="1:13" ht="18" hidden="1" customHeight="1" outlineLevel="1" x14ac:dyDescent="0.25">
      <c r="A34" s="89"/>
      <c r="B34" s="48">
        <v>42209</v>
      </c>
      <c r="C34" s="42">
        <v>10</v>
      </c>
      <c r="D34" s="47">
        <v>146.69999999999999</v>
      </c>
      <c r="E34" s="41">
        <f>C34*D34</f>
        <v>1467</v>
      </c>
      <c r="F34" s="47"/>
      <c r="G34" s="42"/>
      <c r="H34" s="47"/>
      <c r="I34" s="41"/>
      <c r="J34" s="47"/>
      <c r="K34" s="41"/>
      <c r="L34" s="41"/>
      <c r="M34" s="42"/>
    </row>
    <row r="35" spans="1:13" ht="18" customHeight="1" collapsed="1" x14ac:dyDescent="0.25">
      <c r="A35" s="89"/>
      <c r="B35" s="47"/>
      <c r="C35" s="42">
        <f>SUM(C32:C34)</f>
        <v>40</v>
      </c>
      <c r="D35" s="47"/>
      <c r="E35" s="41">
        <f>SUM(E32:E34)</f>
        <v>6230.6</v>
      </c>
      <c r="F35" s="47"/>
      <c r="G35" s="42">
        <f>SUM(G32:G34)</f>
        <v>40</v>
      </c>
      <c r="H35" s="47"/>
      <c r="I35" s="41">
        <f>SUM(I32:I34)</f>
        <v>6356</v>
      </c>
      <c r="J35" s="47"/>
      <c r="K35" s="41"/>
      <c r="L35" s="41">
        <f t="shared" ref="L35" si="3">I35-E35</f>
        <v>125.39999999999964</v>
      </c>
      <c r="M35" s="55">
        <f>(L35+K35)/E35</f>
        <v>2.012647257085989E-2</v>
      </c>
    </row>
    <row r="36" spans="1:13" ht="18" hidden="1" customHeight="1" outlineLevel="1" x14ac:dyDescent="0.25">
      <c r="A36" s="88" t="s">
        <v>32</v>
      </c>
      <c r="B36" s="45"/>
      <c r="C36" s="43"/>
      <c r="D36" s="45"/>
      <c r="E36" s="40"/>
      <c r="F36" s="45"/>
      <c r="G36" s="43"/>
      <c r="H36" s="45"/>
      <c r="I36" s="40"/>
      <c r="J36" s="45"/>
      <c r="K36" s="40"/>
      <c r="L36" s="40"/>
      <c r="M36" s="54"/>
    </row>
    <row r="37" spans="1:13" ht="18" hidden="1" customHeight="1" outlineLevel="1" x14ac:dyDescent="0.25">
      <c r="A37" s="88"/>
      <c r="B37" s="44">
        <v>42166</v>
      </c>
      <c r="C37" s="43">
        <v>25</v>
      </c>
      <c r="D37" s="45">
        <v>41.2</v>
      </c>
      <c r="E37" s="40">
        <f>C37*D37</f>
        <v>1030</v>
      </c>
      <c r="F37" s="44">
        <v>42200</v>
      </c>
      <c r="G37" s="43">
        <v>50</v>
      </c>
      <c r="H37" s="45">
        <v>42.08</v>
      </c>
      <c r="I37" s="40">
        <f>G37*H37</f>
        <v>2104</v>
      </c>
      <c r="J37" s="45"/>
      <c r="K37" s="40"/>
      <c r="L37" s="40"/>
      <c r="M37" s="54"/>
    </row>
    <row r="38" spans="1:13" ht="18" hidden="1" customHeight="1" outlineLevel="1" x14ac:dyDescent="0.25">
      <c r="A38" s="88"/>
      <c r="B38" s="44">
        <v>42167</v>
      </c>
      <c r="C38" s="43">
        <v>25</v>
      </c>
      <c r="D38" s="45">
        <v>39.1</v>
      </c>
      <c r="E38" s="40">
        <f>C38*D38</f>
        <v>977.5</v>
      </c>
      <c r="F38" s="45"/>
      <c r="G38" s="43"/>
      <c r="H38" s="45"/>
      <c r="I38" s="40"/>
      <c r="J38" s="45"/>
      <c r="K38" s="40"/>
      <c r="L38" s="40"/>
      <c r="M38" s="54"/>
    </row>
    <row r="39" spans="1:13" ht="18" customHeight="1" collapsed="1" x14ac:dyDescent="0.25">
      <c r="A39" s="88"/>
      <c r="B39" s="44"/>
      <c r="C39" s="43">
        <f>SUM(C37:C38)</f>
        <v>50</v>
      </c>
      <c r="D39" s="45"/>
      <c r="E39" s="40">
        <f>SUM(E37:E38)</f>
        <v>2007.5</v>
      </c>
      <c r="F39" s="45"/>
      <c r="G39" s="43">
        <f>SUM(G37:G38)</f>
        <v>50</v>
      </c>
      <c r="H39" s="45"/>
      <c r="I39" s="40">
        <f>SUM(I37:I38)</f>
        <v>2104</v>
      </c>
      <c r="J39" s="45"/>
      <c r="K39" s="40"/>
      <c r="L39" s="40">
        <f>I39-E39</f>
        <v>96.5</v>
      </c>
      <c r="M39" s="54">
        <f>(L39+K39)/E39</f>
        <v>4.8069738480697385E-2</v>
      </c>
    </row>
    <row r="40" spans="1:13" ht="18" hidden="1" customHeight="1" outlineLevel="1" x14ac:dyDescent="0.25">
      <c r="A40" s="89" t="s">
        <v>16</v>
      </c>
      <c r="B40" s="47"/>
      <c r="C40" s="42"/>
      <c r="D40" s="47"/>
      <c r="E40" s="41"/>
      <c r="F40" s="47"/>
      <c r="G40" s="42"/>
      <c r="H40" s="47"/>
      <c r="I40" s="41"/>
      <c r="J40" s="47"/>
      <c r="K40" s="41"/>
      <c r="L40" s="41"/>
      <c r="M40" s="55"/>
    </row>
    <row r="41" spans="1:13" ht="18" hidden="1" customHeight="1" outlineLevel="1" x14ac:dyDescent="0.25">
      <c r="A41" s="89"/>
      <c r="B41" s="48">
        <v>42153</v>
      </c>
      <c r="C41" s="42">
        <v>1</v>
      </c>
      <c r="D41" s="47">
        <v>20.3</v>
      </c>
      <c r="E41" s="41">
        <f>C41*D41</f>
        <v>20.3</v>
      </c>
      <c r="F41" s="48">
        <v>42187</v>
      </c>
      <c r="G41" s="42">
        <v>1</v>
      </c>
      <c r="H41" s="47">
        <v>28.5</v>
      </c>
      <c r="I41" s="41">
        <f>G41*H41</f>
        <v>28.5</v>
      </c>
      <c r="J41" s="47"/>
      <c r="K41" s="41"/>
      <c r="L41" s="41"/>
      <c r="M41" s="55"/>
    </row>
    <row r="42" spans="1:13" ht="18" customHeight="1" collapsed="1" x14ac:dyDescent="0.25">
      <c r="A42" s="89"/>
      <c r="B42" s="47"/>
      <c r="C42" s="42">
        <f>SUM(C41)</f>
        <v>1</v>
      </c>
      <c r="D42" s="47"/>
      <c r="E42" s="41">
        <f>SUM(E41)</f>
        <v>20.3</v>
      </c>
      <c r="F42" s="47"/>
      <c r="G42" s="42">
        <f>SUM(G41)</f>
        <v>1</v>
      </c>
      <c r="H42" s="47"/>
      <c r="I42" s="41">
        <f>SUM(I41)</f>
        <v>28.5</v>
      </c>
      <c r="J42" s="47"/>
      <c r="K42" s="41"/>
      <c r="L42" s="41">
        <f>I42-E42</f>
        <v>8.1999999999999993</v>
      </c>
      <c r="M42" s="55">
        <f>(L42+K42)/E42</f>
        <v>0.40394088669950734</v>
      </c>
    </row>
    <row r="43" spans="1:13" ht="18" hidden="1" customHeight="1" outlineLevel="1" x14ac:dyDescent="0.25">
      <c r="A43" s="88" t="s">
        <v>21</v>
      </c>
      <c r="B43" s="45"/>
      <c r="C43" s="43"/>
      <c r="D43" s="45"/>
      <c r="E43" s="40"/>
      <c r="F43" s="45"/>
      <c r="G43" s="43"/>
      <c r="H43" s="45"/>
      <c r="I43" s="40"/>
      <c r="J43" s="45"/>
      <c r="K43" s="40"/>
      <c r="L43" s="40"/>
      <c r="M43" s="54"/>
    </row>
    <row r="44" spans="1:13" ht="18" hidden="1" customHeight="1" outlineLevel="1" x14ac:dyDescent="0.25">
      <c r="A44" s="88"/>
      <c r="B44" s="44">
        <v>42153</v>
      </c>
      <c r="C44" s="43">
        <v>10</v>
      </c>
      <c r="D44" s="45">
        <v>17.399999999999999</v>
      </c>
      <c r="E44" s="40">
        <f>C44*D44</f>
        <v>174</v>
      </c>
      <c r="F44" s="44">
        <v>42186</v>
      </c>
      <c r="G44" s="43">
        <v>10</v>
      </c>
      <c r="H44" s="45">
        <v>24.2</v>
      </c>
      <c r="I44" s="40">
        <f>G44*H44</f>
        <v>242</v>
      </c>
      <c r="J44" s="45"/>
      <c r="K44" s="40"/>
      <c r="L44" s="40"/>
      <c r="M44" s="54"/>
    </row>
    <row r="45" spans="1:13" ht="18" hidden="1" customHeight="1" outlineLevel="1" x14ac:dyDescent="0.25">
      <c r="A45" s="88"/>
      <c r="B45" s="44">
        <v>42187</v>
      </c>
      <c r="C45" s="43">
        <v>1000</v>
      </c>
      <c r="D45" s="45">
        <v>22.12</v>
      </c>
      <c r="E45" s="40">
        <f>C45*D45</f>
        <v>22120</v>
      </c>
      <c r="F45" s="44">
        <v>42187</v>
      </c>
      <c r="G45" s="43">
        <v>4000</v>
      </c>
      <c r="H45" s="45">
        <v>21.81</v>
      </c>
      <c r="I45" s="40">
        <f>G45*H45</f>
        <v>87240</v>
      </c>
      <c r="J45" s="45"/>
      <c r="K45" s="40"/>
      <c r="L45" s="40"/>
      <c r="M45" s="54"/>
    </row>
    <row r="46" spans="1:13" ht="18" hidden="1" customHeight="1" outlineLevel="1" x14ac:dyDescent="0.25">
      <c r="A46" s="88"/>
      <c r="B46" s="44">
        <v>42187</v>
      </c>
      <c r="C46" s="43">
        <v>1000</v>
      </c>
      <c r="D46" s="45">
        <v>21.7</v>
      </c>
      <c r="E46" s="40">
        <f>C46*D46</f>
        <v>21700</v>
      </c>
      <c r="F46" s="44"/>
      <c r="G46" s="43"/>
      <c r="H46" s="45"/>
      <c r="I46" s="40">
        <f>G46*H46</f>
        <v>0</v>
      </c>
      <c r="J46" s="45"/>
      <c r="K46" s="40"/>
      <c r="L46" s="40"/>
      <c r="M46" s="54"/>
    </row>
    <row r="47" spans="1:13" ht="18" hidden="1" customHeight="1" outlineLevel="1" x14ac:dyDescent="0.25">
      <c r="A47" s="88"/>
      <c r="B47" s="44">
        <v>42187</v>
      </c>
      <c r="C47" s="43">
        <v>2000</v>
      </c>
      <c r="D47" s="45">
        <v>21.49</v>
      </c>
      <c r="E47" s="40">
        <f>C47*D47</f>
        <v>42980</v>
      </c>
      <c r="F47" s="44"/>
      <c r="G47" s="43"/>
      <c r="H47" s="45"/>
      <c r="I47" s="40">
        <f>G47*H47</f>
        <v>0</v>
      </c>
      <c r="J47" s="45"/>
      <c r="K47" s="40"/>
      <c r="L47" s="40"/>
      <c r="M47" s="54"/>
    </row>
    <row r="48" spans="1:13" ht="18" customHeight="1" collapsed="1" x14ac:dyDescent="0.25">
      <c r="A48" s="88"/>
      <c r="B48" s="44"/>
      <c r="C48" s="43">
        <f>SUM(C44:C47)</f>
        <v>4010</v>
      </c>
      <c r="D48" s="45"/>
      <c r="E48" s="40">
        <f>SUM(E44:E47)</f>
        <v>86974</v>
      </c>
      <c r="F48" s="45"/>
      <c r="G48" s="43">
        <f>SUM(G44:G47)</f>
        <v>4010</v>
      </c>
      <c r="H48" s="45"/>
      <c r="I48" s="40">
        <f>SUM(I44:I47)</f>
        <v>87482</v>
      </c>
      <c r="J48" s="45"/>
      <c r="K48" s="40"/>
      <c r="L48" s="40">
        <f>I48-E48</f>
        <v>508</v>
      </c>
      <c r="M48" s="54">
        <f>(L48+K48)/E48</f>
        <v>5.8408259939752112E-3</v>
      </c>
    </row>
    <row r="49" spans="1:13" ht="18" hidden="1" customHeight="1" outlineLevel="1" x14ac:dyDescent="0.25">
      <c r="A49" s="89" t="s">
        <v>9</v>
      </c>
      <c r="B49" s="47"/>
      <c r="C49" s="42"/>
      <c r="D49" s="47"/>
      <c r="E49" s="41"/>
      <c r="F49" s="47"/>
      <c r="G49" s="42"/>
      <c r="H49" s="47"/>
      <c r="I49" s="41"/>
      <c r="J49" s="47"/>
      <c r="K49" s="41"/>
      <c r="L49" s="42"/>
      <c r="M49" s="42"/>
    </row>
    <row r="50" spans="1:13" ht="18" hidden="1" customHeight="1" outlineLevel="1" x14ac:dyDescent="0.25">
      <c r="A50" s="89"/>
      <c r="B50" s="48">
        <v>42145</v>
      </c>
      <c r="C50" s="42">
        <v>100</v>
      </c>
      <c r="D50" s="47">
        <v>5.55</v>
      </c>
      <c r="E50" s="41">
        <f>C50*D50</f>
        <v>555</v>
      </c>
      <c r="F50" s="48">
        <v>42187</v>
      </c>
      <c r="G50" s="42">
        <v>4200</v>
      </c>
      <c r="H50" s="47">
        <v>5.0199999999999996</v>
      </c>
      <c r="I50" s="41">
        <f>G50*H50</f>
        <v>21084</v>
      </c>
      <c r="J50" s="48">
        <v>42185</v>
      </c>
      <c r="K50" s="41">
        <v>656.25</v>
      </c>
      <c r="L50" s="42"/>
      <c r="M50" s="42"/>
    </row>
    <row r="51" spans="1:13" ht="18" hidden="1" customHeight="1" outlineLevel="1" x14ac:dyDescent="0.25">
      <c r="A51" s="89"/>
      <c r="B51" s="48">
        <v>42146</v>
      </c>
      <c r="C51" s="42">
        <v>100</v>
      </c>
      <c r="D51" s="47">
        <v>5.47</v>
      </c>
      <c r="E51" s="41">
        <f t="shared" ref="E51:E79" si="4">C51*D51</f>
        <v>547</v>
      </c>
      <c r="F51" s="48">
        <v>42207</v>
      </c>
      <c r="G51" s="42">
        <v>1000</v>
      </c>
      <c r="H51" s="47">
        <v>5.12</v>
      </c>
      <c r="I51" s="41">
        <f t="shared" ref="I51:I59" si="5">G51*H51</f>
        <v>5120</v>
      </c>
      <c r="J51" s="47"/>
      <c r="K51" s="41"/>
      <c r="L51" s="42"/>
      <c r="M51" s="42"/>
    </row>
    <row r="52" spans="1:13" ht="18" hidden="1" customHeight="1" outlineLevel="1" x14ac:dyDescent="0.25">
      <c r="A52" s="89"/>
      <c r="B52" s="48">
        <v>42146</v>
      </c>
      <c r="C52" s="42">
        <v>100</v>
      </c>
      <c r="D52" s="47">
        <v>5.43</v>
      </c>
      <c r="E52" s="41">
        <f t="shared" si="4"/>
        <v>543</v>
      </c>
      <c r="F52" s="48">
        <v>42207</v>
      </c>
      <c r="G52" s="42">
        <v>2000</v>
      </c>
      <c r="H52" s="47">
        <v>5.16</v>
      </c>
      <c r="I52" s="41">
        <f t="shared" si="5"/>
        <v>10320</v>
      </c>
      <c r="J52" s="47"/>
      <c r="K52" s="41"/>
      <c r="L52" s="42"/>
      <c r="M52" s="42"/>
    </row>
    <row r="53" spans="1:13" ht="18" hidden="1" customHeight="1" outlineLevel="1" x14ac:dyDescent="0.25">
      <c r="A53" s="89"/>
      <c r="B53" s="48">
        <v>42146</v>
      </c>
      <c r="C53" s="42">
        <v>100</v>
      </c>
      <c r="D53" s="47">
        <v>5.4</v>
      </c>
      <c r="E53" s="41">
        <f t="shared" si="4"/>
        <v>540</v>
      </c>
      <c r="F53" s="48">
        <v>42207</v>
      </c>
      <c r="G53" s="42">
        <v>1000</v>
      </c>
      <c r="H53" s="47">
        <v>5.07</v>
      </c>
      <c r="I53" s="41">
        <f t="shared" si="5"/>
        <v>5070</v>
      </c>
      <c r="J53" s="47"/>
      <c r="K53" s="41"/>
      <c r="L53" s="42"/>
      <c r="M53" s="42"/>
    </row>
    <row r="54" spans="1:13" ht="18" hidden="1" customHeight="1" outlineLevel="1" x14ac:dyDescent="0.25">
      <c r="A54" s="89"/>
      <c r="B54" s="48">
        <v>42146</v>
      </c>
      <c r="C54" s="42">
        <v>200</v>
      </c>
      <c r="D54" s="47">
        <v>5.35</v>
      </c>
      <c r="E54" s="41">
        <f t="shared" si="4"/>
        <v>1070</v>
      </c>
      <c r="F54" s="48">
        <v>42207</v>
      </c>
      <c r="G54" s="42">
        <v>1000</v>
      </c>
      <c r="H54" s="47">
        <v>5.09</v>
      </c>
      <c r="I54" s="41">
        <f t="shared" si="5"/>
        <v>5090</v>
      </c>
      <c r="J54" s="47"/>
      <c r="K54" s="41"/>
      <c r="L54" s="42"/>
      <c r="M54" s="42"/>
    </row>
    <row r="55" spans="1:13" ht="18" hidden="1" customHeight="1" outlineLevel="1" x14ac:dyDescent="0.25">
      <c r="A55" s="89"/>
      <c r="B55" s="48">
        <v>42152</v>
      </c>
      <c r="C55" s="42">
        <v>250</v>
      </c>
      <c r="D55" s="47">
        <v>5.3</v>
      </c>
      <c r="E55" s="41">
        <f t="shared" si="4"/>
        <v>1325</v>
      </c>
      <c r="F55" s="48">
        <v>42207</v>
      </c>
      <c r="G55" s="42">
        <v>2000</v>
      </c>
      <c r="H55" s="47">
        <v>5.23</v>
      </c>
      <c r="I55" s="41">
        <f t="shared" si="5"/>
        <v>10460</v>
      </c>
      <c r="J55" s="47"/>
      <c r="K55" s="41"/>
      <c r="L55" s="42"/>
      <c r="M55" s="42"/>
    </row>
    <row r="56" spans="1:13" ht="18" hidden="1" customHeight="1" outlineLevel="1" x14ac:dyDescent="0.25">
      <c r="A56" s="89"/>
      <c r="B56" s="48">
        <v>42152</v>
      </c>
      <c r="C56" s="42">
        <v>200</v>
      </c>
      <c r="D56" s="47">
        <v>5.26</v>
      </c>
      <c r="E56" s="41">
        <f t="shared" si="4"/>
        <v>1052</v>
      </c>
      <c r="F56" s="48">
        <v>42222</v>
      </c>
      <c r="G56" s="42">
        <v>5000</v>
      </c>
      <c r="H56" s="47">
        <v>5.12</v>
      </c>
      <c r="I56" s="41">
        <f t="shared" si="5"/>
        <v>25600</v>
      </c>
      <c r="J56" s="47"/>
      <c r="K56" s="41"/>
      <c r="L56" s="42"/>
      <c r="M56" s="42"/>
    </row>
    <row r="57" spans="1:13" ht="18" hidden="1" customHeight="1" outlineLevel="1" x14ac:dyDescent="0.25">
      <c r="A57" s="89"/>
      <c r="B57" s="48">
        <v>42152</v>
      </c>
      <c r="C57" s="42">
        <v>200</v>
      </c>
      <c r="D57" s="47">
        <v>5.22</v>
      </c>
      <c r="E57" s="41">
        <f t="shared" si="4"/>
        <v>1044</v>
      </c>
      <c r="F57" s="48">
        <v>42222</v>
      </c>
      <c r="G57" s="42">
        <v>1000</v>
      </c>
      <c r="H57" s="47">
        <v>5.1100000000000003</v>
      </c>
      <c r="I57" s="41">
        <f t="shared" si="5"/>
        <v>5110</v>
      </c>
      <c r="J57" s="47"/>
      <c r="K57" s="41"/>
      <c r="L57" s="42"/>
      <c r="M57" s="42"/>
    </row>
    <row r="58" spans="1:13" ht="18" hidden="1" customHeight="1" outlineLevel="1" x14ac:dyDescent="0.25">
      <c r="A58" s="89"/>
      <c r="B58" s="48">
        <v>42152</v>
      </c>
      <c r="C58" s="42">
        <v>1000</v>
      </c>
      <c r="D58" s="47">
        <v>5.19</v>
      </c>
      <c r="E58" s="41">
        <f t="shared" si="4"/>
        <v>5190</v>
      </c>
      <c r="F58" s="48">
        <v>42223</v>
      </c>
      <c r="G58" s="42">
        <v>1950</v>
      </c>
      <c r="H58" s="47">
        <v>5.2</v>
      </c>
      <c r="I58" s="41">
        <f t="shared" si="5"/>
        <v>10140</v>
      </c>
      <c r="J58" s="47"/>
      <c r="K58" s="41"/>
      <c r="L58" s="42"/>
      <c r="M58" s="42"/>
    </row>
    <row r="59" spans="1:13" ht="18" hidden="1" customHeight="1" outlineLevel="1" x14ac:dyDescent="0.25">
      <c r="A59" s="89"/>
      <c r="B59" s="48">
        <v>42152</v>
      </c>
      <c r="C59" s="42">
        <v>2000</v>
      </c>
      <c r="D59" s="47">
        <v>5.17</v>
      </c>
      <c r="E59" s="41">
        <f t="shared" si="4"/>
        <v>10340</v>
      </c>
      <c r="F59" s="48">
        <v>42229</v>
      </c>
      <c r="G59" s="42">
        <v>50</v>
      </c>
      <c r="H59" s="47">
        <v>5.28</v>
      </c>
      <c r="I59" s="41">
        <f t="shared" si="5"/>
        <v>264</v>
      </c>
      <c r="J59" s="47"/>
      <c r="K59" s="41"/>
      <c r="L59" s="42"/>
      <c r="M59" s="42"/>
    </row>
    <row r="60" spans="1:13" ht="18" hidden="1" customHeight="1" outlineLevel="1" x14ac:dyDescent="0.25">
      <c r="A60" s="89"/>
      <c r="B60" s="48">
        <v>42152</v>
      </c>
      <c r="C60" s="42">
        <v>2000</v>
      </c>
      <c r="D60" s="47">
        <v>5.15</v>
      </c>
      <c r="E60" s="41">
        <f t="shared" si="4"/>
        <v>10300</v>
      </c>
      <c r="F60" s="47"/>
      <c r="G60" s="42"/>
      <c r="H60" s="47"/>
      <c r="I60" s="41"/>
      <c r="J60" s="47"/>
      <c r="K60" s="41"/>
      <c r="L60" s="42"/>
      <c r="M60" s="42"/>
    </row>
    <row r="61" spans="1:13" ht="18" hidden="1" customHeight="1" outlineLevel="1" x14ac:dyDescent="0.25">
      <c r="A61" s="89"/>
      <c r="B61" s="48">
        <v>42158</v>
      </c>
      <c r="C61" s="42">
        <v>500</v>
      </c>
      <c r="D61" s="47">
        <v>5.09</v>
      </c>
      <c r="E61" s="41">
        <f t="shared" si="4"/>
        <v>2545</v>
      </c>
      <c r="F61" s="47"/>
      <c r="G61" s="42"/>
      <c r="H61" s="47"/>
      <c r="I61" s="41"/>
      <c r="J61" s="47"/>
      <c r="K61" s="41"/>
      <c r="L61" s="42"/>
      <c r="M61" s="42"/>
    </row>
    <row r="62" spans="1:13" ht="18" hidden="1" customHeight="1" outlineLevel="1" x14ac:dyDescent="0.25">
      <c r="A62" s="89"/>
      <c r="B62" s="48">
        <v>42158</v>
      </c>
      <c r="C62" s="42">
        <v>1000</v>
      </c>
      <c r="D62" s="47">
        <v>5.04</v>
      </c>
      <c r="E62" s="41">
        <f t="shared" si="4"/>
        <v>5040</v>
      </c>
      <c r="F62" s="47"/>
      <c r="G62" s="42"/>
      <c r="H62" s="47"/>
      <c r="I62" s="41"/>
      <c r="J62" s="47"/>
      <c r="K62" s="41"/>
      <c r="L62" s="42"/>
      <c r="M62" s="42"/>
    </row>
    <row r="63" spans="1:13" ht="18" hidden="1" customHeight="1" outlineLevel="1" x14ac:dyDescent="0.25">
      <c r="A63" s="89"/>
      <c r="B63" s="48">
        <v>42158</v>
      </c>
      <c r="C63" s="42">
        <v>200</v>
      </c>
      <c r="D63" s="47">
        <v>5.05</v>
      </c>
      <c r="E63" s="41">
        <f t="shared" si="4"/>
        <v>1010</v>
      </c>
      <c r="F63" s="47"/>
      <c r="G63" s="42"/>
      <c r="H63" s="47"/>
      <c r="I63" s="41"/>
      <c r="J63" s="47"/>
      <c r="K63" s="41"/>
      <c r="L63" s="42"/>
      <c r="M63" s="42"/>
    </row>
    <row r="64" spans="1:13" ht="18" hidden="1" customHeight="1" outlineLevel="1" x14ac:dyDescent="0.25">
      <c r="A64" s="89"/>
      <c r="B64" s="48">
        <v>42164</v>
      </c>
      <c r="C64" s="42">
        <v>500</v>
      </c>
      <c r="D64" s="47">
        <v>5.07</v>
      </c>
      <c r="E64" s="41">
        <f t="shared" si="4"/>
        <v>2535</v>
      </c>
      <c r="F64" s="47"/>
      <c r="G64" s="42"/>
      <c r="H64" s="47"/>
      <c r="I64" s="41"/>
      <c r="J64" s="47"/>
      <c r="K64" s="41"/>
      <c r="L64" s="42"/>
      <c r="M64" s="42"/>
    </row>
    <row r="65" spans="1:13" ht="18" hidden="1" customHeight="1" outlineLevel="1" x14ac:dyDescent="0.25">
      <c r="A65" s="89"/>
      <c r="B65" s="48">
        <v>42164</v>
      </c>
      <c r="C65" s="42">
        <v>1000</v>
      </c>
      <c r="D65" s="47">
        <v>5.04</v>
      </c>
      <c r="E65" s="41">
        <f t="shared" si="4"/>
        <v>5040</v>
      </c>
      <c r="F65" s="47"/>
      <c r="G65" s="42"/>
      <c r="H65" s="47"/>
      <c r="I65" s="41"/>
      <c r="J65" s="47"/>
      <c r="K65" s="41"/>
      <c r="L65" s="42"/>
      <c r="M65" s="42"/>
    </row>
    <row r="66" spans="1:13" ht="18" hidden="1" customHeight="1" outlineLevel="1" x14ac:dyDescent="0.25">
      <c r="A66" s="89"/>
      <c r="B66" s="48">
        <v>42164</v>
      </c>
      <c r="C66" s="42">
        <v>1000</v>
      </c>
      <c r="D66" s="47">
        <v>5.01</v>
      </c>
      <c r="E66" s="41">
        <f t="shared" si="4"/>
        <v>5010</v>
      </c>
      <c r="F66" s="47"/>
      <c r="G66" s="42"/>
      <c r="H66" s="47"/>
      <c r="I66" s="41"/>
      <c r="J66" s="47"/>
      <c r="K66" s="41"/>
      <c r="L66" s="42"/>
      <c r="M66" s="42"/>
    </row>
    <row r="67" spans="1:13" ht="18" hidden="1" customHeight="1" outlineLevel="1" x14ac:dyDescent="0.25">
      <c r="A67" s="89"/>
      <c r="B67" s="48">
        <v>42173</v>
      </c>
      <c r="C67" s="42">
        <v>500</v>
      </c>
      <c r="D67" s="47">
        <v>4.88</v>
      </c>
      <c r="E67" s="41">
        <f t="shared" si="4"/>
        <v>2440</v>
      </c>
      <c r="F67" s="47"/>
      <c r="G67" s="42"/>
      <c r="H67" s="47"/>
      <c r="I67" s="41"/>
      <c r="J67" s="47"/>
      <c r="K67" s="41"/>
      <c r="L67" s="42"/>
      <c r="M67" s="42"/>
    </row>
    <row r="68" spans="1:13" ht="18" hidden="1" customHeight="1" outlineLevel="1" x14ac:dyDescent="0.25">
      <c r="A68" s="89"/>
      <c r="B68" s="48">
        <v>42187</v>
      </c>
      <c r="C68" s="42">
        <v>2000</v>
      </c>
      <c r="D68" s="47">
        <v>4.9800000000000004</v>
      </c>
      <c r="E68" s="41">
        <f t="shared" si="4"/>
        <v>9960</v>
      </c>
      <c r="F68" s="47"/>
      <c r="G68" s="42"/>
      <c r="H68" s="47"/>
      <c r="I68" s="41"/>
      <c r="J68" s="47"/>
      <c r="K68" s="41"/>
      <c r="L68" s="42"/>
      <c r="M68" s="42"/>
    </row>
    <row r="69" spans="1:13" ht="18" hidden="1" customHeight="1" outlineLevel="1" x14ac:dyDescent="0.25">
      <c r="A69" s="89"/>
      <c r="B69" s="48">
        <v>42187</v>
      </c>
      <c r="C69" s="42">
        <v>100</v>
      </c>
      <c r="D69" s="47">
        <v>4.9800000000000004</v>
      </c>
      <c r="E69" s="41">
        <f t="shared" si="4"/>
        <v>498.00000000000006</v>
      </c>
      <c r="F69" s="47"/>
      <c r="G69" s="42"/>
      <c r="H69" s="47"/>
      <c r="I69" s="41"/>
      <c r="J69" s="47"/>
      <c r="K69" s="41"/>
      <c r="L69" s="42"/>
      <c r="M69" s="42"/>
    </row>
    <row r="70" spans="1:13" ht="18" hidden="1" customHeight="1" outlineLevel="1" x14ac:dyDescent="0.25">
      <c r="A70" s="89"/>
      <c r="B70" s="48">
        <v>42187</v>
      </c>
      <c r="C70" s="42">
        <v>100</v>
      </c>
      <c r="D70" s="47">
        <v>4.9800000000000004</v>
      </c>
      <c r="E70" s="41">
        <f t="shared" si="4"/>
        <v>498.00000000000006</v>
      </c>
      <c r="F70" s="47"/>
      <c r="G70" s="42"/>
      <c r="H70" s="47"/>
      <c r="I70" s="41"/>
      <c r="J70" s="47"/>
      <c r="K70" s="41"/>
      <c r="L70" s="42"/>
      <c r="M70" s="42"/>
    </row>
    <row r="71" spans="1:13" ht="18" hidden="1" customHeight="1" outlineLevel="1" x14ac:dyDescent="0.25">
      <c r="A71" s="89"/>
      <c r="B71" s="48">
        <v>42187</v>
      </c>
      <c r="C71" s="42">
        <v>2000</v>
      </c>
      <c r="D71" s="47">
        <v>4.97</v>
      </c>
      <c r="E71" s="41">
        <f t="shared" si="4"/>
        <v>9940</v>
      </c>
      <c r="F71" s="47"/>
      <c r="G71" s="42"/>
      <c r="H71" s="47"/>
      <c r="I71" s="41"/>
      <c r="J71" s="47"/>
      <c r="K71" s="41"/>
      <c r="L71" s="42"/>
      <c r="M71" s="42"/>
    </row>
    <row r="72" spans="1:13" ht="18" hidden="1" customHeight="1" outlineLevel="1" x14ac:dyDescent="0.25">
      <c r="A72" s="89"/>
      <c r="B72" s="48">
        <v>42199</v>
      </c>
      <c r="C72" s="42">
        <v>500</v>
      </c>
      <c r="D72" s="47">
        <v>4.8</v>
      </c>
      <c r="E72" s="41">
        <f t="shared" si="4"/>
        <v>2400</v>
      </c>
      <c r="F72" s="47"/>
      <c r="G72" s="42"/>
      <c r="H72" s="47"/>
      <c r="I72" s="41"/>
      <c r="J72" s="47"/>
      <c r="K72" s="41"/>
      <c r="L72" s="42"/>
      <c r="M72" s="42"/>
    </row>
    <row r="73" spans="1:13" ht="18" hidden="1" customHeight="1" outlineLevel="1" x14ac:dyDescent="0.25">
      <c r="A73" s="89"/>
      <c r="B73" s="48">
        <v>42212</v>
      </c>
      <c r="C73" s="42">
        <v>300</v>
      </c>
      <c r="D73" s="47">
        <v>4.76</v>
      </c>
      <c r="E73" s="41">
        <f t="shared" si="4"/>
        <v>1428</v>
      </c>
      <c r="F73" s="47"/>
      <c r="G73" s="42"/>
      <c r="H73" s="47"/>
      <c r="I73" s="41"/>
      <c r="J73" s="47"/>
      <c r="K73" s="41"/>
      <c r="L73" s="42"/>
      <c r="M73" s="42"/>
    </row>
    <row r="74" spans="1:13" ht="18" hidden="1" customHeight="1" outlineLevel="1" x14ac:dyDescent="0.25">
      <c r="A74" s="89"/>
      <c r="B74" s="48">
        <v>42212</v>
      </c>
      <c r="C74" s="42">
        <v>1700</v>
      </c>
      <c r="D74" s="47">
        <v>4.76</v>
      </c>
      <c r="E74" s="41">
        <f t="shared" si="4"/>
        <v>8092</v>
      </c>
      <c r="F74" s="47"/>
      <c r="G74" s="42"/>
      <c r="H74" s="47"/>
      <c r="I74" s="41"/>
      <c r="J74" s="47"/>
      <c r="K74" s="41"/>
      <c r="L74" s="42"/>
      <c r="M74" s="42"/>
    </row>
    <row r="75" spans="1:13" ht="18" hidden="1" customHeight="1" outlineLevel="1" x14ac:dyDescent="0.25">
      <c r="A75" s="89"/>
      <c r="B75" s="48">
        <v>42214</v>
      </c>
      <c r="C75" s="42">
        <v>500</v>
      </c>
      <c r="D75" s="47">
        <v>4.68</v>
      </c>
      <c r="E75" s="41">
        <f t="shared" si="4"/>
        <v>2340</v>
      </c>
      <c r="F75" s="47"/>
      <c r="G75" s="42"/>
      <c r="H75" s="47"/>
      <c r="I75" s="41"/>
      <c r="J75" s="47"/>
      <c r="K75" s="41"/>
      <c r="L75" s="42"/>
      <c r="M75" s="42"/>
    </row>
    <row r="76" spans="1:13" ht="18" hidden="1" customHeight="1" outlineLevel="1" x14ac:dyDescent="0.25">
      <c r="A76" s="89"/>
      <c r="B76" s="48">
        <v>42214</v>
      </c>
      <c r="C76" s="42">
        <v>50</v>
      </c>
      <c r="D76" s="47">
        <v>4.6500000000000004</v>
      </c>
      <c r="E76" s="41">
        <f t="shared" si="4"/>
        <v>232.50000000000003</v>
      </c>
      <c r="F76" s="47"/>
      <c r="G76" s="42"/>
      <c r="H76" s="47"/>
      <c r="I76" s="41"/>
      <c r="J76" s="47"/>
      <c r="K76" s="41"/>
      <c r="L76" s="42"/>
      <c r="M76" s="42"/>
    </row>
    <row r="77" spans="1:13" ht="18" hidden="1" customHeight="1" outlineLevel="1" x14ac:dyDescent="0.25">
      <c r="A77" s="89"/>
      <c r="B77" s="48">
        <v>42214</v>
      </c>
      <c r="C77" s="42">
        <v>200</v>
      </c>
      <c r="D77" s="47">
        <v>4.63</v>
      </c>
      <c r="E77" s="41">
        <f t="shared" si="4"/>
        <v>926</v>
      </c>
      <c r="F77" s="47"/>
      <c r="G77" s="42"/>
      <c r="H77" s="47"/>
      <c r="I77" s="41"/>
      <c r="J77" s="47"/>
      <c r="K77" s="41"/>
      <c r="L77" s="42"/>
      <c r="M77" s="42"/>
    </row>
    <row r="78" spans="1:13" ht="18" hidden="1" customHeight="1" outlineLevel="1" x14ac:dyDescent="0.25">
      <c r="A78" s="89"/>
      <c r="B78" s="48">
        <v>42214</v>
      </c>
      <c r="C78" s="42">
        <v>300</v>
      </c>
      <c r="D78" s="47">
        <v>4.59</v>
      </c>
      <c r="E78" s="41">
        <f t="shared" si="4"/>
        <v>1377</v>
      </c>
      <c r="F78" s="47"/>
      <c r="G78" s="42"/>
      <c r="H78" s="47"/>
      <c r="I78" s="41"/>
      <c r="J78" s="47"/>
      <c r="K78" s="41"/>
      <c r="L78" s="42"/>
      <c r="M78" s="42"/>
    </row>
    <row r="79" spans="1:13" ht="18" hidden="1" customHeight="1" outlineLevel="1" x14ac:dyDescent="0.25">
      <c r="A79" s="89"/>
      <c r="B79" s="48">
        <v>42214</v>
      </c>
      <c r="C79" s="42">
        <v>500</v>
      </c>
      <c r="D79" s="47">
        <v>4.54</v>
      </c>
      <c r="E79" s="41">
        <f t="shared" si="4"/>
        <v>2270</v>
      </c>
      <c r="F79" s="47"/>
      <c r="G79" s="42"/>
      <c r="H79" s="47"/>
      <c r="I79" s="41"/>
      <c r="J79" s="47"/>
      <c r="K79" s="41"/>
      <c r="L79" s="42"/>
      <c r="M79" s="42"/>
    </row>
    <row r="80" spans="1:13" ht="18" customHeight="1" collapsed="1" x14ac:dyDescent="0.25">
      <c r="A80" s="89"/>
      <c r="B80" s="47"/>
      <c r="C80" s="42">
        <f>SUM(C50:C79)</f>
        <v>19200</v>
      </c>
      <c r="D80" s="47"/>
      <c r="E80" s="41">
        <f>SUM(E50:E79)</f>
        <v>96087.5</v>
      </c>
      <c r="F80" s="47"/>
      <c r="G80" s="42">
        <f>SUM(G50:G79)</f>
        <v>19200</v>
      </c>
      <c r="H80" s="47"/>
      <c r="I80" s="41">
        <f>SUM(I50:I79)</f>
        <v>98258</v>
      </c>
      <c r="J80" s="47"/>
      <c r="K80" s="41">
        <f>SUM(K50:K79)</f>
        <v>656.25</v>
      </c>
      <c r="L80" s="41">
        <f>I80-E80</f>
        <v>2170.5</v>
      </c>
      <c r="M80" s="55">
        <f>(L80+K80)/E80</f>
        <v>2.9418498764147261E-2</v>
      </c>
    </row>
    <row r="81" spans="1:13" ht="18" hidden="1" customHeight="1" outlineLevel="1" x14ac:dyDescent="0.25">
      <c r="A81" s="88" t="s">
        <v>25</v>
      </c>
      <c r="B81" s="45"/>
      <c r="C81" s="43"/>
      <c r="D81" s="45"/>
      <c r="E81" s="40"/>
      <c r="F81" s="45"/>
      <c r="G81" s="43"/>
      <c r="H81" s="45"/>
      <c r="I81" s="40"/>
      <c r="J81" s="45"/>
      <c r="K81" s="40"/>
      <c r="L81" s="40"/>
      <c r="M81" s="54"/>
    </row>
    <row r="82" spans="1:13" ht="18" hidden="1" customHeight="1" outlineLevel="1" x14ac:dyDescent="0.25">
      <c r="A82" s="88"/>
      <c r="B82" s="44">
        <v>42163</v>
      </c>
      <c r="C82" s="43">
        <v>1</v>
      </c>
      <c r="D82" s="45">
        <v>117.3</v>
      </c>
      <c r="E82" s="40">
        <f>C82*D82</f>
        <v>117.3</v>
      </c>
      <c r="F82" s="44">
        <v>42186</v>
      </c>
      <c r="G82" s="43">
        <v>1</v>
      </c>
      <c r="H82" s="45">
        <v>121.6</v>
      </c>
      <c r="I82" s="40">
        <f>G82*H82</f>
        <v>121.6</v>
      </c>
      <c r="J82" s="45"/>
      <c r="K82" s="40"/>
      <c r="L82" s="40"/>
      <c r="M82" s="54"/>
    </row>
    <row r="83" spans="1:13" ht="18" customHeight="1" collapsed="1" x14ac:dyDescent="0.25">
      <c r="A83" s="88"/>
      <c r="B83" s="44"/>
      <c r="C83" s="43">
        <f>SUM(C82)</f>
        <v>1</v>
      </c>
      <c r="D83" s="45"/>
      <c r="E83" s="40">
        <f>SUM(E82)</f>
        <v>117.3</v>
      </c>
      <c r="F83" s="45"/>
      <c r="G83" s="43">
        <f>SUM(G82)</f>
        <v>1</v>
      </c>
      <c r="H83" s="45"/>
      <c r="I83" s="40">
        <f>SUM(I82)</f>
        <v>121.6</v>
      </c>
      <c r="J83" s="45"/>
      <c r="K83" s="40"/>
      <c r="L83" s="40">
        <f>I83-E83</f>
        <v>4.2999999999999972</v>
      </c>
      <c r="M83" s="54">
        <f>(L83+K83)/E83</f>
        <v>3.6658141517476532E-2</v>
      </c>
    </row>
    <row r="84" spans="1:13" ht="18" hidden="1" customHeight="1" outlineLevel="1" x14ac:dyDescent="0.25">
      <c r="A84" s="89" t="s">
        <v>36</v>
      </c>
      <c r="B84" s="47"/>
      <c r="C84" s="42"/>
      <c r="D84" s="47"/>
      <c r="E84" s="41"/>
      <c r="F84" s="47"/>
      <c r="G84" s="42"/>
      <c r="H84" s="47"/>
      <c r="I84" s="41"/>
      <c r="J84" s="47"/>
      <c r="K84" s="41"/>
      <c r="L84" s="41"/>
      <c r="M84" s="55"/>
    </row>
    <row r="85" spans="1:13" ht="18" hidden="1" customHeight="1" outlineLevel="1" x14ac:dyDescent="0.25">
      <c r="A85" s="89"/>
      <c r="B85" s="48">
        <v>42167</v>
      </c>
      <c r="C85" s="42">
        <v>25</v>
      </c>
      <c r="D85" s="47">
        <v>34.15</v>
      </c>
      <c r="E85" s="41">
        <f>C85*D85</f>
        <v>853.75</v>
      </c>
      <c r="F85" s="48">
        <v>42186</v>
      </c>
      <c r="G85" s="42">
        <v>35</v>
      </c>
      <c r="H85" s="47">
        <v>34.799999999999997</v>
      </c>
      <c r="I85" s="41">
        <f>G85*H85</f>
        <v>1218</v>
      </c>
      <c r="J85" s="47"/>
      <c r="K85" s="41"/>
      <c r="L85" s="41"/>
      <c r="M85" s="55"/>
    </row>
    <row r="86" spans="1:13" ht="18" hidden="1" customHeight="1" outlineLevel="1" x14ac:dyDescent="0.25">
      <c r="A86" s="89"/>
      <c r="B86" s="48">
        <v>42178</v>
      </c>
      <c r="C86" s="42">
        <v>10</v>
      </c>
      <c r="D86" s="47">
        <v>33.119999999999997</v>
      </c>
      <c r="E86" s="41">
        <f>C86*D86</f>
        <v>331.2</v>
      </c>
      <c r="F86" s="47"/>
      <c r="G86" s="42"/>
      <c r="H86" s="47"/>
      <c r="I86" s="41">
        <f>G86*H86</f>
        <v>0</v>
      </c>
      <c r="J86" s="47"/>
      <c r="K86" s="41"/>
      <c r="L86" s="41"/>
      <c r="M86" s="55"/>
    </row>
    <row r="87" spans="1:13" ht="18" customHeight="1" collapsed="1" x14ac:dyDescent="0.25">
      <c r="A87" s="89"/>
      <c r="B87" s="48"/>
      <c r="C87" s="42">
        <f>SUM(C85:C86)</f>
        <v>35</v>
      </c>
      <c r="D87" s="47"/>
      <c r="E87" s="41">
        <f>SUM(E85:E86)</f>
        <v>1184.95</v>
      </c>
      <c r="F87" s="47"/>
      <c r="G87" s="42">
        <f>SUM(G85:G86)</f>
        <v>35</v>
      </c>
      <c r="H87" s="47"/>
      <c r="I87" s="41">
        <f>SUM(I85:I86)</f>
        <v>1218</v>
      </c>
      <c r="J87" s="47"/>
      <c r="K87" s="41"/>
      <c r="L87" s="41">
        <f>I87-E87</f>
        <v>33.049999999999955</v>
      </c>
      <c r="M87" s="55">
        <f>(L87+K87)/E87</f>
        <v>2.7891472214017429E-2</v>
      </c>
    </row>
    <row r="88" spans="1:13" ht="18" hidden="1" customHeight="1" outlineLevel="1" x14ac:dyDescent="0.25">
      <c r="A88" s="88" t="s">
        <v>14</v>
      </c>
      <c r="B88" s="45"/>
      <c r="C88" s="43"/>
      <c r="D88" s="45"/>
      <c r="E88" s="40"/>
      <c r="F88" s="45"/>
      <c r="G88" s="43"/>
      <c r="H88" s="45"/>
      <c r="I88" s="40"/>
      <c r="J88" s="45"/>
      <c r="K88" s="40"/>
      <c r="L88" s="40"/>
      <c r="M88" s="54"/>
    </row>
    <row r="89" spans="1:13" ht="18" hidden="1" customHeight="1" outlineLevel="1" x14ac:dyDescent="0.25">
      <c r="A89" s="88"/>
      <c r="B89" s="44">
        <v>42152</v>
      </c>
      <c r="C89" s="43">
        <v>2</v>
      </c>
      <c r="D89" s="45">
        <v>51.22</v>
      </c>
      <c r="E89" s="40">
        <f>C89*D89</f>
        <v>102.44</v>
      </c>
      <c r="F89" s="44">
        <v>42187</v>
      </c>
      <c r="G89" s="43">
        <v>150</v>
      </c>
      <c r="H89" s="45">
        <v>48.92</v>
      </c>
      <c r="I89" s="40">
        <f>G89*H89</f>
        <v>7338</v>
      </c>
      <c r="J89" s="44">
        <v>42195</v>
      </c>
      <c r="K89" s="40">
        <v>52</v>
      </c>
      <c r="L89" s="40"/>
      <c r="M89" s="54"/>
    </row>
    <row r="90" spans="1:13" ht="18" hidden="1" customHeight="1" outlineLevel="1" x14ac:dyDescent="0.25">
      <c r="A90" s="88"/>
      <c r="B90" s="44">
        <v>42164</v>
      </c>
      <c r="C90" s="43">
        <v>48</v>
      </c>
      <c r="D90" s="45">
        <v>49.9</v>
      </c>
      <c r="E90" s="40">
        <f>C90*D90</f>
        <v>2395.1999999999998</v>
      </c>
      <c r="F90" s="45"/>
      <c r="G90" s="43"/>
      <c r="H90" s="45"/>
      <c r="I90" s="40"/>
      <c r="J90" s="45"/>
      <c r="K90" s="40"/>
      <c r="L90" s="40"/>
      <c r="M90" s="54"/>
    </row>
    <row r="91" spans="1:13" ht="18" hidden="1" customHeight="1" outlineLevel="1" x14ac:dyDescent="0.25">
      <c r="A91" s="88"/>
      <c r="B91" s="44">
        <v>42165</v>
      </c>
      <c r="C91" s="43">
        <v>50</v>
      </c>
      <c r="D91" s="45">
        <v>48.6</v>
      </c>
      <c r="E91" s="40">
        <f>C91*D91</f>
        <v>2430</v>
      </c>
      <c r="F91" s="45"/>
      <c r="G91" s="43"/>
      <c r="H91" s="45"/>
      <c r="I91" s="40">
        <f>G91*H91</f>
        <v>0</v>
      </c>
      <c r="J91" s="45"/>
      <c r="K91" s="40"/>
      <c r="L91" s="40"/>
      <c r="M91" s="54"/>
    </row>
    <row r="92" spans="1:13" ht="18" hidden="1" customHeight="1" outlineLevel="1" x14ac:dyDescent="0.25">
      <c r="A92" s="88"/>
      <c r="B92" s="44">
        <v>42173</v>
      </c>
      <c r="C92" s="43">
        <v>25</v>
      </c>
      <c r="D92" s="45">
        <v>47.62</v>
      </c>
      <c r="E92" s="40">
        <f>C92*D92</f>
        <v>1190.5</v>
      </c>
      <c r="F92" s="45"/>
      <c r="G92" s="43"/>
      <c r="H92" s="45"/>
      <c r="I92" s="40">
        <f>G92*H92</f>
        <v>0</v>
      </c>
      <c r="J92" s="45"/>
      <c r="K92" s="40"/>
      <c r="L92" s="40"/>
      <c r="M92" s="54"/>
    </row>
    <row r="93" spans="1:13" ht="18" hidden="1" customHeight="1" outlineLevel="1" x14ac:dyDescent="0.25">
      <c r="A93" s="88"/>
      <c r="B93" s="44">
        <v>42173</v>
      </c>
      <c r="C93" s="43">
        <v>25</v>
      </c>
      <c r="D93" s="45">
        <v>47.54</v>
      </c>
      <c r="E93" s="40">
        <f>C93*D93</f>
        <v>1188.5</v>
      </c>
      <c r="F93" s="45"/>
      <c r="G93" s="43"/>
      <c r="H93" s="45"/>
      <c r="I93" s="40">
        <f>G93*H93</f>
        <v>0</v>
      </c>
      <c r="J93" s="45"/>
      <c r="K93" s="40"/>
      <c r="L93" s="40"/>
      <c r="M93" s="54"/>
    </row>
    <row r="94" spans="1:13" ht="18" customHeight="1" collapsed="1" x14ac:dyDescent="0.25">
      <c r="A94" s="88"/>
      <c r="B94" s="44"/>
      <c r="C94" s="43">
        <f>SUM(C89:C93)</f>
        <v>150</v>
      </c>
      <c r="D94" s="45"/>
      <c r="E94" s="40">
        <f t="shared" ref="E94:K94" si="6">SUM(E89:E93)</f>
        <v>7306.6399999999994</v>
      </c>
      <c r="F94" s="45"/>
      <c r="G94" s="43">
        <f t="shared" si="6"/>
        <v>150</v>
      </c>
      <c r="H94" s="45"/>
      <c r="I94" s="40">
        <f t="shared" si="6"/>
        <v>7338</v>
      </c>
      <c r="J94" s="45"/>
      <c r="K94" s="40">
        <f t="shared" si="6"/>
        <v>52</v>
      </c>
      <c r="L94" s="40">
        <f>I94-E94</f>
        <v>31.360000000000582</v>
      </c>
      <c r="M94" s="54">
        <f>(L94+K94)/E94</f>
        <v>1.1408800762046657E-2</v>
      </c>
    </row>
    <row r="95" spans="1:13" ht="18" hidden="1" customHeight="1" outlineLevel="1" x14ac:dyDescent="0.25">
      <c r="A95" s="89" t="s">
        <v>41</v>
      </c>
      <c r="B95" s="47"/>
      <c r="C95" s="42"/>
      <c r="D95" s="47"/>
      <c r="E95" s="41"/>
      <c r="F95" s="47"/>
      <c r="G95" s="42"/>
      <c r="H95" s="47"/>
      <c r="I95" s="41"/>
      <c r="J95" s="47"/>
      <c r="K95" s="41"/>
      <c r="L95" s="41"/>
      <c r="M95" s="55"/>
    </row>
    <row r="96" spans="1:13" ht="18" hidden="1" customHeight="1" outlineLevel="1" x14ac:dyDescent="0.25">
      <c r="A96" s="89"/>
      <c r="B96" s="48">
        <v>42184</v>
      </c>
      <c r="C96" s="42">
        <v>10</v>
      </c>
      <c r="D96" s="47">
        <v>66</v>
      </c>
      <c r="E96" s="41">
        <f>C96*D96</f>
        <v>660</v>
      </c>
      <c r="F96" s="48">
        <v>42219</v>
      </c>
      <c r="G96" s="42">
        <v>10</v>
      </c>
      <c r="H96" s="47">
        <v>70.45</v>
      </c>
      <c r="I96" s="41">
        <f>G96*H96</f>
        <v>704.5</v>
      </c>
      <c r="J96" s="47"/>
      <c r="K96" s="41"/>
      <c r="L96" s="41"/>
      <c r="M96" s="55"/>
    </row>
    <row r="97" spans="1:13" ht="18" customHeight="1" collapsed="1" x14ac:dyDescent="0.25">
      <c r="A97" s="89"/>
      <c r="B97" s="48"/>
      <c r="C97" s="42">
        <f>SUM(C96)</f>
        <v>10</v>
      </c>
      <c r="D97" s="47"/>
      <c r="E97" s="41">
        <f>SUM(E96)</f>
        <v>660</v>
      </c>
      <c r="F97" s="47"/>
      <c r="G97" s="42">
        <f>SUM(G96)</f>
        <v>10</v>
      </c>
      <c r="H97" s="47"/>
      <c r="I97" s="41">
        <f>SUM(I96)</f>
        <v>704.5</v>
      </c>
      <c r="J97" s="47"/>
      <c r="K97" s="41"/>
      <c r="L97" s="41">
        <f>I97-E97</f>
        <v>44.5</v>
      </c>
      <c r="M97" s="55">
        <f>(L97+K97)/E97</f>
        <v>6.7424242424242428E-2</v>
      </c>
    </row>
    <row r="98" spans="1:13" ht="18" hidden="1" customHeight="1" outlineLevel="1" x14ac:dyDescent="0.25">
      <c r="A98" s="88" t="s">
        <v>46</v>
      </c>
      <c r="B98" s="45"/>
      <c r="C98" s="43"/>
      <c r="D98" s="45"/>
      <c r="E98" s="40"/>
      <c r="F98" s="45"/>
      <c r="G98" s="43"/>
      <c r="H98" s="45"/>
      <c r="I98" s="40"/>
      <c r="J98" s="45"/>
      <c r="K98" s="40"/>
      <c r="L98" s="40"/>
      <c r="M98" s="54"/>
    </row>
    <row r="99" spans="1:13" ht="18" hidden="1" customHeight="1" outlineLevel="1" x14ac:dyDescent="0.25">
      <c r="A99" s="88"/>
      <c r="B99" s="44">
        <v>42185</v>
      </c>
      <c r="C99" s="43">
        <v>20</v>
      </c>
      <c r="D99" s="45">
        <v>28.2</v>
      </c>
      <c r="E99" s="40">
        <f>C99*D99</f>
        <v>564</v>
      </c>
      <c r="F99" s="44">
        <v>42187</v>
      </c>
      <c r="G99" s="43">
        <v>20</v>
      </c>
      <c r="H99" s="45">
        <v>28.75</v>
      </c>
      <c r="I99" s="40">
        <f>G99*H99</f>
        <v>575</v>
      </c>
      <c r="J99" s="45"/>
      <c r="K99" s="40"/>
      <c r="L99" s="40"/>
      <c r="M99" s="54"/>
    </row>
    <row r="100" spans="1:13" ht="18" customHeight="1" collapsed="1" x14ac:dyDescent="0.25">
      <c r="A100" s="88"/>
      <c r="B100" s="45"/>
      <c r="C100" s="43">
        <f>SUM(C99)</f>
        <v>20</v>
      </c>
      <c r="D100" s="45"/>
      <c r="E100" s="40">
        <f>SUM(E99)</f>
        <v>564</v>
      </c>
      <c r="F100" s="45"/>
      <c r="G100" s="43">
        <f>SUM(G99)</f>
        <v>20</v>
      </c>
      <c r="H100" s="45"/>
      <c r="I100" s="40">
        <f>SUM(I99)</f>
        <v>575</v>
      </c>
      <c r="J100" s="45"/>
      <c r="K100" s="40"/>
      <c r="L100" s="40">
        <f>I100-E100</f>
        <v>11</v>
      </c>
      <c r="M100" s="54">
        <f>(L100+K100)/E100</f>
        <v>1.9503546099290781E-2</v>
      </c>
    </row>
    <row r="101" spans="1:13" ht="18" hidden="1" customHeight="1" outlineLevel="1" x14ac:dyDescent="0.25">
      <c r="A101" s="89" t="s">
        <v>28</v>
      </c>
      <c r="B101" s="47"/>
      <c r="C101" s="42"/>
      <c r="D101" s="47"/>
      <c r="E101" s="41"/>
      <c r="F101" s="47"/>
      <c r="G101" s="42"/>
      <c r="H101" s="47"/>
      <c r="I101" s="41"/>
      <c r="J101" s="47"/>
      <c r="K101" s="41"/>
      <c r="L101" s="41"/>
      <c r="M101" s="55"/>
    </row>
    <row r="102" spans="1:13" ht="18" hidden="1" customHeight="1" outlineLevel="1" x14ac:dyDescent="0.25">
      <c r="A102" s="89"/>
      <c r="B102" s="48">
        <v>42164</v>
      </c>
      <c r="C102" s="42">
        <v>20</v>
      </c>
      <c r="D102" s="47">
        <v>29.9</v>
      </c>
      <c r="E102" s="41">
        <f>C102*D102</f>
        <v>598</v>
      </c>
      <c r="F102" s="48">
        <v>42187</v>
      </c>
      <c r="G102" s="42">
        <v>40</v>
      </c>
      <c r="H102" s="47">
        <v>30.4</v>
      </c>
      <c r="I102" s="41">
        <f>G102*H102</f>
        <v>1216</v>
      </c>
      <c r="J102" s="47"/>
      <c r="K102" s="41"/>
      <c r="L102" s="41"/>
      <c r="M102" s="55"/>
    </row>
    <row r="103" spans="1:13" ht="18" hidden="1" customHeight="1" outlineLevel="1" x14ac:dyDescent="0.25">
      <c r="A103" s="89"/>
      <c r="B103" s="48">
        <v>42166</v>
      </c>
      <c r="C103" s="42">
        <v>20</v>
      </c>
      <c r="D103" s="47">
        <v>29.3</v>
      </c>
      <c r="E103" s="41">
        <f>C103*D103</f>
        <v>586</v>
      </c>
      <c r="F103" s="47"/>
      <c r="G103" s="42"/>
      <c r="H103" s="47"/>
      <c r="I103" s="41">
        <f>G103*H103</f>
        <v>0</v>
      </c>
      <c r="J103" s="47"/>
      <c r="K103" s="41"/>
      <c r="L103" s="41"/>
      <c r="M103" s="55"/>
    </row>
    <row r="104" spans="1:13" ht="18" customHeight="1" collapsed="1" x14ac:dyDescent="0.25">
      <c r="A104" s="89"/>
      <c r="B104" s="48"/>
      <c r="C104" s="42">
        <f>SUM(C102:C103)</f>
        <v>40</v>
      </c>
      <c r="D104" s="47"/>
      <c r="E104" s="41">
        <f>SUM(E102:E103)</f>
        <v>1184</v>
      </c>
      <c r="F104" s="47"/>
      <c r="G104" s="42">
        <f>SUM(G102:G103)</f>
        <v>40</v>
      </c>
      <c r="H104" s="47"/>
      <c r="I104" s="41">
        <f>SUM(I102:I103)</f>
        <v>1216</v>
      </c>
      <c r="J104" s="47"/>
      <c r="K104" s="41"/>
      <c r="L104" s="41">
        <f>I104-E104</f>
        <v>32</v>
      </c>
      <c r="M104" s="55">
        <f>(L104+K104)/E104</f>
        <v>2.7027027027027029E-2</v>
      </c>
    </row>
    <row r="105" spans="1:13" ht="18" hidden="1" customHeight="1" outlineLevel="1" x14ac:dyDescent="0.25">
      <c r="A105" s="88" t="s">
        <v>0</v>
      </c>
      <c r="B105" s="45"/>
      <c r="C105" s="43"/>
      <c r="D105" s="45"/>
      <c r="E105" s="40"/>
      <c r="F105" s="45"/>
      <c r="G105" s="43"/>
      <c r="H105" s="45"/>
      <c r="I105" s="40"/>
      <c r="J105" s="45"/>
      <c r="K105" s="40"/>
      <c r="L105" s="40"/>
      <c r="M105" s="54"/>
    </row>
    <row r="106" spans="1:13" ht="18" hidden="1" customHeight="1" outlineLevel="1" x14ac:dyDescent="0.25">
      <c r="A106" s="88"/>
      <c r="B106" s="44">
        <v>42144</v>
      </c>
      <c r="C106" s="43">
        <v>50</v>
      </c>
      <c r="D106" s="45">
        <v>130.16999999999999</v>
      </c>
      <c r="E106" s="40">
        <f>C106*D106</f>
        <v>6508.4999999999991</v>
      </c>
      <c r="F106" s="44">
        <v>42186</v>
      </c>
      <c r="G106" s="43">
        <v>50</v>
      </c>
      <c r="H106" s="45">
        <v>133.5</v>
      </c>
      <c r="I106" s="40">
        <f>G106*H106</f>
        <v>6675</v>
      </c>
      <c r="J106" s="44">
        <v>42200</v>
      </c>
      <c r="K106" s="40">
        <v>7.5</v>
      </c>
      <c r="L106" s="43"/>
      <c r="M106" s="43"/>
    </row>
    <row r="107" spans="1:13" ht="18" customHeight="1" collapsed="1" x14ac:dyDescent="0.25">
      <c r="A107" s="88"/>
      <c r="B107" s="44"/>
      <c r="C107" s="43">
        <f>SUM(C106)</f>
        <v>50</v>
      </c>
      <c r="D107" s="45"/>
      <c r="E107" s="40">
        <f>SUM(E106)</f>
        <v>6508.4999999999991</v>
      </c>
      <c r="F107" s="45"/>
      <c r="G107" s="43">
        <f>SUM(G106)</f>
        <v>50</v>
      </c>
      <c r="H107" s="45"/>
      <c r="I107" s="40">
        <f>SUM(I106)</f>
        <v>6675</v>
      </c>
      <c r="J107" s="45"/>
      <c r="K107" s="40">
        <f>SUM(K106)</f>
        <v>7.5</v>
      </c>
      <c r="L107" s="40">
        <f>I107-E107</f>
        <v>166.50000000000091</v>
      </c>
      <c r="M107" s="54">
        <f>(L107+K107)/E107</f>
        <v>2.6734270569255734E-2</v>
      </c>
    </row>
    <row r="108" spans="1:13" ht="18" hidden="1" customHeight="1" outlineLevel="1" x14ac:dyDescent="0.25">
      <c r="A108" s="89" t="s">
        <v>49</v>
      </c>
      <c r="B108" s="47"/>
      <c r="C108" s="42"/>
      <c r="D108" s="47"/>
      <c r="E108" s="41"/>
      <c r="F108" s="47"/>
      <c r="G108" s="42"/>
      <c r="H108" s="47"/>
      <c r="I108" s="41"/>
      <c r="J108" s="47"/>
      <c r="K108" s="41"/>
      <c r="L108" s="41"/>
      <c r="M108" s="55"/>
    </row>
    <row r="109" spans="1:13" ht="18" hidden="1" customHeight="1" outlineLevel="1" x14ac:dyDescent="0.25">
      <c r="A109" s="89"/>
      <c r="B109" s="48">
        <v>42186</v>
      </c>
      <c r="C109" s="42">
        <v>100</v>
      </c>
      <c r="D109" s="47">
        <v>27.5</v>
      </c>
      <c r="E109" s="41">
        <f>C109*D109</f>
        <v>2750</v>
      </c>
      <c r="F109" s="48">
        <v>42219</v>
      </c>
      <c r="G109" s="42">
        <v>100</v>
      </c>
      <c r="H109" s="47">
        <v>29.5</v>
      </c>
      <c r="I109" s="41">
        <f>G109*H109</f>
        <v>2950</v>
      </c>
      <c r="J109" s="47"/>
      <c r="K109" s="41"/>
      <c r="L109" s="41"/>
      <c r="M109" s="55"/>
    </row>
    <row r="110" spans="1:13" ht="18" customHeight="1" collapsed="1" x14ac:dyDescent="0.25">
      <c r="A110" s="89"/>
      <c r="B110" s="48"/>
      <c r="C110" s="42">
        <f>SUM(C109)</f>
        <v>100</v>
      </c>
      <c r="D110" s="47"/>
      <c r="E110" s="41">
        <f>SUM(E109)</f>
        <v>2750</v>
      </c>
      <c r="F110" s="47"/>
      <c r="G110" s="42">
        <f>SUM(G109)</f>
        <v>100</v>
      </c>
      <c r="H110" s="47"/>
      <c r="I110" s="41">
        <f>SUM(I109)</f>
        <v>2950</v>
      </c>
      <c r="J110" s="47"/>
      <c r="K110" s="41"/>
      <c r="L110" s="41">
        <f>I110-E110</f>
        <v>200</v>
      </c>
      <c r="M110" s="55">
        <f>(L110+K110)/E110</f>
        <v>7.2727272727272724E-2</v>
      </c>
    </row>
    <row r="111" spans="1:13" ht="18" hidden="1" customHeight="1" outlineLevel="1" x14ac:dyDescent="0.25">
      <c r="A111" s="88" t="s">
        <v>13</v>
      </c>
      <c r="B111" s="45"/>
      <c r="C111" s="43"/>
      <c r="D111" s="45"/>
      <c r="E111" s="40"/>
      <c r="F111" s="45"/>
      <c r="G111" s="43"/>
      <c r="H111" s="45"/>
      <c r="I111" s="40"/>
      <c r="J111" s="45"/>
      <c r="K111" s="40"/>
      <c r="L111" s="40"/>
      <c r="M111" s="43"/>
    </row>
    <row r="112" spans="1:13" ht="18" hidden="1" customHeight="1" outlineLevel="1" x14ac:dyDescent="0.25">
      <c r="A112" s="88"/>
      <c r="B112" s="44">
        <v>42151</v>
      </c>
      <c r="C112" s="43">
        <v>5</v>
      </c>
      <c r="D112" s="45">
        <v>54.2</v>
      </c>
      <c r="E112" s="40">
        <f t="shared" ref="E112:E118" si="7">C112*D112</f>
        <v>271</v>
      </c>
      <c r="F112" s="44">
        <v>42181</v>
      </c>
      <c r="G112" s="43">
        <v>25</v>
      </c>
      <c r="H112" s="45">
        <v>55.4</v>
      </c>
      <c r="I112" s="40">
        <f>G112*H112</f>
        <v>1385</v>
      </c>
      <c r="J112" s="45"/>
      <c r="K112" s="40"/>
      <c r="L112" s="40"/>
      <c r="M112" s="54"/>
    </row>
    <row r="113" spans="1:13" ht="18" hidden="1" customHeight="1" outlineLevel="1" x14ac:dyDescent="0.25">
      <c r="A113" s="88"/>
      <c r="B113" s="44">
        <v>42152</v>
      </c>
      <c r="C113" s="43">
        <v>20</v>
      </c>
      <c r="D113" s="45">
        <v>53.35</v>
      </c>
      <c r="E113" s="40">
        <f t="shared" si="7"/>
        <v>1067</v>
      </c>
      <c r="F113" s="44">
        <v>42200</v>
      </c>
      <c r="G113" s="43">
        <v>225</v>
      </c>
      <c r="H113" s="45">
        <v>55.56</v>
      </c>
      <c r="I113" s="40">
        <f>G113*H113</f>
        <v>12501</v>
      </c>
      <c r="J113" s="45"/>
      <c r="K113" s="40"/>
      <c r="L113" s="40"/>
      <c r="M113" s="54"/>
    </row>
    <row r="114" spans="1:13" ht="18" hidden="1" customHeight="1" outlineLevel="1" x14ac:dyDescent="0.25">
      <c r="A114" s="88"/>
      <c r="B114" s="44">
        <v>42153</v>
      </c>
      <c r="C114" s="43">
        <v>25</v>
      </c>
      <c r="D114" s="45">
        <v>52.35</v>
      </c>
      <c r="E114" s="40">
        <f t="shared" si="7"/>
        <v>1308.75</v>
      </c>
      <c r="F114" s="45"/>
      <c r="G114" s="43"/>
      <c r="H114" s="45"/>
      <c r="I114" s="40"/>
      <c r="J114" s="45"/>
      <c r="K114" s="40"/>
      <c r="L114" s="40"/>
      <c r="M114" s="54"/>
    </row>
    <row r="115" spans="1:13" ht="18" hidden="1" customHeight="1" outlineLevel="1" x14ac:dyDescent="0.25">
      <c r="A115" s="88"/>
      <c r="B115" s="44">
        <v>42153</v>
      </c>
      <c r="C115" s="43">
        <v>25</v>
      </c>
      <c r="D115" s="45">
        <v>51.75</v>
      </c>
      <c r="E115" s="40">
        <f t="shared" si="7"/>
        <v>1293.75</v>
      </c>
      <c r="F115" s="45"/>
      <c r="G115" s="43"/>
      <c r="H115" s="45"/>
      <c r="I115" s="40"/>
      <c r="J115" s="45"/>
      <c r="K115" s="40"/>
      <c r="L115" s="40"/>
      <c r="M115" s="54"/>
    </row>
    <row r="116" spans="1:13" ht="18" hidden="1" customHeight="1" outlineLevel="1" x14ac:dyDescent="0.25">
      <c r="A116" s="88"/>
      <c r="B116" s="44">
        <v>42166</v>
      </c>
      <c r="C116" s="43">
        <v>25</v>
      </c>
      <c r="D116" s="45">
        <v>52.1</v>
      </c>
      <c r="E116" s="40">
        <f t="shared" si="7"/>
        <v>1302.5</v>
      </c>
      <c r="F116" s="45"/>
      <c r="G116" s="43"/>
      <c r="H116" s="45"/>
      <c r="I116" s="40"/>
      <c r="J116" s="45"/>
      <c r="K116" s="40"/>
      <c r="L116" s="40"/>
      <c r="M116" s="54"/>
    </row>
    <row r="117" spans="1:13" ht="18" hidden="1" customHeight="1" outlineLevel="1" x14ac:dyDescent="0.25">
      <c r="A117" s="88"/>
      <c r="B117" s="44">
        <v>42166</v>
      </c>
      <c r="C117" s="43">
        <v>50</v>
      </c>
      <c r="D117" s="45">
        <v>51.5</v>
      </c>
      <c r="E117" s="40">
        <f t="shared" si="7"/>
        <v>2575</v>
      </c>
      <c r="F117" s="45"/>
      <c r="G117" s="43"/>
      <c r="H117" s="45"/>
      <c r="I117" s="40"/>
      <c r="J117" s="45"/>
      <c r="K117" s="40"/>
      <c r="L117" s="40"/>
      <c r="M117" s="54"/>
    </row>
    <row r="118" spans="1:13" ht="18" hidden="1" customHeight="1" outlineLevel="1" x14ac:dyDescent="0.25">
      <c r="A118" s="88"/>
      <c r="B118" s="44">
        <v>42166</v>
      </c>
      <c r="C118" s="43">
        <v>100</v>
      </c>
      <c r="D118" s="45">
        <v>51.35</v>
      </c>
      <c r="E118" s="40">
        <f t="shared" si="7"/>
        <v>5135</v>
      </c>
      <c r="F118" s="45"/>
      <c r="G118" s="43"/>
      <c r="H118" s="45"/>
      <c r="I118" s="40"/>
      <c r="J118" s="45"/>
      <c r="K118" s="40"/>
      <c r="L118" s="40"/>
      <c r="M118" s="54"/>
    </row>
    <row r="119" spans="1:13" ht="18" customHeight="1" collapsed="1" x14ac:dyDescent="0.25">
      <c r="A119" s="88"/>
      <c r="B119" s="44"/>
      <c r="C119" s="43">
        <f>SUM(C112:C118)</f>
        <v>250</v>
      </c>
      <c r="D119" s="45"/>
      <c r="E119" s="40">
        <f>SUM(E112:E118)</f>
        <v>12953</v>
      </c>
      <c r="F119" s="45"/>
      <c r="G119" s="43">
        <f>SUM(G112:G118)</f>
        <v>250</v>
      </c>
      <c r="H119" s="45"/>
      <c r="I119" s="40">
        <f>SUM(I112:I118)</f>
        <v>13886</v>
      </c>
      <c r="J119" s="45"/>
      <c r="K119" s="40"/>
      <c r="L119" s="40">
        <f>I119-E119</f>
        <v>933</v>
      </c>
      <c r="M119" s="54">
        <f>(L119+K119)/E119</f>
        <v>7.202964564193623E-2</v>
      </c>
    </row>
    <row r="120" spans="1:13" ht="18" hidden="1" customHeight="1" outlineLevel="1" x14ac:dyDescent="0.25">
      <c r="A120" s="89" t="s">
        <v>20</v>
      </c>
      <c r="B120" s="47"/>
      <c r="C120" s="42"/>
      <c r="D120" s="47"/>
      <c r="E120" s="41"/>
      <c r="F120" s="47"/>
      <c r="G120" s="42"/>
      <c r="H120" s="47"/>
      <c r="I120" s="41"/>
      <c r="J120" s="47"/>
      <c r="K120" s="41"/>
      <c r="L120" s="41"/>
      <c r="M120" s="55"/>
    </row>
    <row r="121" spans="1:13" ht="18" hidden="1" customHeight="1" outlineLevel="1" x14ac:dyDescent="0.25">
      <c r="A121" s="89"/>
      <c r="B121" s="48">
        <v>42153</v>
      </c>
      <c r="C121" s="42">
        <v>50</v>
      </c>
      <c r="D121" s="47">
        <v>20.99</v>
      </c>
      <c r="E121" s="41">
        <f>C121*D121</f>
        <v>1049.5</v>
      </c>
      <c r="F121" s="48">
        <v>42186</v>
      </c>
      <c r="G121" s="42">
        <v>297</v>
      </c>
      <c r="H121" s="47">
        <v>19.399999999999999</v>
      </c>
      <c r="I121" s="41">
        <f>G121*H121</f>
        <v>5761.7999999999993</v>
      </c>
      <c r="J121" s="47"/>
      <c r="K121" s="41"/>
      <c r="L121" s="41"/>
      <c r="M121" s="55"/>
    </row>
    <row r="122" spans="1:13" ht="18" hidden="1" customHeight="1" outlineLevel="1" x14ac:dyDescent="0.25">
      <c r="A122" s="89"/>
      <c r="B122" s="48">
        <v>42185</v>
      </c>
      <c r="C122" s="42">
        <v>100</v>
      </c>
      <c r="D122" s="47">
        <v>20.6</v>
      </c>
      <c r="E122" s="41">
        <f>C122*D122</f>
        <v>2060</v>
      </c>
      <c r="F122" s="48">
        <v>42186</v>
      </c>
      <c r="G122" s="42">
        <v>300</v>
      </c>
      <c r="H122" s="47">
        <v>20.28</v>
      </c>
      <c r="I122" s="41">
        <f>G122*H122</f>
        <v>6084</v>
      </c>
      <c r="J122" s="47"/>
      <c r="K122" s="41"/>
      <c r="L122" s="41"/>
      <c r="M122" s="55"/>
    </row>
    <row r="123" spans="1:13" ht="18" hidden="1" customHeight="1" outlineLevel="1" x14ac:dyDescent="0.25">
      <c r="A123" s="89"/>
      <c r="B123" s="48">
        <v>42186</v>
      </c>
      <c r="C123" s="42">
        <v>150</v>
      </c>
      <c r="D123" s="47">
        <v>19.95</v>
      </c>
      <c r="E123" s="41">
        <f>C123*D123</f>
        <v>2992.5</v>
      </c>
      <c r="F123" s="48">
        <v>42186</v>
      </c>
      <c r="G123" s="42">
        <v>300</v>
      </c>
      <c r="H123" s="47">
        <v>19.75</v>
      </c>
      <c r="I123" s="41">
        <f>G123*H123</f>
        <v>5925</v>
      </c>
      <c r="J123" s="47"/>
      <c r="K123" s="41"/>
      <c r="L123" s="41"/>
      <c r="M123" s="55"/>
    </row>
    <row r="124" spans="1:13" ht="18" hidden="1" customHeight="1" outlineLevel="1" x14ac:dyDescent="0.25">
      <c r="A124" s="89"/>
      <c r="B124" s="48">
        <v>42186</v>
      </c>
      <c r="C124" s="42">
        <v>300</v>
      </c>
      <c r="D124" s="47">
        <v>19.7</v>
      </c>
      <c r="E124" s="41">
        <f>C124*D124</f>
        <v>5910</v>
      </c>
      <c r="F124" s="47"/>
      <c r="G124" s="42"/>
      <c r="H124" s="47"/>
      <c r="I124" s="41"/>
      <c r="J124" s="47"/>
      <c r="K124" s="41"/>
      <c r="L124" s="41"/>
      <c r="M124" s="55"/>
    </row>
    <row r="125" spans="1:13" ht="18" hidden="1" customHeight="1" outlineLevel="1" x14ac:dyDescent="0.25">
      <c r="A125" s="89"/>
      <c r="B125" s="48">
        <v>42186</v>
      </c>
      <c r="C125" s="42">
        <v>297</v>
      </c>
      <c r="D125" s="47">
        <v>19.13</v>
      </c>
      <c r="E125" s="41">
        <f>C125*D125</f>
        <v>5681.61</v>
      </c>
      <c r="F125" s="47"/>
      <c r="G125" s="42"/>
      <c r="H125" s="47"/>
      <c r="I125" s="41"/>
      <c r="J125" s="47"/>
      <c r="K125" s="41"/>
      <c r="L125" s="41"/>
      <c r="M125" s="55"/>
    </row>
    <row r="126" spans="1:13" ht="18" customHeight="1" collapsed="1" x14ac:dyDescent="0.25">
      <c r="A126" s="89"/>
      <c r="B126" s="48"/>
      <c r="C126" s="42">
        <f>SUM(C121:C125)</f>
        <v>897</v>
      </c>
      <c r="D126" s="47"/>
      <c r="E126" s="41">
        <f>SUM(E121:E125)</f>
        <v>17693.61</v>
      </c>
      <c r="F126" s="47"/>
      <c r="G126" s="42">
        <f>SUM(G121:G125)</f>
        <v>897</v>
      </c>
      <c r="H126" s="47"/>
      <c r="I126" s="41">
        <f>SUM(I121:I125)</f>
        <v>17770.8</v>
      </c>
      <c r="J126" s="47"/>
      <c r="K126" s="41"/>
      <c r="L126" s="41">
        <f>I126-E126</f>
        <v>77.18999999999869</v>
      </c>
      <c r="M126" s="55">
        <f>(L126+K126)/E126</f>
        <v>4.362591918777383E-3</v>
      </c>
    </row>
    <row r="127" spans="1:13" ht="18" hidden="1" customHeight="1" outlineLevel="1" x14ac:dyDescent="0.25">
      <c r="A127" s="88" t="s">
        <v>31</v>
      </c>
      <c r="B127" s="45"/>
      <c r="C127" s="43"/>
      <c r="D127" s="45"/>
      <c r="E127" s="40"/>
      <c r="F127" s="45"/>
      <c r="G127" s="43"/>
      <c r="H127" s="45"/>
      <c r="I127" s="40"/>
      <c r="J127" s="45"/>
      <c r="K127" s="40"/>
      <c r="L127" s="40"/>
      <c r="M127" s="54"/>
    </row>
    <row r="128" spans="1:13" ht="18" hidden="1" customHeight="1" outlineLevel="1" x14ac:dyDescent="0.25">
      <c r="A128" s="88"/>
      <c r="B128" s="44">
        <v>42165</v>
      </c>
      <c r="C128" s="43">
        <v>1</v>
      </c>
      <c r="D128" s="45">
        <v>73.03</v>
      </c>
      <c r="E128" s="40">
        <f>C128*D128</f>
        <v>73.03</v>
      </c>
      <c r="F128" s="44">
        <v>42195</v>
      </c>
      <c r="G128" s="43">
        <v>1</v>
      </c>
      <c r="H128" s="45">
        <v>73.5</v>
      </c>
      <c r="I128" s="40">
        <f>G128*H128</f>
        <v>73.5</v>
      </c>
      <c r="J128" s="45"/>
      <c r="K128" s="40"/>
      <c r="L128" s="40"/>
      <c r="M128" s="54"/>
    </row>
    <row r="129" spans="1:14" ht="18" customHeight="1" collapsed="1" x14ac:dyDescent="0.25">
      <c r="A129" s="88"/>
      <c r="B129" s="44"/>
      <c r="C129" s="43">
        <f>SUM(C128)</f>
        <v>1</v>
      </c>
      <c r="D129" s="45"/>
      <c r="E129" s="40">
        <f>SUM(E128)</f>
        <v>73.03</v>
      </c>
      <c r="F129" s="45"/>
      <c r="G129" s="43">
        <f>SUM(G128)</f>
        <v>1</v>
      </c>
      <c r="H129" s="45"/>
      <c r="I129" s="40">
        <f>SUM(I128)</f>
        <v>73.5</v>
      </c>
      <c r="J129" s="45"/>
      <c r="K129" s="40"/>
      <c r="L129" s="40">
        <f>I129-E129</f>
        <v>0.46999999999999886</v>
      </c>
      <c r="M129" s="54">
        <f>(L129+K129)/E129</f>
        <v>6.435711351499368E-3</v>
      </c>
    </row>
    <row r="130" spans="1:14" ht="18" customHeight="1" x14ac:dyDescent="0.25">
      <c r="L130" s="50"/>
      <c r="M130" s="56"/>
    </row>
    <row r="134" spans="1:14" ht="18" customHeight="1" x14ac:dyDescent="0.25">
      <c r="K134" s="53" t="s">
        <v>71</v>
      </c>
      <c r="L134" s="51">
        <f>SUM(L1:L129)</f>
        <v>5385.4200000000028</v>
      </c>
    </row>
    <row r="135" spans="1:14" ht="18" customHeight="1" x14ac:dyDescent="0.25">
      <c r="A135" s="95"/>
      <c r="B135" s="96"/>
      <c r="C135" s="97"/>
      <c r="D135" s="96"/>
      <c r="E135" s="98"/>
      <c r="F135" s="96"/>
      <c r="G135" s="97"/>
      <c r="H135" s="96"/>
      <c r="I135" s="98"/>
      <c r="J135" s="96"/>
      <c r="K135" s="98"/>
      <c r="L135" s="97"/>
      <c r="M135" s="97"/>
      <c r="N135" s="96"/>
    </row>
    <row r="136" spans="1:14" ht="18" customHeight="1" x14ac:dyDescent="0.25">
      <c r="A136" s="99" t="s">
        <v>158</v>
      </c>
      <c r="B136" s="99"/>
      <c r="C136" s="99"/>
      <c r="D136" s="99"/>
      <c r="E136" s="99"/>
      <c r="F136" s="99"/>
    </row>
    <row r="137" spans="1:14" ht="18" customHeight="1" x14ac:dyDescent="0.25">
      <c r="A137" s="92"/>
      <c r="B137" s="92"/>
      <c r="C137" s="92"/>
      <c r="D137" s="92"/>
      <c r="E137" s="92"/>
      <c r="F137" s="92"/>
    </row>
    <row r="138" spans="1:14" ht="18" customHeight="1" x14ac:dyDescent="0.25">
      <c r="A138" s="93"/>
      <c r="B138" s="93"/>
      <c r="C138" s="93"/>
      <c r="D138" s="93"/>
      <c r="E138" s="93"/>
      <c r="F138" s="93"/>
    </row>
    <row r="139" spans="1:14" ht="18" customHeight="1" x14ac:dyDescent="0.25">
      <c r="A139" s="93"/>
      <c r="B139" s="39" t="s">
        <v>161</v>
      </c>
      <c r="C139" s="94" t="s">
        <v>159</v>
      </c>
      <c r="D139" s="39" t="s">
        <v>162</v>
      </c>
      <c r="E139" s="53" t="s">
        <v>160</v>
      </c>
      <c r="F139" s="93"/>
    </row>
    <row r="140" spans="1:14" ht="18" customHeight="1" x14ac:dyDescent="0.25">
      <c r="A140" s="46"/>
      <c r="C140" s="46"/>
      <c r="E140" s="46"/>
    </row>
    <row r="141" spans="1:14" ht="18" customHeight="1" x14ac:dyDescent="0.25">
      <c r="A141" s="46"/>
      <c r="B141" s="91">
        <v>42233</v>
      </c>
      <c r="C141" s="100">
        <v>322588.21000000002</v>
      </c>
      <c r="D141" s="50">
        <v>360000</v>
      </c>
      <c r="E141" s="50">
        <f>C141-D141</f>
        <v>-37411.789999999979</v>
      </c>
    </row>
    <row r="142" spans="1:14" ht="18" customHeight="1" x14ac:dyDescent="0.25">
      <c r="A142" s="46"/>
      <c r="B142" s="91">
        <v>42234</v>
      </c>
      <c r="C142" s="100"/>
      <c r="D142" s="50">
        <v>360000</v>
      </c>
    </row>
    <row r="143" spans="1:14" ht="18" customHeight="1" x14ac:dyDescent="0.25">
      <c r="A143" s="46"/>
      <c r="B143" s="91">
        <v>42235</v>
      </c>
      <c r="C143" s="100"/>
      <c r="D143" s="50">
        <v>360000</v>
      </c>
    </row>
    <row r="144" spans="1:14" ht="18" customHeight="1" x14ac:dyDescent="0.25">
      <c r="A144" s="46"/>
      <c r="B144" s="91">
        <v>42236</v>
      </c>
      <c r="C144" s="100"/>
      <c r="D144" s="50">
        <v>360000</v>
      </c>
    </row>
    <row r="145" spans="1:4" ht="18" customHeight="1" x14ac:dyDescent="0.25">
      <c r="A145" s="46"/>
      <c r="B145" s="91">
        <v>42237</v>
      </c>
      <c r="C145" s="100"/>
      <c r="D145" s="50">
        <v>360000</v>
      </c>
    </row>
    <row r="146" spans="1:4" ht="18" customHeight="1" x14ac:dyDescent="0.25">
      <c r="A146" s="46"/>
      <c r="B146" s="91">
        <v>42238</v>
      </c>
      <c r="C146" s="100"/>
      <c r="D146" s="50">
        <v>360000</v>
      </c>
    </row>
    <row r="147" spans="1:4" ht="18" customHeight="1" x14ac:dyDescent="0.25">
      <c r="A147" s="46"/>
      <c r="B147" s="91">
        <v>42239</v>
      </c>
      <c r="C147" s="100"/>
      <c r="D147" s="50">
        <v>360000</v>
      </c>
    </row>
    <row r="148" spans="1:4" ht="18" customHeight="1" x14ac:dyDescent="0.25">
      <c r="A148" s="46"/>
      <c r="B148" s="91">
        <v>42240</v>
      </c>
      <c r="C148" s="100"/>
      <c r="D148" s="50">
        <v>360000</v>
      </c>
    </row>
    <row r="149" spans="1:4" ht="18" customHeight="1" x14ac:dyDescent="0.25">
      <c r="A149" s="46"/>
      <c r="B149" s="91">
        <v>42241</v>
      </c>
      <c r="C149" s="100"/>
      <c r="D149" s="50">
        <v>360000</v>
      </c>
    </row>
    <row r="150" spans="1:4" ht="18" customHeight="1" x14ac:dyDescent="0.25">
      <c r="A150" s="46"/>
      <c r="B150" s="91">
        <v>42242</v>
      </c>
      <c r="C150" s="100"/>
      <c r="D150" s="50">
        <v>360000</v>
      </c>
    </row>
    <row r="151" spans="1:4" ht="18" customHeight="1" x14ac:dyDescent="0.25">
      <c r="A151" s="46"/>
      <c r="B151" s="91">
        <v>42243</v>
      </c>
      <c r="C151" s="100"/>
      <c r="D151" s="50">
        <v>360000</v>
      </c>
    </row>
    <row r="152" spans="1:4" ht="18" customHeight="1" x14ac:dyDescent="0.25">
      <c r="A152" s="46"/>
      <c r="B152" s="91">
        <v>42244</v>
      </c>
      <c r="C152" s="100"/>
      <c r="D152" s="50">
        <v>360000</v>
      </c>
    </row>
    <row r="153" spans="1:4" ht="18" customHeight="1" x14ac:dyDescent="0.25">
      <c r="A153" s="46"/>
      <c r="B153" s="91">
        <v>42245</v>
      </c>
      <c r="C153" s="100"/>
      <c r="D153" s="50">
        <v>360000</v>
      </c>
    </row>
    <row r="154" spans="1:4" ht="18" customHeight="1" x14ac:dyDescent="0.25">
      <c r="A154" s="46"/>
      <c r="B154" s="91">
        <v>42246</v>
      </c>
      <c r="C154" s="100"/>
      <c r="D154" s="50">
        <v>360000</v>
      </c>
    </row>
    <row r="155" spans="1:4" ht="18" customHeight="1" x14ac:dyDescent="0.25">
      <c r="A155" s="46"/>
      <c r="B155" s="91">
        <v>42247</v>
      </c>
      <c r="C155" s="100"/>
      <c r="D155" s="50">
        <v>360000</v>
      </c>
    </row>
    <row r="156" spans="1:4" ht="18" customHeight="1" x14ac:dyDescent="0.25">
      <c r="A156" s="46"/>
      <c r="B156" s="91">
        <v>42248</v>
      </c>
      <c r="C156" s="100"/>
      <c r="D156" s="50">
        <v>360000</v>
      </c>
    </row>
    <row r="157" spans="1:4" ht="18" customHeight="1" x14ac:dyDescent="0.25">
      <c r="A157" s="46"/>
      <c r="B157" s="91">
        <v>42249</v>
      </c>
      <c r="C157" s="100"/>
      <c r="D157" s="50">
        <v>360000</v>
      </c>
    </row>
    <row r="158" spans="1:4" ht="18" customHeight="1" x14ac:dyDescent="0.25">
      <c r="A158" s="46"/>
      <c r="B158" s="91">
        <v>42250</v>
      </c>
      <c r="C158" s="100"/>
      <c r="D158" s="50">
        <v>360000</v>
      </c>
    </row>
    <row r="159" spans="1:4" ht="18" customHeight="1" x14ac:dyDescent="0.25">
      <c r="A159" s="46"/>
      <c r="B159" s="91">
        <v>42251</v>
      </c>
      <c r="C159" s="100"/>
      <c r="D159" s="50">
        <v>360000</v>
      </c>
    </row>
    <row r="160" spans="1:4" ht="18" customHeight="1" x14ac:dyDescent="0.25">
      <c r="A160" s="46"/>
      <c r="B160" s="91">
        <v>42252</v>
      </c>
      <c r="C160" s="100"/>
      <c r="D160" s="50">
        <v>360000</v>
      </c>
    </row>
    <row r="161" spans="1:4" ht="18" customHeight="1" x14ac:dyDescent="0.25">
      <c r="A161" s="46"/>
      <c r="B161" s="91">
        <v>42253</v>
      </c>
      <c r="C161" s="100"/>
      <c r="D161" s="50">
        <v>360000</v>
      </c>
    </row>
    <row r="162" spans="1:4" ht="18" customHeight="1" x14ac:dyDescent="0.25">
      <c r="A162" s="46"/>
      <c r="B162" s="91">
        <v>42254</v>
      </c>
      <c r="C162" s="100"/>
      <c r="D162" s="50">
        <v>360000</v>
      </c>
    </row>
    <row r="163" spans="1:4" ht="18" customHeight="1" x14ac:dyDescent="0.25">
      <c r="A163" s="46"/>
      <c r="B163" s="91">
        <v>42255</v>
      </c>
      <c r="C163" s="100"/>
      <c r="D163" s="50">
        <v>360000</v>
      </c>
    </row>
    <row r="164" spans="1:4" ht="18" customHeight="1" x14ac:dyDescent="0.25">
      <c r="A164" s="46"/>
      <c r="B164" s="91">
        <v>42256</v>
      </c>
      <c r="C164" s="100"/>
      <c r="D164" s="50">
        <v>360000</v>
      </c>
    </row>
    <row r="165" spans="1:4" ht="18" customHeight="1" x14ac:dyDescent="0.25">
      <c r="A165" s="46"/>
      <c r="B165" s="91">
        <v>42257</v>
      </c>
      <c r="C165" s="100"/>
      <c r="D165" s="50">
        <v>360000</v>
      </c>
    </row>
    <row r="166" spans="1:4" ht="18" customHeight="1" x14ac:dyDescent="0.25">
      <c r="A166" s="46"/>
      <c r="B166" s="91">
        <v>42258</v>
      </c>
      <c r="C166" s="100"/>
      <c r="D166" s="50">
        <v>360000</v>
      </c>
    </row>
    <row r="167" spans="1:4" ht="18" customHeight="1" x14ac:dyDescent="0.25">
      <c r="A167" s="46"/>
      <c r="B167" s="91">
        <v>42259</v>
      </c>
      <c r="C167" s="100"/>
      <c r="D167" s="50">
        <v>360000</v>
      </c>
    </row>
    <row r="168" spans="1:4" ht="18" customHeight="1" x14ac:dyDescent="0.25">
      <c r="A168" s="46"/>
      <c r="B168" s="91">
        <v>42260</v>
      </c>
      <c r="C168" s="100"/>
      <c r="D168" s="50">
        <v>360000</v>
      </c>
    </row>
    <row r="169" spans="1:4" ht="18" customHeight="1" x14ac:dyDescent="0.25">
      <c r="A169" s="46"/>
      <c r="B169" s="91">
        <v>42261</v>
      </c>
      <c r="C169" s="100"/>
      <c r="D169" s="50">
        <v>360000</v>
      </c>
    </row>
    <row r="170" spans="1:4" ht="18" customHeight="1" x14ac:dyDescent="0.25">
      <c r="A170" s="46"/>
      <c r="B170" s="91">
        <v>42262</v>
      </c>
      <c r="C170" s="100"/>
      <c r="D170" s="50">
        <v>360000</v>
      </c>
    </row>
  </sheetData>
  <mergeCells count="22">
    <mergeCell ref="A136:F137"/>
    <mergeCell ref="A127:A129"/>
    <mergeCell ref="A49:A80"/>
    <mergeCell ref="A81:A83"/>
    <mergeCell ref="A84:A87"/>
    <mergeCell ref="A88:A94"/>
    <mergeCell ref="A95:A97"/>
    <mergeCell ref="A98:A100"/>
    <mergeCell ref="A101:A104"/>
    <mergeCell ref="A105:A107"/>
    <mergeCell ref="A108:A110"/>
    <mergeCell ref="A111:A119"/>
    <mergeCell ref="A120:A126"/>
    <mergeCell ref="A43:A48"/>
    <mergeCell ref="A2:A6"/>
    <mergeCell ref="A7:A9"/>
    <mergeCell ref="A10:A14"/>
    <mergeCell ref="A15:A17"/>
    <mergeCell ref="A18:A30"/>
    <mergeCell ref="A31:A35"/>
    <mergeCell ref="A36:A39"/>
    <mergeCell ref="A40:A42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4"/>
  <sheetViews>
    <sheetView tabSelected="1" workbookViewId="0">
      <pane ySplit="1" topLeftCell="A2" activePane="bottomLeft" state="frozen"/>
      <selection pane="bottomLeft" activeCell="N16" sqref="N16"/>
    </sheetView>
  </sheetViews>
  <sheetFormatPr defaultRowHeight="15.95" customHeight="1" x14ac:dyDescent="0.25"/>
  <cols>
    <col min="5" max="5" width="9.140625" style="8"/>
    <col min="6" max="6" width="13" style="2" customWidth="1"/>
    <col min="7" max="7" width="10.7109375" style="2" customWidth="1"/>
    <col min="8" max="8" width="8.85546875" customWidth="1"/>
    <col min="9" max="9" width="9.5703125" style="2" bestFit="1" customWidth="1"/>
    <col min="10" max="10" width="9.140625" style="2"/>
    <col min="11" max="11" width="13.28515625" style="2" bestFit="1" customWidth="1"/>
  </cols>
  <sheetData>
    <row r="1" spans="1:11" s="37" customFormat="1" ht="15.95" customHeight="1" x14ac:dyDescent="0.25">
      <c r="E1" s="37" t="s">
        <v>83</v>
      </c>
      <c r="F1" s="38" t="s">
        <v>86</v>
      </c>
      <c r="G1" s="38" t="s">
        <v>84</v>
      </c>
      <c r="H1" s="37" t="s">
        <v>57</v>
      </c>
      <c r="I1" s="38" t="s">
        <v>85</v>
      </c>
      <c r="J1" s="38" t="s">
        <v>65</v>
      </c>
      <c r="K1" s="38"/>
    </row>
    <row r="2" spans="1:11" ht="15.95" customHeight="1" x14ac:dyDescent="0.25">
      <c r="A2" s="36"/>
      <c r="B2" s="36"/>
      <c r="E2" s="36" t="s">
        <v>50</v>
      </c>
      <c r="F2" s="2">
        <v>17.36</v>
      </c>
      <c r="G2" s="2">
        <v>25.226775308641976</v>
      </c>
      <c r="H2">
        <v>4050</v>
      </c>
      <c r="I2" s="2">
        <v>102168.44</v>
      </c>
      <c r="J2" s="2">
        <v>-31860.440000000002</v>
      </c>
    </row>
    <row r="3" spans="1:11" ht="15.95" customHeight="1" x14ac:dyDescent="0.25">
      <c r="A3" s="36"/>
      <c r="B3" s="36"/>
      <c r="E3" s="36" t="s">
        <v>34</v>
      </c>
      <c r="F3" s="2">
        <v>17.22</v>
      </c>
      <c r="G3" s="2">
        <v>18.564136807817594</v>
      </c>
      <c r="H3">
        <v>3070</v>
      </c>
      <c r="I3" s="2">
        <v>56991.900000000016</v>
      </c>
      <c r="J3" s="2">
        <v>-4126.5000000000218</v>
      </c>
    </row>
    <row r="4" spans="1:11" ht="15.95" customHeight="1" x14ac:dyDescent="0.25">
      <c r="A4" s="36"/>
      <c r="B4" s="36"/>
      <c r="E4" s="36" t="s">
        <v>17</v>
      </c>
      <c r="F4" s="2">
        <v>17.55</v>
      </c>
      <c r="G4" s="2">
        <v>18.1795875</v>
      </c>
      <c r="H4">
        <v>4000</v>
      </c>
      <c r="I4" s="2">
        <v>70200</v>
      </c>
      <c r="J4" s="2">
        <v>-2518.3500000000058</v>
      </c>
    </row>
    <row r="5" spans="1:11" ht="15.95" customHeight="1" x14ac:dyDescent="0.25">
      <c r="A5" s="36"/>
      <c r="B5" s="36"/>
      <c r="E5" s="36" t="s">
        <v>18</v>
      </c>
      <c r="F5" s="2">
        <v>10.99</v>
      </c>
      <c r="G5" s="2">
        <v>29.640625</v>
      </c>
      <c r="H5">
        <v>80</v>
      </c>
      <c r="I5" s="2">
        <v>2371.25</v>
      </c>
      <c r="J5" s="2">
        <v>-1492.05</v>
      </c>
    </row>
    <row r="6" spans="1:11" ht="15.95" customHeight="1" x14ac:dyDescent="0.25">
      <c r="A6" s="36"/>
      <c r="B6" s="36"/>
      <c r="E6" s="36" t="s">
        <v>10</v>
      </c>
      <c r="F6" s="2">
        <v>9.43</v>
      </c>
      <c r="G6" s="2">
        <v>11.811439999999999</v>
      </c>
      <c r="H6">
        <v>500</v>
      </c>
      <c r="I6" s="2">
        <v>5905.7199999999993</v>
      </c>
      <c r="J6" s="2">
        <v>-1190.7199999999993</v>
      </c>
    </row>
    <row r="7" spans="1:11" ht="15.95" customHeight="1" x14ac:dyDescent="0.25">
      <c r="A7" s="36"/>
      <c r="B7" s="36"/>
      <c r="E7" s="36" t="s">
        <v>11</v>
      </c>
      <c r="F7" s="2">
        <v>131.69</v>
      </c>
      <c r="G7" s="2">
        <v>153.47039999999993</v>
      </c>
      <c r="H7">
        <v>50</v>
      </c>
      <c r="I7" s="2">
        <v>7673.5199999999968</v>
      </c>
      <c r="J7" s="2">
        <v>-1089.0199999999968</v>
      </c>
    </row>
    <row r="8" spans="1:11" ht="15.95" customHeight="1" x14ac:dyDescent="0.25">
      <c r="A8" s="36"/>
      <c r="B8" s="36"/>
      <c r="E8" s="36" t="s">
        <v>27</v>
      </c>
      <c r="F8" s="2">
        <v>29.08</v>
      </c>
      <c r="G8" s="2">
        <v>30.345384615384614</v>
      </c>
      <c r="H8">
        <v>650</v>
      </c>
      <c r="I8" s="2">
        <v>19724.5</v>
      </c>
      <c r="J8" s="2">
        <v>-822.5</v>
      </c>
    </row>
    <row r="9" spans="1:11" ht="15.95" customHeight="1" x14ac:dyDescent="0.25">
      <c r="A9" s="36"/>
      <c r="B9" s="36"/>
      <c r="E9" s="36" t="s">
        <v>22</v>
      </c>
      <c r="F9" s="2">
        <v>58.78</v>
      </c>
      <c r="G9" s="2">
        <v>61.69130434782609</v>
      </c>
      <c r="H9">
        <v>115</v>
      </c>
      <c r="I9" s="2">
        <v>7094.5</v>
      </c>
      <c r="J9" s="2">
        <v>-329.80000000000018</v>
      </c>
    </row>
    <row r="10" spans="1:11" ht="15.95" customHeight="1" x14ac:dyDescent="0.25">
      <c r="A10" s="36"/>
      <c r="B10" s="36"/>
      <c r="E10" s="36" t="s">
        <v>42</v>
      </c>
      <c r="F10" s="2">
        <v>92.74</v>
      </c>
      <c r="G10" s="2">
        <v>96.710833333333326</v>
      </c>
      <c r="H10">
        <v>60</v>
      </c>
      <c r="I10" s="2">
        <v>5802.65</v>
      </c>
      <c r="J10" s="2">
        <v>-238.25</v>
      </c>
    </row>
    <row r="11" spans="1:11" ht="15.95" customHeight="1" x14ac:dyDescent="0.25">
      <c r="A11" s="36"/>
      <c r="B11" s="36"/>
      <c r="E11" s="36" t="s">
        <v>24</v>
      </c>
      <c r="F11" s="2">
        <v>43.52</v>
      </c>
      <c r="G11" s="2">
        <v>48.684999999999988</v>
      </c>
      <c r="H11">
        <v>40</v>
      </c>
      <c r="I11" s="2">
        <v>1947.3999999999996</v>
      </c>
      <c r="J11" s="2">
        <v>-206.59999999999945</v>
      </c>
    </row>
    <row r="12" spans="1:11" ht="15.95" customHeight="1" x14ac:dyDescent="0.25">
      <c r="A12" s="36"/>
      <c r="B12" s="36"/>
      <c r="E12" s="36" t="s">
        <v>68</v>
      </c>
      <c r="F12" s="2">
        <v>8.6999999999999993</v>
      </c>
      <c r="G12" s="2">
        <v>10.082500000000001</v>
      </c>
      <c r="H12">
        <v>120</v>
      </c>
      <c r="I12" s="2">
        <v>1209.9000000000001</v>
      </c>
      <c r="J12" s="2">
        <v>-165.90000000000009</v>
      </c>
    </row>
    <row r="13" spans="1:11" ht="15.95" customHeight="1" x14ac:dyDescent="0.25">
      <c r="A13" s="36"/>
      <c r="B13" s="36"/>
      <c r="E13" s="36" t="s">
        <v>47</v>
      </c>
      <c r="F13" s="2">
        <v>82.15</v>
      </c>
      <c r="G13" s="2">
        <v>84.788333333333341</v>
      </c>
      <c r="H13">
        <v>60</v>
      </c>
      <c r="I13" s="2">
        <v>5087.3</v>
      </c>
      <c r="J13" s="2">
        <v>-158.30000000000018</v>
      </c>
    </row>
    <row r="14" spans="1:11" ht="15.95" customHeight="1" x14ac:dyDescent="0.25">
      <c r="A14" s="36"/>
      <c r="B14" s="36"/>
      <c r="E14" s="36" t="s">
        <v>15</v>
      </c>
      <c r="F14" s="2">
        <v>20.81</v>
      </c>
      <c r="G14" s="2">
        <v>22.065749999999998</v>
      </c>
      <c r="H14">
        <v>80</v>
      </c>
      <c r="I14" s="2">
        <v>1765.2599999999998</v>
      </c>
      <c r="J14" s="2">
        <v>-100.45999999999981</v>
      </c>
    </row>
    <row r="15" spans="1:11" ht="15.95" customHeight="1" x14ac:dyDescent="0.25">
      <c r="A15" s="36"/>
      <c r="B15" s="36"/>
      <c r="E15" s="36" t="s">
        <v>39</v>
      </c>
      <c r="F15" s="2">
        <v>33.21</v>
      </c>
      <c r="G15" s="2">
        <v>34.774999999999999</v>
      </c>
      <c r="H15">
        <v>40</v>
      </c>
      <c r="I15" s="2">
        <v>1391</v>
      </c>
      <c r="J15" s="2">
        <v>-62.599999999999909</v>
      </c>
    </row>
    <row r="16" spans="1:11" ht="15.95" customHeight="1" x14ac:dyDescent="0.25">
      <c r="A16" s="36"/>
      <c r="B16" s="36"/>
      <c r="E16" s="36" t="s">
        <v>63</v>
      </c>
      <c r="F16" s="2">
        <v>109.05</v>
      </c>
      <c r="G16" s="2">
        <v>110.09500000000001</v>
      </c>
      <c r="H16">
        <v>30</v>
      </c>
      <c r="I16" s="2">
        <v>3302.8500000000004</v>
      </c>
      <c r="J16" s="2">
        <v>-31.350000000000364</v>
      </c>
    </row>
    <row r="17" spans="1:10" ht="15.95" customHeight="1" x14ac:dyDescent="0.25">
      <c r="A17" s="36"/>
      <c r="B17" s="36"/>
      <c r="E17" s="36" t="s">
        <v>62</v>
      </c>
      <c r="F17" s="2">
        <v>316.08</v>
      </c>
      <c r="G17" s="2">
        <v>320</v>
      </c>
      <c r="H17">
        <v>5</v>
      </c>
      <c r="I17" s="2">
        <v>1600</v>
      </c>
      <c r="J17" s="2">
        <v>-19.600000000000136</v>
      </c>
    </row>
    <row r="18" spans="1:10" ht="15.95" customHeight="1" x14ac:dyDescent="0.25">
      <c r="A18" s="36"/>
      <c r="B18" s="36"/>
      <c r="E18" s="36" t="s">
        <v>26</v>
      </c>
      <c r="F18" s="2">
        <v>5.99</v>
      </c>
      <c r="G18" s="2">
        <v>6</v>
      </c>
      <c r="H18">
        <v>300</v>
      </c>
      <c r="I18" s="2">
        <v>1800</v>
      </c>
      <c r="J18" s="2">
        <v>-3</v>
      </c>
    </row>
    <row r="19" spans="1:10" ht="15.95" customHeight="1" x14ac:dyDescent="0.25">
      <c r="A19" s="36"/>
      <c r="B19" s="36"/>
      <c r="E19" s="36" t="s">
        <v>54</v>
      </c>
      <c r="F19" s="2">
        <v>99.36</v>
      </c>
      <c r="G19" s="2">
        <v>99.036666666666662</v>
      </c>
      <c r="H19">
        <v>15</v>
      </c>
      <c r="I19" s="2">
        <v>1485.55</v>
      </c>
      <c r="J19" s="2">
        <v>4.8500000000001364</v>
      </c>
    </row>
    <row r="20" spans="1:10" ht="15.95" customHeight="1" x14ac:dyDescent="0.25">
      <c r="A20" s="36"/>
      <c r="B20" s="36"/>
      <c r="E20" s="36" t="s">
        <v>33</v>
      </c>
      <c r="F20" s="2">
        <v>125.52</v>
      </c>
      <c r="G20" s="2">
        <v>125.36933333333334</v>
      </c>
      <c r="H20">
        <v>45</v>
      </c>
      <c r="I20" s="2">
        <v>5641.6200000000008</v>
      </c>
      <c r="J20" s="2">
        <v>10.779999999998836</v>
      </c>
    </row>
    <row r="21" spans="1:10" ht="15.95" customHeight="1" x14ac:dyDescent="0.25">
      <c r="A21" s="36"/>
      <c r="B21" s="36"/>
      <c r="E21" s="36" t="s">
        <v>56</v>
      </c>
      <c r="F21" s="2">
        <v>31.61</v>
      </c>
      <c r="G21" s="2">
        <v>30.987500000000001</v>
      </c>
      <c r="H21">
        <v>40</v>
      </c>
      <c r="I21" s="2">
        <v>1239.5</v>
      </c>
      <c r="J21" s="2">
        <v>24.900000000000091</v>
      </c>
    </row>
    <row r="22" spans="1:10" ht="15.95" customHeight="1" x14ac:dyDescent="0.25">
      <c r="E22" s="36" t="s">
        <v>53</v>
      </c>
      <c r="F22" s="2">
        <v>48.56</v>
      </c>
      <c r="G22" s="2">
        <v>47.628571428571426</v>
      </c>
      <c r="H22">
        <v>35</v>
      </c>
      <c r="I22" s="2">
        <v>1667</v>
      </c>
      <c r="J22" s="2">
        <v>32.600000000000136</v>
      </c>
    </row>
    <row r="23" spans="1:10" ht="15.95" customHeight="1" x14ac:dyDescent="0.25">
      <c r="A23" s="36"/>
      <c r="B23" s="36"/>
      <c r="E23" s="36" t="s">
        <v>55</v>
      </c>
      <c r="F23" s="2">
        <v>116.42</v>
      </c>
      <c r="G23" s="2">
        <v>113.01000000000002</v>
      </c>
      <c r="H23">
        <v>10</v>
      </c>
      <c r="I23" s="2">
        <v>1130.1000000000001</v>
      </c>
      <c r="J23" s="2">
        <v>34.099999999999909</v>
      </c>
    </row>
    <row r="24" spans="1:10" ht="15.95" customHeight="1" x14ac:dyDescent="0.25">
      <c r="A24" s="36"/>
      <c r="B24" s="36"/>
      <c r="E24" s="36" t="s">
        <v>51</v>
      </c>
      <c r="F24" s="2">
        <v>123.82</v>
      </c>
      <c r="G24" s="2">
        <v>119.52666666666667</v>
      </c>
      <c r="H24">
        <v>15</v>
      </c>
      <c r="I24" s="2">
        <v>1792.9</v>
      </c>
      <c r="J24" s="2">
        <v>64.399999999999864</v>
      </c>
    </row>
    <row r="25" spans="1:10" ht="15.95" customHeight="1" x14ac:dyDescent="0.25">
      <c r="A25" s="36"/>
      <c r="B25" s="36"/>
      <c r="E25" s="36" t="s">
        <v>44</v>
      </c>
      <c r="F25" s="2">
        <v>74.930000000000007</v>
      </c>
      <c r="G25" s="2">
        <v>62.05</v>
      </c>
      <c r="H25">
        <v>5</v>
      </c>
      <c r="I25" s="2">
        <v>310.25</v>
      </c>
      <c r="J25" s="2">
        <v>64.400000000000034</v>
      </c>
    </row>
    <row r="26" spans="1:10" ht="15.95" customHeight="1" x14ac:dyDescent="0.25">
      <c r="A26" s="36"/>
      <c r="B26" s="36"/>
      <c r="E26" s="36" t="s">
        <v>52</v>
      </c>
      <c r="F26" s="2">
        <v>84.34</v>
      </c>
      <c r="G26" s="2">
        <v>82.314999999999998</v>
      </c>
      <c r="H26">
        <v>40</v>
      </c>
      <c r="I26" s="2">
        <v>3292.6</v>
      </c>
      <c r="J26" s="2">
        <v>81.000000000000455</v>
      </c>
    </row>
    <row r="27" spans="1:10" ht="15.95" customHeight="1" x14ac:dyDescent="0.25">
      <c r="A27" s="36"/>
      <c r="B27" s="36"/>
      <c r="E27" s="36" t="s">
        <v>35</v>
      </c>
      <c r="F27" s="2">
        <v>49.94</v>
      </c>
      <c r="G27" s="2">
        <v>47.585714285714289</v>
      </c>
      <c r="H27">
        <v>35</v>
      </c>
      <c r="I27" s="2">
        <v>1665.5</v>
      </c>
      <c r="J27" s="2">
        <v>82.399999999999864</v>
      </c>
    </row>
    <row r="28" spans="1:10" ht="15.95" customHeight="1" x14ac:dyDescent="0.25">
      <c r="A28" s="36"/>
      <c r="B28" s="36"/>
      <c r="E28" s="36" t="s">
        <v>23</v>
      </c>
      <c r="F28" s="2">
        <v>37.479999999999997</v>
      </c>
      <c r="G28" s="2">
        <v>33.880000000000017</v>
      </c>
      <c r="H28">
        <v>40</v>
      </c>
      <c r="I28" s="2">
        <v>1355.2000000000007</v>
      </c>
      <c r="J28" s="2">
        <v>143.99999999999909</v>
      </c>
    </row>
    <row r="29" spans="1:10" ht="15.95" customHeight="1" x14ac:dyDescent="0.25">
      <c r="A29" s="36"/>
      <c r="B29" s="36"/>
      <c r="E29" s="36" t="s">
        <v>19</v>
      </c>
      <c r="F29" s="2">
        <v>35.18</v>
      </c>
      <c r="G29" s="2">
        <v>32.507843137254902</v>
      </c>
      <c r="H29">
        <v>51</v>
      </c>
      <c r="I29" s="2">
        <v>1657.9</v>
      </c>
      <c r="J29" s="2">
        <v>144.00999999999996</v>
      </c>
    </row>
    <row r="30" spans="1:10" ht="15.95" customHeight="1" x14ac:dyDescent="0.25">
      <c r="A30" s="36"/>
      <c r="B30" s="36"/>
      <c r="E30" s="36" t="s">
        <v>45</v>
      </c>
      <c r="F30" s="2">
        <v>63.85</v>
      </c>
      <c r="G30" s="2">
        <v>62.165999999999997</v>
      </c>
      <c r="H30">
        <v>100</v>
      </c>
      <c r="I30" s="2">
        <v>6216.5999999999995</v>
      </c>
      <c r="J30" s="2">
        <v>168.40000000000055</v>
      </c>
    </row>
    <row r="31" spans="1:10" ht="15.95" customHeight="1" x14ac:dyDescent="0.25">
      <c r="A31" s="36"/>
      <c r="B31" s="36"/>
      <c r="E31" s="36"/>
    </row>
    <row r="32" spans="1:10" ht="15.95" customHeight="1" x14ac:dyDescent="0.25">
      <c r="A32" s="36"/>
    </row>
    <row r="33" spans="1:1" ht="15.95" customHeight="1" x14ac:dyDescent="0.25">
      <c r="A33" s="36"/>
    </row>
    <row r="34" spans="1:1" ht="15.95" customHeight="1" x14ac:dyDescent="0.25">
      <c r="A34" s="36"/>
    </row>
  </sheetData>
  <sortState ref="A2:K34">
    <sortCondition ref="J1"/>
  </sortState>
  <conditionalFormatting sqref="J2:J30">
    <cfRule type="expression" dxfId="59" priority="2">
      <formula>$J2&lt;0</formula>
    </cfRule>
  </conditionalFormatting>
  <conditionalFormatting sqref="J2:J30">
    <cfRule type="expression" dxfId="58" priority="1">
      <formula>$J2&gt;0</formula>
    </cfRule>
  </conditionalFormatting>
  <hyperlinks>
    <hyperlink ref="E2" location="MRO!A1" display="MRO"/>
    <hyperlink ref="E4" location="CPN!A1" display="CPN"/>
    <hyperlink ref="E3" location="MU!A1" display="MU"/>
    <hyperlink ref="E8" location="INTC!A1" display="INTC"/>
    <hyperlink ref="E9" location="HES!A1" display="HES"/>
    <hyperlink ref="E10" location="UNP!A1" display="UNP"/>
    <hyperlink ref="E28" location="PINC!A1" display="PINC"/>
    <hyperlink ref="E6" location="AA!A1" display="AA"/>
    <hyperlink ref="E14" location="KATE!A1" display="KATE"/>
    <hyperlink ref="E11" location="KORS!A1" display="KORS"/>
    <hyperlink ref="E30" location="ALL!A1" display="ALL"/>
    <hyperlink ref="E18" location="ONCS!A1" display="ONCS"/>
    <hyperlink ref="E13" location="NSC!A1" display="NSC"/>
    <hyperlink ref="E26" location="CAH!A1" display="CAH"/>
    <hyperlink ref="E27" location="SCTY!A1" display="SCTY"/>
    <hyperlink ref="E12" location="ATE!A1" display="ATE"/>
    <hyperlink ref="E29" location="CTWS!A1" display="CTWS"/>
    <hyperlink ref="E20" location="AVGO!A1" display="AVGO"/>
    <hyperlink ref="E16" location="DIS!A1" display="DIS"/>
    <hyperlink ref="E23" location="GILD!A1" display="GILD"/>
    <hyperlink ref="E22" location="WWD!A1" display="WWD"/>
    <hyperlink ref="E21" location="GM!A1" display="GM"/>
    <hyperlink ref="E25" location="TCO!A1" display="TCO"/>
    <hyperlink ref="E15" location="TKR!A1" display="TKR"/>
    <hyperlink ref="E19" location="UTX!A1" display="UTX"/>
    <hyperlink ref="E24" location="UNH!A1" display="UNH"/>
    <hyperlink ref="E17" location="BIIB!A1" display="BIIB"/>
    <hyperlink ref="E5" location="AAVL!A1" display="AAVL"/>
    <hyperlink ref="E7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4" width="9.140625" style="2"/>
    <col min="5" max="5" width="10.5703125" style="2" customWidth="1"/>
    <col min="8" max="9" width="9.140625" style="2"/>
    <col min="15" max="15" width="9.5703125" bestFit="1" customWidth="1"/>
    <col min="18" max="18" width="9.140625" style="74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R1" s="75" t="s">
        <v>75</v>
      </c>
    </row>
    <row r="2" spans="1:19" x14ac:dyDescent="0.25">
      <c r="A2" s="8" t="s">
        <v>50</v>
      </c>
      <c r="B2" s="1">
        <v>42187</v>
      </c>
      <c r="C2" s="9">
        <v>1000</v>
      </c>
      <c r="D2" s="81">
        <v>27.25</v>
      </c>
      <c r="E2" s="2">
        <f>C2*D2</f>
        <v>27250</v>
      </c>
      <c r="F2" s="1">
        <v>42187</v>
      </c>
      <c r="G2" s="9">
        <v>2000</v>
      </c>
      <c r="H2" s="81">
        <v>27.34</v>
      </c>
      <c r="I2" s="2">
        <f>G2*H2</f>
        <v>54680</v>
      </c>
      <c r="M2" s="20" t="s">
        <v>57</v>
      </c>
      <c r="O2">
        <f>C24-G24</f>
        <v>4050</v>
      </c>
      <c r="R2" s="74">
        <v>42233</v>
      </c>
      <c r="S2" t="s">
        <v>147</v>
      </c>
    </row>
    <row r="3" spans="1:19" x14ac:dyDescent="0.25">
      <c r="A3" s="36" t="s">
        <v>82</v>
      </c>
      <c r="B3" s="1">
        <v>42187</v>
      </c>
      <c r="C3">
        <v>80</v>
      </c>
      <c r="D3" s="2">
        <v>27.15</v>
      </c>
      <c r="E3" s="2">
        <f t="shared" ref="E3:E23" si="0">C3*D3</f>
        <v>2172</v>
      </c>
      <c r="F3" s="1">
        <v>42199</v>
      </c>
      <c r="G3" s="10">
        <v>102</v>
      </c>
      <c r="H3" s="25">
        <v>25.28</v>
      </c>
      <c r="I3" s="2">
        <f>G3*H3</f>
        <v>2578.56</v>
      </c>
      <c r="M3" s="20" t="s">
        <v>58</v>
      </c>
      <c r="O3" s="2">
        <f>(E24-I24)/O2</f>
        <v>25.226775308641976</v>
      </c>
      <c r="R3" s="74">
        <v>42257</v>
      </c>
      <c r="S3" t="s">
        <v>148</v>
      </c>
    </row>
    <row r="4" spans="1:19" x14ac:dyDescent="0.25">
      <c r="B4" s="1">
        <v>42187</v>
      </c>
      <c r="C4" s="9">
        <v>1000</v>
      </c>
      <c r="D4" s="81">
        <v>27.1</v>
      </c>
      <c r="E4" s="2">
        <f t="shared" si="0"/>
        <v>27100</v>
      </c>
      <c r="F4" s="1">
        <v>42227</v>
      </c>
      <c r="G4" s="11">
        <v>200</v>
      </c>
      <c r="H4" s="82">
        <v>19.649999999999999</v>
      </c>
      <c r="I4" s="2">
        <f>G4*H4</f>
        <v>3929.9999999999995</v>
      </c>
      <c r="M4" s="20" t="s">
        <v>66</v>
      </c>
      <c r="O4" s="4">
        <v>17.36</v>
      </c>
      <c r="R4" s="74">
        <v>42311</v>
      </c>
      <c r="S4" t="s">
        <v>130</v>
      </c>
    </row>
    <row r="5" spans="1:19" x14ac:dyDescent="0.25">
      <c r="B5" s="1">
        <v>42187</v>
      </c>
      <c r="C5">
        <v>3000</v>
      </c>
      <c r="D5" s="2">
        <v>27.04</v>
      </c>
      <c r="E5" s="2">
        <f t="shared" si="0"/>
        <v>81120</v>
      </c>
      <c r="F5" s="1">
        <v>42227</v>
      </c>
      <c r="G5" s="11">
        <v>200</v>
      </c>
      <c r="H5" s="82">
        <v>18.7</v>
      </c>
      <c r="I5" s="2">
        <f>G5*H5</f>
        <v>3740</v>
      </c>
      <c r="M5" s="20" t="s">
        <v>67</v>
      </c>
      <c r="O5" s="5">
        <f>O4*O2</f>
        <v>70308</v>
      </c>
    </row>
    <row r="6" spans="1:19" x14ac:dyDescent="0.25">
      <c r="B6" s="1">
        <v>42198</v>
      </c>
      <c r="C6">
        <v>100</v>
      </c>
      <c r="D6" s="2">
        <v>24.77</v>
      </c>
      <c r="E6" s="2">
        <f t="shared" si="0"/>
        <v>2477</v>
      </c>
      <c r="M6" s="20" t="s">
        <v>64</v>
      </c>
      <c r="O6" s="2">
        <f>O3*O2</f>
        <v>102168.44</v>
      </c>
    </row>
    <row r="7" spans="1:19" x14ac:dyDescent="0.25">
      <c r="B7" s="1">
        <v>42205</v>
      </c>
      <c r="C7" s="10">
        <v>50</v>
      </c>
      <c r="D7" s="25">
        <v>24.35</v>
      </c>
      <c r="E7" s="2">
        <f t="shared" si="0"/>
        <v>1217.5</v>
      </c>
      <c r="M7" s="20" t="s">
        <v>65</v>
      </c>
      <c r="O7" s="2">
        <f>O5-O6+K24</f>
        <v>-31860.440000000002</v>
      </c>
    </row>
    <row r="8" spans="1:19" x14ac:dyDescent="0.25">
      <c r="B8" s="1">
        <v>42207</v>
      </c>
      <c r="C8" s="10">
        <v>20</v>
      </c>
      <c r="D8" s="25">
        <v>24.02</v>
      </c>
      <c r="E8" s="2">
        <f t="shared" si="0"/>
        <v>480.4</v>
      </c>
    </row>
    <row r="9" spans="1:19" x14ac:dyDescent="0.25">
      <c r="B9" s="1">
        <v>42207</v>
      </c>
      <c r="C9" s="10">
        <v>20</v>
      </c>
      <c r="D9" s="25">
        <v>23.91</v>
      </c>
      <c r="E9" s="2">
        <f t="shared" si="0"/>
        <v>478.2</v>
      </c>
    </row>
    <row r="10" spans="1:19" x14ac:dyDescent="0.25">
      <c r="B10" s="1">
        <v>42207</v>
      </c>
      <c r="C10">
        <v>20</v>
      </c>
      <c r="D10" s="2">
        <v>23.7</v>
      </c>
      <c r="E10" s="2">
        <f t="shared" si="0"/>
        <v>474</v>
      </c>
    </row>
    <row r="11" spans="1:19" x14ac:dyDescent="0.25">
      <c r="B11" s="1">
        <v>42207</v>
      </c>
      <c r="C11">
        <v>20</v>
      </c>
      <c r="D11" s="2">
        <v>23.6</v>
      </c>
      <c r="E11" s="2">
        <f t="shared" si="0"/>
        <v>472</v>
      </c>
    </row>
    <row r="12" spans="1:19" x14ac:dyDescent="0.25">
      <c r="B12" s="1">
        <v>42209</v>
      </c>
      <c r="C12">
        <v>40</v>
      </c>
      <c r="D12" s="2">
        <v>22.3</v>
      </c>
      <c r="E12" s="2">
        <f t="shared" si="0"/>
        <v>892</v>
      </c>
    </row>
    <row r="13" spans="1:19" x14ac:dyDescent="0.25">
      <c r="B13" s="1">
        <v>42221</v>
      </c>
      <c r="C13" s="10">
        <v>12</v>
      </c>
      <c r="D13" s="25">
        <v>20.95</v>
      </c>
      <c r="E13" s="2">
        <f t="shared" si="0"/>
        <v>251.39999999999998</v>
      </c>
    </row>
    <row r="14" spans="1:19" x14ac:dyDescent="0.25">
      <c r="B14" s="1">
        <v>42223</v>
      </c>
      <c r="C14">
        <v>100</v>
      </c>
      <c r="D14" s="2">
        <v>20.399999999999999</v>
      </c>
      <c r="E14" s="2">
        <f t="shared" si="0"/>
        <v>2039.9999999999998</v>
      </c>
    </row>
    <row r="15" spans="1:19" x14ac:dyDescent="0.25">
      <c r="B15" s="1">
        <v>42226</v>
      </c>
      <c r="C15">
        <v>200</v>
      </c>
      <c r="D15" s="2">
        <v>19.95</v>
      </c>
      <c r="E15" s="2">
        <f t="shared" si="0"/>
        <v>3990</v>
      </c>
    </row>
    <row r="16" spans="1:19" x14ac:dyDescent="0.25">
      <c r="B16" s="1">
        <v>42226</v>
      </c>
      <c r="C16">
        <v>50</v>
      </c>
      <c r="D16" s="2">
        <v>20.010000000000002</v>
      </c>
      <c r="E16" s="2">
        <f t="shared" si="0"/>
        <v>1000.5000000000001</v>
      </c>
    </row>
    <row r="17" spans="1:15" x14ac:dyDescent="0.25">
      <c r="B17" s="1">
        <v>42226</v>
      </c>
      <c r="C17">
        <v>100</v>
      </c>
      <c r="D17" s="2">
        <v>20.2</v>
      </c>
      <c r="E17" s="2">
        <f t="shared" si="0"/>
        <v>2020</v>
      </c>
      <c r="N17" t="s">
        <v>90</v>
      </c>
    </row>
    <row r="18" spans="1:15" x14ac:dyDescent="0.25">
      <c r="B18" s="1">
        <v>42227</v>
      </c>
      <c r="C18" s="11">
        <v>200</v>
      </c>
      <c r="D18" s="82">
        <v>18.399999999999999</v>
      </c>
      <c r="E18" s="2">
        <f t="shared" si="0"/>
        <v>3679.9999999999995</v>
      </c>
      <c r="M18" s="2">
        <f t="shared" ref="M18:M30" si="1">$O$4</f>
        <v>17.36</v>
      </c>
      <c r="N18">
        <v>1.1000000000000001</v>
      </c>
      <c r="O18" s="2"/>
    </row>
    <row r="19" spans="1:15" x14ac:dyDescent="0.25">
      <c r="B19" s="1">
        <v>42227</v>
      </c>
      <c r="C19" s="11">
        <v>200</v>
      </c>
      <c r="D19" s="82">
        <v>19.55</v>
      </c>
      <c r="E19" s="2">
        <f t="shared" si="0"/>
        <v>3910</v>
      </c>
      <c r="M19" s="2">
        <f t="shared" si="1"/>
        <v>17.36</v>
      </c>
      <c r="N19">
        <v>1.05</v>
      </c>
      <c r="O19" s="2"/>
    </row>
    <row r="20" spans="1:15" x14ac:dyDescent="0.25">
      <c r="B20" s="1">
        <v>42234</v>
      </c>
      <c r="C20">
        <v>40</v>
      </c>
      <c r="D20" s="2">
        <v>18.149999999999999</v>
      </c>
      <c r="E20" s="2">
        <f t="shared" si="0"/>
        <v>726</v>
      </c>
      <c r="M20" s="2">
        <f t="shared" si="1"/>
        <v>17.36</v>
      </c>
      <c r="N20">
        <v>1.04</v>
      </c>
      <c r="O20" s="2"/>
    </row>
    <row r="21" spans="1:15" x14ac:dyDescent="0.25">
      <c r="B21" s="1">
        <v>42234</v>
      </c>
      <c r="C21">
        <v>100</v>
      </c>
      <c r="D21" s="2">
        <v>18</v>
      </c>
      <c r="E21" s="2">
        <f t="shared" si="0"/>
        <v>1800</v>
      </c>
      <c r="M21" s="2">
        <f t="shared" si="1"/>
        <v>17.36</v>
      </c>
      <c r="N21" s="2">
        <v>1.03</v>
      </c>
      <c r="O21" s="2"/>
    </row>
    <row r="22" spans="1:15" x14ac:dyDescent="0.25">
      <c r="B22" s="1">
        <v>42235</v>
      </c>
      <c r="C22">
        <v>100</v>
      </c>
      <c r="D22" s="2">
        <v>17.78</v>
      </c>
      <c r="E22" s="2">
        <f t="shared" si="0"/>
        <v>1778</v>
      </c>
      <c r="M22" s="2">
        <f t="shared" si="1"/>
        <v>17.36</v>
      </c>
      <c r="N22" s="2">
        <v>1.02</v>
      </c>
      <c r="O22" s="2"/>
    </row>
    <row r="23" spans="1:15" x14ac:dyDescent="0.25">
      <c r="B23" s="1">
        <v>42235</v>
      </c>
      <c r="C23">
        <v>100</v>
      </c>
      <c r="D23" s="2">
        <v>17.68</v>
      </c>
      <c r="E23" s="2">
        <f t="shared" si="0"/>
        <v>1768</v>
      </c>
      <c r="M23" s="2">
        <f t="shared" si="1"/>
        <v>17.36</v>
      </c>
      <c r="N23" s="2">
        <v>1.01</v>
      </c>
      <c r="O23" s="2"/>
    </row>
    <row r="24" spans="1:15" x14ac:dyDescent="0.25">
      <c r="A24" s="59" t="s">
        <v>115</v>
      </c>
      <c r="B24" s="24"/>
      <c r="C24" s="24">
        <f>SUM(C2:C23)</f>
        <v>6552</v>
      </c>
      <c r="D24" s="31"/>
      <c r="E24" s="31">
        <f>SUM(E2:E23)</f>
        <v>167097</v>
      </c>
      <c r="F24" s="24"/>
      <c r="G24" s="24">
        <f>SUM(G2:G12)</f>
        <v>2502</v>
      </c>
      <c r="H24" s="31"/>
      <c r="I24" s="31">
        <f>SUM(I2:I12)</f>
        <v>64928.56</v>
      </c>
      <c r="J24" s="24"/>
      <c r="K24" s="24">
        <f>SUM(K2:K12)</f>
        <v>0</v>
      </c>
      <c r="M24" s="2">
        <f t="shared" si="1"/>
        <v>17.36</v>
      </c>
      <c r="N24" s="2">
        <v>1</v>
      </c>
      <c r="O24" s="2"/>
    </row>
    <row r="25" spans="1:15" x14ac:dyDescent="0.25">
      <c r="M25" s="2">
        <f t="shared" si="1"/>
        <v>17.36</v>
      </c>
      <c r="N25" s="2">
        <v>0.99</v>
      </c>
      <c r="O25" s="2"/>
    </row>
    <row r="26" spans="1:15" x14ac:dyDescent="0.25">
      <c r="M26" s="2">
        <f t="shared" si="1"/>
        <v>17.36</v>
      </c>
      <c r="N26" s="2">
        <v>0.98</v>
      </c>
      <c r="O26" s="2"/>
    </row>
    <row r="27" spans="1:15" x14ac:dyDescent="0.25">
      <c r="M27" s="2">
        <f t="shared" si="1"/>
        <v>17.36</v>
      </c>
      <c r="N27" s="2">
        <v>0.97</v>
      </c>
      <c r="O27" s="2"/>
    </row>
    <row r="28" spans="1:15" x14ac:dyDescent="0.25">
      <c r="M28" s="2">
        <f t="shared" si="1"/>
        <v>17.36</v>
      </c>
      <c r="N28" s="2">
        <v>0.96</v>
      </c>
      <c r="O28" s="2"/>
    </row>
    <row r="29" spans="1:15" x14ac:dyDescent="0.25">
      <c r="M29" s="2">
        <f t="shared" si="1"/>
        <v>17.36</v>
      </c>
      <c r="N29" s="2">
        <v>0.95</v>
      </c>
      <c r="O29" s="2"/>
    </row>
    <row r="30" spans="1:15" x14ac:dyDescent="0.25">
      <c r="M30" s="2">
        <f t="shared" si="1"/>
        <v>17.36</v>
      </c>
      <c r="N30" s="2">
        <v>0.9</v>
      </c>
      <c r="O30" s="2"/>
    </row>
    <row r="40" spans="1:1" x14ac:dyDescent="0.25">
      <c r="A40" t="s">
        <v>91</v>
      </c>
    </row>
    <row r="41" spans="1:1" x14ac:dyDescent="0.25">
      <c r="A41" t="s">
        <v>92</v>
      </c>
    </row>
    <row r="42" spans="1:1" x14ac:dyDescent="0.25">
      <c r="A42" t="s">
        <v>93</v>
      </c>
    </row>
    <row r="43" spans="1:1" x14ac:dyDescent="0.25">
      <c r="A43" t="s">
        <v>94</v>
      </c>
    </row>
    <row r="44" spans="1:1" x14ac:dyDescent="0.25">
      <c r="A44" t="s">
        <v>95</v>
      </c>
    </row>
    <row r="45" spans="1:1" x14ac:dyDescent="0.25">
      <c r="A45" t="s">
        <v>96</v>
      </c>
    </row>
    <row r="46" spans="1:1" x14ac:dyDescent="0.25">
      <c r="A46" t="s">
        <v>97</v>
      </c>
    </row>
    <row r="47" spans="1:1" x14ac:dyDescent="0.25">
      <c r="A47" t="s">
        <v>98</v>
      </c>
    </row>
    <row r="48" spans="1:1" x14ac:dyDescent="0.25">
      <c r="A48" t="s">
        <v>99</v>
      </c>
    </row>
    <row r="50" spans="1:1" x14ac:dyDescent="0.25">
      <c r="A50" t="s">
        <v>100</v>
      </c>
    </row>
    <row r="51" spans="1:1" x14ac:dyDescent="0.25">
      <c r="A51" t="s">
        <v>101</v>
      </c>
    </row>
    <row r="52" spans="1:1" x14ac:dyDescent="0.25">
      <c r="A52" t="s">
        <v>102</v>
      </c>
    </row>
    <row r="53" spans="1:1" x14ac:dyDescent="0.25">
      <c r="A53" t="s">
        <v>103</v>
      </c>
    </row>
    <row r="54" spans="1:1" x14ac:dyDescent="0.25">
      <c r="A54" t="s">
        <v>104</v>
      </c>
    </row>
    <row r="55" spans="1:1" x14ac:dyDescent="0.25">
      <c r="A55" t="s">
        <v>105</v>
      </c>
    </row>
    <row r="56" spans="1:1" x14ac:dyDescent="0.25">
      <c r="A56" t="s">
        <v>106</v>
      </c>
    </row>
    <row r="57" spans="1:1" x14ac:dyDescent="0.25">
      <c r="A57" t="s">
        <v>107</v>
      </c>
    </row>
    <row r="58" spans="1:1" x14ac:dyDescent="0.25">
      <c r="A58" t="s">
        <v>108</v>
      </c>
    </row>
    <row r="59" spans="1:1" x14ac:dyDescent="0.25">
      <c r="A59" t="s">
        <v>38</v>
      </c>
    </row>
    <row r="60" spans="1:1" x14ac:dyDescent="0.25">
      <c r="A60" t="s">
        <v>109</v>
      </c>
    </row>
    <row r="61" spans="1:1" x14ac:dyDescent="0.25">
      <c r="A61" t="s">
        <v>110</v>
      </c>
    </row>
    <row r="62" spans="1:1" x14ac:dyDescent="0.25">
      <c r="A62" t="s">
        <v>111</v>
      </c>
    </row>
  </sheetData>
  <conditionalFormatting sqref="O7">
    <cfRule type="expression" dxfId="57" priority="2">
      <formula>O7&gt;0</formula>
    </cfRule>
    <cfRule type="expression" dxfId="56" priority="3">
      <formula>O7&lt;0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8" max="9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7" t="s">
        <v>37</v>
      </c>
      <c r="K1" s="27" t="s">
        <v>38</v>
      </c>
    </row>
    <row r="2" spans="1:21" x14ac:dyDescent="0.25">
      <c r="A2" s="8" t="s">
        <v>17</v>
      </c>
      <c r="B2" s="1">
        <v>42153</v>
      </c>
      <c r="C2">
        <v>1</v>
      </c>
      <c r="D2" s="2">
        <v>20.3</v>
      </c>
      <c r="E2" s="2">
        <f>C2*D2</f>
        <v>20.3</v>
      </c>
      <c r="F2" s="1">
        <v>42235</v>
      </c>
      <c r="G2" s="10">
        <v>600</v>
      </c>
      <c r="H2" s="25">
        <v>17.55</v>
      </c>
      <c r="I2" s="25">
        <f>G2*H2</f>
        <v>10530</v>
      </c>
      <c r="J2" t="s">
        <v>114</v>
      </c>
      <c r="M2" s="20" t="s">
        <v>57</v>
      </c>
      <c r="O2">
        <f>C25-G25</f>
        <v>4000</v>
      </c>
      <c r="S2" s="20" t="s">
        <v>152</v>
      </c>
    </row>
    <row r="3" spans="1:21" x14ac:dyDescent="0.25">
      <c r="A3" s="36" t="s">
        <v>82</v>
      </c>
      <c r="B3" s="1">
        <v>42164</v>
      </c>
      <c r="C3">
        <v>10</v>
      </c>
      <c r="D3" s="2">
        <v>19.79</v>
      </c>
      <c r="E3" s="2">
        <f t="shared" ref="E3:E24" si="0">C3*D3</f>
        <v>197.89999999999998</v>
      </c>
      <c r="F3" s="1">
        <v>42235</v>
      </c>
      <c r="G3" s="10">
        <v>400</v>
      </c>
      <c r="H3" s="25">
        <v>17.559999999999999</v>
      </c>
      <c r="I3" s="25">
        <f>G3*H3</f>
        <v>7023.9999999999991</v>
      </c>
      <c r="M3" s="20" t="s">
        <v>87</v>
      </c>
      <c r="O3" s="2">
        <f>(E25-I25)/O2</f>
        <v>18.1795875</v>
      </c>
    </row>
    <row r="4" spans="1:21" x14ac:dyDescent="0.25">
      <c r="B4" s="1">
        <v>42164</v>
      </c>
      <c r="C4">
        <v>50</v>
      </c>
      <c r="D4" s="2">
        <v>19.7</v>
      </c>
      <c r="E4" s="2">
        <f t="shared" si="0"/>
        <v>985</v>
      </c>
      <c r="M4" s="20" t="s">
        <v>66</v>
      </c>
      <c r="O4" s="85">
        <v>17.55</v>
      </c>
    </row>
    <row r="5" spans="1:21" x14ac:dyDescent="0.25">
      <c r="B5" s="1">
        <v>42166</v>
      </c>
      <c r="C5">
        <v>39</v>
      </c>
      <c r="D5" s="2">
        <v>19.25</v>
      </c>
      <c r="E5" s="2">
        <f t="shared" si="0"/>
        <v>750.75</v>
      </c>
      <c r="M5" s="20" t="s">
        <v>67</v>
      </c>
      <c r="O5" s="2">
        <f>E25-I25</f>
        <v>72718.350000000006</v>
      </c>
    </row>
    <row r="6" spans="1:21" x14ac:dyDescent="0.25">
      <c r="B6" s="1">
        <v>42174</v>
      </c>
      <c r="C6">
        <v>20</v>
      </c>
      <c r="D6" s="2">
        <v>19.059999999999999</v>
      </c>
      <c r="E6" s="2">
        <f t="shared" si="0"/>
        <v>381.2</v>
      </c>
      <c r="M6" s="20" t="s">
        <v>64</v>
      </c>
      <c r="O6" s="2">
        <f>O4*O2</f>
        <v>70200</v>
      </c>
    </row>
    <row r="7" spans="1:21" x14ac:dyDescent="0.25">
      <c r="B7" s="1">
        <v>42177</v>
      </c>
      <c r="C7">
        <v>20</v>
      </c>
      <c r="D7" s="2">
        <v>18.899999999999999</v>
      </c>
      <c r="E7" s="2">
        <f t="shared" si="0"/>
        <v>378</v>
      </c>
      <c r="M7" s="20" t="s">
        <v>65</v>
      </c>
      <c r="O7" s="84">
        <f>O6-O5</f>
        <v>-2518.3500000000058</v>
      </c>
    </row>
    <row r="8" spans="1:21" x14ac:dyDescent="0.25">
      <c r="B8" s="1">
        <v>42185</v>
      </c>
      <c r="C8">
        <v>50</v>
      </c>
      <c r="D8" s="2">
        <v>18.72</v>
      </c>
      <c r="E8" s="2">
        <f t="shared" si="0"/>
        <v>936</v>
      </c>
    </row>
    <row r="9" spans="1:21" x14ac:dyDescent="0.25">
      <c r="B9" s="1">
        <v>42187</v>
      </c>
      <c r="C9">
        <v>1000</v>
      </c>
      <c r="D9" s="2">
        <v>18.45</v>
      </c>
      <c r="E9" s="2">
        <f t="shared" si="0"/>
        <v>18450</v>
      </c>
    </row>
    <row r="10" spans="1:21" x14ac:dyDescent="0.25">
      <c r="B10" s="1">
        <v>42187</v>
      </c>
      <c r="C10">
        <v>2000</v>
      </c>
      <c r="D10" s="2">
        <v>18.399999999999999</v>
      </c>
      <c r="E10" s="2">
        <f t="shared" si="0"/>
        <v>36800</v>
      </c>
    </row>
    <row r="11" spans="1:21" x14ac:dyDescent="0.25">
      <c r="B11" s="1">
        <v>42187</v>
      </c>
      <c r="C11">
        <v>210</v>
      </c>
      <c r="D11" s="2">
        <v>18.12</v>
      </c>
      <c r="E11" s="2">
        <f t="shared" si="0"/>
        <v>3805.2000000000003</v>
      </c>
      <c r="S11" s="20" t="s">
        <v>151</v>
      </c>
    </row>
    <row r="12" spans="1:21" x14ac:dyDescent="0.25">
      <c r="B12" s="1">
        <v>42207</v>
      </c>
      <c r="C12">
        <v>30</v>
      </c>
      <c r="D12" s="2">
        <v>17.3</v>
      </c>
      <c r="E12" s="2">
        <f t="shared" si="0"/>
        <v>519</v>
      </c>
    </row>
    <row r="13" spans="1:21" x14ac:dyDescent="0.25">
      <c r="B13" s="1">
        <v>42207</v>
      </c>
      <c r="C13">
        <v>20</v>
      </c>
      <c r="D13" s="2">
        <v>17.399999999999999</v>
      </c>
      <c r="E13" s="2">
        <f t="shared" si="0"/>
        <v>348</v>
      </c>
    </row>
    <row r="14" spans="1:21" x14ac:dyDescent="0.25">
      <c r="B14" s="1">
        <v>42208</v>
      </c>
      <c r="C14">
        <v>100</v>
      </c>
      <c r="D14" s="2">
        <v>17.100000000000001</v>
      </c>
      <c r="E14" s="2">
        <f t="shared" si="0"/>
        <v>1710.0000000000002</v>
      </c>
    </row>
    <row r="15" spans="1:21" x14ac:dyDescent="0.25">
      <c r="B15" s="1">
        <v>42208</v>
      </c>
      <c r="C15">
        <v>50</v>
      </c>
      <c r="D15" s="2">
        <v>16.96</v>
      </c>
      <c r="E15" s="2">
        <f t="shared" si="0"/>
        <v>848</v>
      </c>
      <c r="U15" s="2"/>
    </row>
    <row r="16" spans="1:21" x14ac:dyDescent="0.25">
      <c r="B16" s="1">
        <v>42222</v>
      </c>
      <c r="C16">
        <v>200</v>
      </c>
      <c r="D16" s="2">
        <v>17.739999999999998</v>
      </c>
      <c r="E16" s="2">
        <f t="shared" si="0"/>
        <v>3547.9999999999995</v>
      </c>
      <c r="U16" s="2"/>
    </row>
    <row r="17" spans="1:21" x14ac:dyDescent="0.25">
      <c r="B17" s="1">
        <v>42222</v>
      </c>
      <c r="C17" s="10">
        <v>200</v>
      </c>
      <c r="D17" s="25">
        <v>17.850000000000001</v>
      </c>
      <c r="E17" s="25">
        <f t="shared" si="0"/>
        <v>3570.0000000000005</v>
      </c>
      <c r="N17" t="s">
        <v>90</v>
      </c>
      <c r="U17" s="2"/>
    </row>
    <row r="18" spans="1:21" x14ac:dyDescent="0.25">
      <c r="B18" s="1">
        <v>42223</v>
      </c>
      <c r="C18" s="10">
        <v>300</v>
      </c>
      <c r="D18" s="25">
        <v>17.149999999999999</v>
      </c>
      <c r="E18" s="25">
        <f t="shared" si="0"/>
        <v>5145</v>
      </c>
      <c r="M18" s="2">
        <f>$O$4</f>
        <v>17.55</v>
      </c>
      <c r="N18">
        <v>1.1000000000000001</v>
      </c>
      <c r="O18" s="2">
        <f t="shared" ref="O18:O30" si="1">N18*M18</f>
        <v>19.305000000000003</v>
      </c>
      <c r="U18" s="2"/>
    </row>
    <row r="19" spans="1:21" x14ac:dyDescent="0.25">
      <c r="B19" s="1">
        <v>42223</v>
      </c>
      <c r="C19" s="10">
        <v>200</v>
      </c>
      <c r="D19" s="25">
        <v>17.170000000000002</v>
      </c>
      <c r="E19" s="25">
        <f t="shared" si="0"/>
        <v>3434.0000000000005</v>
      </c>
      <c r="M19" s="2">
        <f>$O$4</f>
        <v>17.55</v>
      </c>
      <c r="N19">
        <v>1.05</v>
      </c>
      <c r="O19" s="2">
        <f t="shared" si="1"/>
        <v>18.427500000000002</v>
      </c>
    </row>
    <row r="20" spans="1:21" x14ac:dyDescent="0.25">
      <c r="B20" s="1">
        <v>42223</v>
      </c>
      <c r="C20" s="10">
        <v>100</v>
      </c>
      <c r="D20" s="25">
        <v>17.37</v>
      </c>
      <c r="E20" s="25">
        <f t="shared" si="0"/>
        <v>1737</v>
      </c>
      <c r="M20" s="2">
        <f t="shared" ref="M20:M30" si="2">$O$4</f>
        <v>17.55</v>
      </c>
      <c r="N20">
        <v>1.04</v>
      </c>
      <c r="O20" s="2">
        <f t="shared" si="1"/>
        <v>18.252000000000002</v>
      </c>
    </row>
    <row r="21" spans="1:21" x14ac:dyDescent="0.25">
      <c r="B21" s="1">
        <v>42227</v>
      </c>
      <c r="C21" s="10">
        <v>100</v>
      </c>
      <c r="D21" s="25">
        <v>17.100000000000001</v>
      </c>
      <c r="E21" s="25">
        <f t="shared" si="0"/>
        <v>1710.0000000000002</v>
      </c>
      <c r="M21" s="2">
        <f t="shared" si="2"/>
        <v>17.55</v>
      </c>
      <c r="N21" s="2">
        <v>1.03</v>
      </c>
      <c r="O21" s="2">
        <f t="shared" si="1"/>
        <v>18.076500000000003</v>
      </c>
    </row>
    <row r="22" spans="1:21" x14ac:dyDescent="0.25">
      <c r="B22" s="1">
        <v>42229</v>
      </c>
      <c r="C22" s="10">
        <v>100</v>
      </c>
      <c r="D22" s="25">
        <v>16.89</v>
      </c>
      <c r="E22" s="25">
        <f t="shared" si="0"/>
        <v>1689</v>
      </c>
      <c r="M22" s="2">
        <f t="shared" si="2"/>
        <v>17.55</v>
      </c>
      <c r="N22" s="2">
        <v>1.02</v>
      </c>
      <c r="O22" s="2">
        <f t="shared" si="1"/>
        <v>17.901</v>
      </c>
    </row>
    <row r="23" spans="1:21" x14ac:dyDescent="0.25">
      <c r="B23" s="1">
        <v>42233</v>
      </c>
      <c r="C23" s="6">
        <v>100</v>
      </c>
      <c r="D23" s="5">
        <v>16.5</v>
      </c>
      <c r="E23" s="5">
        <f t="shared" si="0"/>
        <v>1650</v>
      </c>
      <c r="M23" s="2">
        <f t="shared" si="2"/>
        <v>17.55</v>
      </c>
      <c r="N23" s="2">
        <v>1.01</v>
      </c>
      <c r="O23" s="2">
        <f t="shared" si="1"/>
        <v>17.7255</v>
      </c>
    </row>
    <row r="24" spans="1:21" x14ac:dyDescent="0.25">
      <c r="B24" s="1">
        <v>42234</v>
      </c>
      <c r="C24" s="6">
        <v>100</v>
      </c>
      <c r="D24" s="5">
        <v>16.600000000000001</v>
      </c>
      <c r="E24" s="5">
        <f t="shared" si="0"/>
        <v>1660.0000000000002</v>
      </c>
      <c r="M24" s="2">
        <f t="shared" si="2"/>
        <v>17.55</v>
      </c>
      <c r="N24" s="2">
        <v>1</v>
      </c>
      <c r="O24" s="2">
        <f t="shared" si="1"/>
        <v>17.55</v>
      </c>
    </row>
    <row r="25" spans="1:21" x14ac:dyDescent="0.25">
      <c r="A25" s="59" t="s">
        <v>115</v>
      </c>
      <c r="B25" s="24"/>
      <c r="C25" s="24">
        <f>SUM(C2:C24)</f>
        <v>5000</v>
      </c>
      <c r="D25" s="31"/>
      <c r="E25" s="31">
        <f>SUM(E2:E24)</f>
        <v>90272.35</v>
      </c>
      <c r="F25" s="24"/>
      <c r="G25" s="24">
        <f>SUM(G2:G24)</f>
        <v>1000</v>
      </c>
      <c r="H25" s="31"/>
      <c r="I25" s="31">
        <f>SUM(I2:I24)</f>
        <v>17554</v>
      </c>
      <c r="J25" s="24"/>
      <c r="K25" s="24"/>
      <c r="M25" s="2">
        <f t="shared" si="2"/>
        <v>17.55</v>
      </c>
      <c r="N25" s="2">
        <v>0.99</v>
      </c>
      <c r="O25" s="2">
        <f t="shared" si="1"/>
        <v>17.374500000000001</v>
      </c>
    </row>
    <row r="26" spans="1:21" x14ac:dyDescent="0.25">
      <c r="M26" s="2">
        <f t="shared" si="2"/>
        <v>17.55</v>
      </c>
      <c r="N26" s="2">
        <v>0.98</v>
      </c>
      <c r="O26" s="2">
        <f t="shared" si="1"/>
        <v>17.199000000000002</v>
      </c>
    </row>
    <row r="27" spans="1:21" x14ac:dyDescent="0.25">
      <c r="M27" s="2">
        <f t="shared" si="2"/>
        <v>17.55</v>
      </c>
      <c r="N27" s="2">
        <v>0.97</v>
      </c>
      <c r="O27" s="2">
        <f t="shared" si="1"/>
        <v>17.023499999999999</v>
      </c>
    </row>
    <row r="28" spans="1:21" x14ac:dyDescent="0.25">
      <c r="M28" s="2">
        <f t="shared" si="2"/>
        <v>17.55</v>
      </c>
      <c r="N28" s="2">
        <v>0.96</v>
      </c>
      <c r="O28" s="2">
        <f t="shared" si="1"/>
        <v>16.847999999999999</v>
      </c>
    </row>
    <row r="29" spans="1:21" x14ac:dyDescent="0.25">
      <c r="M29" s="2">
        <f t="shared" si="2"/>
        <v>17.55</v>
      </c>
      <c r="N29" s="2">
        <v>0.95</v>
      </c>
      <c r="O29" s="2">
        <f t="shared" si="1"/>
        <v>16.672499999999999</v>
      </c>
    </row>
    <row r="30" spans="1:21" x14ac:dyDescent="0.25">
      <c r="M30" s="2">
        <f t="shared" si="2"/>
        <v>17.55</v>
      </c>
      <c r="N30" s="2">
        <v>0.9</v>
      </c>
      <c r="O30" s="2">
        <f t="shared" si="1"/>
        <v>15.795000000000002</v>
      </c>
    </row>
  </sheetData>
  <conditionalFormatting sqref="O12">
    <cfRule type="expression" dxfId="55" priority="2">
      <formula>O12&gt;0</formula>
    </cfRule>
    <cfRule type="expression" dxfId="54" priority="3">
      <formula>O12&lt;0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9" width="9.140625" style="2"/>
  </cols>
  <sheetData>
    <row r="1" spans="1:23" s="28" customFormat="1" x14ac:dyDescent="0.25">
      <c r="A1" s="27" t="s">
        <v>1</v>
      </c>
      <c r="B1" s="27" t="s">
        <v>2</v>
      </c>
      <c r="C1" s="27" t="s">
        <v>4</v>
      </c>
      <c r="D1" s="27" t="s">
        <v>5</v>
      </c>
      <c r="E1" s="27" t="s">
        <v>60</v>
      </c>
      <c r="F1" s="27" t="s">
        <v>3</v>
      </c>
      <c r="G1" s="27" t="s">
        <v>6</v>
      </c>
      <c r="H1" s="83" t="s">
        <v>7</v>
      </c>
      <c r="I1" s="83" t="s">
        <v>61</v>
      </c>
      <c r="J1" s="27" t="s">
        <v>37</v>
      </c>
      <c r="K1" s="27" t="s">
        <v>38</v>
      </c>
    </row>
    <row r="2" spans="1:23" x14ac:dyDescent="0.25">
      <c r="A2" s="8" t="s">
        <v>34</v>
      </c>
      <c r="B2" s="1">
        <v>42166</v>
      </c>
      <c r="C2" s="9">
        <v>5</v>
      </c>
      <c r="D2" s="81">
        <v>26.04</v>
      </c>
      <c r="E2" s="81">
        <f>C2*D2</f>
        <v>130.19999999999999</v>
      </c>
      <c r="F2" s="1">
        <v>42186</v>
      </c>
      <c r="G2" s="10">
        <v>185</v>
      </c>
      <c r="H2" s="25">
        <f>I2/G2</f>
        <v>19.75</v>
      </c>
      <c r="I2" s="25">
        <v>3653.75</v>
      </c>
      <c r="J2" t="s">
        <v>112</v>
      </c>
      <c r="M2" s="20" t="s">
        <v>57</v>
      </c>
      <c r="O2">
        <f>C33-G33</f>
        <v>3070</v>
      </c>
      <c r="R2" s="28" t="s">
        <v>152</v>
      </c>
      <c r="S2" s="28"/>
      <c r="T2" s="28"/>
      <c r="U2" s="28"/>
      <c r="V2" s="28"/>
      <c r="W2" s="28"/>
    </row>
    <row r="3" spans="1:23" x14ac:dyDescent="0.25">
      <c r="A3" s="36" t="s">
        <v>82</v>
      </c>
      <c r="B3" s="1">
        <v>42167</v>
      </c>
      <c r="C3" s="9">
        <v>10</v>
      </c>
      <c r="D3" s="81">
        <v>25.1</v>
      </c>
      <c r="E3" s="81">
        <f t="shared" ref="E3:E24" si="0">C3*D3</f>
        <v>251</v>
      </c>
      <c r="F3" s="1">
        <v>42207</v>
      </c>
      <c r="G3" s="10">
        <v>20</v>
      </c>
      <c r="H3" s="25">
        <f t="shared" ref="H3:H5" si="1">I3/G3</f>
        <v>19.899999999999999</v>
      </c>
      <c r="I3" s="25">
        <v>398</v>
      </c>
      <c r="M3" s="20" t="s">
        <v>58</v>
      </c>
      <c r="O3" s="2">
        <f>(E33-I33)/O2</f>
        <v>18.564136807817594</v>
      </c>
      <c r="R3" t="s">
        <v>113</v>
      </c>
    </row>
    <row r="4" spans="1:23" x14ac:dyDescent="0.25">
      <c r="B4" s="1">
        <v>42179</v>
      </c>
      <c r="C4" s="9">
        <v>15</v>
      </c>
      <c r="D4" s="81">
        <v>24.51</v>
      </c>
      <c r="E4" s="81">
        <f t="shared" si="0"/>
        <v>367.65000000000003</v>
      </c>
      <c r="F4" s="1">
        <v>42207</v>
      </c>
      <c r="G4" s="10">
        <v>95</v>
      </c>
      <c r="H4" s="25">
        <f t="shared" si="1"/>
        <v>20.02</v>
      </c>
      <c r="I4" s="25">
        <v>1901.8999999999999</v>
      </c>
      <c r="M4" s="20" t="s">
        <v>66</v>
      </c>
      <c r="O4" s="4">
        <v>17.22</v>
      </c>
      <c r="R4" s="1">
        <v>42233</v>
      </c>
      <c r="S4" t="s">
        <v>149</v>
      </c>
    </row>
    <row r="5" spans="1:23" x14ac:dyDescent="0.25">
      <c r="B5" s="1">
        <v>42180</v>
      </c>
      <c r="C5" s="10">
        <v>100</v>
      </c>
      <c r="D5" s="25">
        <v>23.92</v>
      </c>
      <c r="E5" s="25">
        <f t="shared" si="0"/>
        <v>2392</v>
      </c>
      <c r="F5" s="1">
        <v>42216</v>
      </c>
      <c r="G5" s="10">
        <v>165</v>
      </c>
      <c r="H5" s="25">
        <f t="shared" si="1"/>
        <v>19.899999999999999</v>
      </c>
      <c r="I5" s="25">
        <v>3283.4999999999995</v>
      </c>
      <c r="M5" s="20" t="s">
        <v>67</v>
      </c>
      <c r="O5" s="5">
        <f>O4*O2</f>
        <v>52865.399999999994</v>
      </c>
    </row>
    <row r="6" spans="1:23" x14ac:dyDescent="0.25">
      <c r="B6" s="1">
        <v>42185</v>
      </c>
      <c r="C6" s="6">
        <v>50</v>
      </c>
      <c r="D6" s="5">
        <v>21.21</v>
      </c>
      <c r="E6" s="5">
        <f t="shared" si="0"/>
        <v>1060.5</v>
      </c>
      <c r="F6" s="1">
        <v>42236</v>
      </c>
      <c r="G6" s="9">
        <v>630</v>
      </c>
      <c r="H6" s="81">
        <f>I6/G6</f>
        <v>17.199682539682538</v>
      </c>
      <c r="I6" s="81">
        <v>10835.8</v>
      </c>
      <c r="M6" s="20" t="s">
        <v>64</v>
      </c>
      <c r="O6" s="2">
        <f>O3*O2</f>
        <v>56991.900000000016</v>
      </c>
    </row>
    <row r="7" spans="1:23" x14ac:dyDescent="0.25">
      <c r="B7" s="1">
        <v>42186</v>
      </c>
      <c r="C7" s="6">
        <v>50</v>
      </c>
      <c r="D7" s="5">
        <v>20.5</v>
      </c>
      <c r="E7" s="5">
        <f t="shared" si="0"/>
        <v>1025</v>
      </c>
      <c r="M7" s="20" t="s">
        <v>65</v>
      </c>
      <c r="O7" s="2">
        <f>O5-O6</f>
        <v>-4126.5000000000218</v>
      </c>
    </row>
    <row r="8" spans="1:23" x14ac:dyDescent="0.25">
      <c r="B8" s="1">
        <v>42186</v>
      </c>
      <c r="C8" s="6">
        <v>170</v>
      </c>
      <c r="D8" s="5">
        <v>19.600000000000001</v>
      </c>
      <c r="E8" s="5">
        <f t="shared" si="0"/>
        <v>3332.0000000000005</v>
      </c>
    </row>
    <row r="9" spans="1:23" x14ac:dyDescent="0.25">
      <c r="B9" s="1">
        <v>42187</v>
      </c>
      <c r="C9" s="6">
        <v>1000</v>
      </c>
      <c r="D9" s="5">
        <v>19.2</v>
      </c>
      <c r="E9" s="5">
        <f t="shared" si="0"/>
        <v>19200</v>
      </c>
    </row>
    <row r="10" spans="1:23" x14ac:dyDescent="0.25">
      <c r="B10" s="1">
        <v>42199</v>
      </c>
      <c r="C10">
        <v>100</v>
      </c>
      <c r="D10" s="2">
        <v>17.25</v>
      </c>
      <c r="E10" s="2">
        <f t="shared" si="0"/>
        <v>1725</v>
      </c>
      <c r="R10" s="20" t="s">
        <v>151</v>
      </c>
    </row>
    <row r="11" spans="1:23" x14ac:dyDescent="0.25">
      <c r="B11" s="1">
        <v>42205</v>
      </c>
      <c r="C11" s="6">
        <v>20</v>
      </c>
      <c r="D11" s="5">
        <v>18.850000000000001</v>
      </c>
      <c r="E11" s="5">
        <f t="shared" si="0"/>
        <v>377</v>
      </c>
      <c r="R11" s="1">
        <v>42240</v>
      </c>
      <c r="S11" t="s">
        <v>150</v>
      </c>
    </row>
    <row r="12" spans="1:23" x14ac:dyDescent="0.25">
      <c r="B12" s="1">
        <v>42208</v>
      </c>
      <c r="C12" s="6">
        <v>80</v>
      </c>
      <c r="D12" s="5">
        <v>18.95</v>
      </c>
      <c r="E12" s="5">
        <f t="shared" si="0"/>
        <v>1516</v>
      </c>
      <c r="R12" s="1">
        <v>42272</v>
      </c>
      <c r="S12" t="s">
        <v>130</v>
      </c>
    </row>
    <row r="13" spans="1:23" x14ac:dyDescent="0.25">
      <c r="B13" s="1">
        <v>42212</v>
      </c>
      <c r="C13" s="6">
        <v>100</v>
      </c>
      <c r="D13" s="5">
        <v>17.95</v>
      </c>
      <c r="E13" s="5">
        <f t="shared" si="0"/>
        <v>1795</v>
      </c>
    </row>
    <row r="14" spans="1:23" x14ac:dyDescent="0.25">
      <c r="B14" s="1">
        <v>42221</v>
      </c>
      <c r="C14" s="10">
        <v>65</v>
      </c>
      <c r="D14" s="25">
        <v>19.100000000000001</v>
      </c>
      <c r="E14" s="25">
        <f t="shared" si="0"/>
        <v>1241.5</v>
      </c>
    </row>
    <row r="15" spans="1:23" x14ac:dyDescent="0.25">
      <c r="B15" s="1">
        <v>42221</v>
      </c>
      <c r="C15" s="10">
        <v>300</v>
      </c>
      <c r="D15" s="25">
        <v>18.600000000000001</v>
      </c>
      <c r="E15" s="25">
        <f t="shared" si="0"/>
        <v>5580</v>
      </c>
      <c r="N15" t="s">
        <v>90</v>
      </c>
    </row>
    <row r="16" spans="1:23" x14ac:dyDescent="0.25">
      <c r="B16" s="1">
        <v>42221</v>
      </c>
      <c r="C16">
        <v>200</v>
      </c>
      <c r="D16" s="2">
        <v>18.5</v>
      </c>
      <c r="E16" s="2">
        <f t="shared" si="0"/>
        <v>3700</v>
      </c>
      <c r="M16" s="2">
        <f>$O$4</f>
        <v>17.22</v>
      </c>
      <c r="N16">
        <v>1.1000000000000001</v>
      </c>
      <c r="O16" s="2">
        <f t="shared" ref="O16:O28" si="2">N16*M16</f>
        <v>18.942</v>
      </c>
    </row>
    <row r="17" spans="2:15" x14ac:dyDescent="0.25">
      <c r="B17" s="1">
        <v>42223</v>
      </c>
      <c r="C17">
        <v>50</v>
      </c>
      <c r="D17" s="2">
        <v>18.75</v>
      </c>
      <c r="E17" s="2">
        <f t="shared" si="0"/>
        <v>937.5</v>
      </c>
      <c r="M17" s="2">
        <f>$O$4</f>
        <v>17.22</v>
      </c>
      <c r="N17">
        <v>1.05</v>
      </c>
      <c r="O17" s="2">
        <f t="shared" si="2"/>
        <v>18.081</v>
      </c>
    </row>
    <row r="18" spans="2:15" x14ac:dyDescent="0.25">
      <c r="B18" s="1">
        <v>42227</v>
      </c>
      <c r="C18">
        <v>50</v>
      </c>
      <c r="D18" s="2">
        <v>18.45</v>
      </c>
      <c r="E18" s="2">
        <f t="shared" si="0"/>
        <v>922.5</v>
      </c>
      <c r="M18" s="2">
        <f t="shared" ref="M18:M28" si="3">$O$4</f>
        <v>17.22</v>
      </c>
      <c r="N18">
        <v>1.04</v>
      </c>
      <c r="O18" s="2">
        <f t="shared" si="2"/>
        <v>17.908799999999999</v>
      </c>
    </row>
    <row r="19" spans="2:15" x14ac:dyDescent="0.25">
      <c r="B19" s="1">
        <v>42228</v>
      </c>
      <c r="C19" s="13">
        <v>100</v>
      </c>
      <c r="D19" s="26">
        <v>18.45</v>
      </c>
      <c r="E19" s="26">
        <f t="shared" si="0"/>
        <v>1845</v>
      </c>
      <c r="M19" s="2">
        <f t="shared" si="3"/>
        <v>17.22</v>
      </c>
      <c r="N19" s="2">
        <v>1.03</v>
      </c>
      <c r="O19" s="2">
        <f t="shared" si="2"/>
        <v>17.736599999999999</v>
      </c>
    </row>
    <row r="20" spans="2:15" x14ac:dyDescent="0.25">
      <c r="B20" s="1">
        <v>42228</v>
      </c>
      <c r="C20">
        <v>200</v>
      </c>
      <c r="D20" s="2">
        <v>18.190000000000001</v>
      </c>
      <c r="E20" s="2">
        <f t="shared" si="0"/>
        <v>3638.0000000000005</v>
      </c>
      <c r="M20" s="2">
        <f t="shared" si="3"/>
        <v>17.22</v>
      </c>
      <c r="N20" s="2">
        <v>1.02</v>
      </c>
      <c r="O20" s="2">
        <f t="shared" si="2"/>
        <v>17.564399999999999</v>
      </c>
    </row>
    <row r="21" spans="2:15" x14ac:dyDescent="0.25">
      <c r="B21" s="1">
        <v>42228</v>
      </c>
      <c r="C21">
        <v>200</v>
      </c>
      <c r="D21" s="2">
        <v>18.100000000000001</v>
      </c>
      <c r="E21" s="2">
        <f t="shared" si="0"/>
        <v>3620.0000000000005</v>
      </c>
      <c r="M21" s="2">
        <f t="shared" si="3"/>
        <v>17.22</v>
      </c>
      <c r="N21" s="2">
        <v>1.01</v>
      </c>
      <c r="O21" s="2">
        <f t="shared" si="2"/>
        <v>17.392199999999999</v>
      </c>
    </row>
    <row r="22" spans="2:15" x14ac:dyDescent="0.25">
      <c r="B22" s="1">
        <v>42229</v>
      </c>
      <c r="C22">
        <v>100</v>
      </c>
      <c r="D22" s="2">
        <v>18.329999999999998</v>
      </c>
      <c r="E22" s="2">
        <f t="shared" si="0"/>
        <v>1832.9999999999998</v>
      </c>
      <c r="M22" s="2">
        <f t="shared" si="3"/>
        <v>17.22</v>
      </c>
      <c r="N22" s="2">
        <v>1</v>
      </c>
      <c r="O22" s="2">
        <f t="shared" si="2"/>
        <v>17.22</v>
      </c>
    </row>
    <row r="23" spans="2:15" x14ac:dyDescent="0.25">
      <c r="B23" s="1">
        <v>42230</v>
      </c>
      <c r="C23">
        <v>100</v>
      </c>
      <c r="D23" s="2">
        <v>18</v>
      </c>
      <c r="E23" s="2">
        <f>C23*D23</f>
        <v>1800</v>
      </c>
      <c r="M23" s="2">
        <f t="shared" si="3"/>
        <v>17.22</v>
      </c>
      <c r="N23" s="2">
        <v>0.99</v>
      </c>
      <c r="O23" s="2">
        <f t="shared" si="2"/>
        <v>17.047799999999999</v>
      </c>
    </row>
    <row r="24" spans="2:15" x14ac:dyDescent="0.25">
      <c r="B24" s="1">
        <v>42230</v>
      </c>
      <c r="C24">
        <v>200</v>
      </c>
      <c r="D24" s="2">
        <v>17.78</v>
      </c>
      <c r="E24" s="2">
        <f t="shared" si="0"/>
        <v>3556</v>
      </c>
      <c r="M24" s="2">
        <f t="shared" si="3"/>
        <v>17.22</v>
      </c>
      <c r="N24" s="2">
        <v>0.98</v>
      </c>
      <c r="O24" s="2">
        <f t="shared" si="2"/>
        <v>16.875599999999999</v>
      </c>
    </row>
    <row r="25" spans="2:15" x14ac:dyDescent="0.25">
      <c r="B25" s="1">
        <v>42234</v>
      </c>
      <c r="C25" s="6">
        <v>100</v>
      </c>
      <c r="D25" s="5">
        <v>17.75</v>
      </c>
      <c r="E25" s="5">
        <f t="shared" ref="E25:E30" si="4">C25*D25</f>
        <v>1775</v>
      </c>
      <c r="M25" s="2">
        <f t="shared" si="3"/>
        <v>17.22</v>
      </c>
      <c r="N25" s="2">
        <v>0.97</v>
      </c>
      <c r="O25" s="2">
        <f t="shared" si="2"/>
        <v>16.703399999999998</v>
      </c>
    </row>
    <row r="26" spans="2:15" x14ac:dyDescent="0.25">
      <c r="B26" s="1">
        <v>42235</v>
      </c>
      <c r="C26" s="6">
        <v>100</v>
      </c>
      <c r="D26" s="5">
        <v>17.350000000000001</v>
      </c>
      <c r="E26" s="5">
        <f t="shared" si="4"/>
        <v>1735.0000000000002</v>
      </c>
      <c r="M26" s="2">
        <f t="shared" si="3"/>
        <v>17.22</v>
      </c>
      <c r="N26" s="2">
        <v>0.96</v>
      </c>
      <c r="O26" s="2">
        <f t="shared" si="2"/>
        <v>16.531199999999998</v>
      </c>
    </row>
    <row r="27" spans="2:15" x14ac:dyDescent="0.25">
      <c r="B27" s="1">
        <v>42235</v>
      </c>
      <c r="C27" s="9">
        <v>100</v>
      </c>
      <c r="D27" s="81">
        <v>17.55</v>
      </c>
      <c r="E27" s="81">
        <f t="shared" si="4"/>
        <v>1755</v>
      </c>
      <c r="M27" s="2">
        <f t="shared" si="3"/>
        <v>17.22</v>
      </c>
      <c r="N27" s="2">
        <v>0.95</v>
      </c>
      <c r="O27" s="2">
        <f t="shared" si="2"/>
        <v>16.358999999999998</v>
      </c>
    </row>
    <row r="28" spans="2:15" x14ac:dyDescent="0.25">
      <c r="B28" s="1">
        <v>42235</v>
      </c>
      <c r="C28" s="9">
        <v>100</v>
      </c>
      <c r="D28" s="81">
        <v>17.170000000000002</v>
      </c>
      <c r="E28" s="81">
        <f t="shared" si="4"/>
        <v>1717.0000000000002</v>
      </c>
      <c r="M28" s="2">
        <f t="shared" si="3"/>
        <v>17.22</v>
      </c>
      <c r="N28" s="2">
        <v>0.9</v>
      </c>
      <c r="O28" s="2">
        <f t="shared" si="2"/>
        <v>15.497999999999999</v>
      </c>
    </row>
    <row r="29" spans="2:15" x14ac:dyDescent="0.25">
      <c r="B29" s="1">
        <v>42235</v>
      </c>
      <c r="C29" s="9">
        <v>100</v>
      </c>
      <c r="D29" s="81">
        <v>17</v>
      </c>
      <c r="E29" s="81">
        <f t="shared" si="4"/>
        <v>1700</v>
      </c>
    </row>
    <row r="30" spans="2:15" x14ac:dyDescent="0.25">
      <c r="B30" s="1">
        <v>42236</v>
      </c>
      <c r="C30" s="9">
        <v>100</v>
      </c>
      <c r="D30" s="81">
        <v>16.559999999999999</v>
      </c>
      <c r="E30" s="81">
        <f t="shared" si="4"/>
        <v>1655.9999999999998</v>
      </c>
    </row>
    <row r="31" spans="2:15" x14ac:dyDescent="0.25">
      <c r="B31" s="1">
        <v>42236</v>
      </c>
      <c r="C31" s="9">
        <v>200</v>
      </c>
      <c r="D31" s="81">
        <v>16.21</v>
      </c>
      <c r="E31" s="81">
        <f>C31*D31</f>
        <v>3242</v>
      </c>
    </row>
    <row r="32" spans="2:15" x14ac:dyDescent="0.25">
      <c r="B32" s="1">
        <v>42236</v>
      </c>
      <c r="C32" s="6">
        <v>100</v>
      </c>
      <c r="D32" s="5">
        <v>16.399999999999999</v>
      </c>
      <c r="E32" s="5">
        <f>C32*D32</f>
        <v>1639.9999999999998</v>
      </c>
    </row>
    <row r="33" spans="1:11" x14ac:dyDescent="0.25">
      <c r="A33" s="35" t="s">
        <v>115</v>
      </c>
      <c r="B33" s="21"/>
      <c r="C33" s="21">
        <f>SUM(C2:C32)</f>
        <v>4165</v>
      </c>
      <c r="D33" s="21"/>
      <c r="E33" s="21">
        <f>SUM(E2:E32)</f>
        <v>77064.850000000006</v>
      </c>
      <c r="F33" s="21"/>
      <c r="G33" s="21">
        <f>SUM(G2:G13)</f>
        <v>1095</v>
      </c>
      <c r="H33" s="22"/>
      <c r="I33" s="22">
        <f>SUM(I2:I13)</f>
        <v>20072.949999999997</v>
      </c>
      <c r="J33" s="21"/>
      <c r="K33" s="21"/>
    </row>
  </sheetData>
  <conditionalFormatting sqref="O7">
    <cfRule type="expression" dxfId="53" priority="2">
      <formula>O7&gt;0</formula>
    </cfRule>
    <cfRule type="expression" dxfId="52" priority="3">
      <formula>O7&lt;0</formula>
    </cfRule>
  </conditionalFormatting>
  <conditionalFormatting sqref="N16:N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6" max="16" width="12" style="61" customWidth="1"/>
    <col min="18" max="18" width="13.140625" customWidth="1"/>
    <col min="20" max="20" width="14.140625" customWidth="1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P1" s="60"/>
      <c r="Q1" s="20" t="s">
        <v>75</v>
      </c>
    </row>
    <row r="2" spans="1:22" x14ac:dyDescent="0.25">
      <c r="A2" s="8" t="s">
        <v>27</v>
      </c>
      <c r="B2" s="1">
        <v>42164</v>
      </c>
      <c r="C2">
        <v>30</v>
      </c>
      <c r="D2" s="2">
        <v>32.200000000000003</v>
      </c>
      <c r="E2" s="2">
        <f>C2*D2</f>
        <v>966.00000000000011</v>
      </c>
      <c r="M2" s="20" t="s">
        <v>57</v>
      </c>
      <c r="O2">
        <f>C10-G10</f>
        <v>650</v>
      </c>
      <c r="Q2" s="29" t="s">
        <v>76</v>
      </c>
      <c r="R2" s="29" t="s">
        <v>74</v>
      </c>
      <c r="S2" s="29" t="s">
        <v>77</v>
      </c>
      <c r="T2" s="29" t="s">
        <v>78</v>
      </c>
      <c r="U2" s="29" t="s">
        <v>79</v>
      </c>
      <c r="V2" s="29" t="s">
        <v>80</v>
      </c>
    </row>
    <row r="3" spans="1:22" x14ac:dyDescent="0.25">
      <c r="A3" s="36" t="s">
        <v>82</v>
      </c>
      <c r="B3" s="1">
        <v>42166</v>
      </c>
      <c r="C3">
        <v>30</v>
      </c>
      <c r="D3" s="2">
        <v>31.3</v>
      </c>
      <c r="E3" s="2">
        <f t="shared" ref="E3:E9" si="0">C3*D3</f>
        <v>939</v>
      </c>
      <c r="M3" s="20" t="s">
        <v>58</v>
      </c>
      <c r="O3" s="2">
        <f>(E10-I10)/O2</f>
        <v>30.345384615384614</v>
      </c>
      <c r="Q3" s="30">
        <v>42221</v>
      </c>
      <c r="R3" s="29" t="s">
        <v>81</v>
      </c>
      <c r="S3" s="29">
        <v>0.24</v>
      </c>
      <c r="T3" s="30">
        <v>42207</v>
      </c>
      <c r="U3" s="30">
        <v>42223</v>
      </c>
      <c r="V3" s="62">
        <v>42248</v>
      </c>
    </row>
    <row r="4" spans="1:22" x14ac:dyDescent="0.25">
      <c r="B4" s="1">
        <v>42186</v>
      </c>
      <c r="C4">
        <v>140</v>
      </c>
      <c r="D4" s="2">
        <v>31.1</v>
      </c>
      <c r="E4" s="2">
        <f t="shared" si="0"/>
        <v>4354</v>
      </c>
      <c r="M4" s="20" t="s">
        <v>66</v>
      </c>
      <c r="O4" s="4">
        <v>29.08</v>
      </c>
      <c r="Q4" t="s">
        <v>119</v>
      </c>
    </row>
    <row r="5" spans="1:22" x14ac:dyDescent="0.25">
      <c r="B5" s="1">
        <v>42186</v>
      </c>
      <c r="C5">
        <v>200</v>
      </c>
      <c r="D5" s="2">
        <v>30.9</v>
      </c>
      <c r="E5" s="2">
        <f t="shared" si="0"/>
        <v>6180</v>
      </c>
      <c r="M5" s="20" t="s">
        <v>67</v>
      </c>
      <c r="O5" s="5">
        <f>O4*O2</f>
        <v>18902</v>
      </c>
    </row>
    <row r="6" spans="1:22" x14ac:dyDescent="0.25">
      <c r="B6" s="1">
        <v>42194</v>
      </c>
      <c r="C6">
        <v>100</v>
      </c>
      <c r="D6" s="2">
        <v>29.8</v>
      </c>
      <c r="E6" s="2">
        <f t="shared" si="0"/>
        <v>2980</v>
      </c>
      <c r="M6" s="20" t="s">
        <v>64</v>
      </c>
      <c r="O6" s="2">
        <f>O3*O2</f>
        <v>19724.5</v>
      </c>
    </row>
    <row r="7" spans="1:22" x14ac:dyDescent="0.25">
      <c r="B7" s="1">
        <v>42207</v>
      </c>
      <c r="C7">
        <v>50</v>
      </c>
      <c r="D7" s="2">
        <v>29.32</v>
      </c>
      <c r="E7" s="2">
        <f t="shared" si="0"/>
        <v>1466</v>
      </c>
      <c r="M7" s="20" t="s">
        <v>65</v>
      </c>
      <c r="O7" s="2">
        <f>O5-O6</f>
        <v>-822.5</v>
      </c>
    </row>
    <row r="8" spans="1:22" x14ac:dyDescent="0.25">
      <c r="B8" s="1">
        <v>42209</v>
      </c>
      <c r="C8">
        <v>50</v>
      </c>
      <c r="D8" s="2">
        <v>28.6</v>
      </c>
      <c r="E8" s="2">
        <f t="shared" si="0"/>
        <v>1430</v>
      </c>
    </row>
    <row r="9" spans="1:22" x14ac:dyDescent="0.25">
      <c r="B9" s="1">
        <v>42214</v>
      </c>
      <c r="C9">
        <v>50</v>
      </c>
      <c r="D9" s="2">
        <v>28.19</v>
      </c>
      <c r="E9" s="2">
        <f t="shared" si="0"/>
        <v>1409.5</v>
      </c>
    </row>
    <row r="10" spans="1:22" x14ac:dyDescent="0.25">
      <c r="A10" s="35" t="s">
        <v>115</v>
      </c>
      <c r="B10" s="21"/>
      <c r="C10" s="21">
        <f>SUM(C2:C9)</f>
        <v>650</v>
      </c>
      <c r="D10" s="21"/>
      <c r="E10" s="22">
        <f>SUM(E2:E9)</f>
        <v>19724.5</v>
      </c>
      <c r="F10" s="21"/>
      <c r="G10" s="21"/>
      <c r="H10" s="21"/>
      <c r="I10" s="21"/>
      <c r="J10" s="21"/>
      <c r="K10" s="21"/>
    </row>
    <row r="19" spans="13:15" x14ac:dyDescent="0.25">
      <c r="N19" t="s">
        <v>90</v>
      </c>
    </row>
    <row r="20" spans="13:15" x14ac:dyDescent="0.25">
      <c r="M20" s="2">
        <f>$O$4</f>
        <v>29.08</v>
      </c>
      <c r="N20">
        <v>1.1000000000000001</v>
      </c>
      <c r="O20" s="2">
        <f t="shared" ref="O20:O32" si="1">N20*M20</f>
        <v>31.988</v>
      </c>
    </row>
    <row r="21" spans="13:15" x14ac:dyDescent="0.25">
      <c r="M21" s="2">
        <f>$O$4</f>
        <v>29.08</v>
      </c>
      <c r="N21">
        <v>1.05</v>
      </c>
      <c r="O21" s="2">
        <f t="shared" si="1"/>
        <v>30.533999999999999</v>
      </c>
    </row>
    <row r="22" spans="13:15" x14ac:dyDescent="0.25">
      <c r="M22" s="2">
        <f t="shared" ref="M22:M32" si="2">$O$4</f>
        <v>29.08</v>
      </c>
      <c r="N22">
        <v>1.04</v>
      </c>
      <c r="O22" s="2">
        <f t="shared" si="1"/>
        <v>30.243199999999998</v>
      </c>
    </row>
    <row r="23" spans="13:15" x14ac:dyDescent="0.25">
      <c r="M23" s="2">
        <f t="shared" si="2"/>
        <v>29.08</v>
      </c>
      <c r="N23" s="2">
        <v>1.03</v>
      </c>
      <c r="O23" s="2">
        <f t="shared" si="1"/>
        <v>29.952399999999997</v>
      </c>
    </row>
    <row r="24" spans="13:15" x14ac:dyDescent="0.25">
      <c r="M24" s="2">
        <f t="shared" si="2"/>
        <v>29.08</v>
      </c>
      <c r="N24" s="2">
        <v>1.02</v>
      </c>
      <c r="O24" s="2">
        <f t="shared" si="1"/>
        <v>29.6616</v>
      </c>
    </row>
    <row r="25" spans="13:15" x14ac:dyDescent="0.25">
      <c r="M25" s="2">
        <f t="shared" si="2"/>
        <v>29.08</v>
      </c>
      <c r="N25" s="2">
        <v>1.01</v>
      </c>
      <c r="O25" s="2">
        <f t="shared" si="1"/>
        <v>29.370799999999999</v>
      </c>
    </row>
    <row r="26" spans="13:15" x14ac:dyDescent="0.25">
      <c r="M26" s="2">
        <f t="shared" si="2"/>
        <v>29.08</v>
      </c>
      <c r="N26" s="2">
        <v>1</v>
      </c>
      <c r="O26" s="2">
        <f t="shared" si="1"/>
        <v>29.08</v>
      </c>
    </row>
    <row r="27" spans="13:15" x14ac:dyDescent="0.25">
      <c r="M27" s="2">
        <f t="shared" si="2"/>
        <v>29.08</v>
      </c>
      <c r="N27" s="2">
        <v>0.99</v>
      </c>
      <c r="O27" s="2">
        <f t="shared" si="1"/>
        <v>28.789199999999997</v>
      </c>
    </row>
    <row r="28" spans="13:15" x14ac:dyDescent="0.25">
      <c r="M28" s="2">
        <f t="shared" si="2"/>
        <v>29.08</v>
      </c>
      <c r="N28" s="2">
        <v>0.98</v>
      </c>
      <c r="O28" s="2">
        <f t="shared" si="1"/>
        <v>28.498399999999997</v>
      </c>
    </row>
    <row r="29" spans="13:15" x14ac:dyDescent="0.25">
      <c r="M29" s="2">
        <f t="shared" si="2"/>
        <v>29.08</v>
      </c>
      <c r="N29" s="2">
        <v>0.97</v>
      </c>
      <c r="O29" s="2">
        <f t="shared" si="1"/>
        <v>28.207599999999999</v>
      </c>
    </row>
    <row r="30" spans="13:15" x14ac:dyDescent="0.25">
      <c r="M30" s="2">
        <f t="shared" si="2"/>
        <v>29.08</v>
      </c>
      <c r="N30" s="2">
        <v>0.96</v>
      </c>
      <c r="O30" s="2">
        <f t="shared" si="1"/>
        <v>27.916799999999999</v>
      </c>
    </row>
    <row r="31" spans="13:15" x14ac:dyDescent="0.25">
      <c r="M31" s="2">
        <f t="shared" si="2"/>
        <v>29.08</v>
      </c>
      <c r="N31" s="2">
        <v>0.95</v>
      </c>
      <c r="O31" s="2">
        <f t="shared" si="1"/>
        <v>27.625999999999998</v>
      </c>
    </row>
    <row r="32" spans="13:15" x14ac:dyDescent="0.25">
      <c r="M32" s="2">
        <f t="shared" si="2"/>
        <v>29.08</v>
      </c>
      <c r="N32" s="2">
        <v>0.9</v>
      </c>
      <c r="O32" s="2">
        <f t="shared" si="1"/>
        <v>26.172000000000001</v>
      </c>
    </row>
  </sheetData>
  <conditionalFormatting sqref="O7">
    <cfRule type="expression" dxfId="51" priority="4">
      <formula>O7&gt;0</formula>
    </cfRule>
    <cfRule type="expression" dxfId="50" priority="5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32"/>
  <sheetViews>
    <sheetView workbookViewId="0">
      <selection activeCell="I20" sqref="I20"/>
    </sheetView>
  </sheetViews>
  <sheetFormatPr defaultRowHeight="15" x14ac:dyDescent="0.25"/>
  <cols>
    <col min="4" max="5" width="9.140625" style="2"/>
    <col min="8" max="9" width="9.140625" style="2"/>
    <col min="16" max="16" width="14.7109375" customWidth="1"/>
    <col min="19" max="19" width="11.5703125" customWidth="1"/>
    <col min="20" max="20" width="12.140625" customWidth="1"/>
  </cols>
  <sheetData>
    <row r="1" spans="1:22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43</v>
      </c>
      <c r="K1" s="20" t="s">
        <v>38</v>
      </c>
      <c r="R1" s="20" t="s">
        <v>75</v>
      </c>
    </row>
    <row r="2" spans="1:22" x14ac:dyDescent="0.25">
      <c r="A2" s="8" t="s">
        <v>22</v>
      </c>
      <c r="B2" s="1">
        <v>42153</v>
      </c>
      <c r="C2">
        <v>20</v>
      </c>
      <c r="D2" s="2">
        <v>67.3</v>
      </c>
      <c r="E2" s="2">
        <f>C2*D2</f>
        <v>1346</v>
      </c>
      <c r="F2" s="1">
        <v>42219</v>
      </c>
      <c r="G2" s="12">
        <v>25</v>
      </c>
      <c r="H2" s="87">
        <v>60.05</v>
      </c>
      <c r="I2" s="87">
        <f>G2*H2</f>
        <v>1501.25</v>
      </c>
      <c r="J2" s="1">
        <v>42185</v>
      </c>
      <c r="K2" s="2">
        <v>5</v>
      </c>
      <c r="M2" s="20" t="s">
        <v>57</v>
      </c>
      <c r="O2">
        <f>C13-G13</f>
        <v>115</v>
      </c>
      <c r="R2" t="s">
        <v>121</v>
      </c>
    </row>
    <row r="3" spans="1:22" x14ac:dyDescent="0.25">
      <c r="A3" s="36" t="s">
        <v>82</v>
      </c>
      <c r="B3" s="1">
        <v>42205</v>
      </c>
      <c r="C3">
        <v>20</v>
      </c>
      <c r="D3" s="2">
        <v>63.4</v>
      </c>
      <c r="E3" s="2">
        <f t="shared" ref="E3:E12" si="0">C3*D3</f>
        <v>1268</v>
      </c>
      <c r="F3" s="1">
        <v>42219</v>
      </c>
      <c r="G3" s="12">
        <v>55</v>
      </c>
      <c r="H3" s="87">
        <v>59.75</v>
      </c>
      <c r="I3" s="87">
        <f>G3*H3</f>
        <v>3286.25</v>
      </c>
      <c r="J3" t="s">
        <v>125</v>
      </c>
      <c r="K3" s="2"/>
      <c r="M3" s="20" t="s">
        <v>58</v>
      </c>
      <c r="O3" s="2">
        <f>(E13-I13)/O2</f>
        <v>61.69130434782609</v>
      </c>
      <c r="R3" t="s">
        <v>122</v>
      </c>
      <c r="S3" t="s">
        <v>72</v>
      </c>
      <c r="T3" t="s">
        <v>73</v>
      </c>
      <c r="U3" t="s">
        <v>124</v>
      </c>
      <c r="V3" t="s">
        <v>123</v>
      </c>
    </row>
    <row r="4" spans="1:22" x14ac:dyDescent="0.25">
      <c r="B4" s="1">
        <v>42205</v>
      </c>
      <c r="C4">
        <v>20</v>
      </c>
      <c r="D4" s="2">
        <v>63.15</v>
      </c>
      <c r="E4" s="2">
        <f t="shared" si="0"/>
        <v>1263</v>
      </c>
      <c r="K4" s="2"/>
      <c r="M4" s="20" t="s">
        <v>66</v>
      </c>
      <c r="O4" s="4">
        <v>58.78</v>
      </c>
      <c r="R4" s="57">
        <v>42249</v>
      </c>
      <c r="S4" s="57">
        <v>42264</v>
      </c>
      <c r="T4" s="63">
        <v>42276</v>
      </c>
      <c r="U4">
        <v>0.25</v>
      </c>
    </row>
    <row r="5" spans="1:22" x14ac:dyDescent="0.25">
      <c r="B5" s="1">
        <v>42207</v>
      </c>
      <c r="C5">
        <v>10</v>
      </c>
      <c r="D5" s="2">
        <v>62</v>
      </c>
      <c r="E5" s="2">
        <f t="shared" si="0"/>
        <v>620</v>
      </c>
      <c r="K5" s="2"/>
      <c r="M5" s="20" t="s">
        <v>67</v>
      </c>
      <c r="O5" s="5">
        <f>O4*O2</f>
        <v>6759.7</v>
      </c>
      <c r="R5" t="s">
        <v>126</v>
      </c>
    </row>
    <row r="6" spans="1:22" x14ac:dyDescent="0.25">
      <c r="B6" s="1">
        <v>42207</v>
      </c>
      <c r="C6">
        <v>5</v>
      </c>
      <c r="D6" s="2">
        <v>61.6</v>
      </c>
      <c r="E6" s="2">
        <f t="shared" si="0"/>
        <v>308</v>
      </c>
      <c r="K6" s="2"/>
      <c r="M6" s="20" t="s">
        <v>64</v>
      </c>
      <c r="O6" s="2">
        <f>O3*O2</f>
        <v>7094.5</v>
      </c>
    </row>
    <row r="7" spans="1:22" x14ac:dyDescent="0.25">
      <c r="B7" s="1">
        <v>42207</v>
      </c>
      <c r="C7">
        <v>20</v>
      </c>
      <c r="D7" s="2">
        <v>59.85</v>
      </c>
      <c r="E7" s="2">
        <f t="shared" si="0"/>
        <v>1197</v>
      </c>
      <c r="K7" s="2"/>
      <c r="M7" s="20" t="s">
        <v>65</v>
      </c>
      <c r="O7" s="2">
        <f>O5-O6+K13</f>
        <v>-329.80000000000018</v>
      </c>
    </row>
    <row r="8" spans="1:22" x14ac:dyDescent="0.25">
      <c r="B8" s="1">
        <v>42208</v>
      </c>
      <c r="C8" s="9">
        <v>5</v>
      </c>
      <c r="D8" s="81">
        <v>61.3</v>
      </c>
      <c r="E8" s="81">
        <f t="shared" si="0"/>
        <v>306.5</v>
      </c>
      <c r="K8" s="2"/>
    </row>
    <row r="9" spans="1:22" x14ac:dyDescent="0.25">
      <c r="B9" s="1">
        <v>42219</v>
      </c>
      <c r="C9" s="12">
        <v>25</v>
      </c>
      <c r="D9" s="87">
        <v>59.4</v>
      </c>
      <c r="E9" s="81">
        <f t="shared" si="0"/>
        <v>1485</v>
      </c>
      <c r="K9" s="2"/>
    </row>
    <row r="10" spans="1:22" x14ac:dyDescent="0.25">
      <c r="B10" s="1">
        <v>42219</v>
      </c>
      <c r="C10" s="12">
        <v>50</v>
      </c>
      <c r="D10" s="87">
        <v>59.2</v>
      </c>
      <c r="E10" s="81">
        <f t="shared" si="0"/>
        <v>2960</v>
      </c>
      <c r="K10" s="2"/>
    </row>
    <row r="11" spans="1:22" x14ac:dyDescent="0.25">
      <c r="B11" s="1">
        <v>42226</v>
      </c>
      <c r="C11" s="29">
        <v>5</v>
      </c>
      <c r="D11" s="101">
        <v>56.2</v>
      </c>
      <c r="E11" s="5">
        <f t="shared" si="0"/>
        <v>281</v>
      </c>
      <c r="K11" s="2"/>
    </row>
    <row r="12" spans="1:22" x14ac:dyDescent="0.25">
      <c r="B12" s="1">
        <v>42226</v>
      </c>
      <c r="C12">
        <v>15</v>
      </c>
      <c r="D12" s="2">
        <v>56.5</v>
      </c>
      <c r="E12" s="2">
        <f t="shared" si="0"/>
        <v>847.5</v>
      </c>
      <c r="K12" s="2"/>
    </row>
    <row r="13" spans="1:22" x14ac:dyDescent="0.25">
      <c r="A13" s="59" t="s">
        <v>115</v>
      </c>
      <c r="B13" s="24"/>
      <c r="C13" s="24">
        <f>SUM(C2:C12)</f>
        <v>195</v>
      </c>
      <c r="D13" s="31"/>
      <c r="E13" s="31">
        <f>SUM(E2:E12)</f>
        <v>11882</v>
      </c>
      <c r="F13" s="24"/>
      <c r="G13" s="24">
        <f>SUM(G2:G10)</f>
        <v>80</v>
      </c>
      <c r="H13" s="31"/>
      <c r="I13" s="31">
        <f>SUM(I2:I10)</f>
        <v>4787.5</v>
      </c>
      <c r="J13" s="24"/>
      <c r="K13" s="31">
        <f t="shared" ref="K13" si="1">SUM(K2:K10)</f>
        <v>5</v>
      </c>
    </row>
    <row r="18" spans="13:19" x14ac:dyDescent="0.25">
      <c r="S18" s="2"/>
    </row>
    <row r="19" spans="13:19" x14ac:dyDescent="0.25">
      <c r="N19" t="s">
        <v>90</v>
      </c>
      <c r="P19" s="61"/>
    </row>
    <row r="20" spans="13:19" x14ac:dyDescent="0.25">
      <c r="M20" s="2">
        <f>$O$4</f>
        <v>58.78</v>
      </c>
      <c r="N20">
        <v>1.1000000000000001</v>
      </c>
      <c r="O20" s="2">
        <f t="shared" ref="O20:O32" si="2">N20*M20</f>
        <v>64.658000000000001</v>
      </c>
      <c r="P20" s="61"/>
    </row>
    <row r="21" spans="13:19" x14ac:dyDescent="0.25">
      <c r="M21" s="2">
        <f>$O$4</f>
        <v>58.78</v>
      </c>
      <c r="N21">
        <v>1.05</v>
      </c>
      <c r="O21" s="2">
        <f t="shared" si="2"/>
        <v>61.719000000000001</v>
      </c>
      <c r="P21" s="61"/>
    </row>
    <row r="22" spans="13:19" x14ac:dyDescent="0.25">
      <c r="M22" s="2">
        <f t="shared" ref="M22:M32" si="3">$O$4</f>
        <v>58.78</v>
      </c>
      <c r="N22">
        <v>1.04</v>
      </c>
      <c r="O22" s="2">
        <f t="shared" si="2"/>
        <v>61.1312</v>
      </c>
      <c r="P22" s="61" t="s">
        <v>120</v>
      </c>
    </row>
    <row r="23" spans="13:19" x14ac:dyDescent="0.25">
      <c r="M23" s="2">
        <f t="shared" si="3"/>
        <v>58.78</v>
      </c>
      <c r="N23" s="2">
        <v>1.03</v>
      </c>
      <c r="O23" s="2">
        <f t="shared" si="2"/>
        <v>60.543400000000005</v>
      </c>
      <c r="P23" s="61"/>
    </row>
    <row r="24" spans="13:19" x14ac:dyDescent="0.25">
      <c r="M24" s="2">
        <f t="shared" si="3"/>
        <v>58.78</v>
      </c>
      <c r="N24" s="2">
        <v>1.02</v>
      </c>
      <c r="O24" s="2">
        <f t="shared" si="2"/>
        <v>59.955600000000004</v>
      </c>
      <c r="P24" s="61" t="s">
        <v>70</v>
      </c>
    </row>
    <row r="25" spans="13:19" x14ac:dyDescent="0.25">
      <c r="M25" s="2">
        <f t="shared" si="3"/>
        <v>58.78</v>
      </c>
      <c r="N25" s="2">
        <v>1.01</v>
      </c>
      <c r="O25" s="2">
        <f t="shared" si="2"/>
        <v>59.367800000000003</v>
      </c>
      <c r="P25" s="61"/>
    </row>
    <row r="26" spans="13:19" x14ac:dyDescent="0.25">
      <c r="M26" s="2">
        <f t="shared" si="3"/>
        <v>58.78</v>
      </c>
      <c r="N26" s="2">
        <v>1</v>
      </c>
      <c r="O26" s="2">
        <f t="shared" si="2"/>
        <v>58.78</v>
      </c>
      <c r="P26" s="61"/>
    </row>
    <row r="27" spans="13:19" x14ac:dyDescent="0.25">
      <c r="M27" s="2">
        <f t="shared" si="3"/>
        <v>58.78</v>
      </c>
      <c r="N27" s="2">
        <v>0.99</v>
      </c>
      <c r="O27" s="2">
        <f t="shared" si="2"/>
        <v>58.1922</v>
      </c>
      <c r="P27" s="61"/>
    </row>
    <row r="28" spans="13:19" x14ac:dyDescent="0.25">
      <c r="M28" s="2">
        <f t="shared" si="3"/>
        <v>58.78</v>
      </c>
      <c r="N28" s="2">
        <v>0.98</v>
      </c>
      <c r="O28" s="2">
        <f t="shared" si="2"/>
        <v>57.604399999999998</v>
      </c>
      <c r="P28" s="61"/>
    </row>
    <row r="29" spans="13:19" x14ac:dyDescent="0.25">
      <c r="M29" s="2">
        <f t="shared" si="3"/>
        <v>58.78</v>
      </c>
      <c r="N29" s="2">
        <v>0.97</v>
      </c>
      <c r="O29" s="2">
        <f t="shared" si="2"/>
        <v>57.016599999999997</v>
      </c>
      <c r="P29" s="61"/>
    </row>
    <row r="30" spans="13:19" x14ac:dyDescent="0.25">
      <c r="M30" s="2">
        <f t="shared" si="3"/>
        <v>58.78</v>
      </c>
      <c r="N30" s="2">
        <v>0.96</v>
      </c>
      <c r="O30" s="2">
        <f t="shared" si="2"/>
        <v>56.428800000000003</v>
      </c>
      <c r="P30" s="61"/>
    </row>
    <row r="31" spans="13:19" x14ac:dyDescent="0.25">
      <c r="M31" s="2">
        <f t="shared" si="3"/>
        <v>58.78</v>
      </c>
      <c r="N31" s="2">
        <v>0.95</v>
      </c>
      <c r="O31" s="2">
        <f t="shared" si="2"/>
        <v>55.841000000000001</v>
      </c>
      <c r="P31" s="61"/>
    </row>
    <row r="32" spans="13:19" x14ac:dyDescent="0.25">
      <c r="M32" s="2">
        <f t="shared" si="3"/>
        <v>58.78</v>
      </c>
      <c r="N32" s="2">
        <v>0.9</v>
      </c>
      <c r="O32" s="2">
        <f t="shared" si="2"/>
        <v>52.902000000000001</v>
      </c>
      <c r="P32" s="61"/>
    </row>
  </sheetData>
  <conditionalFormatting sqref="O7">
    <cfRule type="expression" dxfId="49" priority="2">
      <formula>O7&gt;0</formula>
    </cfRule>
    <cfRule type="expression" dxfId="48" priority="3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6" max="16" width="9.28515625" style="61" customWidth="1"/>
    <col min="18" max="18" width="11.28515625" style="74" customWidth="1"/>
    <col min="19" max="19" width="14.5703125" customWidth="1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P1" s="60"/>
      <c r="R1" s="75"/>
    </row>
    <row r="2" spans="1:21" x14ac:dyDescent="0.25">
      <c r="A2" s="8" t="s">
        <v>42</v>
      </c>
      <c r="B2" s="1">
        <v>42184</v>
      </c>
      <c r="C2">
        <v>10</v>
      </c>
      <c r="D2" s="2">
        <v>99.05</v>
      </c>
      <c r="E2" s="2">
        <f>C2*D2</f>
        <v>990.5</v>
      </c>
      <c r="F2" s="1">
        <v>42216</v>
      </c>
      <c r="G2" s="10">
        <v>40</v>
      </c>
      <c r="H2" s="25">
        <v>95.1</v>
      </c>
      <c r="I2" s="25">
        <f>G2*H2</f>
        <v>3804</v>
      </c>
      <c r="J2" t="s">
        <v>128</v>
      </c>
      <c r="M2" s="20" t="s">
        <v>57</v>
      </c>
      <c r="O2">
        <f>C11-G11</f>
        <v>60</v>
      </c>
      <c r="R2" s="75" t="s">
        <v>156</v>
      </c>
    </row>
    <row r="3" spans="1:21" x14ac:dyDescent="0.25">
      <c r="A3" s="36" t="s">
        <v>82</v>
      </c>
      <c r="B3" s="1">
        <v>42184</v>
      </c>
      <c r="C3" s="6">
        <v>20</v>
      </c>
      <c r="D3" s="5">
        <v>99.5</v>
      </c>
      <c r="E3" s="5">
        <f t="shared" ref="E3:E9" si="0">C3*D3</f>
        <v>1990</v>
      </c>
      <c r="F3" s="1">
        <v>42216</v>
      </c>
      <c r="G3" s="10">
        <v>20</v>
      </c>
      <c r="H3" s="25">
        <v>95.6</v>
      </c>
      <c r="I3" s="25">
        <f>G3*H3</f>
        <v>1912</v>
      </c>
      <c r="M3" s="20" t="s">
        <v>58</v>
      </c>
      <c r="O3" s="2">
        <f>(E11-I11)/O2</f>
        <v>96.710833333333326</v>
      </c>
      <c r="R3" s="74">
        <v>42229</v>
      </c>
      <c r="S3" t="s">
        <v>129</v>
      </c>
    </row>
    <row r="4" spans="1:21" x14ac:dyDescent="0.25">
      <c r="B4" s="1">
        <v>42184</v>
      </c>
      <c r="C4" s="6">
        <v>10</v>
      </c>
      <c r="D4" s="5">
        <v>98.35</v>
      </c>
      <c r="E4" s="5">
        <f t="shared" si="0"/>
        <v>983.5</v>
      </c>
      <c r="M4" s="20" t="s">
        <v>66</v>
      </c>
      <c r="O4" s="4">
        <v>92.74</v>
      </c>
    </row>
    <row r="5" spans="1:21" x14ac:dyDescent="0.25">
      <c r="B5" s="1">
        <v>42184</v>
      </c>
      <c r="C5" s="10">
        <v>20</v>
      </c>
      <c r="D5" s="25">
        <v>98.1</v>
      </c>
      <c r="E5" s="25">
        <f t="shared" si="0"/>
        <v>1962</v>
      </c>
      <c r="M5" s="20" t="s">
        <v>67</v>
      </c>
      <c r="O5" s="5">
        <f>O4*O2</f>
        <v>5564.4</v>
      </c>
      <c r="T5" s="2"/>
    </row>
    <row r="6" spans="1:21" x14ac:dyDescent="0.25">
      <c r="B6" s="1">
        <v>42213</v>
      </c>
      <c r="C6">
        <v>10</v>
      </c>
      <c r="D6" s="2">
        <v>92.5</v>
      </c>
      <c r="E6" s="2">
        <f t="shared" si="0"/>
        <v>925</v>
      </c>
      <c r="M6" s="20" t="s">
        <v>64</v>
      </c>
      <c r="O6" s="2">
        <f>O3*O2</f>
        <v>5802.65</v>
      </c>
    </row>
    <row r="7" spans="1:21" x14ac:dyDescent="0.25">
      <c r="B7" s="1">
        <v>42213</v>
      </c>
      <c r="C7">
        <v>10</v>
      </c>
      <c r="D7" s="2">
        <v>91.65</v>
      </c>
      <c r="E7" s="2">
        <f t="shared" si="0"/>
        <v>916.5</v>
      </c>
      <c r="M7" s="20" t="s">
        <v>65</v>
      </c>
      <c r="O7" s="2">
        <f>O5-O6</f>
        <v>-238.25</v>
      </c>
    </row>
    <row r="8" spans="1:21" x14ac:dyDescent="0.25">
      <c r="B8" s="1">
        <v>42213</v>
      </c>
      <c r="C8" s="10">
        <v>15</v>
      </c>
      <c r="D8" s="25">
        <v>94</v>
      </c>
      <c r="E8" s="25">
        <f t="shared" si="0"/>
        <v>1410</v>
      </c>
    </row>
    <row r="9" spans="1:21" x14ac:dyDescent="0.25">
      <c r="B9" s="1">
        <v>42213</v>
      </c>
      <c r="C9" s="10">
        <v>15</v>
      </c>
      <c r="D9" s="25">
        <v>92.75</v>
      </c>
      <c r="E9" s="25">
        <f t="shared" si="0"/>
        <v>1391.25</v>
      </c>
    </row>
    <row r="10" spans="1:21" x14ac:dyDescent="0.25">
      <c r="B10" s="1">
        <v>42226</v>
      </c>
      <c r="C10" s="10">
        <v>10</v>
      </c>
      <c r="D10" s="25">
        <v>94.99</v>
      </c>
      <c r="E10" s="25">
        <f>C10*D10</f>
        <v>949.9</v>
      </c>
    </row>
    <row r="11" spans="1:21" x14ac:dyDescent="0.25">
      <c r="A11" s="35" t="s">
        <v>115</v>
      </c>
      <c r="B11" s="21"/>
      <c r="C11" s="21">
        <f>SUM(C2:C10)</f>
        <v>120</v>
      </c>
      <c r="D11" s="22"/>
      <c r="E11" s="22">
        <f>SUM(E2:E10)</f>
        <v>11518.65</v>
      </c>
      <c r="F11" s="21"/>
      <c r="G11" s="21">
        <f>SUM(G2:G7)</f>
        <v>60</v>
      </c>
      <c r="H11" s="22"/>
      <c r="I11" s="22">
        <f>SUM(I2:I7)</f>
        <v>5716</v>
      </c>
      <c r="J11" s="21"/>
      <c r="K11" s="21"/>
      <c r="R11" s="75" t="s">
        <v>151</v>
      </c>
      <c r="S11" s="20"/>
      <c r="T11" s="20"/>
      <c r="U11" s="20"/>
    </row>
    <row r="12" spans="1:21" x14ac:dyDescent="0.25">
      <c r="R12" s="74">
        <v>42338</v>
      </c>
      <c r="S12" s="64" t="s">
        <v>155</v>
      </c>
    </row>
    <row r="13" spans="1:21" x14ac:dyDescent="0.25">
      <c r="R13" s="74">
        <v>42300</v>
      </c>
      <c r="S13" t="s">
        <v>130</v>
      </c>
    </row>
    <row r="14" spans="1:21" x14ac:dyDescent="0.25">
      <c r="R14" s="74">
        <v>42370</v>
      </c>
      <c r="S14" t="s">
        <v>157</v>
      </c>
    </row>
    <row r="16" spans="1:21" x14ac:dyDescent="0.25">
      <c r="N16" t="s">
        <v>90</v>
      </c>
    </row>
    <row r="17" spans="13:21" x14ac:dyDescent="0.25">
      <c r="M17" s="2">
        <f>$O$4</f>
        <v>92.74</v>
      </c>
      <c r="N17">
        <v>1.1000000000000001</v>
      </c>
      <c r="O17" s="2">
        <f t="shared" ref="O17:O29" si="1">N17*M17</f>
        <v>102.014</v>
      </c>
    </row>
    <row r="18" spans="13:21" x14ac:dyDescent="0.25">
      <c r="M18" s="2">
        <f>$O$4</f>
        <v>92.74</v>
      </c>
      <c r="N18">
        <v>1.05</v>
      </c>
      <c r="O18" s="2">
        <f t="shared" si="1"/>
        <v>97.376999999999995</v>
      </c>
    </row>
    <row r="19" spans="13:21" x14ac:dyDescent="0.25">
      <c r="M19" s="2">
        <f t="shared" ref="M19:M29" si="2">$O$4</f>
        <v>92.74</v>
      </c>
      <c r="N19">
        <v>1.04</v>
      </c>
      <c r="O19" s="2">
        <f t="shared" si="1"/>
        <v>96.449600000000004</v>
      </c>
    </row>
    <row r="20" spans="13:21" x14ac:dyDescent="0.25">
      <c r="M20" s="2">
        <f t="shared" si="2"/>
        <v>92.74</v>
      </c>
      <c r="N20" s="2">
        <v>1.03</v>
      </c>
      <c r="O20" s="2">
        <f t="shared" si="1"/>
        <v>95.522199999999998</v>
      </c>
    </row>
    <row r="21" spans="13:21" x14ac:dyDescent="0.25">
      <c r="M21" s="2">
        <f t="shared" si="2"/>
        <v>92.74</v>
      </c>
      <c r="N21" s="2">
        <v>1.02</v>
      </c>
      <c r="O21" s="2">
        <f t="shared" si="1"/>
        <v>94.594799999999992</v>
      </c>
      <c r="U21" s="2"/>
    </row>
    <row r="22" spans="13:21" x14ac:dyDescent="0.25">
      <c r="M22" s="2">
        <f t="shared" si="2"/>
        <v>92.74</v>
      </c>
      <c r="N22" s="2">
        <v>1.01</v>
      </c>
      <c r="O22" s="2">
        <f t="shared" si="1"/>
        <v>93.667400000000001</v>
      </c>
    </row>
    <row r="23" spans="13:21" x14ac:dyDescent="0.25">
      <c r="M23" s="2">
        <f t="shared" si="2"/>
        <v>92.74</v>
      </c>
      <c r="N23" s="2">
        <v>1</v>
      </c>
      <c r="O23" s="2">
        <f t="shared" si="1"/>
        <v>92.74</v>
      </c>
    </row>
    <row r="24" spans="13:21" x14ac:dyDescent="0.25">
      <c r="M24" s="2">
        <f t="shared" si="2"/>
        <v>92.74</v>
      </c>
      <c r="N24" s="2">
        <v>0.99</v>
      </c>
      <c r="O24" s="2">
        <f t="shared" si="1"/>
        <v>91.812599999999989</v>
      </c>
    </row>
    <row r="25" spans="13:21" x14ac:dyDescent="0.25">
      <c r="M25" s="2">
        <f t="shared" si="2"/>
        <v>92.74</v>
      </c>
      <c r="N25" s="2">
        <v>0.98</v>
      </c>
      <c r="O25" s="2">
        <f t="shared" si="1"/>
        <v>90.885199999999998</v>
      </c>
    </row>
    <row r="26" spans="13:21" x14ac:dyDescent="0.25">
      <c r="M26" s="2">
        <f t="shared" si="2"/>
        <v>92.74</v>
      </c>
      <c r="N26" s="2">
        <v>0.97</v>
      </c>
      <c r="O26" s="2">
        <f t="shared" si="1"/>
        <v>89.957799999999992</v>
      </c>
    </row>
    <row r="27" spans="13:21" x14ac:dyDescent="0.25">
      <c r="M27" s="2">
        <f t="shared" si="2"/>
        <v>92.74</v>
      </c>
      <c r="N27" s="2">
        <v>0.96</v>
      </c>
      <c r="O27" s="2">
        <f t="shared" si="1"/>
        <v>89.030399999999986</v>
      </c>
    </row>
    <row r="28" spans="13:21" x14ac:dyDescent="0.25">
      <c r="M28" s="2">
        <f t="shared" si="2"/>
        <v>92.74</v>
      </c>
      <c r="N28" s="2">
        <v>0.95</v>
      </c>
      <c r="O28" s="2">
        <f t="shared" si="1"/>
        <v>88.102999999999994</v>
      </c>
    </row>
    <row r="29" spans="13:21" x14ac:dyDescent="0.25">
      <c r="M29" s="2">
        <f t="shared" si="2"/>
        <v>92.74</v>
      </c>
      <c r="N29" s="2">
        <v>0.9</v>
      </c>
      <c r="O29" s="2">
        <f t="shared" si="1"/>
        <v>83.465999999999994</v>
      </c>
    </row>
  </sheetData>
  <conditionalFormatting sqref="O7">
    <cfRule type="expression" dxfId="47" priority="2">
      <formula>O7&gt;0</formula>
    </cfRule>
    <cfRule type="expression" dxfId="46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8" max="18" width="9.140625" style="74"/>
  </cols>
  <sheetData>
    <row r="1" spans="1:24" s="23" customFormat="1" x14ac:dyDescent="0.25">
      <c r="A1" s="23" t="s">
        <v>1</v>
      </c>
      <c r="B1" s="23" t="s">
        <v>2</v>
      </c>
      <c r="C1" s="23" t="s">
        <v>4</v>
      </c>
      <c r="D1" s="71" t="s">
        <v>5</v>
      </c>
      <c r="E1" s="71" t="s">
        <v>60</v>
      </c>
      <c r="F1" s="23" t="s">
        <v>3</v>
      </c>
      <c r="G1" s="23" t="s">
        <v>6</v>
      </c>
      <c r="H1" s="71" t="s">
        <v>7</v>
      </c>
      <c r="I1" s="71" t="s">
        <v>61</v>
      </c>
      <c r="J1" s="23" t="s">
        <v>89</v>
      </c>
      <c r="K1" s="23" t="s">
        <v>38</v>
      </c>
      <c r="R1" s="73" t="s">
        <v>75</v>
      </c>
    </row>
    <row r="2" spans="1:24" x14ac:dyDescent="0.25">
      <c r="A2" s="8" t="s">
        <v>23</v>
      </c>
      <c r="B2" s="1">
        <v>42153</v>
      </c>
      <c r="C2" s="16">
        <v>50</v>
      </c>
      <c r="D2" s="72">
        <v>37.22</v>
      </c>
      <c r="E2" s="72">
        <f>C2*D2</f>
        <v>1861</v>
      </c>
      <c r="F2" s="1">
        <v>42186</v>
      </c>
      <c r="G2" s="16">
        <v>50</v>
      </c>
      <c r="H2" s="72">
        <v>38.4</v>
      </c>
      <c r="I2" s="72">
        <f>G2*H2</f>
        <v>1920</v>
      </c>
      <c r="M2" t="s">
        <v>57</v>
      </c>
      <c r="O2">
        <f>C6-G6</f>
        <v>40</v>
      </c>
      <c r="R2" s="76">
        <v>42240</v>
      </c>
      <c r="S2" s="77" t="s">
        <v>146</v>
      </c>
      <c r="T2" s="77"/>
      <c r="U2" s="77"/>
      <c r="V2" s="77"/>
      <c r="W2" s="77"/>
      <c r="X2" s="77"/>
    </row>
    <row r="3" spans="1:24" x14ac:dyDescent="0.25">
      <c r="A3" s="36" t="s">
        <v>82</v>
      </c>
      <c r="B3" s="1">
        <v>42208</v>
      </c>
      <c r="C3" s="16">
        <v>100</v>
      </c>
      <c r="D3" s="72">
        <v>36</v>
      </c>
      <c r="E3" s="72">
        <f>C3*D3</f>
        <v>3600</v>
      </c>
      <c r="F3" s="1">
        <v>42230</v>
      </c>
      <c r="G3" s="16">
        <v>100</v>
      </c>
      <c r="H3" s="72">
        <v>35.96</v>
      </c>
      <c r="I3" s="72">
        <f>G3*H3</f>
        <v>3596</v>
      </c>
      <c r="M3" t="s">
        <v>58</v>
      </c>
      <c r="O3" s="2">
        <f>(E6-I6)/O2</f>
        <v>33.880000000000017</v>
      </c>
      <c r="R3" s="78">
        <v>42283</v>
      </c>
      <c r="S3" s="77" t="s">
        <v>145</v>
      </c>
      <c r="T3" s="77"/>
      <c r="U3" s="77"/>
      <c r="V3" s="77"/>
      <c r="W3" s="77"/>
      <c r="X3" s="77"/>
    </row>
    <row r="4" spans="1:24" x14ac:dyDescent="0.25">
      <c r="B4" s="1">
        <v>42209</v>
      </c>
      <c r="C4">
        <v>20</v>
      </c>
      <c r="D4" s="2">
        <v>35.479999999999997</v>
      </c>
      <c r="E4" s="2">
        <f>C4*D4</f>
        <v>709.59999999999991</v>
      </c>
      <c r="M4" t="s">
        <v>66</v>
      </c>
      <c r="O4" s="4">
        <v>37.479999999999997</v>
      </c>
    </row>
    <row r="5" spans="1:24" x14ac:dyDescent="0.25">
      <c r="B5" s="1">
        <v>42209</v>
      </c>
      <c r="C5">
        <v>20</v>
      </c>
      <c r="D5" s="2">
        <v>35.03</v>
      </c>
      <c r="E5" s="2">
        <f>C5*D5</f>
        <v>700.6</v>
      </c>
      <c r="M5" t="s">
        <v>67</v>
      </c>
      <c r="O5" s="5">
        <f>O4*O2</f>
        <v>1499.1999999999998</v>
      </c>
    </row>
    <row r="6" spans="1:24" x14ac:dyDescent="0.25">
      <c r="A6" s="65" t="s">
        <v>115</v>
      </c>
      <c r="B6" s="66"/>
      <c r="C6" s="66">
        <f>SUM(C2:C5)</f>
        <v>190</v>
      </c>
      <c r="D6" s="68"/>
      <c r="E6" s="68">
        <f>SUM(E2:E5)</f>
        <v>6871.2000000000007</v>
      </c>
      <c r="F6" s="66"/>
      <c r="G6" s="66">
        <f>SUM(G2:G5)</f>
        <v>150</v>
      </c>
      <c r="H6" s="68"/>
      <c r="I6" s="68">
        <f>SUM(I2:I5)</f>
        <v>5516</v>
      </c>
      <c r="J6" s="66"/>
      <c r="K6" s="66"/>
      <c r="M6" t="s">
        <v>64</v>
      </c>
      <c r="O6" s="2">
        <f>O3*O2</f>
        <v>1355.2000000000007</v>
      </c>
    </row>
    <row r="7" spans="1:24" x14ac:dyDescent="0.25">
      <c r="M7" t="s">
        <v>65</v>
      </c>
      <c r="O7" s="2">
        <f>O5-O6</f>
        <v>143.99999999999909</v>
      </c>
    </row>
    <row r="18" spans="13:15" x14ac:dyDescent="0.25">
      <c r="N18" t="s">
        <v>90</v>
      </c>
    </row>
    <row r="19" spans="13:15" x14ac:dyDescent="0.25">
      <c r="M19" s="2">
        <f>$O$4</f>
        <v>37.479999999999997</v>
      </c>
      <c r="N19">
        <v>1.1000000000000001</v>
      </c>
      <c r="O19" s="2">
        <f t="shared" ref="O19:O31" si="0">N19*M19</f>
        <v>41.228000000000002</v>
      </c>
    </row>
    <row r="20" spans="13:15" x14ac:dyDescent="0.25">
      <c r="M20" s="2">
        <f>$O$4</f>
        <v>37.479999999999997</v>
      </c>
      <c r="N20">
        <v>1.05</v>
      </c>
      <c r="O20" s="2">
        <f t="shared" si="0"/>
        <v>39.353999999999999</v>
      </c>
    </row>
    <row r="21" spans="13:15" x14ac:dyDescent="0.25">
      <c r="M21" s="2">
        <f t="shared" ref="M21:M31" si="1">$O$4</f>
        <v>37.479999999999997</v>
      </c>
      <c r="N21">
        <v>1.04</v>
      </c>
      <c r="O21" s="2">
        <f t="shared" si="0"/>
        <v>38.979199999999999</v>
      </c>
    </row>
    <row r="22" spans="13:15" x14ac:dyDescent="0.25">
      <c r="M22" s="2">
        <f t="shared" si="1"/>
        <v>37.479999999999997</v>
      </c>
      <c r="N22" s="2">
        <v>1.03</v>
      </c>
      <c r="O22" s="2">
        <f t="shared" si="0"/>
        <v>38.604399999999998</v>
      </c>
    </row>
    <row r="23" spans="13:15" x14ac:dyDescent="0.25">
      <c r="M23" s="2">
        <f t="shared" si="1"/>
        <v>37.479999999999997</v>
      </c>
      <c r="N23" s="2">
        <v>1.02</v>
      </c>
      <c r="O23" s="2">
        <f t="shared" si="0"/>
        <v>38.229599999999998</v>
      </c>
    </row>
    <row r="24" spans="13:15" x14ac:dyDescent="0.25">
      <c r="M24" s="2">
        <f t="shared" si="1"/>
        <v>37.479999999999997</v>
      </c>
      <c r="N24" s="2">
        <v>1.01</v>
      </c>
      <c r="O24" s="2">
        <f t="shared" si="0"/>
        <v>37.854799999999997</v>
      </c>
    </row>
    <row r="25" spans="13:15" x14ac:dyDescent="0.25">
      <c r="M25" s="2">
        <f t="shared" si="1"/>
        <v>37.479999999999997</v>
      </c>
      <c r="N25" s="2">
        <v>1</v>
      </c>
      <c r="O25" s="2">
        <f t="shared" si="0"/>
        <v>37.479999999999997</v>
      </c>
    </row>
    <row r="26" spans="13:15" x14ac:dyDescent="0.25">
      <c r="M26" s="2">
        <f t="shared" si="1"/>
        <v>37.479999999999997</v>
      </c>
      <c r="N26" s="2">
        <v>0.99</v>
      </c>
      <c r="O26" s="2">
        <f t="shared" si="0"/>
        <v>37.105199999999996</v>
      </c>
    </row>
    <row r="27" spans="13:15" x14ac:dyDescent="0.25">
      <c r="M27" s="2">
        <f t="shared" si="1"/>
        <v>37.479999999999997</v>
      </c>
      <c r="N27" s="2">
        <v>0.98</v>
      </c>
      <c r="O27" s="2">
        <f t="shared" si="0"/>
        <v>36.730399999999996</v>
      </c>
    </row>
    <row r="28" spans="13:15" x14ac:dyDescent="0.25">
      <c r="M28" s="2">
        <f t="shared" si="1"/>
        <v>37.479999999999997</v>
      </c>
      <c r="N28" s="2">
        <v>0.97</v>
      </c>
      <c r="O28" s="2">
        <f t="shared" si="0"/>
        <v>36.355599999999995</v>
      </c>
    </row>
    <row r="29" spans="13:15" x14ac:dyDescent="0.25">
      <c r="M29" s="2">
        <f t="shared" si="1"/>
        <v>37.479999999999997</v>
      </c>
      <c r="N29" s="2">
        <v>0.96</v>
      </c>
      <c r="O29" s="2">
        <f t="shared" si="0"/>
        <v>35.980799999999995</v>
      </c>
    </row>
    <row r="30" spans="13:15" x14ac:dyDescent="0.25">
      <c r="M30" s="2">
        <f t="shared" si="1"/>
        <v>37.479999999999997</v>
      </c>
      <c r="N30" s="2">
        <v>0.95</v>
      </c>
      <c r="O30" s="2">
        <f t="shared" si="0"/>
        <v>35.605999999999995</v>
      </c>
    </row>
    <row r="31" spans="13:15" x14ac:dyDescent="0.25">
      <c r="M31" s="2">
        <f t="shared" si="1"/>
        <v>37.479999999999997</v>
      </c>
      <c r="N31" s="2">
        <v>0.9</v>
      </c>
      <c r="O31" s="2">
        <f t="shared" si="0"/>
        <v>33.731999999999999</v>
      </c>
    </row>
  </sheetData>
  <conditionalFormatting sqref="O7">
    <cfRule type="expression" dxfId="45" priority="2">
      <formula>O7&gt;0</formula>
    </cfRule>
    <cfRule type="expression" dxfId="44" priority="3">
      <formula>O7&lt;0</formula>
    </cfRule>
  </conditionalFormatting>
  <conditionalFormatting sqref="N19:N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5" max="15" width="9.140625" customWidth="1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N1"/>
      <c r="O1"/>
    </row>
    <row r="2" spans="1:19" x14ac:dyDescent="0.25">
      <c r="A2" s="8" t="s">
        <v>10</v>
      </c>
      <c r="B2" s="1">
        <v>42146</v>
      </c>
      <c r="C2">
        <v>100</v>
      </c>
      <c r="D2" s="2">
        <v>13.1</v>
      </c>
      <c r="E2" s="2">
        <f>C2*D2</f>
        <v>1310</v>
      </c>
      <c r="F2" s="1">
        <v>42199</v>
      </c>
      <c r="G2" s="17">
        <v>52</v>
      </c>
      <c r="H2" s="80">
        <v>10.7</v>
      </c>
      <c r="I2" s="80">
        <f>G2*H2</f>
        <v>556.4</v>
      </c>
      <c r="J2" t="s">
        <v>153</v>
      </c>
      <c r="M2" s="20" t="s">
        <v>57</v>
      </c>
      <c r="O2">
        <f>C12-G12</f>
        <v>500</v>
      </c>
      <c r="R2" s="20" t="s">
        <v>152</v>
      </c>
    </row>
    <row r="3" spans="1:19" x14ac:dyDescent="0.25">
      <c r="A3" s="36" t="s">
        <v>82</v>
      </c>
      <c r="B3" s="1">
        <v>42151</v>
      </c>
      <c r="C3">
        <v>102</v>
      </c>
      <c r="D3" s="2">
        <v>12.99</v>
      </c>
      <c r="E3" s="2">
        <f t="shared" ref="E3:E11" si="0">C3*D3</f>
        <v>1324.98</v>
      </c>
      <c r="F3" s="1">
        <v>42235</v>
      </c>
      <c r="G3" s="16">
        <v>150</v>
      </c>
      <c r="H3" s="72">
        <v>9.41</v>
      </c>
      <c r="I3" s="72">
        <f>G3*H3</f>
        <v>1411.5</v>
      </c>
      <c r="M3" s="20" t="s">
        <v>58</v>
      </c>
      <c r="O3" s="2">
        <f>(E12-I12)/O2</f>
        <v>11.811439999999999</v>
      </c>
      <c r="R3" s="1">
        <v>42221</v>
      </c>
      <c r="S3" t="s">
        <v>154</v>
      </c>
    </row>
    <row r="4" spans="1:19" x14ac:dyDescent="0.25">
      <c r="B4" s="1">
        <v>42152</v>
      </c>
      <c r="C4">
        <v>50</v>
      </c>
      <c r="D4" s="2">
        <v>12.94</v>
      </c>
      <c r="E4" s="2">
        <f t="shared" si="0"/>
        <v>647</v>
      </c>
      <c r="M4" s="20" t="s">
        <v>66</v>
      </c>
      <c r="O4" s="4">
        <v>9.43</v>
      </c>
    </row>
    <row r="5" spans="1:19" x14ac:dyDescent="0.25">
      <c r="B5" s="1">
        <v>42166</v>
      </c>
      <c r="C5">
        <v>48</v>
      </c>
      <c r="D5" s="2">
        <v>12.3</v>
      </c>
      <c r="E5" s="2">
        <f t="shared" si="0"/>
        <v>590.40000000000009</v>
      </c>
      <c r="M5" s="20" t="s">
        <v>67</v>
      </c>
      <c r="O5" s="5">
        <f>O4*O2</f>
        <v>4715</v>
      </c>
    </row>
    <row r="6" spans="1:19" x14ac:dyDescent="0.25">
      <c r="B6" s="1">
        <v>42180</v>
      </c>
      <c r="C6">
        <v>50</v>
      </c>
      <c r="D6" s="2">
        <v>11.7</v>
      </c>
      <c r="E6" s="2">
        <f t="shared" si="0"/>
        <v>585</v>
      </c>
      <c r="M6" s="20" t="s">
        <v>64</v>
      </c>
      <c r="O6" s="2">
        <f>O3*O2</f>
        <v>5905.7199999999993</v>
      </c>
    </row>
    <row r="7" spans="1:19" x14ac:dyDescent="0.25">
      <c r="B7" s="1">
        <v>42198</v>
      </c>
      <c r="C7">
        <v>50</v>
      </c>
      <c r="D7" s="2">
        <v>10.5</v>
      </c>
      <c r="E7" s="2">
        <f t="shared" si="0"/>
        <v>525</v>
      </c>
      <c r="M7" s="20" t="s">
        <v>65</v>
      </c>
      <c r="O7" s="2">
        <f>O5-O6+K12</f>
        <v>-1190.7199999999993</v>
      </c>
    </row>
    <row r="8" spans="1:19" x14ac:dyDescent="0.25">
      <c r="B8" s="1">
        <v>42205</v>
      </c>
      <c r="C8" s="17">
        <v>20</v>
      </c>
      <c r="D8" s="80">
        <v>10.56</v>
      </c>
      <c r="E8" s="80">
        <f t="shared" si="0"/>
        <v>211.20000000000002</v>
      </c>
    </row>
    <row r="9" spans="1:19" x14ac:dyDescent="0.25">
      <c r="B9" s="1">
        <v>42208</v>
      </c>
      <c r="C9" s="17">
        <v>32</v>
      </c>
      <c r="D9" s="80">
        <v>10.220000000000001</v>
      </c>
      <c r="E9" s="80">
        <f t="shared" si="0"/>
        <v>327.04000000000002</v>
      </c>
    </row>
    <row r="10" spans="1:19" x14ac:dyDescent="0.25">
      <c r="B10" s="1">
        <v>42230</v>
      </c>
      <c r="C10">
        <v>100</v>
      </c>
      <c r="D10" s="2">
        <v>9.58</v>
      </c>
      <c r="E10" s="2">
        <f t="shared" si="0"/>
        <v>958</v>
      </c>
    </row>
    <row r="11" spans="1:19" x14ac:dyDescent="0.25">
      <c r="B11" s="1">
        <v>42233</v>
      </c>
      <c r="C11" s="16">
        <v>150</v>
      </c>
      <c r="D11" s="72">
        <v>9.3000000000000007</v>
      </c>
      <c r="E11" s="72">
        <f t="shared" si="0"/>
        <v>1395</v>
      </c>
    </row>
    <row r="12" spans="1:19" x14ac:dyDescent="0.25">
      <c r="A12" s="59" t="s">
        <v>115</v>
      </c>
      <c r="B12" s="24"/>
      <c r="C12" s="24">
        <f>SUM(C2:C11)</f>
        <v>702</v>
      </c>
      <c r="D12" s="31"/>
      <c r="E12" s="31">
        <f>SUM(E2:E11)</f>
        <v>7873.62</v>
      </c>
      <c r="F12" s="24"/>
      <c r="G12" s="24">
        <f>SUM(G2:G9)</f>
        <v>202</v>
      </c>
      <c r="H12" s="31"/>
      <c r="I12" s="31">
        <f>SUM(I2:I9)</f>
        <v>1967.9</v>
      </c>
      <c r="J12" s="24"/>
      <c r="K12" s="24"/>
    </row>
    <row r="13" spans="1:19" x14ac:dyDescent="0.25">
      <c r="R13" s="20" t="s">
        <v>151</v>
      </c>
      <c r="S13" s="20"/>
    </row>
    <row r="14" spans="1:19" x14ac:dyDescent="0.25">
      <c r="R14" s="1">
        <v>42285</v>
      </c>
      <c r="S14" t="s">
        <v>130</v>
      </c>
    </row>
    <row r="19" spans="13:16" x14ac:dyDescent="0.25">
      <c r="N19" t="s">
        <v>90</v>
      </c>
      <c r="P19" s="61"/>
    </row>
    <row r="20" spans="13:16" x14ac:dyDescent="0.25">
      <c r="M20" s="2">
        <f>$O$4</f>
        <v>9.43</v>
      </c>
      <c r="N20">
        <v>1.1000000000000001</v>
      </c>
      <c r="O20" s="2">
        <f t="shared" ref="O20:O32" si="1">N20*M20</f>
        <v>10.373000000000001</v>
      </c>
      <c r="P20" s="61"/>
    </row>
    <row r="21" spans="13:16" x14ac:dyDescent="0.25">
      <c r="M21" s="2">
        <f>$O$4</f>
        <v>9.43</v>
      </c>
      <c r="N21">
        <v>1.05</v>
      </c>
      <c r="O21" s="2">
        <f t="shared" si="1"/>
        <v>9.9015000000000004</v>
      </c>
      <c r="P21" s="61"/>
    </row>
    <row r="22" spans="13:16" x14ac:dyDescent="0.25">
      <c r="M22" s="2">
        <f t="shared" ref="M22:M32" si="2">$O$4</f>
        <v>9.43</v>
      </c>
      <c r="N22">
        <v>1.04</v>
      </c>
      <c r="O22" s="2">
        <f t="shared" si="1"/>
        <v>9.8071999999999999</v>
      </c>
      <c r="P22" s="61" t="s">
        <v>117</v>
      </c>
    </row>
    <row r="23" spans="13:16" x14ac:dyDescent="0.25">
      <c r="M23" s="2">
        <f t="shared" si="2"/>
        <v>9.43</v>
      </c>
      <c r="N23" s="2">
        <v>1.03</v>
      </c>
      <c r="O23" s="2">
        <f t="shared" si="1"/>
        <v>9.7128999999999994</v>
      </c>
      <c r="P23" s="61"/>
    </row>
    <row r="24" spans="13:16" x14ac:dyDescent="0.25">
      <c r="M24" s="2">
        <f t="shared" si="2"/>
        <v>9.43</v>
      </c>
      <c r="N24" s="2">
        <v>1.02</v>
      </c>
      <c r="O24" s="2">
        <f t="shared" si="1"/>
        <v>9.6186000000000007</v>
      </c>
      <c r="P24" s="61"/>
    </row>
    <row r="25" spans="13:16" x14ac:dyDescent="0.25">
      <c r="M25" s="2">
        <f t="shared" si="2"/>
        <v>9.43</v>
      </c>
      <c r="N25" s="2">
        <v>1.01</v>
      </c>
      <c r="O25" s="2">
        <f t="shared" si="1"/>
        <v>9.5243000000000002</v>
      </c>
      <c r="P25" s="61"/>
    </row>
    <row r="26" spans="13:16" x14ac:dyDescent="0.25">
      <c r="M26" s="2">
        <f t="shared" si="2"/>
        <v>9.43</v>
      </c>
      <c r="N26" s="2">
        <v>1</v>
      </c>
      <c r="O26" s="2">
        <f t="shared" si="1"/>
        <v>9.43</v>
      </c>
      <c r="P26" s="61"/>
    </row>
    <row r="27" spans="13:16" x14ac:dyDescent="0.25">
      <c r="M27" s="2">
        <f t="shared" si="2"/>
        <v>9.43</v>
      </c>
      <c r="N27" s="2">
        <v>0.99</v>
      </c>
      <c r="O27" s="2">
        <f t="shared" si="1"/>
        <v>9.3356999999999992</v>
      </c>
      <c r="P27" s="61"/>
    </row>
    <row r="28" spans="13:16" x14ac:dyDescent="0.25">
      <c r="M28" s="2">
        <f t="shared" si="2"/>
        <v>9.43</v>
      </c>
      <c r="N28" s="2">
        <v>0.98</v>
      </c>
      <c r="O28" s="2">
        <f t="shared" si="1"/>
        <v>9.2413999999999987</v>
      </c>
      <c r="P28" s="61" t="s">
        <v>118</v>
      </c>
    </row>
    <row r="29" spans="13:16" x14ac:dyDescent="0.25">
      <c r="M29" s="2">
        <f t="shared" si="2"/>
        <v>9.43</v>
      </c>
      <c r="N29" s="2">
        <v>0.97</v>
      </c>
      <c r="O29" s="2">
        <f t="shared" si="1"/>
        <v>9.1471</v>
      </c>
      <c r="P29" s="61"/>
    </row>
    <row r="30" spans="13:16" x14ac:dyDescent="0.25">
      <c r="M30" s="2">
        <f t="shared" si="2"/>
        <v>9.43</v>
      </c>
      <c r="N30" s="2">
        <v>0.96</v>
      </c>
      <c r="O30" s="2">
        <f t="shared" si="1"/>
        <v>9.0527999999999995</v>
      </c>
      <c r="P30" s="61"/>
    </row>
    <row r="31" spans="13:16" x14ac:dyDescent="0.25">
      <c r="M31" s="2">
        <f t="shared" si="2"/>
        <v>9.43</v>
      </c>
      <c r="N31" s="2">
        <v>0.95</v>
      </c>
      <c r="O31" s="2">
        <f t="shared" si="1"/>
        <v>8.958499999999999</v>
      </c>
      <c r="P31" s="61"/>
    </row>
    <row r="32" spans="13:16" x14ac:dyDescent="0.25">
      <c r="M32" s="2">
        <f t="shared" si="2"/>
        <v>9.43</v>
      </c>
      <c r="N32" s="2">
        <v>0.9</v>
      </c>
      <c r="O32" s="2">
        <f t="shared" si="1"/>
        <v>8.4870000000000001</v>
      </c>
      <c r="P32" s="61"/>
    </row>
  </sheetData>
  <conditionalFormatting sqref="O7">
    <cfRule type="expression" dxfId="43" priority="4">
      <formula>O7&gt;0</formula>
    </cfRule>
    <cfRule type="expression" dxfId="42" priority="5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S1" s="20" t="s">
        <v>75</v>
      </c>
    </row>
    <row r="2" spans="1:20" x14ac:dyDescent="0.25">
      <c r="A2" s="8" t="s">
        <v>15</v>
      </c>
      <c r="B2" s="1">
        <v>42153</v>
      </c>
      <c r="C2">
        <v>1</v>
      </c>
      <c r="D2" s="2">
        <v>26.75</v>
      </c>
      <c r="E2" s="2">
        <f>C2*D2</f>
        <v>26.75</v>
      </c>
      <c r="F2" s="1">
        <v>42226</v>
      </c>
      <c r="G2" s="10">
        <v>170</v>
      </c>
      <c r="H2" s="10">
        <v>22.35</v>
      </c>
      <c r="I2" s="10">
        <f>G2*H2</f>
        <v>3799.5000000000005</v>
      </c>
      <c r="J2" t="s">
        <v>114</v>
      </c>
      <c r="M2" s="20" t="s">
        <v>57</v>
      </c>
      <c r="O2">
        <f>C12-G12</f>
        <v>80</v>
      </c>
      <c r="S2" s="1">
        <v>42314</v>
      </c>
      <c r="T2" t="s">
        <v>130</v>
      </c>
    </row>
    <row r="3" spans="1:20" x14ac:dyDescent="0.25">
      <c r="A3" s="36" t="s">
        <v>82</v>
      </c>
      <c r="B3" s="1">
        <v>42173</v>
      </c>
      <c r="C3">
        <v>19</v>
      </c>
      <c r="D3" s="2">
        <v>24.84</v>
      </c>
      <c r="E3" s="2">
        <f t="shared" ref="E3:E11" si="0">C3*D3</f>
        <v>471.96</v>
      </c>
      <c r="M3" s="20" t="s">
        <v>58</v>
      </c>
      <c r="O3" s="2">
        <f>(E12-I12)/O2</f>
        <v>22.065749999999998</v>
      </c>
    </row>
    <row r="4" spans="1:20" x14ac:dyDescent="0.25">
      <c r="B4" s="1">
        <v>42184</v>
      </c>
      <c r="C4">
        <v>10</v>
      </c>
      <c r="D4" s="2">
        <v>24.33</v>
      </c>
      <c r="E4" s="2">
        <f t="shared" si="0"/>
        <v>243.29999999999998</v>
      </c>
      <c r="M4" s="20" t="s">
        <v>66</v>
      </c>
      <c r="O4" s="4">
        <v>20.81</v>
      </c>
    </row>
    <row r="5" spans="1:20" x14ac:dyDescent="0.25">
      <c r="B5" s="1">
        <v>42185</v>
      </c>
      <c r="C5">
        <v>5</v>
      </c>
      <c r="D5" s="2">
        <v>23.82</v>
      </c>
      <c r="E5" s="2">
        <f t="shared" si="0"/>
        <v>119.1</v>
      </c>
      <c r="M5" s="20" t="s">
        <v>67</v>
      </c>
      <c r="O5" s="5">
        <f>O4*O2</f>
        <v>1664.8</v>
      </c>
    </row>
    <row r="6" spans="1:20" x14ac:dyDescent="0.25">
      <c r="B6" s="1">
        <v>42185</v>
      </c>
      <c r="C6">
        <v>15</v>
      </c>
      <c r="D6" s="2">
        <v>23.71</v>
      </c>
      <c r="E6" s="2">
        <f t="shared" si="0"/>
        <v>355.65000000000003</v>
      </c>
      <c r="M6" s="20" t="s">
        <v>64</v>
      </c>
      <c r="O6" s="2">
        <f>O3*O2</f>
        <v>1765.2599999999998</v>
      </c>
    </row>
    <row r="7" spans="1:20" x14ac:dyDescent="0.25">
      <c r="B7" s="1">
        <v>42185</v>
      </c>
      <c r="C7">
        <v>30</v>
      </c>
      <c r="D7" s="2">
        <v>23.65</v>
      </c>
      <c r="E7" s="2">
        <f t="shared" si="0"/>
        <v>709.5</v>
      </c>
      <c r="M7" s="20" t="s">
        <v>65</v>
      </c>
      <c r="O7" s="2">
        <f>O5-O6</f>
        <v>-100.45999999999981</v>
      </c>
    </row>
    <row r="8" spans="1:20" x14ac:dyDescent="0.25">
      <c r="B8" s="1">
        <v>42185</v>
      </c>
      <c r="C8" s="10">
        <v>40</v>
      </c>
      <c r="D8" s="25">
        <v>23.2</v>
      </c>
      <c r="E8" s="25">
        <f t="shared" si="0"/>
        <v>928</v>
      </c>
    </row>
    <row r="9" spans="1:20" x14ac:dyDescent="0.25">
      <c r="B9" s="1">
        <v>42185</v>
      </c>
      <c r="C9" s="10">
        <v>50</v>
      </c>
      <c r="D9" s="25">
        <v>22.94</v>
      </c>
      <c r="E9" s="25">
        <f t="shared" si="0"/>
        <v>1147</v>
      </c>
    </row>
    <row r="10" spans="1:20" x14ac:dyDescent="0.25">
      <c r="B10" s="1">
        <v>42209</v>
      </c>
      <c r="C10" s="10">
        <v>50</v>
      </c>
      <c r="D10" s="25">
        <v>19.75</v>
      </c>
      <c r="E10" s="25">
        <f t="shared" si="0"/>
        <v>987.5</v>
      </c>
    </row>
    <row r="11" spans="1:20" x14ac:dyDescent="0.25">
      <c r="B11" s="1">
        <v>42212</v>
      </c>
      <c r="C11" s="10">
        <v>30</v>
      </c>
      <c r="D11" s="25">
        <v>19.2</v>
      </c>
      <c r="E11" s="25">
        <f t="shared" si="0"/>
        <v>576</v>
      </c>
    </row>
    <row r="12" spans="1:20" x14ac:dyDescent="0.25">
      <c r="A12" s="59" t="s">
        <v>115</v>
      </c>
      <c r="B12" s="24"/>
      <c r="C12" s="24">
        <f>SUM(C2:C11)</f>
        <v>250</v>
      </c>
      <c r="D12" s="31"/>
      <c r="E12" s="31">
        <f>SUM(E2:E11)</f>
        <v>5564.76</v>
      </c>
      <c r="F12" s="24"/>
      <c r="G12" s="24">
        <f>SUM(G2:G11)</f>
        <v>170</v>
      </c>
      <c r="H12" s="24"/>
      <c r="I12" s="24">
        <f>SUM(I2:I11)</f>
        <v>3799.5000000000005</v>
      </c>
      <c r="J12" s="24"/>
      <c r="K12" s="24"/>
    </row>
    <row r="18" spans="13:15" x14ac:dyDescent="0.25">
      <c r="N18" t="s">
        <v>90</v>
      </c>
    </row>
    <row r="19" spans="13:15" x14ac:dyDescent="0.25">
      <c r="M19" s="2">
        <f>$O$4</f>
        <v>20.81</v>
      </c>
      <c r="N19">
        <v>1.1000000000000001</v>
      </c>
      <c r="O19" s="2">
        <f t="shared" ref="O19:O31" si="1">N19*M19</f>
        <v>22.891000000000002</v>
      </c>
    </row>
    <row r="20" spans="13:15" x14ac:dyDescent="0.25">
      <c r="M20" s="2">
        <f>$O$4</f>
        <v>20.81</v>
      </c>
      <c r="N20">
        <v>1.05</v>
      </c>
      <c r="O20" s="2">
        <f t="shared" si="1"/>
        <v>21.8505</v>
      </c>
    </row>
    <row r="21" spans="13:15" x14ac:dyDescent="0.25">
      <c r="M21" s="2">
        <f t="shared" ref="M21:M31" si="2">$O$4</f>
        <v>20.81</v>
      </c>
      <c r="N21">
        <v>1.04</v>
      </c>
      <c r="O21" s="2">
        <f t="shared" si="1"/>
        <v>21.642399999999999</v>
      </c>
    </row>
    <row r="22" spans="13:15" x14ac:dyDescent="0.25">
      <c r="M22" s="2">
        <f t="shared" si="2"/>
        <v>20.81</v>
      </c>
      <c r="N22" s="2">
        <v>1.03</v>
      </c>
      <c r="O22" s="2">
        <f t="shared" si="1"/>
        <v>21.4343</v>
      </c>
    </row>
    <row r="23" spans="13:15" x14ac:dyDescent="0.25">
      <c r="M23" s="2">
        <f t="shared" si="2"/>
        <v>20.81</v>
      </c>
      <c r="N23" s="2">
        <v>1.02</v>
      </c>
      <c r="O23" s="2">
        <f t="shared" si="1"/>
        <v>21.226199999999999</v>
      </c>
    </row>
    <row r="24" spans="13:15" x14ac:dyDescent="0.25">
      <c r="M24" s="2">
        <f t="shared" si="2"/>
        <v>20.81</v>
      </c>
      <c r="N24" s="2">
        <v>1.01</v>
      </c>
      <c r="O24" s="2">
        <f t="shared" si="1"/>
        <v>21.0181</v>
      </c>
    </row>
    <row r="25" spans="13:15" x14ac:dyDescent="0.25">
      <c r="M25" s="2">
        <f t="shared" si="2"/>
        <v>20.81</v>
      </c>
      <c r="N25" s="2">
        <v>1</v>
      </c>
      <c r="O25" s="2">
        <f t="shared" si="1"/>
        <v>20.81</v>
      </c>
    </row>
    <row r="26" spans="13:15" x14ac:dyDescent="0.25">
      <c r="M26" s="2">
        <f t="shared" si="2"/>
        <v>20.81</v>
      </c>
      <c r="N26" s="2">
        <v>0.99</v>
      </c>
      <c r="O26" s="2">
        <f t="shared" si="1"/>
        <v>20.601899999999997</v>
      </c>
    </row>
    <row r="27" spans="13:15" x14ac:dyDescent="0.25">
      <c r="M27" s="2">
        <f t="shared" si="2"/>
        <v>20.81</v>
      </c>
      <c r="N27" s="2">
        <v>0.98</v>
      </c>
      <c r="O27" s="2">
        <f t="shared" si="1"/>
        <v>20.393799999999999</v>
      </c>
    </row>
    <row r="28" spans="13:15" x14ac:dyDescent="0.25">
      <c r="M28" s="2">
        <f t="shared" si="2"/>
        <v>20.81</v>
      </c>
      <c r="N28" s="2">
        <v>0.97</v>
      </c>
      <c r="O28" s="2">
        <f t="shared" si="1"/>
        <v>20.185699999999997</v>
      </c>
    </row>
    <row r="29" spans="13:15" x14ac:dyDescent="0.25">
      <c r="M29" s="2">
        <f t="shared" si="2"/>
        <v>20.81</v>
      </c>
      <c r="N29" s="2">
        <v>0.96</v>
      </c>
      <c r="O29" s="2">
        <f t="shared" si="1"/>
        <v>19.977599999999999</v>
      </c>
    </row>
    <row r="30" spans="13:15" x14ac:dyDescent="0.25">
      <c r="M30" s="2">
        <f t="shared" si="2"/>
        <v>20.81</v>
      </c>
      <c r="N30" s="2">
        <v>0.95</v>
      </c>
      <c r="O30" s="2">
        <f t="shared" si="1"/>
        <v>19.769499999999997</v>
      </c>
    </row>
    <row r="31" spans="13:15" x14ac:dyDescent="0.25">
      <c r="M31" s="2">
        <f t="shared" si="2"/>
        <v>20.81</v>
      </c>
      <c r="N31" s="2">
        <v>0.9</v>
      </c>
      <c r="O31" s="2">
        <f t="shared" si="1"/>
        <v>18.728999999999999</v>
      </c>
    </row>
  </sheetData>
  <conditionalFormatting sqref="O7">
    <cfRule type="expression" dxfId="41" priority="2">
      <formula>O7&gt;0</formula>
    </cfRule>
    <cfRule type="expression" dxfId="40" priority="3">
      <formula>O7&lt;0</formula>
    </cfRule>
  </conditionalFormatting>
  <conditionalFormatting sqref="N19:N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10" style="2" customWidth="1"/>
    <col min="5" max="5" width="9.140625" style="2"/>
    <col min="8" max="9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89</v>
      </c>
      <c r="K1" s="20" t="s">
        <v>38</v>
      </c>
      <c r="R1" s="20" t="s">
        <v>75</v>
      </c>
    </row>
    <row r="2" spans="1:19" x14ac:dyDescent="0.25">
      <c r="A2" s="8" t="s">
        <v>24</v>
      </c>
      <c r="B2" s="1">
        <v>42156</v>
      </c>
      <c r="C2">
        <v>5</v>
      </c>
      <c r="D2" s="2">
        <v>48.55</v>
      </c>
      <c r="E2" s="2">
        <f>C2*D2</f>
        <v>242.75</v>
      </c>
      <c r="F2" s="1">
        <v>42186</v>
      </c>
      <c r="G2" s="19">
        <v>100</v>
      </c>
      <c r="H2" s="67">
        <v>44.99</v>
      </c>
      <c r="I2" s="67">
        <f>G2*H2</f>
        <v>4499</v>
      </c>
      <c r="J2" t="s">
        <v>114</v>
      </c>
      <c r="M2" t="s">
        <v>57</v>
      </c>
      <c r="O2">
        <f>C10-G10</f>
        <v>40</v>
      </c>
      <c r="R2" t="s">
        <v>132</v>
      </c>
      <c r="S2" t="s">
        <v>133</v>
      </c>
    </row>
    <row r="3" spans="1:19" x14ac:dyDescent="0.25">
      <c r="A3" s="36" t="s">
        <v>82</v>
      </c>
      <c r="B3" s="1">
        <v>42156</v>
      </c>
      <c r="C3">
        <v>5</v>
      </c>
      <c r="D3" s="2">
        <v>47.01</v>
      </c>
      <c r="E3" s="2">
        <f t="shared" ref="E3:E9" si="0">C3*D3</f>
        <v>235.04999999999998</v>
      </c>
      <c r="F3" s="1">
        <v>42227</v>
      </c>
      <c r="G3" s="6">
        <v>100</v>
      </c>
      <c r="H3" s="5">
        <v>43</v>
      </c>
      <c r="I3" s="5">
        <f>G3*H3</f>
        <v>4300</v>
      </c>
      <c r="M3" t="s">
        <v>58</v>
      </c>
      <c r="O3" s="2">
        <f>(E10-I10)/O2</f>
        <v>48.684999999999988</v>
      </c>
      <c r="R3" s="1">
        <v>42312</v>
      </c>
      <c r="S3" t="s">
        <v>130</v>
      </c>
    </row>
    <row r="4" spans="1:19" x14ac:dyDescent="0.25">
      <c r="B4" s="1">
        <v>42156</v>
      </c>
      <c r="C4">
        <v>10</v>
      </c>
      <c r="D4" s="2">
        <v>46.5</v>
      </c>
      <c r="E4" s="2">
        <f t="shared" si="0"/>
        <v>465</v>
      </c>
      <c r="F4" s="1"/>
      <c r="M4" t="s">
        <v>66</v>
      </c>
      <c r="O4" s="4">
        <v>43.52</v>
      </c>
    </row>
    <row r="5" spans="1:19" x14ac:dyDescent="0.25">
      <c r="B5" s="1">
        <v>42156</v>
      </c>
      <c r="C5">
        <v>50</v>
      </c>
      <c r="D5" s="2">
        <v>45.95</v>
      </c>
      <c r="E5" s="2">
        <f t="shared" si="0"/>
        <v>2297.5</v>
      </c>
      <c r="M5" t="s">
        <v>67</v>
      </c>
      <c r="O5" s="5">
        <f>O4*O2</f>
        <v>1740.8000000000002</v>
      </c>
    </row>
    <row r="6" spans="1:19" x14ac:dyDescent="0.25">
      <c r="B6" s="1">
        <v>42156</v>
      </c>
      <c r="C6">
        <v>30</v>
      </c>
      <c r="D6" s="2">
        <v>45.95</v>
      </c>
      <c r="E6" s="2">
        <f t="shared" si="0"/>
        <v>1378.5</v>
      </c>
      <c r="M6" t="s">
        <v>64</v>
      </c>
      <c r="O6" s="2">
        <f>O3*O2</f>
        <v>1947.3999999999996</v>
      </c>
    </row>
    <row r="7" spans="1:19" x14ac:dyDescent="0.25">
      <c r="B7" s="1">
        <v>42186</v>
      </c>
      <c r="C7" s="19">
        <v>100</v>
      </c>
      <c r="D7" s="67">
        <v>44.9</v>
      </c>
      <c r="E7" s="67">
        <f t="shared" si="0"/>
        <v>4490</v>
      </c>
      <c r="M7" t="s">
        <v>65</v>
      </c>
      <c r="O7" s="2">
        <f>O5-O6</f>
        <v>-206.59999999999945</v>
      </c>
    </row>
    <row r="8" spans="1:19" x14ac:dyDescent="0.25">
      <c r="B8" s="1">
        <v>42206</v>
      </c>
      <c r="C8">
        <v>20</v>
      </c>
      <c r="D8" s="2">
        <v>41.2</v>
      </c>
      <c r="E8" s="2">
        <f t="shared" si="0"/>
        <v>824</v>
      </c>
    </row>
    <row r="9" spans="1:19" x14ac:dyDescent="0.25">
      <c r="B9" s="1">
        <v>42207</v>
      </c>
      <c r="C9">
        <v>20</v>
      </c>
      <c r="D9" s="2">
        <v>40.68</v>
      </c>
      <c r="E9" s="2">
        <f t="shared" si="0"/>
        <v>813.6</v>
      </c>
    </row>
    <row r="10" spans="1:19" x14ac:dyDescent="0.25">
      <c r="A10" s="65" t="s">
        <v>115</v>
      </c>
      <c r="B10" s="66"/>
      <c r="C10" s="66">
        <f>SUM(C2:C9)</f>
        <v>240</v>
      </c>
      <c r="D10" s="68"/>
      <c r="E10" s="68">
        <f>SUM(E2:E9)</f>
        <v>10746.4</v>
      </c>
      <c r="F10" s="66"/>
      <c r="G10" s="66">
        <f>SUM(G2:G9)</f>
        <v>200</v>
      </c>
      <c r="H10" s="68"/>
      <c r="I10" s="68">
        <f>SUM(I2:I9)</f>
        <v>8799</v>
      </c>
      <c r="J10" s="66"/>
      <c r="K10" s="66"/>
    </row>
    <row r="21" spans="13:16" x14ac:dyDescent="0.25">
      <c r="N21" t="s">
        <v>90</v>
      </c>
      <c r="P21" s="61"/>
    </row>
    <row r="22" spans="13:16" x14ac:dyDescent="0.25">
      <c r="M22" s="2">
        <f>$O$4</f>
        <v>43.52</v>
      </c>
      <c r="N22">
        <v>1.1000000000000001</v>
      </c>
      <c r="O22" s="2">
        <f t="shared" ref="O22:O34" si="1">N22*M22</f>
        <v>47.872000000000007</v>
      </c>
      <c r="P22" s="61"/>
    </row>
    <row r="23" spans="13:16" x14ac:dyDescent="0.25">
      <c r="M23" s="2">
        <f>$O$4</f>
        <v>43.52</v>
      </c>
      <c r="N23">
        <v>1.05</v>
      </c>
      <c r="O23" s="2">
        <f t="shared" si="1"/>
        <v>45.696000000000005</v>
      </c>
      <c r="P23" s="61"/>
    </row>
    <row r="24" spans="13:16" x14ac:dyDescent="0.25">
      <c r="M24" s="2">
        <f t="shared" ref="M24:M34" si="2">$O$4</f>
        <v>43.52</v>
      </c>
      <c r="N24">
        <v>1.04</v>
      </c>
      <c r="O24" s="2">
        <f t="shared" si="1"/>
        <v>45.260800000000003</v>
      </c>
      <c r="P24" s="61"/>
    </row>
    <row r="25" spans="13:16" x14ac:dyDescent="0.25">
      <c r="M25" s="2">
        <f t="shared" si="2"/>
        <v>43.52</v>
      </c>
      <c r="N25" s="2">
        <v>1.03</v>
      </c>
      <c r="O25" s="2">
        <f t="shared" si="1"/>
        <v>44.825600000000001</v>
      </c>
      <c r="P25" s="61"/>
    </row>
    <row r="26" spans="13:16" x14ac:dyDescent="0.25">
      <c r="M26" s="2">
        <f t="shared" si="2"/>
        <v>43.52</v>
      </c>
      <c r="N26" s="2">
        <v>1.02</v>
      </c>
      <c r="O26" s="2">
        <f t="shared" si="1"/>
        <v>44.390400000000007</v>
      </c>
      <c r="P26" s="61"/>
    </row>
    <row r="27" spans="13:16" x14ac:dyDescent="0.25">
      <c r="M27" s="2">
        <f t="shared" si="2"/>
        <v>43.52</v>
      </c>
      <c r="N27" s="2">
        <v>1.01</v>
      </c>
      <c r="O27" s="2">
        <f t="shared" si="1"/>
        <v>43.955200000000005</v>
      </c>
      <c r="P27" s="61"/>
    </row>
    <row r="28" spans="13:16" x14ac:dyDescent="0.25">
      <c r="M28" s="2">
        <f t="shared" si="2"/>
        <v>43.52</v>
      </c>
      <c r="N28" s="2">
        <v>1</v>
      </c>
      <c r="O28" s="2">
        <f t="shared" si="1"/>
        <v>43.52</v>
      </c>
      <c r="P28" s="61"/>
    </row>
    <row r="29" spans="13:16" x14ac:dyDescent="0.25">
      <c r="M29" s="2">
        <f t="shared" si="2"/>
        <v>43.52</v>
      </c>
      <c r="N29" s="2">
        <v>0.99</v>
      </c>
      <c r="O29" s="2">
        <f t="shared" si="1"/>
        <v>43.084800000000001</v>
      </c>
      <c r="P29" s="61"/>
    </row>
    <row r="30" spans="13:16" x14ac:dyDescent="0.25">
      <c r="M30" s="2">
        <f t="shared" si="2"/>
        <v>43.52</v>
      </c>
      <c r="N30" s="2">
        <v>0.98</v>
      </c>
      <c r="O30" s="2">
        <f t="shared" si="1"/>
        <v>42.6496</v>
      </c>
      <c r="P30" s="61"/>
    </row>
    <row r="31" spans="13:16" x14ac:dyDescent="0.25">
      <c r="M31" s="2">
        <f t="shared" si="2"/>
        <v>43.52</v>
      </c>
      <c r="N31" s="2">
        <v>0.97</v>
      </c>
      <c r="O31" s="2">
        <f t="shared" si="1"/>
        <v>42.214400000000005</v>
      </c>
      <c r="P31" s="61" t="s">
        <v>127</v>
      </c>
    </row>
    <row r="32" spans="13:16" x14ac:dyDescent="0.25">
      <c r="M32" s="2">
        <f t="shared" si="2"/>
        <v>43.52</v>
      </c>
      <c r="N32" s="2">
        <v>0.96</v>
      </c>
      <c r="O32" s="2">
        <f t="shared" si="1"/>
        <v>41.779200000000003</v>
      </c>
      <c r="P32" s="61"/>
    </row>
    <row r="33" spans="13:16" x14ac:dyDescent="0.25">
      <c r="M33" s="2">
        <f t="shared" si="2"/>
        <v>43.52</v>
      </c>
      <c r="N33" s="2">
        <v>0.95</v>
      </c>
      <c r="O33" s="2">
        <f t="shared" si="1"/>
        <v>41.344000000000001</v>
      </c>
      <c r="P33" s="61"/>
    </row>
    <row r="34" spans="13:16" x14ac:dyDescent="0.25">
      <c r="M34" s="2">
        <f t="shared" si="2"/>
        <v>43.52</v>
      </c>
      <c r="N34" s="2">
        <v>0.9</v>
      </c>
      <c r="O34" s="2">
        <f t="shared" si="1"/>
        <v>39.168000000000006</v>
      </c>
      <c r="P34" s="61"/>
    </row>
  </sheetData>
  <conditionalFormatting sqref="O7">
    <cfRule type="expression" dxfId="39" priority="2">
      <formula>O7&gt;0</formula>
    </cfRule>
    <cfRule type="expression" dxfId="38" priority="3">
      <formula>O7&lt;0</formula>
    </cfRule>
  </conditionalFormatting>
  <conditionalFormatting sqref="N22:N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1" max="11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34" t="s">
        <v>38</v>
      </c>
      <c r="R1" s="20" t="s">
        <v>75</v>
      </c>
    </row>
    <row r="2" spans="1:19" x14ac:dyDescent="0.25">
      <c r="A2" s="8" t="s">
        <v>45</v>
      </c>
      <c r="B2" s="1">
        <v>42185</v>
      </c>
      <c r="C2">
        <v>10</v>
      </c>
      <c r="D2" s="2">
        <v>65.45</v>
      </c>
      <c r="E2" s="2">
        <f t="shared" ref="E2:E7" si="0">C2*D2</f>
        <v>654.5</v>
      </c>
      <c r="F2" s="1">
        <v>42226</v>
      </c>
      <c r="G2" s="10">
        <v>30</v>
      </c>
      <c r="H2" s="25">
        <v>62.9</v>
      </c>
      <c r="I2" s="25">
        <f>G2*H2</f>
        <v>1887</v>
      </c>
      <c r="M2" s="20" t="s">
        <v>57</v>
      </c>
      <c r="O2">
        <f>C8-G8</f>
        <v>100</v>
      </c>
      <c r="R2" s="1">
        <v>42306</v>
      </c>
      <c r="S2" t="s">
        <v>130</v>
      </c>
    </row>
    <row r="3" spans="1:19" x14ac:dyDescent="0.25">
      <c r="A3" s="36" t="s">
        <v>82</v>
      </c>
      <c r="B3" s="1">
        <v>42223</v>
      </c>
      <c r="C3">
        <v>30</v>
      </c>
      <c r="D3" s="2">
        <v>61.3</v>
      </c>
      <c r="E3" s="2">
        <f t="shared" si="0"/>
        <v>1839</v>
      </c>
      <c r="F3" s="1">
        <v>42235</v>
      </c>
      <c r="G3" s="17">
        <v>30</v>
      </c>
      <c r="H3" s="80">
        <v>63.59</v>
      </c>
      <c r="I3" s="80">
        <f>G3*H3</f>
        <v>1907.7</v>
      </c>
      <c r="M3" s="20" t="s">
        <v>58</v>
      </c>
      <c r="O3" s="2">
        <f>(E8-I8)/O2</f>
        <v>62.165999999999997</v>
      </c>
    </row>
    <row r="4" spans="1:19" x14ac:dyDescent="0.25">
      <c r="B4" s="1">
        <v>42223</v>
      </c>
      <c r="C4" s="6">
        <v>40</v>
      </c>
      <c r="D4" s="5">
        <v>62.45</v>
      </c>
      <c r="E4" s="5">
        <f t="shared" si="0"/>
        <v>2498</v>
      </c>
      <c r="M4" s="20" t="s">
        <v>66</v>
      </c>
      <c r="O4" s="4">
        <v>63.85</v>
      </c>
    </row>
    <row r="5" spans="1:19" x14ac:dyDescent="0.25">
      <c r="B5" s="1">
        <v>42223</v>
      </c>
      <c r="C5" s="10">
        <v>30</v>
      </c>
      <c r="D5" s="25">
        <v>62</v>
      </c>
      <c r="E5" s="25">
        <f t="shared" si="0"/>
        <v>1860</v>
      </c>
      <c r="M5" s="20" t="s">
        <v>67</v>
      </c>
      <c r="O5" s="5">
        <f>O4*O2</f>
        <v>6385</v>
      </c>
    </row>
    <row r="6" spans="1:19" x14ac:dyDescent="0.25">
      <c r="B6" s="1">
        <v>42223</v>
      </c>
      <c r="C6" s="17">
        <v>30</v>
      </c>
      <c r="D6" s="80">
        <v>62.98</v>
      </c>
      <c r="E6" s="80">
        <f t="shared" si="0"/>
        <v>1889.3999999999999</v>
      </c>
      <c r="M6" s="20" t="s">
        <v>64</v>
      </c>
      <c r="O6" s="2">
        <f>O3*O2</f>
        <v>6216.5999999999995</v>
      </c>
    </row>
    <row r="7" spans="1:19" x14ac:dyDescent="0.25">
      <c r="B7" s="1">
        <v>42223</v>
      </c>
      <c r="C7">
        <v>20</v>
      </c>
      <c r="D7" s="2">
        <v>63.52</v>
      </c>
      <c r="E7" s="2">
        <f t="shared" si="0"/>
        <v>1270.4000000000001</v>
      </c>
      <c r="M7" s="20" t="s">
        <v>65</v>
      </c>
      <c r="O7" s="2">
        <f>O5-O6+K8</f>
        <v>168.40000000000055</v>
      </c>
    </row>
    <row r="8" spans="1:19" x14ac:dyDescent="0.25">
      <c r="A8" s="59" t="s">
        <v>115</v>
      </c>
      <c r="B8" s="24"/>
      <c r="C8" s="24">
        <f>SUM(C2:C7)</f>
        <v>160</v>
      </c>
      <c r="D8" s="31"/>
      <c r="E8" s="31">
        <f>SUM(E2:E7)</f>
        <v>10011.299999999999</v>
      </c>
      <c r="F8" s="24"/>
      <c r="G8" s="24">
        <f>SUM(G2:G4)</f>
        <v>60</v>
      </c>
      <c r="H8" s="31"/>
      <c r="I8" s="31">
        <f>SUM(I2:I4)</f>
        <v>3794.7</v>
      </c>
      <c r="J8" s="24"/>
      <c r="K8" s="31"/>
    </row>
    <row r="16" spans="1:19" x14ac:dyDescent="0.25">
      <c r="A16" s="58"/>
      <c r="N16" t="s">
        <v>90</v>
      </c>
      <c r="S16" s="2"/>
    </row>
    <row r="17" spans="1:15" x14ac:dyDescent="0.25">
      <c r="A17" s="58"/>
      <c r="M17" s="2">
        <f>$O$4</f>
        <v>63.85</v>
      </c>
      <c r="N17">
        <v>1.1000000000000001</v>
      </c>
      <c r="O17" s="2">
        <f>N17*M17</f>
        <v>70.235000000000014</v>
      </c>
    </row>
    <row r="18" spans="1:15" x14ac:dyDescent="0.25">
      <c r="A18" s="58"/>
      <c r="M18" s="2">
        <f>$O$4</f>
        <v>63.85</v>
      </c>
      <c r="N18">
        <v>1.05</v>
      </c>
      <c r="O18" s="2">
        <f>N18*M18</f>
        <v>67.042500000000004</v>
      </c>
    </row>
    <row r="19" spans="1:15" x14ac:dyDescent="0.25">
      <c r="M19" s="2">
        <f t="shared" ref="M19:M29" si="1">$O$4</f>
        <v>63.85</v>
      </c>
      <c r="N19">
        <v>1.04</v>
      </c>
      <c r="O19" s="2">
        <f>N19*M19</f>
        <v>66.404000000000011</v>
      </c>
    </row>
    <row r="20" spans="1:15" x14ac:dyDescent="0.25">
      <c r="M20" s="2">
        <f t="shared" si="1"/>
        <v>63.85</v>
      </c>
      <c r="N20" s="2">
        <v>1.03</v>
      </c>
      <c r="O20" s="2">
        <f>N20*M20</f>
        <v>65.765500000000003</v>
      </c>
    </row>
    <row r="21" spans="1:15" x14ac:dyDescent="0.25">
      <c r="M21" s="2">
        <f t="shared" si="1"/>
        <v>63.85</v>
      </c>
      <c r="N21" s="2">
        <v>1.02</v>
      </c>
      <c r="O21" s="2">
        <f>N21*M21</f>
        <v>65.12700000000001</v>
      </c>
    </row>
    <row r="22" spans="1:15" x14ac:dyDescent="0.25">
      <c r="M22" s="2">
        <f t="shared" si="1"/>
        <v>63.85</v>
      </c>
      <c r="N22" s="2">
        <v>1.01</v>
      </c>
      <c r="O22" s="2">
        <f>N22*M22</f>
        <v>64.488500000000002</v>
      </c>
    </row>
    <row r="23" spans="1:15" x14ac:dyDescent="0.25">
      <c r="M23" s="2">
        <f t="shared" si="1"/>
        <v>63.85</v>
      </c>
      <c r="N23" s="2">
        <v>1</v>
      </c>
      <c r="O23" s="2">
        <f>N23*M23</f>
        <v>63.85</v>
      </c>
    </row>
    <row r="24" spans="1:15" x14ac:dyDescent="0.25">
      <c r="M24" s="2">
        <f t="shared" si="1"/>
        <v>63.85</v>
      </c>
      <c r="N24" s="2">
        <v>0.99</v>
      </c>
      <c r="O24" s="2">
        <f>N24*M24</f>
        <v>63.211500000000001</v>
      </c>
    </row>
    <row r="25" spans="1:15" x14ac:dyDescent="0.25">
      <c r="M25" s="2">
        <f t="shared" si="1"/>
        <v>63.85</v>
      </c>
      <c r="N25" s="2">
        <v>0.98</v>
      </c>
      <c r="O25" s="2">
        <f>N25*M25</f>
        <v>62.573</v>
      </c>
    </row>
    <row r="26" spans="1:15" x14ac:dyDescent="0.25">
      <c r="M26" s="2">
        <f t="shared" si="1"/>
        <v>63.85</v>
      </c>
      <c r="N26" s="2">
        <v>0.97</v>
      </c>
      <c r="O26" s="2">
        <f>N26*M26</f>
        <v>61.9345</v>
      </c>
    </row>
    <row r="27" spans="1:15" x14ac:dyDescent="0.25">
      <c r="M27" s="2">
        <f t="shared" si="1"/>
        <v>63.85</v>
      </c>
      <c r="N27" s="2">
        <v>0.96</v>
      </c>
      <c r="O27" s="2">
        <f>N27*M27</f>
        <v>61.295999999999999</v>
      </c>
    </row>
    <row r="28" spans="1:15" x14ac:dyDescent="0.25">
      <c r="M28" s="2">
        <f t="shared" si="1"/>
        <v>63.85</v>
      </c>
      <c r="N28" s="2">
        <v>0.95</v>
      </c>
      <c r="O28" s="2">
        <f>N28*M28</f>
        <v>60.657499999999999</v>
      </c>
    </row>
    <row r="29" spans="1:15" x14ac:dyDescent="0.25">
      <c r="M29" s="2">
        <f t="shared" si="1"/>
        <v>63.85</v>
      </c>
      <c r="N29" s="2">
        <v>0.9</v>
      </c>
      <c r="O29" s="2">
        <f>N29*M29</f>
        <v>57.465000000000003</v>
      </c>
    </row>
  </sheetData>
  <conditionalFormatting sqref="O7">
    <cfRule type="expression" dxfId="37" priority="2">
      <formula>O7&gt;0</formula>
    </cfRule>
    <cfRule type="expression" dxfId="36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26</v>
      </c>
      <c r="B2" s="1">
        <v>42163</v>
      </c>
      <c r="C2">
        <v>50</v>
      </c>
      <c r="D2" s="2">
        <v>5.9</v>
      </c>
      <c r="E2" s="2">
        <f>C2*D2</f>
        <v>295</v>
      </c>
      <c r="F2" s="1">
        <v>42187</v>
      </c>
      <c r="G2" s="10">
        <v>200</v>
      </c>
      <c r="H2" s="10">
        <v>6.45</v>
      </c>
      <c r="I2" s="10">
        <f>G2*H2</f>
        <v>1290</v>
      </c>
      <c r="M2" s="20" t="s">
        <v>57</v>
      </c>
      <c r="O2">
        <f>C6-G6</f>
        <v>300</v>
      </c>
      <c r="R2" s="1">
        <v>42286</v>
      </c>
      <c r="S2" t="s">
        <v>130</v>
      </c>
    </row>
    <row r="3" spans="1:19" x14ac:dyDescent="0.25">
      <c r="A3" s="36" t="s">
        <v>82</v>
      </c>
      <c r="B3" s="1">
        <v>42163</v>
      </c>
      <c r="C3">
        <v>100</v>
      </c>
      <c r="D3" s="2">
        <v>6.2</v>
      </c>
      <c r="E3" s="2">
        <f>C3*D3</f>
        <v>620</v>
      </c>
      <c r="M3" s="20" t="s">
        <v>58</v>
      </c>
      <c r="O3" s="2">
        <f>(E6-I6)/O2</f>
        <v>6</v>
      </c>
    </row>
    <row r="4" spans="1:19" x14ac:dyDescent="0.25">
      <c r="B4" s="1">
        <v>42187</v>
      </c>
      <c r="C4" s="10">
        <v>200</v>
      </c>
      <c r="D4" s="25">
        <v>6.3</v>
      </c>
      <c r="E4" s="25">
        <f>C4*D4</f>
        <v>1260</v>
      </c>
      <c r="M4" s="20" t="s">
        <v>66</v>
      </c>
      <c r="O4" s="4">
        <v>5.99</v>
      </c>
    </row>
    <row r="5" spans="1:19" x14ac:dyDescent="0.25">
      <c r="B5" s="1">
        <v>42194</v>
      </c>
      <c r="C5">
        <v>150</v>
      </c>
      <c r="D5" s="2">
        <v>6.1</v>
      </c>
      <c r="E5" s="2">
        <f>C5*D5</f>
        <v>915</v>
      </c>
      <c r="M5" s="20" t="s">
        <v>67</v>
      </c>
      <c r="O5" s="5">
        <f>O4*O2</f>
        <v>1797</v>
      </c>
    </row>
    <row r="6" spans="1:19" x14ac:dyDescent="0.25">
      <c r="A6" s="59" t="s">
        <v>115</v>
      </c>
      <c r="B6" s="24"/>
      <c r="C6" s="24">
        <f>SUM(C2:C5)</f>
        <v>500</v>
      </c>
      <c r="D6" s="31"/>
      <c r="E6" s="31">
        <f>SUM(E2:E5)</f>
        <v>3090</v>
      </c>
      <c r="F6" s="24"/>
      <c r="G6" s="24">
        <f>SUM(G2:G5)</f>
        <v>200</v>
      </c>
      <c r="H6" s="24"/>
      <c r="I6" s="24">
        <f>SUM(I2:I5)</f>
        <v>1290</v>
      </c>
      <c r="J6" s="24"/>
      <c r="K6" s="24"/>
      <c r="M6" s="20" t="s">
        <v>64</v>
      </c>
      <c r="O6" s="2">
        <f>O3*O2</f>
        <v>1800</v>
      </c>
    </row>
    <row r="7" spans="1:19" x14ac:dyDescent="0.25">
      <c r="M7" s="20" t="s">
        <v>65</v>
      </c>
      <c r="O7" s="2">
        <f>O5-O6</f>
        <v>-3</v>
      </c>
    </row>
    <row r="22" spans="13:15" x14ac:dyDescent="0.25">
      <c r="N22" t="s">
        <v>90</v>
      </c>
    </row>
    <row r="23" spans="13:15" x14ac:dyDescent="0.25">
      <c r="M23" s="2">
        <f>$O$4</f>
        <v>5.99</v>
      </c>
      <c r="N23">
        <v>1.1000000000000001</v>
      </c>
      <c r="O23" s="2">
        <f t="shared" ref="O23:O35" si="0">N23*M23</f>
        <v>6.5890000000000004</v>
      </c>
    </row>
    <row r="24" spans="13:15" x14ac:dyDescent="0.25">
      <c r="M24" s="2">
        <f>$O$4</f>
        <v>5.99</v>
      </c>
      <c r="N24">
        <v>1.05</v>
      </c>
      <c r="O24" s="2">
        <f t="shared" si="0"/>
        <v>6.2895000000000003</v>
      </c>
    </row>
    <row r="25" spans="13:15" x14ac:dyDescent="0.25">
      <c r="M25" s="2">
        <f t="shared" ref="M25:M35" si="1">$O$4</f>
        <v>5.99</v>
      </c>
      <c r="N25">
        <v>1.04</v>
      </c>
      <c r="O25" s="2">
        <f t="shared" si="0"/>
        <v>6.2296000000000005</v>
      </c>
    </row>
    <row r="26" spans="13:15" x14ac:dyDescent="0.25">
      <c r="M26" s="2">
        <f t="shared" si="1"/>
        <v>5.99</v>
      </c>
      <c r="N26" s="2">
        <v>1.03</v>
      </c>
      <c r="O26" s="2">
        <f t="shared" si="0"/>
        <v>6.1697000000000006</v>
      </c>
    </row>
    <row r="27" spans="13:15" x14ac:dyDescent="0.25">
      <c r="M27" s="2">
        <f t="shared" si="1"/>
        <v>5.99</v>
      </c>
      <c r="N27" s="2">
        <v>1.02</v>
      </c>
      <c r="O27" s="2">
        <f t="shared" si="0"/>
        <v>6.1097999999999999</v>
      </c>
    </row>
    <row r="28" spans="13:15" x14ac:dyDescent="0.25">
      <c r="M28" s="2">
        <f t="shared" si="1"/>
        <v>5.99</v>
      </c>
      <c r="N28" s="2">
        <v>1.01</v>
      </c>
      <c r="O28" s="2">
        <f t="shared" si="0"/>
        <v>6.0499000000000001</v>
      </c>
    </row>
    <row r="29" spans="13:15" x14ac:dyDescent="0.25">
      <c r="M29" s="2">
        <f t="shared" si="1"/>
        <v>5.99</v>
      </c>
      <c r="N29" s="2">
        <v>1</v>
      </c>
      <c r="O29" s="2">
        <f t="shared" si="0"/>
        <v>5.99</v>
      </c>
    </row>
    <row r="30" spans="13:15" x14ac:dyDescent="0.25">
      <c r="M30" s="2">
        <f t="shared" si="1"/>
        <v>5.99</v>
      </c>
      <c r="N30" s="2">
        <v>0.99</v>
      </c>
      <c r="O30" s="2">
        <f t="shared" si="0"/>
        <v>5.9301000000000004</v>
      </c>
    </row>
    <row r="31" spans="13:15" x14ac:dyDescent="0.25">
      <c r="M31" s="2">
        <f t="shared" si="1"/>
        <v>5.99</v>
      </c>
      <c r="N31" s="2">
        <v>0.98</v>
      </c>
      <c r="O31" s="2">
        <f t="shared" si="0"/>
        <v>5.8702000000000005</v>
      </c>
    </row>
    <row r="32" spans="13:15" x14ac:dyDescent="0.25">
      <c r="M32" s="2">
        <f t="shared" si="1"/>
        <v>5.99</v>
      </c>
      <c r="N32" s="2">
        <v>0.97</v>
      </c>
      <c r="O32" s="2">
        <f t="shared" si="0"/>
        <v>5.8102999999999998</v>
      </c>
    </row>
    <row r="33" spans="13:15" x14ac:dyDescent="0.25">
      <c r="M33" s="2">
        <f t="shared" si="1"/>
        <v>5.99</v>
      </c>
      <c r="N33" s="2">
        <v>0.96</v>
      </c>
      <c r="O33" s="2">
        <f t="shared" si="0"/>
        <v>5.7504</v>
      </c>
    </row>
    <row r="34" spans="13:15" x14ac:dyDescent="0.25">
      <c r="M34" s="2">
        <f t="shared" si="1"/>
        <v>5.99</v>
      </c>
      <c r="N34" s="2">
        <v>0.95</v>
      </c>
      <c r="O34" s="2">
        <f t="shared" si="0"/>
        <v>5.6905000000000001</v>
      </c>
    </row>
    <row r="35" spans="13:15" x14ac:dyDescent="0.25">
      <c r="M35" s="2">
        <f t="shared" si="1"/>
        <v>5.99</v>
      </c>
      <c r="N35" s="2">
        <v>0.9</v>
      </c>
      <c r="O35" s="2">
        <f t="shared" si="0"/>
        <v>5.391</v>
      </c>
    </row>
  </sheetData>
  <conditionalFormatting sqref="O7">
    <cfRule type="expression" dxfId="35" priority="2">
      <formula>O7&gt;0</formula>
    </cfRule>
    <cfRule type="expression" dxfId="34" priority="3">
      <formula>O7&lt;0</formula>
    </cfRule>
  </conditionalFormatting>
  <conditionalFormatting sqref="N23:N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47</v>
      </c>
      <c r="B2" s="1">
        <v>42185</v>
      </c>
      <c r="C2">
        <v>10</v>
      </c>
      <c r="D2" s="2">
        <v>88.85</v>
      </c>
      <c r="E2" s="2">
        <f>C2*D2</f>
        <v>888.5</v>
      </c>
      <c r="J2" t="s">
        <v>135</v>
      </c>
      <c r="M2" s="20" t="s">
        <v>57</v>
      </c>
      <c r="O2">
        <f>C6-G6</f>
        <v>60</v>
      </c>
      <c r="R2" s="1">
        <v>42305</v>
      </c>
      <c r="S2" t="s">
        <v>130</v>
      </c>
    </row>
    <row r="3" spans="1:19" x14ac:dyDescent="0.25">
      <c r="A3" s="36" t="s">
        <v>82</v>
      </c>
      <c r="B3" s="1">
        <v>42214</v>
      </c>
      <c r="C3">
        <v>10</v>
      </c>
      <c r="D3" s="2">
        <v>83</v>
      </c>
      <c r="E3" s="2">
        <f t="shared" ref="E3:E5" si="0">C3*D3</f>
        <v>830</v>
      </c>
      <c r="M3" s="20" t="s">
        <v>58</v>
      </c>
      <c r="O3" s="2">
        <f>(E6-I6)/O2</f>
        <v>84.788333333333341</v>
      </c>
    </row>
    <row r="4" spans="1:19" x14ac:dyDescent="0.25">
      <c r="B4" s="1">
        <v>42221</v>
      </c>
      <c r="C4">
        <v>30</v>
      </c>
      <c r="D4" s="2">
        <v>84.6</v>
      </c>
      <c r="E4" s="2">
        <f t="shared" si="0"/>
        <v>2538</v>
      </c>
      <c r="M4" s="20" t="s">
        <v>66</v>
      </c>
      <c r="O4" s="4">
        <v>82.15</v>
      </c>
    </row>
    <row r="5" spans="1:19" x14ac:dyDescent="0.25">
      <c r="B5" s="1">
        <v>42222</v>
      </c>
      <c r="C5">
        <v>10</v>
      </c>
      <c r="D5" s="2">
        <v>83.08</v>
      </c>
      <c r="E5" s="2">
        <f t="shared" si="0"/>
        <v>830.8</v>
      </c>
      <c r="M5" s="20" t="s">
        <v>67</v>
      </c>
      <c r="O5" s="5">
        <f>O4*O2</f>
        <v>4929</v>
      </c>
    </row>
    <row r="6" spans="1:19" x14ac:dyDescent="0.25">
      <c r="A6" s="35" t="s">
        <v>115</v>
      </c>
      <c r="B6" s="21"/>
      <c r="C6" s="21">
        <f>SUM(C2:C5)</f>
        <v>60</v>
      </c>
      <c r="D6" s="22"/>
      <c r="E6" s="22">
        <f>SUM(E2:E5)</f>
        <v>5087.3</v>
      </c>
      <c r="F6" s="21"/>
      <c r="G6" s="21"/>
      <c r="H6" s="21"/>
      <c r="I6" s="21"/>
      <c r="J6" s="21"/>
      <c r="K6" s="21"/>
      <c r="M6" s="20" t="s">
        <v>64</v>
      </c>
      <c r="O6" s="2">
        <f>O3*O2</f>
        <v>5087.3</v>
      </c>
    </row>
    <row r="7" spans="1:19" x14ac:dyDescent="0.25">
      <c r="M7" s="20" t="s">
        <v>65</v>
      </c>
      <c r="O7" s="2">
        <f>O5-O6+K6</f>
        <v>-158.30000000000018</v>
      </c>
    </row>
    <row r="17" spans="13:16" x14ac:dyDescent="0.25">
      <c r="N17" t="s">
        <v>90</v>
      </c>
      <c r="P17" s="61"/>
    </row>
    <row r="18" spans="13:16" x14ac:dyDescent="0.25">
      <c r="M18" s="2">
        <f>$O$4</f>
        <v>82.15</v>
      </c>
      <c r="N18">
        <v>1.1000000000000001</v>
      </c>
      <c r="O18" s="2">
        <f t="shared" ref="O18:O30" si="1">N18*M18</f>
        <v>90.365000000000009</v>
      </c>
      <c r="P18" s="61"/>
    </row>
    <row r="19" spans="13:16" x14ac:dyDescent="0.25">
      <c r="M19" s="2">
        <f>$O$4</f>
        <v>82.15</v>
      </c>
      <c r="N19">
        <v>1.05</v>
      </c>
      <c r="O19" s="2">
        <f t="shared" si="1"/>
        <v>86.257500000000007</v>
      </c>
      <c r="P19" s="61"/>
    </row>
    <row r="20" spans="13:16" x14ac:dyDescent="0.25">
      <c r="M20" s="2">
        <f t="shared" ref="M20:M30" si="2">$O$4</f>
        <v>82.15</v>
      </c>
      <c r="N20">
        <v>1.04</v>
      </c>
      <c r="O20" s="2">
        <f t="shared" si="1"/>
        <v>85.436000000000007</v>
      </c>
      <c r="P20" s="61"/>
    </row>
    <row r="21" spans="13:16" x14ac:dyDescent="0.25">
      <c r="M21" s="2">
        <f t="shared" si="2"/>
        <v>82.15</v>
      </c>
      <c r="N21" s="2">
        <v>1.03</v>
      </c>
      <c r="O21" s="2">
        <f t="shared" si="1"/>
        <v>84.614500000000007</v>
      </c>
      <c r="P21" s="61" t="s">
        <v>116</v>
      </c>
    </row>
    <row r="22" spans="13:16" x14ac:dyDescent="0.25">
      <c r="M22" s="2">
        <f t="shared" si="2"/>
        <v>82.15</v>
      </c>
      <c r="N22" s="2">
        <v>1.02</v>
      </c>
      <c r="O22" s="2">
        <f t="shared" si="1"/>
        <v>83.793000000000006</v>
      </c>
      <c r="P22" s="61"/>
    </row>
    <row r="23" spans="13:16" x14ac:dyDescent="0.25">
      <c r="M23" s="2">
        <f t="shared" si="2"/>
        <v>82.15</v>
      </c>
      <c r="N23" s="2">
        <v>1.01</v>
      </c>
      <c r="O23" s="2">
        <f t="shared" si="1"/>
        <v>82.971500000000006</v>
      </c>
      <c r="P23" s="61"/>
    </row>
    <row r="24" spans="13:16" x14ac:dyDescent="0.25">
      <c r="M24" s="2">
        <f t="shared" si="2"/>
        <v>82.15</v>
      </c>
      <c r="N24" s="2">
        <v>1</v>
      </c>
      <c r="O24" s="2">
        <f t="shared" si="1"/>
        <v>82.15</v>
      </c>
      <c r="P24" s="61"/>
    </row>
    <row r="25" spans="13:16" x14ac:dyDescent="0.25">
      <c r="M25" s="2">
        <f t="shared" si="2"/>
        <v>82.15</v>
      </c>
      <c r="N25" s="2">
        <v>0.99</v>
      </c>
      <c r="O25" s="2">
        <f t="shared" si="1"/>
        <v>81.328500000000005</v>
      </c>
      <c r="P25" s="61"/>
    </row>
    <row r="26" spans="13:16" x14ac:dyDescent="0.25">
      <c r="M26" s="2">
        <f t="shared" si="2"/>
        <v>82.15</v>
      </c>
      <c r="N26" s="2">
        <v>0.98</v>
      </c>
      <c r="O26" s="2">
        <f t="shared" si="1"/>
        <v>80.507000000000005</v>
      </c>
      <c r="P26" s="61" t="s">
        <v>134</v>
      </c>
    </row>
    <row r="27" spans="13:16" x14ac:dyDescent="0.25">
      <c r="M27" s="2">
        <f t="shared" si="2"/>
        <v>82.15</v>
      </c>
      <c r="N27" s="2">
        <v>0.97</v>
      </c>
      <c r="O27" s="2">
        <f t="shared" si="1"/>
        <v>79.685500000000005</v>
      </c>
      <c r="P27" s="61"/>
    </row>
    <row r="28" spans="13:16" x14ac:dyDescent="0.25">
      <c r="M28" s="2">
        <f t="shared" si="2"/>
        <v>82.15</v>
      </c>
      <c r="N28" s="2">
        <v>0.96</v>
      </c>
      <c r="O28" s="2">
        <f t="shared" si="1"/>
        <v>78.864000000000004</v>
      </c>
      <c r="P28" s="61"/>
    </row>
    <row r="29" spans="13:16" x14ac:dyDescent="0.25">
      <c r="M29" s="2">
        <f t="shared" si="2"/>
        <v>82.15</v>
      </c>
      <c r="N29" s="2">
        <v>0.95</v>
      </c>
      <c r="O29" s="2">
        <f t="shared" si="1"/>
        <v>78.042500000000004</v>
      </c>
      <c r="P29" s="61"/>
    </row>
    <row r="30" spans="13:16" x14ac:dyDescent="0.25">
      <c r="M30" s="2">
        <f t="shared" si="2"/>
        <v>82.15</v>
      </c>
      <c r="N30" s="2">
        <v>0.9</v>
      </c>
      <c r="O30" s="2">
        <f t="shared" si="1"/>
        <v>73.935000000000002</v>
      </c>
      <c r="P30" s="61"/>
    </row>
  </sheetData>
  <conditionalFormatting sqref="O7">
    <cfRule type="expression" dxfId="33" priority="2">
      <formula>O7&gt;0</formula>
    </cfRule>
    <cfRule type="expression" dxfId="32" priority="3">
      <formula>O7&lt;0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U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</cols>
  <sheetData>
    <row r="1" spans="1:21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</row>
    <row r="2" spans="1:21" x14ac:dyDescent="0.25">
      <c r="A2" s="8" t="s">
        <v>52</v>
      </c>
      <c r="B2" s="1">
        <v>42213</v>
      </c>
      <c r="C2" s="6">
        <v>25</v>
      </c>
      <c r="D2" s="5">
        <v>84.9</v>
      </c>
      <c r="E2" s="5">
        <f t="shared" ref="E2:E8" si="0">C2*D2</f>
        <v>2122.5</v>
      </c>
      <c r="F2" s="1">
        <v>42221</v>
      </c>
      <c r="G2" s="10">
        <v>30</v>
      </c>
      <c r="H2" s="25">
        <v>84.23</v>
      </c>
      <c r="I2" s="25">
        <f>G2*H2</f>
        <v>2526.9</v>
      </c>
      <c r="M2" s="20" t="s">
        <v>57</v>
      </c>
      <c r="O2">
        <f>C10-G10</f>
        <v>40</v>
      </c>
    </row>
    <row r="3" spans="1:21" x14ac:dyDescent="0.25">
      <c r="A3" s="36" t="s">
        <v>82</v>
      </c>
      <c r="B3" s="1">
        <v>42213</v>
      </c>
      <c r="C3" s="10">
        <v>5</v>
      </c>
      <c r="D3" s="25">
        <v>84.25</v>
      </c>
      <c r="E3" s="25">
        <f t="shared" si="0"/>
        <v>421.25</v>
      </c>
      <c r="F3" s="1"/>
      <c r="M3" s="20" t="s">
        <v>58</v>
      </c>
      <c r="O3" s="2">
        <f>(E10-I10)/O2</f>
        <v>82.314999999999998</v>
      </c>
    </row>
    <row r="4" spans="1:21" x14ac:dyDescent="0.25">
      <c r="B4" s="1">
        <v>42214</v>
      </c>
      <c r="C4" s="10">
        <v>10</v>
      </c>
      <c r="D4" s="25">
        <v>83.2</v>
      </c>
      <c r="E4" s="25">
        <f t="shared" si="0"/>
        <v>832</v>
      </c>
      <c r="M4" s="20" t="s">
        <v>66</v>
      </c>
      <c r="O4" s="4">
        <v>84.34</v>
      </c>
    </row>
    <row r="5" spans="1:21" x14ac:dyDescent="0.25">
      <c r="B5" s="1">
        <v>42215</v>
      </c>
      <c r="C5" s="10">
        <v>5</v>
      </c>
      <c r="D5" s="25">
        <v>82.25</v>
      </c>
      <c r="E5" s="25">
        <f t="shared" si="0"/>
        <v>411.25</v>
      </c>
      <c r="M5" s="20" t="s">
        <v>67</v>
      </c>
      <c r="O5" s="5">
        <f>O4*O2</f>
        <v>3373.6000000000004</v>
      </c>
    </row>
    <row r="6" spans="1:21" x14ac:dyDescent="0.25">
      <c r="B6" s="1">
        <v>42220</v>
      </c>
      <c r="C6" s="10">
        <v>10</v>
      </c>
      <c r="D6" s="25">
        <v>81.349999999999994</v>
      </c>
      <c r="E6" s="25">
        <f t="shared" si="0"/>
        <v>813.5</v>
      </c>
      <c r="M6" s="20" t="s">
        <v>64</v>
      </c>
      <c r="O6" s="2">
        <f>O3*O2</f>
        <v>3292.6</v>
      </c>
    </row>
    <row r="7" spans="1:21" x14ac:dyDescent="0.25">
      <c r="B7" s="1">
        <v>42220</v>
      </c>
      <c r="C7">
        <v>5</v>
      </c>
      <c r="D7" s="2">
        <v>82.4</v>
      </c>
      <c r="E7" s="2">
        <f t="shared" si="0"/>
        <v>412</v>
      </c>
      <c r="M7" s="20" t="s">
        <v>65</v>
      </c>
      <c r="O7" s="2">
        <f>O5-O6+K10</f>
        <v>81.000000000000455</v>
      </c>
    </row>
    <row r="8" spans="1:21" x14ac:dyDescent="0.25">
      <c r="B8" s="1">
        <v>42221</v>
      </c>
      <c r="C8">
        <v>10</v>
      </c>
      <c r="D8" s="2">
        <v>80.7</v>
      </c>
      <c r="E8" s="2">
        <f t="shared" si="0"/>
        <v>807</v>
      </c>
    </row>
    <row r="9" spans="1:21" x14ac:dyDescent="0.25">
      <c r="B9" s="1"/>
    </row>
    <row r="10" spans="1:21" x14ac:dyDescent="0.25">
      <c r="A10" s="35" t="s">
        <v>115</v>
      </c>
      <c r="B10" s="21"/>
      <c r="C10" s="21">
        <f>SUM(C2:C8)</f>
        <v>70</v>
      </c>
      <c r="D10" s="22"/>
      <c r="E10" s="22">
        <f>SUM(E2:E8)</f>
        <v>5819.5</v>
      </c>
      <c r="F10" s="21"/>
      <c r="G10" s="21">
        <f>SUM(G2:G7)</f>
        <v>30</v>
      </c>
      <c r="H10" s="22"/>
      <c r="I10" s="22">
        <f>SUM(I2:I7)</f>
        <v>2526.9</v>
      </c>
      <c r="J10" s="21"/>
      <c r="K10" s="21"/>
    </row>
    <row r="13" spans="1:21" x14ac:dyDescent="0.25">
      <c r="U13" s="2"/>
    </row>
    <row r="14" spans="1:21" x14ac:dyDescent="0.25">
      <c r="U14" s="2"/>
    </row>
    <row r="15" spans="1:21" x14ac:dyDescent="0.25">
      <c r="U15" s="2"/>
    </row>
    <row r="16" spans="1:21" x14ac:dyDescent="0.25">
      <c r="U16" s="2"/>
    </row>
    <row r="17" spans="13:21" x14ac:dyDescent="0.25">
      <c r="U17" s="2"/>
    </row>
    <row r="19" spans="13:21" x14ac:dyDescent="0.25">
      <c r="N19" t="s">
        <v>90</v>
      </c>
    </row>
    <row r="20" spans="13:21" x14ac:dyDescent="0.25">
      <c r="M20" s="2">
        <f>$O$4</f>
        <v>84.34</v>
      </c>
      <c r="N20">
        <v>1.1000000000000001</v>
      </c>
      <c r="O20" s="2">
        <f t="shared" ref="O20:O32" si="1">N20*M20</f>
        <v>92.774000000000015</v>
      </c>
    </row>
    <row r="21" spans="13:21" x14ac:dyDescent="0.25">
      <c r="M21" s="2">
        <f>$O$4</f>
        <v>84.34</v>
      </c>
      <c r="N21">
        <v>1.05</v>
      </c>
      <c r="O21" s="2">
        <f t="shared" si="1"/>
        <v>88.557000000000002</v>
      </c>
    </row>
    <row r="22" spans="13:21" x14ac:dyDescent="0.25">
      <c r="M22" s="2">
        <f t="shared" ref="M22:M32" si="2">$O$4</f>
        <v>84.34</v>
      </c>
      <c r="N22">
        <v>1.04</v>
      </c>
      <c r="O22" s="2">
        <f t="shared" si="1"/>
        <v>87.7136</v>
      </c>
    </row>
    <row r="23" spans="13:21" x14ac:dyDescent="0.25">
      <c r="M23" s="2">
        <f t="shared" si="2"/>
        <v>84.34</v>
      </c>
      <c r="N23" s="2">
        <v>1.03</v>
      </c>
      <c r="O23" s="2">
        <f t="shared" si="1"/>
        <v>86.870200000000011</v>
      </c>
    </row>
    <row r="24" spans="13:21" x14ac:dyDescent="0.25">
      <c r="M24" s="2">
        <f t="shared" si="2"/>
        <v>84.34</v>
      </c>
      <c r="N24" s="2">
        <v>1.02</v>
      </c>
      <c r="O24" s="2">
        <f t="shared" si="1"/>
        <v>86.026800000000009</v>
      </c>
    </row>
    <row r="25" spans="13:21" x14ac:dyDescent="0.25">
      <c r="M25" s="2">
        <f t="shared" si="2"/>
        <v>84.34</v>
      </c>
      <c r="N25" s="2">
        <v>1.01</v>
      </c>
      <c r="O25" s="2">
        <f t="shared" si="1"/>
        <v>85.183400000000006</v>
      </c>
    </row>
    <row r="26" spans="13:21" x14ac:dyDescent="0.25">
      <c r="M26" s="2">
        <f t="shared" si="2"/>
        <v>84.34</v>
      </c>
      <c r="N26" s="2">
        <v>1</v>
      </c>
      <c r="O26" s="2">
        <f t="shared" si="1"/>
        <v>84.34</v>
      </c>
    </row>
    <row r="27" spans="13:21" x14ac:dyDescent="0.25">
      <c r="M27" s="2">
        <f t="shared" si="2"/>
        <v>84.34</v>
      </c>
      <c r="N27" s="2">
        <v>0.99</v>
      </c>
      <c r="O27" s="2">
        <f t="shared" si="1"/>
        <v>83.496600000000001</v>
      </c>
    </row>
    <row r="28" spans="13:21" x14ac:dyDescent="0.25">
      <c r="M28" s="2">
        <f t="shared" si="2"/>
        <v>84.34</v>
      </c>
      <c r="N28" s="2">
        <v>0.98</v>
      </c>
      <c r="O28" s="2">
        <f t="shared" si="1"/>
        <v>82.653199999999998</v>
      </c>
    </row>
    <row r="29" spans="13:21" x14ac:dyDescent="0.25">
      <c r="M29" s="2">
        <f t="shared" si="2"/>
        <v>84.34</v>
      </c>
      <c r="N29" s="2">
        <v>0.97</v>
      </c>
      <c r="O29" s="2">
        <f t="shared" si="1"/>
        <v>81.809799999999996</v>
      </c>
    </row>
    <row r="30" spans="13:21" x14ac:dyDescent="0.25">
      <c r="M30" s="2">
        <f t="shared" si="2"/>
        <v>84.34</v>
      </c>
      <c r="N30" s="2">
        <v>0.96</v>
      </c>
      <c r="O30" s="2">
        <f t="shared" si="1"/>
        <v>80.966400000000007</v>
      </c>
    </row>
    <row r="31" spans="13:21" x14ac:dyDescent="0.25">
      <c r="M31" s="2">
        <f t="shared" si="2"/>
        <v>84.34</v>
      </c>
      <c r="N31" s="2">
        <v>0.95</v>
      </c>
      <c r="O31" s="2">
        <f t="shared" si="1"/>
        <v>80.123000000000005</v>
      </c>
    </row>
    <row r="32" spans="13:21" x14ac:dyDescent="0.25">
      <c r="M32" s="2">
        <f t="shared" si="2"/>
        <v>84.34</v>
      </c>
      <c r="N32" s="2">
        <v>0.9</v>
      </c>
      <c r="O32" s="2">
        <f t="shared" si="1"/>
        <v>75.906000000000006</v>
      </c>
    </row>
  </sheetData>
  <conditionalFormatting sqref="O7">
    <cfRule type="expression" dxfId="31" priority="2">
      <formula>O7&gt;0</formula>
    </cfRule>
    <cfRule type="expression" dxfId="30" priority="3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S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35</v>
      </c>
      <c r="B2" s="1">
        <v>42166</v>
      </c>
      <c r="C2" s="18">
        <v>10</v>
      </c>
      <c r="D2" s="70">
        <v>55.7</v>
      </c>
      <c r="E2" s="70">
        <f>C2*D2</f>
        <v>557</v>
      </c>
      <c r="F2" s="1">
        <v>42208</v>
      </c>
      <c r="G2" s="18">
        <v>10</v>
      </c>
      <c r="H2" s="70">
        <v>56</v>
      </c>
      <c r="I2" s="70">
        <f>G2*H2</f>
        <v>560</v>
      </c>
      <c r="M2" s="20" t="s">
        <v>57</v>
      </c>
      <c r="O2">
        <f>C8-G8</f>
        <v>35</v>
      </c>
      <c r="R2" s="1">
        <v>42313</v>
      </c>
      <c r="S2" t="s">
        <v>130</v>
      </c>
    </row>
    <row r="3" spans="1:19" x14ac:dyDescent="0.25">
      <c r="A3" s="36" t="s">
        <v>82</v>
      </c>
      <c r="B3" s="1">
        <v>42205</v>
      </c>
      <c r="C3" s="19">
        <v>10</v>
      </c>
      <c r="D3" s="67">
        <v>52.6</v>
      </c>
      <c r="E3" s="67">
        <f>C3*D3</f>
        <v>526</v>
      </c>
      <c r="F3" s="1">
        <v>42234</v>
      </c>
      <c r="G3" s="19">
        <v>25</v>
      </c>
      <c r="H3" s="67">
        <v>50.88</v>
      </c>
      <c r="I3" s="67">
        <f t="shared" ref="I3" si="0">G3*H3</f>
        <v>1272</v>
      </c>
      <c r="M3" s="20" t="s">
        <v>58</v>
      </c>
      <c r="O3" s="2">
        <f>(E8-I8)/O2</f>
        <v>47.585714285714289</v>
      </c>
    </row>
    <row r="4" spans="1:19" x14ac:dyDescent="0.25">
      <c r="B4" s="1">
        <v>42229</v>
      </c>
      <c r="C4" s="6">
        <v>15</v>
      </c>
      <c r="D4" s="5">
        <v>50.9</v>
      </c>
      <c r="E4" s="5">
        <f>C4*D4</f>
        <v>763.5</v>
      </c>
      <c r="M4" s="20" t="s">
        <v>66</v>
      </c>
      <c r="O4" s="4">
        <v>49.94</v>
      </c>
    </row>
    <row r="5" spans="1:19" x14ac:dyDescent="0.25">
      <c r="B5" s="1">
        <v>42233</v>
      </c>
      <c r="C5" s="19">
        <v>15</v>
      </c>
      <c r="D5" s="67">
        <v>46.8</v>
      </c>
      <c r="E5" s="67">
        <f>C5*D5</f>
        <v>702</v>
      </c>
      <c r="M5" s="20" t="s">
        <v>67</v>
      </c>
      <c r="O5" s="5">
        <f>O4*O2</f>
        <v>1747.8999999999999</v>
      </c>
    </row>
    <row r="6" spans="1:19" x14ac:dyDescent="0.25">
      <c r="B6" s="1">
        <v>42233</v>
      </c>
      <c r="C6">
        <v>20</v>
      </c>
      <c r="D6" s="2">
        <v>47.45</v>
      </c>
      <c r="E6" s="2">
        <f>C6*D6</f>
        <v>949</v>
      </c>
      <c r="M6" s="20" t="s">
        <v>64</v>
      </c>
      <c r="O6" s="2">
        <f>O3*O2</f>
        <v>1665.5</v>
      </c>
    </row>
    <row r="7" spans="1:19" x14ac:dyDescent="0.25">
      <c r="B7" s="1"/>
      <c r="M7" s="20" t="s">
        <v>65</v>
      </c>
      <c r="O7" s="2">
        <f>O5-O6</f>
        <v>82.399999999999864</v>
      </c>
    </row>
    <row r="8" spans="1:19" x14ac:dyDescent="0.25">
      <c r="A8" s="59" t="s">
        <v>115</v>
      </c>
      <c r="B8" s="24"/>
      <c r="C8" s="24">
        <f>SUM(C2:C6)</f>
        <v>70</v>
      </c>
      <c r="D8" s="31"/>
      <c r="E8" s="31">
        <f>SUM(E2:E6)</f>
        <v>3497.5</v>
      </c>
      <c r="F8" s="24"/>
      <c r="G8" s="24">
        <f>SUM(G2:G4)</f>
        <v>35</v>
      </c>
      <c r="H8" s="31"/>
      <c r="I8" s="31">
        <f>SUM(I2:I4)</f>
        <v>1832</v>
      </c>
      <c r="J8" s="24"/>
      <c r="K8" s="24"/>
    </row>
    <row r="18" spans="13:15" x14ac:dyDescent="0.25">
      <c r="N18" t="s">
        <v>90</v>
      </c>
    </row>
    <row r="19" spans="13:15" x14ac:dyDescent="0.25">
      <c r="M19" s="2">
        <f>$O$4</f>
        <v>49.94</v>
      </c>
      <c r="N19">
        <v>1.1000000000000001</v>
      </c>
      <c r="O19" s="2">
        <f t="shared" ref="O19:O31" si="1">N19*M19</f>
        <v>54.934000000000005</v>
      </c>
    </row>
    <row r="20" spans="13:15" x14ac:dyDescent="0.25">
      <c r="M20" s="2">
        <f>$O$4</f>
        <v>49.94</v>
      </c>
      <c r="N20">
        <v>1.05</v>
      </c>
      <c r="O20" s="2">
        <f t="shared" si="1"/>
        <v>52.436999999999998</v>
      </c>
    </row>
    <row r="21" spans="13:15" x14ac:dyDescent="0.25">
      <c r="M21" s="2">
        <f t="shared" ref="M21:M31" si="2">$O$4</f>
        <v>49.94</v>
      </c>
      <c r="N21">
        <v>1.04</v>
      </c>
      <c r="O21" s="2">
        <f t="shared" si="1"/>
        <v>51.937599999999996</v>
      </c>
    </row>
    <row r="22" spans="13:15" x14ac:dyDescent="0.25">
      <c r="M22" s="2">
        <f t="shared" si="2"/>
        <v>49.94</v>
      </c>
      <c r="N22" s="2">
        <v>1.03</v>
      </c>
      <c r="O22" s="2">
        <f t="shared" si="1"/>
        <v>51.438200000000002</v>
      </c>
    </row>
    <row r="23" spans="13:15" x14ac:dyDescent="0.25">
      <c r="M23" s="2">
        <f t="shared" si="2"/>
        <v>49.94</v>
      </c>
      <c r="N23" s="2">
        <v>1.02</v>
      </c>
      <c r="O23" s="2">
        <f t="shared" si="1"/>
        <v>50.938800000000001</v>
      </c>
    </row>
    <row r="24" spans="13:15" x14ac:dyDescent="0.25">
      <c r="M24" s="2">
        <f t="shared" si="2"/>
        <v>49.94</v>
      </c>
      <c r="N24" s="2">
        <v>1.01</v>
      </c>
      <c r="O24" s="2">
        <f t="shared" si="1"/>
        <v>50.439399999999999</v>
      </c>
    </row>
    <row r="25" spans="13:15" x14ac:dyDescent="0.25">
      <c r="M25" s="2">
        <f t="shared" si="2"/>
        <v>49.94</v>
      </c>
      <c r="N25" s="2">
        <v>1</v>
      </c>
      <c r="O25" s="2">
        <f t="shared" si="1"/>
        <v>49.94</v>
      </c>
    </row>
    <row r="26" spans="13:15" x14ac:dyDescent="0.25">
      <c r="M26" s="2">
        <f t="shared" si="2"/>
        <v>49.94</v>
      </c>
      <c r="N26" s="2">
        <v>0.99</v>
      </c>
      <c r="O26" s="2">
        <f t="shared" si="1"/>
        <v>49.440599999999996</v>
      </c>
    </row>
    <row r="27" spans="13:15" x14ac:dyDescent="0.25">
      <c r="M27" s="2">
        <f t="shared" si="2"/>
        <v>49.94</v>
      </c>
      <c r="N27" s="2">
        <v>0.98</v>
      </c>
      <c r="O27" s="2">
        <f t="shared" si="1"/>
        <v>48.941199999999995</v>
      </c>
    </row>
    <row r="28" spans="13:15" x14ac:dyDescent="0.25">
      <c r="M28" s="2">
        <f t="shared" si="2"/>
        <v>49.94</v>
      </c>
      <c r="N28" s="2">
        <v>0.97</v>
      </c>
      <c r="O28" s="2">
        <f t="shared" si="1"/>
        <v>48.441799999999994</v>
      </c>
    </row>
    <row r="29" spans="13:15" x14ac:dyDescent="0.25">
      <c r="M29" s="2">
        <f t="shared" si="2"/>
        <v>49.94</v>
      </c>
      <c r="N29" s="2">
        <v>0.96</v>
      </c>
      <c r="O29" s="2">
        <f t="shared" si="1"/>
        <v>47.942399999999999</v>
      </c>
    </row>
    <row r="30" spans="13:15" x14ac:dyDescent="0.25">
      <c r="M30" s="2">
        <f t="shared" si="2"/>
        <v>49.94</v>
      </c>
      <c r="N30" s="2">
        <v>0.95</v>
      </c>
      <c r="O30" s="2">
        <f t="shared" si="1"/>
        <v>47.442999999999998</v>
      </c>
    </row>
    <row r="31" spans="13:15" x14ac:dyDescent="0.25">
      <c r="M31" s="2">
        <f t="shared" si="2"/>
        <v>49.94</v>
      </c>
      <c r="N31" s="2">
        <v>0.9</v>
      </c>
      <c r="O31" s="2">
        <f t="shared" si="1"/>
        <v>44.945999999999998</v>
      </c>
    </row>
  </sheetData>
  <conditionalFormatting sqref="O7">
    <cfRule type="expression" dxfId="29" priority="2">
      <formula>O7&gt;0</formula>
    </cfRule>
    <cfRule type="expression" dxfId="28" priority="3">
      <formula>O7&lt;0</formula>
    </cfRule>
  </conditionalFormatting>
  <conditionalFormatting sqref="N19:N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2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68</v>
      </c>
      <c r="B2" s="1">
        <v>42164</v>
      </c>
      <c r="C2">
        <v>20</v>
      </c>
      <c r="D2">
        <v>11.25</v>
      </c>
      <c r="E2">
        <f>C2*D2</f>
        <v>225</v>
      </c>
      <c r="F2" s="1">
        <v>42235</v>
      </c>
      <c r="G2" s="15">
        <v>110</v>
      </c>
      <c r="H2" s="15">
        <v>8.69</v>
      </c>
      <c r="I2" s="15">
        <f>G2*H2</f>
        <v>955.9</v>
      </c>
      <c r="M2" s="20" t="s">
        <v>57</v>
      </c>
      <c r="O2">
        <f>C8-G8</f>
        <v>120</v>
      </c>
      <c r="R2" s="1">
        <v>42295</v>
      </c>
      <c r="S2" t="s">
        <v>130</v>
      </c>
    </row>
    <row r="3" spans="1:19" x14ac:dyDescent="0.25">
      <c r="A3" s="36" t="s">
        <v>82</v>
      </c>
      <c r="B3" s="1">
        <v>42187</v>
      </c>
      <c r="C3">
        <v>20</v>
      </c>
      <c r="D3">
        <v>10.28</v>
      </c>
      <c r="E3">
        <f>C3*D3</f>
        <v>205.6</v>
      </c>
      <c r="M3" s="20" t="s">
        <v>58</v>
      </c>
      <c r="O3" s="2">
        <f>(E8-I8)/O2</f>
        <v>10.082500000000001</v>
      </c>
    </row>
    <row r="4" spans="1:19" x14ac:dyDescent="0.25">
      <c r="B4" s="1">
        <v>42198</v>
      </c>
      <c r="C4">
        <v>40</v>
      </c>
      <c r="D4">
        <v>10.119999999999999</v>
      </c>
      <c r="E4">
        <f>C4*D4</f>
        <v>404.79999999999995</v>
      </c>
      <c r="M4" s="20" t="s">
        <v>66</v>
      </c>
      <c r="O4" s="4">
        <v>8.6999999999999993</v>
      </c>
    </row>
    <row r="5" spans="1:19" x14ac:dyDescent="0.25">
      <c r="B5" s="1">
        <v>42198</v>
      </c>
      <c r="C5">
        <v>40</v>
      </c>
      <c r="D5">
        <v>9.94</v>
      </c>
      <c r="E5">
        <f>C5*D5</f>
        <v>397.59999999999997</v>
      </c>
      <c r="M5" s="20" t="s">
        <v>67</v>
      </c>
      <c r="O5" s="5">
        <f>O4*O2</f>
        <v>1044</v>
      </c>
    </row>
    <row r="6" spans="1:19" x14ac:dyDescent="0.25">
      <c r="B6" s="1">
        <v>42233</v>
      </c>
      <c r="C6" s="15">
        <v>110</v>
      </c>
      <c r="D6" s="15">
        <v>8.48</v>
      </c>
      <c r="E6" s="15">
        <f>C6*D6</f>
        <v>932.80000000000007</v>
      </c>
      <c r="M6" s="20" t="s">
        <v>64</v>
      </c>
      <c r="O6" s="2">
        <f>O3*O2</f>
        <v>1209.9000000000001</v>
      </c>
    </row>
    <row r="7" spans="1:19" x14ac:dyDescent="0.25">
      <c r="B7" s="1"/>
      <c r="M7" s="20" t="s">
        <v>65</v>
      </c>
      <c r="O7" s="2">
        <f>O5-O6</f>
        <v>-165.90000000000009</v>
      </c>
    </row>
    <row r="8" spans="1:19" x14ac:dyDescent="0.25">
      <c r="A8" s="35" t="s">
        <v>115</v>
      </c>
      <c r="B8" s="21"/>
      <c r="C8" s="21">
        <f>SUM(C2:C6)</f>
        <v>230</v>
      </c>
      <c r="D8" s="21"/>
      <c r="E8" s="21">
        <f>SUM(E2:E6)</f>
        <v>2165.8000000000002</v>
      </c>
      <c r="F8" s="21"/>
      <c r="G8" s="21">
        <f>SUM(G2:G4)</f>
        <v>110</v>
      </c>
      <c r="H8" s="21"/>
      <c r="I8" s="21">
        <f>SUM(I2:I4)</f>
        <v>955.9</v>
      </c>
      <c r="J8" s="21"/>
      <c r="K8" s="21"/>
    </row>
    <row r="14" spans="1:19" x14ac:dyDescent="0.25">
      <c r="N14" t="s">
        <v>90</v>
      </c>
      <c r="P14" s="61"/>
    </row>
    <row r="15" spans="1:19" x14ac:dyDescent="0.25">
      <c r="M15" s="2">
        <f>$O$4</f>
        <v>8.6999999999999993</v>
      </c>
      <c r="N15">
        <v>1.1000000000000001</v>
      </c>
      <c r="O15" s="2">
        <f t="shared" ref="O15:O27" si="0">N15*M15</f>
        <v>9.57</v>
      </c>
      <c r="P15" s="61"/>
    </row>
    <row r="16" spans="1:19" x14ac:dyDescent="0.25">
      <c r="M16" s="2">
        <f>$O$4</f>
        <v>8.6999999999999993</v>
      </c>
      <c r="N16">
        <v>1.05</v>
      </c>
      <c r="O16" s="2">
        <f t="shared" si="0"/>
        <v>9.1349999999999998</v>
      </c>
      <c r="P16" s="61"/>
    </row>
    <row r="17" spans="13:16" x14ac:dyDescent="0.25">
      <c r="M17" s="2">
        <f t="shared" ref="M17:M27" si="1">$O$4</f>
        <v>8.6999999999999993</v>
      </c>
      <c r="N17">
        <v>1.04</v>
      </c>
      <c r="O17" s="2">
        <f t="shared" si="0"/>
        <v>9.048</v>
      </c>
      <c r="P17" s="61"/>
    </row>
    <row r="18" spans="13:16" x14ac:dyDescent="0.25">
      <c r="M18" s="2">
        <f t="shared" si="1"/>
        <v>8.6999999999999993</v>
      </c>
      <c r="N18" s="2">
        <v>1.03</v>
      </c>
      <c r="O18" s="2">
        <f t="shared" si="0"/>
        <v>8.9610000000000003</v>
      </c>
      <c r="P18" s="61"/>
    </row>
    <row r="19" spans="13:16" x14ac:dyDescent="0.25">
      <c r="M19" s="2">
        <f t="shared" si="1"/>
        <v>8.6999999999999993</v>
      </c>
      <c r="N19" s="2">
        <v>1.02</v>
      </c>
      <c r="O19" s="2">
        <f t="shared" si="0"/>
        <v>8.8739999999999988</v>
      </c>
      <c r="P19" s="61"/>
    </row>
    <row r="20" spans="13:16" x14ac:dyDescent="0.25">
      <c r="M20" s="2">
        <f t="shared" si="1"/>
        <v>8.6999999999999993</v>
      </c>
      <c r="N20" s="2">
        <v>1.01</v>
      </c>
      <c r="O20" s="2">
        <f t="shared" si="0"/>
        <v>8.786999999999999</v>
      </c>
      <c r="P20" s="61"/>
    </row>
    <row r="21" spans="13:16" x14ac:dyDescent="0.25">
      <c r="M21" s="2">
        <f t="shared" si="1"/>
        <v>8.6999999999999993</v>
      </c>
      <c r="N21" s="2">
        <v>1</v>
      </c>
      <c r="O21" s="2">
        <f t="shared" si="0"/>
        <v>8.6999999999999993</v>
      </c>
      <c r="P21" s="61"/>
    </row>
    <row r="22" spans="13:16" x14ac:dyDescent="0.25">
      <c r="M22" s="2">
        <f t="shared" si="1"/>
        <v>8.6999999999999993</v>
      </c>
      <c r="N22" s="2">
        <v>0.99</v>
      </c>
      <c r="O22" s="2">
        <f t="shared" si="0"/>
        <v>8.6129999999999995</v>
      </c>
      <c r="P22" s="61"/>
    </row>
    <row r="23" spans="13:16" x14ac:dyDescent="0.25">
      <c r="M23" s="2">
        <f t="shared" si="1"/>
        <v>8.6999999999999993</v>
      </c>
      <c r="N23" s="2">
        <v>0.98</v>
      </c>
      <c r="O23" s="2">
        <f t="shared" si="0"/>
        <v>8.5259999999999998</v>
      </c>
      <c r="P23" s="61"/>
    </row>
    <row r="24" spans="13:16" x14ac:dyDescent="0.25">
      <c r="M24" s="2">
        <f t="shared" si="1"/>
        <v>8.6999999999999993</v>
      </c>
      <c r="N24" s="2">
        <v>0.97</v>
      </c>
      <c r="O24" s="2">
        <f t="shared" si="0"/>
        <v>8.4389999999999983</v>
      </c>
      <c r="P24" s="61"/>
    </row>
    <row r="25" spans="13:16" x14ac:dyDescent="0.25">
      <c r="M25" s="2">
        <f t="shared" si="1"/>
        <v>8.6999999999999993</v>
      </c>
      <c r="N25" s="2">
        <v>0.96</v>
      </c>
      <c r="O25" s="2">
        <f t="shared" si="0"/>
        <v>8.3519999999999985</v>
      </c>
      <c r="P25" s="61"/>
    </row>
    <row r="26" spans="13:16" x14ac:dyDescent="0.25">
      <c r="M26" s="2">
        <f t="shared" si="1"/>
        <v>8.6999999999999993</v>
      </c>
      <c r="N26" s="2">
        <v>0.95</v>
      </c>
      <c r="O26" s="2">
        <f t="shared" si="0"/>
        <v>8.2649999999999988</v>
      </c>
      <c r="P26" s="61"/>
    </row>
    <row r="27" spans="13:16" x14ac:dyDescent="0.25">
      <c r="M27" s="2">
        <f t="shared" si="1"/>
        <v>8.6999999999999993</v>
      </c>
      <c r="N27" s="2">
        <v>0.9</v>
      </c>
      <c r="O27" s="2">
        <f t="shared" si="0"/>
        <v>7.8299999999999992</v>
      </c>
      <c r="P27" s="61"/>
    </row>
  </sheetData>
  <conditionalFormatting sqref="O7">
    <cfRule type="expression" dxfId="27" priority="2">
      <formula>O7&gt;0</formula>
    </cfRule>
    <cfRule type="expression" dxfId="26" priority="3">
      <formula>O7&lt;0</formula>
    </cfRule>
  </conditionalFormatting>
  <conditionalFormatting sqref="N15:N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R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1" max="11" width="9.140625" style="2"/>
  </cols>
  <sheetData>
    <row r="1" spans="1:18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69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34" t="s">
        <v>38</v>
      </c>
      <c r="R1" s="20" t="s">
        <v>75</v>
      </c>
    </row>
    <row r="2" spans="1:18" x14ac:dyDescent="0.25">
      <c r="A2" s="8" t="s">
        <v>19</v>
      </c>
      <c r="B2" s="32">
        <v>42152</v>
      </c>
      <c r="C2" s="15">
        <v>5</v>
      </c>
      <c r="D2" s="79">
        <v>35.049999999999997</v>
      </c>
      <c r="E2" s="79">
        <f>C2*D2</f>
        <v>175.25</v>
      </c>
      <c r="F2" s="1">
        <v>42206</v>
      </c>
      <c r="G2" s="15">
        <v>39</v>
      </c>
      <c r="H2" s="79">
        <v>35.65</v>
      </c>
      <c r="I2" s="79">
        <f>H2*G2</f>
        <v>1390.35</v>
      </c>
      <c r="J2" s="1">
        <v>42170</v>
      </c>
      <c r="K2" s="2">
        <v>7.73</v>
      </c>
      <c r="M2" s="20" t="s">
        <v>57</v>
      </c>
      <c r="O2">
        <f>C7-G7</f>
        <v>51</v>
      </c>
    </row>
    <row r="3" spans="1:18" x14ac:dyDescent="0.25">
      <c r="A3" s="36" t="s">
        <v>82</v>
      </c>
      <c r="B3" s="32">
        <v>42153</v>
      </c>
      <c r="C3" s="15">
        <v>25</v>
      </c>
      <c r="D3" s="79">
        <v>34.4</v>
      </c>
      <c r="E3" s="79">
        <f>C3*D3</f>
        <v>860</v>
      </c>
      <c r="M3" s="20" t="s">
        <v>58</v>
      </c>
      <c r="O3" s="2">
        <f>(E7-I7)/O2</f>
        <v>32.507843137254902</v>
      </c>
    </row>
    <row r="4" spans="1:18" x14ac:dyDescent="0.25">
      <c r="B4" s="90">
        <v>42173</v>
      </c>
      <c r="C4" s="15">
        <v>9</v>
      </c>
      <c r="D4" s="79">
        <v>34.1</v>
      </c>
      <c r="E4" s="79">
        <f>C4*D4</f>
        <v>306.90000000000003</v>
      </c>
      <c r="M4" s="20" t="s">
        <v>66</v>
      </c>
      <c r="O4" s="4">
        <v>35.18</v>
      </c>
    </row>
    <row r="5" spans="1:18" x14ac:dyDescent="0.25">
      <c r="B5" s="90"/>
      <c r="C5">
        <v>1</v>
      </c>
      <c r="D5" s="2">
        <v>34.1</v>
      </c>
      <c r="E5" s="2">
        <f>C5*D5</f>
        <v>34.1</v>
      </c>
      <c r="M5" s="20" t="s">
        <v>67</v>
      </c>
      <c r="O5" s="5">
        <f>O4*O2</f>
        <v>1794.18</v>
      </c>
    </row>
    <row r="6" spans="1:18" x14ac:dyDescent="0.25">
      <c r="B6" s="32">
        <v>42228</v>
      </c>
      <c r="C6">
        <v>50</v>
      </c>
      <c r="D6" s="2">
        <v>33.44</v>
      </c>
      <c r="E6" s="2">
        <f>C6*D6</f>
        <v>1672</v>
      </c>
      <c r="M6" s="20" t="s">
        <v>64</v>
      </c>
      <c r="O6" s="2">
        <f>O3*O2</f>
        <v>1657.9</v>
      </c>
    </row>
    <row r="7" spans="1:18" x14ac:dyDescent="0.25">
      <c r="A7" s="59" t="s">
        <v>115</v>
      </c>
      <c r="B7" s="24"/>
      <c r="C7" s="24">
        <f>SUM(C2:C6)</f>
        <v>90</v>
      </c>
      <c r="D7" s="31"/>
      <c r="E7" s="31">
        <f>SUM(E2:E6)</f>
        <v>3048.25</v>
      </c>
      <c r="F7" s="24"/>
      <c r="G7" s="24">
        <f t="shared" ref="G7:K7" si="0">SUM(G2:G6)</f>
        <v>39</v>
      </c>
      <c r="H7" s="31">
        <f t="shared" si="0"/>
        <v>35.65</v>
      </c>
      <c r="I7" s="31">
        <f>SUM(I2:I6)</f>
        <v>1390.35</v>
      </c>
      <c r="J7" s="24"/>
      <c r="K7" s="31">
        <f t="shared" si="0"/>
        <v>7.73</v>
      </c>
      <c r="M7" s="20" t="s">
        <v>65</v>
      </c>
      <c r="O7" s="2">
        <f>O5-O6+K7</f>
        <v>144.00999999999996</v>
      </c>
    </row>
    <row r="16" spans="1:18" x14ac:dyDescent="0.25">
      <c r="N16" t="s">
        <v>90</v>
      </c>
    </row>
    <row r="17" spans="13:15" x14ac:dyDescent="0.25">
      <c r="M17" s="2">
        <f>$O$4</f>
        <v>35.18</v>
      </c>
      <c r="N17">
        <v>1.1000000000000001</v>
      </c>
      <c r="O17" s="2">
        <f t="shared" ref="O17:O29" si="1">N17*M17</f>
        <v>38.698</v>
      </c>
    </row>
    <row r="18" spans="13:15" x14ac:dyDescent="0.25">
      <c r="M18" s="2">
        <f>$O$4</f>
        <v>35.18</v>
      </c>
      <c r="N18">
        <v>1.05</v>
      </c>
      <c r="O18" s="2">
        <f t="shared" si="1"/>
        <v>36.939</v>
      </c>
    </row>
    <row r="19" spans="13:15" x14ac:dyDescent="0.25">
      <c r="M19" s="2">
        <f t="shared" ref="M19:M29" si="2">$O$4</f>
        <v>35.18</v>
      </c>
      <c r="N19">
        <v>1.04</v>
      </c>
      <c r="O19" s="2">
        <f t="shared" si="1"/>
        <v>36.587200000000003</v>
      </c>
    </row>
    <row r="20" spans="13:15" x14ac:dyDescent="0.25">
      <c r="M20" s="2">
        <f t="shared" si="2"/>
        <v>35.18</v>
      </c>
      <c r="N20" s="2">
        <v>1.03</v>
      </c>
      <c r="O20" s="2">
        <f t="shared" si="1"/>
        <v>36.235399999999998</v>
      </c>
    </row>
    <row r="21" spans="13:15" x14ac:dyDescent="0.25">
      <c r="M21" s="2">
        <f t="shared" si="2"/>
        <v>35.18</v>
      </c>
      <c r="N21" s="2">
        <v>1.02</v>
      </c>
      <c r="O21" s="2">
        <f t="shared" si="1"/>
        <v>35.883600000000001</v>
      </c>
    </row>
    <row r="22" spans="13:15" x14ac:dyDescent="0.25">
      <c r="M22" s="2">
        <f t="shared" si="2"/>
        <v>35.18</v>
      </c>
      <c r="N22" s="2">
        <v>1.01</v>
      </c>
      <c r="O22" s="2">
        <f t="shared" si="1"/>
        <v>35.531799999999997</v>
      </c>
    </row>
    <row r="23" spans="13:15" x14ac:dyDescent="0.25">
      <c r="M23" s="2">
        <f t="shared" si="2"/>
        <v>35.18</v>
      </c>
      <c r="N23" s="2">
        <v>1</v>
      </c>
      <c r="O23" s="2">
        <f t="shared" si="1"/>
        <v>35.18</v>
      </c>
    </row>
    <row r="24" spans="13:15" x14ac:dyDescent="0.25">
      <c r="M24" s="2">
        <f t="shared" si="2"/>
        <v>35.18</v>
      </c>
      <c r="N24" s="2">
        <v>0.99</v>
      </c>
      <c r="O24" s="2">
        <f t="shared" si="1"/>
        <v>34.828200000000002</v>
      </c>
    </row>
    <row r="25" spans="13:15" x14ac:dyDescent="0.25">
      <c r="M25" s="2">
        <f t="shared" si="2"/>
        <v>35.18</v>
      </c>
      <c r="N25" s="2">
        <v>0.98</v>
      </c>
      <c r="O25" s="2">
        <f t="shared" si="1"/>
        <v>34.476399999999998</v>
      </c>
    </row>
    <row r="26" spans="13:15" x14ac:dyDescent="0.25">
      <c r="M26" s="2">
        <f t="shared" si="2"/>
        <v>35.18</v>
      </c>
      <c r="N26" s="2">
        <v>0.97</v>
      </c>
      <c r="O26" s="2">
        <f t="shared" si="1"/>
        <v>34.124600000000001</v>
      </c>
    </row>
    <row r="27" spans="13:15" x14ac:dyDescent="0.25">
      <c r="M27" s="2">
        <f t="shared" si="2"/>
        <v>35.18</v>
      </c>
      <c r="N27" s="2">
        <v>0.96</v>
      </c>
      <c r="O27" s="2">
        <f t="shared" si="1"/>
        <v>33.772799999999997</v>
      </c>
    </row>
    <row r="28" spans="13:15" x14ac:dyDescent="0.25">
      <c r="M28" s="2">
        <f t="shared" si="2"/>
        <v>35.18</v>
      </c>
      <c r="N28" s="2">
        <v>0.95</v>
      </c>
      <c r="O28" s="2">
        <f t="shared" si="1"/>
        <v>33.420999999999999</v>
      </c>
    </row>
    <row r="29" spans="13:15" x14ac:dyDescent="0.25">
      <c r="M29" s="2">
        <f t="shared" si="2"/>
        <v>35.18</v>
      </c>
      <c r="N29" s="2">
        <v>0.9</v>
      </c>
      <c r="O29" s="2">
        <f t="shared" si="1"/>
        <v>31.661999999999999</v>
      </c>
    </row>
  </sheetData>
  <mergeCells count="1">
    <mergeCell ref="B4:B5"/>
  </mergeCells>
  <conditionalFormatting sqref="O7">
    <cfRule type="expression" dxfId="25" priority="2">
      <formula>O7&gt;0</formula>
    </cfRule>
    <cfRule type="expression" dxfId="24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S29"/>
  <sheetViews>
    <sheetView workbookViewId="0">
      <selection activeCell="A3" sqref="A3"/>
    </sheetView>
  </sheetViews>
  <sheetFormatPr defaultRowHeight="15" x14ac:dyDescent="0.25"/>
  <cols>
    <col min="4" max="5" width="9.140625" style="2"/>
    <col min="8" max="9" width="9.140625" style="2"/>
    <col min="18" max="18" width="9.140625" style="74"/>
  </cols>
  <sheetData>
    <row r="1" spans="1:19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69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R1" s="75" t="s">
        <v>75</v>
      </c>
    </row>
    <row r="2" spans="1:19" x14ac:dyDescent="0.25">
      <c r="A2" s="8" t="s">
        <v>33</v>
      </c>
      <c r="B2" s="1">
        <v>42166</v>
      </c>
      <c r="C2">
        <v>10</v>
      </c>
      <c r="D2" s="2">
        <v>139.16</v>
      </c>
      <c r="E2" s="2">
        <f>D2*C2</f>
        <v>1391.6</v>
      </c>
      <c r="F2" s="1">
        <v>42213</v>
      </c>
      <c r="G2" s="10">
        <v>10</v>
      </c>
      <c r="H2" s="25">
        <f>I2/G2</f>
        <v>129.49799999999999</v>
      </c>
      <c r="I2" s="25">
        <v>1294.98</v>
      </c>
      <c r="J2" s="1">
        <v>42185</v>
      </c>
      <c r="K2" s="2">
        <v>4</v>
      </c>
      <c r="M2" s="20" t="s">
        <v>57</v>
      </c>
      <c r="O2">
        <f>C7-G7</f>
        <v>45</v>
      </c>
      <c r="R2" s="74">
        <v>42219</v>
      </c>
      <c r="S2" t="s">
        <v>138</v>
      </c>
    </row>
    <row r="3" spans="1:19" x14ac:dyDescent="0.25">
      <c r="A3" s="36" t="s">
        <v>82</v>
      </c>
      <c r="B3" s="90">
        <v>42212</v>
      </c>
      <c r="C3">
        <v>10</v>
      </c>
      <c r="D3" s="2">
        <v>124.25</v>
      </c>
      <c r="E3" s="2">
        <f t="shared" ref="E3:E6" si="0">D3*C3</f>
        <v>1242.5</v>
      </c>
      <c r="F3" s="1"/>
      <c r="J3" s="1"/>
      <c r="K3" s="2"/>
      <c r="M3" s="20" t="s">
        <v>58</v>
      </c>
      <c r="O3" s="2">
        <f>(E7-I7)/O2</f>
        <v>125.36933333333334</v>
      </c>
      <c r="R3" s="74">
        <v>42242</v>
      </c>
      <c r="S3" t="s">
        <v>137</v>
      </c>
    </row>
    <row r="4" spans="1:19" x14ac:dyDescent="0.25">
      <c r="B4" s="90"/>
      <c r="C4" s="10">
        <v>10</v>
      </c>
      <c r="D4" s="25">
        <v>124.25</v>
      </c>
      <c r="E4" s="25">
        <f t="shared" si="0"/>
        <v>1242.5</v>
      </c>
      <c r="K4" s="2"/>
      <c r="M4" s="20" t="s">
        <v>66</v>
      </c>
      <c r="O4" s="4">
        <v>125.52</v>
      </c>
    </row>
    <row r="5" spans="1:19" x14ac:dyDescent="0.25">
      <c r="B5" s="1">
        <v>42220</v>
      </c>
      <c r="C5">
        <v>5</v>
      </c>
      <c r="D5" s="2">
        <v>123.2</v>
      </c>
      <c r="E5" s="2">
        <f t="shared" si="0"/>
        <v>616</v>
      </c>
      <c r="K5" s="2"/>
      <c r="M5" s="20" t="s">
        <v>67</v>
      </c>
      <c r="O5" s="5">
        <f>O4*O2</f>
        <v>5648.4</v>
      </c>
    </row>
    <row r="6" spans="1:19" x14ac:dyDescent="0.25">
      <c r="B6" s="1">
        <v>42220</v>
      </c>
      <c r="C6">
        <v>20</v>
      </c>
      <c r="D6" s="2">
        <v>122.2</v>
      </c>
      <c r="E6" s="2">
        <f t="shared" si="0"/>
        <v>2444</v>
      </c>
      <c r="K6" s="2"/>
      <c r="M6" s="20" t="s">
        <v>64</v>
      </c>
      <c r="O6" s="2">
        <f>O3*O2</f>
        <v>5641.6200000000008</v>
      </c>
    </row>
    <row r="7" spans="1:19" x14ac:dyDescent="0.25">
      <c r="A7" s="27" t="s">
        <v>115</v>
      </c>
      <c r="B7" s="24"/>
      <c r="C7" s="24">
        <f>SUM(C2:C6)</f>
        <v>55</v>
      </c>
      <c r="D7" s="31"/>
      <c r="E7" s="31">
        <f>SUM(E2:E6)</f>
        <v>6936.6</v>
      </c>
      <c r="F7" s="24"/>
      <c r="G7" s="24">
        <f t="shared" ref="G7:K7" si="1">SUM(G2:G6)</f>
        <v>10</v>
      </c>
      <c r="H7" s="31"/>
      <c r="I7" s="31">
        <f>SUM(I2:I6)</f>
        <v>1294.98</v>
      </c>
      <c r="J7" s="24"/>
      <c r="K7" s="31">
        <f t="shared" si="1"/>
        <v>4</v>
      </c>
      <c r="M7" s="20" t="s">
        <v>65</v>
      </c>
      <c r="O7" s="2">
        <f>O5-O6+K7</f>
        <v>10.779999999998836</v>
      </c>
    </row>
    <row r="16" spans="1:19" x14ac:dyDescent="0.25">
      <c r="N16" t="s">
        <v>90</v>
      </c>
    </row>
    <row r="17" spans="13:16" x14ac:dyDescent="0.25">
      <c r="M17" s="2">
        <f>$O$4</f>
        <v>125.52</v>
      </c>
      <c r="N17">
        <v>1.1000000000000001</v>
      </c>
      <c r="O17" s="2">
        <f t="shared" ref="O17:O29" si="2">N17*M17</f>
        <v>138.072</v>
      </c>
    </row>
    <row r="18" spans="13:16" x14ac:dyDescent="0.25">
      <c r="M18" s="2">
        <f>$O$4</f>
        <v>125.52</v>
      </c>
      <c r="N18">
        <v>1.05</v>
      </c>
      <c r="O18" s="2">
        <f t="shared" si="2"/>
        <v>131.79599999999999</v>
      </c>
    </row>
    <row r="19" spans="13:16" x14ac:dyDescent="0.25">
      <c r="M19" s="2">
        <f t="shared" ref="M19:M29" si="3">$O$4</f>
        <v>125.52</v>
      </c>
      <c r="N19">
        <v>1.04</v>
      </c>
      <c r="O19" s="2">
        <f t="shared" si="2"/>
        <v>130.54079999999999</v>
      </c>
    </row>
    <row r="20" spans="13:16" x14ac:dyDescent="0.25">
      <c r="M20" s="2">
        <f t="shared" si="3"/>
        <v>125.52</v>
      </c>
      <c r="N20" s="2">
        <v>1.03</v>
      </c>
      <c r="O20" s="2">
        <f t="shared" si="2"/>
        <v>129.28559999999999</v>
      </c>
      <c r="P20" t="s">
        <v>116</v>
      </c>
    </row>
    <row r="21" spans="13:16" x14ac:dyDescent="0.25">
      <c r="M21" s="2">
        <f t="shared" si="3"/>
        <v>125.52</v>
      </c>
      <c r="N21" s="2">
        <v>1.02</v>
      </c>
      <c r="O21" s="2">
        <f t="shared" si="2"/>
        <v>128.03039999999999</v>
      </c>
      <c r="P21" t="s">
        <v>136</v>
      </c>
    </row>
    <row r="22" spans="13:16" x14ac:dyDescent="0.25">
      <c r="M22" s="2">
        <f t="shared" si="3"/>
        <v>125.52</v>
      </c>
      <c r="N22" s="2">
        <v>1.01</v>
      </c>
      <c r="O22" s="2">
        <f t="shared" si="2"/>
        <v>126.7752</v>
      </c>
    </row>
    <row r="23" spans="13:16" x14ac:dyDescent="0.25">
      <c r="M23" s="2">
        <f t="shared" si="3"/>
        <v>125.52</v>
      </c>
      <c r="N23" s="2">
        <v>1</v>
      </c>
      <c r="O23" s="2">
        <f t="shared" si="2"/>
        <v>125.52</v>
      </c>
    </row>
    <row r="24" spans="13:16" x14ac:dyDescent="0.25">
      <c r="M24" s="2">
        <f t="shared" si="3"/>
        <v>125.52</v>
      </c>
      <c r="N24" s="2">
        <v>0.99</v>
      </c>
      <c r="O24" s="2">
        <f t="shared" si="2"/>
        <v>124.26479999999999</v>
      </c>
      <c r="P24" t="s">
        <v>131</v>
      </c>
    </row>
    <row r="25" spans="13:16" x14ac:dyDescent="0.25">
      <c r="M25" s="2">
        <f t="shared" si="3"/>
        <v>125.52</v>
      </c>
      <c r="N25" s="2">
        <v>0.98</v>
      </c>
      <c r="O25" s="2">
        <f t="shared" si="2"/>
        <v>123.00959999999999</v>
      </c>
    </row>
    <row r="26" spans="13:16" x14ac:dyDescent="0.25">
      <c r="M26" s="2">
        <f t="shared" si="3"/>
        <v>125.52</v>
      </c>
      <c r="N26" s="2">
        <v>0.97</v>
      </c>
      <c r="O26" s="2">
        <f t="shared" si="2"/>
        <v>121.75439999999999</v>
      </c>
    </row>
    <row r="27" spans="13:16" x14ac:dyDescent="0.25">
      <c r="M27" s="2">
        <f t="shared" si="3"/>
        <v>125.52</v>
      </c>
      <c r="N27" s="2">
        <v>0.96</v>
      </c>
      <c r="O27" s="2">
        <f t="shared" si="2"/>
        <v>120.49919999999999</v>
      </c>
    </row>
    <row r="28" spans="13:16" x14ac:dyDescent="0.25">
      <c r="M28" s="2">
        <f t="shared" si="3"/>
        <v>125.52</v>
      </c>
      <c r="N28" s="2">
        <v>0.95</v>
      </c>
      <c r="O28" s="2">
        <f t="shared" si="2"/>
        <v>119.24399999999999</v>
      </c>
    </row>
    <row r="29" spans="13:16" x14ac:dyDescent="0.25">
      <c r="M29" s="2">
        <f t="shared" si="3"/>
        <v>125.52</v>
      </c>
      <c r="N29" s="2">
        <v>0.9</v>
      </c>
      <c r="O29" s="2">
        <f t="shared" si="2"/>
        <v>112.968</v>
      </c>
    </row>
  </sheetData>
  <mergeCells count="1">
    <mergeCell ref="B3:B4"/>
  </mergeCells>
  <conditionalFormatting sqref="O7">
    <cfRule type="expression" dxfId="23" priority="2">
      <formula>O7&gt;0</formula>
    </cfRule>
    <cfRule type="expression" dxfId="22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S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63</v>
      </c>
      <c r="B2" s="1">
        <v>42226</v>
      </c>
      <c r="C2">
        <v>10</v>
      </c>
      <c r="D2" s="2">
        <v>113.72</v>
      </c>
      <c r="E2" s="2">
        <f>C2*D2</f>
        <v>1137.2</v>
      </c>
      <c r="J2" t="s">
        <v>141</v>
      </c>
      <c r="M2" s="20" t="s">
        <v>57</v>
      </c>
      <c r="O2">
        <f>C6-G6</f>
        <v>30</v>
      </c>
      <c r="R2" s="1">
        <v>42202</v>
      </c>
      <c r="S2" t="s">
        <v>140</v>
      </c>
    </row>
    <row r="3" spans="1:19" x14ac:dyDescent="0.25">
      <c r="A3" s="36" t="s">
        <v>82</v>
      </c>
      <c r="B3" s="1">
        <v>42226</v>
      </c>
      <c r="C3">
        <v>5</v>
      </c>
      <c r="D3" s="2">
        <v>112.2</v>
      </c>
      <c r="E3" s="2">
        <f>C3*D3</f>
        <v>561</v>
      </c>
      <c r="M3" s="20" t="s">
        <v>58</v>
      </c>
      <c r="O3" s="2">
        <f>(E6-I6)/O2</f>
        <v>110.09500000000001</v>
      </c>
      <c r="R3" s="1">
        <v>42231</v>
      </c>
      <c r="S3" t="s">
        <v>139</v>
      </c>
    </row>
    <row r="4" spans="1:19" x14ac:dyDescent="0.25">
      <c r="B4" s="1">
        <v>42226</v>
      </c>
      <c r="C4">
        <v>5</v>
      </c>
      <c r="D4" s="2">
        <v>110.93</v>
      </c>
      <c r="E4" s="2">
        <f>C4*D4</f>
        <v>554.65000000000009</v>
      </c>
      <c r="M4" s="20" t="s">
        <v>66</v>
      </c>
      <c r="O4" s="4">
        <v>109.05</v>
      </c>
      <c r="R4" s="1">
        <v>42314</v>
      </c>
      <c r="S4" t="s">
        <v>130</v>
      </c>
    </row>
    <row r="5" spans="1:19" x14ac:dyDescent="0.25">
      <c r="B5" s="1">
        <v>42227</v>
      </c>
      <c r="C5">
        <v>10</v>
      </c>
      <c r="D5" s="2">
        <v>105</v>
      </c>
      <c r="E5" s="2">
        <f>C5*D5</f>
        <v>1050</v>
      </c>
      <c r="M5" s="20" t="s">
        <v>67</v>
      </c>
      <c r="O5" s="5">
        <f>O4*O2</f>
        <v>3271.5</v>
      </c>
    </row>
    <row r="6" spans="1:19" x14ac:dyDescent="0.25">
      <c r="A6" s="59" t="s">
        <v>115</v>
      </c>
      <c r="B6" s="24"/>
      <c r="C6" s="24">
        <f>SUM(C2:C5)</f>
        <v>30</v>
      </c>
      <c r="D6" s="31"/>
      <c r="E6" s="31">
        <f t="shared" ref="E6:K6" si="0">SUM(E2:E5)</f>
        <v>3302.8500000000004</v>
      </c>
      <c r="F6" s="24"/>
      <c r="G6" s="24">
        <f t="shared" si="0"/>
        <v>0</v>
      </c>
      <c r="H6" s="31"/>
      <c r="I6" s="31">
        <f t="shared" si="0"/>
        <v>0</v>
      </c>
      <c r="J6" s="24"/>
      <c r="K6" s="24">
        <f t="shared" si="0"/>
        <v>0</v>
      </c>
      <c r="M6" s="20" t="s">
        <v>64</v>
      </c>
      <c r="O6" s="2">
        <f>O3*O2</f>
        <v>3302.8500000000004</v>
      </c>
    </row>
    <row r="7" spans="1:19" x14ac:dyDescent="0.25">
      <c r="M7" s="20" t="s">
        <v>65</v>
      </c>
      <c r="O7" s="2">
        <f>O5-O6</f>
        <v>-31.350000000000364</v>
      </c>
    </row>
    <row r="17" spans="13:15" x14ac:dyDescent="0.25">
      <c r="N17" t="s">
        <v>90</v>
      </c>
    </row>
    <row r="18" spans="13:15" x14ac:dyDescent="0.25">
      <c r="M18" s="2">
        <f>$O$4</f>
        <v>109.05</v>
      </c>
      <c r="N18">
        <v>1.1000000000000001</v>
      </c>
      <c r="O18" s="2">
        <f t="shared" ref="O18:O30" si="1">N18*M18</f>
        <v>119.95500000000001</v>
      </c>
    </row>
    <row r="19" spans="13:15" x14ac:dyDescent="0.25">
      <c r="M19" s="2">
        <f>$O$4</f>
        <v>109.05</v>
      </c>
      <c r="N19">
        <v>1.05</v>
      </c>
      <c r="O19" s="2">
        <f t="shared" si="1"/>
        <v>114.5025</v>
      </c>
    </row>
    <row r="20" spans="13:15" x14ac:dyDescent="0.25">
      <c r="M20" s="2">
        <f t="shared" ref="M20:M30" si="2">$O$4</f>
        <v>109.05</v>
      </c>
      <c r="N20">
        <v>1.04</v>
      </c>
      <c r="O20" s="2">
        <f t="shared" si="1"/>
        <v>113.41200000000001</v>
      </c>
    </row>
    <row r="21" spans="13:15" x14ac:dyDescent="0.25">
      <c r="M21" s="2">
        <f t="shared" si="2"/>
        <v>109.05</v>
      </c>
      <c r="N21" s="2">
        <v>1.03</v>
      </c>
      <c r="O21" s="2">
        <f t="shared" si="1"/>
        <v>112.3215</v>
      </c>
    </row>
    <row r="22" spans="13:15" x14ac:dyDescent="0.25">
      <c r="M22" s="2">
        <f t="shared" si="2"/>
        <v>109.05</v>
      </c>
      <c r="N22" s="2">
        <v>1.02</v>
      </c>
      <c r="O22" s="2">
        <f t="shared" si="1"/>
        <v>111.23099999999999</v>
      </c>
    </row>
    <row r="23" spans="13:15" x14ac:dyDescent="0.25">
      <c r="M23" s="2">
        <f t="shared" si="2"/>
        <v>109.05</v>
      </c>
      <c r="N23" s="2">
        <v>1.01</v>
      </c>
      <c r="O23" s="2">
        <f t="shared" si="1"/>
        <v>110.1405</v>
      </c>
    </row>
    <row r="24" spans="13:15" x14ac:dyDescent="0.25">
      <c r="M24" s="2">
        <f t="shared" si="2"/>
        <v>109.05</v>
      </c>
      <c r="N24" s="2">
        <v>1</v>
      </c>
      <c r="O24" s="2">
        <f t="shared" si="1"/>
        <v>109.05</v>
      </c>
    </row>
    <row r="25" spans="13:15" x14ac:dyDescent="0.25">
      <c r="M25" s="2">
        <f t="shared" si="2"/>
        <v>109.05</v>
      </c>
      <c r="N25" s="2">
        <v>0.99</v>
      </c>
      <c r="O25" s="2">
        <f t="shared" si="1"/>
        <v>107.95949999999999</v>
      </c>
    </row>
    <row r="26" spans="13:15" x14ac:dyDescent="0.25">
      <c r="M26" s="2">
        <f t="shared" si="2"/>
        <v>109.05</v>
      </c>
      <c r="N26" s="2">
        <v>0.98</v>
      </c>
      <c r="O26" s="2">
        <f t="shared" si="1"/>
        <v>106.869</v>
      </c>
    </row>
    <row r="27" spans="13:15" x14ac:dyDescent="0.25">
      <c r="M27" s="2">
        <f t="shared" si="2"/>
        <v>109.05</v>
      </c>
      <c r="N27" s="2">
        <v>0.97</v>
      </c>
      <c r="O27" s="2">
        <f t="shared" si="1"/>
        <v>105.77849999999999</v>
      </c>
    </row>
    <row r="28" spans="13:15" x14ac:dyDescent="0.25">
      <c r="M28" s="2">
        <f t="shared" si="2"/>
        <v>109.05</v>
      </c>
      <c r="N28" s="2">
        <v>0.96</v>
      </c>
      <c r="O28" s="2">
        <f t="shared" si="1"/>
        <v>104.68799999999999</v>
      </c>
    </row>
    <row r="29" spans="13:15" x14ac:dyDescent="0.25">
      <c r="M29" s="2">
        <f t="shared" si="2"/>
        <v>109.05</v>
      </c>
      <c r="N29" s="2">
        <v>0.95</v>
      </c>
      <c r="O29" s="2">
        <f t="shared" si="1"/>
        <v>103.5975</v>
      </c>
    </row>
    <row r="30" spans="13:15" x14ac:dyDescent="0.25">
      <c r="M30" s="2">
        <f t="shared" si="2"/>
        <v>109.05</v>
      </c>
      <c r="N30" s="2">
        <v>0.9</v>
      </c>
      <c r="O30" s="2">
        <f t="shared" si="1"/>
        <v>98.144999999999996</v>
      </c>
    </row>
  </sheetData>
  <conditionalFormatting sqref="O7">
    <cfRule type="expression" dxfId="21" priority="2">
      <formula>O7&gt;0</formula>
    </cfRule>
    <cfRule type="expression" dxfId="20" priority="3">
      <formula>O7&lt;0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S1" s="20" t="s">
        <v>75</v>
      </c>
    </row>
    <row r="2" spans="1:20" x14ac:dyDescent="0.25">
      <c r="A2" s="8" t="s">
        <v>55</v>
      </c>
      <c r="B2" s="1">
        <v>42214</v>
      </c>
      <c r="C2">
        <v>10</v>
      </c>
      <c r="D2" s="2">
        <v>113.01</v>
      </c>
      <c r="E2" s="2">
        <f>C2*D2</f>
        <v>1130.1000000000001</v>
      </c>
      <c r="J2" t="s">
        <v>125</v>
      </c>
      <c r="M2" s="20" t="s">
        <v>57</v>
      </c>
      <c r="O2">
        <f>C10-G10</f>
        <v>10</v>
      </c>
      <c r="S2" s="1">
        <v>42305</v>
      </c>
      <c r="T2" t="s">
        <v>130</v>
      </c>
    </row>
    <row r="3" spans="1:20" x14ac:dyDescent="0.25">
      <c r="A3" s="36" t="s">
        <v>82</v>
      </c>
      <c r="M3" s="20" t="s">
        <v>58</v>
      </c>
      <c r="O3" s="2">
        <f>(E10-I10)/O2</f>
        <v>113.01000000000002</v>
      </c>
    </row>
    <row r="4" spans="1:20" x14ac:dyDescent="0.25">
      <c r="M4" s="20" t="s">
        <v>66</v>
      </c>
      <c r="O4" s="4">
        <v>116.42</v>
      </c>
    </row>
    <row r="5" spans="1:20" x14ac:dyDescent="0.25">
      <c r="M5" s="20" t="s">
        <v>67</v>
      </c>
      <c r="O5" s="5">
        <f>O4*O2</f>
        <v>1164.2</v>
      </c>
    </row>
    <row r="6" spans="1:20" x14ac:dyDescent="0.25">
      <c r="M6" s="20" t="s">
        <v>64</v>
      </c>
      <c r="O6" s="2">
        <f>O3*O2</f>
        <v>1130.1000000000001</v>
      </c>
    </row>
    <row r="7" spans="1:20" x14ac:dyDescent="0.25">
      <c r="M7" s="20" t="s">
        <v>65</v>
      </c>
      <c r="O7" s="34">
        <f>O5-O6</f>
        <v>34.099999999999909</v>
      </c>
    </row>
    <row r="10" spans="1:20" x14ac:dyDescent="0.25">
      <c r="A10" s="35" t="s">
        <v>115</v>
      </c>
      <c r="B10" s="21"/>
      <c r="C10" s="21">
        <f>SUM(C2:C9)</f>
        <v>10</v>
      </c>
      <c r="D10" s="22"/>
      <c r="E10" s="22">
        <f>SUM(E2:E9)</f>
        <v>1130.1000000000001</v>
      </c>
      <c r="F10" s="21"/>
      <c r="G10" s="21"/>
      <c r="H10" s="21"/>
      <c r="I10" s="21"/>
      <c r="J10" s="21"/>
      <c r="K10" s="21"/>
    </row>
    <row r="11" spans="1:20" x14ac:dyDescent="0.25">
      <c r="A11" s="14"/>
      <c r="B11" s="14"/>
      <c r="C11" s="14"/>
      <c r="D11" s="33"/>
      <c r="E11" s="33"/>
      <c r="F11" s="14"/>
      <c r="G11" s="14"/>
      <c r="H11" s="14"/>
      <c r="I11" s="14"/>
      <c r="J11" s="14"/>
      <c r="K11" s="14"/>
      <c r="L11" s="7"/>
    </row>
    <row r="12" spans="1:20" x14ac:dyDescent="0.25">
      <c r="A12" s="14"/>
      <c r="B12" s="14"/>
      <c r="C12" s="14"/>
      <c r="D12" s="33"/>
      <c r="E12" s="33"/>
      <c r="F12" s="14"/>
      <c r="G12" s="14"/>
      <c r="H12" s="14"/>
      <c r="I12" s="14"/>
      <c r="J12" s="14"/>
      <c r="K12" s="14"/>
      <c r="L12" s="7"/>
    </row>
    <row r="16" spans="1:20" x14ac:dyDescent="0.25">
      <c r="N16" t="s">
        <v>90</v>
      </c>
    </row>
    <row r="17" spans="13:15" x14ac:dyDescent="0.25">
      <c r="M17" s="2">
        <f>$O$4</f>
        <v>116.42</v>
      </c>
      <c r="N17">
        <v>1.1000000000000001</v>
      </c>
      <c r="O17" s="2">
        <f t="shared" ref="O17:O29" si="0">N17*M17</f>
        <v>128.06200000000001</v>
      </c>
    </row>
    <row r="18" spans="13:15" x14ac:dyDescent="0.25">
      <c r="M18" s="2">
        <f>$O$4</f>
        <v>116.42</v>
      </c>
      <c r="N18">
        <v>1.05</v>
      </c>
      <c r="O18" s="2">
        <f t="shared" si="0"/>
        <v>122.24100000000001</v>
      </c>
    </row>
    <row r="19" spans="13:15" x14ac:dyDescent="0.25">
      <c r="M19" s="2">
        <f t="shared" ref="M19:M29" si="1">$O$4</f>
        <v>116.42</v>
      </c>
      <c r="N19">
        <v>1.04</v>
      </c>
      <c r="O19" s="2">
        <f t="shared" si="0"/>
        <v>121.07680000000001</v>
      </c>
    </row>
    <row r="20" spans="13:15" x14ac:dyDescent="0.25">
      <c r="M20" s="2">
        <f t="shared" si="1"/>
        <v>116.42</v>
      </c>
      <c r="N20" s="2">
        <v>1.03</v>
      </c>
      <c r="O20" s="2">
        <f t="shared" si="0"/>
        <v>119.91260000000001</v>
      </c>
    </row>
    <row r="21" spans="13:15" x14ac:dyDescent="0.25">
      <c r="M21" s="2">
        <f t="shared" si="1"/>
        <v>116.42</v>
      </c>
      <c r="N21" s="2">
        <v>1.02</v>
      </c>
      <c r="O21" s="2">
        <f t="shared" si="0"/>
        <v>118.7484</v>
      </c>
    </row>
    <row r="22" spans="13:15" x14ac:dyDescent="0.25">
      <c r="M22" s="2">
        <f t="shared" si="1"/>
        <v>116.42</v>
      </c>
      <c r="N22" s="2">
        <v>1.01</v>
      </c>
      <c r="O22" s="2">
        <f t="shared" si="0"/>
        <v>117.58420000000001</v>
      </c>
    </row>
    <row r="23" spans="13:15" x14ac:dyDescent="0.25">
      <c r="M23" s="2">
        <f t="shared" si="1"/>
        <v>116.42</v>
      </c>
      <c r="N23" s="2">
        <v>1</v>
      </c>
      <c r="O23" s="2">
        <f t="shared" si="0"/>
        <v>116.42</v>
      </c>
    </row>
    <row r="24" spans="13:15" x14ac:dyDescent="0.25">
      <c r="M24" s="2">
        <f t="shared" si="1"/>
        <v>116.42</v>
      </c>
      <c r="N24" s="2">
        <v>0.99</v>
      </c>
      <c r="O24" s="2">
        <f t="shared" si="0"/>
        <v>115.25579999999999</v>
      </c>
    </row>
    <row r="25" spans="13:15" x14ac:dyDescent="0.25">
      <c r="M25" s="2">
        <f t="shared" si="1"/>
        <v>116.42</v>
      </c>
      <c r="N25" s="2">
        <v>0.98</v>
      </c>
      <c r="O25" s="2">
        <f t="shared" si="0"/>
        <v>114.0916</v>
      </c>
    </row>
    <row r="26" spans="13:15" x14ac:dyDescent="0.25">
      <c r="M26" s="2">
        <f t="shared" si="1"/>
        <v>116.42</v>
      </c>
      <c r="N26" s="2">
        <v>0.97</v>
      </c>
      <c r="O26" s="2">
        <f t="shared" si="0"/>
        <v>112.92739999999999</v>
      </c>
    </row>
    <row r="27" spans="13:15" x14ac:dyDescent="0.25">
      <c r="M27" s="2">
        <f t="shared" si="1"/>
        <v>116.42</v>
      </c>
      <c r="N27" s="2">
        <v>0.96</v>
      </c>
      <c r="O27" s="2">
        <f t="shared" si="0"/>
        <v>111.7632</v>
      </c>
    </row>
    <row r="28" spans="13:15" x14ac:dyDescent="0.25">
      <c r="M28" s="2">
        <f t="shared" si="1"/>
        <v>116.42</v>
      </c>
      <c r="N28" s="2">
        <v>0.95</v>
      </c>
      <c r="O28" s="2">
        <f t="shared" si="0"/>
        <v>110.59899999999999</v>
      </c>
    </row>
    <row r="29" spans="13:15" x14ac:dyDescent="0.25">
      <c r="M29" s="2">
        <f t="shared" si="1"/>
        <v>116.42</v>
      </c>
      <c r="N29" s="2">
        <v>0.9</v>
      </c>
      <c r="O29" s="2">
        <f t="shared" si="0"/>
        <v>104.77800000000001</v>
      </c>
    </row>
  </sheetData>
  <conditionalFormatting sqref="O7">
    <cfRule type="expression" dxfId="19" priority="2">
      <formula>O7&gt;0</formula>
    </cfRule>
    <cfRule type="expression" dxfId="18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T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S1" s="20" t="s">
        <v>75</v>
      </c>
    </row>
    <row r="2" spans="1:20" x14ac:dyDescent="0.25">
      <c r="A2" s="8" t="s">
        <v>53</v>
      </c>
      <c r="B2" s="1">
        <v>42214</v>
      </c>
      <c r="C2">
        <v>15</v>
      </c>
      <c r="D2" s="2">
        <v>47.8</v>
      </c>
      <c r="E2" s="2">
        <f>C2*D2</f>
        <v>717</v>
      </c>
      <c r="I2">
        <f>G2*H2</f>
        <v>0</v>
      </c>
      <c r="M2" s="20" t="s">
        <v>57</v>
      </c>
      <c r="O2">
        <f>C5-G5</f>
        <v>35</v>
      </c>
      <c r="S2" s="1">
        <v>42318</v>
      </c>
      <c r="T2" t="s">
        <v>130</v>
      </c>
    </row>
    <row r="3" spans="1:20" x14ac:dyDescent="0.25">
      <c r="A3" s="36" t="s">
        <v>82</v>
      </c>
      <c r="B3" s="1">
        <v>42233</v>
      </c>
      <c r="C3">
        <v>20</v>
      </c>
      <c r="D3" s="2">
        <v>47.5</v>
      </c>
      <c r="E3" s="2">
        <f>C3*D3</f>
        <v>950</v>
      </c>
      <c r="M3" s="20" t="s">
        <v>58</v>
      </c>
      <c r="O3" s="2">
        <f>(E5-I5)/O2</f>
        <v>47.628571428571426</v>
      </c>
    </row>
    <row r="4" spans="1:20" x14ac:dyDescent="0.25">
      <c r="M4" s="20" t="s">
        <v>66</v>
      </c>
      <c r="O4" s="4">
        <v>48.56</v>
      </c>
    </row>
    <row r="5" spans="1:20" x14ac:dyDescent="0.25">
      <c r="A5" s="35" t="s">
        <v>115</v>
      </c>
      <c r="B5" s="35"/>
      <c r="C5" s="35">
        <f>SUM(C2:C3)</f>
        <v>35</v>
      </c>
      <c r="D5" s="69"/>
      <c r="E5" s="69">
        <f>SUM(E2:E3)</f>
        <v>1667</v>
      </c>
      <c r="F5" s="35"/>
      <c r="G5" s="35">
        <f>SUM(G2:G4)</f>
        <v>0</v>
      </c>
      <c r="H5" s="35"/>
      <c r="I5" s="35">
        <f>SUM(I2:I4)</f>
        <v>0</v>
      </c>
      <c r="J5" s="35"/>
      <c r="K5" s="35"/>
      <c r="M5" s="20" t="s">
        <v>67</v>
      </c>
      <c r="O5" s="5">
        <f>O4*O2</f>
        <v>1699.6000000000001</v>
      </c>
    </row>
    <row r="6" spans="1:20" x14ac:dyDescent="0.25">
      <c r="M6" s="20" t="s">
        <v>64</v>
      </c>
      <c r="O6" s="2">
        <f>O3*O2</f>
        <v>1667</v>
      </c>
    </row>
    <row r="7" spans="1:20" x14ac:dyDescent="0.25">
      <c r="M7" s="20" t="s">
        <v>65</v>
      </c>
      <c r="O7" s="2">
        <f>O5-O6</f>
        <v>32.600000000000136</v>
      </c>
    </row>
    <row r="17" spans="13:15" x14ac:dyDescent="0.25">
      <c r="N17" t="s">
        <v>90</v>
      </c>
    </row>
    <row r="18" spans="13:15" x14ac:dyDescent="0.25">
      <c r="M18" s="2">
        <f>$O$4</f>
        <v>48.56</v>
      </c>
      <c r="N18">
        <v>1.1000000000000001</v>
      </c>
      <c r="O18" s="2">
        <f t="shared" ref="O18:O30" si="0">N18*M18</f>
        <v>53.416000000000004</v>
      </c>
    </row>
    <row r="19" spans="13:15" x14ac:dyDescent="0.25">
      <c r="M19" s="2">
        <f>$O$4</f>
        <v>48.56</v>
      </c>
      <c r="N19">
        <v>1.05</v>
      </c>
      <c r="O19" s="2">
        <f t="shared" si="0"/>
        <v>50.988000000000007</v>
      </c>
    </row>
    <row r="20" spans="13:15" x14ac:dyDescent="0.25">
      <c r="M20" s="2">
        <f t="shared" ref="M20:M30" si="1">$O$4</f>
        <v>48.56</v>
      </c>
      <c r="N20">
        <v>1.04</v>
      </c>
      <c r="O20" s="2">
        <f t="shared" si="0"/>
        <v>50.502400000000002</v>
      </c>
    </row>
    <row r="21" spans="13:15" x14ac:dyDescent="0.25">
      <c r="M21" s="2">
        <f t="shared" si="1"/>
        <v>48.56</v>
      </c>
      <c r="N21" s="2">
        <v>1.03</v>
      </c>
      <c r="O21" s="2">
        <f t="shared" si="0"/>
        <v>50.016800000000003</v>
      </c>
    </row>
    <row r="22" spans="13:15" x14ac:dyDescent="0.25">
      <c r="M22" s="2">
        <f t="shared" si="1"/>
        <v>48.56</v>
      </c>
      <c r="N22" s="2">
        <v>1.02</v>
      </c>
      <c r="O22" s="2">
        <f t="shared" si="0"/>
        <v>49.531200000000005</v>
      </c>
    </row>
    <row r="23" spans="13:15" x14ac:dyDescent="0.25">
      <c r="M23" s="2">
        <f t="shared" si="1"/>
        <v>48.56</v>
      </c>
      <c r="N23" s="2">
        <v>1.01</v>
      </c>
      <c r="O23" s="2">
        <f t="shared" si="0"/>
        <v>49.0456</v>
      </c>
    </row>
    <row r="24" spans="13:15" x14ac:dyDescent="0.25">
      <c r="M24" s="2">
        <f t="shared" si="1"/>
        <v>48.56</v>
      </c>
      <c r="N24" s="2">
        <v>1</v>
      </c>
      <c r="O24" s="2">
        <f t="shared" si="0"/>
        <v>48.56</v>
      </c>
    </row>
    <row r="25" spans="13:15" x14ac:dyDescent="0.25">
      <c r="M25" s="2">
        <f t="shared" si="1"/>
        <v>48.56</v>
      </c>
      <c r="N25" s="2">
        <v>0.99</v>
      </c>
      <c r="O25" s="2">
        <f t="shared" si="0"/>
        <v>48.074400000000004</v>
      </c>
    </row>
    <row r="26" spans="13:15" x14ac:dyDescent="0.25">
      <c r="M26" s="2">
        <f t="shared" si="1"/>
        <v>48.56</v>
      </c>
      <c r="N26" s="2">
        <v>0.98</v>
      </c>
      <c r="O26" s="2">
        <f t="shared" si="0"/>
        <v>47.588799999999999</v>
      </c>
    </row>
    <row r="27" spans="13:15" x14ac:dyDescent="0.25">
      <c r="M27" s="2">
        <f t="shared" si="1"/>
        <v>48.56</v>
      </c>
      <c r="N27" s="2">
        <v>0.97</v>
      </c>
      <c r="O27" s="2">
        <f t="shared" si="0"/>
        <v>47.103200000000001</v>
      </c>
    </row>
    <row r="28" spans="13:15" x14ac:dyDescent="0.25">
      <c r="M28" s="2">
        <f t="shared" si="1"/>
        <v>48.56</v>
      </c>
      <c r="N28" s="2">
        <v>0.96</v>
      </c>
      <c r="O28" s="2">
        <f t="shared" si="0"/>
        <v>46.617600000000003</v>
      </c>
    </row>
    <row r="29" spans="13:15" x14ac:dyDescent="0.25">
      <c r="M29" s="2">
        <f t="shared" si="1"/>
        <v>48.56</v>
      </c>
      <c r="N29" s="2">
        <v>0.95</v>
      </c>
      <c r="O29" s="2">
        <f t="shared" si="0"/>
        <v>46.131999999999998</v>
      </c>
    </row>
    <row r="30" spans="13:15" x14ac:dyDescent="0.25">
      <c r="M30" s="2">
        <f t="shared" si="1"/>
        <v>48.56</v>
      </c>
      <c r="N30" s="2">
        <v>0.9</v>
      </c>
      <c r="O30" s="2">
        <f t="shared" si="0"/>
        <v>43.704000000000001</v>
      </c>
    </row>
  </sheetData>
  <conditionalFormatting sqref="O7">
    <cfRule type="expression" dxfId="17" priority="2">
      <formula>O7&gt;0</formula>
    </cfRule>
    <cfRule type="expression" dxfId="16" priority="3">
      <formula>O7&lt;0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S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R1" s="20" t="s">
        <v>75</v>
      </c>
    </row>
    <row r="2" spans="1:19" x14ac:dyDescent="0.25">
      <c r="A2" s="8" t="s">
        <v>56</v>
      </c>
      <c r="B2" s="90">
        <v>42220</v>
      </c>
      <c r="C2">
        <v>40</v>
      </c>
      <c r="D2" s="2">
        <v>31.78</v>
      </c>
      <c r="E2" s="2">
        <f>C2*D2</f>
        <v>1271.2</v>
      </c>
      <c r="F2" s="1">
        <v>42235</v>
      </c>
      <c r="G2" s="10">
        <v>100</v>
      </c>
      <c r="H2" s="10">
        <v>31.5</v>
      </c>
      <c r="I2" s="10">
        <f>G2*H2</f>
        <v>3150</v>
      </c>
      <c r="M2" s="20" t="s">
        <v>57</v>
      </c>
      <c r="O2">
        <f>C6-G6</f>
        <v>40</v>
      </c>
      <c r="R2" s="1">
        <v>42300</v>
      </c>
      <c r="S2" t="s">
        <v>130</v>
      </c>
    </row>
    <row r="3" spans="1:19" x14ac:dyDescent="0.25">
      <c r="A3" s="36" t="s">
        <v>82</v>
      </c>
      <c r="B3" s="90"/>
      <c r="C3" s="10">
        <v>60</v>
      </c>
      <c r="D3" s="25">
        <v>31.78</v>
      </c>
      <c r="E3" s="25">
        <f>C3*D3</f>
        <v>1906.8000000000002</v>
      </c>
      <c r="F3" s="1"/>
      <c r="M3" s="20" t="s">
        <v>58</v>
      </c>
      <c r="O3" s="2">
        <f>(E6-I6)/O2</f>
        <v>30.987500000000001</v>
      </c>
      <c r="R3" t="s">
        <v>144</v>
      </c>
    </row>
    <row r="4" spans="1:19" x14ac:dyDescent="0.25">
      <c r="B4" s="1">
        <v>42221</v>
      </c>
      <c r="C4" s="10">
        <v>10</v>
      </c>
      <c r="D4" s="25">
        <v>31.45</v>
      </c>
      <c r="E4" s="25">
        <f t="shared" ref="E4:E5" si="0">C4*D4</f>
        <v>314.5</v>
      </c>
      <c r="M4" s="20" t="s">
        <v>66</v>
      </c>
      <c r="O4" s="4">
        <v>31.61</v>
      </c>
    </row>
    <row r="5" spans="1:19" x14ac:dyDescent="0.25">
      <c r="B5" s="1">
        <v>42233</v>
      </c>
      <c r="C5" s="10">
        <v>30</v>
      </c>
      <c r="D5" s="25">
        <v>29.9</v>
      </c>
      <c r="E5" s="25">
        <f t="shared" si="0"/>
        <v>897</v>
      </c>
      <c r="M5" s="20" t="s">
        <v>67</v>
      </c>
      <c r="O5" s="5">
        <f>O4*O2</f>
        <v>1264.4000000000001</v>
      </c>
    </row>
    <row r="6" spans="1:19" x14ac:dyDescent="0.25">
      <c r="A6" s="35" t="s">
        <v>115</v>
      </c>
      <c r="B6" s="21"/>
      <c r="C6" s="21">
        <f>SUM(C2:C5)</f>
        <v>140</v>
      </c>
      <c r="D6" s="22"/>
      <c r="E6" s="22">
        <f>SUM(E2:E5)</f>
        <v>4389.5</v>
      </c>
      <c r="F6" s="21"/>
      <c r="G6" s="21">
        <f>SUM(G2:G5)</f>
        <v>100</v>
      </c>
      <c r="H6" s="21"/>
      <c r="I6" s="21">
        <f>SUM(I2:I5)</f>
        <v>3150</v>
      </c>
      <c r="J6" s="21"/>
      <c r="K6" s="21"/>
      <c r="M6" s="20" t="s">
        <v>64</v>
      </c>
      <c r="O6" s="2">
        <f>O3*O2</f>
        <v>1239.5</v>
      </c>
    </row>
    <row r="7" spans="1:19" x14ac:dyDescent="0.25">
      <c r="M7" s="20" t="s">
        <v>65</v>
      </c>
      <c r="O7" s="2">
        <f>O5-O6</f>
        <v>24.900000000000091</v>
      </c>
    </row>
    <row r="21" spans="13:15" x14ac:dyDescent="0.25">
      <c r="N21" t="s">
        <v>90</v>
      </c>
    </row>
    <row r="22" spans="13:15" x14ac:dyDescent="0.25">
      <c r="M22" s="2">
        <f>$O$4</f>
        <v>31.61</v>
      </c>
      <c r="N22">
        <v>1.1000000000000001</v>
      </c>
      <c r="O22" s="2">
        <f t="shared" ref="O22:O34" si="1">N22*M22</f>
        <v>34.771000000000001</v>
      </c>
    </row>
    <row r="23" spans="13:15" x14ac:dyDescent="0.25">
      <c r="M23" s="2">
        <f>$O$4</f>
        <v>31.61</v>
      </c>
      <c r="N23">
        <v>1.05</v>
      </c>
      <c r="O23" s="2">
        <f t="shared" si="1"/>
        <v>33.1905</v>
      </c>
    </row>
    <row r="24" spans="13:15" x14ac:dyDescent="0.25">
      <c r="M24" s="2">
        <f t="shared" ref="M24:M34" si="2">$O$4</f>
        <v>31.61</v>
      </c>
      <c r="N24">
        <v>1.04</v>
      </c>
      <c r="O24" s="2">
        <f t="shared" si="1"/>
        <v>32.874400000000001</v>
      </c>
    </row>
    <row r="25" spans="13:15" x14ac:dyDescent="0.25">
      <c r="M25" s="2">
        <f t="shared" si="2"/>
        <v>31.61</v>
      </c>
      <c r="N25" s="2">
        <v>1.03</v>
      </c>
      <c r="O25" s="2">
        <f t="shared" si="1"/>
        <v>32.558300000000003</v>
      </c>
    </row>
    <row r="26" spans="13:15" x14ac:dyDescent="0.25">
      <c r="M26" s="2">
        <f t="shared" si="2"/>
        <v>31.61</v>
      </c>
      <c r="N26" s="2">
        <v>1.02</v>
      </c>
      <c r="O26" s="2">
        <f t="shared" si="1"/>
        <v>32.242199999999997</v>
      </c>
    </row>
    <row r="27" spans="13:15" x14ac:dyDescent="0.25">
      <c r="M27" s="2">
        <f t="shared" si="2"/>
        <v>31.61</v>
      </c>
      <c r="N27" s="2">
        <v>1.01</v>
      </c>
      <c r="O27" s="2">
        <f t="shared" si="1"/>
        <v>31.926099999999998</v>
      </c>
    </row>
    <row r="28" spans="13:15" x14ac:dyDescent="0.25">
      <c r="M28" s="2">
        <f t="shared" si="2"/>
        <v>31.61</v>
      </c>
      <c r="N28" s="2">
        <v>1</v>
      </c>
      <c r="O28" s="2">
        <f t="shared" si="1"/>
        <v>31.61</v>
      </c>
    </row>
    <row r="29" spans="13:15" x14ac:dyDescent="0.25">
      <c r="M29" s="2">
        <f t="shared" si="2"/>
        <v>31.61</v>
      </c>
      <c r="N29" s="2">
        <v>0.99</v>
      </c>
      <c r="O29" s="2">
        <f t="shared" si="1"/>
        <v>31.293900000000001</v>
      </c>
    </row>
    <row r="30" spans="13:15" x14ac:dyDescent="0.25">
      <c r="M30" s="2">
        <f t="shared" si="2"/>
        <v>31.61</v>
      </c>
      <c r="N30" s="2">
        <v>0.98</v>
      </c>
      <c r="O30" s="2">
        <f t="shared" si="1"/>
        <v>30.977799999999998</v>
      </c>
    </row>
    <row r="31" spans="13:15" x14ac:dyDescent="0.25">
      <c r="M31" s="2">
        <f t="shared" si="2"/>
        <v>31.61</v>
      </c>
      <c r="N31" s="2">
        <v>0.97</v>
      </c>
      <c r="O31" s="2">
        <f t="shared" si="1"/>
        <v>30.6617</v>
      </c>
    </row>
    <row r="32" spans="13:15" x14ac:dyDescent="0.25">
      <c r="M32" s="2">
        <f t="shared" si="2"/>
        <v>31.61</v>
      </c>
      <c r="N32" s="2">
        <v>0.96</v>
      </c>
      <c r="O32" s="2">
        <f t="shared" si="1"/>
        <v>30.345599999999997</v>
      </c>
    </row>
    <row r="33" spans="4:15" x14ac:dyDescent="0.25">
      <c r="M33" s="2">
        <f t="shared" si="2"/>
        <v>31.61</v>
      </c>
      <c r="N33" s="2">
        <v>0.95</v>
      </c>
      <c r="O33" s="2">
        <f t="shared" si="1"/>
        <v>30.029499999999999</v>
      </c>
    </row>
    <row r="34" spans="4:15" x14ac:dyDescent="0.25">
      <c r="M34" s="2">
        <f t="shared" si="2"/>
        <v>31.61</v>
      </c>
      <c r="N34" s="2">
        <v>0.9</v>
      </c>
      <c r="O34" s="2">
        <f t="shared" si="1"/>
        <v>28.449000000000002</v>
      </c>
    </row>
    <row r="40" spans="4:15" x14ac:dyDescent="0.25">
      <c r="D40"/>
    </row>
  </sheetData>
  <mergeCells count="1">
    <mergeCell ref="B2:B3"/>
  </mergeCells>
  <conditionalFormatting sqref="O7">
    <cfRule type="expression" dxfId="15" priority="2">
      <formula>O7&gt;0</formula>
    </cfRule>
    <cfRule type="expression" dxfId="14" priority="3">
      <formula>O7&lt;0</formula>
    </cfRule>
  </conditionalFormatting>
  <conditionalFormatting sqref="N22:N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T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</cols>
  <sheetData>
    <row r="1" spans="1:20" s="20" customFormat="1" x14ac:dyDescent="0.25">
      <c r="A1" s="34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37</v>
      </c>
      <c r="K1" s="20" t="s">
        <v>38</v>
      </c>
      <c r="S1" s="20" t="s">
        <v>75</v>
      </c>
    </row>
    <row r="2" spans="1:20" x14ac:dyDescent="0.25">
      <c r="A2" s="8" t="s">
        <v>44</v>
      </c>
      <c r="B2" s="1">
        <v>42185</v>
      </c>
      <c r="C2" s="10">
        <v>10</v>
      </c>
      <c r="D2" s="25">
        <v>71.2</v>
      </c>
      <c r="E2" s="25">
        <f>C2*D2</f>
        <v>712</v>
      </c>
      <c r="F2" s="1">
        <v>42228</v>
      </c>
      <c r="G2" s="10">
        <v>10</v>
      </c>
      <c r="H2" s="25">
        <v>75.5</v>
      </c>
      <c r="I2" s="25">
        <f>G2*H2</f>
        <v>755</v>
      </c>
      <c r="M2" s="20" t="s">
        <v>57</v>
      </c>
      <c r="O2">
        <f>C4-G4</f>
        <v>5</v>
      </c>
      <c r="S2" s="1">
        <v>42309</v>
      </c>
      <c r="T2" t="s">
        <v>130</v>
      </c>
    </row>
    <row r="3" spans="1:20" x14ac:dyDescent="0.25">
      <c r="A3" s="36" t="s">
        <v>82</v>
      </c>
      <c r="B3" s="1">
        <v>42220</v>
      </c>
      <c r="C3">
        <v>5</v>
      </c>
      <c r="D3" s="2">
        <v>70.650000000000006</v>
      </c>
      <c r="E3" s="2">
        <f>C3*D3</f>
        <v>353.25</v>
      </c>
      <c r="I3" s="102"/>
      <c r="M3" s="20" t="s">
        <v>58</v>
      </c>
      <c r="O3" s="2">
        <f>(E4-I4)/O2</f>
        <v>62.05</v>
      </c>
    </row>
    <row r="4" spans="1:20" x14ac:dyDescent="0.25">
      <c r="A4" s="59" t="s">
        <v>115</v>
      </c>
      <c r="B4" s="24"/>
      <c r="C4" s="24">
        <f>SUM(C2:C3)</f>
        <v>15</v>
      </c>
      <c r="D4" s="31"/>
      <c r="E4" s="31">
        <f>SUM(E2:E3)</f>
        <v>1065.25</v>
      </c>
      <c r="F4" s="24"/>
      <c r="G4" s="24">
        <f>SUM(G2:G3)</f>
        <v>10</v>
      </c>
      <c r="H4" s="31"/>
      <c r="I4" s="31">
        <f>SUM(I2:I3)</f>
        <v>755</v>
      </c>
      <c r="J4" s="24"/>
      <c r="K4" s="24"/>
      <c r="M4" s="20" t="s">
        <v>66</v>
      </c>
      <c r="O4" s="4">
        <v>74.930000000000007</v>
      </c>
    </row>
    <row r="5" spans="1:20" x14ac:dyDescent="0.25">
      <c r="M5" s="20" t="s">
        <v>67</v>
      </c>
      <c r="O5" s="5">
        <f>O4*O2</f>
        <v>374.65000000000003</v>
      </c>
    </row>
    <row r="6" spans="1:20" x14ac:dyDescent="0.25">
      <c r="M6" s="20" t="s">
        <v>64</v>
      </c>
      <c r="O6" s="2">
        <f>O3*O2</f>
        <v>310.25</v>
      </c>
    </row>
    <row r="7" spans="1:20" x14ac:dyDescent="0.25">
      <c r="M7" s="20" t="s">
        <v>65</v>
      </c>
      <c r="O7" s="2">
        <f>O5-O6</f>
        <v>64.400000000000034</v>
      </c>
    </row>
    <row r="16" spans="1:20" x14ac:dyDescent="0.25">
      <c r="N16" t="s">
        <v>90</v>
      </c>
    </row>
    <row r="17" spans="13:15" x14ac:dyDescent="0.25">
      <c r="M17" s="2">
        <f>$O$4</f>
        <v>74.930000000000007</v>
      </c>
      <c r="N17">
        <v>1.1000000000000001</v>
      </c>
      <c r="O17" s="2">
        <f t="shared" ref="O17:O29" si="0">N17*M17</f>
        <v>82.423000000000016</v>
      </c>
    </row>
    <row r="18" spans="13:15" x14ac:dyDescent="0.25">
      <c r="M18" s="2">
        <f>$O$4</f>
        <v>74.930000000000007</v>
      </c>
      <c r="N18">
        <v>1.05</v>
      </c>
      <c r="O18" s="2">
        <f t="shared" si="0"/>
        <v>78.676500000000004</v>
      </c>
    </row>
    <row r="19" spans="13:15" x14ac:dyDescent="0.25">
      <c r="M19" s="2">
        <f t="shared" ref="M19:M29" si="1">$O$4</f>
        <v>74.930000000000007</v>
      </c>
      <c r="N19">
        <v>1.04</v>
      </c>
      <c r="O19" s="2">
        <f t="shared" si="0"/>
        <v>77.927200000000013</v>
      </c>
    </row>
    <row r="20" spans="13:15" x14ac:dyDescent="0.25">
      <c r="M20" s="2">
        <f t="shared" si="1"/>
        <v>74.930000000000007</v>
      </c>
      <c r="N20" s="2">
        <v>1.03</v>
      </c>
      <c r="O20" s="2">
        <f t="shared" si="0"/>
        <v>77.177900000000008</v>
      </c>
    </row>
    <row r="21" spans="13:15" x14ac:dyDescent="0.25">
      <c r="M21" s="2">
        <f t="shared" si="1"/>
        <v>74.930000000000007</v>
      </c>
      <c r="N21" s="2">
        <v>1.02</v>
      </c>
      <c r="O21" s="2">
        <f t="shared" si="0"/>
        <v>76.428600000000003</v>
      </c>
    </row>
    <row r="22" spans="13:15" x14ac:dyDescent="0.25">
      <c r="M22" s="2">
        <f t="shared" si="1"/>
        <v>74.930000000000007</v>
      </c>
      <c r="N22" s="2">
        <v>1.01</v>
      </c>
      <c r="O22" s="2">
        <f t="shared" si="0"/>
        <v>75.679300000000012</v>
      </c>
    </row>
    <row r="23" spans="13:15" x14ac:dyDescent="0.25">
      <c r="M23" s="2">
        <f t="shared" si="1"/>
        <v>74.930000000000007</v>
      </c>
      <c r="N23" s="2">
        <v>1</v>
      </c>
      <c r="O23" s="2">
        <f t="shared" si="0"/>
        <v>74.930000000000007</v>
      </c>
    </row>
    <row r="24" spans="13:15" x14ac:dyDescent="0.25">
      <c r="M24" s="2">
        <f t="shared" si="1"/>
        <v>74.930000000000007</v>
      </c>
      <c r="N24" s="2">
        <v>0.99</v>
      </c>
      <c r="O24" s="2">
        <f t="shared" si="0"/>
        <v>74.180700000000002</v>
      </c>
    </row>
    <row r="25" spans="13:15" x14ac:dyDescent="0.25">
      <c r="M25" s="2">
        <f t="shared" si="1"/>
        <v>74.930000000000007</v>
      </c>
      <c r="N25" s="2">
        <v>0.98</v>
      </c>
      <c r="O25" s="2">
        <f t="shared" si="0"/>
        <v>73.431400000000011</v>
      </c>
    </row>
    <row r="26" spans="13:15" x14ac:dyDescent="0.25">
      <c r="M26" s="2">
        <f t="shared" si="1"/>
        <v>74.930000000000007</v>
      </c>
      <c r="N26" s="2">
        <v>0.97</v>
      </c>
      <c r="O26" s="2">
        <f t="shared" si="0"/>
        <v>72.682100000000005</v>
      </c>
    </row>
    <row r="27" spans="13:15" x14ac:dyDescent="0.25">
      <c r="M27" s="2">
        <f t="shared" si="1"/>
        <v>74.930000000000007</v>
      </c>
      <c r="N27" s="2">
        <v>0.96</v>
      </c>
      <c r="O27" s="2">
        <f t="shared" si="0"/>
        <v>71.9328</v>
      </c>
    </row>
    <row r="28" spans="13:15" x14ac:dyDescent="0.25">
      <c r="M28" s="2">
        <f t="shared" si="1"/>
        <v>74.930000000000007</v>
      </c>
      <c r="N28" s="2">
        <v>0.95</v>
      </c>
      <c r="O28" s="2">
        <f t="shared" si="0"/>
        <v>71.183500000000009</v>
      </c>
    </row>
    <row r="29" spans="13:15" x14ac:dyDescent="0.25">
      <c r="M29" s="2">
        <f t="shared" si="1"/>
        <v>74.930000000000007</v>
      </c>
      <c r="N29" s="2">
        <v>0.9</v>
      </c>
      <c r="O29" s="2">
        <f t="shared" si="0"/>
        <v>67.437000000000012</v>
      </c>
    </row>
  </sheetData>
  <conditionalFormatting sqref="O7">
    <cfRule type="expression" dxfId="13" priority="2">
      <formula>O7&gt;0</formula>
    </cfRule>
    <cfRule type="expression" dxfId="12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T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S1" s="20" t="s">
        <v>75</v>
      </c>
    </row>
    <row r="2" spans="1:20" x14ac:dyDescent="0.25">
      <c r="A2" s="8" t="s">
        <v>39</v>
      </c>
      <c r="B2" s="1">
        <v>42179</v>
      </c>
      <c r="C2">
        <v>10</v>
      </c>
      <c r="D2">
        <v>37.799999999999997</v>
      </c>
      <c r="E2">
        <f>C2*D2</f>
        <v>378</v>
      </c>
      <c r="M2" s="20" t="s">
        <v>57</v>
      </c>
      <c r="O2">
        <f>C8-G8</f>
        <v>40</v>
      </c>
      <c r="S2" s="1">
        <v>42305</v>
      </c>
      <c r="T2" t="s">
        <v>130</v>
      </c>
    </row>
    <row r="3" spans="1:20" x14ac:dyDescent="0.25">
      <c r="A3" s="36" t="s">
        <v>82</v>
      </c>
      <c r="B3" s="1">
        <v>42194</v>
      </c>
      <c r="C3">
        <v>10</v>
      </c>
      <c r="D3">
        <v>35.5</v>
      </c>
      <c r="E3">
        <f>C3*D3</f>
        <v>355</v>
      </c>
      <c r="M3" s="20" t="s">
        <v>58</v>
      </c>
      <c r="O3" s="2">
        <f>(E8-I8)/O2</f>
        <v>34.774999999999999</v>
      </c>
    </row>
    <row r="4" spans="1:20" x14ac:dyDescent="0.25">
      <c r="B4" s="1">
        <v>42230</v>
      </c>
      <c r="C4">
        <v>20</v>
      </c>
      <c r="D4">
        <v>32.9</v>
      </c>
      <c r="E4">
        <f>C4*D4</f>
        <v>658</v>
      </c>
      <c r="M4" s="20" t="s">
        <v>66</v>
      </c>
      <c r="O4" s="4">
        <v>33.21</v>
      </c>
    </row>
    <row r="5" spans="1:20" x14ac:dyDescent="0.25">
      <c r="M5" s="20" t="s">
        <v>67</v>
      </c>
      <c r="O5" s="5">
        <f>O4*O2</f>
        <v>1328.4</v>
      </c>
    </row>
    <row r="6" spans="1:20" x14ac:dyDescent="0.25">
      <c r="M6" s="20" t="s">
        <v>64</v>
      </c>
      <c r="O6" s="2">
        <f>O3*O2</f>
        <v>1391</v>
      </c>
    </row>
    <row r="7" spans="1:20" x14ac:dyDescent="0.25">
      <c r="M7" s="20" t="s">
        <v>65</v>
      </c>
      <c r="O7" s="2">
        <f>O5-O6+K8</f>
        <v>-62.599999999999909</v>
      </c>
    </row>
    <row r="8" spans="1:20" x14ac:dyDescent="0.25">
      <c r="A8" s="59" t="s">
        <v>115</v>
      </c>
      <c r="B8" s="24"/>
      <c r="C8" s="24">
        <f>SUM(C2:C7)</f>
        <v>40</v>
      </c>
      <c r="D8" s="24"/>
      <c r="E8" s="24">
        <f>SUM(E2:E7)</f>
        <v>1391</v>
      </c>
      <c r="F8" s="24"/>
      <c r="G8" s="24">
        <f>SUM(G2:G4)</f>
        <v>0</v>
      </c>
      <c r="H8" s="24"/>
      <c r="I8" s="24">
        <f>SUM(I2:I4)</f>
        <v>0</v>
      </c>
      <c r="J8" s="24"/>
      <c r="K8" s="24"/>
    </row>
    <row r="20" spans="13:16" x14ac:dyDescent="0.25">
      <c r="N20" t="s">
        <v>90</v>
      </c>
    </row>
    <row r="21" spans="13:16" x14ac:dyDescent="0.25">
      <c r="M21" s="2">
        <f>$O$4</f>
        <v>33.21</v>
      </c>
      <c r="N21">
        <v>1.1000000000000001</v>
      </c>
      <c r="O21" s="2">
        <f t="shared" ref="O21:O33" si="0">N21*M21</f>
        <v>36.531000000000006</v>
      </c>
      <c r="P21" t="s">
        <v>142</v>
      </c>
    </row>
    <row r="22" spans="13:16" x14ac:dyDescent="0.25">
      <c r="M22" s="2">
        <f>$O$4</f>
        <v>33.21</v>
      </c>
      <c r="N22">
        <v>1.05</v>
      </c>
      <c r="O22" s="2">
        <f t="shared" si="0"/>
        <v>34.8705</v>
      </c>
    </row>
    <row r="23" spans="13:16" x14ac:dyDescent="0.25">
      <c r="M23" s="2">
        <f t="shared" ref="M23:M33" si="1">$O$4</f>
        <v>33.21</v>
      </c>
      <c r="N23">
        <v>1.04</v>
      </c>
      <c r="O23" s="2">
        <f t="shared" si="0"/>
        <v>34.538400000000003</v>
      </c>
    </row>
    <row r="24" spans="13:16" x14ac:dyDescent="0.25">
      <c r="M24" s="2">
        <f t="shared" si="1"/>
        <v>33.21</v>
      </c>
      <c r="N24" s="2">
        <v>1.03</v>
      </c>
      <c r="O24" s="2">
        <f t="shared" si="0"/>
        <v>34.206299999999999</v>
      </c>
    </row>
    <row r="25" spans="13:16" x14ac:dyDescent="0.25">
      <c r="M25" s="2">
        <f t="shared" si="1"/>
        <v>33.21</v>
      </c>
      <c r="N25" s="2">
        <v>1.02</v>
      </c>
      <c r="O25" s="2">
        <f t="shared" si="0"/>
        <v>33.874200000000002</v>
      </c>
    </row>
    <row r="26" spans="13:16" x14ac:dyDescent="0.25">
      <c r="M26" s="2">
        <f t="shared" si="1"/>
        <v>33.21</v>
      </c>
      <c r="N26" s="2">
        <v>1.01</v>
      </c>
      <c r="O26" s="2">
        <f t="shared" si="0"/>
        <v>33.542099999999998</v>
      </c>
    </row>
    <row r="27" spans="13:16" x14ac:dyDescent="0.25">
      <c r="M27" s="2">
        <f t="shared" si="1"/>
        <v>33.21</v>
      </c>
      <c r="N27" s="2">
        <v>1</v>
      </c>
      <c r="O27" s="2">
        <f t="shared" si="0"/>
        <v>33.21</v>
      </c>
    </row>
    <row r="28" spans="13:16" x14ac:dyDescent="0.25">
      <c r="M28" s="2">
        <f t="shared" si="1"/>
        <v>33.21</v>
      </c>
      <c r="N28" s="2">
        <v>0.99</v>
      </c>
      <c r="O28" s="2">
        <f t="shared" si="0"/>
        <v>32.877900000000004</v>
      </c>
    </row>
    <row r="29" spans="13:16" x14ac:dyDescent="0.25">
      <c r="M29" s="2">
        <f t="shared" si="1"/>
        <v>33.21</v>
      </c>
      <c r="N29" s="2">
        <v>0.98</v>
      </c>
      <c r="O29" s="2">
        <f t="shared" si="0"/>
        <v>32.5458</v>
      </c>
      <c r="P29" t="s">
        <v>127</v>
      </c>
    </row>
    <row r="30" spans="13:16" x14ac:dyDescent="0.25">
      <c r="M30" s="2">
        <f t="shared" si="1"/>
        <v>33.21</v>
      </c>
      <c r="N30" s="2">
        <v>0.97</v>
      </c>
      <c r="O30" s="2">
        <f t="shared" si="0"/>
        <v>32.213700000000003</v>
      </c>
    </row>
    <row r="31" spans="13:16" x14ac:dyDescent="0.25">
      <c r="M31" s="2">
        <f t="shared" si="1"/>
        <v>33.21</v>
      </c>
      <c r="N31" s="2">
        <v>0.96</v>
      </c>
      <c r="O31" s="2">
        <f t="shared" si="0"/>
        <v>31.881599999999999</v>
      </c>
    </row>
    <row r="32" spans="13:16" x14ac:dyDescent="0.25">
      <c r="M32" s="2">
        <f t="shared" si="1"/>
        <v>33.21</v>
      </c>
      <c r="N32" s="2">
        <v>0.95</v>
      </c>
      <c r="O32" s="2">
        <f t="shared" si="0"/>
        <v>31.549499999999998</v>
      </c>
    </row>
    <row r="33" spans="13:15" x14ac:dyDescent="0.25">
      <c r="M33" s="2">
        <f t="shared" si="1"/>
        <v>33.21</v>
      </c>
      <c r="N33" s="2">
        <v>0.9</v>
      </c>
      <c r="O33" s="2">
        <f t="shared" si="0"/>
        <v>29.889000000000003</v>
      </c>
    </row>
  </sheetData>
  <conditionalFormatting sqref="O7">
    <cfRule type="expression" dxfId="11" priority="2">
      <formula>O7&gt;0</formula>
    </cfRule>
    <cfRule type="expression" dxfId="10" priority="3">
      <formula>O7&lt;0</formula>
    </cfRule>
  </conditionalFormatting>
  <conditionalFormatting sqref="N21:N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32"/>
  <sheetViews>
    <sheetView workbookViewId="0">
      <selection activeCell="A3" sqref="A3"/>
    </sheetView>
  </sheetViews>
  <sheetFormatPr defaultRowHeight="15" x14ac:dyDescent="0.25"/>
  <cols>
    <col min="4" max="5" width="9.140625" style="2"/>
  </cols>
  <sheetData>
    <row r="1" spans="1:19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R1" t="s">
        <v>75</v>
      </c>
    </row>
    <row r="2" spans="1:19" x14ac:dyDescent="0.25">
      <c r="A2" s="8" t="s">
        <v>54</v>
      </c>
      <c r="B2" s="1">
        <v>42214</v>
      </c>
      <c r="C2">
        <v>10</v>
      </c>
      <c r="D2" s="2">
        <v>99.58</v>
      </c>
      <c r="E2" s="2">
        <f>C2*D2</f>
        <v>995.8</v>
      </c>
      <c r="M2" s="20" t="s">
        <v>57</v>
      </c>
      <c r="O2">
        <f>C8-G8</f>
        <v>15</v>
      </c>
      <c r="R2" s="1">
        <v>42298</v>
      </c>
      <c r="S2" t="s">
        <v>130</v>
      </c>
    </row>
    <row r="3" spans="1:19" x14ac:dyDescent="0.25">
      <c r="A3" s="36" t="s">
        <v>82</v>
      </c>
      <c r="B3" s="1">
        <v>42219</v>
      </c>
      <c r="C3">
        <v>5</v>
      </c>
      <c r="D3" s="2">
        <v>97.95</v>
      </c>
      <c r="E3" s="2">
        <f>C3*D3</f>
        <v>489.75</v>
      </c>
      <c r="M3" s="20" t="s">
        <v>58</v>
      </c>
      <c r="O3" s="2">
        <f>(E8-I8)/O2</f>
        <v>99.036666666666662</v>
      </c>
    </row>
    <row r="4" spans="1:19" x14ac:dyDescent="0.25">
      <c r="B4" s="1"/>
      <c r="M4" s="20" t="s">
        <v>66</v>
      </c>
      <c r="O4" s="4">
        <v>99.36</v>
      </c>
    </row>
    <row r="5" spans="1:19" x14ac:dyDescent="0.25">
      <c r="M5" s="20" t="s">
        <v>67</v>
      </c>
      <c r="O5" s="5">
        <f>O4*O2</f>
        <v>1490.4</v>
      </c>
    </row>
    <row r="6" spans="1:19" x14ac:dyDescent="0.25">
      <c r="M6" s="20" t="s">
        <v>64</v>
      </c>
      <c r="O6" s="2">
        <f>O3*O2</f>
        <v>1485.55</v>
      </c>
    </row>
    <row r="7" spans="1:19" x14ac:dyDescent="0.25">
      <c r="M7" s="20" t="s">
        <v>65</v>
      </c>
      <c r="O7" s="2">
        <f>O5-O6+K8</f>
        <v>4.8500000000001364</v>
      </c>
    </row>
    <row r="8" spans="1:19" x14ac:dyDescent="0.25">
      <c r="A8" s="59" t="s">
        <v>115</v>
      </c>
      <c r="B8" s="24"/>
      <c r="C8" s="24">
        <f>SUM(C2:C7)</f>
        <v>15</v>
      </c>
      <c r="D8" s="31"/>
      <c r="E8" s="31">
        <f>SUM(E2:E7)</f>
        <v>1485.55</v>
      </c>
      <c r="F8" s="24"/>
      <c r="G8" s="24">
        <f>SUM(G2:G4)</f>
        <v>0</v>
      </c>
      <c r="H8" s="24"/>
      <c r="I8" s="24">
        <f>SUM(I2:I4)</f>
        <v>0</v>
      </c>
      <c r="J8" s="24"/>
      <c r="K8" s="24"/>
    </row>
    <row r="19" spans="13:15" x14ac:dyDescent="0.25">
      <c r="N19" t="s">
        <v>90</v>
      </c>
    </row>
    <row r="20" spans="13:15" x14ac:dyDescent="0.25">
      <c r="M20" s="2">
        <f>$O$4</f>
        <v>99.36</v>
      </c>
      <c r="N20">
        <v>1.1000000000000001</v>
      </c>
      <c r="O20" s="2">
        <f t="shared" ref="O20:O32" si="0">N20*M20</f>
        <v>109.29600000000001</v>
      </c>
    </row>
    <row r="21" spans="13:15" x14ac:dyDescent="0.25">
      <c r="M21" s="2">
        <f>$O$4</f>
        <v>99.36</v>
      </c>
      <c r="N21">
        <v>1.05</v>
      </c>
      <c r="O21" s="2">
        <f t="shared" si="0"/>
        <v>104.328</v>
      </c>
    </row>
    <row r="22" spans="13:15" x14ac:dyDescent="0.25">
      <c r="M22" s="2">
        <f t="shared" ref="M22:M32" si="1">$O$4</f>
        <v>99.36</v>
      </c>
      <c r="N22">
        <v>1.04</v>
      </c>
      <c r="O22" s="2">
        <f t="shared" si="0"/>
        <v>103.3344</v>
      </c>
    </row>
    <row r="23" spans="13:15" x14ac:dyDescent="0.25">
      <c r="M23" s="2">
        <f t="shared" si="1"/>
        <v>99.36</v>
      </c>
      <c r="N23" s="2">
        <v>1.03</v>
      </c>
      <c r="O23" s="2">
        <f t="shared" si="0"/>
        <v>102.3408</v>
      </c>
    </row>
    <row r="24" spans="13:15" x14ac:dyDescent="0.25">
      <c r="M24" s="2">
        <f t="shared" si="1"/>
        <v>99.36</v>
      </c>
      <c r="N24" s="2">
        <v>1.02</v>
      </c>
      <c r="O24" s="2">
        <f t="shared" si="0"/>
        <v>101.3472</v>
      </c>
    </row>
    <row r="25" spans="13:15" x14ac:dyDescent="0.25">
      <c r="M25" s="2">
        <f t="shared" si="1"/>
        <v>99.36</v>
      </c>
      <c r="N25" s="2">
        <v>1.01</v>
      </c>
      <c r="O25" s="2">
        <f t="shared" si="0"/>
        <v>100.3536</v>
      </c>
    </row>
    <row r="26" spans="13:15" x14ac:dyDescent="0.25">
      <c r="M26" s="2">
        <f t="shared" si="1"/>
        <v>99.36</v>
      </c>
      <c r="N26" s="2">
        <v>1</v>
      </c>
      <c r="O26" s="2">
        <f t="shared" si="0"/>
        <v>99.36</v>
      </c>
    </row>
    <row r="27" spans="13:15" x14ac:dyDescent="0.25">
      <c r="M27" s="2">
        <f t="shared" si="1"/>
        <v>99.36</v>
      </c>
      <c r="N27" s="2">
        <v>0.99</v>
      </c>
      <c r="O27" s="2">
        <f t="shared" si="0"/>
        <v>98.366399999999999</v>
      </c>
    </row>
    <row r="28" spans="13:15" x14ac:dyDescent="0.25">
      <c r="M28" s="2">
        <f t="shared" si="1"/>
        <v>99.36</v>
      </c>
      <c r="N28" s="2">
        <v>0.98</v>
      </c>
      <c r="O28" s="2">
        <f t="shared" si="0"/>
        <v>97.372799999999998</v>
      </c>
    </row>
    <row r="29" spans="13:15" x14ac:dyDescent="0.25">
      <c r="M29" s="2">
        <f t="shared" si="1"/>
        <v>99.36</v>
      </c>
      <c r="N29" s="2">
        <v>0.97</v>
      </c>
      <c r="O29" s="2">
        <f t="shared" si="0"/>
        <v>96.379199999999997</v>
      </c>
    </row>
    <row r="30" spans="13:15" x14ac:dyDescent="0.25">
      <c r="M30" s="2">
        <f t="shared" si="1"/>
        <v>99.36</v>
      </c>
      <c r="N30" s="2">
        <v>0.96</v>
      </c>
      <c r="O30" s="2">
        <f t="shared" si="0"/>
        <v>95.385599999999997</v>
      </c>
    </row>
    <row r="31" spans="13:15" x14ac:dyDescent="0.25">
      <c r="M31" s="2">
        <f t="shared" si="1"/>
        <v>99.36</v>
      </c>
      <c r="N31" s="2">
        <v>0.95</v>
      </c>
      <c r="O31" s="2">
        <f t="shared" si="0"/>
        <v>94.391999999999996</v>
      </c>
    </row>
    <row r="32" spans="13:15" x14ac:dyDescent="0.25">
      <c r="M32" s="2">
        <f t="shared" si="1"/>
        <v>99.36</v>
      </c>
      <c r="N32" s="2">
        <v>0.9</v>
      </c>
      <c r="O32" s="2">
        <f t="shared" si="0"/>
        <v>89.424000000000007</v>
      </c>
    </row>
  </sheetData>
  <conditionalFormatting sqref="O7">
    <cfRule type="expression" dxfId="9" priority="2">
      <formula>O7&gt;0</formula>
    </cfRule>
    <cfRule type="expression" dxfId="8" priority="3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T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</cols>
  <sheetData>
    <row r="1" spans="1:20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89</v>
      </c>
      <c r="K1" s="20" t="s">
        <v>38</v>
      </c>
      <c r="S1" s="20" t="s">
        <v>75</v>
      </c>
    </row>
    <row r="2" spans="1:20" x14ac:dyDescent="0.25">
      <c r="A2" s="8" t="s">
        <v>51</v>
      </c>
      <c r="B2" s="1">
        <v>42212</v>
      </c>
      <c r="C2">
        <v>10</v>
      </c>
      <c r="D2" s="2">
        <v>120.14</v>
      </c>
      <c r="E2" s="2">
        <f>D2*C2</f>
        <v>1201.4000000000001</v>
      </c>
      <c r="M2" s="20" t="s">
        <v>57</v>
      </c>
      <c r="O2">
        <f>C6-G6</f>
        <v>15</v>
      </c>
      <c r="S2" s="1">
        <v>42293</v>
      </c>
      <c r="T2" t="s">
        <v>130</v>
      </c>
    </row>
    <row r="3" spans="1:20" x14ac:dyDescent="0.25">
      <c r="A3" s="36" t="s">
        <v>82</v>
      </c>
      <c r="B3" s="1">
        <v>42214</v>
      </c>
      <c r="C3">
        <v>5</v>
      </c>
      <c r="D3" s="2">
        <v>118.3</v>
      </c>
      <c r="E3" s="2">
        <f>D3*C3</f>
        <v>591.5</v>
      </c>
      <c r="M3" s="20" t="s">
        <v>58</v>
      </c>
      <c r="O3" s="2">
        <f>E6/C6</f>
        <v>119.52666666666667</v>
      </c>
    </row>
    <row r="4" spans="1:20" x14ac:dyDescent="0.25">
      <c r="M4" s="20" t="s">
        <v>66</v>
      </c>
      <c r="O4" s="4">
        <v>123.82</v>
      </c>
    </row>
    <row r="5" spans="1:20" x14ac:dyDescent="0.25">
      <c r="M5" s="20" t="s">
        <v>67</v>
      </c>
      <c r="O5" s="5">
        <f>O4*O2</f>
        <v>1857.3</v>
      </c>
    </row>
    <row r="6" spans="1:20" x14ac:dyDescent="0.25">
      <c r="A6" s="65" t="s">
        <v>115</v>
      </c>
      <c r="B6" s="66"/>
      <c r="C6" s="66">
        <f>SUM(C2:C5)</f>
        <v>15</v>
      </c>
      <c r="D6" s="68"/>
      <c r="E6" s="68">
        <f t="shared" ref="E6" si="0">SUM(E2:E5)</f>
        <v>1792.9</v>
      </c>
      <c r="F6" s="66"/>
      <c r="G6" s="66"/>
      <c r="H6" s="66"/>
      <c r="I6" s="66"/>
      <c r="J6" s="66"/>
      <c r="K6" s="66"/>
      <c r="M6" s="20" t="s">
        <v>64</v>
      </c>
      <c r="O6" s="2">
        <f>O3*O2</f>
        <v>1792.9</v>
      </c>
    </row>
    <row r="7" spans="1:20" x14ac:dyDescent="0.25">
      <c r="M7" s="20" t="s">
        <v>65</v>
      </c>
      <c r="O7" s="2">
        <f>O5-O6</f>
        <v>64.399999999999864</v>
      </c>
    </row>
    <row r="19" spans="13:15" x14ac:dyDescent="0.25">
      <c r="N19" t="s">
        <v>90</v>
      </c>
    </row>
    <row r="20" spans="13:15" x14ac:dyDescent="0.25">
      <c r="M20" s="2">
        <f>$O$4</f>
        <v>123.82</v>
      </c>
      <c r="N20">
        <v>1.1000000000000001</v>
      </c>
      <c r="O20" s="2">
        <f t="shared" ref="O20:O32" si="1">N20*M20</f>
        <v>136.202</v>
      </c>
    </row>
    <row r="21" spans="13:15" x14ac:dyDescent="0.25">
      <c r="M21" s="2">
        <f>$O$4</f>
        <v>123.82</v>
      </c>
      <c r="N21">
        <v>1.05</v>
      </c>
      <c r="O21" s="2">
        <f t="shared" si="1"/>
        <v>130.011</v>
      </c>
    </row>
    <row r="22" spans="13:15" x14ac:dyDescent="0.25">
      <c r="M22" s="2">
        <f t="shared" ref="M22:M32" si="2">$O$4</f>
        <v>123.82</v>
      </c>
      <c r="N22">
        <v>1.04</v>
      </c>
      <c r="O22" s="2">
        <f t="shared" si="1"/>
        <v>128.77279999999999</v>
      </c>
    </row>
    <row r="23" spans="13:15" x14ac:dyDescent="0.25">
      <c r="M23" s="2">
        <f t="shared" si="2"/>
        <v>123.82</v>
      </c>
      <c r="N23" s="2">
        <v>1.03</v>
      </c>
      <c r="O23" s="2">
        <f t="shared" si="1"/>
        <v>127.5346</v>
      </c>
    </row>
    <row r="24" spans="13:15" x14ac:dyDescent="0.25">
      <c r="M24" s="2">
        <f t="shared" si="2"/>
        <v>123.82</v>
      </c>
      <c r="N24" s="2">
        <v>1.02</v>
      </c>
      <c r="O24" s="2">
        <f t="shared" si="1"/>
        <v>126.29639999999999</v>
      </c>
    </row>
    <row r="25" spans="13:15" x14ac:dyDescent="0.25">
      <c r="M25" s="2">
        <f t="shared" si="2"/>
        <v>123.82</v>
      </c>
      <c r="N25" s="2">
        <v>1.01</v>
      </c>
      <c r="O25" s="2">
        <f t="shared" si="1"/>
        <v>125.0582</v>
      </c>
    </row>
    <row r="26" spans="13:15" x14ac:dyDescent="0.25">
      <c r="M26" s="2">
        <f t="shared" si="2"/>
        <v>123.82</v>
      </c>
      <c r="N26" s="2">
        <v>1</v>
      </c>
      <c r="O26" s="2">
        <f t="shared" si="1"/>
        <v>123.82</v>
      </c>
    </row>
    <row r="27" spans="13:15" x14ac:dyDescent="0.25">
      <c r="M27" s="2">
        <f t="shared" si="2"/>
        <v>123.82</v>
      </c>
      <c r="N27" s="2">
        <v>0.99</v>
      </c>
      <c r="O27" s="2">
        <f t="shared" si="1"/>
        <v>122.58179999999999</v>
      </c>
    </row>
    <row r="28" spans="13:15" x14ac:dyDescent="0.25">
      <c r="M28" s="2">
        <f t="shared" si="2"/>
        <v>123.82</v>
      </c>
      <c r="N28" s="2">
        <v>0.98</v>
      </c>
      <c r="O28" s="2">
        <f t="shared" si="1"/>
        <v>121.3436</v>
      </c>
    </row>
    <row r="29" spans="13:15" x14ac:dyDescent="0.25">
      <c r="M29" s="2">
        <f t="shared" si="2"/>
        <v>123.82</v>
      </c>
      <c r="N29" s="2">
        <v>0.97</v>
      </c>
      <c r="O29" s="2">
        <f t="shared" si="1"/>
        <v>120.10539999999999</v>
      </c>
    </row>
    <row r="30" spans="13:15" x14ac:dyDescent="0.25">
      <c r="M30" s="2">
        <f t="shared" si="2"/>
        <v>123.82</v>
      </c>
      <c r="N30" s="2">
        <v>0.96</v>
      </c>
      <c r="O30" s="2">
        <f t="shared" si="1"/>
        <v>118.86719999999998</v>
      </c>
    </row>
    <row r="31" spans="13:15" x14ac:dyDescent="0.25">
      <c r="M31" s="2">
        <f t="shared" si="2"/>
        <v>123.82</v>
      </c>
      <c r="N31" s="2">
        <v>0.95</v>
      </c>
      <c r="O31" s="2">
        <f t="shared" si="1"/>
        <v>117.62899999999999</v>
      </c>
    </row>
    <row r="32" spans="13:15" x14ac:dyDescent="0.25">
      <c r="M32" s="2">
        <f t="shared" si="2"/>
        <v>123.82</v>
      </c>
      <c r="N32" s="2">
        <v>0.9</v>
      </c>
      <c r="O32" s="2">
        <f t="shared" si="1"/>
        <v>111.438</v>
      </c>
    </row>
  </sheetData>
  <conditionalFormatting sqref="O7">
    <cfRule type="expression" dxfId="7" priority="2">
      <formula>O7&gt;0</formula>
    </cfRule>
    <cfRule type="expression" dxfId="6" priority="3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S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16" max="16" width="9.140625" style="61"/>
  </cols>
  <sheetData>
    <row r="1" spans="1:19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  <c r="P1" s="60"/>
      <c r="R1" s="20" t="s">
        <v>75</v>
      </c>
    </row>
    <row r="2" spans="1:19" x14ac:dyDescent="0.25">
      <c r="A2" s="8" t="s">
        <v>62</v>
      </c>
      <c r="B2" s="1">
        <v>42222</v>
      </c>
      <c r="C2">
        <v>5</v>
      </c>
      <c r="D2" s="2">
        <v>320</v>
      </c>
      <c r="E2" s="2">
        <f>C2*D2</f>
        <v>1600</v>
      </c>
      <c r="M2" s="20" t="s">
        <v>57</v>
      </c>
      <c r="O2">
        <f>C5-G5</f>
        <v>5</v>
      </c>
      <c r="R2" s="1">
        <v>42299</v>
      </c>
      <c r="S2" t="s">
        <v>130</v>
      </c>
    </row>
    <row r="3" spans="1:19" x14ac:dyDescent="0.25">
      <c r="A3" s="36" t="s">
        <v>82</v>
      </c>
      <c r="M3" s="20" t="s">
        <v>58</v>
      </c>
      <c r="O3" s="2">
        <f>E5/C5</f>
        <v>320</v>
      </c>
    </row>
    <row r="4" spans="1:19" x14ac:dyDescent="0.25">
      <c r="M4" s="20" t="s">
        <v>66</v>
      </c>
      <c r="O4" s="4">
        <v>316.08</v>
      </c>
    </row>
    <row r="5" spans="1:19" x14ac:dyDescent="0.25">
      <c r="A5" s="59" t="s">
        <v>115</v>
      </c>
      <c r="B5" s="24"/>
      <c r="C5" s="24">
        <f>SUM(C2:C4)</f>
        <v>5</v>
      </c>
      <c r="D5" s="31"/>
      <c r="E5" s="31">
        <f t="shared" ref="E5" si="0">SUM(E2:E4)</f>
        <v>1600</v>
      </c>
      <c r="F5" s="24"/>
      <c r="G5" s="24"/>
      <c r="H5" s="24"/>
      <c r="I5" s="24"/>
      <c r="J5" s="24"/>
      <c r="K5" s="24"/>
      <c r="M5" s="20" t="s">
        <v>67</v>
      </c>
      <c r="O5" s="5">
        <f>O4*O2</f>
        <v>1580.3999999999999</v>
      </c>
    </row>
    <row r="6" spans="1:19" x14ac:dyDescent="0.25">
      <c r="M6" s="20" t="s">
        <v>64</v>
      </c>
      <c r="O6" s="2">
        <f>O3*O2</f>
        <v>1600</v>
      </c>
    </row>
    <row r="7" spans="1:19" x14ac:dyDescent="0.25">
      <c r="M7" s="20" t="s">
        <v>65</v>
      </c>
      <c r="O7" s="2">
        <f>O5-O6</f>
        <v>-19.600000000000136</v>
      </c>
    </row>
    <row r="12" spans="1:19" x14ac:dyDescent="0.25">
      <c r="E12" s="5"/>
    </row>
    <row r="13" spans="1:19" x14ac:dyDescent="0.25">
      <c r="E13" s="5"/>
    </row>
    <row r="19" spans="13:16" x14ac:dyDescent="0.25">
      <c r="N19" t="s">
        <v>90</v>
      </c>
    </row>
    <row r="20" spans="13:16" x14ac:dyDescent="0.25">
      <c r="M20" s="2">
        <f>$O$4</f>
        <v>316.08</v>
      </c>
      <c r="N20">
        <v>1.1000000000000001</v>
      </c>
      <c r="O20" s="2">
        <f t="shared" ref="O20:O32" si="1">N20*M20</f>
        <v>347.68799999999999</v>
      </c>
    </row>
    <row r="21" spans="13:16" x14ac:dyDescent="0.25">
      <c r="M21" s="2">
        <f>$O$4</f>
        <v>316.08</v>
      </c>
      <c r="N21">
        <v>1.05</v>
      </c>
      <c r="O21" s="2">
        <f t="shared" si="1"/>
        <v>331.88400000000001</v>
      </c>
    </row>
    <row r="22" spans="13:16" x14ac:dyDescent="0.25">
      <c r="M22" s="2">
        <f t="shared" ref="M22:M32" si="2">$O$4</f>
        <v>316.08</v>
      </c>
      <c r="N22">
        <v>1.04</v>
      </c>
      <c r="O22" s="2">
        <f t="shared" si="1"/>
        <v>328.72320000000002</v>
      </c>
    </row>
    <row r="23" spans="13:16" x14ac:dyDescent="0.25">
      <c r="M23" s="2">
        <f t="shared" si="2"/>
        <v>316.08</v>
      </c>
      <c r="N23" s="2">
        <v>1.03</v>
      </c>
      <c r="O23" s="2">
        <f t="shared" si="1"/>
        <v>325.56239999999997</v>
      </c>
    </row>
    <row r="24" spans="13:16" x14ac:dyDescent="0.25">
      <c r="M24" s="2">
        <f t="shared" si="2"/>
        <v>316.08</v>
      </c>
      <c r="N24" s="2">
        <v>1.02</v>
      </c>
      <c r="O24" s="2">
        <f t="shared" si="1"/>
        <v>322.40159999999997</v>
      </c>
    </row>
    <row r="25" spans="13:16" x14ac:dyDescent="0.25">
      <c r="M25" s="2">
        <f t="shared" si="2"/>
        <v>316.08</v>
      </c>
      <c r="N25" s="2">
        <v>1.01</v>
      </c>
      <c r="O25" s="2">
        <f t="shared" si="1"/>
        <v>319.24079999999998</v>
      </c>
    </row>
    <row r="26" spans="13:16" x14ac:dyDescent="0.25">
      <c r="M26" s="2">
        <f t="shared" si="2"/>
        <v>316.08</v>
      </c>
      <c r="N26" s="2">
        <v>1</v>
      </c>
      <c r="O26" s="2">
        <f t="shared" si="1"/>
        <v>316.08</v>
      </c>
    </row>
    <row r="27" spans="13:16" x14ac:dyDescent="0.25">
      <c r="M27" s="2">
        <f t="shared" si="2"/>
        <v>316.08</v>
      </c>
      <c r="N27" s="2">
        <v>0.99</v>
      </c>
      <c r="O27" s="2">
        <f t="shared" si="1"/>
        <v>312.91919999999999</v>
      </c>
    </row>
    <row r="28" spans="13:16" x14ac:dyDescent="0.25">
      <c r="M28" s="2">
        <f t="shared" si="2"/>
        <v>316.08</v>
      </c>
      <c r="N28" s="2">
        <v>0.98</v>
      </c>
      <c r="O28" s="2">
        <f t="shared" si="1"/>
        <v>309.75839999999999</v>
      </c>
      <c r="P28" s="61" t="s">
        <v>143</v>
      </c>
    </row>
    <row r="29" spans="13:16" x14ac:dyDescent="0.25">
      <c r="M29" s="2">
        <f t="shared" si="2"/>
        <v>316.08</v>
      </c>
      <c r="N29" s="2">
        <v>0.97</v>
      </c>
      <c r="O29" s="2">
        <f t="shared" si="1"/>
        <v>306.5976</v>
      </c>
    </row>
    <row r="30" spans="13:16" x14ac:dyDescent="0.25">
      <c r="M30" s="2">
        <f t="shared" si="2"/>
        <v>316.08</v>
      </c>
      <c r="N30" s="2">
        <v>0.96</v>
      </c>
      <c r="O30" s="2">
        <f t="shared" si="1"/>
        <v>303.43679999999995</v>
      </c>
    </row>
    <row r="31" spans="13:16" x14ac:dyDescent="0.25">
      <c r="M31" s="2">
        <f t="shared" si="2"/>
        <v>316.08</v>
      </c>
      <c r="N31" s="2">
        <v>0.95</v>
      </c>
      <c r="O31" s="2">
        <f t="shared" si="1"/>
        <v>300.27599999999995</v>
      </c>
    </row>
    <row r="32" spans="13:16" x14ac:dyDescent="0.25">
      <c r="M32" s="2">
        <f t="shared" si="2"/>
        <v>316.08</v>
      </c>
      <c r="N32" s="2">
        <v>0.9</v>
      </c>
      <c r="O32" s="2">
        <f t="shared" si="1"/>
        <v>284.47199999999998</v>
      </c>
    </row>
  </sheetData>
  <conditionalFormatting sqref="E15 O7">
    <cfRule type="expression" dxfId="5" priority="2">
      <formula>E7&gt;0</formula>
    </cfRule>
    <cfRule type="expression" dxfId="4" priority="3">
      <formula>E7&lt;0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O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sheetData>
    <row r="1" spans="1:15" s="20" customFormat="1" x14ac:dyDescent="0.25">
      <c r="A1" s="20" t="s">
        <v>1</v>
      </c>
      <c r="B1" s="20" t="s">
        <v>2</v>
      </c>
      <c r="C1" s="20" t="s">
        <v>4</v>
      </c>
      <c r="D1" s="20" t="s">
        <v>5</v>
      </c>
      <c r="E1" s="20" t="s">
        <v>60</v>
      </c>
      <c r="F1" s="20" t="s">
        <v>3</v>
      </c>
      <c r="G1" s="20" t="s">
        <v>6</v>
      </c>
      <c r="H1" s="20" t="s">
        <v>7</v>
      </c>
      <c r="I1" s="20" t="s">
        <v>61</v>
      </c>
      <c r="J1" s="20" t="s">
        <v>37</v>
      </c>
      <c r="K1" s="20" t="s">
        <v>38</v>
      </c>
    </row>
    <row r="2" spans="1:15" x14ac:dyDescent="0.25">
      <c r="A2" s="8" t="s">
        <v>18</v>
      </c>
      <c r="B2" s="1">
        <v>42153</v>
      </c>
      <c r="C2">
        <v>50</v>
      </c>
      <c r="D2">
        <v>36.4</v>
      </c>
      <c r="E2">
        <f>C2*D2</f>
        <v>1820</v>
      </c>
      <c r="M2" s="20" t="s">
        <v>57</v>
      </c>
      <c r="O2">
        <f>C6</f>
        <v>80</v>
      </c>
    </row>
    <row r="3" spans="1:15" x14ac:dyDescent="0.25">
      <c r="A3" s="36" t="s">
        <v>82</v>
      </c>
      <c r="B3" s="1">
        <v>42173</v>
      </c>
      <c r="C3">
        <v>5</v>
      </c>
      <c r="D3">
        <v>22.95</v>
      </c>
      <c r="E3">
        <f>C3*D3</f>
        <v>114.75</v>
      </c>
      <c r="M3" s="20" t="s">
        <v>58</v>
      </c>
      <c r="O3" s="2">
        <f>E6/C6</f>
        <v>29.640625</v>
      </c>
    </row>
    <row r="4" spans="1:15" x14ac:dyDescent="0.25">
      <c r="B4" s="1">
        <v>42173</v>
      </c>
      <c r="C4">
        <v>10</v>
      </c>
      <c r="D4">
        <v>22.8</v>
      </c>
      <c r="E4">
        <f>C4*D4</f>
        <v>228</v>
      </c>
      <c r="M4" s="20" t="s">
        <v>66</v>
      </c>
      <c r="O4" s="4">
        <v>10.99</v>
      </c>
    </row>
    <row r="5" spans="1:15" x14ac:dyDescent="0.25">
      <c r="B5" s="1">
        <v>42234</v>
      </c>
      <c r="C5">
        <v>15</v>
      </c>
      <c r="D5">
        <v>13.9</v>
      </c>
      <c r="E5">
        <f>C5*D5</f>
        <v>208.5</v>
      </c>
      <c r="M5" s="20" t="s">
        <v>67</v>
      </c>
      <c r="O5" s="5">
        <f>O4*O2</f>
        <v>879.2</v>
      </c>
    </row>
    <row r="6" spans="1:15" x14ac:dyDescent="0.25">
      <c r="A6" s="59" t="s">
        <v>115</v>
      </c>
      <c r="B6" s="24"/>
      <c r="C6" s="24">
        <f>SUM(C2:C5)</f>
        <v>80</v>
      </c>
      <c r="D6" s="24"/>
      <c r="E6" s="24">
        <f>SUM(E2:E5)</f>
        <v>2371.25</v>
      </c>
      <c r="F6" s="24"/>
      <c r="G6" s="24"/>
      <c r="H6" s="24"/>
      <c r="I6" s="24"/>
      <c r="J6" s="24"/>
      <c r="K6" s="24"/>
      <c r="M6" s="20" t="s">
        <v>64</v>
      </c>
      <c r="O6" s="2">
        <f>O3*O2</f>
        <v>2371.25</v>
      </c>
    </row>
    <row r="7" spans="1:15" x14ac:dyDescent="0.25">
      <c r="M7" s="20" t="s">
        <v>65</v>
      </c>
      <c r="O7" s="2">
        <f>O5-O6</f>
        <v>-1492.05</v>
      </c>
    </row>
    <row r="15" spans="1:15" x14ac:dyDescent="0.25">
      <c r="N15" t="s">
        <v>90</v>
      </c>
    </row>
    <row r="16" spans="1:15" x14ac:dyDescent="0.25">
      <c r="M16" s="2">
        <f>$O$4</f>
        <v>10.99</v>
      </c>
      <c r="N16">
        <v>1.1000000000000001</v>
      </c>
      <c r="O16" s="2">
        <f t="shared" ref="O16:O28" si="0">N16*M16</f>
        <v>12.089</v>
      </c>
    </row>
    <row r="17" spans="13:15" x14ac:dyDescent="0.25">
      <c r="M17" s="2">
        <f>$O$4</f>
        <v>10.99</v>
      </c>
      <c r="N17">
        <v>1.05</v>
      </c>
      <c r="O17" s="2">
        <f t="shared" si="0"/>
        <v>11.5395</v>
      </c>
    </row>
    <row r="18" spans="13:15" x14ac:dyDescent="0.25">
      <c r="M18" s="2">
        <f t="shared" ref="M18:M28" si="1">$O$4</f>
        <v>10.99</v>
      </c>
      <c r="N18">
        <v>1.04</v>
      </c>
      <c r="O18" s="2">
        <f t="shared" si="0"/>
        <v>11.429600000000001</v>
      </c>
    </row>
    <row r="19" spans="13:15" x14ac:dyDescent="0.25">
      <c r="M19" s="2">
        <f t="shared" si="1"/>
        <v>10.99</v>
      </c>
      <c r="N19" s="2">
        <v>1.03</v>
      </c>
      <c r="O19" s="2">
        <f t="shared" si="0"/>
        <v>11.319700000000001</v>
      </c>
    </row>
    <row r="20" spans="13:15" x14ac:dyDescent="0.25">
      <c r="M20" s="2">
        <f t="shared" si="1"/>
        <v>10.99</v>
      </c>
      <c r="N20" s="2">
        <v>1.02</v>
      </c>
      <c r="O20" s="2">
        <f t="shared" si="0"/>
        <v>11.2098</v>
      </c>
    </row>
    <row r="21" spans="13:15" x14ac:dyDescent="0.25">
      <c r="M21" s="2">
        <f t="shared" si="1"/>
        <v>10.99</v>
      </c>
      <c r="N21" s="2">
        <v>1.01</v>
      </c>
      <c r="O21" s="2">
        <f t="shared" si="0"/>
        <v>11.0999</v>
      </c>
    </row>
    <row r="22" spans="13:15" x14ac:dyDescent="0.25">
      <c r="M22" s="2">
        <f t="shared" si="1"/>
        <v>10.99</v>
      </c>
      <c r="N22" s="2">
        <v>1</v>
      </c>
      <c r="O22" s="2">
        <f t="shared" si="0"/>
        <v>10.99</v>
      </c>
    </row>
    <row r="23" spans="13:15" x14ac:dyDescent="0.25">
      <c r="M23" s="2">
        <f t="shared" si="1"/>
        <v>10.99</v>
      </c>
      <c r="N23" s="2">
        <v>0.99</v>
      </c>
      <c r="O23" s="2">
        <f t="shared" si="0"/>
        <v>10.880100000000001</v>
      </c>
    </row>
    <row r="24" spans="13:15" x14ac:dyDescent="0.25">
      <c r="M24" s="2">
        <f t="shared" si="1"/>
        <v>10.99</v>
      </c>
      <c r="N24" s="2">
        <v>0.98</v>
      </c>
      <c r="O24" s="2">
        <f t="shared" si="0"/>
        <v>10.770200000000001</v>
      </c>
    </row>
    <row r="25" spans="13:15" x14ac:dyDescent="0.25">
      <c r="M25" s="2">
        <f t="shared" si="1"/>
        <v>10.99</v>
      </c>
      <c r="N25" s="2">
        <v>0.97</v>
      </c>
      <c r="O25" s="2">
        <f t="shared" si="0"/>
        <v>10.660299999999999</v>
      </c>
    </row>
    <row r="26" spans="13:15" x14ac:dyDescent="0.25">
      <c r="M26" s="2">
        <f t="shared" si="1"/>
        <v>10.99</v>
      </c>
      <c r="N26" s="2">
        <v>0.96</v>
      </c>
      <c r="O26" s="2">
        <f t="shared" si="0"/>
        <v>10.5504</v>
      </c>
    </row>
    <row r="27" spans="13:15" x14ac:dyDescent="0.25">
      <c r="M27" s="2">
        <f t="shared" si="1"/>
        <v>10.99</v>
      </c>
      <c r="N27" s="2">
        <v>0.95</v>
      </c>
      <c r="O27" s="2">
        <f t="shared" si="0"/>
        <v>10.4405</v>
      </c>
    </row>
    <row r="28" spans="13:15" x14ac:dyDescent="0.25">
      <c r="M28" s="2">
        <f t="shared" si="1"/>
        <v>10.99</v>
      </c>
      <c r="N28" s="2">
        <v>0.9</v>
      </c>
      <c r="O28" s="2">
        <f t="shared" si="0"/>
        <v>9.891</v>
      </c>
    </row>
  </sheetData>
  <conditionalFormatting sqref="O7">
    <cfRule type="expression" dxfId="3" priority="2">
      <formula>O7&gt;0</formula>
    </cfRule>
    <cfRule type="expression" dxfId="2" priority="3">
      <formula>O7&lt;0</formula>
    </cfRule>
  </conditionalFormatting>
  <conditionalFormatting sqref="N16:N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29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8" max="9" width="9.140625" style="2"/>
    <col min="16" max="16" width="9.140625" style="61"/>
  </cols>
  <sheetData>
    <row r="1" spans="1:16" s="20" customFormat="1" x14ac:dyDescent="0.25">
      <c r="A1" s="20" t="s">
        <v>1</v>
      </c>
      <c r="B1" s="20" t="s">
        <v>2</v>
      </c>
      <c r="C1" s="20" t="s">
        <v>4</v>
      </c>
      <c r="D1" s="34" t="s">
        <v>5</v>
      </c>
      <c r="E1" s="34" t="s">
        <v>60</v>
      </c>
      <c r="F1" s="20" t="s">
        <v>3</v>
      </c>
      <c r="G1" s="20" t="s">
        <v>6</v>
      </c>
      <c r="H1" s="34" t="s">
        <v>7</v>
      </c>
      <c r="I1" s="34" t="s">
        <v>61</v>
      </c>
      <c r="J1" s="20" t="s">
        <v>89</v>
      </c>
      <c r="K1" s="20" t="s">
        <v>38</v>
      </c>
      <c r="P1" s="60"/>
    </row>
    <row r="2" spans="1:16" x14ac:dyDescent="0.25">
      <c r="A2" s="8" t="s">
        <v>11</v>
      </c>
      <c r="B2" s="1">
        <v>42150</v>
      </c>
      <c r="C2" s="18">
        <v>5</v>
      </c>
      <c r="D2" s="70">
        <v>169</v>
      </c>
      <c r="E2" s="70">
        <f t="shared" ref="E2:E8" si="0">C2*D2</f>
        <v>845</v>
      </c>
      <c r="F2" s="1">
        <v>42186</v>
      </c>
      <c r="G2" s="18">
        <v>100</v>
      </c>
      <c r="H2" s="70">
        <f>I2/G2</f>
        <v>167</v>
      </c>
      <c r="I2" s="70">
        <v>16700</v>
      </c>
      <c r="J2" t="s">
        <v>114</v>
      </c>
      <c r="M2" s="20" t="s">
        <v>57</v>
      </c>
      <c r="O2">
        <f>C9-G9</f>
        <v>50</v>
      </c>
    </row>
    <row r="3" spans="1:16" x14ac:dyDescent="0.25">
      <c r="A3" s="36" t="s">
        <v>82</v>
      </c>
      <c r="B3" s="1">
        <v>42150</v>
      </c>
      <c r="C3">
        <v>10</v>
      </c>
      <c r="D3" s="2">
        <v>166.5</v>
      </c>
      <c r="E3" s="2">
        <f t="shared" si="0"/>
        <v>1665</v>
      </c>
      <c r="F3" s="1">
        <v>42186</v>
      </c>
      <c r="G3" s="18">
        <v>100</v>
      </c>
      <c r="H3" s="70">
        <f t="shared" ref="H3:H5" si="1">I3/G3</f>
        <v>167</v>
      </c>
      <c r="I3" s="70">
        <v>16700</v>
      </c>
      <c r="M3" s="20" t="s">
        <v>58</v>
      </c>
      <c r="O3" s="2">
        <f>(E9-I9)/O2</f>
        <v>153.47039999999993</v>
      </c>
    </row>
    <row r="4" spans="1:16" x14ac:dyDescent="0.25">
      <c r="B4" s="1">
        <v>42150</v>
      </c>
      <c r="C4">
        <v>30</v>
      </c>
      <c r="D4" s="2">
        <v>165.4</v>
      </c>
      <c r="E4" s="2">
        <f t="shared" si="0"/>
        <v>4962</v>
      </c>
      <c r="F4" s="1">
        <v>42186</v>
      </c>
      <c r="G4" s="18">
        <v>50</v>
      </c>
      <c r="H4" s="70">
        <f t="shared" si="1"/>
        <v>168.5</v>
      </c>
      <c r="I4" s="70">
        <v>8425</v>
      </c>
      <c r="M4" s="20" t="s">
        <v>66</v>
      </c>
      <c r="O4" s="4">
        <v>131.69</v>
      </c>
    </row>
    <row r="5" spans="1:16" x14ac:dyDescent="0.25">
      <c r="B5" s="1">
        <v>42150</v>
      </c>
      <c r="C5">
        <v>10</v>
      </c>
      <c r="D5" s="2">
        <v>164.85</v>
      </c>
      <c r="E5" s="2">
        <f t="shared" si="0"/>
        <v>1648.5</v>
      </c>
      <c r="F5" s="1">
        <v>42236</v>
      </c>
      <c r="G5" s="10">
        <v>10</v>
      </c>
      <c r="H5" s="25">
        <f t="shared" si="1"/>
        <v>133.19800000000001</v>
      </c>
      <c r="I5" s="25">
        <v>1331.98</v>
      </c>
      <c r="M5" s="20" t="s">
        <v>67</v>
      </c>
      <c r="O5" s="5">
        <f>O4*O2</f>
        <v>6584.5</v>
      </c>
    </row>
    <row r="6" spans="1:16" x14ac:dyDescent="0.25">
      <c r="B6" s="1">
        <v>42186</v>
      </c>
      <c r="C6" s="18">
        <v>145</v>
      </c>
      <c r="D6" s="70">
        <v>166</v>
      </c>
      <c r="E6" s="70">
        <f t="shared" si="0"/>
        <v>24070</v>
      </c>
      <c r="M6" s="20" t="s">
        <v>64</v>
      </c>
      <c r="O6" s="2">
        <f>O3*O2</f>
        <v>7673.5199999999968</v>
      </c>
    </row>
    <row r="7" spans="1:16" x14ac:dyDescent="0.25">
      <c r="B7" s="1">
        <v>42186</v>
      </c>
      <c r="C7" s="18">
        <v>100</v>
      </c>
      <c r="D7" s="70">
        <v>164</v>
      </c>
      <c r="E7" s="70">
        <f t="shared" si="0"/>
        <v>16400</v>
      </c>
      <c r="M7" s="20" t="s">
        <v>65</v>
      </c>
      <c r="O7" s="2">
        <f>O5-O6</f>
        <v>-1089.0199999999968</v>
      </c>
    </row>
    <row r="8" spans="1:16" x14ac:dyDescent="0.25">
      <c r="B8" s="1">
        <v>42235</v>
      </c>
      <c r="C8" s="10">
        <v>10</v>
      </c>
      <c r="D8" s="25">
        <v>124</v>
      </c>
      <c r="E8" s="25">
        <f t="shared" si="0"/>
        <v>1240</v>
      </c>
    </row>
    <row r="9" spans="1:16" x14ac:dyDescent="0.25">
      <c r="A9" s="86" t="s">
        <v>115</v>
      </c>
      <c r="B9" s="3"/>
      <c r="C9" s="3">
        <f>SUM(C2:C8)</f>
        <v>310</v>
      </c>
      <c r="D9" s="4"/>
      <c r="E9" s="4">
        <f>SUM(E2:E8)</f>
        <v>50830.5</v>
      </c>
      <c r="F9" s="3"/>
      <c r="G9" s="3">
        <f>SUM(G2:G7)</f>
        <v>260</v>
      </c>
      <c r="H9" s="4"/>
      <c r="I9" s="4">
        <f>SUM(I2:I7)</f>
        <v>43156.98</v>
      </c>
      <c r="J9" s="3"/>
      <c r="K9" s="3"/>
    </row>
    <row r="15" spans="1:16" x14ac:dyDescent="0.25">
      <c r="K15" s="2"/>
    </row>
    <row r="16" spans="1:16" x14ac:dyDescent="0.25">
      <c r="N16" t="s">
        <v>90</v>
      </c>
    </row>
    <row r="17" spans="13:15" x14ac:dyDescent="0.25">
      <c r="M17" s="2">
        <f>$O$4</f>
        <v>131.69</v>
      </c>
      <c r="N17">
        <v>1.1000000000000001</v>
      </c>
      <c r="O17" s="2">
        <f t="shared" ref="O17:O29" si="2">N17*M17</f>
        <v>144.85900000000001</v>
      </c>
    </row>
    <row r="18" spans="13:15" x14ac:dyDescent="0.25">
      <c r="M18" s="2">
        <f>$O$4</f>
        <v>131.69</v>
      </c>
      <c r="N18">
        <v>1.05</v>
      </c>
      <c r="O18" s="2">
        <f t="shared" si="2"/>
        <v>138.27450000000002</v>
      </c>
    </row>
    <row r="19" spans="13:15" x14ac:dyDescent="0.25">
      <c r="M19" s="2">
        <f t="shared" ref="M19:M29" si="3">$O$4</f>
        <v>131.69</v>
      </c>
      <c r="N19">
        <v>1.04</v>
      </c>
      <c r="O19" s="2">
        <f t="shared" si="2"/>
        <v>136.95760000000001</v>
      </c>
    </row>
    <row r="20" spans="13:15" x14ac:dyDescent="0.25">
      <c r="M20" s="2">
        <f t="shared" si="3"/>
        <v>131.69</v>
      </c>
      <c r="N20" s="2">
        <v>1.03</v>
      </c>
      <c r="O20" s="2">
        <f t="shared" si="2"/>
        <v>135.64070000000001</v>
      </c>
    </row>
    <row r="21" spans="13:15" x14ac:dyDescent="0.25">
      <c r="M21" s="2">
        <f t="shared" si="3"/>
        <v>131.69</v>
      </c>
      <c r="N21" s="2">
        <v>1.02</v>
      </c>
      <c r="O21" s="2">
        <f t="shared" si="2"/>
        <v>134.32380000000001</v>
      </c>
    </row>
    <row r="22" spans="13:15" x14ac:dyDescent="0.25">
      <c r="M22" s="2">
        <f t="shared" si="3"/>
        <v>131.69</v>
      </c>
      <c r="N22" s="2">
        <v>1.01</v>
      </c>
      <c r="O22" s="2">
        <f t="shared" si="2"/>
        <v>133.0069</v>
      </c>
    </row>
    <row r="23" spans="13:15" x14ac:dyDescent="0.25">
      <c r="M23" s="2">
        <f t="shared" si="3"/>
        <v>131.69</v>
      </c>
      <c r="N23" s="2">
        <v>1</v>
      </c>
      <c r="O23" s="2">
        <f t="shared" si="2"/>
        <v>131.69</v>
      </c>
    </row>
    <row r="24" spans="13:15" x14ac:dyDescent="0.25">
      <c r="M24" s="2">
        <f t="shared" si="3"/>
        <v>131.69</v>
      </c>
      <c r="N24" s="2">
        <v>0.99</v>
      </c>
      <c r="O24" s="2">
        <f t="shared" si="2"/>
        <v>130.37309999999999</v>
      </c>
    </row>
    <row r="25" spans="13:15" x14ac:dyDescent="0.25">
      <c r="M25" s="2">
        <f t="shared" si="3"/>
        <v>131.69</v>
      </c>
      <c r="N25" s="2">
        <v>0.98</v>
      </c>
      <c r="O25" s="2">
        <f t="shared" si="2"/>
        <v>129.05619999999999</v>
      </c>
    </row>
    <row r="26" spans="13:15" x14ac:dyDescent="0.25">
      <c r="M26" s="2">
        <f t="shared" si="3"/>
        <v>131.69</v>
      </c>
      <c r="N26" s="2">
        <v>0.97</v>
      </c>
      <c r="O26" s="2">
        <f t="shared" si="2"/>
        <v>127.7393</v>
      </c>
    </row>
    <row r="27" spans="13:15" x14ac:dyDescent="0.25">
      <c r="M27" s="2">
        <f t="shared" si="3"/>
        <v>131.69</v>
      </c>
      <c r="N27" s="2">
        <v>0.96</v>
      </c>
      <c r="O27" s="2">
        <f t="shared" si="2"/>
        <v>126.4224</v>
      </c>
    </row>
    <row r="28" spans="13:15" x14ac:dyDescent="0.25">
      <c r="M28" s="2">
        <f t="shared" si="3"/>
        <v>131.69</v>
      </c>
      <c r="N28" s="2">
        <v>0.95</v>
      </c>
      <c r="O28" s="2">
        <f t="shared" si="2"/>
        <v>125.10549999999999</v>
      </c>
    </row>
    <row r="29" spans="13:15" x14ac:dyDescent="0.25">
      <c r="M29" s="2">
        <f t="shared" si="3"/>
        <v>131.69</v>
      </c>
      <c r="N29" s="2">
        <v>0.9</v>
      </c>
      <c r="O29" s="2">
        <f t="shared" si="2"/>
        <v>118.521</v>
      </c>
    </row>
  </sheetData>
  <conditionalFormatting sqref="O7">
    <cfRule type="expression" dxfId="1" priority="2">
      <formula>O7&gt;0</formula>
    </cfRule>
    <cfRule type="expression" dxfId="0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4</vt:i4>
      </vt:variant>
    </vt:vector>
  </HeadingPairs>
  <TitlesOfParts>
    <vt:vector size="35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PINC</vt:lpstr>
      <vt:lpstr>AA</vt:lpstr>
      <vt:lpstr>KATE</vt:lpstr>
      <vt:lpstr>KORS</vt:lpstr>
      <vt:lpstr>ALL</vt:lpstr>
      <vt:lpstr>ONCS</vt:lpstr>
      <vt:lpstr>NSC</vt:lpstr>
      <vt:lpstr>CAH</vt:lpstr>
      <vt:lpstr>SCTY</vt:lpstr>
      <vt:lpstr>ATE</vt:lpstr>
      <vt:lpstr>CTWS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AA!PL</vt:lpstr>
      <vt:lpstr>AAVL!PL</vt:lpstr>
      <vt:lpstr>MRO!PL</vt:lpstr>
      <vt:lpstr>PL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2015-08-18T02:10:42Z</dcterms:modified>
</cp:coreProperties>
</file>