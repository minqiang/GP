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5" i="15" l="1"/>
  <c r="F22" i="15"/>
  <c r="F23" i="15"/>
  <c r="F24" i="15"/>
  <c r="F21" i="15"/>
  <c r="M13" i="3"/>
  <c r="Q3" i="3"/>
  <c r="K2" i="13"/>
  <c r="L8" i="35"/>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6" i="25"/>
  <c r="C26"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6"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O18" i="25"/>
  <c r="O20" i="25"/>
  <c r="O21" i="25"/>
  <c r="O22" i="25"/>
  <c r="O23" i="25"/>
  <c r="O24" i="25"/>
  <c r="O25" i="25"/>
  <c r="O26" i="25"/>
  <c r="O27" i="25"/>
  <c r="O28" i="25"/>
  <c r="O29" i="25"/>
  <c r="O19" i="25"/>
  <c r="G6" i="1"/>
  <c r="F3" i="30" l="1"/>
  <c r="F8" i="30" s="1"/>
  <c r="F2" i="30"/>
  <c r="K8" i="30"/>
  <c r="H8" i="30"/>
  <c r="C8" i="30"/>
  <c r="K8" i="32"/>
  <c r="H8" i="32"/>
  <c r="F8" i="32"/>
  <c r="C8" i="32"/>
  <c r="Q2" i="32" s="1"/>
  <c r="Q5" i="32" s="1"/>
  <c r="F3" i="29"/>
  <c r="Q3" i="31"/>
  <c r="Q2" i="31"/>
  <c r="F2" i="31"/>
  <c r="F10" i="31" s="1"/>
  <c r="C10" i="31"/>
  <c r="Q5" i="31"/>
  <c r="H6" i="34"/>
  <c r="K6" i="34"/>
  <c r="M6" i="34"/>
  <c r="C6" i="34"/>
  <c r="F3" i="15"/>
  <c r="F4" i="15"/>
  <c r="F5" i="15"/>
  <c r="F6" i="15"/>
  <c r="F5" i="9"/>
  <c r="M26" i="25"/>
  <c r="M16" i="10"/>
  <c r="F24" i="17"/>
  <c r="F29" i="17"/>
  <c r="F27" i="17"/>
  <c r="F2" i="15"/>
  <c r="I2" i="15"/>
  <c r="M8" i="15"/>
  <c r="H8" i="15"/>
  <c r="K8" i="15"/>
  <c r="Q6" i="26"/>
  <c r="Q5" i="26"/>
  <c r="Q7" i="26" s="1"/>
  <c r="Q3" i="26"/>
  <c r="F6" i="26"/>
  <c r="Q2" i="26"/>
  <c r="F3" i="26"/>
  <c r="F2" i="26"/>
  <c r="C6" i="26"/>
  <c r="F2" i="33"/>
  <c r="F5" i="33" s="1"/>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2" i="30" l="1"/>
  <c r="Q5" i="30" s="1"/>
  <c r="Q3" i="30"/>
  <c r="Q6" i="30" s="1"/>
  <c r="Q3" i="32"/>
  <c r="Q6" i="32" s="1"/>
  <c r="Q7" i="32" s="1"/>
  <c r="Q6" i="31"/>
  <c r="Q7" i="31"/>
  <c r="Q2" i="15"/>
  <c r="Q6" i="33"/>
  <c r="Q7" i="33" s="1"/>
  <c r="F6" i="8"/>
  <c r="Q3" i="8" s="1"/>
  <c r="Q6" i="8"/>
  <c r="Q5" i="8"/>
  <c r="E119" i="1"/>
  <c r="I119" i="1"/>
  <c r="Q5" i="24"/>
  <c r="Q7" i="24" s="1"/>
  <c r="Q7" i="30" l="1"/>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M80" i="1" s="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F26" i="25" l="1"/>
  <c r="Q3" i="4"/>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<sst xmlns="http://schemas.openxmlformats.org/spreadsheetml/2006/main" count="873" uniqueCount="215">
  <si>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</si>
  <si>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</si>
  <si>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</si>
  <si>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</si>
  <si>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</si>
  <si>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</si>
  <si>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</si>
  <si>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</si>
  <si>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</si>
  <si>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</si>
  <si>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</si>
  <si>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</si>
  <si>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</si>
  <si>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</si>
  <si>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</si>
  <si>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</si>
  <si>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</si>
  <si>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</si>
  <si>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</si>
  <si>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</si>
  <si>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</si>
  <si>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</si>
  <si>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</si>
  <si>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</si>
  <si>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</si>
  <si>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</si>
  <si>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</si>
  <si>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</si>
  <si>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</si>
  <si>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</si>
  <si>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</si>
  <si>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</si>
  <si>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</si>
  <si>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</si>
  <si>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</si>
  <si>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</si>
  <si>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</si>
  <si>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</si>
  <si>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</si>
  <si>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</si>
  <si>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</si>
  <si>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</si>
  <si>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</si>
  <si>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</si>
  <si>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</si>
  <si>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</si>
  <si>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</si>
  <si>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</si>
  <si>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</si>
  <si>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</si>
  <si>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</si>
  <si>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</si>
  <si>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</si>
  <si>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</si>
  <si>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</si>
  <si>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</si>
  <si>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</si>
  <si>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</si>
  <si>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</si>
  <si>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</si>
  <si>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</si>
  <si>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</si>
  <si>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</si>
  <si>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</si>
  <si>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</si>
  <si>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</si>
  <si>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</si>
  <si>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</si>
  <si>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</si>
  <si>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</si>
  <si>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</si>
  <si>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</si>
  <si>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</si>
  <si>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</si>
  <si>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</si>
  <si>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</si>
  <si>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</si>
  <si>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</si>
  <si>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</si>
  <si>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</si>
  <si>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</si>
  <si>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</si>
  <si>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</si>
  <si>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</si>
  <si>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</si>
  <si>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</si>
  <si>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</si>
  <si>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</si>
  <si>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</si>
  <si>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</si>
  <si>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</si>
  <si>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</si>
  <si>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</si>
  <si>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</si>
  <si>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</si>
  <si>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</si>
  <si>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</si>
  <si>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</si>
  <si>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</si>
  <si>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</si>
  <si>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</si>
  <si>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</si>
  <si>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</si>
  <si>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</si>
  <si>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</si>
  <si>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</si>
  <si>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</si>
  <si>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</si>
  <si>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</si>
  <si>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</si>
  <si>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</si>
  <si>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</si>
  <si>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</si>
  <si>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</si>
  <si>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</si>
  <si>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</si>
  <si>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~10/13 ER</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</si>
  <si>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</si>
  <si>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</si>
  <si>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</si>
  <si>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</si>
  <si>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</si>
  <si>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</si>
  <si>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</si>
  <si>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</si>
  <si>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</si>
  <si>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</si>
  <si>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</si>
  <si>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</si>
  <si>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</si>
  <si>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</si>
  <si>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</si>
  <si>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</si>
  <si>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</si>
  <si>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</si>
  <si>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</si>
  <si>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</si>
  <si>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</si>
  <si>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</si>
  <si>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</si>
  <si>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</si>
  <si>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</si>
  <si>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</si>
  <si>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</si>
  <si>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</si>
  <si>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</si>
  <si>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</si>
  <si>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</si>
  <si>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</si>
  <si>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</si>
  <si>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</si>
  <si>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</si>
  <si>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daily P/L</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</si>
  <si>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</si>
  <si>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</si>
  <si>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</si>
  <si>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</si>
  <si>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</si>
  <si>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</si>
  <si>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</si>
  <si>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</si>
  <si>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</si>
  <si>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</si>
  <si>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</si>
  <si>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</si>
  <si>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</si>
  <si>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</si>
  <si>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</si>
  <si>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</si>
  <si>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</si>
  <si>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</si>
  <si>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</si>
  <si>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</si>
  <si>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</si>
  <si>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</si>
  <si>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</si>
  <si>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</si>
  <si>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</si>
  <si>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</si>
  <si>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</si>
  <si>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</si>
  <si>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</si>
  <si>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</si>
  <si>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</si>
  <si>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</si>
  <si>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</si>
  <si>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</si>
  <si>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</si>
  <si>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</si>
  <si>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</si>
  <si>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</si>
  <si>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</si>
  <si>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</si>
  <si>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</si>
  <si>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</si>
  <si>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</si>
  <si>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</si>
  <si>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</si>
  <si>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</si>
  <si>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</si>
  <si>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</si>
  <si>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</si>
  <si>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</si>
  <si>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</si>
  <si>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</si>
  <si>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</si>
  <si>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</si>
  <si>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</si>
  <si>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</si>
  <si>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</si>
  <si>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</si>
  <si>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global tech conference call</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</si>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</sst>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1">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16" fontId="0" fillId="0" borderId="0" xfId="0" applyNumberFormat="1" applyAlignment="1">
      <alignment horizontal="right" vertical="center"/>
    </xf>
    <xf numFmtId="165" fontId="19" fillId="0" borderId="0" xfId="0" applyNumberFormat="1" applyFont="1"/>
    <xf numFmtId="16" fontId="19" fillId="0" borderId="0" xfId="0" applyNumberFormat="1" applyFont="1"/>
    <xf numFmtId="0" fontId="20" fillId="0" borderId="0" xfId="0" applyFont="1"/>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numCache>
            </c:numRef>
          </c:yVal>
          <c:smooth val="1"/>
        </c:ser>
        <c:dLbls>
          <c:showLegendKey val="0"/>
          <c:showVal val="0"/>
          <c:showCatName val="0"/>
          <c:showSerName val="0"/>
          <c:showPercent val="0"/>
          <c:showBubbleSize val="0"/>
        </c:dLbls>
        <c:axId val="342088648"/>
        <c:axId val="142322824"/>
      </c:scatterChart>
      <c:valAx>
        <c:axId val="342088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322824"/>
        <c:crosses val="autoZero"/>
        <c:crossBetween val="midCat"/>
      </c:valAx>
      <c:valAx>
        <c:axId val="142322824"/>
        <c:scaling>
          <c:orientation val="minMax"/>
          <c:max val="400000"/>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42088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numCache>
            </c:numRef>
          </c:yVal>
          <c:smooth val="1"/>
        </c:ser>
        <c:dLbls>
          <c:showLegendKey val="0"/>
          <c:showVal val="0"/>
          <c:showCatName val="0"/>
          <c:showSerName val="0"/>
          <c:showPercent val="0"/>
          <c:showBubbleSize val="0"/>
        </c:dLbls>
        <c:axId val="142324784"/>
        <c:axId val="142327920"/>
      </c:scatterChart>
      <c:valAx>
        <c:axId val="142324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327920"/>
        <c:crosses val="autoZero"/>
        <c:crossBetween val="midCat"/>
      </c:valAx>
      <c:valAx>
        <c:axId val="142327920"/>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324784"/>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gif"/></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70"/>
  <sheetViews>
    <sheetView workbookViewId="0">
      <pane ySplit="1" topLeftCell="A150" activePane="bottomLeft" state="frozen"/>
      <selection activeCell="E5" sqref="E5"/>
      <selection pane="bottomLeft" activeCell="E151" sqref="E151"/>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33"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33"/>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33"/>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33"/>
      <c r="B5" s="42">
        <v>42166</v>
      </c>
      <c r="C5" s="41">
        <v>100</v>
      </c>
      <c r="D5" s="43">
        <v>39.799999999999997</v>
      </c>
      <c r="E5" s="38">
        <f>C5*D5</f>
        <v>3979.9999999999995</v>
      </c>
      <c r="F5" s="43"/>
      <c r="G5" s="41"/>
      <c r="H5" s="43"/>
      <c r="I5" s="38">
        <f>G5*H5</f>
        <v>0</v>
      </c>
      <c r="J5" s="43"/>
      <c r="K5" s="38"/>
      <c r="L5" s="38"/>
      <c r="M5" s="52"/>
    </row>
    <row r="6" spans="1:13" ht="18" customHeight="1" collapsed="1" x14ac:dyDescent="0.25">
      <c r="A6" s="133"/>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34" t="s">
        <v>48</v>
      </c>
      <c r="B7" s="45"/>
      <c r="C7" s="40"/>
      <c r="D7" s="45"/>
      <c r="E7" s="39"/>
      <c r="F7" s="45"/>
      <c r="G7" s="40"/>
      <c r="H7" s="45"/>
      <c r="I7" s="39"/>
      <c r="J7" s="45"/>
      <c r="K7" s="39"/>
      <c r="L7" s="39"/>
      <c r="M7" s="53"/>
    </row>
    <row r="8" spans="1:13" ht="18" hidden="1" customHeight="1" outlineLevel="1" x14ac:dyDescent="0.25">
      <c r="A8" s="134"/>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34"/>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33" t="s">
        <v>29</v>
      </c>
      <c r="B10" s="43"/>
      <c r="C10" s="41"/>
      <c r="D10" s="43"/>
      <c r="E10" s="38"/>
      <c r="F10" s="43"/>
      <c r="G10" s="41"/>
      <c r="H10" s="43"/>
      <c r="I10" s="38"/>
      <c r="J10" s="43"/>
      <c r="K10" s="38"/>
      <c r="L10" s="38"/>
      <c r="M10" s="52"/>
    </row>
    <row r="11" spans="1:13" ht="18" hidden="1" customHeight="1" outlineLevel="1" x14ac:dyDescent="0.25">
      <c r="A11" s="133"/>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33"/>
      <c r="B12" s="42">
        <v>42184</v>
      </c>
      <c r="C12" s="41">
        <v>5</v>
      </c>
      <c r="D12" s="43">
        <v>44.5</v>
      </c>
      <c r="E12" s="38">
        <f>C12*D12</f>
        <v>222.5</v>
      </c>
      <c r="F12" s="43"/>
      <c r="G12" s="41"/>
      <c r="H12" s="43"/>
      <c r="I12" s="38"/>
      <c r="J12" s="43"/>
      <c r="K12" s="38"/>
      <c r="L12" s="38"/>
      <c r="M12" s="52"/>
    </row>
    <row r="13" spans="1:13" ht="18" hidden="1" customHeight="1" outlineLevel="1" x14ac:dyDescent="0.25">
      <c r="A13" s="133"/>
      <c r="B13" s="42">
        <v>42184</v>
      </c>
      <c r="C13" s="41">
        <v>10</v>
      </c>
      <c r="D13" s="43">
        <v>44.35</v>
      </c>
      <c r="E13" s="38">
        <f>C13*D13</f>
        <v>443.5</v>
      </c>
      <c r="F13" s="43"/>
      <c r="G13" s="41"/>
      <c r="H13" s="43"/>
      <c r="I13" s="38"/>
      <c r="J13" s="43"/>
      <c r="K13" s="38"/>
      <c r="L13" s="38"/>
      <c r="M13" s="52"/>
    </row>
    <row r="14" spans="1:13" ht="18" customHeight="1" collapsed="1" x14ac:dyDescent="0.25">
      <c r="A14" s="133"/>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34" t="s">
        <v>30</v>
      </c>
      <c r="B15" s="45"/>
      <c r="C15" s="40"/>
      <c r="D15" s="45"/>
      <c r="E15" s="39"/>
      <c r="F15" s="45"/>
      <c r="G15" s="40"/>
      <c r="H15" s="45"/>
      <c r="I15" s="39"/>
      <c r="J15" s="45"/>
      <c r="K15" s="39"/>
      <c r="L15" s="39"/>
      <c r="M15" s="53"/>
    </row>
    <row r="16" spans="1:13" ht="18" hidden="1" customHeight="1" outlineLevel="1" x14ac:dyDescent="0.25">
      <c r="A16" s="134"/>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34"/>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33" t="s">
        <v>8</v>
      </c>
      <c r="B18" s="43"/>
      <c r="C18" s="41"/>
      <c r="D18" s="43"/>
      <c r="E18" s="38"/>
      <c r="F18" s="43"/>
      <c r="G18" s="41"/>
      <c r="H18" s="43"/>
      <c r="I18" s="38"/>
      <c r="J18" s="43"/>
      <c r="K18" s="38"/>
      <c r="L18" s="38"/>
      <c r="M18" s="52"/>
    </row>
    <row r="19" spans="1:13" ht="18" hidden="1" customHeight="1" outlineLevel="1" x14ac:dyDescent="0.25">
      <c r="A19" s="133"/>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33"/>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33"/>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33"/>
      <c r="B22" s="42">
        <v>42146</v>
      </c>
      <c r="C22" s="41">
        <v>20</v>
      </c>
      <c r="D22" s="43">
        <v>61.1</v>
      </c>
      <c r="E22" s="38">
        <f t="shared" si="2"/>
        <v>1222</v>
      </c>
      <c r="F22" s="43"/>
      <c r="G22" s="41"/>
      <c r="H22" s="43"/>
      <c r="I22" s="38"/>
      <c r="J22" s="43"/>
      <c r="K22" s="38"/>
      <c r="L22" s="38"/>
      <c r="M22" s="52"/>
    </row>
    <row r="23" spans="1:13" ht="18" hidden="1" customHeight="1" outlineLevel="1" x14ac:dyDescent="0.25">
      <c r="A23" s="133"/>
      <c r="B23" s="42">
        <v>42146</v>
      </c>
      <c r="C23" s="41">
        <v>10</v>
      </c>
      <c r="D23" s="43">
        <v>60.8</v>
      </c>
      <c r="E23" s="38">
        <f t="shared" si="2"/>
        <v>608</v>
      </c>
      <c r="F23" s="43"/>
      <c r="G23" s="41"/>
      <c r="H23" s="43"/>
      <c r="I23" s="38"/>
      <c r="J23" s="43"/>
      <c r="K23" s="38"/>
      <c r="L23" s="38"/>
      <c r="M23" s="52"/>
    </row>
    <row r="24" spans="1:13" ht="18" hidden="1" customHeight="1" outlineLevel="1" x14ac:dyDescent="0.25">
      <c r="A24" s="133"/>
      <c r="B24" s="42">
        <v>42146</v>
      </c>
      <c r="C24" s="41">
        <v>20</v>
      </c>
      <c r="D24" s="43">
        <v>60.7</v>
      </c>
      <c r="E24" s="38">
        <f t="shared" si="2"/>
        <v>1214</v>
      </c>
      <c r="F24" s="43"/>
      <c r="G24" s="41"/>
      <c r="H24" s="43"/>
      <c r="I24" s="38"/>
      <c r="J24" s="43"/>
      <c r="K24" s="38"/>
      <c r="L24" s="38"/>
      <c r="M24" s="52"/>
    </row>
    <row r="25" spans="1:13" ht="18" hidden="1" customHeight="1" outlineLevel="1" x14ac:dyDescent="0.25">
      <c r="A25" s="133"/>
      <c r="B25" s="42">
        <v>42150</v>
      </c>
      <c r="C25" s="41">
        <v>20</v>
      </c>
      <c r="D25" s="43">
        <v>60.6</v>
      </c>
      <c r="E25" s="38">
        <f t="shared" si="2"/>
        <v>1212</v>
      </c>
      <c r="F25" s="43"/>
      <c r="G25" s="41"/>
      <c r="H25" s="43"/>
      <c r="I25" s="38"/>
      <c r="J25" s="43"/>
      <c r="K25" s="38"/>
      <c r="L25" s="38"/>
      <c r="M25" s="52"/>
    </row>
    <row r="26" spans="1:13" ht="18" hidden="1" customHeight="1" outlineLevel="1" x14ac:dyDescent="0.25">
      <c r="A26" s="133"/>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33"/>
      <c r="B27" s="42">
        <v>42152</v>
      </c>
      <c r="C27" s="41">
        <v>30</v>
      </c>
      <c r="D27" s="43">
        <v>60.39</v>
      </c>
      <c r="E27" s="38">
        <f t="shared" si="2"/>
        <v>1811.7</v>
      </c>
      <c r="F27" s="43"/>
      <c r="G27" s="41"/>
      <c r="H27" s="43"/>
      <c r="I27" s="38"/>
      <c r="J27" s="43"/>
      <c r="K27" s="38"/>
      <c r="L27" s="38"/>
      <c r="M27" s="52"/>
    </row>
    <row r="28" spans="1:13" ht="18" hidden="1" customHeight="1" outlineLevel="1" x14ac:dyDescent="0.25">
      <c r="A28" s="133"/>
      <c r="B28" s="42">
        <v>42166</v>
      </c>
      <c r="C28" s="41">
        <v>100</v>
      </c>
      <c r="D28" s="43">
        <v>58</v>
      </c>
      <c r="E28" s="38">
        <f t="shared" si="2"/>
        <v>5800</v>
      </c>
      <c r="F28" s="43"/>
      <c r="G28" s="41"/>
      <c r="H28" s="43"/>
      <c r="I28" s="38"/>
      <c r="J28" s="43"/>
      <c r="K28" s="38"/>
      <c r="L28" s="38"/>
      <c r="M28" s="52"/>
    </row>
    <row r="29" spans="1:13" ht="18" hidden="1" customHeight="1" outlineLevel="1" x14ac:dyDescent="0.25">
      <c r="A29" s="133"/>
      <c r="B29" s="42">
        <v>42187</v>
      </c>
      <c r="C29" s="41">
        <v>290</v>
      </c>
      <c r="D29" s="43">
        <v>57.85</v>
      </c>
      <c r="E29" s="38">
        <f t="shared" si="2"/>
        <v>16776.5</v>
      </c>
      <c r="F29" s="43"/>
      <c r="G29" s="41"/>
      <c r="H29" s="43"/>
      <c r="I29" s="38"/>
      <c r="J29" s="43"/>
      <c r="K29" s="38"/>
      <c r="L29" s="38"/>
      <c r="M29" s="52"/>
    </row>
    <row r="30" spans="1:13" ht="18" customHeight="1" collapsed="1" x14ac:dyDescent="0.25">
      <c r="A30" s="133"/>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34" t="s">
        <v>40</v>
      </c>
      <c r="B31" s="45"/>
      <c r="C31" s="40"/>
      <c r="D31" s="45"/>
      <c r="E31" s="39"/>
      <c r="F31" s="45"/>
      <c r="G31" s="40"/>
      <c r="H31" s="45"/>
      <c r="I31" s="39"/>
      <c r="J31" s="45"/>
      <c r="K31" s="39"/>
      <c r="L31" s="39"/>
      <c r="M31" s="53"/>
    </row>
    <row r="32" spans="1:13" ht="18" hidden="1" customHeight="1" outlineLevel="1" x14ac:dyDescent="0.25">
      <c r="A32" s="134"/>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34"/>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34"/>
      <c r="B34" s="46">
        <v>42209</v>
      </c>
      <c r="C34" s="40">
        <v>10</v>
      </c>
      <c r="D34" s="45">
        <v>146.69999999999999</v>
      </c>
      <c r="E34" s="39">
        <f>C34*D34</f>
        <v>1467</v>
      </c>
      <c r="F34" s="45"/>
      <c r="G34" s="40"/>
      <c r="H34" s="45"/>
      <c r="I34" s="39"/>
      <c r="J34" s="45"/>
      <c r="K34" s="39"/>
      <c r="L34" s="39"/>
      <c r="M34" s="40"/>
    </row>
    <row r="35" spans="1:13" ht="18" customHeight="1" collapsed="1" x14ac:dyDescent="0.25">
      <c r="A35" s="134"/>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33" t="s">
        <v>32</v>
      </c>
      <c r="B36" s="43"/>
      <c r="C36" s="41"/>
      <c r="D36" s="43"/>
      <c r="E36" s="38"/>
      <c r="F36" s="43"/>
      <c r="G36" s="41"/>
      <c r="H36" s="43"/>
      <c r="I36" s="38"/>
      <c r="J36" s="43"/>
      <c r="K36" s="38"/>
      <c r="L36" s="38"/>
      <c r="M36" s="52"/>
    </row>
    <row r="37" spans="1:13" ht="18" hidden="1" customHeight="1" outlineLevel="1" x14ac:dyDescent="0.25">
      <c r="A37" s="133"/>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33"/>
      <c r="B38" s="42">
        <v>42167</v>
      </c>
      <c r="C38" s="41">
        <v>25</v>
      </c>
      <c r="D38" s="43">
        <v>39.1</v>
      </c>
      <c r="E38" s="38">
        <f>C38*D38</f>
        <v>977.5</v>
      </c>
      <c r="F38" s="43"/>
      <c r="G38" s="41"/>
      <c r="H38" s="43"/>
      <c r="I38" s="38"/>
      <c r="J38" s="43"/>
      <c r="K38" s="38"/>
      <c r="L38" s="38"/>
      <c r="M38" s="52"/>
    </row>
    <row r="39" spans="1:13" ht="18" customHeight="1" collapsed="1" x14ac:dyDescent="0.25">
      <c r="A39" s="133"/>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34" t="s">
        <v>16</v>
      </c>
      <c r="B40" s="45"/>
      <c r="C40" s="40"/>
      <c r="D40" s="45"/>
      <c r="E40" s="39"/>
      <c r="F40" s="45"/>
      <c r="G40" s="40"/>
      <c r="H40" s="45"/>
      <c r="I40" s="39"/>
      <c r="J40" s="45"/>
      <c r="K40" s="39"/>
      <c r="L40" s="39"/>
      <c r="M40" s="53"/>
    </row>
    <row r="41" spans="1:13" ht="18" hidden="1" customHeight="1" outlineLevel="1" x14ac:dyDescent="0.25">
      <c r="A41" s="134"/>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34"/>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33" t="s">
        <v>21</v>
      </c>
      <c r="B43" s="43"/>
      <c r="C43" s="41"/>
      <c r="D43" s="43"/>
      <c r="E43" s="38"/>
      <c r="F43" s="43"/>
      <c r="G43" s="41"/>
      <c r="H43" s="43"/>
      <c r="I43" s="38"/>
      <c r="J43" s="43"/>
      <c r="K43" s="38"/>
      <c r="L43" s="38"/>
      <c r="M43" s="52"/>
    </row>
    <row r="44" spans="1:13" ht="18" hidden="1" customHeight="1" outlineLevel="1" x14ac:dyDescent="0.25">
      <c r="A44" s="133"/>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33"/>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33"/>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33"/>
      <c r="B47" s="42">
        <v>42187</v>
      </c>
      <c r="C47" s="41">
        <v>2000</v>
      </c>
      <c r="D47" s="43">
        <v>21.49</v>
      </c>
      <c r="E47" s="38">
        <f>C47*D47</f>
        <v>42980</v>
      </c>
      <c r="F47" s="42"/>
      <c r="G47" s="41"/>
      <c r="H47" s="43"/>
      <c r="I47" s="38">
        <f>G47*H47</f>
        <v>0</v>
      </c>
      <c r="J47" s="43"/>
      <c r="K47" s="38"/>
      <c r="L47" s="38"/>
      <c r="M47" s="52"/>
    </row>
    <row r="48" spans="1:13" ht="18" customHeight="1" collapsed="1" x14ac:dyDescent="0.25">
      <c r="A48" s="133"/>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34" t="s">
        <v>9</v>
      </c>
      <c r="B49" s="45"/>
      <c r="C49" s="40"/>
      <c r="D49" s="45"/>
      <c r="E49" s="39"/>
      <c r="F49" s="45"/>
      <c r="G49" s="40"/>
      <c r="H49" s="45"/>
      <c r="I49" s="39"/>
      <c r="J49" s="45"/>
      <c r="K49" s="39"/>
      <c r="L49" s="40"/>
      <c r="M49" s="40"/>
    </row>
    <row r="50" spans="1:13" ht="18" hidden="1" customHeight="1" outlineLevel="1" x14ac:dyDescent="0.25">
      <c r="A50" s="134"/>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34"/>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34"/>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34"/>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34"/>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34"/>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34"/>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34"/>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34"/>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34"/>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34"/>
      <c r="B60" s="46">
        <v>42152</v>
      </c>
      <c r="C60" s="40">
        <v>2000</v>
      </c>
      <c r="D60" s="45">
        <v>5.15</v>
      </c>
      <c r="E60" s="39">
        <f t="shared" si="4"/>
        <v>10300</v>
      </c>
      <c r="F60" s="45"/>
      <c r="G60" s="40"/>
      <c r="H60" s="45"/>
      <c r="I60" s="39"/>
      <c r="J60" s="45"/>
      <c r="K60" s="39"/>
      <c r="L60" s="40"/>
      <c r="M60" s="40"/>
    </row>
    <row r="61" spans="1:13" ht="18" hidden="1" customHeight="1" outlineLevel="1" x14ac:dyDescent="0.25">
      <c r="A61" s="134"/>
      <c r="B61" s="46">
        <v>42158</v>
      </c>
      <c r="C61" s="40">
        <v>500</v>
      </c>
      <c r="D61" s="45">
        <v>5.09</v>
      </c>
      <c r="E61" s="39">
        <f t="shared" si="4"/>
        <v>2545</v>
      </c>
      <c r="F61" s="45"/>
      <c r="G61" s="40"/>
      <c r="H61" s="45"/>
      <c r="I61" s="39"/>
      <c r="J61" s="45"/>
      <c r="K61" s="39"/>
      <c r="L61" s="40"/>
      <c r="M61" s="40"/>
    </row>
    <row r="62" spans="1:13" ht="18" hidden="1" customHeight="1" outlineLevel="1" x14ac:dyDescent="0.25">
      <c r="A62" s="134"/>
      <c r="B62" s="46">
        <v>42158</v>
      </c>
      <c r="C62" s="40">
        <v>1000</v>
      </c>
      <c r="D62" s="45">
        <v>5.04</v>
      </c>
      <c r="E62" s="39">
        <f t="shared" si="4"/>
        <v>5040</v>
      </c>
      <c r="F62" s="45"/>
      <c r="G62" s="40"/>
      <c r="H62" s="45"/>
      <c r="I62" s="39"/>
      <c r="J62" s="45"/>
      <c r="K62" s="39"/>
      <c r="L62" s="40"/>
      <c r="M62" s="40"/>
    </row>
    <row r="63" spans="1:13" ht="18" hidden="1" customHeight="1" outlineLevel="1" x14ac:dyDescent="0.25">
      <c r="A63" s="134"/>
      <c r="B63" s="46">
        <v>42158</v>
      </c>
      <c r="C63" s="40">
        <v>200</v>
      </c>
      <c r="D63" s="45">
        <v>5.05</v>
      </c>
      <c r="E63" s="39">
        <f t="shared" si="4"/>
        <v>1010</v>
      </c>
      <c r="F63" s="45"/>
      <c r="G63" s="40"/>
      <c r="H63" s="45"/>
      <c r="I63" s="39"/>
      <c r="J63" s="45"/>
      <c r="K63" s="39"/>
      <c r="L63" s="40"/>
      <c r="M63" s="40"/>
    </row>
    <row r="64" spans="1:13" ht="18" hidden="1" customHeight="1" outlineLevel="1" x14ac:dyDescent="0.25">
      <c r="A64" s="134"/>
      <c r="B64" s="46">
        <v>42164</v>
      </c>
      <c r="C64" s="40">
        <v>500</v>
      </c>
      <c r="D64" s="45">
        <v>5.07</v>
      </c>
      <c r="E64" s="39">
        <f t="shared" si="4"/>
        <v>2535</v>
      </c>
      <c r="F64" s="45"/>
      <c r="G64" s="40"/>
      <c r="H64" s="45"/>
      <c r="I64" s="39"/>
      <c r="J64" s="45"/>
      <c r="K64" s="39"/>
      <c r="L64" s="40"/>
      <c r="M64" s="40"/>
    </row>
    <row r="65" spans="1:13" ht="18" hidden="1" customHeight="1" outlineLevel="1" x14ac:dyDescent="0.25">
      <c r="A65" s="134"/>
      <c r="B65" s="46">
        <v>42164</v>
      </c>
      <c r="C65" s="40">
        <v>1000</v>
      </c>
      <c r="D65" s="45">
        <v>5.04</v>
      </c>
      <c r="E65" s="39">
        <f t="shared" si="4"/>
        <v>5040</v>
      </c>
      <c r="F65" s="45"/>
      <c r="G65" s="40"/>
      <c r="H65" s="45"/>
      <c r="I65" s="39"/>
      <c r="J65" s="45"/>
      <c r="K65" s="39"/>
      <c r="L65" s="40"/>
      <c r="M65" s="40"/>
    </row>
    <row r="66" spans="1:13" ht="18" hidden="1" customHeight="1" outlineLevel="1" x14ac:dyDescent="0.25">
      <c r="A66" s="134"/>
      <c r="B66" s="46">
        <v>42164</v>
      </c>
      <c r="C66" s="40">
        <v>1000</v>
      </c>
      <c r="D66" s="45">
        <v>5.01</v>
      </c>
      <c r="E66" s="39">
        <f t="shared" si="4"/>
        <v>5010</v>
      </c>
      <c r="F66" s="45"/>
      <c r="G66" s="40"/>
      <c r="H66" s="45"/>
      <c r="I66" s="39"/>
      <c r="J66" s="45"/>
      <c r="K66" s="39"/>
      <c r="L66" s="40"/>
      <c r="M66" s="40"/>
    </row>
    <row r="67" spans="1:13" ht="18" hidden="1" customHeight="1" outlineLevel="1" x14ac:dyDescent="0.25">
      <c r="A67" s="134"/>
      <c r="B67" s="46">
        <v>42173</v>
      </c>
      <c r="C67" s="40">
        <v>500</v>
      </c>
      <c r="D67" s="45">
        <v>4.88</v>
      </c>
      <c r="E67" s="39">
        <f t="shared" si="4"/>
        <v>2440</v>
      </c>
      <c r="F67" s="45"/>
      <c r="G67" s="40"/>
      <c r="H67" s="45"/>
      <c r="I67" s="39"/>
      <c r="J67" s="45"/>
      <c r="K67" s="39"/>
      <c r="L67" s="40"/>
      <c r="M67" s="40"/>
    </row>
    <row r="68" spans="1:13" ht="18" hidden="1" customHeight="1" outlineLevel="1" x14ac:dyDescent="0.25">
      <c r="A68" s="134"/>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34"/>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34"/>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34"/>
      <c r="B71" s="46">
        <v>42187</v>
      </c>
      <c r="C71" s="40">
        <v>2000</v>
      </c>
      <c r="D71" s="45">
        <v>4.97</v>
      </c>
      <c r="E71" s="39">
        <f t="shared" si="4"/>
        <v>9940</v>
      </c>
      <c r="F71" s="45"/>
      <c r="G71" s="40"/>
      <c r="H71" s="45"/>
      <c r="I71" s="39"/>
      <c r="J71" s="45"/>
      <c r="K71" s="39"/>
      <c r="L71" s="40"/>
      <c r="M71" s="40"/>
    </row>
    <row r="72" spans="1:13" ht="18" hidden="1" customHeight="1" outlineLevel="1" x14ac:dyDescent="0.25">
      <c r="A72" s="134"/>
      <c r="B72" s="46">
        <v>42199</v>
      </c>
      <c r="C72" s="40">
        <v>500</v>
      </c>
      <c r="D72" s="45">
        <v>4.8</v>
      </c>
      <c r="E72" s="39">
        <f t="shared" si="4"/>
        <v>2400</v>
      </c>
      <c r="F72" s="45"/>
      <c r="G72" s="40"/>
      <c r="H72" s="45"/>
      <c r="I72" s="39"/>
      <c r="J72" s="45"/>
      <c r="K72" s="39"/>
      <c r="L72" s="40"/>
      <c r="M72" s="40"/>
    </row>
    <row r="73" spans="1:13" ht="18" hidden="1" customHeight="1" outlineLevel="1" x14ac:dyDescent="0.25">
      <c r="A73" s="134"/>
      <c r="B73" s="46">
        <v>42212</v>
      </c>
      <c r="C73" s="40">
        <v>300</v>
      </c>
      <c r="D73" s="45">
        <v>4.76</v>
      </c>
      <c r="E73" s="39">
        <f t="shared" si="4"/>
        <v>1428</v>
      </c>
      <c r="F73" s="45"/>
      <c r="G73" s="40"/>
      <c r="H73" s="45"/>
      <c r="I73" s="39"/>
      <c r="J73" s="45"/>
      <c r="K73" s="39"/>
      <c r="L73" s="40"/>
      <c r="M73" s="40"/>
    </row>
    <row r="74" spans="1:13" ht="18" hidden="1" customHeight="1" outlineLevel="1" x14ac:dyDescent="0.25">
      <c r="A74" s="134"/>
      <c r="B74" s="46">
        <v>42212</v>
      </c>
      <c r="C74" s="40">
        <v>1700</v>
      </c>
      <c r="D74" s="45">
        <v>4.76</v>
      </c>
      <c r="E74" s="39">
        <f t="shared" si="4"/>
        <v>8092</v>
      </c>
      <c r="F74" s="45"/>
      <c r="G74" s="40"/>
      <c r="H74" s="45"/>
      <c r="I74" s="39"/>
      <c r="J74" s="45"/>
      <c r="K74" s="39"/>
      <c r="L74" s="40"/>
      <c r="M74" s="40"/>
    </row>
    <row r="75" spans="1:13" ht="18" hidden="1" customHeight="1" outlineLevel="1" x14ac:dyDescent="0.25">
      <c r="A75" s="134"/>
      <c r="B75" s="46">
        <v>42214</v>
      </c>
      <c r="C75" s="40">
        <v>500</v>
      </c>
      <c r="D75" s="45">
        <v>4.68</v>
      </c>
      <c r="E75" s="39">
        <f t="shared" si="4"/>
        <v>2340</v>
      </c>
      <c r="F75" s="45"/>
      <c r="G75" s="40"/>
      <c r="H75" s="45"/>
      <c r="I75" s="39"/>
      <c r="J75" s="45"/>
      <c r="K75" s="39"/>
      <c r="L75" s="40"/>
      <c r="M75" s="40"/>
    </row>
    <row r="76" spans="1:13" ht="18" hidden="1" customHeight="1" outlineLevel="1" x14ac:dyDescent="0.25">
      <c r="A76" s="134"/>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34"/>
      <c r="B77" s="46">
        <v>42214</v>
      </c>
      <c r="C77" s="40">
        <v>200</v>
      </c>
      <c r="D77" s="45">
        <v>4.63</v>
      </c>
      <c r="E77" s="39">
        <f t="shared" si="4"/>
        <v>926</v>
      </c>
      <c r="F77" s="45"/>
      <c r="G77" s="40"/>
      <c r="H77" s="45"/>
      <c r="I77" s="39"/>
      <c r="J77" s="45"/>
      <c r="K77" s="39"/>
      <c r="L77" s="40"/>
      <c r="M77" s="40"/>
    </row>
    <row r="78" spans="1:13" ht="18" hidden="1" customHeight="1" outlineLevel="1" x14ac:dyDescent="0.25">
      <c r="A78" s="134"/>
      <c r="B78" s="46">
        <v>42214</v>
      </c>
      <c r="C78" s="40">
        <v>300</v>
      </c>
      <c r="D78" s="45">
        <v>4.59</v>
      </c>
      <c r="E78" s="39">
        <f t="shared" si="4"/>
        <v>1377</v>
      </c>
      <c r="F78" s="45"/>
      <c r="G78" s="40"/>
      <c r="H78" s="45"/>
      <c r="I78" s="39"/>
      <c r="J78" s="45"/>
      <c r="K78" s="39"/>
      <c r="L78" s="40"/>
      <c r="M78" s="40"/>
    </row>
    <row r="79" spans="1:13" ht="18" hidden="1" customHeight="1" outlineLevel="1" x14ac:dyDescent="0.25">
      <c r="A79" s="134"/>
      <c r="B79" s="46">
        <v>42214</v>
      </c>
      <c r="C79" s="40">
        <v>500</v>
      </c>
      <c r="D79" s="45">
        <v>4.54</v>
      </c>
      <c r="E79" s="39">
        <f t="shared" si="4"/>
        <v>2270</v>
      </c>
      <c r="F79" s="45"/>
      <c r="G79" s="40"/>
      <c r="H79" s="45"/>
      <c r="I79" s="39"/>
      <c r="J79" s="45"/>
      <c r="K79" s="39"/>
      <c r="L79" s="40"/>
      <c r="M79" s="40"/>
    </row>
    <row r="80" spans="1:13" ht="18" customHeight="1" collapsed="1" x14ac:dyDescent="0.25">
      <c r="A80" s="134"/>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33" t="s">
        <v>25</v>
      </c>
      <c r="B81" s="43"/>
      <c r="C81" s="41"/>
      <c r="D81" s="43"/>
      <c r="E81" s="38"/>
      <c r="F81" s="43"/>
      <c r="G81" s="41"/>
      <c r="H81" s="43"/>
      <c r="I81" s="38"/>
      <c r="J81" s="43"/>
      <c r="K81" s="38"/>
      <c r="L81" s="38"/>
      <c r="M81" s="52"/>
    </row>
    <row r="82" spans="1:13" ht="18" hidden="1" customHeight="1" outlineLevel="1" x14ac:dyDescent="0.25">
      <c r="A82" s="133"/>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33"/>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34" t="s">
        <v>36</v>
      </c>
      <c r="B84" s="45"/>
      <c r="C84" s="40"/>
      <c r="D84" s="45"/>
      <c r="E84" s="39"/>
      <c r="F84" s="45"/>
      <c r="G84" s="40"/>
      <c r="H84" s="45"/>
      <c r="I84" s="39"/>
      <c r="J84" s="45"/>
      <c r="K84" s="39"/>
      <c r="L84" s="39"/>
      <c r="M84" s="53"/>
    </row>
    <row r="85" spans="1:13" ht="18" hidden="1" customHeight="1" outlineLevel="1" x14ac:dyDescent="0.25">
      <c r="A85" s="134"/>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34"/>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34"/>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33" t="s">
        <v>14</v>
      </c>
      <c r="B88" s="43"/>
      <c r="C88" s="41"/>
      <c r="D88" s="43"/>
      <c r="E88" s="38"/>
      <c r="F88" s="43"/>
      <c r="G88" s="41"/>
      <c r="H88" s="43"/>
      <c r="I88" s="38"/>
      <c r="J88" s="43"/>
      <c r="K88" s="38"/>
      <c r="L88" s="38"/>
      <c r="M88" s="52"/>
    </row>
    <row r="89" spans="1:13" ht="18" hidden="1" customHeight="1" outlineLevel="1" x14ac:dyDescent="0.25">
      <c r="A89" s="133"/>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33"/>
      <c r="B90" s="42">
        <v>42164</v>
      </c>
      <c r="C90" s="41">
        <v>48</v>
      </c>
      <c r="D90" s="43">
        <v>49.9</v>
      </c>
      <c r="E90" s="38">
        <f>C90*D90</f>
        <v>2395.1999999999998</v>
      </c>
      <c r="F90" s="43"/>
      <c r="G90" s="41"/>
      <c r="H90" s="43"/>
      <c r="I90" s="38"/>
      <c r="J90" s="43"/>
      <c r="K90" s="38"/>
      <c r="L90" s="38"/>
      <c r="M90" s="52"/>
    </row>
    <row r="91" spans="1:13" ht="18" hidden="1" customHeight="1" outlineLevel="1" x14ac:dyDescent="0.25">
      <c r="A91" s="133"/>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33"/>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33"/>
      <c r="B93" s="42">
        <v>42173</v>
      </c>
      <c r="C93" s="41">
        <v>25</v>
      </c>
      <c r="D93" s="43">
        <v>47.54</v>
      </c>
      <c r="E93" s="38">
        <f>C93*D93</f>
        <v>1188.5</v>
      </c>
      <c r="F93" s="43"/>
      <c r="G93" s="41"/>
      <c r="H93" s="43"/>
      <c r="I93" s="38">
        <f>G93*H93</f>
        <v>0</v>
      </c>
      <c r="J93" s="43"/>
      <c r="K93" s="38"/>
      <c r="L93" s="38"/>
      <c r="M93" s="52"/>
    </row>
    <row r="94" spans="1:13" ht="18" customHeight="1" collapsed="1" x14ac:dyDescent="0.25">
      <c r="A94" s="133"/>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34" t="s">
        <v>41</v>
      </c>
      <c r="B95" s="45"/>
      <c r="C95" s="40"/>
      <c r="D95" s="45"/>
      <c r="E95" s="39"/>
      <c r="F95" s="45"/>
      <c r="G95" s="40"/>
      <c r="H95" s="45"/>
      <c r="I95" s="39"/>
      <c r="J95" s="45"/>
      <c r="K95" s="39"/>
      <c r="L95" s="39"/>
      <c r="M95" s="53"/>
    </row>
    <row r="96" spans="1:13" ht="18" hidden="1" customHeight="1" outlineLevel="1" x14ac:dyDescent="0.25">
      <c r="A96" s="134"/>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34"/>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33" t="s">
        <v>46</v>
      </c>
      <c r="B98" s="43"/>
      <c r="C98" s="41"/>
      <c r="D98" s="43"/>
      <c r="E98" s="38"/>
      <c r="F98" s="43"/>
      <c r="G98" s="41"/>
      <c r="H98" s="43"/>
      <c r="I98" s="38"/>
      <c r="J98" s="43"/>
      <c r="K98" s="38"/>
      <c r="L98" s="38"/>
      <c r="M98" s="52"/>
    </row>
    <row r="99" spans="1:13" ht="18" hidden="1" customHeight="1" outlineLevel="1" x14ac:dyDescent="0.25">
      <c r="A99" s="133"/>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33"/>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34" t="s">
        <v>28</v>
      </c>
      <c r="B101" s="45"/>
      <c r="C101" s="40"/>
      <c r="D101" s="45"/>
      <c r="E101" s="39"/>
      <c r="F101" s="45"/>
      <c r="G101" s="40"/>
      <c r="H101" s="45"/>
      <c r="I101" s="39"/>
      <c r="J101" s="45"/>
      <c r="K101" s="39"/>
      <c r="L101" s="39"/>
      <c r="M101" s="53"/>
    </row>
    <row r="102" spans="1:13" ht="18" hidden="1" customHeight="1" outlineLevel="1" x14ac:dyDescent="0.25">
      <c r="A102" s="134"/>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34"/>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34"/>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33" t="s">
        <v>0</v>
      </c>
      <c r="B105" s="43"/>
      <c r="C105" s="41"/>
      <c r="D105" s="43"/>
      <c r="E105" s="38"/>
      <c r="F105" s="43"/>
      <c r="G105" s="41"/>
      <c r="H105" s="43"/>
      <c r="I105" s="38"/>
      <c r="J105" s="43"/>
      <c r="K105" s="38"/>
      <c r="L105" s="38"/>
      <c r="M105" s="52"/>
    </row>
    <row r="106" spans="1:13" ht="18" hidden="1" customHeight="1" outlineLevel="1" x14ac:dyDescent="0.25">
      <c r="A106" s="133"/>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33"/>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34" t="s">
        <v>49</v>
      </c>
      <c r="B108" s="45"/>
      <c r="C108" s="40"/>
      <c r="D108" s="45"/>
      <c r="E108" s="39"/>
      <c r="F108" s="45"/>
      <c r="G108" s="40"/>
      <c r="H108" s="45"/>
      <c r="I108" s="39"/>
      <c r="J108" s="45"/>
      <c r="K108" s="39"/>
      <c r="L108" s="39"/>
      <c r="M108" s="53"/>
    </row>
    <row r="109" spans="1:13" ht="18" hidden="1" customHeight="1" outlineLevel="1" x14ac:dyDescent="0.25">
      <c r="A109" s="134"/>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34"/>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33" t="s">
        <v>13</v>
      </c>
      <c r="B111" s="43"/>
      <c r="C111" s="41"/>
      <c r="D111" s="43"/>
      <c r="E111" s="38"/>
      <c r="F111" s="43"/>
      <c r="G111" s="41"/>
      <c r="H111" s="43"/>
      <c r="I111" s="38"/>
      <c r="J111" s="43"/>
      <c r="K111" s="38"/>
      <c r="L111" s="38"/>
      <c r="M111" s="41"/>
    </row>
    <row r="112" spans="1:13" ht="18" hidden="1" customHeight="1" outlineLevel="1" x14ac:dyDescent="0.25">
      <c r="A112" s="133"/>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33"/>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33"/>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33"/>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33"/>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33"/>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33"/>
      <c r="B118" s="42">
        <v>42166</v>
      </c>
      <c r="C118" s="41">
        <v>100</v>
      </c>
      <c r="D118" s="43">
        <v>51.35</v>
      </c>
      <c r="E118" s="38">
        <f t="shared" si="7"/>
        <v>5135</v>
      </c>
      <c r="F118" s="43"/>
      <c r="G118" s="41"/>
      <c r="H118" s="43"/>
      <c r="I118" s="38"/>
      <c r="J118" s="43"/>
      <c r="K118" s="38"/>
      <c r="L118" s="38"/>
      <c r="M118" s="52"/>
    </row>
    <row r="119" spans="1:13" ht="18" customHeight="1" collapsed="1" x14ac:dyDescent="0.25">
      <c r="A119" s="133"/>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34" t="s">
        <v>20</v>
      </c>
      <c r="B120" s="45"/>
      <c r="C120" s="40"/>
      <c r="D120" s="45"/>
      <c r="E120" s="39"/>
      <c r="F120" s="45"/>
      <c r="G120" s="40"/>
      <c r="H120" s="45"/>
      <c r="I120" s="39"/>
      <c r="J120" s="45"/>
      <c r="K120" s="39"/>
      <c r="L120" s="39"/>
      <c r="M120" s="53"/>
    </row>
    <row r="121" spans="1:13" ht="18" hidden="1" customHeight="1" outlineLevel="1" x14ac:dyDescent="0.25">
      <c r="A121" s="134"/>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34"/>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34"/>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34"/>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34"/>
      <c r="B125" s="46">
        <v>42186</v>
      </c>
      <c r="C125" s="40">
        <v>297</v>
      </c>
      <c r="D125" s="45">
        <v>19.13</v>
      </c>
      <c r="E125" s="39">
        <f>C125*D125</f>
        <v>5681.61</v>
      </c>
      <c r="F125" s="45"/>
      <c r="G125" s="40"/>
      <c r="H125" s="45"/>
      <c r="I125" s="39"/>
      <c r="J125" s="45"/>
      <c r="K125" s="39"/>
      <c r="L125" s="39"/>
      <c r="M125" s="53"/>
    </row>
    <row r="126" spans="1:13" ht="18" customHeight="1" collapsed="1" x14ac:dyDescent="0.25">
      <c r="A126" s="134"/>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33" t="s">
        <v>31</v>
      </c>
      <c r="B127" s="43"/>
      <c r="C127" s="41"/>
      <c r="D127" s="43"/>
      <c r="E127" s="38"/>
      <c r="F127" s="43"/>
      <c r="G127" s="41"/>
      <c r="H127" s="43"/>
      <c r="I127" s="38"/>
      <c r="J127" s="43"/>
      <c r="K127" s="38"/>
      <c r="L127" s="38"/>
      <c r="M127" s="52"/>
    </row>
    <row r="128" spans="1:13" ht="18" hidden="1" customHeight="1" outlineLevel="1" x14ac:dyDescent="0.25">
      <c r="A128" s="133"/>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33"/>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35" t="s">
        <v>150</v>
      </c>
      <c r="B136" s="135"/>
      <c r="C136" s="135"/>
      <c r="D136" s="135"/>
      <c r="E136" s="135"/>
      <c r="F136" s="135"/>
    </row>
    <row r="137" spans="1:14" ht="18" customHeight="1" x14ac:dyDescent="0.25">
      <c r="A137" s="136"/>
      <c r="B137" s="136"/>
      <c r="C137" s="136"/>
      <c r="D137" s="136"/>
      <c r="E137" s="136"/>
      <c r="F137" s="136"/>
    </row>
    <row r="138" spans="1:14" ht="18" customHeight="1" x14ac:dyDescent="0.25">
      <c r="A138" s="86"/>
      <c r="B138" s="86"/>
      <c r="C138" s="86"/>
      <c r="D138" s="86"/>
      <c r="E138" s="86"/>
      <c r="F138" s="86"/>
    </row>
    <row r="139" spans="1:14" ht="18" customHeight="1" x14ac:dyDescent="0.25">
      <c r="A139" s="86"/>
      <c r="B139" s="37" t="s">
        <v>153</v>
      </c>
      <c r="C139" s="87" t="s">
        <v>151</v>
      </c>
      <c r="D139" s="37" t="s">
        <v>154</v>
      </c>
      <c r="E139" s="51" t="s">
        <v>152</v>
      </c>
      <c r="F139" s="86"/>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0" si="8">C142-D142</f>
        <v>-40005.969999999972</v>
      </c>
      <c r="F142" s="119">
        <f t="shared" ref="F142:F150"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c r="D151" s="48">
        <v>360000</v>
      </c>
      <c r="F151" s="119"/>
    </row>
    <row r="152" spans="1:6" ht="18" customHeight="1" x14ac:dyDescent="0.25">
      <c r="A152" s="44"/>
      <c r="B152" s="85">
        <v>42244</v>
      </c>
      <c r="C152" s="92"/>
      <c r="D152" s="48">
        <v>360000</v>
      </c>
      <c r="F152" s="119"/>
    </row>
    <row r="153" spans="1:6" ht="18" customHeight="1" x14ac:dyDescent="0.25">
      <c r="A153" s="44"/>
      <c r="B153" s="85">
        <v>42245</v>
      </c>
      <c r="C153" s="92"/>
      <c r="D153" s="48">
        <v>360000</v>
      </c>
      <c r="F153" s="119"/>
    </row>
    <row r="154" spans="1:6" ht="18" customHeight="1" x14ac:dyDescent="0.25">
      <c r="A154" s="44"/>
      <c r="B154" s="85">
        <v>42246</v>
      </c>
      <c r="C154" s="92"/>
      <c r="D154" s="48">
        <v>360000</v>
      </c>
      <c r="F154" s="119"/>
    </row>
    <row r="155" spans="1:6" ht="18" customHeight="1" x14ac:dyDescent="0.25">
      <c r="A155" s="44"/>
      <c r="B155" s="85">
        <v>42247</v>
      </c>
      <c r="C155" s="92"/>
      <c r="D155" s="48">
        <v>360000</v>
      </c>
      <c r="F155" s="119"/>
    </row>
    <row r="156" spans="1:6" ht="18" customHeight="1" x14ac:dyDescent="0.25">
      <c r="A156" s="44"/>
      <c r="B156" s="85">
        <v>42248</v>
      </c>
      <c r="C156" s="92"/>
      <c r="D156" s="48">
        <v>360000</v>
      </c>
      <c r="F156" s="119"/>
    </row>
    <row r="157" spans="1:6" ht="18" customHeight="1" x14ac:dyDescent="0.25">
      <c r="A157" s="44"/>
      <c r="B157" s="85">
        <v>42249</v>
      </c>
      <c r="C157" s="92"/>
      <c r="D157" s="48">
        <v>360000</v>
      </c>
      <c r="F157" s="119"/>
    </row>
    <row r="158" spans="1:6" ht="18" customHeight="1" x14ac:dyDescent="0.25">
      <c r="A158" s="44"/>
      <c r="B158" s="85">
        <v>42250</v>
      </c>
      <c r="C158" s="92"/>
      <c r="D158" s="48">
        <v>360000</v>
      </c>
      <c r="F158" s="119"/>
    </row>
    <row r="159" spans="1:6" ht="18" customHeight="1" x14ac:dyDescent="0.25">
      <c r="A159" s="44"/>
      <c r="B159" s="85">
        <v>42251</v>
      </c>
      <c r="C159" s="92"/>
      <c r="D159" s="48">
        <v>360000</v>
      </c>
    </row>
    <row r="160" spans="1:6" ht="18" customHeight="1" x14ac:dyDescent="0.25">
      <c r="A160" s="44"/>
      <c r="B160" s="85">
        <v>42252</v>
      </c>
      <c r="C160" s="92"/>
      <c r="D160" s="48">
        <v>360000</v>
      </c>
    </row>
    <row r="161" spans="1:4" ht="18" customHeight="1" x14ac:dyDescent="0.25">
      <c r="A161" s="44"/>
      <c r="B161" s="85">
        <v>42253</v>
      </c>
      <c r="C161" s="92"/>
      <c r="D161" s="48">
        <v>360000</v>
      </c>
    </row>
    <row r="162" spans="1:4" ht="18" customHeight="1" x14ac:dyDescent="0.25">
      <c r="A162" s="44"/>
      <c r="B162" s="85">
        <v>42254</v>
      </c>
      <c r="C162" s="92"/>
      <c r="D162" s="48">
        <v>360000</v>
      </c>
    </row>
    <row r="163" spans="1:4" ht="18" customHeight="1" x14ac:dyDescent="0.25">
      <c r="A163" s="44"/>
      <c r="B163" s="85">
        <v>42255</v>
      </c>
      <c r="C163" s="92"/>
      <c r="D163" s="48">
        <v>360000</v>
      </c>
    </row>
    <row r="164" spans="1:4" ht="18" customHeight="1" x14ac:dyDescent="0.25">
      <c r="A164" s="44"/>
      <c r="B164" s="85">
        <v>42256</v>
      </c>
      <c r="C164" s="92"/>
      <c r="D164" s="48">
        <v>360000</v>
      </c>
    </row>
    <row r="165" spans="1:4" ht="18" customHeight="1" x14ac:dyDescent="0.25">
      <c r="A165" s="44"/>
      <c r="B165" s="85">
        <v>42257</v>
      </c>
      <c r="C165" s="92"/>
      <c r="D165" s="48">
        <v>360000</v>
      </c>
    </row>
    <row r="166" spans="1:4" ht="18" customHeight="1" x14ac:dyDescent="0.25">
      <c r="A166" s="44"/>
      <c r="B166" s="85">
        <v>42258</v>
      </c>
      <c r="C166" s="92"/>
      <c r="D166" s="48">
        <v>360000</v>
      </c>
    </row>
    <row r="167" spans="1:4" ht="18" customHeight="1" x14ac:dyDescent="0.25">
      <c r="A167" s="44"/>
      <c r="B167" s="85">
        <v>42259</v>
      </c>
      <c r="C167" s="92"/>
      <c r="D167" s="48">
        <v>360000</v>
      </c>
    </row>
    <row r="168" spans="1:4" ht="18" customHeight="1" x14ac:dyDescent="0.25">
      <c r="A168" s="44"/>
      <c r="B168" s="85">
        <v>42260</v>
      </c>
      <c r="C168" s="92"/>
      <c r="D168" s="48">
        <v>360000</v>
      </c>
    </row>
    <row r="169" spans="1:4" ht="18" customHeight="1" x14ac:dyDescent="0.25">
      <c r="A169" s="44"/>
      <c r="B169" s="85">
        <v>42261</v>
      </c>
      <c r="C169" s="92"/>
      <c r="D169" s="48">
        <v>360000</v>
      </c>
    </row>
    <row r="170" spans="1:4" ht="18" customHeight="1" x14ac:dyDescent="0.25">
      <c r="A170" s="44"/>
      <c r="B170" s="85">
        <v>42262</v>
      </c>
      <c r="C170" s="92"/>
      <c r="D170" s="48">
        <v>360000</v>
      </c>
    </row>
  </sheetData>
  <mergeCells count="2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4"/>
  <sheetViews>
    <sheetView tabSelected="1" workbookViewId="0">
      <pane ySplit="1" topLeftCell="A2" activePane="bottomLeft" state="frozen"/>
      <selection pane="bottomLeft" activeCell="I24" sqref="I24"/>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158</v>
      </c>
      <c r="C1" s="112"/>
      <c r="D1" s="108"/>
      <c r="E1" s="108" t="s">
        <v>82</v>
      </c>
      <c r="F1" s="109" t="s">
        <v>85</v>
      </c>
      <c r="G1" s="109" t="s">
        <v>83</v>
      </c>
      <c r="H1" s="108" t="s">
        <v>57</v>
      </c>
      <c r="I1" s="109" t="s">
        <v>84</v>
      </c>
      <c r="J1" s="109" t="s">
        <v>65</v>
      </c>
      <c r="K1" s="110" t="s">
        <v>155</v>
      </c>
      <c r="L1" s="110" t="s">
        <v>166</v>
      </c>
    </row>
    <row r="2" spans="1:15" ht="18.95" customHeight="1" x14ac:dyDescent="0.25">
      <c r="A2" s="101"/>
      <c r="B2" s="101"/>
      <c r="C2" s="102"/>
      <c r="D2" s="103"/>
      <c r="E2" s="36" t="s">
        <v>10</v>
      </c>
      <c r="F2" s="99">
        <v>8.26</v>
      </c>
      <c r="G2" s="99">
        <v>11.06817142857143</v>
      </c>
      <c r="H2" s="100">
        <v>700</v>
      </c>
      <c r="I2" s="99">
        <v>7747.7200000000012</v>
      </c>
      <c r="J2" s="99">
        <v>-1965.7200000000012</v>
      </c>
      <c r="K2" s="116">
        <v>-0.25371593191287256</v>
      </c>
      <c r="L2" s="117" t="str">
        <f t="shared" ref="L2:L30" si="0">HYPERLINK("http://finance.yahoo.com/q?s=" &amp; E2, "Link")</f>
        <v>Link</v>
      </c>
    </row>
    <row r="3" spans="1:15" ht="18.95" customHeight="1" x14ac:dyDescent="0.25">
      <c r="A3" s="101"/>
      <c r="B3" s="101"/>
      <c r="C3" s="102"/>
      <c r="D3" s="103"/>
      <c r="E3" s="36" t="s">
        <v>18</v>
      </c>
      <c r="F3" s="99">
        <v>10.51</v>
      </c>
      <c r="G3" s="99">
        <v>29.640625</v>
      </c>
      <c r="H3" s="100">
        <v>80</v>
      </c>
      <c r="I3" s="99">
        <v>2371.25</v>
      </c>
      <c r="J3" s="99">
        <v>-1530.45</v>
      </c>
      <c r="K3" s="116">
        <v>-0.64541908276225624</v>
      </c>
      <c r="L3" s="117" t="str">
        <f t="shared" si="0"/>
        <v>Link</v>
      </c>
      <c r="N3" s="115"/>
      <c r="O3" s="115"/>
    </row>
    <row r="4" spans="1:15" ht="18.95" customHeight="1" x14ac:dyDescent="0.25">
      <c r="A4" s="101"/>
      <c r="B4" s="101"/>
      <c r="C4" s="102"/>
      <c r="D4" s="103"/>
      <c r="E4" s="36" t="s">
        <v>45</v>
      </c>
      <c r="F4" s="99">
        <v>57.4</v>
      </c>
      <c r="G4" s="99">
        <v>62.165999999999997</v>
      </c>
      <c r="H4" s="100">
        <v>100</v>
      </c>
      <c r="I4" s="99">
        <v>6216.5999999999995</v>
      </c>
      <c r="J4" s="99">
        <v>-476.59999999999945</v>
      </c>
      <c r="K4" s="116">
        <v>-7.6665701508863343E-2</v>
      </c>
      <c r="L4" s="117" t="str">
        <f t="shared" si="0"/>
        <v>Link</v>
      </c>
    </row>
    <row r="5" spans="1:15" ht="18.95" customHeight="1" x14ac:dyDescent="0.25">
      <c r="A5" s="101"/>
      <c r="B5" s="102"/>
      <c r="C5" s="102"/>
      <c r="D5" s="103"/>
      <c r="E5" s="36" t="s">
        <v>68</v>
      </c>
      <c r="F5" s="99">
        <v>8.18</v>
      </c>
      <c r="G5" s="99">
        <v>10.082500000000001</v>
      </c>
      <c r="H5" s="100">
        <v>120</v>
      </c>
      <c r="I5" s="99">
        <v>1209.9000000000001</v>
      </c>
      <c r="J5" s="99">
        <v>-228.30000000000018</v>
      </c>
      <c r="K5" s="116">
        <v>-0.18869328043639985</v>
      </c>
      <c r="L5" s="117" t="str">
        <f t="shared" si="0"/>
        <v>Link</v>
      </c>
      <c r="N5" s="115"/>
      <c r="O5" s="115"/>
    </row>
    <row r="6" spans="1:15" ht="18.95" customHeight="1" x14ac:dyDescent="0.25">
      <c r="A6" s="101"/>
      <c r="B6" s="101"/>
      <c r="C6" s="102"/>
      <c r="D6" s="103"/>
      <c r="E6" s="36" t="s">
        <v>33</v>
      </c>
      <c r="F6" s="99">
        <v>116.2</v>
      </c>
      <c r="G6" s="99">
        <v>124.15200000000002</v>
      </c>
      <c r="H6" s="100">
        <v>60</v>
      </c>
      <c r="I6" s="99">
        <v>7449.1200000000008</v>
      </c>
      <c r="J6" s="99">
        <v>-473.1200000000008</v>
      </c>
      <c r="K6" s="116">
        <v>-6.4050518718989716E-2</v>
      </c>
      <c r="L6" s="117" t="str">
        <f t="shared" si="0"/>
        <v>Link</v>
      </c>
    </row>
    <row r="7" spans="1:15" ht="18.95" customHeight="1" x14ac:dyDescent="0.25">
      <c r="A7" s="102"/>
      <c r="B7" s="101"/>
      <c r="C7" s="102"/>
      <c r="D7" s="103"/>
      <c r="E7" s="36" t="s">
        <v>62</v>
      </c>
      <c r="F7" s="99">
        <v>298.25</v>
      </c>
      <c r="G7" s="99">
        <v>320</v>
      </c>
      <c r="H7" s="100">
        <v>5</v>
      </c>
      <c r="I7" s="99">
        <v>1600</v>
      </c>
      <c r="J7" s="99">
        <v>-108.75</v>
      </c>
      <c r="K7" s="116">
        <v>-6.7968749999999994E-2</v>
      </c>
      <c r="L7" s="117" t="str">
        <f t="shared" si="0"/>
        <v>Link</v>
      </c>
      <c r="N7" s="115"/>
      <c r="O7" s="115"/>
    </row>
    <row r="8" spans="1:15" ht="18.95" customHeight="1" x14ac:dyDescent="0.25">
      <c r="A8" s="101"/>
      <c r="B8" s="101"/>
      <c r="C8" s="102"/>
      <c r="D8" s="103"/>
      <c r="E8" s="36" t="s">
        <v>11</v>
      </c>
      <c r="F8" s="99">
        <v>129.66999999999999</v>
      </c>
      <c r="G8" s="99">
        <v>150.67140000000001</v>
      </c>
      <c r="H8" s="100">
        <v>50</v>
      </c>
      <c r="I8" s="99">
        <v>7533.5700000000006</v>
      </c>
      <c r="J8" s="99">
        <v>-1050.0700000000015</v>
      </c>
      <c r="K8" s="116">
        <v>-0.13938544408560627</v>
      </c>
      <c r="L8" s="117" t="str">
        <f t="shared" si="0"/>
        <v>Link</v>
      </c>
    </row>
    <row r="9" spans="1:15" ht="18.95" customHeight="1" x14ac:dyDescent="0.25">
      <c r="A9" s="101"/>
      <c r="B9" s="101"/>
      <c r="C9" s="102"/>
      <c r="D9" s="103"/>
      <c r="E9" s="36" t="s">
        <v>52</v>
      </c>
      <c r="F9" s="99">
        <v>83.55</v>
      </c>
      <c r="G9" s="99">
        <v>82.314999999999998</v>
      </c>
      <c r="H9" s="100">
        <v>40</v>
      </c>
      <c r="I9" s="99">
        <v>3292.6</v>
      </c>
      <c r="J9" s="99">
        <v>49.400000000000091</v>
      </c>
      <c r="K9" s="116">
        <v>1.5003340824880028E-2</v>
      </c>
      <c r="L9" s="117" t="str">
        <f t="shared" si="0"/>
        <v>Link</v>
      </c>
      <c r="O9" s="36"/>
    </row>
    <row r="10" spans="1:15" ht="18.95" customHeight="1" x14ac:dyDescent="0.25">
      <c r="A10" s="101"/>
      <c r="B10" s="101"/>
      <c r="C10" s="102"/>
      <c r="D10" s="103"/>
      <c r="E10" s="36" t="s">
        <v>17</v>
      </c>
      <c r="F10" s="99">
        <v>15.44</v>
      </c>
      <c r="G10" s="99">
        <v>18.047226190476191</v>
      </c>
      <c r="H10" s="100">
        <v>4200</v>
      </c>
      <c r="I10" s="99">
        <v>64848</v>
      </c>
      <c r="J10" s="99">
        <v>-10950.350000000006</v>
      </c>
      <c r="K10" s="116">
        <v>-0.14446686504389614</v>
      </c>
      <c r="L10" s="117" t="str">
        <f t="shared" si="0"/>
        <v>Link</v>
      </c>
    </row>
    <row r="11" spans="1:15" ht="18.95" customHeight="1" x14ac:dyDescent="0.25">
      <c r="A11" s="101"/>
      <c r="B11" s="101"/>
      <c r="C11" s="102"/>
      <c r="D11" s="103"/>
      <c r="E11" s="36" t="s">
        <v>19</v>
      </c>
      <c r="F11" s="99">
        <v>34.43</v>
      </c>
      <c r="G11" s="99">
        <v>32.507843137254902</v>
      </c>
      <c r="H11" s="100">
        <v>51</v>
      </c>
      <c r="I11" s="99">
        <v>1657.9</v>
      </c>
      <c r="J11" s="99">
        <v>105.75999999999998</v>
      </c>
      <c r="K11" s="116">
        <v>5.912901863803606E-2</v>
      </c>
      <c r="L11" s="117" t="str">
        <f t="shared" si="0"/>
        <v>Link</v>
      </c>
    </row>
    <row r="12" spans="1:15" ht="18.95" customHeight="1" x14ac:dyDescent="0.25">
      <c r="A12" s="113"/>
      <c r="B12" s="114"/>
      <c r="C12" s="113"/>
      <c r="D12" s="103"/>
      <c r="E12" s="36" t="s">
        <v>63</v>
      </c>
      <c r="F12" s="99">
        <v>99.23</v>
      </c>
      <c r="G12" s="99">
        <v>110.09500000000001</v>
      </c>
      <c r="H12" s="100">
        <v>30</v>
      </c>
      <c r="I12" s="99">
        <v>3302.8500000000004</v>
      </c>
      <c r="J12" s="99">
        <v>-325.95000000000027</v>
      </c>
      <c r="K12" s="116">
        <v>-9.8687497161542376E-2</v>
      </c>
      <c r="L12" s="117" t="str">
        <f t="shared" si="0"/>
        <v>Link</v>
      </c>
    </row>
    <row r="13" spans="1:15" ht="18.95" customHeight="1" x14ac:dyDescent="0.25">
      <c r="A13" s="101"/>
      <c r="B13" s="101"/>
      <c r="C13" s="102"/>
      <c r="D13" s="103"/>
      <c r="E13" s="36" t="s">
        <v>55</v>
      </c>
      <c r="F13" s="99">
        <v>106.96</v>
      </c>
      <c r="G13" s="99">
        <v>113.01000000000002</v>
      </c>
      <c r="H13" s="100">
        <v>10</v>
      </c>
      <c r="I13" s="99">
        <v>1130.1000000000001</v>
      </c>
      <c r="J13" s="99">
        <v>-60.500000000000227</v>
      </c>
      <c r="K13" s="116">
        <v>-5.3535085390673608E-2</v>
      </c>
      <c r="L13" s="117" t="str">
        <f t="shared" si="0"/>
        <v>Link</v>
      </c>
    </row>
    <row r="14" spans="1:15" ht="18.95" customHeight="1" x14ac:dyDescent="0.25">
      <c r="A14" s="101"/>
      <c r="B14" s="101"/>
      <c r="C14" s="102"/>
      <c r="D14" s="103"/>
      <c r="E14" s="36" t="s">
        <v>56</v>
      </c>
      <c r="F14" s="99">
        <v>28.1</v>
      </c>
      <c r="G14" s="99">
        <v>30.987500000000001</v>
      </c>
      <c r="H14" s="100">
        <v>40</v>
      </c>
      <c r="I14" s="99">
        <v>1239.5</v>
      </c>
      <c r="J14" s="99">
        <v>-115.5</v>
      </c>
      <c r="K14" s="116">
        <v>-9.3182734973779727E-2</v>
      </c>
      <c r="L14" s="117" t="str">
        <f t="shared" si="0"/>
        <v>Link</v>
      </c>
      <c r="N14" s="115"/>
      <c r="O14" s="115"/>
    </row>
    <row r="15" spans="1:15" ht="18.95" customHeight="1" x14ac:dyDescent="0.25">
      <c r="A15" s="101"/>
      <c r="B15" s="101"/>
      <c r="C15" s="102"/>
      <c r="D15" s="103"/>
      <c r="E15" s="36" t="s">
        <v>22</v>
      </c>
      <c r="F15" s="99">
        <v>51.22</v>
      </c>
      <c r="G15" s="99">
        <v>59.963000000000008</v>
      </c>
      <c r="H15" s="100">
        <v>180</v>
      </c>
      <c r="I15" s="99">
        <v>10793.340000000002</v>
      </c>
      <c r="J15" s="99">
        <v>-1568.7400000000016</v>
      </c>
      <c r="K15" s="116">
        <v>-0.14580658072478042</v>
      </c>
      <c r="L15" s="117" t="str">
        <f t="shared" si="0"/>
        <v>Link</v>
      </c>
    </row>
    <row r="16" spans="1:15" ht="18.95" customHeight="1" x14ac:dyDescent="0.25">
      <c r="A16" s="102"/>
      <c r="B16" s="102"/>
      <c r="C16" s="102"/>
      <c r="D16" s="103"/>
      <c r="E16" s="36" t="s">
        <v>27</v>
      </c>
      <c r="F16" s="99">
        <v>27.3</v>
      </c>
      <c r="G16" s="99">
        <v>29.610555555555557</v>
      </c>
      <c r="H16" s="100">
        <v>900</v>
      </c>
      <c r="I16" s="99">
        <v>26649.5</v>
      </c>
      <c r="J16" s="99">
        <v>-2079.5</v>
      </c>
      <c r="K16" s="116">
        <v>-7.8031482767031299E-2</v>
      </c>
      <c r="L16" s="117" t="str">
        <f t="shared" si="0"/>
        <v>Link</v>
      </c>
    </row>
    <row r="17" spans="1:15" ht="18.95" customHeight="1" x14ac:dyDescent="0.25">
      <c r="A17" s="101"/>
      <c r="B17" s="101"/>
      <c r="C17" s="102"/>
      <c r="D17" s="103"/>
      <c r="E17" s="36" t="s">
        <v>15</v>
      </c>
      <c r="F17" s="99">
        <v>17.739999999999998</v>
      </c>
      <c r="G17" s="99">
        <v>21.353833333333331</v>
      </c>
      <c r="H17" s="100">
        <v>120</v>
      </c>
      <c r="I17" s="99">
        <v>2562.4599999999996</v>
      </c>
      <c r="J17" s="99">
        <v>-433.65999999999985</v>
      </c>
      <c r="K17" s="116">
        <v>-0.16923581246146277</v>
      </c>
      <c r="L17" s="117" t="str">
        <f t="shared" si="0"/>
        <v>Link</v>
      </c>
      <c r="N17" s="115"/>
      <c r="O17" s="115"/>
    </row>
    <row r="18" spans="1:15" ht="18.95" customHeight="1" x14ac:dyDescent="0.25">
      <c r="A18" s="101"/>
      <c r="B18" s="101"/>
      <c r="C18" s="102"/>
      <c r="D18" s="103"/>
      <c r="E18" s="36" t="s">
        <v>24</v>
      </c>
      <c r="F18" s="99">
        <v>41.07</v>
      </c>
      <c r="G18" s="99">
        <v>48.684999999999988</v>
      </c>
      <c r="H18" s="100">
        <v>40</v>
      </c>
      <c r="I18" s="99">
        <v>1947.3999999999996</v>
      </c>
      <c r="J18" s="99">
        <v>-304.59999999999968</v>
      </c>
      <c r="K18" s="116">
        <v>-0.15641367977816556</v>
      </c>
      <c r="L18" s="117" t="str">
        <f t="shared" si="0"/>
        <v>Link</v>
      </c>
    </row>
    <row r="19" spans="1:15" ht="18.95" customHeight="1" x14ac:dyDescent="0.25">
      <c r="A19" s="101"/>
      <c r="B19" s="101"/>
      <c r="C19" s="102"/>
      <c r="D19" s="103"/>
      <c r="E19" s="36" t="s">
        <v>50</v>
      </c>
      <c r="F19" s="99">
        <v>14.65</v>
      </c>
      <c r="G19" s="99">
        <v>24.810221176470588</v>
      </c>
      <c r="H19" s="100">
        <v>4250</v>
      </c>
      <c r="I19" s="99">
        <v>105443.44</v>
      </c>
      <c r="J19" s="99">
        <v>-43180.94</v>
      </c>
      <c r="K19" s="116">
        <v>-0.40951755746967283</v>
      </c>
      <c r="L19" s="117" t="str">
        <f t="shared" si="0"/>
        <v>Link</v>
      </c>
    </row>
    <row r="20" spans="1:15" ht="18.95" customHeight="1" x14ac:dyDescent="0.25">
      <c r="A20" s="101"/>
      <c r="B20" s="102"/>
      <c r="C20" s="102"/>
      <c r="D20" s="103"/>
      <c r="E20" s="36" t="s">
        <v>34</v>
      </c>
      <c r="F20" s="99">
        <v>14.42</v>
      </c>
      <c r="G20" s="99">
        <v>18.088346253229975</v>
      </c>
      <c r="H20" s="100">
        <v>3870</v>
      </c>
      <c r="I20" s="99">
        <v>70001.900000000009</v>
      </c>
      <c r="J20" s="99">
        <v>-14196.500000000007</v>
      </c>
      <c r="K20" s="116">
        <v>-0.20280163824124778</v>
      </c>
      <c r="L20" s="117" t="str">
        <f t="shared" si="0"/>
        <v>Link</v>
      </c>
      <c r="N20" s="115"/>
      <c r="O20" s="115"/>
    </row>
    <row r="21" spans="1:15" ht="18.95" customHeight="1" x14ac:dyDescent="0.25">
      <c r="A21" s="101"/>
      <c r="B21" s="101"/>
      <c r="C21" s="102"/>
      <c r="D21" s="103"/>
      <c r="E21" s="36" t="s">
        <v>47</v>
      </c>
      <c r="F21" s="99">
        <v>74.12</v>
      </c>
      <c r="G21" s="99">
        <v>84.788333333333341</v>
      </c>
      <c r="H21" s="100">
        <v>60</v>
      </c>
      <c r="I21" s="99">
        <v>5087.3</v>
      </c>
      <c r="J21" s="99">
        <v>-640.09999999999945</v>
      </c>
      <c r="K21" s="116">
        <v>-0.1258231281819433</v>
      </c>
      <c r="L21" s="117" t="str">
        <f t="shared" si="0"/>
        <v>Link</v>
      </c>
      <c r="N21" s="115"/>
      <c r="O21" s="115"/>
    </row>
    <row r="22" spans="1:15" ht="18.95" customHeight="1" x14ac:dyDescent="0.25">
      <c r="A22" s="101"/>
      <c r="B22" s="101"/>
      <c r="C22" s="102"/>
      <c r="D22" s="103"/>
      <c r="E22" s="36" t="s">
        <v>26</v>
      </c>
      <c r="F22" s="99">
        <v>5.12</v>
      </c>
      <c r="G22" s="99">
        <v>5.8967111111111112</v>
      </c>
      <c r="H22" s="100">
        <v>450</v>
      </c>
      <c r="I22" s="99">
        <v>2653.52</v>
      </c>
      <c r="J22" s="99">
        <v>-349.52</v>
      </c>
      <c r="K22" s="116">
        <v>-0.13171937652627452</v>
      </c>
      <c r="L22" s="117" t="str">
        <f t="shared" si="0"/>
        <v>Link</v>
      </c>
    </row>
    <row r="23" spans="1:15" ht="18.95" customHeight="1" x14ac:dyDescent="0.25">
      <c r="A23" s="101"/>
      <c r="B23" s="101"/>
      <c r="C23" s="102"/>
      <c r="D23" s="103"/>
      <c r="E23" s="36" t="s">
        <v>23</v>
      </c>
      <c r="F23" s="99">
        <v>34.36</v>
      </c>
      <c r="G23" s="99">
        <v>33.880000000000017</v>
      </c>
      <c r="H23" s="100">
        <v>40</v>
      </c>
      <c r="I23" s="99">
        <v>1355.2000000000007</v>
      </c>
      <c r="J23" s="99">
        <v>19.199999999999363</v>
      </c>
      <c r="K23" s="116">
        <v>1.4167650531286376E-2</v>
      </c>
      <c r="L23" s="117" t="str">
        <f t="shared" si="0"/>
        <v>Link</v>
      </c>
    </row>
    <row r="24" spans="1:15" ht="18.95" customHeight="1" x14ac:dyDescent="0.25">
      <c r="A24" s="101"/>
      <c r="B24" s="101"/>
      <c r="C24" s="102"/>
      <c r="D24" s="103"/>
      <c r="E24" s="36" t="s">
        <v>35</v>
      </c>
      <c r="F24" s="99">
        <v>43.05</v>
      </c>
      <c r="G24" s="99">
        <v>47.585714285714289</v>
      </c>
      <c r="H24" s="100">
        <v>35</v>
      </c>
      <c r="I24" s="99">
        <v>1665.5</v>
      </c>
      <c r="J24" s="99">
        <v>-158.75</v>
      </c>
      <c r="K24" s="116">
        <v>-9.5316721705193758E-2</v>
      </c>
      <c r="L24" s="117" t="str">
        <f t="shared" si="0"/>
        <v>Link</v>
      </c>
    </row>
    <row r="25" spans="1:15" ht="18.95" customHeight="1" x14ac:dyDescent="0.25">
      <c r="A25" s="101"/>
      <c r="B25" s="101"/>
      <c r="C25" s="102"/>
      <c r="D25" s="103"/>
      <c r="E25" s="36" t="s">
        <v>44</v>
      </c>
      <c r="F25" s="99">
        <v>69.14</v>
      </c>
      <c r="G25" s="99">
        <v>62.05</v>
      </c>
      <c r="H25" s="100">
        <v>5</v>
      </c>
      <c r="I25" s="99">
        <v>310.25</v>
      </c>
      <c r="J25" s="99">
        <v>35.449999999999989</v>
      </c>
      <c r="K25" s="116">
        <v>0.1142626913779211</v>
      </c>
      <c r="L25" s="117" t="str">
        <f t="shared" si="0"/>
        <v>Link</v>
      </c>
    </row>
    <row r="26" spans="1:15" ht="18.95" customHeight="1" x14ac:dyDescent="0.25">
      <c r="A26" s="101"/>
      <c r="B26" s="101"/>
      <c r="C26" s="102"/>
      <c r="D26" s="103"/>
      <c r="E26" s="36" t="s">
        <v>39</v>
      </c>
      <c r="F26" s="99">
        <v>29.97</v>
      </c>
      <c r="G26" s="99">
        <v>33.587499999999999</v>
      </c>
      <c r="H26" s="100">
        <v>80</v>
      </c>
      <c r="I26" s="99">
        <v>2687</v>
      </c>
      <c r="J26" s="99">
        <v>-289.40000000000009</v>
      </c>
      <c r="K26" s="116">
        <v>-0.10770375883885373</v>
      </c>
      <c r="L26" s="117" t="str">
        <f t="shared" si="0"/>
        <v>Link</v>
      </c>
    </row>
    <row r="27" spans="1:15" ht="18.95" customHeight="1" x14ac:dyDescent="0.25">
      <c r="A27" s="101"/>
      <c r="B27" s="101"/>
      <c r="C27" s="102"/>
      <c r="D27" s="103"/>
      <c r="E27" s="36" t="s">
        <v>51</v>
      </c>
      <c r="F27" s="99">
        <v>113.46</v>
      </c>
      <c r="G27" s="99">
        <v>119.52666666666667</v>
      </c>
      <c r="H27" s="100">
        <v>15</v>
      </c>
      <c r="I27" s="99">
        <v>1792.9</v>
      </c>
      <c r="J27" s="99">
        <v>-91.000000000000227</v>
      </c>
      <c r="K27" s="116">
        <v>-5.0755758826482318E-2</v>
      </c>
      <c r="L27" s="117" t="str">
        <f t="shared" si="0"/>
        <v>Link</v>
      </c>
      <c r="N27" s="115"/>
      <c r="O27" s="115"/>
    </row>
    <row r="28" spans="1:15" ht="18.95" customHeight="1" x14ac:dyDescent="0.25">
      <c r="A28" s="101"/>
      <c r="B28" s="101"/>
      <c r="C28" s="102"/>
      <c r="D28" s="103"/>
      <c r="E28" s="36" t="s">
        <v>42</v>
      </c>
      <c r="F28" s="99">
        <v>84.1</v>
      </c>
      <c r="G28" s="99">
        <v>96.710833333333326</v>
      </c>
      <c r="H28" s="100">
        <v>60</v>
      </c>
      <c r="I28" s="99">
        <v>5802.65</v>
      </c>
      <c r="J28" s="99">
        <v>-756.64999999999964</v>
      </c>
      <c r="K28" s="116">
        <v>-0.13039731846656269</v>
      </c>
      <c r="L28" s="117" t="str">
        <f t="shared" si="0"/>
        <v>Link</v>
      </c>
      <c r="N28" s="115"/>
      <c r="O28" s="115"/>
    </row>
    <row r="29" spans="1:15" ht="18.95" customHeight="1" x14ac:dyDescent="0.25">
      <c r="A29" s="101"/>
      <c r="B29" s="101"/>
      <c r="C29" s="102"/>
      <c r="D29" s="103"/>
      <c r="E29" s="36" t="s">
        <v>54</v>
      </c>
      <c r="F29" s="99">
        <v>91.56</v>
      </c>
      <c r="G29" s="99">
        <v>97.993999999999986</v>
      </c>
      <c r="H29" s="100">
        <v>5</v>
      </c>
      <c r="I29" s="99">
        <v>489.96999999999991</v>
      </c>
      <c r="J29" s="99">
        <v>-32.169999999999902</v>
      </c>
      <c r="K29" s="116">
        <v>-6.5657081045778151E-2</v>
      </c>
      <c r="L29" s="117" t="str">
        <f t="shared" si="0"/>
        <v>Link</v>
      </c>
    </row>
    <row r="30" spans="1:15" ht="18.95" customHeight="1" x14ac:dyDescent="0.25">
      <c r="A30" s="101"/>
      <c r="B30" s="101"/>
      <c r="C30" s="102"/>
      <c r="D30" s="103"/>
      <c r="E30" s="36" t="s">
        <v>53</v>
      </c>
      <c r="F30" s="99">
        <v>43.97</v>
      </c>
      <c r="G30" s="99">
        <v>47.628571428571426</v>
      </c>
      <c r="H30" s="100">
        <v>35</v>
      </c>
      <c r="I30" s="99">
        <v>1667</v>
      </c>
      <c r="J30" s="99">
        <v>-128.04999999999995</v>
      </c>
      <c r="K30" s="116">
        <v>-7.6814637072585457E-2</v>
      </c>
      <c r="L30" s="117" t="str">
        <f t="shared" si="0"/>
        <v>Link</v>
      </c>
      <c r="O30" s="115"/>
    </row>
    <row r="31" spans="1:15" ht="18.95" customHeight="1" x14ac:dyDescent="0.25">
      <c r="A31" s="101"/>
      <c r="B31" s="101"/>
      <c r="C31" s="102"/>
      <c r="D31" s="103"/>
      <c r="E31" s="36"/>
      <c r="K31" s="116"/>
      <c r="L31" s="117"/>
      <c r="N31" s="115"/>
      <c r="O31" s="115"/>
    </row>
    <row r="32" spans="1:15" ht="18.95" customHeight="1" x14ac:dyDescent="0.25">
      <c r="A32" s="104"/>
      <c r="D32" s="103"/>
    </row>
    <row r="33" spans="1:4" ht="18.95" customHeight="1" x14ac:dyDescent="0.25">
      <c r="A33" s="104"/>
      <c r="D33" s="103"/>
    </row>
    <row r="34" spans="1:4" ht="18.95" customHeight="1" x14ac:dyDescent="0.25">
      <c r="A34" s="104"/>
    </row>
  </sheetData>
  <sortState ref="E2:L30">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4"/>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157</v>
      </c>
      <c r="F1" s="34" t="s">
        <v>60</v>
      </c>
      <c r="G1" s="20" t="s">
        <v>3</v>
      </c>
      <c r="H1" s="34" t="s">
        <v>6</v>
      </c>
      <c r="I1" s="20" t="s">
        <v>156</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O2" s="20" t="s">
        <v>57</v>
      </c>
      <c r="Q2">
        <f>C26-H26</f>
        <v>4250</v>
      </c>
      <c r="T2" s="72">
        <v>42233</v>
      </c>
      <c r="U2" t="s">
        <v>142</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(F26-K26)/Q2</f>
        <v>24.810221176470588</v>
      </c>
      <c r="T3" s="72">
        <v>42257</v>
      </c>
      <c r="U3" t="s">
        <v>143</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14.65</v>
      </c>
    </row>
    <row r="5" spans="1:21" x14ac:dyDescent="0.25">
      <c r="B5" s="1">
        <v>42187</v>
      </c>
      <c r="C5">
        <v>3000</v>
      </c>
      <c r="D5" s="2">
        <v>27.04</v>
      </c>
      <c r="F5" s="2">
        <f t="shared" si="0"/>
        <v>81120</v>
      </c>
      <c r="G5" s="1">
        <v>42227</v>
      </c>
      <c r="H5" s="80">
        <v>200</v>
      </c>
      <c r="I5" s="11"/>
      <c r="J5" s="80">
        <v>18.7</v>
      </c>
      <c r="K5" s="2">
        <f>H5*J5</f>
        <v>3740</v>
      </c>
      <c r="O5" s="20" t="s">
        <v>67</v>
      </c>
      <c r="Q5" s="5">
        <f>Q4*Q2</f>
        <v>62262.5</v>
      </c>
      <c r="T5" s="138">
        <v>42256</v>
      </c>
      <c r="U5" t="s">
        <v>210</v>
      </c>
    </row>
    <row r="6" spans="1:21" x14ac:dyDescent="0.25">
      <c r="B6" s="1">
        <v>42198</v>
      </c>
      <c r="C6">
        <v>100</v>
      </c>
      <c r="D6" s="2">
        <v>24.77</v>
      </c>
      <c r="F6" s="2">
        <f t="shared" si="0"/>
        <v>2477</v>
      </c>
      <c r="O6" s="20" t="s">
        <v>64</v>
      </c>
      <c r="Q6" s="2">
        <f>Q3*Q2</f>
        <v>105443.44</v>
      </c>
    </row>
    <row r="7" spans="1:21" x14ac:dyDescent="0.25">
      <c r="B7" s="1">
        <v>42205</v>
      </c>
      <c r="C7" s="10">
        <v>50</v>
      </c>
      <c r="D7" s="25">
        <v>24.35</v>
      </c>
      <c r="E7" s="25"/>
      <c r="F7" s="2">
        <f t="shared" si="0"/>
        <v>1217.5</v>
      </c>
      <c r="O7" s="20" t="s">
        <v>65</v>
      </c>
      <c r="Q7" s="2">
        <f>Q5-Q6+M26</f>
        <v>-43180.94</v>
      </c>
      <c r="T7" s="72">
        <v>42311</v>
      </c>
      <c r="U7" t="s">
        <v>126</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14.65</v>
      </c>
      <c r="P18">
        <v>1.1000000000000001</v>
      </c>
      <c r="Q18" s="2"/>
    </row>
    <row r="19" spans="1:17" x14ac:dyDescent="0.25">
      <c r="B19" s="1">
        <v>42227</v>
      </c>
      <c r="C19" s="11">
        <v>200</v>
      </c>
      <c r="D19" s="80">
        <v>19.55</v>
      </c>
      <c r="E19" s="80"/>
      <c r="F19" s="2">
        <f t="shared" si="0"/>
        <v>3910</v>
      </c>
      <c r="O19" s="2">
        <f t="shared" si="1"/>
        <v>14.65</v>
      </c>
      <c r="P19">
        <v>1.05</v>
      </c>
      <c r="Q19" s="2"/>
    </row>
    <row r="20" spans="1:17" x14ac:dyDescent="0.25">
      <c r="B20" s="1">
        <v>42234</v>
      </c>
      <c r="C20">
        <v>40</v>
      </c>
      <c r="D20" s="2">
        <v>18.149999999999999</v>
      </c>
      <c r="F20" s="2">
        <f t="shared" si="0"/>
        <v>726</v>
      </c>
      <c r="O20" s="2">
        <f t="shared" si="1"/>
        <v>14.65</v>
      </c>
      <c r="P20">
        <v>1.04</v>
      </c>
      <c r="Q20" s="2"/>
    </row>
    <row r="21" spans="1:17" x14ac:dyDescent="0.25">
      <c r="B21" s="1">
        <v>42234</v>
      </c>
      <c r="C21">
        <v>100</v>
      </c>
      <c r="D21" s="2">
        <v>18</v>
      </c>
      <c r="F21" s="2">
        <f t="shared" si="0"/>
        <v>1800</v>
      </c>
      <c r="O21" s="2">
        <f t="shared" si="1"/>
        <v>14.65</v>
      </c>
      <c r="P21" s="2">
        <v>1.03</v>
      </c>
      <c r="Q21" s="2"/>
    </row>
    <row r="22" spans="1:17" x14ac:dyDescent="0.25">
      <c r="B22" s="1">
        <v>42235</v>
      </c>
      <c r="C22">
        <v>100</v>
      </c>
      <c r="D22" s="2">
        <v>17.78</v>
      </c>
      <c r="F22" s="2">
        <f t="shared" si="0"/>
        <v>1778</v>
      </c>
      <c r="O22" s="2">
        <f t="shared" si="1"/>
        <v>14.65</v>
      </c>
      <c r="P22" s="2">
        <v>1.02</v>
      </c>
      <c r="Q22" s="2"/>
    </row>
    <row r="23" spans="1:17" x14ac:dyDescent="0.25">
      <c r="B23" s="1">
        <v>42235</v>
      </c>
      <c r="C23">
        <v>100</v>
      </c>
      <c r="D23" s="2">
        <v>17.68</v>
      </c>
      <c r="F23" s="2">
        <f t="shared" si="0"/>
        <v>1768</v>
      </c>
      <c r="O23" s="2">
        <f t="shared" si="1"/>
        <v>14.65</v>
      </c>
      <c r="P23" s="2">
        <v>1.01</v>
      </c>
      <c r="Q23" s="2"/>
    </row>
    <row r="24" spans="1:17" x14ac:dyDescent="0.25">
      <c r="B24" s="1">
        <v>42240</v>
      </c>
      <c r="C24">
        <v>100</v>
      </c>
      <c r="D24" s="2">
        <v>16.649999999999999</v>
      </c>
      <c r="F24" s="2">
        <f t="shared" si="0"/>
        <v>1664.9999999999998</v>
      </c>
      <c r="O24" s="2">
        <f t="shared" si="1"/>
        <v>14.65</v>
      </c>
      <c r="P24" s="2">
        <v>1</v>
      </c>
      <c r="Q24" s="2"/>
    </row>
    <row r="25" spans="1:17" x14ac:dyDescent="0.25">
      <c r="B25" s="1">
        <v>42240</v>
      </c>
      <c r="C25">
        <v>100</v>
      </c>
      <c r="D25" s="2">
        <v>16.100000000000001</v>
      </c>
      <c r="F25" s="2">
        <f t="shared" si="0"/>
        <v>1610.0000000000002</v>
      </c>
      <c r="O25" s="2">
        <f t="shared" si="1"/>
        <v>14.65</v>
      </c>
      <c r="P25" s="2">
        <v>0.99</v>
      </c>
      <c r="Q25" s="2"/>
    </row>
    <row r="26" spans="1:17" x14ac:dyDescent="0.25">
      <c r="A26" s="57" t="s">
        <v>114</v>
      </c>
      <c r="B26" s="24"/>
      <c r="C26" s="24">
        <f>SUM(C2:C25)</f>
        <v>6752</v>
      </c>
      <c r="D26" s="24"/>
      <c r="E26" s="24"/>
      <c r="F26" s="24">
        <f t="shared" ref="F26:K26" si="2">SUM(F2:F25)</f>
        <v>170372</v>
      </c>
      <c r="G26" s="24"/>
      <c r="H26" s="31">
        <f t="shared" si="2"/>
        <v>2502</v>
      </c>
      <c r="I26" s="24"/>
      <c r="J26" s="24"/>
      <c r="K26" s="24">
        <f t="shared" si="2"/>
        <v>64928.56</v>
      </c>
      <c r="L26" s="24"/>
      <c r="M26" s="24">
        <f>SUM(M2:M12)</f>
        <v>0</v>
      </c>
      <c r="O26" s="2">
        <f t="shared" si="1"/>
        <v>14.65</v>
      </c>
      <c r="P26" s="2">
        <v>0.98</v>
      </c>
      <c r="Q26" s="2"/>
    </row>
    <row r="27" spans="1:17" x14ac:dyDescent="0.25">
      <c r="O27" s="2">
        <f t="shared" si="1"/>
        <v>14.65</v>
      </c>
      <c r="P27" s="2">
        <v>0.97</v>
      </c>
      <c r="Q27" s="2"/>
    </row>
    <row r="28" spans="1:17" x14ac:dyDescent="0.25">
      <c r="O28" s="2">
        <f t="shared" si="1"/>
        <v>14.65</v>
      </c>
      <c r="P28" s="2">
        <v>0.96</v>
      </c>
      <c r="Q28" s="2"/>
    </row>
    <row r="29" spans="1:17" x14ac:dyDescent="0.25">
      <c r="O29" s="2">
        <f t="shared" si="1"/>
        <v>14.65</v>
      </c>
      <c r="P29" s="2">
        <v>0.95</v>
      </c>
      <c r="Q29" s="2"/>
    </row>
    <row r="30" spans="1:17" x14ac:dyDescent="0.25">
      <c r="O30" s="2">
        <f t="shared" si="1"/>
        <v>14.65</v>
      </c>
      <c r="P30" s="2">
        <v>0.9</v>
      </c>
      <c r="Q30" s="2"/>
    </row>
    <row r="31" spans="1:17" x14ac:dyDescent="0.25">
      <c r="Q31" s="2"/>
    </row>
    <row r="32" spans="1:17" x14ac:dyDescent="0.25">
      <c r="Q32" s="2"/>
    </row>
    <row r="42" spans="1:1" x14ac:dyDescent="0.25">
      <c r="A42" t="s">
        <v>90</v>
      </c>
    </row>
    <row r="43" spans="1:1" x14ac:dyDescent="0.25">
      <c r="A43" t="s">
        <v>91</v>
      </c>
    </row>
    <row r="44" spans="1:1" x14ac:dyDescent="0.25">
      <c r="A44" t="s">
        <v>92</v>
      </c>
    </row>
    <row r="45" spans="1:1" x14ac:dyDescent="0.25">
      <c r="A45" t="s">
        <v>93</v>
      </c>
    </row>
    <row r="46" spans="1:1" x14ac:dyDescent="0.25">
      <c r="A46" t="s">
        <v>94</v>
      </c>
    </row>
    <row r="47" spans="1:1" x14ac:dyDescent="0.25">
      <c r="A47" t="s">
        <v>95</v>
      </c>
    </row>
    <row r="48" spans="1:1" x14ac:dyDescent="0.25">
      <c r="A48" t="s">
        <v>96</v>
      </c>
    </row>
    <row r="49" spans="1:1" x14ac:dyDescent="0.25">
      <c r="A49" t="s">
        <v>97</v>
      </c>
    </row>
    <row r="50" spans="1:1" x14ac:dyDescent="0.25">
      <c r="A50" t="s">
        <v>98</v>
      </c>
    </row>
    <row r="52" spans="1:1" x14ac:dyDescent="0.25">
      <c r="A52" t="s">
        <v>99</v>
      </c>
    </row>
    <row r="53" spans="1:1" x14ac:dyDescent="0.25">
      <c r="A53" t="s">
        <v>100</v>
      </c>
    </row>
    <row r="54" spans="1:1" x14ac:dyDescent="0.25">
      <c r="A54" t="s">
        <v>101</v>
      </c>
    </row>
    <row r="55" spans="1:1" x14ac:dyDescent="0.25">
      <c r="A55" t="s">
        <v>102</v>
      </c>
    </row>
    <row r="56" spans="1:1" x14ac:dyDescent="0.25">
      <c r="A56" t="s">
        <v>103</v>
      </c>
    </row>
    <row r="57" spans="1:1" x14ac:dyDescent="0.25">
      <c r="A57" t="s">
        <v>104</v>
      </c>
    </row>
    <row r="58" spans="1:1" x14ac:dyDescent="0.25">
      <c r="A58" t="s">
        <v>105</v>
      </c>
    </row>
    <row r="59" spans="1:1" x14ac:dyDescent="0.25">
      <c r="A59" t="s">
        <v>106</v>
      </c>
    </row>
    <row r="60" spans="1:1" x14ac:dyDescent="0.25">
      <c r="A60" t="s">
        <v>107</v>
      </c>
    </row>
    <row r="61" spans="1:1" x14ac:dyDescent="0.25">
      <c r="A61" t="s">
        <v>38</v>
      </c>
    </row>
    <row r="62" spans="1:1" x14ac:dyDescent="0.25">
      <c r="A62" t="s">
        <v>108</v>
      </c>
    </row>
    <row r="63" spans="1:1" x14ac:dyDescent="0.25">
      <c r="A63" t="s">
        <v>109</v>
      </c>
    </row>
    <row r="64" spans="1:1" x14ac:dyDescent="0.25">
      <c r="A64"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t="s">
        <v>146</v>
      </c>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15.44</v>
      </c>
    </row>
    <row r="5" spans="1:23" x14ac:dyDescent="0.25">
      <c r="B5" s="1">
        <v>42166</v>
      </c>
      <c r="C5">
        <v>39</v>
      </c>
      <c r="D5" s="2">
        <v>19.25</v>
      </c>
      <c r="F5" s="2">
        <f t="shared" si="0"/>
        <v>750.75</v>
      </c>
      <c r="O5" s="20" t="s">
        <v>67</v>
      </c>
      <c r="Q5" s="2">
        <f>F26-K26</f>
        <v>75798.350000000006</v>
      </c>
    </row>
    <row r="6" spans="1:23" x14ac:dyDescent="0.25">
      <c r="B6" s="1">
        <v>42174</v>
      </c>
      <c r="C6">
        <v>20</v>
      </c>
      <c r="D6" s="2">
        <v>19.059999999999999</v>
      </c>
      <c r="F6" s="2">
        <f t="shared" si="0"/>
        <v>381.2</v>
      </c>
      <c r="O6" s="20" t="s">
        <v>64</v>
      </c>
      <c r="Q6" s="2">
        <f>Q4*Q2</f>
        <v>64848</v>
      </c>
    </row>
    <row r="7" spans="1:23" x14ac:dyDescent="0.25">
      <c r="B7" s="1">
        <v>42177</v>
      </c>
      <c r="C7">
        <v>20</v>
      </c>
      <c r="D7" s="2">
        <v>18.899999999999999</v>
      </c>
      <c r="F7" s="2">
        <f t="shared" si="0"/>
        <v>378</v>
      </c>
      <c r="O7" s="20" t="s">
        <v>65</v>
      </c>
      <c r="Q7" s="82">
        <f>Q6-Q5</f>
        <v>-10950.350000000006</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t="s">
        <v>145</v>
      </c>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15.44</v>
      </c>
      <c r="P18">
        <v>1.1000000000000001</v>
      </c>
      <c r="Q18" s="2">
        <f t="shared" ref="Q18:Q30" si="1">P18*O18</f>
        <v>16.984000000000002</v>
      </c>
      <c r="W18" s="2"/>
    </row>
    <row r="19" spans="1:23" x14ac:dyDescent="0.25">
      <c r="B19" s="1">
        <v>42223</v>
      </c>
      <c r="C19" s="10">
        <v>200</v>
      </c>
      <c r="D19" s="25">
        <v>17.170000000000002</v>
      </c>
      <c r="E19" s="25"/>
      <c r="F19" s="25">
        <f t="shared" si="0"/>
        <v>3434.0000000000005</v>
      </c>
      <c r="O19" s="2">
        <f>$Q$4</f>
        <v>15.44</v>
      </c>
      <c r="P19">
        <v>1.05</v>
      </c>
      <c r="Q19" s="2">
        <f t="shared" si="1"/>
        <v>16.212</v>
      </c>
    </row>
    <row r="20" spans="1:23" x14ac:dyDescent="0.25">
      <c r="B20" s="1">
        <v>42223</v>
      </c>
      <c r="C20" s="10">
        <v>100</v>
      </c>
      <c r="D20" s="25">
        <v>17.37</v>
      </c>
      <c r="E20" s="25"/>
      <c r="F20" s="25">
        <f t="shared" si="0"/>
        <v>1737</v>
      </c>
      <c r="O20" s="2">
        <f t="shared" ref="O20:O30" si="2">$Q$4</f>
        <v>15.44</v>
      </c>
      <c r="P20">
        <v>1.04</v>
      </c>
      <c r="Q20" s="2">
        <f t="shared" si="1"/>
        <v>16.057600000000001</v>
      </c>
    </row>
    <row r="21" spans="1:23" x14ac:dyDescent="0.25">
      <c r="B21" s="1">
        <v>42227</v>
      </c>
      <c r="C21" s="10">
        <v>100</v>
      </c>
      <c r="D21" s="25">
        <v>17.100000000000001</v>
      </c>
      <c r="E21" s="25"/>
      <c r="F21" s="25">
        <f t="shared" si="0"/>
        <v>1710.0000000000002</v>
      </c>
      <c r="O21" s="2">
        <f t="shared" si="2"/>
        <v>15.44</v>
      </c>
      <c r="P21" s="2">
        <v>1.03</v>
      </c>
      <c r="Q21" s="2">
        <f t="shared" si="1"/>
        <v>15.9032</v>
      </c>
    </row>
    <row r="22" spans="1:23" x14ac:dyDescent="0.25">
      <c r="B22" s="1">
        <v>42229</v>
      </c>
      <c r="C22" s="10">
        <v>100</v>
      </c>
      <c r="D22" s="25">
        <v>16.89</v>
      </c>
      <c r="E22" s="25"/>
      <c r="F22" s="25">
        <f t="shared" si="0"/>
        <v>1689</v>
      </c>
      <c r="O22" s="2">
        <f t="shared" si="2"/>
        <v>15.44</v>
      </c>
      <c r="P22" s="2">
        <v>1.02</v>
      </c>
      <c r="Q22" s="2">
        <f t="shared" si="1"/>
        <v>15.748799999999999</v>
      </c>
    </row>
    <row r="23" spans="1:23" x14ac:dyDescent="0.25">
      <c r="B23" s="1">
        <v>42233</v>
      </c>
      <c r="C23" s="6">
        <v>100</v>
      </c>
      <c r="D23" s="5">
        <v>16.5</v>
      </c>
      <c r="E23" s="5"/>
      <c r="F23" s="5">
        <f t="shared" si="0"/>
        <v>1650</v>
      </c>
      <c r="O23" s="2">
        <f t="shared" si="2"/>
        <v>15.44</v>
      </c>
      <c r="P23" s="2">
        <v>1.01</v>
      </c>
      <c r="Q23" s="2">
        <f t="shared" si="1"/>
        <v>15.5944</v>
      </c>
    </row>
    <row r="24" spans="1:23" x14ac:dyDescent="0.25">
      <c r="B24" s="1">
        <v>42234</v>
      </c>
      <c r="C24" s="6">
        <v>100</v>
      </c>
      <c r="D24" s="5">
        <v>16.600000000000001</v>
      </c>
      <c r="E24" s="5"/>
      <c r="F24" s="5">
        <f t="shared" si="0"/>
        <v>1660.0000000000002</v>
      </c>
      <c r="O24" s="2">
        <f t="shared" si="2"/>
        <v>15.44</v>
      </c>
      <c r="P24" s="2">
        <v>1</v>
      </c>
      <c r="Q24" s="2">
        <f t="shared" si="1"/>
        <v>15.44</v>
      </c>
    </row>
    <row r="25" spans="1:23" x14ac:dyDescent="0.25">
      <c r="B25" s="1">
        <v>42244</v>
      </c>
      <c r="C25" s="6">
        <v>200</v>
      </c>
      <c r="D25" s="5">
        <v>15.4</v>
      </c>
      <c r="E25" s="5"/>
      <c r="F25" s="5">
        <f t="shared" ref="F25" si="3">C25*D25</f>
        <v>3080</v>
      </c>
      <c r="O25" s="2">
        <f t="shared" si="2"/>
        <v>15.44</v>
      </c>
      <c r="P25" s="2">
        <v>0.99</v>
      </c>
      <c r="Q25" s="2">
        <f t="shared" si="1"/>
        <v>15.285599999999999</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15.44</v>
      </c>
      <c r="P26" s="2">
        <v>0.98</v>
      </c>
      <c r="Q26" s="2">
        <f t="shared" si="1"/>
        <v>15.1312</v>
      </c>
    </row>
    <row r="27" spans="1:23" x14ac:dyDescent="0.25">
      <c r="O27" s="2">
        <f t="shared" si="2"/>
        <v>15.44</v>
      </c>
      <c r="P27" s="2">
        <v>0.97</v>
      </c>
      <c r="Q27" s="2">
        <f t="shared" si="1"/>
        <v>14.976799999999999</v>
      </c>
    </row>
    <row r="28" spans="1:23" x14ac:dyDescent="0.25">
      <c r="O28" s="2">
        <f t="shared" si="2"/>
        <v>15.44</v>
      </c>
      <c r="P28" s="2">
        <v>0.96</v>
      </c>
      <c r="Q28" s="2">
        <f t="shared" si="1"/>
        <v>14.822399999999998</v>
      </c>
    </row>
    <row r="29" spans="1:23" x14ac:dyDescent="0.25">
      <c r="O29" s="2">
        <f t="shared" si="2"/>
        <v>15.44</v>
      </c>
      <c r="P29" s="2">
        <v>0.95</v>
      </c>
      <c r="Q29" s="2">
        <f t="shared" si="1"/>
        <v>14.667999999999999</v>
      </c>
    </row>
    <row r="30" spans="1:23" x14ac:dyDescent="0.25">
      <c r="O30" s="2">
        <f t="shared" si="2"/>
        <v>15.44</v>
      </c>
      <c r="P30" s="2">
        <v>0.9</v>
      </c>
      <c r="Q30" s="2">
        <f t="shared" si="1"/>
        <v>13.895999999999999</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146</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14.42</v>
      </c>
      <c r="T4" s="1">
        <v>42233</v>
      </c>
      <c r="U4" t="s">
        <v>144</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55805.4</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-14196.500000000007</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145</v>
      </c>
    </row>
    <row r="11" spans="1:25" x14ac:dyDescent="0.25">
      <c r="B11" s="1">
        <v>42205</v>
      </c>
      <c r="C11" s="6">
        <v>20</v>
      </c>
      <c r="D11" s="5">
        <v>18.850000000000001</v>
      </c>
      <c r="E11" s="5"/>
      <c r="F11" s="5">
        <f t="shared" si="0"/>
        <v>377</v>
      </c>
      <c r="T11" s="1">
        <v>42255</v>
      </c>
      <c r="U11" t="s">
        <v>211</v>
      </c>
    </row>
    <row r="12" spans="1:25" x14ac:dyDescent="0.25">
      <c r="B12" s="1">
        <v>42208</v>
      </c>
      <c r="C12" s="6">
        <v>80</v>
      </c>
      <c r="D12" s="5">
        <v>18.95</v>
      </c>
      <c r="E12" s="5"/>
      <c r="F12" s="5">
        <f t="shared" si="0"/>
        <v>1516</v>
      </c>
      <c r="T12" s="139">
        <v>42272</v>
      </c>
      <c r="U12" t="s">
        <v>212</v>
      </c>
    </row>
    <row r="13" spans="1:25" x14ac:dyDescent="0.25">
      <c r="B13" s="1">
        <v>42212</v>
      </c>
      <c r="C13" s="6">
        <v>100</v>
      </c>
      <c r="D13" s="5">
        <v>17.95</v>
      </c>
      <c r="E13" s="5"/>
      <c r="F13" s="5">
        <f t="shared" si="0"/>
        <v>1795</v>
      </c>
      <c r="T13" t="s">
        <v>159</v>
      </c>
    </row>
    <row r="14" spans="1:25" x14ac:dyDescent="0.25">
      <c r="B14" s="1">
        <v>42221</v>
      </c>
      <c r="C14" s="10">
        <v>65</v>
      </c>
      <c r="D14" s="25">
        <v>19.100000000000001</v>
      </c>
      <c r="E14" s="25"/>
      <c r="F14" s="25">
        <f t="shared" si="0"/>
        <v>1241.5</v>
      </c>
      <c r="T14" t="s">
        <v>160</v>
      </c>
    </row>
    <row r="15" spans="1:25" x14ac:dyDescent="0.25">
      <c r="B15" s="1">
        <v>42221</v>
      </c>
      <c r="C15" s="10">
        <v>300</v>
      </c>
      <c r="D15" s="25">
        <v>18.600000000000001</v>
      </c>
      <c r="E15" s="25"/>
      <c r="F15" s="25">
        <f t="shared" si="0"/>
        <v>5580</v>
      </c>
      <c r="P15" t="s">
        <v>89</v>
      </c>
      <c r="T15" t="s">
        <v>161</v>
      </c>
    </row>
    <row r="16" spans="1:25" x14ac:dyDescent="0.25">
      <c r="B16" s="1">
        <v>42221</v>
      </c>
      <c r="C16">
        <v>200</v>
      </c>
      <c r="D16" s="2">
        <v>18.5</v>
      </c>
      <c r="E16" s="2"/>
      <c r="F16" s="2">
        <f t="shared" si="0"/>
        <v>3700</v>
      </c>
      <c r="O16" s="2">
        <f>$Q$4</f>
        <v>14.42</v>
      </c>
      <c r="P16" s="2">
        <v>1.1000000000000001</v>
      </c>
      <c r="Q16" s="2">
        <f t="shared" ref="Q16:Q28" si="2">P16*O16</f>
        <v>15.862000000000002</v>
      </c>
      <c r="T16" t="s">
        <v>162</v>
      </c>
    </row>
    <row r="17" spans="2:20" x14ac:dyDescent="0.25">
      <c r="B17" s="1">
        <v>42223</v>
      </c>
      <c r="C17">
        <v>50</v>
      </c>
      <c r="D17" s="2">
        <v>18.75</v>
      </c>
      <c r="E17" s="2"/>
      <c r="F17" s="2">
        <f t="shared" si="0"/>
        <v>937.5</v>
      </c>
      <c r="O17" s="2">
        <f>$Q$4</f>
        <v>14.42</v>
      </c>
      <c r="P17" s="2">
        <v>1.05</v>
      </c>
      <c r="Q17" s="2">
        <f t="shared" si="2"/>
        <v>15.141</v>
      </c>
      <c r="T17" t="s">
        <v>163</v>
      </c>
    </row>
    <row r="18" spans="2:20" x14ac:dyDescent="0.25">
      <c r="B18" s="1">
        <v>42227</v>
      </c>
      <c r="C18">
        <v>50</v>
      </c>
      <c r="D18" s="2">
        <v>18.45</v>
      </c>
      <c r="E18" s="2"/>
      <c r="F18" s="2">
        <f t="shared" si="0"/>
        <v>922.5</v>
      </c>
      <c r="O18" s="2">
        <f t="shared" ref="O18:O28" si="3">$Q$4</f>
        <v>14.42</v>
      </c>
      <c r="P18" s="2">
        <v>1.04</v>
      </c>
      <c r="Q18" s="2">
        <f t="shared" si="2"/>
        <v>14.9968</v>
      </c>
    </row>
    <row r="19" spans="2:20" x14ac:dyDescent="0.25">
      <c r="B19" s="1">
        <v>42228</v>
      </c>
      <c r="C19" s="13">
        <v>100</v>
      </c>
      <c r="D19" s="26">
        <v>18.45</v>
      </c>
      <c r="E19" s="26"/>
      <c r="F19" s="26">
        <f t="shared" si="0"/>
        <v>1845</v>
      </c>
      <c r="O19" s="2">
        <f t="shared" si="3"/>
        <v>14.42</v>
      </c>
      <c r="P19" s="2">
        <v>1.03</v>
      </c>
      <c r="Q19" s="2">
        <f t="shared" si="2"/>
        <v>14.852600000000001</v>
      </c>
    </row>
    <row r="20" spans="2:20" x14ac:dyDescent="0.25">
      <c r="B20" s="1">
        <v>42228</v>
      </c>
      <c r="C20">
        <v>200</v>
      </c>
      <c r="D20" s="2">
        <v>18.190000000000001</v>
      </c>
      <c r="E20" s="2"/>
      <c r="F20" s="2">
        <f t="shared" si="0"/>
        <v>3638.0000000000005</v>
      </c>
      <c r="O20" s="2">
        <f t="shared" si="3"/>
        <v>14.42</v>
      </c>
      <c r="P20" s="2">
        <v>1.02</v>
      </c>
      <c r="Q20" s="2">
        <f t="shared" si="2"/>
        <v>14.708400000000001</v>
      </c>
    </row>
    <row r="21" spans="2:20" x14ac:dyDescent="0.25">
      <c r="B21" s="1">
        <v>42228</v>
      </c>
      <c r="C21">
        <v>200</v>
      </c>
      <c r="D21" s="2">
        <v>18.100000000000001</v>
      </c>
      <c r="E21" s="2"/>
      <c r="F21" s="2">
        <f t="shared" si="0"/>
        <v>3620.0000000000005</v>
      </c>
      <c r="O21" s="2">
        <f t="shared" si="3"/>
        <v>14.42</v>
      </c>
      <c r="P21" s="2">
        <v>1.01</v>
      </c>
      <c r="Q21" s="2">
        <f t="shared" si="2"/>
        <v>14.5642</v>
      </c>
    </row>
    <row r="22" spans="2:20" x14ac:dyDescent="0.25">
      <c r="B22" s="1">
        <v>42229</v>
      </c>
      <c r="C22">
        <v>100</v>
      </c>
      <c r="D22" s="2">
        <v>18.329999999999998</v>
      </c>
      <c r="E22" s="2"/>
      <c r="F22" s="2">
        <f t="shared" si="0"/>
        <v>1832.9999999999998</v>
      </c>
      <c r="O22" s="2">
        <f t="shared" si="3"/>
        <v>14.42</v>
      </c>
      <c r="P22" s="2">
        <v>1</v>
      </c>
      <c r="Q22" s="2">
        <f t="shared" si="2"/>
        <v>14.42</v>
      </c>
    </row>
    <row r="23" spans="2:20" x14ac:dyDescent="0.25">
      <c r="B23" s="1">
        <v>42230</v>
      </c>
      <c r="C23">
        <v>100</v>
      </c>
      <c r="D23" s="2">
        <v>18</v>
      </c>
      <c r="E23" s="2"/>
      <c r="F23" s="2">
        <f>C23*D23</f>
        <v>1800</v>
      </c>
      <c r="O23" s="2">
        <f t="shared" si="3"/>
        <v>14.42</v>
      </c>
      <c r="P23" s="2">
        <v>0.99</v>
      </c>
      <c r="Q23" s="2">
        <f t="shared" si="2"/>
        <v>14.2758</v>
      </c>
    </row>
    <row r="24" spans="2:20" x14ac:dyDescent="0.25">
      <c r="B24" s="1">
        <v>42230</v>
      </c>
      <c r="C24">
        <v>200</v>
      </c>
      <c r="D24" s="2">
        <v>17.78</v>
      </c>
      <c r="E24" s="2"/>
      <c r="F24" s="2">
        <f t="shared" si="0"/>
        <v>3556</v>
      </c>
      <c r="O24" s="2">
        <f t="shared" si="3"/>
        <v>14.42</v>
      </c>
      <c r="P24" s="2">
        <v>0.98</v>
      </c>
      <c r="Q24" s="2">
        <f t="shared" si="2"/>
        <v>14.131599999999999</v>
      </c>
    </row>
    <row r="25" spans="2:20" x14ac:dyDescent="0.25">
      <c r="B25" s="1">
        <v>42234</v>
      </c>
      <c r="C25" s="6">
        <v>100</v>
      </c>
      <c r="D25" s="5">
        <v>17.75</v>
      </c>
      <c r="E25" s="5"/>
      <c r="F25" s="5">
        <f t="shared" ref="F25:F30" si="4">C25*D25</f>
        <v>1775</v>
      </c>
      <c r="O25" s="2">
        <f t="shared" si="3"/>
        <v>14.42</v>
      </c>
      <c r="P25" s="2">
        <v>0.97</v>
      </c>
      <c r="Q25" s="2">
        <f t="shared" si="2"/>
        <v>13.987399999999999</v>
      </c>
    </row>
    <row r="26" spans="2:20" x14ac:dyDescent="0.25">
      <c r="B26" s="1">
        <v>42235</v>
      </c>
      <c r="C26" s="6">
        <v>100</v>
      </c>
      <c r="D26" s="5">
        <v>17.350000000000001</v>
      </c>
      <c r="E26" s="5"/>
      <c r="F26" s="5">
        <f t="shared" si="4"/>
        <v>1735.0000000000002</v>
      </c>
      <c r="O26" s="2">
        <f t="shared" si="3"/>
        <v>14.42</v>
      </c>
      <c r="P26" s="2">
        <v>0.96</v>
      </c>
      <c r="Q26" s="2">
        <f t="shared" si="2"/>
        <v>13.8432</v>
      </c>
    </row>
    <row r="27" spans="2:20" x14ac:dyDescent="0.25">
      <c r="B27" s="1">
        <v>42235</v>
      </c>
      <c r="C27" s="9">
        <v>100</v>
      </c>
      <c r="D27" s="79">
        <v>17.55</v>
      </c>
      <c r="E27" s="79"/>
      <c r="F27" s="79">
        <f t="shared" si="4"/>
        <v>1755</v>
      </c>
      <c r="O27" s="2">
        <f t="shared" si="3"/>
        <v>14.42</v>
      </c>
      <c r="P27" s="2">
        <v>0.95</v>
      </c>
      <c r="Q27" s="2">
        <f t="shared" si="2"/>
        <v>13.699</v>
      </c>
    </row>
    <row r="28" spans="2:20" x14ac:dyDescent="0.25">
      <c r="B28" s="1">
        <v>42235</v>
      </c>
      <c r="C28" s="9">
        <v>100</v>
      </c>
      <c r="D28" s="79">
        <v>17.170000000000002</v>
      </c>
      <c r="E28" s="79"/>
      <c r="F28" s="79">
        <f t="shared" si="4"/>
        <v>1717.0000000000002</v>
      </c>
      <c r="O28" s="2">
        <f t="shared" si="3"/>
        <v>14.42</v>
      </c>
      <c r="P28" s="2">
        <v>0.9</v>
      </c>
      <c r="Q28" s="2">
        <f t="shared" si="2"/>
        <v>12.978</v>
      </c>
    </row>
    <row r="29" spans="2:20" x14ac:dyDescent="0.25">
      <c r="B29" s="1">
        <v>42235</v>
      </c>
      <c r="C29" s="9">
        <v>100</v>
      </c>
      <c r="D29" s="79">
        <v>17</v>
      </c>
      <c r="E29" s="79"/>
      <c r="F29" s="79">
        <f t="shared" si="4"/>
        <v>1700</v>
      </c>
    </row>
    <row r="30" spans="2:20" x14ac:dyDescent="0.25">
      <c r="B30" s="1">
        <v>42236</v>
      </c>
      <c r="C30" s="9">
        <v>100</v>
      </c>
      <c r="D30" s="79">
        <v>16.559999999999999</v>
      </c>
      <c r="E30" s="79"/>
      <c r="F30" s="79">
        <f t="shared" si="4"/>
        <v>1655.9999999999998</v>
      </c>
    </row>
    <row r="31" spans="2:20" x14ac:dyDescent="0.25">
      <c r="B31" s="1">
        <v>42236</v>
      </c>
      <c r="C31" s="9">
        <v>200</v>
      </c>
      <c r="D31" s="79">
        <v>16.21</v>
      </c>
      <c r="E31" s="79"/>
      <c r="F31" s="79">
        <f t="shared" ref="F31:F37" si="5">C31*D31</f>
        <v>3242</v>
      </c>
    </row>
    <row r="32" spans="2:20"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157</v>
      </c>
      <c r="F1" s="20" t="s">
        <v>60</v>
      </c>
      <c r="G1" s="20" t="s">
        <v>3</v>
      </c>
      <c r="H1" s="20" t="s">
        <v>6</v>
      </c>
      <c r="I1" s="20" t="s">
        <v>7</v>
      </c>
      <c r="J1" s="20" t="s">
        <v>156</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27.3</v>
      </c>
      <c r="S4" t="s">
        <v>116</v>
      </c>
    </row>
    <row r="5" spans="1:24" x14ac:dyDescent="0.25">
      <c r="B5" s="1">
        <v>42186</v>
      </c>
      <c r="C5">
        <v>200</v>
      </c>
      <c r="D5" s="2">
        <v>30.9</v>
      </c>
      <c r="E5" s="2"/>
      <c r="F5" s="2">
        <f t="shared" si="0"/>
        <v>6180</v>
      </c>
      <c r="O5" s="20" t="s">
        <v>67</v>
      </c>
      <c r="Q5" s="5">
        <f>Q4*Q2</f>
        <v>24570</v>
      </c>
      <c r="S5" s="1">
        <v>42242</v>
      </c>
      <c r="U5" t="s">
        <v>209</v>
      </c>
    </row>
    <row r="6" spans="1:24" x14ac:dyDescent="0.25">
      <c r="B6" s="1">
        <v>42194</v>
      </c>
      <c r="C6">
        <v>100</v>
      </c>
      <c r="D6" s="2">
        <v>29.8</v>
      </c>
      <c r="E6" s="2"/>
      <c r="F6" s="2">
        <f t="shared" si="0"/>
        <v>2980</v>
      </c>
      <c r="O6" s="20" t="s">
        <v>64</v>
      </c>
      <c r="Q6" s="2">
        <f>Q3*Q2</f>
        <v>26649.5</v>
      </c>
    </row>
    <row r="7" spans="1:24" x14ac:dyDescent="0.25">
      <c r="B7" s="1">
        <v>42207</v>
      </c>
      <c r="C7">
        <v>50</v>
      </c>
      <c r="D7" s="2">
        <v>29.32</v>
      </c>
      <c r="E7" s="2"/>
      <c r="F7" s="2">
        <f t="shared" si="0"/>
        <v>1466</v>
      </c>
      <c r="O7" s="20" t="s">
        <v>65</v>
      </c>
      <c r="Q7" s="2">
        <f>Q5-Q6</f>
        <v>-2079.5</v>
      </c>
    </row>
    <row r="8" spans="1:24" x14ac:dyDescent="0.25">
      <c r="B8" s="1">
        <v>42209</v>
      </c>
      <c r="C8">
        <v>50</v>
      </c>
      <c r="D8" s="2">
        <v>28.6</v>
      </c>
      <c r="E8" s="2"/>
      <c r="F8" s="2">
        <f t="shared" si="0"/>
        <v>1430</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27.3</v>
      </c>
      <c r="P22">
        <v>1.1000000000000001</v>
      </c>
      <c r="Q22" s="2">
        <f t="shared" ref="Q22:Q34" si="2">P22*O22</f>
        <v>30.030000000000005</v>
      </c>
    </row>
    <row r="23" spans="15:17" x14ac:dyDescent="0.25">
      <c r="O23" s="2">
        <f>$Q$4</f>
        <v>27.3</v>
      </c>
      <c r="P23">
        <v>1.05</v>
      </c>
      <c r="Q23" s="2">
        <f t="shared" si="2"/>
        <v>28.665000000000003</v>
      </c>
    </row>
    <row r="24" spans="15:17" x14ac:dyDescent="0.25">
      <c r="O24" s="2">
        <f t="shared" ref="O24:O34" si="3">$Q$4</f>
        <v>27.3</v>
      </c>
      <c r="P24">
        <v>1.04</v>
      </c>
      <c r="Q24" s="2">
        <f t="shared" si="2"/>
        <v>28.392000000000003</v>
      </c>
    </row>
    <row r="25" spans="15:17" x14ac:dyDescent="0.25">
      <c r="O25" s="2">
        <f t="shared" si="3"/>
        <v>27.3</v>
      </c>
      <c r="P25" s="2">
        <v>1.03</v>
      </c>
      <c r="Q25" s="2">
        <f t="shared" si="2"/>
        <v>28.119</v>
      </c>
    </row>
    <row r="26" spans="15:17" x14ac:dyDescent="0.25">
      <c r="O26" s="2">
        <f t="shared" si="3"/>
        <v>27.3</v>
      </c>
      <c r="P26" s="2">
        <v>1.02</v>
      </c>
      <c r="Q26" s="2">
        <f t="shared" si="2"/>
        <v>27.846</v>
      </c>
    </row>
    <row r="27" spans="15:17" x14ac:dyDescent="0.25">
      <c r="O27" s="2">
        <f t="shared" si="3"/>
        <v>27.3</v>
      </c>
      <c r="P27" s="2">
        <v>1.01</v>
      </c>
      <c r="Q27" s="2">
        <f t="shared" si="2"/>
        <v>27.573</v>
      </c>
    </row>
    <row r="28" spans="15:17" x14ac:dyDescent="0.25">
      <c r="O28" s="2">
        <f t="shared" si="3"/>
        <v>27.3</v>
      </c>
      <c r="P28" s="2">
        <v>1</v>
      </c>
      <c r="Q28" s="2">
        <f t="shared" si="2"/>
        <v>27.3</v>
      </c>
    </row>
    <row r="29" spans="15:17" x14ac:dyDescent="0.25">
      <c r="O29" s="2">
        <f t="shared" si="3"/>
        <v>27.3</v>
      </c>
      <c r="P29" s="2">
        <v>0.99</v>
      </c>
      <c r="Q29" s="2">
        <f t="shared" si="2"/>
        <v>27.027000000000001</v>
      </c>
    </row>
    <row r="30" spans="15:17" x14ac:dyDescent="0.25">
      <c r="O30" s="2">
        <f t="shared" si="3"/>
        <v>27.3</v>
      </c>
      <c r="P30" s="2">
        <v>0.98</v>
      </c>
      <c r="Q30" s="2">
        <f t="shared" si="2"/>
        <v>26.754000000000001</v>
      </c>
    </row>
    <row r="31" spans="15:17" x14ac:dyDescent="0.25">
      <c r="O31" s="2">
        <f t="shared" si="3"/>
        <v>27.3</v>
      </c>
      <c r="P31" s="2">
        <v>0.97</v>
      </c>
      <c r="Q31" s="2">
        <f t="shared" si="2"/>
        <v>26.481000000000002</v>
      </c>
    </row>
    <row r="32" spans="15:17" x14ac:dyDescent="0.25">
      <c r="O32" s="2">
        <f t="shared" si="3"/>
        <v>27.3</v>
      </c>
      <c r="P32" s="2">
        <v>0.96</v>
      </c>
      <c r="Q32" s="2">
        <f t="shared" si="2"/>
        <v>26.207999999999998</v>
      </c>
    </row>
    <row r="33" spans="15:17" x14ac:dyDescent="0.25">
      <c r="O33" s="2">
        <f t="shared" si="3"/>
        <v>27.3</v>
      </c>
      <c r="P33" s="2">
        <v>0.95</v>
      </c>
      <c r="Q33" s="2">
        <f t="shared" si="2"/>
        <v>25.934999999999999</v>
      </c>
    </row>
    <row r="34" spans="15:17" x14ac:dyDescent="0.25">
      <c r="O34" s="2">
        <f t="shared" si="3"/>
        <v>27.3</v>
      </c>
      <c r="P34" s="2">
        <v>0.9</v>
      </c>
      <c r="Q34" s="2">
        <f t="shared" si="2"/>
        <v>24.57</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157</v>
      </c>
      <c r="F1" s="97" t="s">
        <v>60</v>
      </c>
      <c r="G1" s="96" t="s">
        <v>3</v>
      </c>
      <c r="H1" s="96" t="s">
        <v>6</v>
      </c>
      <c r="I1" s="97" t="s">
        <v>7</v>
      </c>
      <c r="J1" s="97" t="s">
        <v>156</v>
      </c>
      <c r="K1" s="97" t="s">
        <v>61</v>
      </c>
      <c r="L1" s="96" t="s">
        <v>43</v>
      </c>
      <c r="M1" s="96" t="s">
        <v>38</v>
      </c>
      <c r="T1" s="96" t="s">
        <v>74</v>
      </c>
    </row>
    <row r="2" spans="1:24" x14ac:dyDescent="0.25">
      <c r="A2" s="8" t="s">
        <v>22</v>
      </c>
      <c r="B2" s="1">
        <v>42153</v>
      </c>
      <c r="C2">
        <v>20</v>
      </c>
      <c r="D2" s="2">
        <v>67.3</v>
      </c>
      <c r="E2" s="2">
        <v>0</v>
      </c>
      <c r="F2" s="2">
        <f t="shared" ref="F2:F15" si="0">D2*C2+E2</f>
        <v>1346</v>
      </c>
      <c r="G2" s="1">
        <v>42219</v>
      </c>
      <c r="H2" s="12">
        <v>25</v>
      </c>
      <c r="I2" s="84">
        <v>60.05</v>
      </c>
      <c r="J2" s="84">
        <v>0.03</v>
      </c>
      <c r="K2" s="84">
        <f>H2*I2-J2</f>
        <v>1501.22</v>
      </c>
      <c r="L2" s="1">
        <v>42185</v>
      </c>
      <c r="M2" s="2">
        <v>5</v>
      </c>
      <c r="O2" s="20" t="s">
        <v>57</v>
      </c>
      <c r="Q2">
        <f>C16-H16</f>
        <v>180</v>
      </c>
      <c r="T2" t="s">
        <v>117</v>
      </c>
    </row>
    <row r="3" spans="1:24" x14ac:dyDescent="0.25">
      <c r="A3" s="36" t="s">
        <v>81</v>
      </c>
      <c r="B3" s="1">
        <v>42205</v>
      </c>
      <c r="C3">
        <v>20</v>
      </c>
      <c r="D3" s="2">
        <v>63.4</v>
      </c>
      <c r="E3" s="2">
        <v>0</v>
      </c>
      <c r="F3" s="2">
        <f t="shared" si="0"/>
        <v>1268</v>
      </c>
      <c r="G3" s="1">
        <v>42219</v>
      </c>
      <c r="H3" s="12">
        <v>55</v>
      </c>
      <c r="I3" s="84">
        <v>59.75</v>
      </c>
      <c r="J3" s="84">
        <v>0.06</v>
      </c>
      <c r="K3" s="84">
        <f>H3*I3-J3</f>
        <v>3286.19</v>
      </c>
      <c r="L3" t="s">
        <v>121</v>
      </c>
      <c r="M3" s="2"/>
      <c r="O3" s="20" t="s">
        <v>58</v>
      </c>
      <c r="Q3" s="2">
        <f>(F16-K16)/Q2</f>
        <v>59.963000000000008</v>
      </c>
      <c r="T3" t="s">
        <v>118</v>
      </c>
      <c r="U3" t="s">
        <v>71</v>
      </c>
      <c r="V3" t="s">
        <v>72</v>
      </c>
      <c r="W3" t="s">
        <v>120</v>
      </c>
      <c r="X3" t="s">
        <v>119</v>
      </c>
    </row>
    <row r="4" spans="1:24" x14ac:dyDescent="0.25">
      <c r="B4" s="1">
        <v>42205</v>
      </c>
      <c r="C4">
        <v>20</v>
      </c>
      <c r="D4" s="2">
        <v>63.15</v>
      </c>
      <c r="E4" s="2">
        <v>0</v>
      </c>
      <c r="F4" s="2">
        <f t="shared" si="0"/>
        <v>1263</v>
      </c>
      <c r="M4" s="2"/>
      <c r="O4" s="20" t="s">
        <v>66</v>
      </c>
      <c r="Q4" s="106">
        <v>51.22</v>
      </c>
      <c r="T4" s="55">
        <v>42249</v>
      </c>
      <c r="U4" s="55">
        <v>42264</v>
      </c>
      <c r="V4" s="61">
        <v>42276</v>
      </c>
      <c r="W4">
        <v>0.25</v>
      </c>
    </row>
    <row r="5" spans="1:24" x14ac:dyDescent="0.25">
      <c r="B5" s="1">
        <v>42207</v>
      </c>
      <c r="C5">
        <v>10</v>
      </c>
      <c r="D5" s="2">
        <v>62</v>
      </c>
      <c r="E5" s="2">
        <v>0</v>
      </c>
      <c r="F5" s="2">
        <f t="shared" si="0"/>
        <v>620</v>
      </c>
      <c r="M5" s="2"/>
      <c r="O5" s="20" t="s">
        <v>67</v>
      </c>
      <c r="Q5" s="5">
        <f>Q4*Q2</f>
        <v>9219.6</v>
      </c>
      <c r="T5" t="s">
        <v>122</v>
      </c>
    </row>
    <row r="6" spans="1:24" x14ac:dyDescent="0.25">
      <c r="B6" s="1">
        <v>42207</v>
      </c>
      <c r="C6">
        <v>5</v>
      </c>
      <c r="D6" s="2">
        <v>61.6</v>
      </c>
      <c r="E6" s="2">
        <v>0</v>
      </c>
      <c r="F6" s="2">
        <f t="shared" si="0"/>
        <v>308</v>
      </c>
      <c r="M6" s="2"/>
      <c r="O6" s="20" t="s">
        <v>64</v>
      </c>
      <c r="Q6" s="2">
        <f>Q3*Q2</f>
        <v>10793.340000000002</v>
      </c>
    </row>
    <row r="7" spans="1:24" x14ac:dyDescent="0.25">
      <c r="B7" s="1">
        <v>42207</v>
      </c>
      <c r="C7">
        <v>20</v>
      </c>
      <c r="D7" s="2">
        <v>59.85</v>
      </c>
      <c r="E7" s="2">
        <v>0</v>
      </c>
      <c r="F7" s="2">
        <f t="shared" si="0"/>
        <v>1197</v>
      </c>
      <c r="M7" s="2"/>
      <c r="O7" s="20" t="s">
        <v>65</v>
      </c>
      <c r="Q7" s="2">
        <f>Q5-Q6+M16</f>
        <v>-1568.7400000000016</v>
      </c>
    </row>
    <row r="8" spans="1:24" x14ac:dyDescent="0.25">
      <c r="B8" s="1">
        <v>42208</v>
      </c>
      <c r="C8" s="9">
        <v>5</v>
      </c>
      <c r="D8" s="79">
        <v>61.3</v>
      </c>
      <c r="E8" s="79">
        <v>0</v>
      </c>
      <c r="F8" s="79">
        <f t="shared" si="0"/>
        <v>306.5</v>
      </c>
      <c r="M8" s="2"/>
    </row>
    <row r="9" spans="1:24" x14ac:dyDescent="0.25">
      <c r="B9" s="1">
        <v>42219</v>
      </c>
      <c r="C9" s="12">
        <v>25</v>
      </c>
      <c r="D9" s="79">
        <v>59.4</v>
      </c>
      <c r="E9" s="79">
        <v>0</v>
      </c>
      <c r="F9" s="79">
        <f t="shared" si="0"/>
        <v>1485</v>
      </c>
      <c r="M9" s="2"/>
    </row>
    <row r="10" spans="1:24" x14ac:dyDescent="0.25">
      <c r="B10" s="1">
        <v>42219</v>
      </c>
      <c r="C10" s="12">
        <v>50</v>
      </c>
      <c r="D10" s="79">
        <v>59.2</v>
      </c>
      <c r="E10" s="79">
        <v>0</v>
      </c>
      <c r="F10" s="79">
        <f t="shared" si="0"/>
        <v>2960</v>
      </c>
      <c r="M10" s="2"/>
    </row>
    <row r="11" spans="1:24" x14ac:dyDescent="0.25">
      <c r="B11" s="1">
        <v>42226</v>
      </c>
      <c r="C11" s="12">
        <v>5</v>
      </c>
      <c r="D11" s="79">
        <v>56.2</v>
      </c>
      <c r="E11" s="79">
        <v>0</v>
      </c>
      <c r="F11" s="79">
        <f t="shared" si="0"/>
        <v>281</v>
      </c>
      <c r="M11" s="2"/>
    </row>
    <row r="12" spans="1:24" x14ac:dyDescent="0.25">
      <c r="B12" s="1">
        <v>42226</v>
      </c>
      <c r="C12">
        <v>15</v>
      </c>
      <c r="D12" s="2">
        <v>56.5</v>
      </c>
      <c r="E12" s="2">
        <v>0</v>
      </c>
      <c r="F12" s="2">
        <f t="shared" si="0"/>
        <v>847.5</v>
      </c>
      <c r="M12" s="2"/>
    </row>
    <row r="13" spans="1:24" x14ac:dyDescent="0.25">
      <c r="B13" s="1">
        <v>42240</v>
      </c>
      <c r="C13" s="29">
        <v>15</v>
      </c>
      <c r="D13" s="2">
        <v>57.19</v>
      </c>
      <c r="E13" s="2">
        <v>0</v>
      </c>
      <c r="F13" s="2">
        <f t="shared" si="0"/>
        <v>857.84999999999991</v>
      </c>
      <c r="M13" s="2"/>
    </row>
    <row r="14" spans="1:24" x14ac:dyDescent="0.25">
      <c r="B14" s="1">
        <v>42240</v>
      </c>
      <c r="C14">
        <v>20</v>
      </c>
      <c r="D14" s="2">
        <v>56.6</v>
      </c>
      <c r="E14" s="2">
        <v>6.95</v>
      </c>
      <c r="F14" s="2">
        <f t="shared" si="0"/>
        <v>1138.95</v>
      </c>
      <c r="M14" s="2"/>
    </row>
    <row r="15" spans="1:24" x14ac:dyDescent="0.25">
      <c r="B15" s="1">
        <v>42240</v>
      </c>
      <c r="C15">
        <v>30</v>
      </c>
      <c r="D15" s="2">
        <v>56.5</v>
      </c>
      <c r="E15" s="2">
        <v>6.95</v>
      </c>
      <c r="F15" s="2">
        <f t="shared" si="0"/>
        <v>1701.95</v>
      </c>
      <c r="M15" s="2"/>
    </row>
    <row r="16" spans="1:24" x14ac:dyDescent="0.25">
      <c r="A16" s="57" t="s">
        <v>114</v>
      </c>
      <c r="B16" s="24"/>
      <c r="C16" s="24">
        <f>SUM(C2:C15)</f>
        <v>260</v>
      </c>
      <c r="D16" s="31"/>
      <c r="E16" s="31"/>
      <c r="F16" s="31">
        <f>SUM(F2:F15)</f>
        <v>15580.750000000002</v>
      </c>
      <c r="G16" s="24"/>
      <c r="H16" s="24">
        <f>SUM(H2:H10)</f>
        <v>80</v>
      </c>
      <c r="I16" s="31"/>
      <c r="J16" s="31"/>
      <c r="K16" s="31">
        <f>SUM(K2:K10)</f>
        <v>4787.41</v>
      </c>
      <c r="L16" s="24"/>
      <c r="M16" s="31">
        <f t="shared" ref="M16" si="1">SUM(M2:M10)</f>
        <v>5</v>
      </c>
    </row>
    <row r="21" spans="15:21" x14ac:dyDescent="0.25">
      <c r="U21" s="2"/>
    </row>
    <row r="22" spans="15:21" x14ac:dyDescent="0.25">
      <c r="P22" t="s">
        <v>89</v>
      </c>
      <c r="R22" s="59"/>
    </row>
    <row r="23" spans="15:21" x14ac:dyDescent="0.25">
      <c r="O23" s="2">
        <f>$Q$4</f>
        <v>51.22</v>
      </c>
      <c r="P23">
        <v>1.1000000000000001</v>
      </c>
      <c r="Q23" s="2">
        <f t="shared" ref="Q23:Q35" si="2">P23*O23</f>
        <v>56.342000000000006</v>
      </c>
      <c r="R23" s="59"/>
    </row>
    <row r="24" spans="15:21" x14ac:dyDescent="0.25">
      <c r="O24" s="2">
        <f>$Q$4</f>
        <v>51.22</v>
      </c>
      <c r="P24">
        <v>1.05</v>
      </c>
      <c r="Q24" s="2">
        <f t="shared" si="2"/>
        <v>53.780999999999999</v>
      </c>
      <c r="R24" s="59"/>
    </row>
    <row r="25" spans="15:21" x14ac:dyDescent="0.25">
      <c r="O25" s="2">
        <f t="shared" ref="O25:O35" si="3">$Q$4</f>
        <v>51.22</v>
      </c>
      <c r="P25">
        <v>1.04</v>
      </c>
      <c r="Q25" s="2">
        <f t="shared" si="2"/>
        <v>53.268799999999999</v>
      </c>
      <c r="R25" s="59"/>
    </row>
    <row r="26" spans="15:21" x14ac:dyDescent="0.25">
      <c r="O26" s="2">
        <f t="shared" si="3"/>
        <v>51.22</v>
      </c>
      <c r="P26" s="2">
        <v>1.03</v>
      </c>
      <c r="Q26" s="2">
        <f t="shared" si="2"/>
        <v>52.756599999999999</v>
      </c>
      <c r="R26" s="59"/>
    </row>
    <row r="27" spans="15:21" x14ac:dyDescent="0.25">
      <c r="O27" s="2">
        <f t="shared" si="3"/>
        <v>51.22</v>
      </c>
      <c r="P27" s="2">
        <v>1.02</v>
      </c>
      <c r="Q27" s="2">
        <f t="shared" si="2"/>
        <v>52.244399999999999</v>
      </c>
      <c r="R27" s="59"/>
    </row>
    <row r="28" spans="15:21" x14ac:dyDescent="0.25">
      <c r="O28" s="2">
        <f t="shared" si="3"/>
        <v>51.22</v>
      </c>
      <c r="P28" s="2">
        <v>1.01</v>
      </c>
      <c r="Q28" s="2">
        <f t="shared" si="2"/>
        <v>51.732199999999999</v>
      </c>
      <c r="R28" s="59"/>
    </row>
    <row r="29" spans="15:21" x14ac:dyDescent="0.25">
      <c r="O29" s="2">
        <f t="shared" si="3"/>
        <v>51.22</v>
      </c>
      <c r="P29" s="2">
        <v>1</v>
      </c>
      <c r="Q29" s="2">
        <f t="shared" si="2"/>
        <v>51.22</v>
      </c>
      <c r="R29" s="59"/>
    </row>
    <row r="30" spans="15:21" x14ac:dyDescent="0.25">
      <c r="O30" s="2">
        <f t="shared" si="3"/>
        <v>51.22</v>
      </c>
      <c r="P30" s="2">
        <v>0.99</v>
      </c>
      <c r="Q30" s="2">
        <f t="shared" si="2"/>
        <v>50.707799999999999</v>
      </c>
      <c r="R30" s="59"/>
    </row>
    <row r="31" spans="15:21" x14ac:dyDescent="0.25">
      <c r="O31" s="2">
        <f t="shared" si="3"/>
        <v>51.22</v>
      </c>
      <c r="P31" s="2">
        <v>0.98</v>
      </c>
      <c r="Q31" s="2">
        <f t="shared" si="2"/>
        <v>50.195599999999999</v>
      </c>
      <c r="R31" s="59"/>
    </row>
    <row r="32" spans="15:21" x14ac:dyDescent="0.25">
      <c r="O32" s="2">
        <f t="shared" si="3"/>
        <v>51.22</v>
      </c>
      <c r="P32" s="2">
        <v>0.97</v>
      </c>
      <c r="Q32" s="2">
        <f t="shared" si="2"/>
        <v>49.683399999999999</v>
      </c>
      <c r="R32" s="59"/>
    </row>
    <row r="33" spans="15:18" x14ac:dyDescent="0.25">
      <c r="O33" s="2">
        <f t="shared" si="3"/>
        <v>51.22</v>
      </c>
      <c r="P33" s="2">
        <v>0.96</v>
      </c>
      <c r="Q33" s="2">
        <f t="shared" si="2"/>
        <v>49.171199999999999</v>
      </c>
      <c r="R33" s="59"/>
    </row>
    <row r="34" spans="15:18" x14ac:dyDescent="0.25">
      <c r="O34" s="2">
        <f t="shared" si="3"/>
        <v>51.22</v>
      </c>
      <c r="P34" s="2">
        <v>0.95</v>
      </c>
      <c r="Q34" s="2">
        <f t="shared" si="2"/>
        <v>48.658999999999999</v>
      </c>
      <c r="R34" s="59"/>
    </row>
    <row r="35" spans="15:18" x14ac:dyDescent="0.25">
      <c r="O35" s="2">
        <f t="shared" si="3"/>
        <v>51.22</v>
      </c>
      <c r="P35" s="2">
        <v>0.9</v>
      </c>
      <c r="Q35" s="2">
        <f t="shared" si="2"/>
        <v>46.097999999999999</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124</v>
      </c>
      <c r="O2" s="20" t="s">
        <v>57</v>
      </c>
      <c r="Q2">
        <f>C11-H11</f>
        <v>60</v>
      </c>
      <c r="T2" s="73" t="s">
        <v>148</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125</v>
      </c>
    </row>
    <row r="4" spans="1:23" x14ac:dyDescent="0.25">
      <c r="B4" s="1">
        <v>42184</v>
      </c>
      <c r="C4" s="6">
        <v>10</v>
      </c>
      <c r="D4" s="5">
        <v>98.35</v>
      </c>
      <c r="E4" s="5"/>
      <c r="F4" s="5">
        <f t="shared" si="0"/>
        <v>983.5</v>
      </c>
      <c r="O4" s="20" t="s">
        <v>66</v>
      </c>
      <c r="Q4" s="106">
        <v>84.1</v>
      </c>
    </row>
    <row r="5" spans="1:23" x14ac:dyDescent="0.25">
      <c r="B5" s="1">
        <v>42184</v>
      </c>
      <c r="C5" s="10">
        <v>20</v>
      </c>
      <c r="D5" s="25">
        <v>98.1</v>
      </c>
      <c r="E5" s="25"/>
      <c r="F5" s="25">
        <f t="shared" si="0"/>
        <v>1962</v>
      </c>
      <c r="O5" s="20" t="s">
        <v>67</v>
      </c>
      <c r="Q5" s="5">
        <f>Q4*Q2</f>
        <v>5046</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-756.64999999999964</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145</v>
      </c>
      <c r="U11" s="20"/>
      <c r="V11" s="20"/>
      <c r="W11" s="20"/>
    </row>
    <row r="12" spans="1:23" x14ac:dyDescent="0.25">
      <c r="T12" s="72">
        <v>42338</v>
      </c>
      <c r="U12" s="62" t="s">
        <v>147</v>
      </c>
    </row>
    <row r="13" spans="1:23" x14ac:dyDescent="0.25">
      <c r="T13" s="72">
        <v>42300</v>
      </c>
      <c r="U13" t="s">
        <v>126</v>
      </c>
    </row>
    <row r="14" spans="1:23" x14ac:dyDescent="0.25">
      <c r="T14" s="72">
        <v>42370</v>
      </c>
      <c r="U14" t="s">
        <v>149</v>
      </c>
    </row>
    <row r="16" spans="1:23" x14ac:dyDescent="0.25">
      <c r="P16" t="s">
        <v>89</v>
      </c>
    </row>
    <row r="17" spans="15:23" x14ac:dyDescent="0.25">
      <c r="O17" s="2">
        <f>$Q$4</f>
        <v>84.1</v>
      </c>
      <c r="P17">
        <v>1.1000000000000001</v>
      </c>
      <c r="Q17" s="2">
        <f t="shared" ref="Q17:Q29" si="1">P17*O17</f>
        <v>92.51</v>
      </c>
    </row>
    <row r="18" spans="15:23" x14ac:dyDescent="0.25">
      <c r="O18" s="2">
        <f>$Q$4</f>
        <v>84.1</v>
      </c>
      <c r="P18">
        <v>1.05</v>
      </c>
      <c r="Q18" s="2">
        <f t="shared" si="1"/>
        <v>88.304999999999993</v>
      </c>
    </row>
    <row r="19" spans="15:23" x14ac:dyDescent="0.25">
      <c r="O19" s="2">
        <f t="shared" ref="O19:O29" si="2">$Q$4</f>
        <v>84.1</v>
      </c>
      <c r="P19">
        <v>1.04</v>
      </c>
      <c r="Q19" s="2">
        <f t="shared" si="1"/>
        <v>87.463999999999999</v>
      </c>
    </row>
    <row r="20" spans="15:23" x14ac:dyDescent="0.25">
      <c r="O20" s="2">
        <f t="shared" si="2"/>
        <v>84.1</v>
      </c>
      <c r="P20" s="2">
        <v>1.03</v>
      </c>
      <c r="Q20" s="2">
        <f t="shared" si="1"/>
        <v>86.62299999999999</v>
      </c>
    </row>
    <row r="21" spans="15:23" x14ac:dyDescent="0.25">
      <c r="O21" s="2">
        <f t="shared" si="2"/>
        <v>84.1</v>
      </c>
      <c r="P21" s="2">
        <v>1.02</v>
      </c>
      <c r="Q21" s="2">
        <f t="shared" si="1"/>
        <v>85.781999999999996</v>
      </c>
      <c r="W21" s="2"/>
    </row>
    <row r="22" spans="15:23" x14ac:dyDescent="0.25">
      <c r="O22" s="2">
        <f t="shared" si="2"/>
        <v>84.1</v>
      </c>
      <c r="P22" s="2">
        <v>1.01</v>
      </c>
      <c r="Q22" s="2">
        <f t="shared" si="1"/>
        <v>84.940999999999988</v>
      </c>
    </row>
    <row r="23" spans="15:23" x14ac:dyDescent="0.25">
      <c r="O23" s="2">
        <f t="shared" si="2"/>
        <v>84.1</v>
      </c>
      <c r="P23" s="2">
        <v>1</v>
      </c>
      <c r="Q23" s="2">
        <f t="shared" si="1"/>
        <v>84.1</v>
      </c>
    </row>
    <row r="24" spans="15:23" x14ac:dyDescent="0.25">
      <c r="O24" s="2">
        <f t="shared" si="2"/>
        <v>84.1</v>
      </c>
      <c r="P24" s="2">
        <v>0.99</v>
      </c>
      <c r="Q24" s="2">
        <f t="shared" si="1"/>
        <v>83.259</v>
      </c>
    </row>
    <row r="25" spans="15:23" x14ac:dyDescent="0.25">
      <c r="O25" s="2">
        <f t="shared" si="2"/>
        <v>84.1</v>
      </c>
      <c r="P25" s="2">
        <v>0.98</v>
      </c>
      <c r="Q25" s="2">
        <f t="shared" si="1"/>
        <v>82.417999999999992</v>
      </c>
    </row>
    <row r="26" spans="15:23" x14ac:dyDescent="0.25">
      <c r="O26" s="2">
        <f t="shared" si="2"/>
        <v>84.1</v>
      </c>
      <c r="P26" s="2">
        <v>0.97</v>
      </c>
      <c r="Q26" s="2">
        <f t="shared" si="1"/>
        <v>81.576999999999998</v>
      </c>
    </row>
    <row r="27" spans="15:23" x14ac:dyDescent="0.25">
      <c r="O27" s="2">
        <f t="shared" si="2"/>
        <v>84.1</v>
      </c>
      <c r="P27" s="2">
        <v>0.96</v>
      </c>
      <c r="Q27" s="2">
        <f t="shared" si="1"/>
        <v>80.73599999999999</v>
      </c>
    </row>
    <row r="28" spans="15:23" x14ac:dyDescent="0.25">
      <c r="O28" s="2">
        <f t="shared" si="2"/>
        <v>84.1</v>
      </c>
      <c r="P28" s="2">
        <v>0.95</v>
      </c>
      <c r="Q28" s="2">
        <f t="shared" si="1"/>
        <v>79.894999999999996</v>
      </c>
    </row>
    <row r="29" spans="15:23" x14ac:dyDescent="0.25">
      <c r="O29" s="2">
        <f t="shared" si="2"/>
        <v>84.1</v>
      </c>
      <c r="P29" s="2">
        <v>0.9</v>
      </c>
      <c r="Q29" s="2">
        <f t="shared" si="1"/>
        <v>75.69</v>
      </c>
    </row>
    <row r="38" spans="2:4" x14ac:dyDescent="0.25">
      <c r="B38" t="s">
        <v>213</v>
      </c>
      <c r="D38" s="140" t="s">
        <v>214</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141</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140</v>
      </c>
      <c r="V3" s="75"/>
      <c r="W3" s="75"/>
      <c r="X3" s="75"/>
      <c r="Y3" s="75"/>
      <c r="Z3" s="75"/>
    </row>
    <row r="4" spans="1:26" x14ac:dyDescent="0.25">
      <c r="B4" s="1">
        <v>42209</v>
      </c>
      <c r="C4">
        <v>20</v>
      </c>
      <c r="D4" s="2">
        <v>35.479999999999997</v>
      </c>
      <c r="F4" s="2">
        <f>C4*D4</f>
        <v>709.59999999999991</v>
      </c>
      <c r="O4" t="s">
        <v>66</v>
      </c>
      <c r="Q4" s="106">
        <v>34.36</v>
      </c>
    </row>
    <row r="5" spans="1:26" x14ac:dyDescent="0.25">
      <c r="B5" s="1">
        <v>42209</v>
      </c>
      <c r="C5">
        <v>20</v>
      </c>
      <c r="D5" s="2">
        <v>35.03</v>
      </c>
      <c r="F5" s="2">
        <f>C5*D5</f>
        <v>700.6</v>
      </c>
      <c r="O5" t="s">
        <v>67</v>
      </c>
      <c r="Q5" s="5">
        <f>Q4*Q2</f>
        <v>1374.4</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19.199999999999363</v>
      </c>
    </row>
    <row r="18" spans="15:17" x14ac:dyDescent="0.25">
      <c r="P18" t="s">
        <v>89</v>
      </c>
    </row>
    <row r="19" spans="15:17" x14ac:dyDescent="0.25">
      <c r="O19" s="2">
        <f>$Q$4</f>
        <v>34.36</v>
      </c>
      <c r="P19">
        <v>1.1000000000000001</v>
      </c>
      <c r="Q19" s="2">
        <f t="shared" ref="Q19:Q31" si="0">P19*O19</f>
        <v>37.795999999999999</v>
      </c>
    </row>
    <row r="20" spans="15:17" x14ac:dyDescent="0.25">
      <c r="O20" s="2">
        <f>$Q$4</f>
        <v>34.36</v>
      </c>
      <c r="P20">
        <v>1.05</v>
      </c>
      <c r="Q20" s="2">
        <f t="shared" si="0"/>
        <v>36.078000000000003</v>
      </c>
    </row>
    <row r="21" spans="15:17" x14ac:dyDescent="0.25">
      <c r="O21" s="2">
        <f t="shared" ref="O21:O31" si="1">$Q$4</f>
        <v>34.36</v>
      </c>
      <c r="P21">
        <v>1.04</v>
      </c>
      <c r="Q21" s="2">
        <f t="shared" si="0"/>
        <v>35.734400000000001</v>
      </c>
    </row>
    <row r="22" spans="15:17" x14ac:dyDescent="0.25">
      <c r="O22" s="2">
        <f t="shared" si="1"/>
        <v>34.36</v>
      </c>
      <c r="P22" s="2">
        <v>1.03</v>
      </c>
      <c r="Q22" s="2">
        <f t="shared" si="0"/>
        <v>35.390799999999999</v>
      </c>
    </row>
    <row r="23" spans="15:17" x14ac:dyDescent="0.25">
      <c r="O23" s="2">
        <f t="shared" si="1"/>
        <v>34.36</v>
      </c>
      <c r="P23" s="2">
        <v>1.02</v>
      </c>
      <c r="Q23" s="2">
        <f t="shared" si="0"/>
        <v>35.047199999999997</v>
      </c>
    </row>
    <row r="24" spans="15:17" x14ac:dyDescent="0.25">
      <c r="O24" s="2">
        <f t="shared" si="1"/>
        <v>34.36</v>
      </c>
      <c r="P24" s="2">
        <v>1.01</v>
      </c>
      <c r="Q24" s="2">
        <f t="shared" si="0"/>
        <v>34.703600000000002</v>
      </c>
    </row>
    <row r="25" spans="15:17" x14ac:dyDescent="0.25">
      <c r="O25" s="2">
        <f t="shared" si="1"/>
        <v>34.36</v>
      </c>
      <c r="P25" s="2">
        <v>1</v>
      </c>
      <c r="Q25" s="2">
        <f t="shared" si="0"/>
        <v>34.36</v>
      </c>
    </row>
    <row r="26" spans="15:17" x14ac:dyDescent="0.25">
      <c r="O26" s="2">
        <f t="shared" si="1"/>
        <v>34.36</v>
      </c>
      <c r="P26" s="2">
        <v>0.99</v>
      </c>
      <c r="Q26" s="2">
        <f t="shared" si="0"/>
        <v>34.016399999999997</v>
      </c>
    </row>
    <row r="27" spans="15:17" x14ac:dyDescent="0.25">
      <c r="O27" s="2">
        <f t="shared" si="1"/>
        <v>34.36</v>
      </c>
      <c r="P27" s="2">
        <v>0.98</v>
      </c>
      <c r="Q27" s="2">
        <f t="shared" si="0"/>
        <v>33.672800000000002</v>
      </c>
    </row>
    <row r="28" spans="15:17" x14ac:dyDescent="0.25">
      <c r="O28" s="2">
        <f t="shared" si="1"/>
        <v>34.36</v>
      </c>
      <c r="P28" s="2">
        <v>0.97</v>
      </c>
      <c r="Q28" s="2">
        <f t="shared" si="0"/>
        <v>33.3292</v>
      </c>
    </row>
    <row r="29" spans="15:17" x14ac:dyDescent="0.25">
      <c r="O29" s="2">
        <f t="shared" si="1"/>
        <v>34.36</v>
      </c>
      <c r="P29" s="2">
        <v>0.96</v>
      </c>
      <c r="Q29" s="2">
        <f t="shared" si="0"/>
        <v>32.985599999999998</v>
      </c>
    </row>
    <row r="30" spans="15:17" x14ac:dyDescent="0.25">
      <c r="O30" s="2">
        <f t="shared" si="1"/>
        <v>34.36</v>
      </c>
      <c r="P30" s="2">
        <v>0.95</v>
      </c>
      <c r="Q30" s="2">
        <f t="shared" si="0"/>
        <v>32.641999999999996</v>
      </c>
    </row>
    <row r="31" spans="15:17" x14ac:dyDescent="0.25">
      <c r="O31" s="2">
        <f t="shared" si="1"/>
        <v>34.36</v>
      </c>
      <c r="P31" s="2">
        <v>0.9</v>
      </c>
      <c r="Q31" s="2">
        <f t="shared" si="0"/>
        <v>30.923999999999999</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157</v>
      </c>
      <c r="F1" s="34" t="s">
        <v>60</v>
      </c>
      <c r="G1" s="20" t="s">
        <v>3</v>
      </c>
      <c r="H1" s="20" t="s">
        <v>6</v>
      </c>
      <c r="I1" s="34" t="s">
        <v>7</v>
      </c>
      <c r="J1" s="34" t="s">
        <v>156</v>
      </c>
      <c r="K1" s="34" t="s">
        <v>61</v>
      </c>
      <c r="L1" s="20" t="s">
        <v>37</v>
      </c>
      <c r="M1" s="20" t="s">
        <v>38</v>
      </c>
      <c r="P1"/>
      <c r="Q1"/>
      <c r="T1" s="20" t="s">
        <v>169</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126</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8.26</v>
      </c>
    </row>
    <row r="5" spans="1:21" x14ac:dyDescent="0.25">
      <c r="B5" s="1">
        <v>42166</v>
      </c>
      <c r="C5">
        <v>48</v>
      </c>
      <c r="D5" s="2">
        <v>12.3</v>
      </c>
      <c r="E5" s="2">
        <v>0</v>
      </c>
      <c r="F5" s="2">
        <f t="shared" si="0"/>
        <v>590.40000000000009</v>
      </c>
      <c r="O5" s="20" t="s">
        <v>67</v>
      </c>
      <c r="Q5" s="5">
        <f>Q4*Q2</f>
        <v>5782</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-1965.7200000000021</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8.26</v>
      </c>
      <c r="P21">
        <v>1.1000000000000001</v>
      </c>
      <c r="Q21" s="2">
        <f t="shared" ref="Q21:Q33" si="2">P21*O21</f>
        <v>9.0860000000000003</v>
      </c>
      <c r="R21" s="59"/>
    </row>
    <row r="22" spans="15:18" x14ac:dyDescent="0.25">
      <c r="O22" s="2">
        <f>$Q$4</f>
        <v>8.26</v>
      </c>
      <c r="P22">
        <v>1.05</v>
      </c>
      <c r="Q22" s="2">
        <f t="shared" si="2"/>
        <v>8.673</v>
      </c>
      <c r="R22" s="59"/>
    </row>
    <row r="23" spans="15:18" x14ac:dyDescent="0.25">
      <c r="O23" s="2">
        <f t="shared" ref="O23:O33" si="3">$Q$4</f>
        <v>8.26</v>
      </c>
      <c r="P23">
        <v>1.04</v>
      </c>
      <c r="Q23" s="2">
        <f t="shared" si="2"/>
        <v>8.5904000000000007</v>
      </c>
      <c r="R23" s="59"/>
    </row>
    <row r="24" spans="15:18" x14ac:dyDescent="0.25">
      <c r="O24" s="2">
        <f t="shared" si="3"/>
        <v>8.26</v>
      </c>
      <c r="P24" s="2">
        <v>1.03</v>
      </c>
      <c r="Q24" s="2">
        <f t="shared" si="2"/>
        <v>8.5077999999999996</v>
      </c>
      <c r="R24" s="59"/>
    </row>
    <row r="25" spans="15:18" x14ac:dyDescent="0.25">
      <c r="O25" s="2">
        <f t="shared" si="3"/>
        <v>8.26</v>
      </c>
      <c r="P25" s="2">
        <v>1.02</v>
      </c>
      <c r="Q25" s="2">
        <f t="shared" si="2"/>
        <v>8.4252000000000002</v>
      </c>
      <c r="R25" s="59"/>
    </row>
    <row r="26" spans="15:18" x14ac:dyDescent="0.25">
      <c r="O26" s="2">
        <f t="shared" si="3"/>
        <v>8.26</v>
      </c>
      <c r="P26" s="2">
        <v>1.01</v>
      </c>
      <c r="Q26" s="2">
        <f t="shared" si="2"/>
        <v>8.3425999999999991</v>
      </c>
      <c r="R26" s="59"/>
    </row>
    <row r="27" spans="15:18" x14ac:dyDescent="0.25">
      <c r="O27" s="2">
        <f t="shared" si="3"/>
        <v>8.26</v>
      </c>
      <c r="P27" s="2">
        <v>1</v>
      </c>
      <c r="Q27" s="2">
        <f t="shared" si="2"/>
        <v>8.26</v>
      </c>
      <c r="R27" s="59"/>
    </row>
    <row r="28" spans="15:18" x14ac:dyDescent="0.25">
      <c r="O28" s="2">
        <f t="shared" si="3"/>
        <v>8.26</v>
      </c>
      <c r="P28" s="2">
        <v>0.99</v>
      </c>
      <c r="Q28" s="2">
        <f t="shared" si="2"/>
        <v>8.1774000000000004</v>
      </c>
      <c r="R28" s="59"/>
    </row>
    <row r="29" spans="15:18" x14ac:dyDescent="0.25">
      <c r="O29" s="2">
        <f t="shared" si="3"/>
        <v>8.26</v>
      </c>
      <c r="P29" s="2">
        <v>0.98</v>
      </c>
      <c r="Q29" s="2">
        <f t="shared" si="2"/>
        <v>8.0947999999999993</v>
      </c>
      <c r="R29" s="59"/>
    </row>
    <row r="30" spans="15:18" x14ac:dyDescent="0.25">
      <c r="O30" s="2">
        <f t="shared" si="3"/>
        <v>8.26</v>
      </c>
      <c r="P30" s="2">
        <v>0.97</v>
      </c>
      <c r="Q30" s="2">
        <f t="shared" si="2"/>
        <v>8.0122</v>
      </c>
      <c r="R30" s="59"/>
    </row>
    <row r="31" spans="15:18" x14ac:dyDescent="0.25">
      <c r="O31" s="2">
        <f t="shared" si="3"/>
        <v>8.26</v>
      </c>
      <c r="P31" s="2">
        <v>0.96</v>
      </c>
      <c r="Q31" s="2">
        <f t="shared" si="2"/>
        <v>7.9295999999999998</v>
      </c>
      <c r="R31" s="59"/>
    </row>
    <row r="32" spans="15:18" x14ac:dyDescent="0.25">
      <c r="O32" s="2">
        <f t="shared" si="3"/>
        <v>8.26</v>
      </c>
      <c r="P32" s="2">
        <v>0.95</v>
      </c>
      <c r="Q32" s="2">
        <f t="shared" si="2"/>
        <v>7.8469999999999995</v>
      </c>
      <c r="R32" s="59"/>
    </row>
    <row r="33" spans="15:18" x14ac:dyDescent="0.25">
      <c r="O33" s="2">
        <f t="shared" si="3"/>
        <v>8.26</v>
      </c>
      <c r="P33" s="2">
        <v>0.9</v>
      </c>
      <c r="Q33" s="2">
        <f t="shared" si="2"/>
        <v>7.4340000000000002</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126</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17.739999999999998</v>
      </c>
    </row>
    <row r="5" spans="1:22" x14ac:dyDescent="0.25">
      <c r="B5" s="1">
        <v>42185</v>
      </c>
      <c r="C5">
        <v>5</v>
      </c>
      <c r="D5" s="2">
        <v>23.82</v>
      </c>
      <c r="F5" s="2">
        <f t="shared" si="0"/>
        <v>119.1</v>
      </c>
      <c r="O5" s="20" t="s">
        <v>67</v>
      </c>
      <c r="Q5" s="5">
        <f>Q4*Q2</f>
        <v>2128.7999999999997</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-433.65999999999985</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17.739999999999998</v>
      </c>
      <c r="P20">
        <v>1.1000000000000001</v>
      </c>
      <c r="Q20" s="2">
        <f t="shared" ref="Q20:Q32" si="1">P20*O20</f>
        <v>19.513999999999999</v>
      </c>
    </row>
    <row r="21" spans="15:17" x14ac:dyDescent="0.25">
      <c r="O21" s="2">
        <f>$Q$4</f>
        <v>17.739999999999998</v>
      </c>
      <c r="P21">
        <v>1.05</v>
      </c>
      <c r="Q21" s="2">
        <f t="shared" si="1"/>
        <v>18.626999999999999</v>
      </c>
    </row>
    <row r="22" spans="15:17" x14ac:dyDescent="0.25">
      <c r="O22" s="2">
        <f t="shared" ref="O22:O32" si="2">$Q$4</f>
        <v>17.739999999999998</v>
      </c>
      <c r="P22">
        <v>1.04</v>
      </c>
      <c r="Q22" s="2">
        <f t="shared" si="1"/>
        <v>18.4496</v>
      </c>
    </row>
    <row r="23" spans="15:17" x14ac:dyDescent="0.25">
      <c r="O23" s="2">
        <f t="shared" si="2"/>
        <v>17.739999999999998</v>
      </c>
      <c r="P23" s="2">
        <v>1.03</v>
      </c>
      <c r="Q23" s="2">
        <f t="shared" si="1"/>
        <v>18.272199999999998</v>
      </c>
    </row>
    <row r="24" spans="15:17" x14ac:dyDescent="0.25">
      <c r="O24" s="2">
        <f t="shared" si="2"/>
        <v>17.739999999999998</v>
      </c>
      <c r="P24" s="2">
        <v>1.02</v>
      </c>
      <c r="Q24" s="2">
        <f t="shared" si="1"/>
        <v>18.094799999999999</v>
      </c>
    </row>
    <row r="25" spans="15:17" x14ac:dyDescent="0.25">
      <c r="O25" s="2">
        <f t="shared" si="2"/>
        <v>17.739999999999998</v>
      </c>
      <c r="P25" s="2">
        <v>1.01</v>
      </c>
      <c r="Q25" s="2">
        <f t="shared" si="1"/>
        <v>17.917399999999997</v>
      </c>
    </row>
    <row r="26" spans="15:17" x14ac:dyDescent="0.25">
      <c r="O26" s="2">
        <f t="shared" si="2"/>
        <v>17.739999999999998</v>
      </c>
      <c r="P26" s="2">
        <v>1</v>
      </c>
      <c r="Q26" s="2">
        <f t="shared" si="1"/>
        <v>17.739999999999998</v>
      </c>
    </row>
    <row r="27" spans="15:17" x14ac:dyDescent="0.25">
      <c r="O27" s="2">
        <f t="shared" si="2"/>
        <v>17.739999999999998</v>
      </c>
      <c r="P27" s="2">
        <v>0.99</v>
      </c>
      <c r="Q27" s="2">
        <f t="shared" si="1"/>
        <v>17.5626</v>
      </c>
    </row>
    <row r="28" spans="15:17" x14ac:dyDescent="0.25">
      <c r="O28" s="2">
        <f t="shared" si="2"/>
        <v>17.739999999999998</v>
      </c>
      <c r="P28" s="2">
        <v>0.98</v>
      </c>
      <c r="Q28" s="2">
        <f t="shared" si="1"/>
        <v>17.385199999999998</v>
      </c>
    </row>
    <row r="29" spans="15:17" x14ac:dyDescent="0.25">
      <c r="O29" s="2">
        <f t="shared" si="2"/>
        <v>17.739999999999998</v>
      </c>
      <c r="P29" s="2">
        <v>0.97</v>
      </c>
      <c r="Q29" s="2">
        <f t="shared" si="1"/>
        <v>17.207799999999999</v>
      </c>
    </row>
    <row r="30" spans="15:17" x14ac:dyDescent="0.25">
      <c r="O30" s="2">
        <f t="shared" si="2"/>
        <v>17.739999999999998</v>
      </c>
      <c r="P30" s="2">
        <v>0.96</v>
      </c>
      <c r="Q30" s="2">
        <f t="shared" si="1"/>
        <v>17.030399999999997</v>
      </c>
    </row>
    <row r="31" spans="15:17" x14ac:dyDescent="0.25">
      <c r="O31" s="2">
        <f t="shared" si="2"/>
        <v>17.739999999999998</v>
      </c>
      <c r="P31" s="2">
        <v>0.95</v>
      </c>
      <c r="Q31" s="2">
        <f t="shared" si="1"/>
        <v>16.852999999999998</v>
      </c>
    </row>
    <row r="32" spans="15:17" x14ac:dyDescent="0.25">
      <c r="O32" s="2">
        <f t="shared" si="2"/>
        <v>17.739999999999998</v>
      </c>
      <c r="P32" s="2">
        <v>0.9</v>
      </c>
      <c r="Q32" s="2">
        <f t="shared" si="1"/>
        <v>15.965999999999999</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128</v>
      </c>
      <c r="U2" t="s">
        <v>129</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126</v>
      </c>
    </row>
    <row r="4" spans="1:21" x14ac:dyDescent="0.25">
      <c r="B4" s="1">
        <v>42156</v>
      </c>
      <c r="C4">
        <v>10</v>
      </c>
      <c r="D4" s="2">
        <v>46.5</v>
      </c>
      <c r="F4" s="2">
        <f t="shared" si="0"/>
        <v>465</v>
      </c>
      <c r="G4" s="1"/>
      <c r="O4" t="s">
        <v>66</v>
      </c>
      <c r="Q4" s="106">
        <v>41.07</v>
      </c>
    </row>
    <row r="5" spans="1:21" x14ac:dyDescent="0.25">
      <c r="B5" s="1">
        <v>42156</v>
      </c>
      <c r="C5">
        <v>50</v>
      </c>
      <c r="D5" s="2">
        <v>45.95</v>
      </c>
      <c r="F5" s="2">
        <f t="shared" si="0"/>
        <v>2297.5</v>
      </c>
      <c r="O5" t="s">
        <v>67</v>
      </c>
      <c r="Q5" s="5">
        <f>Q4*Q2</f>
        <v>1642.8</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-304.59999999999968</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41.07</v>
      </c>
      <c r="P22">
        <v>1.1000000000000001</v>
      </c>
      <c r="Q22" s="2">
        <f t="shared" ref="Q22:Q34" si="1">P22*O22</f>
        <v>45.177000000000007</v>
      </c>
      <c r="R22" s="59"/>
    </row>
    <row r="23" spans="15:18" x14ac:dyDescent="0.25">
      <c r="O23" s="2">
        <f>$Q$4</f>
        <v>41.07</v>
      </c>
      <c r="P23">
        <v>1.05</v>
      </c>
      <c r="Q23" s="2">
        <f t="shared" si="1"/>
        <v>43.1235</v>
      </c>
      <c r="R23" s="59"/>
    </row>
    <row r="24" spans="15:18" x14ac:dyDescent="0.25">
      <c r="O24" s="2">
        <f t="shared" ref="O24:O34" si="2">$Q$4</f>
        <v>41.07</v>
      </c>
      <c r="P24">
        <v>1.04</v>
      </c>
      <c r="Q24" s="2">
        <f t="shared" si="1"/>
        <v>42.712800000000001</v>
      </c>
      <c r="R24" s="59"/>
    </row>
    <row r="25" spans="15:18" x14ac:dyDescent="0.25">
      <c r="O25" s="2">
        <f t="shared" si="2"/>
        <v>41.07</v>
      </c>
      <c r="P25" s="2">
        <v>1.03</v>
      </c>
      <c r="Q25" s="2">
        <f t="shared" si="1"/>
        <v>42.302100000000003</v>
      </c>
      <c r="R25" s="59"/>
    </row>
    <row r="26" spans="15:18" x14ac:dyDescent="0.25">
      <c r="O26" s="2">
        <f t="shared" si="2"/>
        <v>41.07</v>
      </c>
      <c r="P26" s="2">
        <v>1.02</v>
      </c>
      <c r="Q26" s="2">
        <f t="shared" si="1"/>
        <v>41.891400000000004</v>
      </c>
      <c r="R26" s="59"/>
    </row>
    <row r="27" spans="15:18" x14ac:dyDescent="0.25">
      <c r="O27" s="2">
        <f t="shared" si="2"/>
        <v>41.07</v>
      </c>
      <c r="P27" s="2">
        <v>1.01</v>
      </c>
      <c r="Q27" s="2">
        <f t="shared" si="1"/>
        <v>41.480699999999999</v>
      </c>
      <c r="R27" s="59"/>
    </row>
    <row r="28" spans="15:18" x14ac:dyDescent="0.25">
      <c r="O28" s="2">
        <f t="shared" si="2"/>
        <v>41.07</v>
      </c>
      <c r="P28" s="2">
        <v>1</v>
      </c>
      <c r="Q28" s="2">
        <f t="shared" si="1"/>
        <v>41.07</v>
      </c>
      <c r="R28" s="59"/>
    </row>
    <row r="29" spans="15:18" x14ac:dyDescent="0.25">
      <c r="O29" s="2">
        <f t="shared" si="2"/>
        <v>41.07</v>
      </c>
      <c r="P29" s="2">
        <v>0.99</v>
      </c>
      <c r="Q29" s="2">
        <f t="shared" si="1"/>
        <v>40.659300000000002</v>
      </c>
      <c r="R29" s="59"/>
    </row>
    <row r="30" spans="15:18" x14ac:dyDescent="0.25">
      <c r="O30" s="2">
        <f t="shared" si="2"/>
        <v>41.07</v>
      </c>
      <c r="P30" s="2">
        <v>0.98</v>
      </c>
      <c r="Q30" s="2">
        <f t="shared" si="1"/>
        <v>40.248599999999996</v>
      </c>
      <c r="R30" s="59"/>
    </row>
    <row r="31" spans="15:18" x14ac:dyDescent="0.25">
      <c r="O31" s="2">
        <f t="shared" si="2"/>
        <v>41.07</v>
      </c>
      <c r="P31" s="2">
        <v>0.97</v>
      </c>
      <c r="Q31" s="2">
        <f t="shared" si="1"/>
        <v>39.837899999999998</v>
      </c>
      <c r="R31" s="59" t="s">
        <v>123</v>
      </c>
    </row>
    <row r="32" spans="15:18" x14ac:dyDescent="0.25">
      <c r="O32" s="2">
        <f t="shared" si="2"/>
        <v>41.07</v>
      </c>
      <c r="P32" s="2">
        <v>0.96</v>
      </c>
      <c r="Q32" s="2">
        <f t="shared" si="1"/>
        <v>39.427199999999999</v>
      </c>
      <c r="R32" s="59"/>
    </row>
    <row r="33" spans="15:18" x14ac:dyDescent="0.25">
      <c r="O33" s="2">
        <f t="shared" si="2"/>
        <v>41.07</v>
      </c>
      <c r="P33" s="2">
        <v>0.95</v>
      </c>
      <c r="Q33" s="2">
        <f t="shared" si="1"/>
        <v>39.016500000000001</v>
      </c>
      <c r="R33" s="59"/>
    </row>
    <row r="34" spans="15:18" x14ac:dyDescent="0.25">
      <c r="O34" s="2">
        <f t="shared" si="2"/>
        <v>41.07</v>
      </c>
      <c r="P34" s="2">
        <v>0.9</v>
      </c>
      <c r="Q34" s="2">
        <f t="shared" si="1"/>
        <v>36.963000000000001</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34" t="s">
        <v>38</v>
      </c>
      <c r="T1" s="20" t="s">
        <v>74</v>
      </c>
    </row>
    <row r="2" spans="1:21" x14ac:dyDescent="0.25">
      <c r="A2" s="8" t="s">
        <v>45</v>
      </c>
      <c r="B2" s="1">
        <v>42185</v>
      </c>
      <c r="C2">
        <v>10</v>
      </c>
      <c r="D2" s="2">
        <v>65.45</v>
      </c>
      <c r="F2" s="2">
        <f t="shared" ref="F2:F7" si="0">C2*D2</f>
        <v>654.5</v>
      </c>
      <c r="G2" s="1">
        <v>42226</v>
      </c>
      <c r="H2" s="10">
        <v>30</v>
      </c>
      <c r="I2" s="25">
        <v>62.9</v>
      </c>
      <c r="J2" s="25"/>
      <c r="K2" s="25">
        <f>H2*I2</f>
        <v>1887</v>
      </c>
      <c r="O2" s="20" t="s">
        <v>57</v>
      </c>
      <c r="Q2">
        <f>C8-H8</f>
        <v>100</v>
      </c>
      <c r="T2" s="1">
        <v>42306</v>
      </c>
      <c r="U2" t="s">
        <v>126</v>
      </c>
    </row>
    <row r="3" spans="1:21" x14ac:dyDescent="0.25">
      <c r="A3" s="36" t="s">
        <v>81</v>
      </c>
      <c r="B3" s="1">
        <v>42223</v>
      </c>
      <c r="C3">
        <v>30</v>
      </c>
      <c r="D3" s="2">
        <v>61.3</v>
      </c>
      <c r="F3" s="2">
        <f t="shared" si="0"/>
        <v>1839</v>
      </c>
      <c r="G3" s="1">
        <v>42235</v>
      </c>
      <c r="H3" s="17">
        <v>30</v>
      </c>
      <c r="I3" s="78">
        <v>63.59</v>
      </c>
      <c r="J3" s="78"/>
      <c r="K3" s="78">
        <f>H3*I3</f>
        <v>1907.7</v>
      </c>
      <c r="O3" s="20" t="s">
        <v>58</v>
      </c>
      <c r="Q3" s="2">
        <f>(F8-K8)/Q2</f>
        <v>62.165999999999997</v>
      </c>
    </row>
    <row r="4" spans="1:21" x14ac:dyDescent="0.25">
      <c r="B4" s="1">
        <v>42223</v>
      </c>
      <c r="C4" s="6">
        <v>40</v>
      </c>
      <c r="D4" s="5">
        <v>62.45</v>
      </c>
      <c r="E4" s="5"/>
      <c r="F4" s="5">
        <f t="shared" si="0"/>
        <v>2498</v>
      </c>
      <c r="O4" s="20" t="s">
        <v>66</v>
      </c>
      <c r="Q4" s="106">
        <v>57.4</v>
      </c>
    </row>
    <row r="5" spans="1:21" x14ac:dyDescent="0.25">
      <c r="B5" s="1">
        <v>42223</v>
      </c>
      <c r="C5" s="10">
        <v>30</v>
      </c>
      <c r="D5" s="25">
        <v>62</v>
      </c>
      <c r="E5" s="25"/>
      <c r="F5" s="25">
        <f t="shared" si="0"/>
        <v>1860</v>
      </c>
      <c r="O5" s="20" t="s">
        <v>67</v>
      </c>
      <c r="Q5" s="5">
        <f>Q4*Q2</f>
        <v>5740</v>
      </c>
    </row>
    <row r="6" spans="1:21" x14ac:dyDescent="0.25">
      <c r="B6" s="1">
        <v>42223</v>
      </c>
      <c r="C6" s="17">
        <v>30</v>
      </c>
      <c r="D6" s="78">
        <v>62.98</v>
      </c>
      <c r="E6" s="78"/>
      <c r="F6" s="78">
        <f t="shared" si="0"/>
        <v>1889.3999999999999</v>
      </c>
      <c r="O6" s="20" t="s">
        <v>64</v>
      </c>
      <c r="Q6" s="2">
        <f>Q3*Q2</f>
        <v>6216.5999999999995</v>
      </c>
    </row>
    <row r="7" spans="1:21" x14ac:dyDescent="0.25">
      <c r="B7" s="1">
        <v>42223</v>
      </c>
      <c r="C7">
        <v>20</v>
      </c>
      <c r="D7" s="2">
        <v>63.52</v>
      </c>
      <c r="F7" s="2">
        <f t="shared" si="0"/>
        <v>1270.4000000000001</v>
      </c>
      <c r="O7" s="20" t="s">
        <v>65</v>
      </c>
      <c r="Q7" s="2">
        <f>Q5-Q6+M8</f>
        <v>-476.59999999999945</v>
      </c>
    </row>
    <row r="8" spans="1:21" x14ac:dyDescent="0.25">
      <c r="A8" s="57" t="s">
        <v>114</v>
      </c>
      <c r="B8" s="24"/>
      <c r="C8" s="24">
        <f>SUM(C2:C7)</f>
        <v>160</v>
      </c>
      <c r="D8" s="31"/>
      <c r="E8" s="31"/>
      <c r="F8" s="31">
        <f>SUM(F2:F7)</f>
        <v>10011.299999999999</v>
      </c>
      <c r="G8" s="24"/>
      <c r="H8" s="24">
        <f>SUM(H2:H4)</f>
        <v>60</v>
      </c>
      <c r="I8" s="31"/>
      <c r="J8" s="31"/>
      <c r="K8" s="31">
        <f>SUM(K2:K4)</f>
        <v>3794.7</v>
      </c>
      <c r="L8" s="24"/>
      <c r="M8" s="31"/>
    </row>
    <row r="16" spans="1:21" x14ac:dyDescent="0.25">
      <c r="A16" s="56"/>
      <c r="P16" t="s">
        <v>89</v>
      </c>
      <c r="U16" s="2"/>
    </row>
    <row r="17" spans="1:17" x14ac:dyDescent="0.25">
      <c r="A17" s="56"/>
      <c r="O17" s="2">
        <f>$Q$4</f>
        <v>57.4</v>
      </c>
      <c r="P17">
        <v>1.1000000000000001</v>
      </c>
      <c r="Q17" s="2">
        <f t="shared" ref="Q17:Q29" si="1">P17*O17</f>
        <v>63.14</v>
      </c>
    </row>
    <row r="18" spans="1:17" x14ac:dyDescent="0.25">
      <c r="A18" s="56"/>
      <c r="O18" s="2">
        <f>$Q$4</f>
        <v>57.4</v>
      </c>
      <c r="P18">
        <v>1.05</v>
      </c>
      <c r="Q18" s="2">
        <f t="shared" si="1"/>
        <v>60.27</v>
      </c>
    </row>
    <row r="19" spans="1:17" x14ac:dyDescent="0.25">
      <c r="O19" s="2">
        <f t="shared" ref="O19:O29" si="2">$Q$4</f>
        <v>57.4</v>
      </c>
      <c r="P19">
        <v>1.04</v>
      </c>
      <c r="Q19" s="2">
        <f t="shared" si="1"/>
        <v>59.695999999999998</v>
      </c>
    </row>
    <row r="20" spans="1:17" x14ac:dyDescent="0.25">
      <c r="O20" s="2">
        <f t="shared" si="2"/>
        <v>57.4</v>
      </c>
      <c r="P20" s="2">
        <v>1.03</v>
      </c>
      <c r="Q20" s="2">
        <f t="shared" si="1"/>
        <v>59.122</v>
      </c>
    </row>
    <row r="21" spans="1:17" x14ac:dyDescent="0.25">
      <c r="O21" s="2">
        <f t="shared" si="2"/>
        <v>57.4</v>
      </c>
      <c r="P21" s="2">
        <v>1.02</v>
      </c>
      <c r="Q21" s="2">
        <f t="shared" si="1"/>
        <v>58.548000000000002</v>
      </c>
    </row>
    <row r="22" spans="1:17" x14ac:dyDescent="0.25">
      <c r="O22" s="2">
        <f t="shared" si="2"/>
        <v>57.4</v>
      </c>
      <c r="P22" s="2">
        <v>1.01</v>
      </c>
      <c r="Q22" s="2">
        <f t="shared" si="1"/>
        <v>57.973999999999997</v>
      </c>
    </row>
    <row r="23" spans="1:17" x14ac:dyDescent="0.25">
      <c r="O23" s="2">
        <f t="shared" si="2"/>
        <v>57.4</v>
      </c>
      <c r="P23" s="2">
        <v>1</v>
      </c>
      <c r="Q23" s="2">
        <f t="shared" si="1"/>
        <v>57.4</v>
      </c>
    </row>
    <row r="24" spans="1:17" x14ac:dyDescent="0.25">
      <c r="O24" s="2">
        <f t="shared" si="2"/>
        <v>57.4</v>
      </c>
      <c r="P24" s="2">
        <v>0.99</v>
      </c>
      <c r="Q24" s="2">
        <f t="shared" si="1"/>
        <v>56.826000000000001</v>
      </c>
    </row>
    <row r="25" spans="1:17" x14ac:dyDescent="0.25">
      <c r="O25" s="2">
        <f t="shared" si="2"/>
        <v>57.4</v>
      </c>
      <c r="P25" s="2">
        <v>0.98</v>
      </c>
      <c r="Q25" s="2">
        <f t="shared" si="1"/>
        <v>56.251999999999995</v>
      </c>
    </row>
    <row r="26" spans="1:17" x14ac:dyDescent="0.25">
      <c r="O26" s="2">
        <f t="shared" si="2"/>
        <v>57.4</v>
      </c>
      <c r="P26" s="2">
        <v>0.97</v>
      </c>
      <c r="Q26" s="2">
        <f t="shared" si="1"/>
        <v>55.677999999999997</v>
      </c>
    </row>
    <row r="27" spans="1:17" x14ac:dyDescent="0.25">
      <c r="O27" s="2">
        <f t="shared" si="2"/>
        <v>57.4</v>
      </c>
      <c r="P27" s="2">
        <v>0.96</v>
      </c>
      <c r="Q27" s="2">
        <f t="shared" si="1"/>
        <v>55.103999999999999</v>
      </c>
    </row>
    <row r="28" spans="1:17" x14ac:dyDescent="0.25">
      <c r="O28" s="2">
        <f t="shared" si="2"/>
        <v>57.4</v>
      </c>
      <c r="P28" s="2">
        <v>0.95</v>
      </c>
      <c r="Q28" s="2">
        <f t="shared" si="1"/>
        <v>54.529999999999994</v>
      </c>
    </row>
    <row r="29" spans="1:17" x14ac:dyDescent="0.25">
      <c r="O29" s="2">
        <f t="shared" si="2"/>
        <v>57.4</v>
      </c>
      <c r="P29" s="2">
        <v>0.9</v>
      </c>
      <c r="Q29" s="2">
        <f t="shared" si="1"/>
        <v>51.66</v>
      </c>
    </row>
    <row r="36" spans="3:5" x14ac:dyDescent="0.25">
      <c r="C36" t="s">
        <v>200</v>
      </c>
      <c r="E36" s="2" t="s">
        <v>201</v>
      </c>
    </row>
    <row r="37" spans="3:5" ht="15" customHeight="1" x14ac:dyDescent="0.25">
      <c r="C37" t="s">
        <v>202</v>
      </c>
      <c r="E37" s="2" t="s">
        <v>203</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157</v>
      </c>
      <c r="F1" s="34" t="s">
        <v>60</v>
      </c>
      <c r="G1" s="20" t="s">
        <v>3</v>
      </c>
      <c r="H1" s="20" t="s">
        <v>6</v>
      </c>
      <c r="I1" s="20" t="s">
        <v>7</v>
      </c>
      <c r="J1" s="20" t="s">
        <v>156</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126</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5.12</v>
      </c>
    </row>
    <row r="5" spans="1:21" x14ac:dyDescent="0.25">
      <c r="B5" s="1">
        <v>42194</v>
      </c>
      <c r="C5">
        <v>150</v>
      </c>
      <c r="D5" s="2">
        <v>6.1</v>
      </c>
      <c r="E5" s="2">
        <v>0</v>
      </c>
      <c r="F5" s="2">
        <f t="shared" si="0"/>
        <v>915</v>
      </c>
      <c r="O5" s="20" t="s">
        <v>67</v>
      </c>
      <c r="Q5" s="5">
        <f>Q4*Q2</f>
        <v>2304</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-349.52</v>
      </c>
    </row>
    <row r="22" spans="15:17" x14ac:dyDescent="0.25">
      <c r="P22" t="s">
        <v>89</v>
      </c>
    </row>
    <row r="23" spans="15:17" x14ac:dyDescent="0.25">
      <c r="O23" s="2">
        <f>$Q$4</f>
        <v>5.12</v>
      </c>
      <c r="P23">
        <v>1.1000000000000001</v>
      </c>
      <c r="Q23" s="2">
        <f t="shared" ref="Q23:Q35" si="1">P23*O23</f>
        <v>5.6320000000000006</v>
      </c>
    </row>
    <row r="24" spans="15:17" x14ac:dyDescent="0.25">
      <c r="O24" s="2">
        <f>$Q$4</f>
        <v>5.12</v>
      </c>
      <c r="P24">
        <v>1.05</v>
      </c>
      <c r="Q24" s="2">
        <f t="shared" si="1"/>
        <v>5.3760000000000003</v>
      </c>
    </row>
    <row r="25" spans="15:17" x14ac:dyDescent="0.25">
      <c r="O25" s="2">
        <f t="shared" ref="O25:O35" si="2">$Q$4</f>
        <v>5.12</v>
      </c>
      <c r="P25">
        <v>1.04</v>
      </c>
      <c r="Q25" s="2">
        <f t="shared" si="1"/>
        <v>5.3248000000000006</v>
      </c>
    </row>
    <row r="26" spans="15:17" x14ac:dyDescent="0.25">
      <c r="O26" s="2">
        <f t="shared" si="2"/>
        <v>5.12</v>
      </c>
      <c r="P26" s="2">
        <v>1.03</v>
      </c>
      <c r="Q26" s="2">
        <f t="shared" si="1"/>
        <v>5.2736000000000001</v>
      </c>
    </row>
    <row r="27" spans="15:17" x14ac:dyDescent="0.25">
      <c r="O27" s="2">
        <f t="shared" si="2"/>
        <v>5.12</v>
      </c>
      <c r="P27" s="2">
        <v>1.02</v>
      </c>
      <c r="Q27" s="2">
        <f t="shared" si="1"/>
        <v>5.2224000000000004</v>
      </c>
    </row>
    <row r="28" spans="15:17" x14ac:dyDescent="0.25">
      <c r="O28" s="2">
        <f t="shared" si="2"/>
        <v>5.12</v>
      </c>
      <c r="P28" s="2">
        <v>1.01</v>
      </c>
      <c r="Q28" s="2">
        <f t="shared" si="1"/>
        <v>5.1711999999999998</v>
      </c>
    </row>
    <row r="29" spans="15:17" x14ac:dyDescent="0.25">
      <c r="O29" s="2">
        <f t="shared" si="2"/>
        <v>5.12</v>
      </c>
      <c r="P29" s="2">
        <v>1</v>
      </c>
      <c r="Q29" s="2">
        <f t="shared" si="1"/>
        <v>5.12</v>
      </c>
    </row>
    <row r="30" spans="15:17" x14ac:dyDescent="0.25">
      <c r="O30" s="2">
        <f t="shared" si="2"/>
        <v>5.12</v>
      </c>
      <c r="P30" s="2">
        <v>0.99</v>
      </c>
      <c r="Q30" s="2">
        <f t="shared" si="1"/>
        <v>5.0688000000000004</v>
      </c>
    </row>
    <row r="31" spans="15:17" x14ac:dyDescent="0.25">
      <c r="O31" s="2">
        <f t="shared" si="2"/>
        <v>5.12</v>
      </c>
      <c r="P31" s="2">
        <v>0.98</v>
      </c>
      <c r="Q31" s="2">
        <f t="shared" si="1"/>
        <v>5.0175999999999998</v>
      </c>
    </row>
    <row r="32" spans="15:17" x14ac:dyDescent="0.25">
      <c r="O32" s="2">
        <f t="shared" si="2"/>
        <v>5.12</v>
      </c>
      <c r="P32" s="2">
        <v>0.97</v>
      </c>
      <c r="Q32" s="2">
        <f t="shared" si="1"/>
        <v>4.9664000000000001</v>
      </c>
    </row>
    <row r="33" spans="15:17" x14ac:dyDescent="0.25">
      <c r="O33" s="2">
        <f t="shared" si="2"/>
        <v>5.12</v>
      </c>
      <c r="P33" s="2">
        <v>0.96</v>
      </c>
      <c r="Q33" s="2">
        <f t="shared" si="1"/>
        <v>4.9151999999999996</v>
      </c>
    </row>
    <row r="34" spans="15:17" x14ac:dyDescent="0.25">
      <c r="O34" s="2">
        <f t="shared" si="2"/>
        <v>5.12</v>
      </c>
      <c r="P34" s="2">
        <v>0.95</v>
      </c>
      <c r="Q34" s="2">
        <f t="shared" si="1"/>
        <v>4.8639999999999999</v>
      </c>
    </row>
    <row r="35" spans="15:17" x14ac:dyDescent="0.25">
      <c r="O35" s="2">
        <f t="shared" si="2"/>
        <v>5.12</v>
      </c>
      <c r="P35" s="2">
        <v>0.9</v>
      </c>
      <c r="Q35" s="2">
        <f t="shared" si="1"/>
        <v>4.6080000000000005</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131</v>
      </c>
      <c r="O2" s="20" t="s">
        <v>57</v>
      </c>
      <c r="Q2">
        <f>C6-H6</f>
        <v>60</v>
      </c>
      <c r="T2" s="1">
        <v>42305</v>
      </c>
      <c r="U2" t="s">
        <v>126</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74.12</v>
      </c>
    </row>
    <row r="5" spans="1:21" x14ac:dyDescent="0.25">
      <c r="B5" s="1">
        <v>42222</v>
      </c>
      <c r="C5">
        <v>10</v>
      </c>
      <c r="D5" s="2">
        <v>83.08</v>
      </c>
      <c r="F5" s="2">
        <f t="shared" si="0"/>
        <v>830.8</v>
      </c>
      <c r="O5" s="20" t="s">
        <v>67</v>
      </c>
      <c r="Q5" s="5">
        <f>Q4*Q2</f>
        <v>4447.2000000000007</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-640.09999999999945</v>
      </c>
    </row>
    <row r="17" spans="15:18" x14ac:dyDescent="0.25">
      <c r="P17" t="s">
        <v>89</v>
      </c>
      <c r="R17" s="59"/>
    </row>
    <row r="18" spans="15:18" x14ac:dyDescent="0.25">
      <c r="O18" s="2">
        <f>$Q$4</f>
        <v>74.12</v>
      </c>
      <c r="P18">
        <v>1.1000000000000001</v>
      </c>
      <c r="Q18" s="2">
        <f t="shared" ref="Q18:Q30" si="1">P18*O18</f>
        <v>81.532000000000011</v>
      </c>
      <c r="R18" s="59"/>
    </row>
    <row r="19" spans="15:18" x14ac:dyDescent="0.25">
      <c r="O19" s="2">
        <f>$Q$4</f>
        <v>74.12</v>
      </c>
      <c r="P19">
        <v>1.05</v>
      </c>
      <c r="Q19" s="2">
        <f t="shared" si="1"/>
        <v>77.826000000000008</v>
      </c>
      <c r="R19" s="59"/>
    </row>
    <row r="20" spans="15:18" x14ac:dyDescent="0.25">
      <c r="O20" s="2">
        <f t="shared" ref="O20:O30" si="2">$Q$4</f>
        <v>74.12</v>
      </c>
      <c r="P20">
        <v>1.04</v>
      </c>
      <c r="Q20" s="2">
        <f t="shared" si="1"/>
        <v>77.084800000000001</v>
      </c>
      <c r="R20" s="59"/>
    </row>
    <row r="21" spans="15:18" x14ac:dyDescent="0.25">
      <c r="O21" s="2">
        <f t="shared" si="2"/>
        <v>74.12</v>
      </c>
      <c r="P21" s="2">
        <v>1.03</v>
      </c>
      <c r="Q21" s="2">
        <f t="shared" si="1"/>
        <v>76.343600000000009</v>
      </c>
      <c r="R21" s="59" t="s">
        <v>115</v>
      </c>
    </row>
    <row r="22" spans="15:18" x14ac:dyDescent="0.25">
      <c r="O22" s="2">
        <f t="shared" si="2"/>
        <v>74.12</v>
      </c>
      <c r="P22" s="2">
        <v>1.02</v>
      </c>
      <c r="Q22" s="2">
        <f t="shared" si="1"/>
        <v>75.602400000000003</v>
      </c>
      <c r="R22" s="59"/>
    </row>
    <row r="23" spans="15:18" x14ac:dyDescent="0.25">
      <c r="O23" s="2">
        <f t="shared" si="2"/>
        <v>74.12</v>
      </c>
      <c r="P23" s="2">
        <v>1.01</v>
      </c>
      <c r="Q23" s="2">
        <f t="shared" si="1"/>
        <v>74.861200000000011</v>
      </c>
      <c r="R23" s="59"/>
    </row>
    <row r="24" spans="15:18" x14ac:dyDescent="0.25">
      <c r="O24" s="2">
        <f t="shared" si="2"/>
        <v>74.12</v>
      </c>
      <c r="P24" s="2">
        <v>1</v>
      </c>
      <c r="Q24" s="2">
        <f t="shared" si="1"/>
        <v>74.12</v>
      </c>
      <c r="R24" s="59"/>
    </row>
    <row r="25" spans="15:18" x14ac:dyDescent="0.25">
      <c r="O25" s="2">
        <f t="shared" si="2"/>
        <v>74.12</v>
      </c>
      <c r="P25" s="2">
        <v>0.99</v>
      </c>
      <c r="Q25" s="2">
        <f t="shared" si="1"/>
        <v>73.378799999999998</v>
      </c>
      <c r="R25" s="59"/>
    </row>
    <row r="26" spans="15:18" x14ac:dyDescent="0.25">
      <c r="O26" s="2">
        <f t="shared" si="2"/>
        <v>74.12</v>
      </c>
      <c r="P26" s="2">
        <v>0.98</v>
      </c>
      <c r="Q26" s="2">
        <f t="shared" si="1"/>
        <v>72.637600000000006</v>
      </c>
      <c r="R26" s="59" t="s">
        <v>130</v>
      </c>
    </row>
    <row r="27" spans="15:18" x14ac:dyDescent="0.25">
      <c r="O27" s="2">
        <f t="shared" si="2"/>
        <v>74.12</v>
      </c>
      <c r="P27" s="2">
        <v>0.97</v>
      </c>
      <c r="Q27" s="2">
        <f t="shared" si="1"/>
        <v>71.8964</v>
      </c>
      <c r="R27" s="59"/>
    </row>
    <row r="28" spans="15:18" x14ac:dyDescent="0.25">
      <c r="O28" s="2">
        <f t="shared" si="2"/>
        <v>74.12</v>
      </c>
      <c r="P28" s="2">
        <v>0.96</v>
      </c>
      <c r="Q28" s="2">
        <f t="shared" si="1"/>
        <v>71.155200000000008</v>
      </c>
      <c r="R28" s="59"/>
    </row>
    <row r="29" spans="15:18" x14ac:dyDescent="0.25">
      <c r="O29" s="2">
        <f t="shared" si="2"/>
        <v>74.12</v>
      </c>
      <c r="P29" s="2">
        <v>0.95</v>
      </c>
      <c r="Q29" s="2">
        <f t="shared" si="1"/>
        <v>70.414000000000001</v>
      </c>
      <c r="R29" s="59"/>
    </row>
    <row r="30" spans="15:18" x14ac:dyDescent="0.25">
      <c r="O30" s="2">
        <f t="shared" si="2"/>
        <v>74.12</v>
      </c>
      <c r="P30" s="2">
        <v>0.9</v>
      </c>
      <c r="Q30" s="2">
        <f t="shared" si="1"/>
        <v>66.708000000000013</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169</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206</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83.55</v>
      </c>
    </row>
    <row r="5" spans="1:23" x14ac:dyDescent="0.25">
      <c r="B5" s="1">
        <v>42215</v>
      </c>
      <c r="C5" s="10">
        <v>5</v>
      </c>
      <c r="D5" s="25">
        <v>82.25</v>
      </c>
      <c r="E5" s="25"/>
      <c r="F5" s="25">
        <f t="shared" si="0"/>
        <v>411.25</v>
      </c>
      <c r="O5" s="20" t="s">
        <v>67</v>
      </c>
      <c r="Q5" s="5">
        <f>Q4*Q2</f>
        <v>3342</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49.400000000000091</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83.55</v>
      </c>
      <c r="P20">
        <v>1.1000000000000001</v>
      </c>
      <c r="Q20" s="2">
        <f t="shared" ref="Q20:Q32" si="1">P20*O20</f>
        <v>91.905000000000001</v>
      </c>
    </row>
    <row r="21" spans="15:23" x14ac:dyDescent="0.25">
      <c r="O21" s="2">
        <f>$Q$4</f>
        <v>83.55</v>
      </c>
      <c r="P21">
        <v>1.05</v>
      </c>
      <c r="Q21" s="2">
        <f t="shared" si="1"/>
        <v>87.727500000000006</v>
      </c>
    </row>
    <row r="22" spans="15:23" x14ac:dyDescent="0.25">
      <c r="O22" s="2">
        <f t="shared" ref="O22:O32" si="2">$Q$4</f>
        <v>83.55</v>
      </c>
      <c r="P22">
        <v>1.04</v>
      </c>
      <c r="Q22" s="2">
        <f t="shared" si="1"/>
        <v>86.891999999999996</v>
      </c>
    </row>
    <row r="23" spans="15:23" x14ac:dyDescent="0.25">
      <c r="O23" s="2">
        <f t="shared" si="2"/>
        <v>83.55</v>
      </c>
      <c r="P23" s="2">
        <v>1.03</v>
      </c>
      <c r="Q23" s="2">
        <f t="shared" si="1"/>
        <v>86.0565</v>
      </c>
    </row>
    <row r="24" spans="15:23" x14ac:dyDescent="0.25">
      <c r="O24" s="2">
        <f t="shared" si="2"/>
        <v>83.55</v>
      </c>
      <c r="P24" s="2">
        <v>1.02</v>
      </c>
      <c r="Q24" s="2">
        <f t="shared" si="1"/>
        <v>85.221000000000004</v>
      </c>
    </row>
    <row r="25" spans="15:23" x14ac:dyDescent="0.25">
      <c r="O25" s="2">
        <f t="shared" si="2"/>
        <v>83.55</v>
      </c>
      <c r="P25" s="2">
        <v>1.01</v>
      </c>
      <c r="Q25" s="2">
        <f t="shared" si="1"/>
        <v>84.385499999999993</v>
      </c>
    </row>
    <row r="26" spans="15:23" x14ac:dyDescent="0.25">
      <c r="O26" s="2">
        <f t="shared" si="2"/>
        <v>83.55</v>
      </c>
      <c r="P26" s="2">
        <v>1</v>
      </c>
      <c r="Q26" s="2">
        <f t="shared" si="1"/>
        <v>83.55</v>
      </c>
    </row>
    <row r="27" spans="15:23" x14ac:dyDescent="0.25">
      <c r="O27" s="2">
        <f t="shared" si="2"/>
        <v>83.55</v>
      </c>
      <c r="P27" s="2">
        <v>0.99</v>
      </c>
      <c r="Q27" s="2">
        <f t="shared" si="1"/>
        <v>82.714500000000001</v>
      </c>
    </row>
    <row r="28" spans="15:23" x14ac:dyDescent="0.25">
      <c r="O28" s="2">
        <f t="shared" si="2"/>
        <v>83.55</v>
      </c>
      <c r="P28" s="2">
        <v>0.98</v>
      </c>
      <c r="Q28" s="2">
        <f t="shared" si="1"/>
        <v>81.878999999999991</v>
      </c>
    </row>
    <row r="29" spans="15:23" x14ac:dyDescent="0.25">
      <c r="O29" s="2">
        <f t="shared" si="2"/>
        <v>83.55</v>
      </c>
      <c r="P29" s="2">
        <v>0.97</v>
      </c>
      <c r="Q29" s="2">
        <f t="shared" si="1"/>
        <v>81.043499999999995</v>
      </c>
    </row>
    <row r="30" spans="15:23" x14ac:dyDescent="0.25">
      <c r="O30" s="2">
        <f t="shared" si="2"/>
        <v>83.55</v>
      </c>
      <c r="P30" s="2">
        <v>0.96</v>
      </c>
      <c r="Q30" s="2">
        <f t="shared" si="1"/>
        <v>80.207999999999998</v>
      </c>
    </row>
    <row r="31" spans="15:23" x14ac:dyDescent="0.25">
      <c r="O31" s="2">
        <f t="shared" si="2"/>
        <v>83.55</v>
      </c>
      <c r="P31" s="2">
        <v>0.95</v>
      </c>
      <c r="Q31" s="2">
        <f t="shared" si="1"/>
        <v>79.372499999999988</v>
      </c>
    </row>
    <row r="32" spans="15:23" x14ac:dyDescent="0.25">
      <c r="O32" s="2">
        <f t="shared" si="2"/>
        <v>83.55</v>
      </c>
      <c r="P32" s="2">
        <v>0.9</v>
      </c>
      <c r="Q32" s="2">
        <f t="shared" si="1"/>
        <v>75.194999999999993</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126</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43.05</v>
      </c>
    </row>
    <row r="5" spans="1:21" x14ac:dyDescent="0.25">
      <c r="B5" s="1">
        <v>42233</v>
      </c>
      <c r="C5" s="19">
        <v>15</v>
      </c>
      <c r="D5" s="65">
        <v>46.8</v>
      </c>
      <c r="E5" s="65"/>
      <c r="F5" s="65">
        <f>C5*D5</f>
        <v>702</v>
      </c>
      <c r="O5" s="20" t="s">
        <v>67</v>
      </c>
      <c r="Q5" s="5">
        <f>Q4*Q2</f>
        <v>1506.75</v>
      </c>
    </row>
    <row r="6" spans="1:21" x14ac:dyDescent="0.25">
      <c r="B6" s="1">
        <v>42233</v>
      </c>
      <c r="C6">
        <v>20</v>
      </c>
      <c r="D6" s="2">
        <v>47.45</v>
      </c>
      <c r="F6" s="2">
        <f>C6*D6</f>
        <v>949</v>
      </c>
      <c r="O6" s="20" t="s">
        <v>64</v>
      </c>
      <c r="Q6" s="2">
        <f>Q3*Q2</f>
        <v>1665.5</v>
      </c>
    </row>
    <row r="7" spans="1:21" x14ac:dyDescent="0.25">
      <c r="B7" s="1"/>
      <c r="O7" s="20" t="s">
        <v>65</v>
      </c>
      <c r="Q7" s="2">
        <f>Q5-Q6</f>
        <v>-158.75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43.05</v>
      </c>
      <c r="P19">
        <v>1.1000000000000001</v>
      </c>
      <c r="Q19" s="2">
        <f t="shared" ref="Q19:Q31" si="1">P19*O19</f>
        <v>47.355000000000004</v>
      </c>
    </row>
    <row r="20" spans="15:17" x14ac:dyDescent="0.25">
      <c r="O20" s="2">
        <f>$Q$4</f>
        <v>43.05</v>
      </c>
      <c r="P20">
        <v>1.05</v>
      </c>
      <c r="Q20" s="2">
        <f t="shared" si="1"/>
        <v>45.202500000000001</v>
      </c>
    </row>
    <row r="21" spans="15:17" x14ac:dyDescent="0.25">
      <c r="O21" s="2">
        <f t="shared" ref="O21:O31" si="2">$Q$4</f>
        <v>43.05</v>
      </c>
      <c r="P21">
        <v>1.04</v>
      </c>
      <c r="Q21" s="2">
        <f t="shared" si="1"/>
        <v>44.771999999999998</v>
      </c>
    </row>
    <row r="22" spans="15:17" x14ac:dyDescent="0.25">
      <c r="O22" s="2">
        <f t="shared" si="2"/>
        <v>43.05</v>
      </c>
      <c r="P22" s="2">
        <v>1.03</v>
      </c>
      <c r="Q22" s="2">
        <f t="shared" si="1"/>
        <v>44.341499999999996</v>
      </c>
    </row>
    <row r="23" spans="15:17" x14ac:dyDescent="0.25">
      <c r="O23" s="2">
        <f t="shared" si="2"/>
        <v>43.05</v>
      </c>
      <c r="P23" s="2">
        <v>1.02</v>
      </c>
      <c r="Q23" s="2">
        <f t="shared" si="1"/>
        <v>43.911000000000001</v>
      </c>
    </row>
    <row r="24" spans="15:17" x14ac:dyDescent="0.25">
      <c r="O24" s="2">
        <f t="shared" si="2"/>
        <v>43.05</v>
      </c>
      <c r="P24" s="2">
        <v>1.01</v>
      </c>
      <c r="Q24" s="2">
        <f t="shared" si="1"/>
        <v>43.480499999999999</v>
      </c>
    </row>
    <row r="25" spans="15:17" x14ac:dyDescent="0.25">
      <c r="O25" s="2">
        <f t="shared" si="2"/>
        <v>43.05</v>
      </c>
      <c r="P25" s="2">
        <v>1</v>
      </c>
      <c r="Q25" s="2">
        <f t="shared" si="1"/>
        <v>43.05</v>
      </c>
    </row>
    <row r="26" spans="15:17" x14ac:dyDescent="0.25">
      <c r="O26" s="2">
        <f t="shared" si="2"/>
        <v>43.05</v>
      </c>
      <c r="P26" s="2">
        <v>0.99</v>
      </c>
      <c r="Q26" s="2">
        <f t="shared" si="1"/>
        <v>42.619499999999995</v>
      </c>
    </row>
    <row r="27" spans="15:17" x14ac:dyDescent="0.25">
      <c r="O27" s="2">
        <f t="shared" si="2"/>
        <v>43.05</v>
      </c>
      <c r="P27" s="2">
        <v>0.98</v>
      </c>
      <c r="Q27" s="2">
        <f t="shared" si="1"/>
        <v>42.188999999999993</v>
      </c>
    </row>
    <row r="28" spans="15:17" x14ac:dyDescent="0.25">
      <c r="O28" s="2">
        <f t="shared" si="2"/>
        <v>43.05</v>
      </c>
      <c r="P28" s="2">
        <v>0.97</v>
      </c>
      <c r="Q28" s="2">
        <f t="shared" si="1"/>
        <v>41.758499999999998</v>
      </c>
    </row>
    <row r="29" spans="15:17" x14ac:dyDescent="0.25">
      <c r="O29" s="2">
        <f t="shared" si="2"/>
        <v>43.05</v>
      </c>
      <c r="P29" s="2">
        <v>0.96</v>
      </c>
      <c r="Q29" s="2">
        <f t="shared" si="1"/>
        <v>41.327999999999996</v>
      </c>
    </row>
    <row r="30" spans="15:17" x14ac:dyDescent="0.25">
      <c r="O30" s="2">
        <f t="shared" si="2"/>
        <v>43.05</v>
      </c>
      <c r="P30" s="2">
        <v>0.95</v>
      </c>
      <c r="Q30" s="2">
        <f t="shared" si="1"/>
        <v>40.897499999999994</v>
      </c>
    </row>
    <row r="31" spans="15:17" x14ac:dyDescent="0.25">
      <c r="O31" s="2">
        <f t="shared" si="2"/>
        <v>43.05</v>
      </c>
      <c r="P31" s="2">
        <v>0.9</v>
      </c>
      <c r="Q31" s="2">
        <f t="shared" si="1"/>
        <v>38.744999999999997</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126</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8.18</v>
      </c>
    </row>
    <row r="5" spans="1:21" x14ac:dyDescent="0.25">
      <c r="B5" s="1">
        <v>42198</v>
      </c>
      <c r="C5">
        <v>40</v>
      </c>
      <c r="D5">
        <v>9.94</v>
      </c>
      <c r="F5">
        <f>C5*D5</f>
        <v>397.59999999999997</v>
      </c>
      <c r="O5" s="20" t="s">
        <v>67</v>
      </c>
      <c r="Q5" s="5">
        <f>Q4*Q2</f>
        <v>981.59999999999991</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-228.30000000000018</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167</v>
      </c>
    </row>
    <row r="14" spans="1:21" x14ac:dyDescent="0.25">
      <c r="P14" t="s">
        <v>89</v>
      </c>
      <c r="R14" s="59"/>
    </row>
    <row r="15" spans="1:21" x14ac:dyDescent="0.25">
      <c r="O15" s="2">
        <f>$Q$4</f>
        <v>8.18</v>
      </c>
      <c r="P15">
        <v>1.1000000000000001</v>
      </c>
      <c r="Q15" s="2">
        <f t="shared" ref="Q15:Q27" si="0">P15*O15</f>
        <v>8.9980000000000011</v>
      </c>
      <c r="R15" s="59"/>
    </row>
    <row r="16" spans="1:21" x14ac:dyDescent="0.25">
      <c r="O16" s="2">
        <f>$Q$4</f>
        <v>8.18</v>
      </c>
      <c r="P16">
        <v>1.05</v>
      </c>
      <c r="Q16" s="2">
        <f t="shared" si="0"/>
        <v>8.5890000000000004</v>
      </c>
      <c r="R16" s="59"/>
    </row>
    <row r="17" spans="15:18" x14ac:dyDescent="0.25">
      <c r="O17" s="2">
        <f t="shared" ref="O17:O27" si="1">$Q$4</f>
        <v>8.18</v>
      </c>
      <c r="P17">
        <v>1.04</v>
      </c>
      <c r="Q17" s="2">
        <f t="shared" si="0"/>
        <v>8.5071999999999992</v>
      </c>
      <c r="R17" s="59"/>
    </row>
    <row r="18" spans="15:18" x14ac:dyDescent="0.25">
      <c r="O18" s="2">
        <f t="shared" si="1"/>
        <v>8.18</v>
      </c>
      <c r="P18" s="2">
        <v>1.03</v>
      </c>
      <c r="Q18" s="2">
        <f t="shared" si="0"/>
        <v>8.4253999999999998</v>
      </c>
      <c r="R18" s="59"/>
    </row>
    <row r="19" spans="15:18" x14ac:dyDescent="0.25">
      <c r="O19" s="2">
        <f t="shared" si="1"/>
        <v>8.18</v>
      </c>
      <c r="P19" s="2">
        <v>1.02</v>
      </c>
      <c r="Q19" s="2">
        <f t="shared" si="0"/>
        <v>8.3436000000000003</v>
      </c>
      <c r="R19" s="59"/>
    </row>
    <row r="20" spans="15:18" x14ac:dyDescent="0.25">
      <c r="O20" s="2">
        <f t="shared" si="1"/>
        <v>8.18</v>
      </c>
      <c r="P20" s="2">
        <v>1.01</v>
      </c>
      <c r="Q20" s="2">
        <f t="shared" si="0"/>
        <v>8.2617999999999991</v>
      </c>
      <c r="R20" s="59"/>
    </row>
    <row r="21" spans="15:18" x14ac:dyDescent="0.25">
      <c r="O21" s="2">
        <f t="shared" si="1"/>
        <v>8.18</v>
      </c>
      <c r="P21" s="2">
        <v>1</v>
      </c>
      <c r="Q21" s="2">
        <f t="shared" si="0"/>
        <v>8.18</v>
      </c>
      <c r="R21" s="59"/>
    </row>
    <row r="22" spans="15:18" x14ac:dyDescent="0.25">
      <c r="O22" s="2">
        <f t="shared" si="1"/>
        <v>8.18</v>
      </c>
      <c r="P22" s="2">
        <v>0.99</v>
      </c>
      <c r="Q22" s="2">
        <f t="shared" si="0"/>
        <v>8.0982000000000003</v>
      </c>
      <c r="R22" s="59"/>
    </row>
    <row r="23" spans="15:18" x14ac:dyDescent="0.25">
      <c r="O23" s="2">
        <f t="shared" si="1"/>
        <v>8.18</v>
      </c>
      <c r="P23" s="2">
        <v>0.98</v>
      </c>
      <c r="Q23" s="2">
        <f t="shared" si="0"/>
        <v>8.0163999999999991</v>
      </c>
      <c r="R23" s="59"/>
    </row>
    <row r="24" spans="15:18" x14ac:dyDescent="0.25">
      <c r="O24" s="2">
        <f t="shared" si="1"/>
        <v>8.18</v>
      </c>
      <c r="P24" s="2">
        <v>0.97</v>
      </c>
      <c r="Q24" s="2">
        <f t="shared" si="0"/>
        <v>7.9345999999999997</v>
      </c>
      <c r="R24" s="59"/>
    </row>
    <row r="25" spans="15:18" x14ac:dyDescent="0.25">
      <c r="O25" s="2">
        <f t="shared" si="1"/>
        <v>8.18</v>
      </c>
      <c r="P25" s="2">
        <v>0.96</v>
      </c>
      <c r="Q25" s="2">
        <f t="shared" si="0"/>
        <v>7.8527999999999993</v>
      </c>
      <c r="R25" s="59"/>
    </row>
    <row r="26" spans="15:18" x14ac:dyDescent="0.25">
      <c r="O26" s="2">
        <f t="shared" si="1"/>
        <v>8.18</v>
      </c>
      <c r="P26" s="2">
        <v>0.95</v>
      </c>
      <c r="Q26" s="2">
        <f t="shared" si="0"/>
        <v>7.770999999999999</v>
      </c>
      <c r="R26" s="59"/>
    </row>
    <row r="27" spans="15:18" x14ac:dyDescent="0.25">
      <c r="O27" s="2">
        <f t="shared" si="1"/>
        <v>8.18</v>
      </c>
      <c r="P27" s="2">
        <v>0.9</v>
      </c>
      <c r="Q27" s="2">
        <f t="shared" si="0"/>
        <v>7.3620000000000001</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207</v>
      </c>
    </row>
    <row r="3" spans="1:21" x14ac:dyDescent="0.25">
      <c r="A3" s="36" t="s">
        <v>81</v>
      </c>
      <c r="B3" s="32">
        <v>42153</v>
      </c>
      <c r="C3" s="15">
        <v>25</v>
      </c>
      <c r="D3" s="77">
        <v>34.4</v>
      </c>
      <c r="E3" s="77"/>
      <c r="F3" s="77">
        <f>C3*D3</f>
        <v>860</v>
      </c>
      <c r="L3" t="s">
        <v>165</v>
      </c>
      <c r="O3" s="20" t="s">
        <v>58</v>
      </c>
      <c r="Q3" s="2">
        <f>(F7-K7)/Q2</f>
        <v>32.507843137254902</v>
      </c>
      <c r="T3" s="1">
        <v>42244</v>
      </c>
      <c r="U3" t="s">
        <v>164</v>
      </c>
    </row>
    <row r="4" spans="1:21" x14ac:dyDescent="0.25">
      <c r="B4" s="137">
        <v>42173</v>
      </c>
      <c r="C4" s="15">
        <v>9</v>
      </c>
      <c r="D4" s="77">
        <v>34.1</v>
      </c>
      <c r="E4" s="77"/>
      <c r="F4" s="77">
        <f>C4*D4</f>
        <v>306.90000000000003</v>
      </c>
      <c r="O4" s="20" t="s">
        <v>66</v>
      </c>
      <c r="Q4" s="106">
        <v>34.43</v>
      </c>
    </row>
    <row r="5" spans="1:21" x14ac:dyDescent="0.25">
      <c r="B5" s="137"/>
      <c r="C5">
        <v>1</v>
      </c>
      <c r="D5" s="2">
        <v>34.1</v>
      </c>
      <c r="F5" s="2">
        <f>C5*D5</f>
        <v>34.1</v>
      </c>
      <c r="O5" s="20" t="s">
        <v>67</v>
      </c>
      <c r="Q5" s="5">
        <f>Q4*Q2</f>
        <v>1755.93</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105.75999999999998</v>
      </c>
    </row>
    <row r="16" spans="1:21" x14ac:dyDescent="0.25">
      <c r="P16" t="s">
        <v>89</v>
      </c>
    </row>
    <row r="17" spans="15:17" x14ac:dyDescent="0.25">
      <c r="O17" s="2">
        <f>$Q$4</f>
        <v>34.43</v>
      </c>
      <c r="P17">
        <v>1.1000000000000001</v>
      </c>
      <c r="Q17" s="2">
        <f t="shared" ref="Q17:Q29" si="1">P17*O17</f>
        <v>37.873000000000005</v>
      </c>
    </row>
    <row r="18" spans="15:17" x14ac:dyDescent="0.25">
      <c r="O18" s="2">
        <f>$Q$4</f>
        <v>34.43</v>
      </c>
      <c r="P18">
        <v>1.05</v>
      </c>
      <c r="Q18" s="2">
        <f t="shared" si="1"/>
        <v>36.151499999999999</v>
      </c>
    </row>
    <row r="19" spans="15:17" x14ac:dyDescent="0.25">
      <c r="O19" s="2">
        <f t="shared" ref="O19:O29" si="2">$Q$4</f>
        <v>34.43</v>
      </c>
      <c r="P19">
        <v>1.04</v>
      </c>
      <c r="Q19" s="2">
        <f t="shared" si="1"/>
        <v>35.807200000000002</v>
      </c>
    </row>
    <row r="20" spans="15:17" x14ac:dyDescent="0.25">
      <c r="O20" s="2">
        <f t="shared" si="2"/>
        <v>34.43</v>
      </c>
      <c r="P20" s="2">
        <v>1.03</v>
      </c>
      <c r="Q20" s="2">
        <f t="shared" si="1"/>
        <v>35.462899999999998</v>
      </c>
    </row>
    <row r="21" spans="15:17" x14ac:dyDescent="0.25">
      <c r="O21" s="2">
        <f t="shared" si="2"/>
        <v>34.43</v>
      </c>
      <c r="P21" s="2">
        <v>1.02</v>
      </c>
      <c r="Q21" s="2">
        <f t="shared" si="1"/>
        <v>35.118600000000001</v>
      </c>
    </row>
    <row r="22" spans="15:17" x14ac:dyDescent="0.25">
      <c r="O22" s="2">
        <f t="shared" si="2"/>
        <v>34.43</v>
      </c>
      <c r="P22" s="2">
        <v>1.01</v>
      </c>
      <c r="Q22" s="2">
        <f t="shared" si="1"/>
        <v>34.774299999999997</v>
      </c>
    </row>
    <row r="23" spans="15:17" x14ac:dyDescent="0.25">
      <c r="O23" s="2">
        <f t="shared" si="2"/>
        <v>34.43</v>
      </c>
      <c r="P23" s="2">
        <v>1</v>
      </c>
      <c r="Q23" s="2">
        <f t="shared" si="1"/>
        <v>34.43</v>
      </c>
    </row>
    <row r="24" spans="15:17" x14ac:dyDescent="0.25">
      <c r="O24" s="2">
        <f t="shared" si="2"/>
        <v>34.43</v>
      </c>
      <c r="P24" s="2">
        <v>0.99</v>
      </c>
      <c r="Q24" s="2">
        <f t="shared" si="1"/>
        <v>34.085700000000003</v>
      </c>
    </row>
    <row r="25" spans="15:17" x14ac:dyDescent="0.25">
      <c r="O25" s="2">
        <f t="shared" si="2"/>
        <v>34.43</v>
      </c>
      <c r="P25" s="2">
        <v>0.98</v>
      </c>
      <c r="Q25" s="2">
        <f t="shared" si="1"/>
        <v>33.741399999999999</v>
      </c>
    </row>
    <row r="26" spans="15:17" x14ac:dyDescent="0.25">
      <c r="O26" s="2">
        <f t="shared" si="2"/>
        <v>34.43</v>
      </c>
      <c r="P26" s="2">
        <v>0.97</v>
      </c>
      <c r="Q26" s="2">
        <f t="shared" si="1"/>
        <v>33.397100000000002</v>
      </c>
    </row>
    <row r="27" spans="15:17" x14ac:dyDescent="0.25">
      <c r="O27" s="2">
        <f t="shared" si="2"/>
        <v>34.43</v>
      </c>
      <c r="P27" s="2">
        <v>0.96</v>
      </c>
      <c r="Q27" s="2">
        <f t="shared" si="1"/>
        <v>33.052799999999998</v>
      </c>
    </row>
    <row r="28" spans="15:17" x14ac:dyDescent="0.25">
      <c r="O28" s="2">
        <f t="shared" si="2"/>
        <v>34.43</v>
      </c>
      <c r="P28" s="2">
        <v>0.95</v>
      </c>
      <c r="Q28" s="2">
        <f t="shared" si="1"/>
        <v>32.708500000000001</v>
      </c>
    </row>
    <row r="29" spans="15:17" x14ac:dyDescent="0.25">
      <c r="O29" s="2">
        <f t="shared" si="2"/>
        <v>34.43</v>
      </c>
      <c r="P29" s="2">
        <v>0.9</v>
      </c>
      <c r="Q29" s="2">
        <f t="shared" si="1"/>
        <v>30.987000000000002</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169</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133</v>
      </c>
    </row>
    <row r="3" spans="1:21" x14ac:dyDescent="0.25">
      <c r="A3" s="36" t="s">
        <v>81</v>
      </c>
      <c r="B3" s="137">
        <v>42212</v>
      </c>
      <c r="C3">
        <v>10</v>
      </c>
      <c r="D3" s="2">
        <v>124.25</v>
      </c>
      <c r="F3" s="2">
        <f t="shared" ref="F3:F7" si="0">D3*C3</f>
        <v>1242.5</v>
      </c>
      <c r="G3" s="1"/>
      <c r="L3" s="1"/>
      <c r="M3" s="2"/>
      <c r="O3" s="20" t="s">
        <v>58</v>
      </c>
      <c r="Q3" s="2">
        <f>(F8-K8)/Q2</f>
        <v>124.15200000000002</v>
      </c>
      <c r="T3" s="125">
        <v>42242</v>
      </c>
      <c r="U3" t="s">
        <v>176</v>
      </c>
    </row>
    <row r="4" spans="1:21" x14ac:dyDescent="0.25">
      <c r="B4" s="137"/>
      <c r="C4" s="10">
        <v>10</v>
      </c>
      <c r="D4" s="25">
        <v>124.25</v>
      </c>
      <c r="E4" s="25"/>
      <c r="F4" s="25">
        <f t="shared" si="0"/>
        <v>1242.5</v>
      </c>
      <c r="M4" s="2"/>
      <c r="O4" s="20" t="s">
        <v>66</v>
      </c>
      <c r="Q4" s="106">
        <v>116.2</v>
      </c>
      <c r="T4" s="125">
        <v>42246</v>
      </c>
      <c r="U4" t="s">
        <v>168</v>
      </c>
    </row>
    <row r="5" spans="1:21" x14ac:dyDescent="0.25">
      <c r="B5" s="1">
        <v>42220</v>
      </c>
      <c r="C5">
        <v>5</v>
      </c>
      <c r="D5" s="2">
        <v>123.2</v>
      </c>
      <c r="F5" s="2">
        <f t="shared" si="0"/>
        <v>616</v>
      </c>
      <c r="M5" s="2"/>
      <c r="O5" s="20" t="s">
        <v>67</v>
      </c>
      <c r="Q5" s="5">
        <f>Q4*Q2</f>
        <v>6972</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-473.1200000000008</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170</v>
      </c>
      <c r="O18" s="2">
        <f>$Q$4</f>
        <v>116.2</v>
      </c>
      <c r="P18">
        <v>1.1000000000000001</v>
      </c>
      <c r="Q18" s="2">
        <f t="shared" ref="Q18:Q30" si="2">P18*O18</f>
        <v>127.82000000000001</v>
      </c>
    </row>
    <row r="19" spans="1:18" x14ac:dyDescent="0.25">
      <c r="A19" s="124">
        <v>42242</v>
      </c>
      <c r="O19" s="2">
        <f>$Q$4</f>
        <v>116.2</v>
      </c>
      <c r="P19">
        <v>1.05</v>
      </c>
      <c r="Q19" s="2">
        <f t="shared" si="2"/>
        <v>122.01</v>
      </c>
    </row>
    <row r="20" spans="1:18" x14ac:dyDescent="0.25">
      <c r="B20" s="28" t="s">
        <v>177</v>
      </c>
      <c r="C20" s="7"/>
      <c r="D20" s="93"/>
      <c r="E20" s="2" t="s">
        <v>175</v>
      </c>
      <c r="F20"/>
      <c r="G20" s="34" t="s">
        <v>180</v>
      </c>
      <c r="H20" s="2"/>
      <c r="K20" s="20" t="s">
        <v>182</v>
      </c>
      <c r="O20" s="2">
        <f t="shared" ref="O20:O30" si="3">$Q$4</f>
        <v>116.2</v>
      </c>
      <c r="P20">
        <v>1.04</v>
      </c>
      <c r="Q20" s="2">
        <f t="shared" si="2"/>
        <v>120.84800000000001</v>
      </c>
    </row>
    <row r="21" spans="1:18" x14ac:dyDescent="0.25">
      <c r="A21" s="7"/>
      <c r="B21" s="126" t="s">
        <v>173</v>
      </c>
      <c r="C21" s="126"/>
      <c r="D21" s="126"/>
      <c r="E21" s="127">
        <v>616</v>
      </c>
      <c r="F21" s="128">
        <f>E21/SUM($E$21:$E$24)</f>
        <v>0.35504322766570606</v>
      </c>
      <c r="G21" s="127" t="s">
        <v>181</v>
      </c>
      <c r="H21" s="127"/>
      <c r="I21" s="127"/>
      <c r="J21" s="127"/>
      <c r="K21" s="129" t="s">
        <v>183</v>
      </c>
      <c r="L21" s="129"/>
      <c r="M21" s="129"/>
      <c r="N21" s="129"/>
      <c r="O21" s="2">
        <f t="shared" si="3"/>
        <v>116.2</v>
      </c>
      <c r="P21" s="2">
        <v>1.03</v>
      </c>
      <c r="Q21" s="2">
        <f t="shared" si="2"/>
        <v>119.68600000000001</v>
      </c>
      <c r="R21" t="s">
        <v>115</v>
      </c>
    </row>
    <row r="22" spans="1:18" x14ac:dyDescent="0.25">
      <c r="A22" s="7"/>
      <c r="B22" s="126" t="s">
        <v>174</v>
      </c>
      <c r="C22" s="126"/>
      <c r="D22" s="126"/>
      <c r="E22" s="127">
        <v>588</v>
      </c>
      <c r="F22" s="128">
        <f>E22/SUM($E$21:$E$24)</f>
        <v>0.33890489913544669</v>
      </c>
      <c r="G22" s="129" t="s">
        <v>184</v>
      </c>
      <c r="H22" s="127"/>
      <c r="I22" s="127"/>
      <c r="J22" s="127"/>
      <c r="K22" s="129" t="s">
        <v>185</v>
      </c>
      <c r="L22" s="129"/>
      <c r="M22" s="129"/>
      <c r="N22" s="129"/>
      <c r="O22" s="2">
        <f t="shared" si="3"/>
        <v>116.2</v>
      </c>
      <c r="P22" s="2">
        <v>1.02</v>
      </c>
      <c r="Q22" s="2">
        <f t="shared" si="2"/>
        <v>118.524</v>
      </c>
      <c r="R22" t="s">
        <v>132</v>
      </c>
    </row>
    <row r="23" spans="1:18" x14ac:dyDescent="0.25">
      <c r="A23" s="7"/>
      <c r="B23" s="126" t="s">
        <v>172</v>
      </c>
      <c r="C23" s="126"/>
      <c r="D23" s="126"/>
      <c r="E23" s="127">
        <v>372</v>
      </c>
      <c r="F23" s="128">
        <f>E23/SUM($E$21:$E$24)</f>
        <v>0.21440922190201728</v>
      </c>
      <c r="G23" s="129" t="s">
        <v>188</v>
      </c>
      <c r="H23" s="129"/>
      <c r="I23" s="127"/>
      <c r="J23" s="127"/>
      <c r="K23" s="127" t="s">
        <v>189</v>
      </c>
      <c r="L23" s="129"/>
      <c r="M23" s="129"/>
      <c r="N23" s="129"/>
      <c r="O23" s="2">
        <f t="shared" si="3"/>
        <v>116.2</v>
      </c>
      <c r="P23" s="2">
        <v>1.01</v>
      </c>
      <c r="Q23" s="2">
        <f t="shared" si="2"/>
        <v>117.36200000000001</v>
      </c>
    </row>
    <row r="24" spans="1:18" x14ac:dyDescent="0.25">
      <c r="B24" s="126" t="s">
        <v>171</v>
      </c>
      <c r="C24" s="126"/>
      <c r="D24" s="126"/>
      <c r="E24" s="127">
        <v>159</v>
      </c>
      <c r="F24" s="128">
        <f>E24/SUM($E$21:$E$24)</f>
        <v>9.1642651296829969E-2</v>
      </c>
      <c r="G24" s="129" t="s">
        <v>187</v>
      </c>
      <c r="H24" s="129"/>
      <c r="I24" s="127"/>
      <c r="J24" s="127"/>
      <c r="K24" s="127" t="s">
        <v>186</v>
      </c>
      <c r="L24" s="129"/>
      <c r="M24" s="129"/>
      <c r="N24" s="129"/>
      <c r="O24" s="2">
        <f t="shared" si="3"/>
        <v>116.2</v>
      </c>
      <c r="P24" s="2">
        <v>1</v>
      </c>
      <c r="Q24" s="2">
        <f t="shared" si="2"/>
        <v>116.2</v>
      </c>
    </row>
    <row r="25" spans="1:18" x14ac:dyDescent="0.25">
      <c r="B25" s="34" t="s">
        <v>179</v>
      </c>
      <c r="E25" s="2">
        <f>SUM(E21:E24)</f>
        <v>1735</v>
      </c>
      <c r="F25"/>
      <c r="O25" s="2">
        <f t="shared" si="3"/>
        <v>116.2</v>
      </c>
      <c r="P25" s="2">
        <v>0.99</v>
      </c>
      <c r="Q25" s="2">
        <f t="shared" si="2"/>
        <v>115.038</v>
      </c>
      <c r="R25" t="s">
        <v>127</v>
      </c>
    </row>
    <row r="26" spans="1:18" x14ac:dyDescent="0.25">
      <c r="O26" s="2">
        <f t="shared" si="3"/>
        <v>116.2</v>
      </c>
      <c r="P26" s="2">
        <v>0.98</v>
      </c>
      <c r="Q26" s="2">
        <f t="shared" si="2"/>
        <v>113.876</v>
      </c>
    </row>
    <row r="27" spans="1:18" x14ac:dyDescent="0.25">
      <c r="B27" s="2" t="s">
        <v>178</v>
      </c>
      <c r="O27" s="2">
        <f t="shared" si="3"/>
        <v>116.2</v>
      </c>
      <c r="P27" s="2">
        <v>0.97</v>
      </c>
      <c r="Q27" s="2">
        <f t="shared" si="2"/>
        <v>112.714</v>
      </c>
    </row>
    <row r="28" spans="1:18" x14ac:dyDescent="0.25">
      <c r="O28" s="2">
        <f t="shared" si="3"/>
        <v>116.2</v>
      </c>
      <c r="P28" s="2">
        <v>0.96</v>
      </c>
      <c r="Q28" s="2">
        <f t="shared" si="2"/>
        <v>111.55199999999999</v>
      </c>
    </row>
    <row r="29" spans="1:18" x14ac:dyDescent="0.25">
      <c r="O29" s="2">
        <f t="shared" si="3"/>
        <v>116.2</v>
      </c>
      <c r="P29" s="2">
        <v>0.95</v>
      </c>
      <c r="Q29" s="2">
        <f t="shared" si="2"/>
        <v>110.39</v>
      </c>
    </row>
    <row r="30" spans="1:18" x14ac:dyDescent="0.25">
      <c r="O30" s="2">
        <f t="shared" si="3"/>
        <v>116.2</v>
      </c>
      <c r="P30" s="2">
        <v>0.9</v>
      </c>
      <c r="Q30" s="2">
        <f t="shared" si="2"/>
        <v>104.58</v>
      </c>
    </row>
    <row r="35" spans="2:9" x14ac:dyDescent="0.25">
      <c r="B35" t="s">
        <v>190</v>
      </c>
      <c r="D35" t="s">
        <v>191</v>
      </c>
      <c r="G35" s="2"/>
      <c r="I35"/>
    </row>
    <row r="36" spans="2:9" x14ac:dyDescent="0.25">
      <c r="B36" t="s">
        <v>198</v>
      </c>
      <c r="D36" s="2" t="s">
        <v>199</v>
      </c>
    </row>
    <row r="37" spans="2:9" x14ac:dyDescent="0.25">
      <c r="B37" t="s">
        <v>192</v>
      </c>
      <c r="D37" t="s">
        <v>193</v>
      </c>
      <c r="G37" s="2"/>
      <c r="I37"/>
    </row>
    <row r="38" spans="2:9" x14ac:dyDescent="0.25">
      <c r="B38" t="s">
        <v>196</v>
      </c>
      <c r="D38" t="s">
        <v>197</v>
      </c>
      <c r="G38" s="2"/>
      <c r="I38"/>
    </row>
    <row r="39" spans="2:9" x14ac:dyDescent="0.25">
      <c r="B39" t="s">
        <v>194</v>
      </c>
      <c r="D39" t="s">
        <v>195</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136</v>
      </c>
      <c r="O2" s="20" t="s">
        <v>57</v>
      </c>
      <c r="Q2">
        <f>C6-H6</f>
        <v>30</v>
      </c>
      <c r="T2" s="1">
        <v>42202</v>
      </c>
      <c r="U2" t="s">
        <v>135</v>
      </c>
    </row>
    <row r="3" spans="1:21" x14ac:dyDescent="0.25">
      <c r="A3" s="36" t="s">
        <v>81</v>
      </c>
      <c r="B3" s="1">
        <v>42226</v>
      </c>
      <c r="C3">
        <v>5</v>
      </c>
      <c r="D3" s="2">
        <v>112.2</v>
      </c>
      <c r="F3" s="2">
        <f>C3*D3</f>
        <v>561</v>
      </c>
      <c r="O3" s="20" t="s">
        <v>58</v>
      </c>
      <c r="Q3" s="2">
        <f>(F6-K6)/Q2</f>
        <v>110.09500000000001</v>
      </c>
      <c r="T3" s="1">
        <v>42231</v>
      </c>
      <c r="U3" t="s">
        <v>134</v>
      </c>
    </row>
    <row r="4" spans="1:21" x14ac:dyDescent="0.25">
      <c r="B4" s="1">
        <v>42226</v>
      </c>
      <c r="C4">
        <v>5</v>
      </c>
      <c r="D4" s="2">
        <v>110.93</v>
      </c>
      <c r="F4" s="2">
        <f>C4*D4</f>
        <v>554.65000000000009</v>
      </c>
      <c r="O4" s="20" t="s">
        <v>66</v>
      </c>
      <c r="Q4" s="106">
        <v>99.23</v>
      </c>
      <c r="T4" s="1">
        <v>42314</v>
      </c>
      <c r="U4" t="s">
        <v>126</v>
      </c>
    </row>
    <row r="5" spans="1:21" x14ac:dyDescent="0.25">
      <c r="B5" s="1">
        <v>42227</v>
      </c>
      <c r="C5">
        <v>10</v>
      </c>
      <c r="D5" s="2">
        <v>105</v>
      </c>
      <c r="F5" s="2">
        <f>C5*D5</f>
        <v>1050</v>
      </c>
      <c r="O5" s="20" t="s">
        <v>67</v>
      </c>
      <c r="Q5" s="5">
        <f>Q4*Q2</f>
        <v>2976.9</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-325.95000000000027</v>
      </c>
    </row>
    <row r="17" spans="15:17" x14ac:dyDescent="0.25">
      <c r="P17" t="s">
        <v>89</v>
      </c>
    </row>
    <row r="18" spans="15:17" x14ac:dyDescent="0.25">
      <c r="O18" s="2">
        <f>$Q$4</f>
        <v>99.23</v>
      </c>
      <c r="P18">
        <v>1.1000000000000001</v>
      </c>
      <c r="Q18" s="2">
        <f t="shared" ref="Q18:Q30" si="1">P18*O18</f>
        <v>109.15300000000002</v>
      </c>
    </row>
    <row r="19" spans="15:17" x14ac:dyDescent="0.25">
      <c r="O19" s="2">
        <f>$Q$4</f>
        <v>99.23</v>
      </c>
      <c r="P19">
        <v>1.05</v>
      </c>
      <c r="Q19" s="2">
        <f t="shared" si="1"/>
        <v>104.1915</v>
      </c>
    </row>
    <row r="20" spans="15:17" x14ac:dyDescent="0.25">
      <c r="O20" s="2">
        <f t="shared" ref="O20:O30" si="2">$Q$4</f>
        <v>99.23</v>
      </c>
      <c r="P20">
        <v>1.04</v>
      </c>
      <c r="Q20" s="2">
        <f t="shared" si="1"/>
        <v>103.1992</v>
      </c>
    </row>
    <row r="21" spans="15:17" x14ac:dyDescent="0.25">
      <c r="O21" s="2">
        <f t="shared" si="2"/>
        <v>99.23</v>
      </c>
      <c r="P21" s="2">
        <v>1.03</v>
      </c>
      <c r="Q21" s="2">
        <f t="shared" si="1"/>
        <v>102.2069</v>
      </c>
    </row>
    <row r="22" spans="15:17" x14ac:dyDescent="0.25">
      <c r="O22" s="2">
        <f t="shared" si="2"/>
        <v>99.23</v>
      </c>
      <c r="P22" s="2">
        <v>1.02</v>
      </c>
      <c r="Q22" s="2">
        <f t="shared" si="1"/>
        <v>101.2146</v>
      </c>
    </row>
    <row r="23" spans="15:17" x14ac:dyDescent="0.25">
      <c r="O23" s="2">
        <f t="shared" si="2"/>
        <v>99.23</v>
      </c>
      <c r="P23" s="2">
        <v>1.01</v>
      </c>
      <c r="Q23" s="2">
        <f t="shared" si="1"/>
        <v>100.2223</v>
      </c>
    </row>
    <row r="24" spans="15:17" x14ac:dyDescent="0.25">
      <c r="O24" s="2">
        <f t="shared" si="2"/>
        <v>99.23</v>
      </c>
      <c r="P24" s="2">
        <v>1</v>
      </c>
      <c r="Q24" s="2">
        <f t="shared" si="1"/>
        <v>99.23</v>
      </c>
    </row>
    <row r="25" spans="15:17" x14ac:dyDescent="0.25">
      <c r="O25" s="2">
        <f t="shared" si="2"/>
        <v>99.23</v>
      </c>
      <c r="P25" s="2">
        <v>0.99</v>
      </c>
      <c r="Q25" s="2">
        <f t="shared" si="1"/>
        <v>98.237700000000004</v>
      </c>
    </row>
    <row r="26" spans="15:17" x14ac:dyDescent="0.25">
      <c r="O26" s="2">
        <f t="shared" si="2"/>
        <v>99.23</v>
      </c>
      <c r="P26" s="2">
        <v>0.98</v>
      </c>
      <c r="Q26" s="2">
        <f t="shared" si="1"/>
        <v>97.245400000000004</v>
      </c>
    </row>
    <row r="27" spans="15:17" x14ac:dyDescent="0.25">
      <c r="O27" s="2">
        <f t="shared" si="2"/>
        <v>99.23</v>
      </c>
      <c r="P27" s="2">
        <v>0.97</v>
      </c>
      <c r="Q27" s="2">
        <f t="shared" si="1"/>
        <v>96.253100000000003</v>
      </c>
    </row>
    <row r="28" spans="15:17" x14ac:dyDescent="0.25">
      <c r="O28" s="2">
        <f t="shared" si="2"/>
        <v>99.23</v>
      </c>
      <c r="P28" s="2">
        <v>0.96</v>
      </c>
      <c r="Q28" s="2">
        <f t="shared" si="1"/>
        <v>95.260800000000003</v>
      </c>
    </row>
    <row r="29" spans="15:17" x14ac:dyDescent="0.25">
      <c r="O29" s="2">
        <f t="shared" si="2"/>
        <v>99.23</v>
      </c>
      <c r="P29" s="2">
        <v>0.95</v>
      </c>
      <c r="Q29" s="2">
        <f t="shared" si="1"/>
        <v>94.268500000000003</v>
      </c>
    </row>
    <row r="30" spans="15:17" x14ac:dyDescent="0.25">
      <c r="O30" s="2">
        <f t="shared" si="2"/>
        <v>99.23</v>
      </c>
      <c r="P30" s="2">
        <v>0.9</v>
      </c>
      <c r="Q30" s="2">
        <f t="shared" si="1"/>
        <v>89.307000000000002</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55</v>
      </c>
      <c r="B2" s="1">
        <v>42214</v>
      </c>
      <c r="C2">
        <v>10</v>
      </c>
      <c r="D2" s="2">
        <v>113.01</v>
      </c>
      <c r="F2" s="2">
        <f>C2*D2</f>
        <v>1130.1000000000001</v>
      </c>
      <c r="L2" t="s">
        <v>121</v>
      </c>
      <c r="O2" s="20" t="s">
        <v>57</v>
      </c>
      <c r="Q2">
        <f>C10-H10</f>
        <v>10</v>
      </c>
      <c r="U2" s="1">
        <v>42242</v>
      </c>
      <c r="V2" t="s">
        <v>208</v>
      </c>
    </row>
    <row r="3" spans="1:22" x14ac:dyDescent="0.25">
      <c r="A3" s="36" t="s">
        <v>81</v>
      </c>
      <c r="O3" s="20" t="s">
        <v>58</v>
      </c>
      <c r="Q3" s="2">
        <f>(F10-K10)/Q2</f>
        <v>113.01000000000002</v>
      </c>
      <c r="U3" s="1">
        <v>42305</v>
      </c>
      <c r="V3" t="s">
        <v>126</v>
      </c>
    </row>
    <row r="4" spans="1:22" x14ac:dyDescent="0.25">
      <c r="O4" s="20" t="s">
        <v>66</v>
      </c>
      <c r="Q4" s="106">
        <v>106.96</v>
      </c>
    </row>
    <row r="5" spans="1:22" x14ac:dyDescent="0.25">
      <c r="O5" s="20" t="s">
        <v>67</v>
      </c>
      <c r="Q5" s="5">
        <f>Q4*Q2</f>
        <v>1069.5999999999999</v>
      </c>
    </row>
    <row r="6" spans="1:22" x14ac:dyDescent="0.25">
      <c r="O6" s="20" t="s">
        <v>64</v>
      </c>
      <c r="Q6" s="2">
        <f>Q3*Q2</f>
        <v>1130.1000000000001</v>
      </c>
    </row>
    <row r="7" spans="1:22" x14ac:dyDescent="0.25">
      <c r="O7" s="20" t="s">
        <v>65</v>
      </c>
      <c r="Q7" s="34">
        <f>Q5-Q6</f>
        <v>-60.500000000000227</v>
      </c>
    </row>
    <row r="10" spans="1:22" x14ac:dyDescent="0.25">
      <c r="A10" s="35" t="s">
        <v>114</v>
      </c>
      <c r="B10" s="21"/>
      <c r="C10" s="21">
        <f>SUM(C2:C9)</f>
        <v>10</v>
      </c>
      <c r="D10" s="22"/>
      <c r="E10" s="22"/>
      <c r="F10" s="22">
        <f>SUM(F2:F9)</f>
        <v>1130.1000000000001</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106.96</v>
      </c>
      <c r="P17">
        <v>1.1000000000000001</v>
      </c>
      <c r="Q17" s="2">
        <f t="shared" ref="Q17:Q29" si="0">P17*O17</f>
        <v>117.65600000000001</v>
      </c>
    </row>
    <row r="18" spans="15:17" x14ac:dyDescent="0.25">
      <c r="O18" s="2">
        <f>$Q$4</f>
        <v>106.96</v>
      </c>
      <c r="P18">
        <v>1.05</v>
      </c>
      <c r="Q18" s="2">
        <f t="shared" si="0"/>
        <v>112.30799999999999</v>
      </c>
    </row>
    <row r="19" spans="15:17" x14ac:dyDescent="0.25">
      <c r="O19" s="2">
        <f t="shared" ref="O19:O29" si="1">$Q$4</f>
        <v>106.96</v>
      </c>
      <c r="P19">
        <v>1.04</v>
      </c>
      <c r="Q19" s="2">
        <f t="shared" si="0"/>
        <v>111.2384</v>
      </c>
    </row>
    <row r="20" spans="15:17" x14ac:dyDescent="0.25">
      <c r="O20" s="2">
        <f t="shared" si="1"/>
        <v>106.96</v>
      </c>
      <c r="P20" s="2">
        <v>1.03</v>
      </c>
      <c r="Q20" s="2">
        <f t="shared" si="0"/>
        <v>110.16879999999999</v>
      </c>
    </row>
    <row r="21" spans="15:17" x14ac:dyDescent="0.25">
      <c r="O21" s="2">
        <f t="shared" si="1"/>
        <v>106.96</v>
      </c>
      <c r="P21" s="2">
        <v>1.02</v>
      </c>
      <c r="Q21" s="2">
        <f t="shared" si="0"/>
        <v>109.0992</v>
      </c>
    </row>
    <row r="22" spans="15:17" x14ac:dyDescent="0.25">
      <c r="O22" s="2">
        <f t="shared" si="1"/>
        <v>106.96</v>
      </c>
      <c r="P22" s="2">
        <v>1.01</v>
      </c>
      <c r="Q22" s="2">
        <f t="shared" si="0"/>
        <v>108.02959999999999</v>
      </c>
    </row>
    <row r="23" spans="15:17" x14ac:dyDescent="0.25">
      <c r="O23" s="2">
        <f t="shared" si="1"/>
        <v>106.96</v>
      </c>
      <c r="P23" s="2">
        <v>1</v>
      </c>
      <c r="Q23" s="2">
        <f t="shared" si="0"/>
        <v>106.96</v>
      </c>
    </row>
    <row r="24" spans="15:17" x14ac:dyDescent="0.25">
      <c r="O24" s="2">
        <f t="shared" si="1"/>
        <v>106.96</v>
      </c>
      <c r="P24" s="2">
        <v>0.99</v>
      </c>
      <c r="Q24" s="2">
        <f t="shared" si="0"/>
        <v>105.8904</v>
      </c>
    </row>
    <row r="25" spans="15:17" x14ac:dyDescent="0.25">
      <c r="O25" s="2">
        <f t="shared" si="1"/>
        <v>106.96</v>
      </c>
      <c r="P25" s="2">
        <v>0.98</v>
      </c>
      <c r="Q25" s="2">
        <f t="shared" si="0"/>
        <v>104.82079999999999</v>
      </c>
    </row>
    <row r="26" spans="15:17" x14ac:dyDescent="0.25">
      <c r="O26" s="2">
        <f t="shared" si="1"/>
        <v>106.96</v>
      </c>
      <c r="P26" s="2">
        <v>0.97</v>
      </c>
      <c r="Q26" s="2">
        <f t="shared" si="0"/>
        <v>103.7512</v>
      </c>
    </row>
    <row r="27" spans="15:17" x14ac:dyDescent="0.25">
      <c r="O27" s="2">
        <f t="shared" si="1"/>
        <v>106.96</v>
      </c>
      <c r="P27" s="2">
        <v>0.96</v>
      </c>
      <c r="Q27" s="2">
        <f t="shared" si="0"/>
        <v>102.68159999999999</v>
      </c>
    </row>
    <row r="28" spans="15:17" x14ac:dyDescent="0.25">
      <c r="O28" s="2">
        <f t="shared" si="1"/>
        <v>106.96</v>
      </c>
      <c r="P28" s="2">
        <v>0.95</v>
      </c>
      <c r="Q28" s="2">
        <f t="shared" si="0"/>
        <v>101.61199999999999</v>
      </c>
    </row>
    <row r="29" spans="15:17" x14ac:dyDescent="0.25">
      <c r="O29" s="2">
        <f t="shared" si="1"/>
        <v>106.96</v>
      </c>
      <c r="P29" s="2">
        <v>0.9</v>
      </c>
      <c r="Q29" s="2">
        <f t="shared" si="0"/>
        <v>96.263999999999996</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126</v>
      </c>
    </row>
    <row r="3" spans="1:22" x14ac:dyDescent="0.25">
      <c r="A3" s="36" t="s">
        <v>81</v>
      </c>
      <c r="B3" s="1">
        <v>42233</v>
      </c>
      <c r="C3">
        <v>20</v>
      </c>
      <c r="D3" s="2">
        <v>47.5</v>
      </c>
      <c r="F3" s="2">
        <f>C3*D3</f>
        <v>950</v>
      </c>
      <c r="O3" s="20" t="s">
        <v>58</v>
      </c>
      <c r="Q3" s="2">
        <f>(F5-K5)/Q2</f>
        <v>47.628571428571426</v>
      </c>
    </row>
    <row r="4" spans="1:22" x14ac:dyDescent="0.25">
      <c r="O4" s="20" t="s">
        <v>66</v>
      </c>
      <c r="Q4" s="106">
        <v>43.97</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1538.95</v>
      </c>
    </row>
    <row r="6" spans="1:22" x14ac:dyDescent="0.25">
      <c r="O6" s="20" t="s">
        <v>64</v>
      </c>
      <c r="Q6" s="2">
        <f>Q3*Q2</f>
        <v>1667</v>
      </c>
    </row>
    <row r="7" spans="1:22" x14ac:dyDescent="0.25">
      <c r="O7" s="20" t="s">
        <v>65</v>
      </c>
      <c r="Q7" s="2">
        <f>Q5-Q6</f>
        <v>-128.04999999999995</v>
      </c>
    </row>
    <row r="17" spans="15:17" x14ac:dyDescent="0.25">
      <c r="P17" t="s">
        <v>89</v>
      </c>
    </row>
    <row r="18" spans="15:17" x14ac:dyDescent="0.25">
      <c r="O18" s="2">
        <f>$Q$4</f>
        <v>43.97</v>
      </c>
      <c r="P18">
        <v>1.1000000000000001</v>
      </c>
      <c r="Q18" s="2">
        <f t="shared" ref="Q18:Q30" si="0">P18*O18</f>
        <v>48.367000000000004</v>
      </c>
    </row>
    <row r="19" spans="15:17" x14ac:dyDescent="0.25">
      <c r="O19" s="2">
        <f>$Q$4</f>
        <v>43.97</v>
      </c>
      <c r="P19">
        <v>1.05</v>
      </c>
      <c r="Q19" s="2">
        <f t="shared" si="0"/>
        <v>46.168500000000002</v>
      </c>
    </row>
    <row r="20" spans="15:17" x14ac:dyDescent="0.25">
      <c r="O20" s="2">
        <f t="shared" ref="O20:O30" si="1">$Q$4</f>
        <v>43.97</v>
      </c>
      <c r="P20">
        <v>1.04</v>
      </c>
      <c r="Q20" s="2">
        <f t="shared" si="0"/>
        <v>45.7288</v>
      </c>
    </row>
    <row r="21" spans="15:17" x14ac:dyDescent="0.25">
      <c r="O21" s="2">
        <f t="shared" si="1"/>
        <v>43.97</v>
      </c>
      <c r="P21" s="2">
        <v>1.03</v>
      </c>
      <c r="Q21" s="2">
        <f t="shared" si="0"/>
        <v>45.289099999999998</v>
      </c>
    </row>
    <row r="22" spans="15:17" x14ac:dyDescent="0.25">
      <c r="O22" s="2">
        <f t="shared" si="1"/>
        <v>43.97</v>
      </c>
      <c r="P22" s="2">
        <v>1.02</v>
      </c>
      <c r="Q22" s="2">
        <f t="shared" si="0"/>
        <v>44.849400000000003</v>
      </c>
    </row>
    <row r="23" spans="15:17" x14ac:dyDescent="0.25">
      <c r="O23" s="2">
        <f t="shared" si="1"/>
        <v>43.97</v>
      </c>
      <c r="P23" s="2">
        <v>1.01</v>
      </c>
      <c r="Q23" s="2">
        <f t="shared" si="0"/>
        <v>44.409700000000001</v>
      </c>
    </row>
    <row r="24" spans="15:17" x14ac:dyDescent="0.25">
      <c r="O24" s="2">
        <f t="shared" si="1"/>
        <v>43.97</v>
      </c>
      <c r="P24" s="2">
        <v>1</v>
      </c>
      <c r="Q24" s="2">
        <f t="shared" si="0"/>
        <v>43.97</v>
      </c>
    </row>
    <row r="25" spans="15:17" x14ac:dyDescent="0.25">
      <c r="O25" s="2">
        <f t="shared" si="1"/>
        <v>43.97</v>
      </c>
      <c r="P25" s="2">
        <v>0.99</v>
      </c>
      <c r="Q25" s="2">
        <f t="shared" si="0"/>
        <v>43.530299999999997</v>
      </c>
    </row>
    <row r="26" spans="15:17" x14ac:dyDescent="0.25">
      <c r="O26" s="2">
        <f t="shared" si="1"/>
        <v>43.97</v>
      </c>
      <c r="P26" s="2">
        <v>0.98</v>
      </c>
      <c r="Q26" s="2">
        <f t="shared" si="0"/>
        <v>43.090599999999995</v>
      </c>
    </row>
    <row r="27" spans="15:17" x14ac:dyDescent="0.25">
      <c r="O27" s="2">
        <f t="shared" si="1"/>
        <v>43.97</v>
      </c>
      <c r="P27" s="2">
        <v>0.97</v>
      </c>
      <c r="Q27" s="2">
        <f t="shared" si="0"/>
        <v>42.6509</v>
      </c>
    </row>
    <row r="28" spans="15:17" x14ac:dyDescent="0.25">
      <c r="O28" s="2">
        <f t="shared" si="1"/>
        <v>43.97</v>
      </c>
      <c r="P28" s="2">
        <v>0.96</v>
      </c>
      <c r="Q28" s="2">
        <f t="shared" si="0"/>
        <v>42.211199999999998</v>
      </c>
    </row>
    <row r="29" spans="15:17" x14ac:dyDescent="0.25">
      <c r="O29" s="2">
        <f t="shared" si="1"/>
        <v>43.97</v>
      </c>
      <c r="P29" s="2">
        <v>0.95</v>
      </c>
      <c r="Q29" s="2">
        <f t="shared" si="0"/>
        <v>41.771499999999996</v>
      </c>
    </row>
    <row r="30" spans="15:17" x14ac:dyDescent="0.25">
      <c r="O30" s="2">
        <f t="shared" si="1"/>
        <v>43.97</v>
      </c>
      <c r="P30" s="2">
        <v>0.9</v>
      </c>
      <c r="Q30" s="2">
        <f t="shared" si="0"/>
        <v>39.573</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37">
        <v>42220</v>
      </c>
      <c r="C2">
        <v>40</v>
      </c>
      <c r="D2" s="2">
        <v>31.78</v>
      </c>
      <c r="F2" s="2">
        <f>C2*D2</f>
        <v>1271.2</v>
      </c>
      <c r="G2" s="1">
        <v>42235</v>
      </c>
      <c r="H2" s="10">
        <v>100</v>
      </c>
      <c r="I2" s="10">
        <v>31.5</v>
      </c>
      <c r="J2" s="10"/>
      <c r="K2" s="10">
        <f>H2*I2</f>
        <v>3150</v>
      </c>
      <c r="O2" s="20" t="s">
        <v>57</v>
      </c>
      <c r="Q2">
        <f>C6-H6</f>
        <v>40</v>
      </c>
      <c r="T2" s="1">
        <v>42300</v>
      </c>
      <c r="U2" t="s">
        <v>126</v>
      </c>
    </row>
    <row r="3" spans="1:21" x14ac:dyDescent="0.25">
      <c r="A3" s="36" t="s">
        <v>81</v>
      </c>
      <c r="B3" s="137"/>
      <c r="C3" s="10">
        <v>60</v>
      </c>
      <c r="D3" s="25">
        <v>31.78</v>
      </c>
      <c r="E3" s="25"/>
      <c r="F3" s="25">
        <f>C3*D3</f>
        <v>1906.8000000000002</v>
      </c>
      <c r="G3" s="1"/>
      <c r="O3" s="20" t="s">
        <v>58</v>
      </c>
      <c r="Q3" s="2">
        <f>(F6-K6)/Q2</f>
        <v>30.987500000000001</v>
      </c>
      <c r="T3" t="s">
        <v>139</v>
      </c>
    </row>
    <row r="4" spans="1:21" x14ac:dyDescent="0.25">
      <c r="B4" s="1">
        <v>42221</v>
      </c>
      <c r="C4" s="10">
        <v>10</v>
      </c>
      <c r="D4" s="25">
        <v>31.45</v>
      </c>
      <c r="E4" s="25"/>
      <c r="F4" s="25">
        <f t="shared" ref="F4:F5" si="0">C4*D4</f>
        <v>314.5</v>
      </c>
      <c r="O4" s="20" t="s">
        <v>66</v>
      </c>
      <c r="Q4" s="106">
        <v>28.1</v>
      </c>
    </row>
    <row r="5" spans="1:21" x14ac:dyDescent="0.25">
      <c r="B5" s="1">
        <v>42233</v>
      </c>
      <c r="C5" s="10">
        <v>30</v>
      </c>
      <c r="D5" s="25">
        <v>29.9</v>
      </c>
      <c r="E5" s="25"/>
      <c r="F5" s="25">
        <f t="shared" si="0"/>
        <v>897</v>
      </c>
      <c r="O5" s="20" t="s">
        <v>67</v>
      </c>
      <c r="Q5" s="5">
        <f>Q4*Q2</f>
        <v>1124</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-115.5</v>
      </c>
    </row>
    <row r="21" spans="15:17" x14ac:dyDescent="0.25">
      <c r="P21" t="s">
        <v>89</v>
      </c>
    </row>
    <row r="22" spans="15:17" x14ac:dyDescent="0.25">
      <c r="O22" s="2">
        <f>$Q$4</f>
        <v>28.1</v>
      </c>
      <c r="P22">
        <v>1.1000000000000001</v>
      </c>
      <c r="Q22" s="2">
        <f t="shared" ref="Q22:Q34" si="1">P22*O22</f>
        <v>30.910000000000004</v>
      </c>
    </row>
    <row r="23" spans="15:17" x14ac:dyDescent="0.25">
      <c r="O23" s="2">
        <f>$Q$4</f>
        <v>28.1</v>
      </c>
      <c r="P23">
        <v>1.05</v>
      </c>
      <c r="Q23" s="2">
        <f t="shared" si="1"/>
        <v>29.505000000000003</v>
      </c>
    </row>
    <row r="24" spans="15:17" x14ac:dyDescent="0.25">
      <c r="O24" s="2">
        <f t="shared" ref="O24:O34" si="2">$Q$4</f>
        <v>28.1</v>
      </c>
      <c r="P24">
        <v>1.04</v>
      </c>
      <c r="Q24" s="2">
        <f t="shared" si="1"/>
        <v>29.224000000000004</v>
      </c>
    </row>
    <row r="25" spans="15:17" x14ac:dyDescent="0.25">
      <c r="O25" s="2">
        <f t="shared" si="2"/>
        <v>28.1</v>
      </c>
      <c r="P25" s="2">
        <v>1.03</v>
      </c>
      <c r="Q25" s="2">
        <f t="shared" si="1"/>
        <v>28.943000000000001</v>
      </c>
    </row>
    <row r="26" spans="15:17" x14ac:dyDescent="0.25">
      <c r="O26" s="2">
        <f t="shared" si="2"/>
        <v>28.1</v>
      </c>
      <c r="P26" s="2">
        <v>1.02</v>
      </c>
      <c r="Q26" s="2">
        <f t="shared" si="1"/>
        <v>28.662000000000003</v>
      </c>
    </row>
    <row r="27" spans="15:17" x14ac:dyDescent="0.25">
      <c r="O27" s="2">
        <f t="shared" si="2"/>
        <v>28.1</v>
      </c>
      <c r="P27" s="2">
        <v>1.01</v>
      </c>
      <c r="Q27" s="2">
        <f t="shared" si="1"/>
        <v>28.381</v>
      </c>
    </row>
    <row r="28" spans="15:17" x14ac:dyDescent="0.25">
      <c r="O28" s="2">
        <f t="shared" si="2"/>
        <v>28.1</v>
      </c>
      <c r="P28" s="2">
        <v>1</v>
      </c>
      <c r="Q28" s="2">
        <f t="shared" si="1"/>
        <v>28.1</v>
      </c>
    </row>
    <row r="29" spans="15:17" x14ac:dyDescent="0.25">
      <c r="O29" s="2">
        <f t="shared" si="2"/>
        <v>28.1</v>
      </c>
      <c r="P29" s="2">
        <v>0.99</v>
      </c>
      <c r="Q29" s="2">
        <f t="shared" si="1"/>
        <v>27.819000000000003</v>
      </c>
    </row>
    <row r="30" spans="15:17" x14ac:dyDescent="0.25">
      <c r="O30" s="2">
        <f t="shared" si="2"/>
        <v>28.1</v>
      </c>
      <c r="P30" s="2">
        <v>0.98</v>
      </c>
      <c r="Q30" s="2">
        <f t="shared" si="1"/>
        <v>27.538</v>
      </c>
    </row>
    <row r="31" spans="15:17" x14ac:dyDescent="0.25">
      <c r="O31" s="2">
        <f t="shared" si="2"/>
        <v>28.1</v>
      </c>
      <c r="P31" s="2">
        <v>0.97</v>
      </c>
      <c r="Q31" s="2">
        <f t="shared" si="1"/>
        <v>27.257000000000001</v>
      </c>
    </row>
    <row r="32" spans="15:17" x14ac:dyDescent="0.25">
      <c r="O32" s="2">
        <f t="shared" si="2"/>
        <v>28.1</v>
      </c>
      <c r="P32" s="2">
        <v>0.96</v>
      </c>
      <c r="Q32" s="2">
        <f t="shared" si="1"/>
        <v>26.975999999999999</v>
      </c>
    </row>
    <row r="33" spans="4:17" x14ac:dyDescent="0.25">
      <c r="O33" s="2">
        <f t="shared" si="2"/>
        <v>28.1</v>
      </c>
      <c r="P33" s="2">
        <v>0.95</v>
      </c>
      <c r="Q33" s="2">
        <f t="shared" si="1"/>
        <v>26.695</v>
      </c>
    </row>
    <row r="34" spans="4:17" x14ac:dyDescent="0.25">
      <c r="O34" s="2">
        <f t="shared" si="2"/>
        <v>28.1</v>
      </c>
      <c r="P34" s="2">
        <v>0.9</v>
      </c>
      <c r="Q34" s="2">
        <f t="shared" si="1"/>
        <v>25.290000000000003</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126</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69.14</v>
      </c>
    </row>
    <row r="5" spans="1:22" x14ac:dyDescent="0.25">
      <c r="O5" s="20" t="s">
        <v>67</v>
      </c>
      <c r="Q5" s="5">
        <f>Q4*Q2</f>
        <v>345.7</v>
      </c>
    </row>
    <row r="6" spans="1:22" x14ac:dyDescent="0.25">
      <c r="O6" s="20" t="s">
        <v>64</v>
      </c>
      <c r="Q6" s="2">
        <f>Q3*Q2</f>
        <v>310.25</v>
      </c>
    </row>
    <row r="7" spans="1:22" x14ac:dyDescent="0.25">
      <c r="O7" s="20" t="s">
        <v>65</v>
      </c>
      <c r="Q7" s="2">
        <f>Q5-Q6</f>
        <v>35.449999999999989</v>
      </c>
    </row>
    <row r="16" spans="1:22" x14ac:dyDescent="0.25">
      <c r="P16" t="s">
        <v>89</v>
      </c>
    </row>
    <row r="17" spans="15:17" x14ac:dyDescent="0.25">
      <c r="O17" s="2">
        <f>$Q$4</f>
        <v>69.14</v>
      </c>
      <c r="P17">
        <v>1.1000000000000001</v>
      </c>
      <c r="Q17" s="2">
        <f t="shared" ref="Q17:Q29" si="0">P17*O17</f>
        <v>76.054000000000002</v>
      </c>
    </row>
    <row r="18" spans="15:17" x14ac:dyDescent="0.25">
      <c r="O18" s="2">
        <f>$Q$4</f>
        <v>69.14</v>
      </c>
      <c r="P18">
        <v>1.05</v>
      </c>
      <c r="Q18" s="2">
        <f t="shared" si="0"/>
        <v>72.597000000000008</v>
      </c>
    </row>
    <row r="19" spans="15:17" x14ac:dyDescent="0.25">
      <c r="O19" s="2">
        <f t="shared" ref="O19:O29" si="1">$Q$4</f>
        <v>69.14</v>
      </c>
      <c r="P19">
        <v>1.04</v>
      </c>
      <c r="Q19" s="2">
        <f t="shared" si="0"/>
        <v>71.905600000000007</v>
      </c>
    </row>
    <row r="20" spans="15:17" x14ac:dyDescent="0.25">
      <c r="O20" s="2">
        <f t="shared" si="1"/>
        <v>69.14</v>
      </c>
      <c r="P20" s="2">
        <v>1.03</v>
      </c>
      <c r="Q20" s="2">
        <f t="shared" si="0"/>
        <v>71.214200000000005</v>
      </c>
    </row>
    <row r="21" spans="15:17" x14ac:dyDescent="0.25">
      <c r="O21" s="2">
        <f t="shared" si="1"/>
        <v>69.14</v>
      </c>
      <c r="P21" s="2">
        <v>1.02</v>
      </c>
      <c r="Q21" s="2">
        <f t="shared" si="0"/>
        <v>70.522800000000004</v>
      </c>
    </row>
    <row r="22" spans="15:17" x14ac:dyDescent="0.25">
      <c r="O22" s="2">
        <f t="shared" si="1"/>
        <v>69.14</v>
      </c>
      <c r="P22" s="2">
        <v>1.01</v>
      </c>
      <c r="Q22" s="2">
        <f t="shared" si="0"/>
        <v>69.831400000000002</v>
      </c>
    </row>
    <row r="23" spans="15:17" x14ac:dyDescent="0.25">
      <c r="O23" s="2">
        <f t="shared" si="1"/>
        <v>69.14</v>
      </c>
      <c r="P23" s="2">
        <v>1</v>
      </c>
      <c r="Q23" s="2">
        <f t="shared" si="0"/>
        <v>69.14</v>
      </c>
    </row>
    <row r="24" spans="15:17" x14ac:dyDescent="0.25">
      <c r="O24" s="2">
        <f t="shared" si="1"/>
        <v>69.14</v>
      </c>
      <c r="P24" s="2">
        <v>0.99</v>
      </c>
      <c r="Q24" s="2">
        <f t="shared" si="0"/>
        <v>68.448599999999999</v>
      </c>
    </row>
    <row r="25" spans="15:17" x14ac:dyDescent="0.25">
      <c r="O25" s="2">
        <f t="shared" si="1"/>
        <v>69.14</v>
      </c>
      <c r="P25" s="2">
        <v>0.98</v>
      </c>
      <c r="Q25" s="2">
        <f t="shared" si="0"/>
        <v>67.757199999999997</v>
      </c>
    </row>
    <row r="26" spans="15:17" x14ac:dyDescent="0.25">
      <c r="O26" s="2">
        <f t="shared" si="1"/>
        <v>69.14</v>
      </c>
      <c r="P26" s="2">
        <v>0.97</v>
      </c>
      <c r="Q26" s="2">
        <f t="shared" si="0"/>
        <v>67.065799999999996</v>
      </c>
    </row>
    <row r="27" spans="15:17" x14ac:dyDescent="0.25">
      <c r="O27" s="2">
        <f t="shared" si="1"/>
        <v>69.14</v>
      </c>
      <c r="P27" s="2">
        <v>0.96</v>
      </c>
      <c r="Q27" s="2">
        <f t="shared" si="0"/>
        <v>66.374399999999994</v>
      </c>
    </row>
    <row r="28" spans="15:17" x14ac:dyDescent="0.25">
      <c r="O28" s="2">
        <f t="shared" si="1"/>
        <v>69.14</v>
      </c>
      <c r="P28" s="2">
        <v>0.95</v>
      </c>
      <c r="Q28" s="2">
        <f t="shared" si="0"/>
        <v>65.682999999999993</v>
      </c>
    </row>
    <row r="29" spans="15:17" x14ac:dyDescent="0.25">
      <c r="O29" s="2">
        <f t="shared" si="1"/>
        <v>69.14</v>
      </c>
      <c r="P29" s="2">
        <v>0.9</v>
      </c>
      <c r="Q29" s="2">
        <f t="shared" si="0"/>
        <v>62.225999999999999</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126</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29.97</v>
      </c>
    </row>
    <row r="5" spans="1:22" x14ac:dyDescent="0.25">
      <c r="B5" s="1">
        <v>42240</v>
      </c>
      <c r="C5">
        <v>40</v>
      </c>
      <c r="D5">
        <v>32.4</v>
      </c>
      <c r="F5">
        <f t="shared" ref="F5:F7" si="0">C5*D5</f>
        <v>1296</v>
      </c>
      <c r="O5" s="20" t="s">
        <v>67</v>
      </c>
      <c r="Q5" s="5">
        <f>Q4*Q2</f>
        <v>2397.6</v>
      </c>
    </row>
    <row r="6" spans="1:22" x14ac:dyDescent="0.25">
      <c r="F6">
        <f t="shared" si="0"/>
        <v>0</v>
      </c>
      <c r="O6" s="20" t="s">
        <v>64</v>
      </c>
      <c r="Q6" s="2">
        <f>Q3*Q2</f>
        <v>2687</v>
      </c>
    </row>
    <row r="7" spans="1:22" x14ac:dyDescent="0.25">
      <c r="F7">
        <f t="shared" si="0"/>
        <v>0</v>
      </c>
      <c r="O7" s="20" t="s">
        <v>65</v>
      </c>
      <c r="Q7" s="2">
        <f>Q5-Q6+M8</f>
        <v>-289.40000000000009</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29.97</v>
      </c>
      <c r="P21">
        <v>1.1000000000000001</v>
      </c>
      <c r="Q21" s="2">
        <f t="shared" ref="Q21:Q33" si="1">P21*O21</f>
        <v>32.966999999999999</v>
      </c>
      <c r="R21" t="s">
        <v>137</v>
      </c>
    </row>
    <row r="22" spans="15:18" x14ac:dyDescent="0.25">
      <c r="O22" s="2">
        <f>$Q$4</f>
        <v>29.97</v>
      </c>
      <c r="P22">
        <v>1.05</v>
      </c>
      <c r="Q22" s="2">
        <f t="shared" si="1"/>
        <v>31.468499999999999</v>
      </c>
    </row>
    <row r="23" spans="15:18" x14ac:dyDescent="0.25">
      <c r="O23" s="2">
        <f t="shared" ref="O23:O33" si="2">$Q$4</f>
        <v>29.97</v>
      </c>
      <c r="P23">
        <v>1.04</v>
      </c>
      <c r="Q23" s="2">
        <f t="shared" si="1"/>
        <v>31.168800000000001</v>
      </c>
    </row>
    <row r="24" spans="15:18" x14ac:dyDescent="0.25">
      <c r="O24" s="2">
        <f t="shared" si="2"/>
        <v>29.97</v>
      </c>
      <c r="P24" s="2">
        <v>1.03</v>
      </c>
      <c r="Q24" s="2">
        <f t="shared" si="1"/>
        <v>30.8691</v>
      </c>
    </row>
    <row r="25" spans="15:18" x14ac:dyDescent="0.25">
      <c r="O25" s="2">
        <f t="shared" si="2"/>
        <v>29.97</v>
      </c>
      <c r="P25" s="2">
        <v>1.02</v>
      </c>
      <c r="Q25" s="2">
        <f t="shared" si="1"/>
        <v>30.569399999999998</v>
      </c>
    </row>
    <row r="26" spans="15:18" x14ac:dyDescent="0.25">
      <c r="O26" s="2">
        <f t="shared" si="2"/>
        <v>29.97</v>
      </c>
      <c r="P26" s="2">
        <v>1.01</v>
      </c>
      <c r="Q26" s="2">
        <f t="shared" si="1"/>
        <v>30.2697</v>
      </c>
    </row>
    <row r="27" spans="15:18" x14ac:dyDescent="0.25">
      <c r="O27" s="2">
        <f t="shared" si="2"/>
        <v>29.97</v>
      </c>
      <c r="P27" s="2">
        <v>1</v>
      </c>
      <c r="Q27" s="2">
        <f t="shared" si="1"/>
        <v>29.97</v>
      </c>
    </row>
    <row r="28" spans="15:18" x14ac:dyDescent="0.25">
      <c r="O28" s="2">
        <f t="shared" si="2"/>
        <v>29.97</v>
      </c>
      <c r="P28" s="2">
        <v>0.99</v>
      </c>
      <c r="Q28" s="2">
        <f t="shared" si="1"/>
        <v>29.670299999999997</v>
      </c>
    </row>
    <row r="29" spans="15:18" x14ac:dyDescent="0.25">
      <c r="O29" s="2">
        <f t="shared" si="2"/>
        <v>29.97</v>
      </c>
      <c r="P29" s="2">
        <v>0.98</v>
      </c>
      <c r="Q29" s="2">
        <f t="shared" si="1"/>
        <v>29.3706</v>
      </c>
      <c r="R29" t="s">
        <v>123</v>
      </c>
    </row>
    <row r="30" spans="15:18" x14ac:dyDescent="0.25">
      <c r="O30" s="2">
        <f t="shared" si="2"/>
        <v>29.97</v>
      </c>
      <c r="P30" s="2">
        <v>0.97</v>
      </c>
      <c r="Q30" s="2">
        <f t="shared" si="1"/>
        <v>29.070899999999998</v>
      </c>
    </row>
    <row r="31" spans="15:18" x14ac:dyDescent="0.25">
      <c r="O31" s="2">
        <f t="shared" si="2"/>
        <v>29.97</v>
      </c>
      <c r="P31" s="2">
        <v>0.96</v>
      </c>
      <c r="Q31" s="2">
        <f t="shared" si="1"/>
        <v>28.771199999999997</v>
      </c>
    </row>
    <row r="32" spans="15:18" x14ac:dyDescent="0.25">
      <c r="O32" s="2">
        <f t="shared" si="2"/>
        <v>29.97</v>
      </c>
      <c r="P32" s="2">
        <v>0.95</v>
      </c>
      <c r="Q32" s="2">
        <f t="shared" si="1"/>
        <v>28.471499999999999</v>
      </c>
    </row>
    <row r="33" spans="15:17" x14ac:dyDescent="0.25">
      <c r="O33" s="2">
        <f t="shared" si="2"/>
        <v>29.97</v>
      </c>
      <c r="P33" s="2">
        <v>0.9</v>
      </c>
      <c r="Q33" s="2">
        <f t="shared" si="1"/>
        <v>26.972999999999999</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126</v>
      </c>
    </row>
    <row r="3" spans="1:21" x14ac:dyDescent="0.25">
      <c r="A3" s="36" t="s">
        <v>81</v>
      </c>
      <c r="B3" s="1">
        <v>42219</v>
      </c>
      <c r="C3">
        <v>5</v>
      </c>
      <c r="D3" s="2">
        <v>97.95</v>
      </c>
      <c r="F3" s="2">
        <f>C3*D3</f>
        <v>489.75</v>
      </c>
      <c r="O3" s="20" t="s">
        <v>58</v>
      </c>
      <c r="Q3" s="2">
        <f>(F8-K8)/Q2</f>
        <v>97.993999999999986</v>
      </c>
    </row>
    <row r="4" spans="1:21" x14ac:dyDescent="0.25">
      <c r="B4" s="1"/>
      <c r="O4" s="20" t="s">
        <v>66</v>
      </c>
      <c r="Q4" s="106">
        <v>91.56</v>
      </c>
    </row>
    <row r="5" spans="1:21" x14ac:dyDescent="0.25">
      <c r="O5" s="20" t="s">
        <v>67</v>
      </c>
      <c r="Q5" s="5">
        <f>Q4*Q2</f>
        <v>457.8</v>
      </c>
    </row>
    <row r="6" spans="1:21" x14ac:dyDescent="0.25">
      <c r="O6" s="20" t="s">
        <v>64</v>
      </c>
      <c r="Q6" s="2">
        <f>Q3*Q2</f>
        <v>489.96999999999991</v>
      </c>
    </row>
    <row r="7" spans="1:21" x14ac:dyDescent="0.25">
      <c r="O7" s="20" t="s">
        <v>65</v>
      </c>
      <c r="Q7" s="2">
        <f>Q5-Q6+M8</f>
        <v>-32.169999999999902</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91.56</v>
      </c>
      <c r="P20">
        <v>1.1000000000000001</v>
      </c>
      <c r="Q20" s="2">
        <f t="shared" ref="Q20:Q32" si="0">P20*O20</f>
        <v>100.71600000000001</v>
      </c>
    </row>
    <row r="21" spans="15:17" x14ac:dyDescent="0.25">
      <c r="O21" s="2">
        <f>$Q$4</f>
        <v>91.56</v>
      </c>
      <c r="P21">
        <v>1.05</v>
      </c>
      <c r="Q21" s="2">
        <f t="shared" si="0"/>
        <v>96.138000000000005</v>
      </c>
    </row>
    <row r="22" spans="15:17" x14ac:dyDescent="0.25">
      <c r="O22" s="2">
        <f t="shared" ref="O22:O32" si="1">$Q$4</f>
        <v>91.56</v>
      </c>
      <c r="P22">
        <v>1.04</v>
      </c>
      <c r="Q22" s="2">
        <f t="shared" si="0"/>
        <v>95.222400000000007</v>
      </c>
    </row>
    <row r="23" spans="15:17" x14ac:dyDescent="0.25">
      <c r="O23" s="2">
        <f t="shared" si="1"/>
        <v>91.56</v>
      </c>
      <c r="P23" s="2">
        <v>1.03</v>
      </c>
      <c r="Q23" s="2">
        <f t="shared" si="0"/>
        <v>94.30680000000001</v>
      </c>
    </row>
    <row r="24" spans="15:17" x14ac:dyDescent="0.25">
      <c r="O24" s="2">
        <f t="shared" si="1"/>
        <v>91.56</v>
      </c>
      <c r="P24" s="2">
        <v>1.02</v>
      </c>
      <c r="Q24" s="2">
        <f t="shared" si="0"/>
        <v>93.391199999999998</v>
      </c>
    </row>
    <row r="25" spans="15:17" x14ac:dyDescent="0.25">
      <c r="O25" s="2">
        <f t="shared" si="1"/>
        <v>91.56</v>
      </c>
      <c r="P25" s="2">
        <v>1.01</v>
      </c>
      <c r="Q25" s="2">
        <f t="shared" si="0"/>
        <v>92.4756</v>
      </c>
    </row>
    <row r="26" spans="15:17" x14ac:dyDescent="0.25">
      <c r="O26" s="2">
        <f t="shared" si="1"/>
        <v>91.56</v>
      </c>
      <c r="P26" s="2">
        <v>1</v>
      </c>
      <c r="Q26" s="2">
        <f t="shared" si="0"/>
        <v>91.56</v>
      </c>
    </row>
    <row r="27" spans="15:17" x14ac:dyDescent="0.25">
      <c r="O27" s="2">
        <f t="shared" si="1"/>
        <v>91.56</v>
      </c>
      <c r="P27" s="2">
        <v>0.99</v>
      </c>
      <c r="Q27" s="2">
        <f t="shared" si="0"/>
        <v>90.644400000000005</v>
      </c>
    </row>
    <row r="28" spans="15:17" x14ac:dyDescent="0.25">
      <c r="O28" s="2">
        <f t="shared" si="1"/>
        <v>91.56</v>
      </c>
      <c r="P28" s="2">
        <v>0.98</v>
      </c>
      <c r="Q28" s="2">
        <f t="shared" si="0"/>
        <v>89.728800000000007</v>
      </c>
    </row>
    <row r="29" spans="15:17" x14ac:dyDescent="0.25">
      <c r="O29" s="2">
        <f t="shared" si="1"/>
        <v>91.56</v>
      </c>
      <c r="P29" s="2">
        <v>0.97</v>
      </c>
      <c r="Q29" s="2">
        <f t="shared" si="0"/>
        <v>88.813199999999995</v>
      </c>
    </row>
    <row r="30" spans="15:17" x14ac:dyDescent="0.25">
      <c r="O30" s="2">
        <f t="shared" si="1"/>
        <v>91.56</v>
      </c>
      <c r="P30" s="2">
        <v>0.96</v>
      </c>
      <c r="Q30" s="2">
        <f t="shared" si="0"/>
        <v>87.897599999999997</v>
      </c>
    </row>
    <row r="31" spans="15:17" x14ac:dyDescent="0.25">
      <c r="O31" s="2">
        <f t="shared" si="1"/>
        <v>91.56</v>
      </c>
      <c r="P31" s="2">
        <v>0.95</v>
      </c>
      <c r="Q31" s="2">
        <f t="shared" si="0"/>
        <v>86.981999999999999</v>
      </c>
    </row>
    <row r="32" spans="15:17" x14ac:dyDescent="0.25">
      <c r="O32" s="2">
        <f t="shared" si="1"/>
        <v>91.56</v>
      </c>
      <c r="P32" s="2">
        <v>0.9</v>
      </c>
      <c r="Q32" s="2">
        <f t="shared" si="0"/>
        <v>82.404000000000011</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126</v>
      </c>
    </row>
    <row r="3" spans="1:22" x14ac:dyDescent="0.25">
      <c r="A3" s="36" t="s">
        <v>81</v>
      </c>
      <c r="B3" s="1">
        <v>42214</v>
      </c>
      <c r="C3">
        <v>5</v>
      </c>
      <c r="D3" s="2">
        <v>118.3</v>
      </c>
      <c r="F3" s="2">
        <f>D3*C3</f>
        <v>591.5</v>
      </c>
      <c r="O3" s="20" t="s">
        <v>58</v>
      </c>
      <c r="Q3" s="2">
        <f>F6/C6</f>
        <v>119.52666666666667</v>
      </c>
    </row>
    <row r="4" spans="1:22" x14ac:dyDescent="0.25">
      <c r="O4" s="20" t="s">
        <v>66</v>
      </c>
      <c r="Q4" s="106">
        <v>113.46</v>
      </c>
      <c r="V4" t="str">
        <f>YahooFinance(A2, "latestprice")</f>
        <v xml:space="preserve">116.28
</v>
      </c>
    </row>
    <row r="5" spans="1:22" x14ac:dyDescent="0.25">
      <c r="O5" s="20" t="s">
        <v>67</v>
      </c>
      <c r="Q5" s="5">
        <f>Q4*Q2</f>
        <v>1701.8999999999999</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-91.000000000000227</v>
      </c>
    </row>
    <row r="19" spans="15:17" x14ac:dyDescent="0.25">
      <c r="P19" t="s">
        <v>89</v>
      </c>
    </row>
    <row r="20" spans="15:17" x14ac:dyDescent="0.25">
      <c r="O20" s="2">
        <f>$Q$4</f>
        <v>113.46</v>
      </c>
      <c r="P20">
        <v>1.1000000000000001</v>
      </c>
      <c r="Q20" s="2">
        <f t="shared" ref="Q20:Q32" si="1">P20*O20</f>
        <v>124.806</v>
      </c>
    </row>
    <row r="21" spans="15:17" x14ac:dyDescent="0.25">
      <c r="O21" s="2">
        <f>$Q$4</f>
        <v>113.46</v>
      </c>
      <c r="P21">
        <v>1.05</v>
      </c>
      <c r="Q21" s="2">
        <f t="shared" si="1"/>
        <v>119.133</v>
      </c>
    </row>
    <row r="22" spans="15:17" x14ac:dyDescent="0.25">
      <c r="O22" s="2">
        <f t="shared" ref="O22:O32" si="2">$Q$4</f>
        <v>113.46</v>
      </c>
      <c r="P22">
        <v>1.04</v>
      </c>
      <c r="Q22" s="2">
        <f t="shared" si="1"/>
        <v>117.9984</v>
      </c>
    </row>
    <row r="23" spans="15:17" x14ac:dyDescent="0.25">
      <c r="O23" s="2">
        <f t="shared" si="2"/>
        <v>113.46</v>
      </c>
      <c r="P23" s="2">
        <v>1.03</v>
      </c>
      <c r="Q23" s="2">
        <f t="shared" si="1"/>
        <v>116.8638</v>
      </c>
    </row>
    <row r="24" spans="15:17" x14ac:dyDescent="0.25">
      <c r="O24" s="2">
        <f t="shared" si="2"/>
        <v>113.46</v>
      </c>
      <c r="P24" s="2">
        <v>1.02</v>
      </c>
      <c r="Q24" s="2">
        <f t="shared" si="1"/>
        <v>115.72919999999999</v>
      </c>
    </row>
    <row r="25" spans="15:17" x14ac:dyDescent="0.25">
      <c r="O25" s="2">
        <f t="shared" si="2"/>
        <v>113.46</v>
      </c>
      <c r="P25" s="2">
        <v>1.01</v>
      </c>
      <c r="Q25" s="2">
        <f t="shared" si="1"/>
        <v>114.5946</v>
      </c>
    </row>
    <row r="26" spans="15:17" x14ac:dyDescent="0.25">
      <c r="O26" s="2">
        <f t="shared" si="2"/>
        <v>113.46</v>
      </c>
      <c r="P26" s="2">
        <v>1</v>
      </c>
      <c r="Q26" s="2">
        <f t="shared" si="1"/>
        <v>113.46</v>
      </c>
    </row>
    <row r="27" spans="15:17" x14ac:dyDescent="0.25">
      <c r="O27" s="2">
        <f t="shared" si="2"/>
        <v>113.46</v>
      </c>
      <c r="P27" s="2">
        <v>0.99</v>
      </c>
      <c r="Q27" s="2">
        <f t="shared" si="1"/>
        <v>112.32539999999999</v>
      </c>
    </row>
    <row r="28" spans="15:17" x14ac:dyDescent="0.25">
      <c r="O28" s="2">
        <f t="shared" si="2"/>
        <v>113.46</v>
      </c>
      <c r="P28" s="2">
        <v>0.98</v>
      </c>
      <c r="Q28" s="2">
        <f t="shared" si="1"/>
        <v>111.1908</v>
      </c>
    </row>
    <row r="29" spans="15:17" x14ac:dyDescent="0.25">
      <c r="O29" s="2">
        <f t="shared" si="2"/>
        <v>113.46</v>
      </c>
      <c r="P29" s="2">
        <v>0.97</v>
      </c>
      <c r="Q29" s="2">
        <f t="shared" si="1"/>
        <v>110.05619999999999</v>
      </c>
    </row>
    <row r="30" spans="15:17" x14ac:dyDescent="0.25">
      <c r="O30" s="2">
        <f t="shared" si="2"/>
        <v>113.46</v>
      </c>
      <c r="P30" s="2">
        <v>0.96</v>
      </c>
      <c r="Q30" s="2">
        <f t="shared" si="1"/>
        <v>108.92159999999998</v>
      </c>
    </row>
    <row r="31" spans="15:17" x14ac:dyDescent="0.25">
      <c r="O31" s="2">
        <f t="shared" si="2"/>
        <v>113.46</v>
      </c>
      <c r="P31" s="2">
        <v>0.95</v>
      </c>
      <c r="Q31" s="2">
        <f t="shared" si="1"/>
        <v>107.78699999999999</v>
      </c>
    </row>
    <row r="32" spans="15:17" x14ac:dyDescent="0.25">
      <c r="O32" s="2">
        <f t="shared" si="2"/>
        <v>113.46</v>
      </c>
      <c r="P32" s="2">
        <v>0.9</v>
      </c>
      <c r="Q32" s="2">
        <f t="shared" si="1"/>
        <v>102.11399999999999</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R1" s="58"/>
      <c r="T1" s="20" t="s">
        <v>74</v>
      </c>
    </row>
    <row r="2" spans="1:21" x14ac:dyDescent="0.25">
      <c r="A2" s="8" t="s">
        <v>62</v>
      </c>
      <c r="B2" s="1">
        <v>42222</v>
      </c>
      <c r="C2">
        <v>5</v>
      </c>
      <c r="D2" s="2">
        <v>320</v>
      </c>
      <c r="F2" s="2">
        <f>C2*D2</f>
        <v>1600</v>
      </c>
      <c r="O2" s="20" t="s">
        <v>57</v>
      </c>
      <c r="Q2">
        <f>C5-H5</f>
        <v>5</v>
      </c>
      <c r="T2" s="1">
        <v>42299</v>
      </c>
      <c r="U2" t="s">
        <v>126</v>
      </c>
    </row>
    <row r="3" spans="1:21" x14ac:dyDescent="0.25">
      <c r="A3" s="36" t="s">
        <v>81</v>
      </c>
      <c r="O3" s="20" t="s">
        <v>58</v>
      </c>
      <c r="Q3" s="2">
        <f>F5/C5</f>
        <v>320</v>
      </c>
    </row>
    <row r="4" spans="1:21" x14ac:dyDescent="0.25">
      <c r="O4" s="20" t="s">
        <v>66</v>
      </c>
      <c r="Q4" s="106">
        <v>298.25</v>
      </c>
    </row>
    <row r="5" spans="1:21" x14ac:dyDescent="0.25">
      <c r="A5" s="57" t="s">
        <v>114</v>
      </c>
      <c r="B5" s="24"/>
      <c r="C5" s="24">
        <f>SUM(C2:C4)</f>
        <v>5</v>
      </c>
      <c r="D5" s="31"/>
      <c r="E5" s="31"/>
      <c r="F5" s="31">
        <f t="shared" ref="F5" si="0">SUM(F2:F4)</f>
        <v>1600</v>
      </c>
      <c r="G5" s="24"/>
      <c r="H5" s="24"/>
      <c r="I5" s="24"/>
      <c r="J5" s="24"/>
      <c r="K5" s="24"/>
      <c r="L5" s="24"/>
      <c r="M5" s="24"/>
      <c r="O5" s="20" t="s">
        <v>67</v>
      </c>
      <c r="Q5" s="5">
        <f>Q4*Q2</f>
        <v>1491.25</v>
      </c>
    </row>
    <row r="6" spans="1:21" x14ac:dyDescent="0.25">
      <c r="O6" s="20" t="s">
        <v>64</v>
      </c>
      <c r="Q6" s="2">
        <f>Q3*Q2</f>
        <v>1600</v>
      </c>
    </row>
    <row r="7" spans="1:21" x14ac:dyDescent="0.25">
      <c r="O7" s="20" t="s">
        <v>65</v>
      </c>
      <c r="Q7" s="2">
        <f>Q5-Q6</f>
        <v>-108.75</v>
      </c>
    </row>
    <row r="12" spans="1:21" x14ac:dyDescent="0.25">
      <c r="F12" s="5"/>
    </row>
    <row r="13" spans="1:21" x14ac:dyDescent="0.25">
      <c r="F13" s="5"/>
    </row>
    <row r="19" spans="2:18" x14ac:dyDescent="0.25">
      <c r="P19" t="s">
        <v>89</v>
      </c>
    </row>
    <row r="20" spans="2:18" x14ac:dyDescent="0.25">
      <c r="O20" s="2">
        <f>$Q$4</f>
        <v>298.25</v>
      </c>
      <c r="P20">
        <v>1.1000000000000001</v>
      </c>
      <c r="Q20" s="2">
        <f t="shared" ref="Q20:Q32" si="1">P20*O20</f>
        <v>328.07500000000005</v>
      </c>
    </row>
    <row r="21" spans="2:18" x14ac:dyDescent="0.25">
      <c r="O21" s="2">
        <f>$Q$4</f>
        <v>298.25</v>
      </c>
      <c r="P21">
        <v>1.05</v>
      </c>
      <c r="Q21" s="2">
        <f t="shared" si="1"/>
        <v>313.16250000000002</v>
      </c>
    </row>
    <row r="22" spans="2:18" x14ac:dyDescent="0.25">
      <c r="B22" t="s">
        <v>204</v>
      </c>
      <c r="C22" s="2"/>
      <c r="E22" s="2" t="s">
        <v>205</v>
      </c>
      <c r="F22"/>
      <c r="O22" s="2">
        <f t="shared" ref="O22:O32" si="2">$Q$4</f>
        <v>298.25</v>
      </c>
      <c r="P22">
        <v>1.04</v>
      </c>
      <c r="Q22" s="2">
        <f t="shared" si="1"/>
        <v>310.18</v>
      </c>
    </row>
    <row r="23" spans="2:18" x14ac:dyDescent="0.25">
      <c r="O23" s="2">
        <f t="shared" si="2"/>
        <v>298.25</v>
      </c>
      <c r="P23" s="2">
        <v>1.03</v>
      </c>
      <c r="Q23" s="2">
        <f t="shared" si="1"/>
        <v>307.19749999999999</v>
      </c>
    </row>
    <row r="24" spans="2:18" x14ac:dyDescent="0.25">
      <c r="O24" s="2">
        <f t="shared" si="2"/>
        <v>298.25</v>
      </c>
      <c r="P24" s="2">
        <v>1.02</v>
      </c>
      <c r="Q24" s="2">
        <f t="shared" si="1"/>
        <v>304.21500000000003</v>
      </c>
    </row>
    <row r="25" spans="2:18" x14ac:dyDescent="0.25">
      <c r="O25" s="2">
        <f t="shared" si="2"/>
        <v>298.25</v>
      </c>
      <c r="P25" s="2">
        <v>1.01</v>
      </c>
      <c r="Q25" s="2">
        <f t="shared" si="1"/>
        <v>301.23250000000002</v>
      </c>
    </row>
    <row r="26" spans="2:18" x14ac:dyDescent="0.25">
      <c r="O26" s="2">
        <f t="shared" si="2"/>
        <v>298.25</v>
      </c>
      <c r="P26" s="2">
        <v>1</v>
      </c>
      <c r="Q26" s="2">
        <f t="shared" si="1"/>
        <v>298.25</v>
      </c>
    </row>
    <row r="27" spans="2:18" x14ac:dyDescent="0.25">
      <c r="O27" s="2">
        <f t="shared" si="2"/>
        <v>298.25</v>
      </c>
      <c r="P27" s="2">
        <v>0.99</v>
      </c>
      <c r="Q27" s="2">
        <f t="shared" si="1"/>
        <v>295.26749999999998</v>
      </c>
    </row>
    <row r="28" spans="2:18" x14ac:dyDescent="0.25">
      <c r="O28" s="2">
        <f t="shared" si="2"/>
        <v>298.25</v>
      </c>
      <c r="P28" s="2">
        <v>0.98</v>
      </c>
      <c r="Q28" s="2">
        <f t="shared" si="1"/>
        <v>292.28499999999997</v>
      </c>
      <c r="R28" s="59" t="s">
        <v>138</v>
      </c>
    </row>
    <row r="29" spans="2:18" x14ac:dyDescent="0.25">
      <c r="O29" s="2">
        <f t="shared" si="2"/>
        <v>298.25</v>
      </c>
      <c r="P29" s="2">
        <v>0.97</v>
      </c>
      <c r="Q29" s="2">
        <f t="shared" si="1"/>
        <v>289.30250000000001</v>
      </c>
    </row>
    <row r="30" spans="2:18" x14ac:dyDescent="0.25">
      <c r="O30" s="2">
        <f t="shared" si="2"/>
        <v>298.25</v>
      </c>
      <c r="P30" s="2">
        <v>0.96</v>
      </c>
      <c r="Q30" s="2">
        <f t="shared" si="1"/>
        <v>286.32</v>
      </c>
    </row>
    <row r="31" spans="2:18" x14ac:dyDescent="0.25">
      <c r="O31" s="2">
        <f t="shared" si="2"/>
        <v>298.25</v>
      </c>
      <c r="P31" s="2">
        <v>0.95</v>
      </c>
      <c r="Q31" s="2">
        <f t="shared" si="1"/>
        <v>283.33749999999998</v>
      </c>
    </row>
    <row r="32" spans="2:18" x14ac:dyDescent="0.25">
      <c r="O32" s="2">
        <f t="shared" si="2"/>
        <v>298.25</v>
      </c>
      <c r="P32" s="2">
        <v>0.9</v>
      </c>
      <c r="Q32" s="2">
        <f t="shared" si="1"/>
        <v>268.42500000000001</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157</v>
      </c>
      <c r="F1" s="34" t="s">
        <v>60</v>
      </c>
      <c r="G1" s="20" t="s">
        <v>3</v>
      </c>
      <c r="H1" s="20" t="s">
        <v>6</v>
      </c>
      <c r="I1" s="34" t="s">
        <v>7</v>
      </c>
      <c r="J1" s="34" t="s">
        <v>156</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10.51</v>
      </c>
    </row>
    <row r="5" spans="1:17" x14ac:dyDescent="0.25">
      <c r="B5" s="1">
        <v>42234</v>
      </c>
      <c r="C5">
        <v>15</v>
      </c>
      <c r="D5" s="2">
        <v>13.9</v>
      </c>
      <c r="E5" s="2">
        <v>0</v>
      </c>
      <c r="F5" s="2">
        <f>C5*D5</f>
        <v>208.5</v>
      </c>
      <c r="O5" s="20" t="s">
        <v>67</v>
      </c>
      <c r="Q5" s="5">
        <f>Q4*Q2</f>
        <v>840.8</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-1530.45</v>
      </c>
    </row>
    <row r="15" spans="1:17" x14ac:dyDescent="0.25">
      <c r="P15" t="s">
        <v>89</v>
      </c>
    </row>
    <row r="16" spans="1:17" x14ac:dyDescent="0.25">
      <c r="O16" s="2">
        <f>$Q$4</f>
        <v>10.51</v>
      </c>
      <c r="P16">
        <v>1.1000000000000001</v>
      </c>
      <c r="Q16" s="2">
        <f t="shared" ref="Q16:Q28" si="0">P16*O16</f>
        <v>11.561</v>
      </c>
    </row>
    <row r="17" spans="15:17" x14ac:dyDescent="0.25">
      <c r="O17" s="2">
        <f>$Q$4</f>
        <v>10.51</v>
      </c>
      <c r="P17">
        <v>1.05</v>
      </c>
      <c r="Q17" s="2">
        <f t="shared" si="0"/>
        <v>11.035500000000001</v>
      </c>
    </row>
    <row r="18" spans="15:17" x14ac:dyDescent="0.25">
      <c r="O18" s="2">
        <f t="shared" ref="O18:O28" si="1">$Q$4</f>
        <v>10.51</v>
      </c>
      <c r="P18">
        <v>1.04</v>
      </c>
      <c r="Q18" s="2">
        <f t="shared" si="0"/>
        <v>10.930400000000001</v>
      </c>
    </row>
    <row r="19" spans="15:17" x14ac:dyDescent="0.25">
      <c r="O19" s="2">
        <f t="shared" si="1"/>
        <v>10.51</v>
      </c>
      <c r="P19" s="2">
        <v>1.03</v>
      </c>
      <c r="Q19" s="2">
        <f t="shared" si="0"/>
        <v>10.8253</v>
      </c>
    </row>
    <row r="20" spans="15:17" x14ac:dyDescent="0.25">
      <c r="O20" s="2">
        <f t="shared" si="1"/>
        <v>10.51</v>
      </c>
      <c r="P20" s="2">
        <v>1.02</v>
      </c>
      <c r="Q20" s="2">
        <f t="shared" si="0"/>
        <v>10.7202</v>
      </c>
    </row>
    <row r="21" spans="15:17" x14ac:dyDescent="0.25">
      <c r="O21" s="2">
        <f t="shared" si="1"/>
        <v>10.51</v>
      </c>
      <c r="P21" s="2">
        <v>1.01</v>
      </c>
      <c r="Q21" s="2">
        <f t="shared" si="0"/>
        <v>10.6151</v>
      </c>
    </row>
    <row r="22" spans="15:17" x14ac:dyDescent="0.25">
      <c r="O22" s="2">
        <f t="shared" si="1"/>
        <v>10.51</v>
      </c>
      <c r="P22" s="2">
        <v>1</v>
      </c>
      <c r="Q22" s="2">
        <f t="shared" si="0"/>
        <v>10.51</v>
      </c>
    </row>
    <row r="23" spans="15:17" x14ac:dyDescent="0.25">
      <c r="O23" s="2">
        <f t="shared" si="1"/>
        <v>10.51</v>
      </c>
      <c r="P23" s="2">
        <v>0.99</v>
      </c>
      <c r="Q23" s="2">
        <f t="shared" si="0"/>
        <v>10.4049</v>
      </c>
    </row>
    <row r="24" spans="15:17" x14ac:dyDescent="0.25">
      <c r="O24" s="2">
        <f t="shared" si="1"/>
        <v>10.51</v>
      </c>
      <c r="P24" s="2">
        <v>0.98</v>
      </c>
      <c r="Q24" s="2">
        <f t="shared" si="0"/>
        <v>10.299799999999999</v>
      </c>
    </row>
    <row r="25" spans="15:17" x14ac:dyDescent="0.25">
      <c r="O25" s="2">
        <f t="shared" si="1"/>
        <v>10.51</v>
      </c>
      <c r="P25" s="2">
        <v>0.97</v>
      </c>
      <c r="Q25" s="2">
        <f t="shared" si="0"/>
        <v>10.194699999999999</v>
      </c>
    </row>
    <row r="26" spans="15:17" x14ac:dyDescent="0.25">
      <c r="O26" s="2">
        <f t="shared" si="1"/>
        <v>10.51</v>
      </c>
      <c r="P26" s="2">
        <v>0.96</v>
      </c>
      <c r="Q26" s="2">
        <f t="shared" si="0"/>
        <v>10.089599999999999</v>
      </c>
    </row>
    <row r="27" spans="15:17" x14ac:dyDescent="0.25">
      <c r="O27" s="2">
        <f t="shared" si="1"/>
        <v>10.51</v>
      </c>
      <c r="P27" s="2">
        <v>0.95</v>
      </c>
      <c r="Q27" s="2">
        <f t="shared" si="0"/>
        <v>9.9844999999999988</v>
      </c>
    </row>
    <row r="28" spans="15:17" x14ac:dyDescent="0.25">
      <c r="O28" s="2">
        <f t="shared" si="1"/>
        <v>10.51</v>
      </c>
      <c r="P28" s="2">
        <v>0.9</v>
      </c>
      <c r="Q28" s="2">
        <f t="shared" si="0"/>
        <v>9.4589999999999996</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R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18"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row>
    <row r="2" spans="1:18"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18"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18" x14ac:dyDescent="0.25">
      <c r="B4" s="1">
        <v>42150</v>
      </c>
      <c r="C4">
        <v>30</v>
      </c>
      <c r="D4" s="2">
        <v>165.4</v>
      </c>
      <c r="F4" s="2">
        <f t="shared" si="0"/>
        <v>4962</v>
      </c>
      <c r="G4" s="1">
        <v>42186</v>
      </c>
      <c r="H4" s="18">
        <v>50</v>
      </c>
      <c r="I4" s="68">
        <f t="shared" si="1"/>
        <v>168.5</v>
      </c>
      <c r="J4" s="68"/>
      <c r="K4" s="68">
        <v>8425</v>
      </c>
      <c r="O4" s="20" t="s">
        <v>66</v>
      </c>
      <c r="Q4" s="106">
        <v>129.66999999999999</v>
      </c>
    </row>
    <row r="5" spans="1:18" x14ac:dyDescent="0.25">
      <c r="B5" s="1">
        <v>42150</v>
      </c>
      <c r="C5">
        <v>10</v>
      </c>
      <c r="D5" s="2">
        <v>164.85</v>
      </c>
      <c r="F5" s="2">
        <f t="shared" si="0"/>
        <v>1648.5</v>
      </c>
      <c r="G5" s="1">
        <v>42236</v>
      </c>
      <c r="H5" s="11">
        <v>10</v>
      </c>
      <c r="I5" s="80">
        <f t="shared" si="1"/>
        <v>133.19800000000001</v>
      </c>
      <c r="J5" s="80"/>
      <c r="K5" s="80">
        <v>1331.98</v>
      </c>
      <c r="O5" s="20" t="s">
        <v>67</v>
      </c>
      <c r="Q5" s="5">
        <f>Q4*Q2</f>
        <v>6483.4999999999991</v>
      </c>
    </row>
    <row r="6" spans="1:18"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18" x14ac:dyDescent="0.25">
      <c r="B7" s="1">
        <v>42186</v>
      </c>
      <c r="C7" s="18">
        <v>100</v>
      </c>
      <c r="D7" s="68">
        <v>164</v>
      </c>
      <c r="E7" s="68"/>
      <c r="F7" s="68">
        <f t="shared" si="0"/>
        <v>16400</v>
      </c>
      <c r="O7" s="20" t="s">
        <v>65</v>
      </c>
      <c r="Q7" s="2">
        <f>Q5-Q6</f>
        <v>-1050.0700000000015</v>
      </c>
    </row>
    <row r="8" spans="1:18" x14ac:dyDescent="0.25">
      <c r="B8" s="1">
        <v>42235</v>
      </c>
      <c r="C8" s="11">
        <v>10</v>
      </c>
      <c r="D8" s="80">
        <v>124</v>
      </c>
      <c r="E8" s="80"/>
      <c r="F8" s="80">
        <f t="shared" si="0"/>
        <v>1240</v>
      </c>
    </row>
    <row r="9" spans="1:18" x14ac:dyDescent="0.25">
      <c r="B9" s="1">
        <v>42240</v>
      </c>
      <c r="C9" s="94">
        <v>20</v>
      </c>
      <c r="D9" s="95">
        <v>123</v>
      </c>
      <c r="E9" s="95"/>
      <c r="F9" s="95">
        <f t="shared" si="0"/>
        <v>2460</v>
      </c>
    </row>
    <row r="10" spans="1:18" x14ac:dyDescent="0.25">
      <c r="A10" s="83" t="s">
        <v>114</v>
      </c>
      <c r="B10" s="3"/>
      <c r="C10" s="3">
        <f>SUM(C2:C9)</f>
        <v>330</v>
      </c>
      <c r="D10" s="4"/>
      <c r="E10" s="4"/>
      <c r="F10" s="4">
        <f>SUM(F2:F9)</f>
        <v>53290.5</v>
      </c>
      <c r="G10" s="3"/>
      <c r="H10" s="3">
        <f>SUM(H2:H7)</f>
        <v>280</v>
      </c>
      <c r="I10" s="4"/>
      <c r="J10" s="4"/>
      <c r="K10" s="4">
        <f>SUM(K2:K9)</f>
        <v>45756.93</v>
      </c>
      <c r="L10" s="3"/>
      <c r="M10" s="3"/>
    </row>
    <row r="16" spans="1:18" x14ac:dyDescent="0.25">
      <c r="M16" s="2"/>
    </row>
    <row r="17" spans="15:17" x14ac:dyDescent="0.25">
      <c r="P17" t="s">
        <v>89</v>
      </c>
    </row>
    <row r="18" spans="15:17" x14ac:dyDescent="0.25">
      <c r="O18" s="2">
        <f>$Q$4</f>
        <v>129.66999999999999</v>
      </c>
      <c r="P18">
        <v>1.1000000000000001</v>
      </c>
      <c r="Q18" s="2">
        <f t="shared" ref="Q18:Q30" si="2">P18*O18</f>
        <v>142.637</v>
      </c>
    </row>
    <row r="19" spans="15:17" x14ac:dyDescent="0.25">
      <c r="O19" s="2">
        <f>$Q$4</f>
        <v>129.66999999999999</v>
      </c>
      <c r="P19">
        <v>1.05</v>
      </c>
      <c r="Q19" s="2">
        <f t="shared" si="2"/>
        <v>136.15349999999998</v>
      </c>
    </row>
    <row r="20" spans="15:17" x14ac:dyDescent="0.25">
      <c r="O20" s="2">
        <f t="shared" ref="O20:O30" si="3">$Q$4</f>
        <v>129.66999999999999</v>
      </c>
      <c r="P20">
        <v>1.04</v>
      </c>
      <c r="Q20" s="2">
        <f t="shared" si="2"/>
        <v>134.85679999999999</v>
      </c>
    </row>
    <row r="21" spans="15:17" x14ac:dyDescent="0.25">
      <c r="O21" s="2">
        <f t="shared" si="3"/>
        <v>129.66999999999999</v>
      </c>
      <c r="P21" s="2">
        <v>1.03</v>
      </c>
      <c r="Q21" s="2">
        <f t="shared" si="2"/>
        <v>133.56009999999998</v>
      </c>
    </row>
    <row r="22" spans="15:17" x14ac:dyDescent="0.25">
      <c r="O22" s="2">
        <f t="shared" si="3"/>
        <v>129.66999999999999</v>
      </c>
      <c r="P22" s="2">
        <v>1.02</v>
      </c>
      <c r="Q22" s="2">
        <f t="shared" si="2"/>
        <v>132.26339999999999</v>
      </c>
    </row>
    <row r="23" spans="15:17" x14ac:dyDescent="0.25">
      <c r="O23" s="2">
        <f t="shared" si="3"/>
        <v>129.66999999999999</v>
      </c>
      <c r="P23" s="2">
        <v>1.01</v>
      </c>
      <c r="Q23" s="2">
        <f t="shared" si="2"/>
        <v>130.96669999999997</v>
      </c>
    </row>
    <row r="24" spans="15:17" x14ac:dyDescent="0.25">
      <c r="O24" s="2">
        <f t="shared" si="3"/>
        <v>129.66999999999999</v>
      </c>
      <c r="P24" s="2">
        <v>1</v>
      </c>
      <c r="Q24" s="2">
        <f t="shared" si="2"/>
        <v>129.66999999999999</v>
      </c>
    </row>
    <row r="25" spans="15:17" x14ac:dyDescent="0.25">
      <c r="O25" s="2">
        <f t="shared" si="3"/>
        <v>129.66999999999999</v>
      </c>
      <c r="P25" s="2">
        <v>0.99</v>
      </c>
      <c r="Q25" s="2">
        <f t="shared" si="2"/>
        <v>128.3733</v>
      </c>
    </row>
    <row r="26" spans="15:17" x14ac:dyDescent="0.25">
      <c r="O26" s="2">
        <f t="shared" si="3"/>
        <v>129.66999999999999</v>
      </c>
      <c r="P26" s="2">
        <v>0.98</v>
      </c>
      <c r="Q26" s="2">
        <f t="shared" si="2"/>
        <v>127.07659999999998</v>
      </c>
    </row>
    <row r="27" spans="15:17" x14ac:dyDescent="0.25">
      <c r="O27" s="2">
        <f t="shared" si="3"/>
        <v>129.66999999999999</v>
      </c>
      <c r="P27" s="2">
        <v>0.97</v>
      </c>
      <c r="Q27" s="2">
        <f t="shared" si="2"/>
        <v>125.77989999999998</v>
      </c>
    </row>
    <row r="28" spans="15:17" x14ac:dyDescent="0.25">
      <c r="O28" s="2">
        <f t="shared" si="3"/>
        <v>129.66999999999999</v>
      </c>
      <c r="P28" s="2">
        <v>0.96</v>
      </c>
      <c r="Q28" s="2">
        <f t="shared" si="2"/>
        <v>124.48319999999998</v>
      </c>
    </row>
    <row r="29" spans="15:17" x14ac:dyDescent="0.25">
      <c r="O29" s="2">
        <f t="shared" si="3"/>
        <v>129.66999999999999</v>
      </c>
      <c r="P29" s="2">
        <v>0.95</v>
      </c>
      <c r="Q29" s="2">
        <f t="shared" si="2"/>
        <v>123.18649999999998</v>
      </c>
    </row>
    <row r="30" spans="15:17" x14ac:dyDescent="0.25">
      <c r="O30" s="2">
        <f t="shared" si="3"/>
        <v>129.66999999999999</v>
      </c>
      <c r="P30" s="2">
        <v>0.9</v>
      </c>
      <c r="Q30" s="2">
        <f t="shared" si="2"/>
        <v>116.70299999999999</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2015-08-27T03:48:23Z</dcterms:modified>
</cp:coreProperties>
</file>