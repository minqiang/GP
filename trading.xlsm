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FTR!$W$1:$AC$70</definedName>
    <definedName name="hp?s_GILD" localSheetId="26">GILD!$W$1:$AC$70</definedName>
    <definedName name="hp?s_GM" localSheetId="29">GM!$W$1:$AC$70</definedName>
    <definedName name="hp?s_HES" localSheetId="8">HES!$W$1:$AC$70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TMO!$W$1:$AC$70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9" i="25" l="1"/>
  <c r="H24" i="31" l="1"/>
  <c r="F24" i="31"/>
  <c r="G24" i="31"/>
  <c r="R148" i="38" l="1"/>
  <c r="D148" i="38"/>
  <c r="E148" i="38"/>
  <c r="G148" i="38"/>
  <c r="H148" i="38"/>
  <c r="K148" i="38"/>
  <c r="L148" i="38" s="1"/>
  <c r="O148" i="38" s="1"/>
  <c r="P148" i="38" s="1"/>
  <c r="M148" i="38"/>
  <c r="N148" i="38" s="1"/>
  <c r="L6" i="35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18" i="17"/>
  <c r="H118" i="17"/>
  <c r="G118" i="17"/>
  <c r="F154" i="25"/>
  <c r="H154" i="25"/>
  <c r="G154" i="25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D147" i="38"/>
  <c r="E147" i="38"/>
  <c r="G147" i="38"/>
  <c r="H147" i="38"/>
  <c r="K147" i="38"/>
  <c r="L147" i="38" s="1"/>
  <c r="O147" i="38" s="1"/>
  <c r="P147" i="38" s="1"/>
  <c r="M147" i="38"/>
  <c r="N147" i="38" s="1"/>
  <c r="F88" i="10"/>
  <c r="H88" i="10"/>
  <c r="G88" i="10"/>
  <c r="F48" i="10"/>
  <c r="Q11" i="3"/>
  <c r="K2" i="3"/>
  <c r="F2" i="3"/>
  <c r="P124" i="38" l="1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D144" i="38"/>
  <c r="D145" i="38"/>
  <c r="D146" i="38"/>
  <c r="E146" i="38"/>
  <c r="H146" i="38"/>
  <c r="K146" i="38"/>
  <c r="L146" i="38" s="1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C53" i="10"/>
  <c r="F153" i="25"/>
  <c r="H153" i="25"/>
  <c r="G153" i="25"/>
  <c r="F87" i="25"/>
  <c r="K58" i="25"/>
  <c r="Q7" i="47"/>
  <c r="K5" i="47"/>
  <c r="K29" i="10"/>
  <c r="K28" i="10"/>
  <c r="L145" i="38" l="1"/>
  <c r="F152" i="25"/>
  <c r="H152" i="25"/>
  <c r="G152" i="25"/>
  <c r="F25" i="33" l="1"/>
  <c r="H25" i="33"/>
  <c r="G25" i="33"/>
  <c r="E144" i="38"/>
  <c r="H144" i="38"/>
  <c r="K144" i="38"/>
  <c r="M144" i="38"/>
  <c r="N144" i="38" s="1"/>
  <c r="L144" i="38" l="1"/>
  <c r="F19" i="45"/>
  <c r="H19" i="45"/>
  <c r="G19" i="45"/>
  <c r="F23" i="49"/>
  <c r="H23" i="49"/>
  <c r="G23" i="49"/>
  <c r="E143" i="38" l="1"/>
  <c r="H143" i="38"/>
  <c r="K143" i="38"/>
  <c r="M143" i="38"/>
  <c r="N143" i="38" s="1"/>
  <c r="L143" i="38" l="1"/>
  <c r="F22" i="49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L142" i="38" l="1"/>
  <c r="H23" i="31"/>
  <c r="F23" i="31"/>
  <c r="G23" i="31"/>
  <c r="D128" i="38" l="1"/>
  <c r="D129" i="38"/>
  <c r="D130" i="38"/>
  <c r="D131" i="38"/>
  <c r="F49" i="18"/>
  <c r="H49" i="18"/>
  <c r="G49" i="18"/>
  <c r="F25" i="46"/>
  <c r="H25" i="46"/>
  <c r="G25" i="46"/>
  <c r="F117" i="17"/>
  <c r="H117" i="17"/>
  <c r="G117" i="17"/>
  <c r="F78" i="17"/>
  <c r="C78" i="17"/>
  <c r="F76" i="17"/>
  <c r="K34" i="17"/>
  <c r="F75" i="17"/>
  <c r="F74" i="17"/>
  <c r="K2" i="48"/>
  <c r="K4" i="40"/>
  <c r="K141" i="38"/>
  <c r="L141" i="38" s="1"/>
  <c r="M141" i="38"/>
  <c r="N141" i="38"/>
  <c r="H141" i="38"/>
  <c r="E141" i="38"/>
  <c r="K11" i="41" l="1"/>
  <c r="H11" i="41"/>
  <c r="F24" i="46"/>
  <c r="H24" i="46"/>
  <c r="G24" i="46"/>
  <c r="F151" i="25" l="1"/>
  <c r="H151" i="25"/>
  <c r="G151" i="25"/>
  <c r="G87" i="7" l="1"/>
  <c r="F87" i="7"/>
  <c r="H87" i="7"/>
  <c r="F24" i="33"/>
  <c r="G24" i="33"/>
  <c r="H24" i="33"/>
  <c r="H140" i="38" l="1"/>
  <c r="E140" i="38"/>
  <c r="F11" i="41"/>
  <c r="C11" i="41"/>
  <c r="K140" i="38"/>
  <c r="L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C25" i="18" l="1"/>
  <c r="F25" i="18"/>
  <c r="K25" i="18"/>
  <c r="H25" i="18"/>
  <c r="C91" i="25"/>
  <c r="H91" i="25"/>
  <c r="F48" i="18"/>
  <c r="H48" i="18"/>
  <c r="G48" i="18"/>
  <c r="K14" i="18"/>
  <c r="Q2" i="25" l="1"/>
  <c r="K2" i="44"/>
  <c r="G150" i="25"/>
  <c r="F150" i="25"/>
  <c r="H150" i="25"/>
  <c r="K56" i="25"/>
  <c r="F85" i="25"/>
  <c r="F84" i="25"/>
  <c r="H139" i="38"/>
  <c r="E139" i="38"/>
  <c r="K139" i="38"/>
  <c r="L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G2" i="33"/>
  <c r="F24" i="41"/>
  <c r="H24" i="41"/>
  <c r="G24" i="41"/>
  <c r="K5" i="41"/>
  <c r="F47" i="18"/>
  <c r="H47" i="18"/>
  <c r="G47" i="18"/>
  <c r="F19" i="18"/>
  <c r="K13" i="18"/>
  <c r="G148" i="25"/>
  <c r="F148" i="25"/>
  <c r="H148" i="25"/>
  <c r="K50" i="25"/>
  <c r="F82" i="25"/>
  <c r="K137" i="38"/>
  <c r="L137" i="38" s="1"/>
  <c r="M137" i="38"/>
  <c r="N137" i="38" s="1"/>
  <c r="H137" i="38"/>
  <c r="E137" i="38"/>
  <c r="K49" i="25"/>
  <c r="G147" i="25"/>
  <c r="F147" i="25"/>
  <c r="H14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0" i="31"/>
  <c r="H20" i="31"/>
  <c r="G20" i="31"/>
  <c r="F8" i="31"/>
  <c r="C56" i="7"/>
  <c r="F56" i="7"/>
  <c r="C14" i="46"/>
  <c r="Q2" i="46" s="1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44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4" i="31" l="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11" i="17"/>
  <c r="G111" i="17"/>
  <c r="H111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09" i="17" l="1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08" i="17"/>
  <c r="H108" i="17"/>
  <c r="G108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07" i="17"/>
  <c r="H107" i="17"/>
  <c r="G107" i="17"/>
  <c r="K26" i="17"/>
  <c r="F106" i="17" l="1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03" i="17" l="1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03" i="17"/>
  <c r="F66" i="17"/>
  <c r="K23" i="17"/>
  <c r="L85" i="38" l="1"/>
  <c r="Q5" i="40"/>
  <c r="Q7" i="40" s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97" i="17"/>
  <c r="G97" i="17"/>
  <c r="K20" i="17"/>
  <c r="H82" i="38" l="1"/>
  <c r="E82" i="38"/>
  <c r="K82" i="38"/>
  <c r="L82" i="38" s="1"/>
  <c r="M82" i="38"/>
  <c r="N82" i="38" s="1"/>
  <c r="H96" i="17"/>
  <c r="G96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L78" i="38" s="1"/>
  <c r="M78" i="38"/>
  <c r="N78" i="38" s="1"/>
  <c r="H94" i="17" l="1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F53" i="10" s="1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53" i="10" l="1"/>
  <c r="Q3" i="10" s="1"/>
  <c r="Q7" i="29"/>
  <c r="Q3" i="29"/>
  <c r="Q8" i="29" s="1"/>
  <c r="F91" i="25"/>
  <c r="K91" i="25"/>
  <c r="F6" i="1"/>
  <c r="F11" i="34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2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<sst xmlns="http://schemas.openxmlformats.org/spreadsheetml/2006/main" count="2424" uniqueCount="423">
  <si>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</si>
  <si>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</si>
  <si>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</si>
  <si>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</si>
  <si>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</si>
  <si>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</si>
  <si>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</si>
  <si>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</si>
  <si>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</si>
  <si>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</si>
  <si>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</si>
  <si>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</si>
  <si>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</si>
  <si>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</si>
  <si>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</si>
  <si>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</si>
  <si>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</si>
  <si>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</si>
  <si>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</si>
  <si>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</si>
  <si>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</si>
  <si>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</si>
  <si>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</si>
  <si>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</si>
  <si>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</si>
  <si>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</si>
  <si>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</si>
  <si>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</si>
  <si>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</si>
  <si>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</si>
  <si>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</si>
  <si>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</si>
  <si>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</si>
  <si>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</si>
  <si>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</si>
  <si>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</si>
  <si>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</si>
  <si>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</si>
  <si>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</si>
  <si>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</si>
  <si>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</si>
  <si>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</si>
  <si>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</si>
  <si>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</si>
  <si>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</si>
  <si>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</si>
  <si>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</si>
  <si>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</si>
  <si>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</si>
  <si>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</si>
  <si>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</si>
  <si>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</si>
  <si>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</si>
  <si>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</si>
  <si>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</si>
  <si>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</si>
  <si>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</si>
  <si>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</si>
  <si>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</si>
  <si>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</si>
  <si>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</si>
  <si>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</si>
  <si>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</si>
  <si>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</si>
  <si>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</si>
  <si>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</si>
  <si>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</si>
  <si>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</si>
  <si>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</si>
  <si>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</si>
  <si>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</si>
  <si>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</si>
  <si>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</si>
  <si>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</si>
  <si>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</si>
  <si>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</si>
  <si>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</si>
  <si>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</si>
  <si>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</si>
  <si>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</si>
  <si>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</si>
  <si>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</si>
  <si>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</si>
  <si>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</si>
  <si>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</si>
  <si>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</si>
  <si>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</si>
  <si>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</si>
  <si>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</si>
  <si>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</si>
  <si>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</si>
  <si>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</si>
  <si>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</si>
  <si>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</si>
  <si>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</si>
  <si>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</si>
  <si>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</si>
  <si>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</si>
  <si>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</si>
  <si>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</si>
  <si>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</si>
  <si>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</si>
  <si>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</si>
  <si>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</si>
  <si>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</si>
  <si>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</si>
  <si>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</si>
  <si>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</si>
  <si>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</si>
  <si>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</si>
  <si>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</si>
  <si>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</si>
  <si>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</si>
  <si>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</si>
  <si>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</si>
  <si>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</si>
  <si>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</si>
  <si>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</si>
  <si>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</si>
  <si>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</si>
  <si>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</si>
  <si>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</si>
  <si>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</si>
  <si>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</si>
  <si>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</si>
  <si>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</si>
  <si>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</si>
  <si>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</si>
  <si>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</si>
  <si>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</si>
  <si>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</si>
  <si>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</si>
  <si>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</si>
  <si>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</si>
  <si>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</si>
  <si>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</si>
  <si>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</si>
  <si>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</si>
  <si>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</si>
  <si>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</si>
  <si>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</si>
  <si>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</si>
  <si>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</si>
  <si>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</si>
  <si>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</si>
  <si>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</si>
  <si>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</si>
  <si>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</si>
  <si>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</si>
  <si>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</si>
  <si>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</si>
  <si>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</si>
  <si>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</si>
  <si>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</si>
  <si>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</si>
  <si>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</si>
  <si>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</si>
  <si>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</si>
  <si>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</si>
  <si>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</si>
  <si>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</si>
  <si>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</si>
  <si>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</si>
  <si>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</si>
  <si>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</si>
  <si>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</si>
  <si>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</si>
  <si>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</si>
  <si>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</si>
  <si>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</si>
  <si>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</si>
  <si>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</si>
  <si>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</si>
  <si>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</si>
  <si>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</si>
  <si>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</si>
  <si>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</si>
  <si>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</si>
  <si>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</si>
  <si>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</si>
  <si>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</si>
  <si>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</si>
  <si>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</si>
  <si>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</si>
  <si>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</si>
  <si>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</si>
  <si>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</si>
  <si>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</si>
  <si>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</si>
  <si>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</si>
  <si>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</si>
  <si>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</si>
  <si>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</si>
  <si>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</si>
  <si>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</si>
  <si>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</si>
  <si>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</si>
  <si>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</si>
  <si>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</si>
  <si>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</si>
  <si>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11/27/2015 (Short Term) Pend Buy</t>
  </si>
  <si>
    <t>11/27/2015 Pend Sell</t>
  </si>
  <si>
    <t>08/12/2015 (Short Term)</t>
  </si>
  <si>
    <t>08/10/2015 (Short Term)</t>
  </si>
  <si>
    <t>10/02/2015 (Short Term)</t>
  </si>
  <si>
    <t>08/31/2015 (Short Term)</t>
  </si>
  <si>
    <t>07/24/2015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</si>
  <si>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</si>
  <si>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</si>
  <si>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</si>
  <si>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</si>
  <si>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</si>
  <si>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</si>
  <si>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</si>
  <si>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</si>
  <si>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</si>
  <si>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</si>
  <si>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</si>
  <si>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</si>
  <si>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</si>
  <si>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</si>
  <si>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</si>
  <si>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</si>
  <si>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</si>
  <si>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</si>
  <si>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</si>
  <si>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</si>
  <si>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</si>
  <si>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</si>
  <si>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</si>
  <si>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</si>
  <si>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</si>
  <si>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</si>
  <si>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</si>
  <si>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</si>
  <si>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</si>
  <si>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</si>
  <si>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</si>
  <si>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</si>
  <si>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</si>
  <si>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</si>
  <si>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</si>
  <si>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</si>
  <si>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</si>
  <si>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</si>
  <si>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</si>
  <si>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</si>
  <si>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</si>
  <si>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</si>
  <si>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</si>
  <si>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</si>
  <si>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</si>
  <si>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</si>
  <si>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</si>
  <si>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</si>
  <si>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</si>
  <si>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</si>
  <si>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</si>
  <si>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</si>
  <si>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</si>
  <si>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</si>
  <si>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</si>
  <si>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46.23 - 69.84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</si>
  <si>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</si>
  <si>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</si>
  <si>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</si>
  <si>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</si>
  <si>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</si>
  <si>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</si>
  <si>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</si>
  <si>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</si>
  <si>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</si>
  <si>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</si>
  <si>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</si>
  <si>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0.60 (0.43%)</t>
  </si>
  <si>
    <t>30-Mar-16MU Earnings announcement</t>
  </si>
  <si>
    <t>0.282 Dividend</t>
  </si>
  <si>
    <t>3.81 - 7.60</t>
  </si>
  <si>
    <t>0.38 Dividend</t>
  </si>
  <si>
    <t>div</t>
  </si>
  <si>
    <t>SEO @7.76</t>
  </si>
  <si>
    <t>23.56B</t>
  </si>
  <si>
    <t>1.42 (1.45%)</t>
  </si>
  <si>
    <t>0.71 Dividend</t>
  </si>
  <si>
    <t>83.39 - 120.60</t>
  </si>
  <si>
    <t>Beat Ratio</t>
  </si>
  <si>
    <t>10.60 - 11.31</t>
  </si>
  <si>
    <t>7.66B</t>
  </si>
  <si>
    <t>0.20 (1.79%)</t>
  </si>
  <si>
    <t>14.25 x 1500</t>
  </si>
  <si>
    <t>14.97 x 100</t>
  </si>
  <si>
    <t>14.00 - 14.40</t>
  </si>
  <si>
    <t>5.09B</t>
  </si>
  <si>
    <t>10.72 - 11.15</t>
  </si>
  <si>
    <t>11.26B</t>
  </si>
  <si>
    <t>39.07 x 200</t>
  </si>
  <si>
    <t>39.96 x 200</t>
  </si>
  <si>
    <t>39.13 - 39.94</t>
  </si>
  <si>
    <t>16.36B</t>
  </si>
  <si>
    <t>1.76 (4.41%)</t>
  </si>
  <si>
    <t>31.06 - 31.65</t>
  </si>
  <si>
    <t>149.51B</t>
  </si>
  <si>
    <t>1.04 (3.27%)</t>
  </si>
  <si>
    <t>50.17 x 400</t>
  </si>
  <si>
    <t>50.38 x 300</t>
  </si>
  <si>
    <t>48.17 - 50.28</t>
  </si>
  <si>
    <t>15.79B</t>
  </si>
  <si>
    <t>1.00 (1.95%)</t>
  </si>
  <si>
    <t>74.98 x 100</t>
  </si>
  <si>
    <t>79.99 x 100</t>
  </si>
  <si>
    <t>77.30 - 79.09</t>
  </si>
  <si>
    <t>2.36 (2.99%)</t>
  </si>
  <si>
    <t>72.35 - 74.40</t>
  </si>
  <si>
    <t>14.11B</t>
  </si>
  <si>
    <t>1.04 (1.43%)</t>
  </si>
  <si>
    <t>60.46 x 6800</t>
  </si>
  <si>
    <t>60.47 x 200</t>
  </si>
  <si>
    <t>59.41 - 60.53</t>
  </si>
  <si>
    <t>47.48B</t>
  </si>
  <si>
    <t>1.13 (1.88%)</t>
  </si>
  <si>
    <t>9.11 - 9.52</t>
  </si>
  <si>
    <t>12.04B</t>
  </si>
  <si>
    <t>0.12 (1.26%)</t>
  </si>
  <si>
    <t>23.93 x 100</t>
  </si>
  <si>
    <t>24.25 x 800</t>
  </si>
  <si>
    <t>23.78 - 24.27</t>
  </si>
  <si>
    <t>3.09B</t>
  </si>
  <si>
    <t>41.28 x 200</t>
  </si>
  <si>
    <t>41.41 x 100</t>
  </si>
  <si>
    <t>40.70 - 41.54</t>
  </si>
  <si>
    <t>11.05B</t>
  </si>
  <si>
    <t>0.76 (1.85%)</t>
  </si>
  <si>
    <t>56.78 x 100</t>
  </si>
  <si>
    <t>58.23 x 200</t>
  </si>
  <si>
    <t>56.66 - 58.46</t>
  </si>
  <si>
    <t>10.28B</t>
  </si>
  <si>
    <t>62.54 x 100</t>
  </si>
  <si>
    <t>69.29 x 200</t>
  </si>
  <si>
    <t>64.38 - 66.06</t>
  </si>
  <si>
    <t>24.94B</t>
  </si>
  <si>
    <t>1.32 (2.01%)</t>
  </si>
  <si>
    <t>26.50 - 28.29</t>
  </si>
  <si>
    <t>2.68B</t>
  </si>
  <si>
    <t>9.56 x 400</t>
  </si>
  <si>
    <t>9.58 x 700</t>
  </si>
  <si>
    <t>9.54 - 9.58</t>
  </si>
  <si>
    <t>1.67B</t>
  </si>
  <si>
    <t>0.16 (1.71%)</t>
  </si>
  <si>
    <t>148.01 x 200</t>
  </si>
  <si>
    <t>148.99 x 200</t>
  </si>
  <si>
    <t>146.08 - 149.98</t>
  </si>
  <si>
    <t>41.05B</t>
  </si>
  <si>
    <t>1.96 (1.32%)</t>
  </si>
  <si>
    <t>47.64 x 300</t>
  </si>
  <si>
    <t>47.79 x 1000</t>
  </si>
  <si>
    <t>47.43 - 47.94</t>
  </si>
  <si>
    <t>37.57B</t>
  </si>
  <si>
    <t>0.54 (1.13%)</t>
  </si>
  <si>
    <t>98.24 x 500</t>
  </si>
  <si>
    <t>98.40 x 600</t>
  </si>
  <si>
    <t>97.39 - 98.33</t>
  </si>
  <si>
    <t>160.29B</t>
  </si>
  <si>
    <t>5.02 - 5.30</t>
  </si>
  <si>
    <t>6.03B</t>
  </si>
  <si>
    <t>0.42 (7.81%)</t>
  </si>
  <si>
    <t>89.03 - 90.07</t>
  </si>
  <si>
    <t>127.18B</t>
  </si>
  <si>
    <t>1.72 (1.92%)</t>
  </si>
  <si>
    <t>45.68 x 100</t>
  </si>
  <si>
    <t>54.19 x 100</t>
  </si>
  <si>
    <t>49.05 - 50.23</t>
  </si>
  <si>
    <t>0.44 (0.87%)</t>
  </si>
  <si>
    <t>30.90 x 400</t>
  </si>
  <si>
    <t>31.18 x 700</t>
  </si>
  <si>
    <t>30.44 - 31.08</t>
  </si>
  <si>
    <t>47.96B</t>
  </si>
  <si>
    <t>1.52 (4.86%)</t>
  </si>
  <si>
    <t>138.25 x 300</t>
  </si>
  <si>
    <t>138.26 x 300</t>
  </si>
  <si>
    <t>137.02 - 138.77</t>
  </si>
  <si>
    <t>55.18B</t>
  </si>
  <si>
    <t>27.89 x 100</t>
  </si>
  <si>
    <t>33.09 x 400</t>
  </si>
  <si>
    <t>30.14 - 30.79</t>
  </si>
  <si>
    <t>2.53B</t>
  </si>
  <si>
    <t>1.04 (3.32%)</t>
  </si>
  <si>
    <t>96.25 x 300</t>
  </si>
  <si>
    <t>96.28 x 900</t>
  </si>
  <si>
    <t>95.88 - 96.70</t>
  </si>
  <si>
    <t>80.54B</t>
  </si>
  <si>
    <t>2.56 (2.65%)</t>
  </si>
  <si>
    <t>124.88 x 200</t>
  </si>
  <si>
    <t>124.89 x 800</t>
  </si>
  <si>
    <t>124.08 - 125.47</t>
  </si>
  <si>
    <t>118.69B</t>
  </si>
  <si>
    <t>2.00 (1.60%)</t>
  </si>
  <si>
    <t>248.54 - 257.92</t>
  </si>
  <si>
    <t>54.74B</t>
  </si>
  <si>
    <t>49.97 x 6000</t>
  </si>
  <si>
    <t>49.98 x 24500</t>
  </si>
  <si>
    <t>49.20 - 49.99</t>
  </si>
  <si>
    <t>254.50B</t>
  </si>
  <si>
    <t>1.50 (3.00%)</t>
  </si>
  <si>
    <t>11.33 x 2400</t>
  </si>
  <si>
    <t>11.35 x 1000</t>
  </si>
  <si>
    <t>10.84 x 100</t>
  </si>
  <si>
    <t>10.86 x 2000</t>
  </si>
  <si>
    <t>31.56 x 200</t>
  </si>
  <si>
    <t>31.70 x 1100</t>
  </si>
  <si>
    <t>70.00 x 100</t>
  </si>
  <si>
    <t>75.00 x 300</t>
  </si>
  <si>
    <t>9.21 x 400</t>
  </si>
  <si>
    <t>9.22 x 2400</t>
  </si>
  <si>
    <t>26.52 x 1200</t>
  </si>
  <si>
    <t>28.00 x 300</t>
  </si>
  <si>
    <t>5.14 x 300</t>
  </si>
  <si>
    <t>5.16 x 7500</t>
  </si>
  <si>
    <t>89.00 x 200</t>
  </si>
  <si>
    <t>91.19 x 100</t>
  </si>
  <si>
    <t>249.51 x 100</t>
  </si>
  <si>
    <t>254.00 x 100</t>
  </si>
  <si>
    <t>Investment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</si>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</sst>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0" fontId="43" fillId="0" borderId="0" xfId="0" applyFo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0" fontId="44" fillId="0" borderId="0" xfId="0" applyFont="1"/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 wrapText="1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98064"/>
        <c:axId val="325967984"/>
      </c:scatterChart>
      <c:valAx>
        <c:axId val="30109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7984"/>
        <c:crosses val="autoZero"/>
        <c:crossBetween val="midCat"/>
      </c:valAx>
      <c:valAx>
        <c:axId val="32596798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09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63280"/>
        <c:axId val="325965632"/>
      </c:scatterChart>
      <c:valAx>
        <c:axId val="325963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5632"/>
        <c:crosses val="autoZero"/>
        <c:crossBetween val="midCat"/>
      </c:valAx>
      <c:valAx>
        <c:axId val="3259656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66416"/>
        <c:axId val="325964064"/>
      </c:scatterChart>
      <c:valAx>
        <c:axId val="32596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4064"/>
        <c:crosses val="autoZero"/>
        <c:crossBetween val="midCat"/>
      </c:valAx>
      <c:valAx>
        <c:axId val="32596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11.31</c:v>
                </c:pt>
                <c:pt idx="1">
                  <c:v>11.09</c:v>
                </c:pt>
                <c:pt idx="2">
                  <c:v>11.16</c:v>
                </c:pt>
                <c:pt idx="3">
                  <c:v>10.59</c:v>
                </c:pt>
                <c:pt idx="4">
                  <c:v>10.48</c:v>
                </c:pt>
                <c:pt idx="5">
                  <c:v>10.119999999999999</c:v>
                </c:pt>
                <c:pt idx="6">
                  <c:v>11.03</c:v>
                </c:pt>
                <c:pt idx="7">
                  <c:v>11</c:v>
                </c:pt>
                <c:pt idx="8">
                  <c:v>9.9700000000000006</c:v>
                </c:pt>
                <c:pt idx="9">
                  <c:v>9.1</c:v>
                </c:pt>
                <c:pt idx="10">
                  <c:v>7.96</c:v>
                </c:pt>
                <c:pt idx="11">
                  <c:v>8.2100000000000009</c:v>
                </c:pt>
                <c:pt idx="12">
                  <c:v>8.0299999999999994</c:v>
                </c:pt>
                <c:pt idx="13">
                  <c:v>7.39</c:v>
                </c:pt>
                <c:pt idx="14">
                  <c:v>7.22</c:v>
                </c:pt>
                <c:pt idx="15">
                  <c:v>7.03</c:v>
                </c:pt>
                <c:pt idx="16">
                  <c:v>7.49</c:v>
                </c:pt>
                <c:pt idx="17">
                  <c:v>6.73</c:v>
                </c:pt>
                <c:pt idx="18">
                  <c:v>6.93</c:v>
                </c:pt>
                <c:pt idx="19">
                  <c:v>7.41</c:v>
                </c:pt>
                <c:pt idx="20">
                  <c:v>7.4</c:v>
                </c:pt>
                <c:pt idx="21">
                  <c:v>7.49</c:v>
                </c:pt>
                <c:pt idx="23">
                  <c:v>7.06</c:v>
                </c:pt>
                <c:pt idx="24">
                  <c:v>7.13</c:v>
                </c:pt>
                <c:pt idx="25">
                  <c:v>7.29</c:v>
                </c:pt>
                <c:pt idx="26">
                  <c:v>7.82</c:v>
                </c:pt>
                <c:pt idx="27">
                  <c:v>8.4600000000000009</c:v>
                </c:pt>
                <c:pt idx="28">
                  <c:v>9.19</c:v>
                </c:pt>
                <c:pt idx="29">
                  <c:v>9.42</c:v>
                </c:pt>
                <c:pt idx="30">
                  <c:v>8.74</c:v>
                </c:pt>
                <c:pt idx="31">
                  <c:v>9.74</c:v>
                </c:pt>
                <c:pt idx="32">
                  <c:v>9.73</c:v>
                </c:pt>
                <c:pt idx="33">
                  <c:v>9.17</c:v>
                </c:pt>
                <c:pt idx="34">
                  <c:v>8.75</c:v>
                </c:pt>
                <c:pt idx="35">
                  <c:v>8.4499999999999993</c:v>
                </c:pt>
                <c:pt idx="36">
                  <c:v>8.14</c:v>
                </c:pt>
                <c:pt idx="37">
                  <c:v>9.02</c:v>
                </c:pt>
                <c:pt idx="38">
                  <c:v>8.7899999999999991</c:v>
                </c:pt>
                <c:pt idx="39">
                  <c:v>7.86</c:v>
                </c:pt>
                <c:pt idx="40">
                  <c:v>7.68</c:v>
                </c:pt>
                <c:pt idx="41">
                  <c:v>8.14</c:v>
                </c:pt>
                <c:pt idx="42">
                  <c:v>9.07</c:v>
                </c:pt>
                <c:pt idx="43">
                  <c:v>8.5399999999999991</c:v>
                </c:pt>
                <c:pt idx="44">
                  <c:v>9.19</c:v>
                </c:pt>
                <c:pt idx="45">
                  <c:v>9.6199999999999992</c:v>
                </c:pt>
                <c:pt idx="46">
                  <c:v>10.35</c:v>
                </c:pt>
                <c:pt idx="47">
                  <c:v>10.67</c:v>
                </c:pt>
                <c:pt idx="48">
                  <c:v>11.28</c:v>
                </c:pt>
                <c:pt idx="49">
                  <c:v>12.76</c:v>
                </c:pt>
                <c:pt idx="50">
                  <c:v>12.82</c:v>
                </c:pt>
                <c:pt idx="51">
                  <c:v>12.59</c:v>
                </c:pt>
                <c:pt idx="52">
                  <c:v>12.38</c:v>
                </c:pt>
                <c:pt idx="53">
                  <c:v>13.03</c:v>
                </c:pt>
                <c:pt idx="54">
                  <c:v>12.98</c:v>
                </c:pt>
                <c:pt idx="55">
                  <c:v>13.93</c:v>
                </c:pt>
                <c:pt idx="56">
                  <c:v>13.96</c:v>
                </c:pt>
                <c:pt idx="57">
                  <c:v>12.69</c:v>
                </c:pt>
                <c:pt idx="58">
                  <c:v>12.52</c:v>
                </c:pt>
                <c:pt idx="59">
                  <c:v>12.47</c:v>
                </c:pt>
                <c:pt idx="60">
                  <c:v>12.78</c:v>
                </c:pt>
                <c:pt idx="61">
                  <c:v>13.78</c:v>
                </c:pt>
                <c:pt idx="62">
                  <c:v>14.46</c:v>
                </c:pt>
                <c:pt idx="63">
                  <c:v>13.96</c:v>
                </c:pt>
                <c:pt idx="64">
                  <c:v>14.34</c:v>
                </c:pt>
                <c:pt idx="65">
                  <c:v>14.74</c:v>
                </c:pt>
                <c:pt idx="66">
                  <c:v>14.5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66808"/>
        <c:axId val="325969552"/>
      </c:lineChart>
      <c:dateAx>
        <c:axId val="3259668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9552"/>
        <c:crosses val="autoZero"/>
        <c:auto val="1"/>
        <c:lblOffset val="100"/>
        <c:baseTimeUnit val="days"/>
      </c:dateAx>
      <c:valAx>
        <c:axId val="3259695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14.28</c:v>
                </c:pt>
                <c:pt idx="1">
                  <c:v>14.45</c:v>
                </c:pt>
                <c:pt idx="2">
                  <c:v>14.66</c:v>
                </c:pt>
                <c:pt idx="3">
                  <c:v>14.18</c:v>
                </c:pt>
                <c:pt idx="4">
                  <c:v>13.79</c:v>
                </c:pt>
                <c:pt idx="5">
                  <c:v>13.52</c:v>
                </c:pt>
                <c:pt idx="6">
                  <c:v>14.19</c:v>
                </c:pt>
                <c:pt idx="7">
                  <c:v>14.14</c:v>
                </c:pt>
                <c:pt idx="8">
                  <c:v>13.88</c:v>
                </c:pt>
                <c:pt idx="9">
                  <c:v>13.3</c:v>
                </c:pt>
                <c:pt idx="10">
                  <c:v>12.82</c:v>
                </c:pt>
                <c:pt idx="11">
                  <c:v>12.56</c:v>
                </c:pt>
                <c:pt idx="12">
                  <c:v>12.37</c:v>
                </c:pt>
                <c:pt idx="13">
                  <c:v>12.52</c:v>
                </c:pt>
                <c:pt idx="14">
                  <c:v>12.56</c:v>
                </c:pt>
                <c:pt idx="15">
                  <c:v>12.21</c:v>
                </c:pt>
                <c:pt idx="16">
                  <c:v>12.3</c:v>
                </c:pt>
                <c:pt idx="17">
                  <c:v>12.21</c:v>
                </c:pt>
                <c:pt idx="18">
                  <c:v>12.99</c:v>
                </c:pt>
                <c:pt idx="19">
                  <c:v>13.09</c:v>
                </c:pt>
                <c:pt idx="20">
                  <c:v>12.99</c:v>
                </c:pt>
                <c:pt idx="21">
                  <c:v>12.35</c:v>
                </c:pt>
                <c:pt idx="22">
                  <c:v>13.21</c:v>
                </c:pt>
                <c:pt idx="23">
                  <c:v>14.37</c:v>
                </c:pt>
                <c:pt idx="24">
                  <c:v>14.58</c:v>
                </c:pt>
                <c:pt idx="25">
                  <c:v>14.14</c:v>
                </c:pt>
                <c:pt idx="26">
                  <c:v>15.31</c:v>
                </c:pt>
                <c:pt idx="27">
                  <c:v>15.81</c:v>
                </c:pt>
                <c:pt idx="28">
                  <c:v>15.94</c:v>
                </c:pt>
                <c:pt idx="29">
                  <c:v>15.18</c:v>
                </c:pt>
                <c:pt idx="30">
                  <c:v>15.26</c:v>
                </c:pt>
                <c:pt idx="31">
                  <c:v>15.31</c:v>
                </c:pt>
                <c:pt idx="32">
                  <c:v>14.42</c:v>
                </c:pt>
                <c:pt idx="33">
                  <c:v>14.25</c:v>
                </c:pt>
                <c:pt idx="34">
                  <c:v>13.86</c:v>
                </c:pt>
                <c:pt idx="35">
                  <c:v>13.35</c:v>
                </c:pt>
                <c:pt idx="36">
                  <c:v>14.51</c:v>
                </c:pt>
                <c:pt idx="37">
                  <c:v>14.54</c:v>
                </c:pt>
                <c:pt idx="38">
                  <c:v>14.18</c:v>
                </c:pt>
                <c:pt idx="39">
                  <c:v>14.01</c:v>
                </c:pt>
                <c:pt idx="40">
                  <c:v>13.63</c:v>
                </c:pt>
                <c:pt idx="41">
                  <c:v>14.31</c:v>
                </c:pt>
                <c:pt idx="42">
                  <c:v>13.33</c:v>
                </c:pt>
                <c:pt idx="43">
                  <c:v>13.69</c:v>
                </c:pt>
                <c:pt idx="44">
                  <c:v>14.41</c:v>
                </c:pt>
                <c:pt idx="45">
                  <c:v>14.53</c:v>
                </c:pt>
                <c:pt idx="46">
                  <c:v>14.35</c:v>
                </c:pt>
                <c:pt idx="47">
                  <c:v>14.34</c:v>
                </c:pt>
                <c:pt idx="48">
                  <c:v>14.68</c:v>
                </c:pt>
                <c:pt idx="49">
                  <c:v>14.45</c:v>
                </c:pt>
                <c:pt idx="50">
                  <c:v>14.47</c:v>
                </c:pt>
                <c:pt idx="51">
                  <c:v>14.21</c:v>
                </c:pt>
                <c:pt idx="52">
                  <c:v>14.58</c:v>
                </c:pt>
                <c:pt idx="53">
                  <c:v>14.35</c:v>
                </c:pt>
                <c:pt idx="54">
                  <c:v>14.46</c:v>
                </c:pt>
                <c:pt idx="55">
                  <c:v>14.29</c:v>
                </c:pt>
                <c:pt idx="56">
                  <c:v>13.48</c:v>
                </c:pt>
                <c:pt idx="57">
                  <c:v>13.64</c:v>
                </c:pt>
                <c:pt idx="58">
                  <c:v>12.88</c:v>
                </c:pt>
                <c:pt idx="59">
                  <c:v>12.5</c:v>
                </c:pt>
                <c:pt idx="60">
                  <c:v>12.69</c:v>
                </c:pt>
                <c:pt idx="61">
                  <c:v>12.44</c:v>
                </c:pt>
                <c:pt idx="62">
                  <c:v>11.8</c:v>
                </c:pt>
                <c:pt idx="63">
                  <c:v>12.47</c:v>
                </c:pt>
                <c:pt idx="64">
                  <c:v>12.92</c:v>
                </c:pt>
                <c:pt idx="65">
                  <c:v>12.93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33080"/>
        <c:axId val="355535040"/>
      </c:lineChart>
      <c:dateAx>
        <c:axId val="355533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5040"/>
        <c:crosses val="autoZero"/>
        <c:auto val="1"/>
        <c:lblOffset val="100"/>
        <c:baseTimeUnit val="days"/>
      </c:dateAx>
      <c:valAx>
        <c:axId val="3555350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10.85</c:v>
                </c:pt>
                <c:pt idx="1">
                  <c:v>11.15</c:v>
                </c:pt>
                <c:pt idx="2">
                  <c:v>11.39</c:v>
                </c:pt>
                <c:pt idx="3">
                  <c:v>10.88</c:v>
                </c:pt>
                <c:pt idx="4">
                  <c:v>10.81</c:v>
                </c:pt>
                <c:pt idx="5">
                  <c:v>10.66</c:v>
                </c:pt>
                <c:pt idx="6">
                  <c:v>11.58</c:v>
                </c:pt>
                <c:pt idx="7">
                  <c:v>11.88</c:v>
                </c:pt>
                <c:pt idx="8">
                  <c:v>11.79</c:v>
                </c:pt>
                <c:pt idx="9">
                  <c:v>11.68</c:v>
                </c:pt>
                <c:pt idx="10">
                  <c:v>11.07</c:v>
                </c:pt>
                <c:pt idx="11">
                  <c:v>10.63</c:v>
                </c:pt>
                <c:pt idx="12">
                  <c:v>10.7</c:v>
                </c:pt>
                <c:pt idx="13">
                  <c:v>10.72</c:v>
                </c:pt>
                <c:pt idx="14">
                  <c:v>10.64</c:v>
                </c:pt>
                <c:pt idx="15">
                  <c:v>10.49</c:v>
                </c:pt>
                <c:pt idx="16">
                  <c:v>11.05</c:v>
                </c:pt>
                <c:pt idx="17">
                  <c:v>11.16</c:v>
                </c:pt>
                <c:pt idx="18">
                  <c:v>11.49</c:v>
                </c:pt>
                <c:pt idx="19">
                  <c:v>11.43</c:v>
                </c:pt>
                <c:pt idx="20">
                  <c:v>10.81</c:v>
                </c:pt>
                <c:pt idx="21">
                  <c:v>10.02</c:v>
                </c:pt>
                <c:pt idx="22">
                  <c:v>9.69</c:v>
                </c:pt>
                <c:pt idx="23">
                  <c:v>9.9</c:v>
                </c:pt>
                <c:pt idx="24">
                  <c:v>9.98</c:v>
                </c:pt>
                <c:pt idx="25">
                  <c:v>10.17</c:v>
                </c:pt>
                <c:pt idx="26">
                  <c:v>11</c:v>
                </c:pt>
                <c:pt idx="27">
                  <c:v>11.23</c:v>
                </c:pt>
                <c:pt idx="28">
                  <c:v>10.76</c:v>
                </c:pt>
                <c:pt idx="29">
                  <c:v>10.59</c:v>
                </c:pt>
                <c:pt idx="30">
                  <c:v>10.96</c:v>
                </c:pt>
                <c:pt idx="31">
                  <c:v>11.03</c:v>
                </c:pt>
                <c:pt idx="32">
                  <c:v>9.89</c:v>
                </c:pt>
                <c:pt idx="33">
                  <c:v>10.39</c:v>
                </c:pt>
                <c:pt idx="34">
                  <c:v>10.55</c:v>
                </c:pt>
                <c:pt idx="35">
                  <c:v>10.48</c:v>
                </c:pt>
                <c:pt idx="36">
                  <c:v>11.07</c:v>
                </c:pt>
                <c:pt idx="37">
                  <c:v>10.85</c:v>
                </c:pt>
                <c:pt idx="38">
                  <c:v>10.050000000000001</c:v>
                </c:pt>
                <c:pt idx="39">
                  <c:v>10.8</c:v>
                </c:pt>
                <c:pt idx="40">
                  <c:v>11.08</c:v>
                </c:pt>
                <c:pt idx="41">
                  <c:v>12.02</c:v>
                </c:pt>
                <c:pt idx="42">
                  <c:v>12.06</c:v>
                </c:pt>
                <c:pt idx="43">
                  <c:v>12.72</c:v>
                </c:pt>
                <c:pt idx="44">
                  <c:v>12.53</c:v>
                </c:pt>
                <c:pt idx="45">
                  <c:v>13.33</c:v>
                </c:pt>
                <c:pt idx="46">
                  <c:v>13.66</c:v>
                </c:pt>
                <c:pt idx="47">
                  <c:v>14.22</c:v>
                </c:pt>
                <c:pt idx="48">
                  <c:v>14.82</c:v>
                </c:pt>
                <c:pt idx="49">
                  <c:v>14.33</c:v>
                </c:pt>
                <c:pt idx="50">
                  <c:v>14.16</c:v>
                </c:pt>
                <c:pt idx="51">
                  <c:v>14.16</c:v>
                </c:pt>
                <c:pt idx="52">
                  <c:v>14.34</c:v>
                </c:pt>
                <c:pt idx="53">
                  <c:v>14.19</c:v>
                </c:pt>
                <c:pt idx="54">
                  <c:v>14.48</c:v>
                </c:pt>
                <c:pt idx="55">
                  <c:v>14.3</c:v>
                </c:pt>
                <c:pt idx="56">
                  <c:v>14.61</c:v>
                </c:pt>
                <c:pt idx="57">
                  <c:v>14.77</c:v>
                </c:pt>
                <c:pt idx="58">
                  <c:v>14.36</c:v>
                </c:pt>
                <c:pt idx="59">
                  <c:v>14.32</c:v>
                </c:pt>
                <c:pt idx="60">
                  <c:v>14.07</c:v>
                </c:pt>
                <c:pt idx="61">
                  <c:v>14.18</c:v>
                </c:pt>
                <c:pt idx="62">
                  <c:v>13.66</c:v>
                </c:pt>
                <c:pt idx="63">
                  <c:v>14.04</c:v>
                </c:pt>
                <c:pt idx="64">
                  <c:v>14.66</c:v>
                </c:pt>
                <c:pt idx="65">
                  <c:v>14.32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31120"/>
        <c:axId val="355531512"/>
      </c:lineChart>
      <c:dateAx>
        <c:axId val="35553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1512"/>
        <c:crosses val="autoZero"/>
        <c:auto val="1"/>
        <c:lblOffset val="100"/>
        <c:baseTimeUnit val="days"/>
      </c:dateAx>
      <c:valAx>
        <c:axId val="3555315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39.47</c:v>
                </c:pt>
                <c:pt idx="1">
                  <c:v>40.01</c:v>
                </c:pt>
                <c:pt idx="2">
                  <c:v>39.9</c:v>
                </c:pt>
                <c:pt idx="3">
                  <c:v>39.25</c:v>
                </c:pt>
                <c:pt idx="4">
                  <c:v>38.549999999999997</c:v>
                </c:pt>
                <c:pt idx="5">
                  <c:v>37.83</c:v>
                </c:pt>
                <c:pt idx="6">
                  <c:v>38.92</c:v>
                </c:pt>
                <c:pt idx="7">
                  <c:v>38.729999999999997</c:v>
                </c:pt>
                <c:pt idx="8">
                  <c:v>38.31</c:v>
                </c:pt>
                <c:pt idx="9">
                  <c:v>36.78</c:v>
                </c:pt>
                <c:pt idx="10">
                  <c:v>36.64</c:v>
                </c:pt>
                <c:pt idx="11">
                  <c:v>35.700000000000003</c:v>
                </c:pt>
                <c:pt idx="12">
                  <c:v>35.24</c:v>
                </c:pt>
                <c:pt idx="13">
                  <c:v>34.79</c:v>
                </c:pt>
                <c:pt idx="14">
                  <c:v>34.71</c:v>
                </c:pt>
                <c:pt idx="15">
                  <c:v>34.19</c:v>
                </c:pt>
                <c:pt idx="16">
                  <c:v>34.35</c:v>
                </c:pt>
                <c:pt idx="17">
                  <c:v>34.01</c:v>
                </c:pt>
                <c:pt idx="18">
                  <c:v>35.32</c:v>
                </c:pt>
                <c:pt idx="19">
                  <c:v>35.58</c:v>
                </c:pt>
                <c:pt idx="20">
                  <c:v>35.1</c:v>
                </c:pt>
                <c:pt idx="21">
                  <c:v>34.159999999999997</c:v>
                </c:pt>
                <c:pt idx="22">
                  <c:v>33.119999999999997</c:v>
                </c:pt>
                <c:pt idx="24">
                  <c:v>34.78</c:v>
                </c:pt>
                <c:pt idx="25">
                  <c:v>35.130000000000003</c:v>
                </c:pt>
                <c:pt idx="26">
                  <c:v>34.36</c:v>
                </c:pt>
                <c:pt idx="27">
                  <c:v>34.97</c:v>
                </c:pt>
                <c:pt idx="28">
                  <c:v>35.07</c:v>
                </c:pt>
                <c:pt idx="29">
                  <c:v>34.17</c:v>
                </c:pt>
                <c:pt idx="30">
                  <c:v>33.86</c:v>
                </c:pt>
                <c:pt idx="31">
                  <c:v>34.090000000000003</c:v>
                </c:pt>
                <c:pt idx="32">
                  <c:v>34.21</c:v>
                </c:pt>
                <c:pt idx="33">
                  <c:v>32.65</c:v>
                </c:pt>
                <c:pt idx="34">
                  <c:v>32.909999999999997</c:v>
                </c:pt>
                <c:pt idx="35">
                  <c:v>32.869999999999997</c:v>
                </c:pt>
                <c:pt idx="36">
                  <c:v>32.58</c:v>
                </c:pt>
                <c:pt idx="37">
                  <c:v>36.450000000000003</c:v>
                </c:pt>
                <c:pt idx="38">
                  <c:v>35.46</c:v>
                </c:pt>
                <c:pt idx="39">
                  <c:v>35.29</c:v>
                </c:pt>
                <c:pt idx="40">
                  <c:v>35.64</c:v>
                </c:pt>
                <c:pt idx="41">
                  <c:v>36.42</c:v>
                </c:pt>
                <c:pt idx="42">
                  <c:v>36.54</c:v>
                </c:pt>
                <c:pt idx="43">
                  <c:v>36.049999999999997</c:v>
                </c:pt>
                <c:pt idx="44">
                  <c:v>36.35</c:v>
                </c:pt>
                <c:pt idx="45">
                  <c:v>36.4</c:v>
                </c:pt>
                <c:pt idx="46">
                  <c:v>35.9</c:v>
                </c:pt>
                <c:pt idx="47">
                  <c:v>36.29</c:v>
                </c:pt>
                <c:pt idx="48">
                  <c:v>37.39</c:v>
                </c:pt>
                <c:pt idx="49">
                  <c:v>37.99</c:v>
                </c:pt>
                <c:pt idx="50">
                  <c:v>37.67</c:v>
                </c:pt>
                <c:pt idx="51">
                  <c:v>37.700000000000003</c:v>
                </c:pt>
                <c:pt idx="52">
                  <c:v>38.200000000000003</c:v>
                </c:pt>
                <c:pt idx="53">
                  <c:v>38.65</c:v>
                </c:pt>
                <c:pt idx="54">
                  <c:v>38.119999999999997</c:v>
                </c:pt>
                <c:pt idx="55">
                  <c:v>38.520000000000003</c:v>
                </c:pt>
                <c:pt idx="56">
                  <c:v>38.33</c:v>
                </c:pt>
                <c:pt idx="57">
                  <c:v>37.65</c:v>
                </c:pt>
                <c:pt idx="58">
                  <c:v>37.299999999999997</c:v>
                </c:pt>
                <c:pt idx="59">
                  <c:v>36.799999999999997</c:v>
                </c:pt>
                <c:pt idx="60">
                  <c:v>37.72</c:v>
                </c:pt>
                <c:pt idx="61">
                  <c:v>38.58</c:v>
                </c:pt>
                <c:pt idx="62">
                  <c:v>38.159999999999997</c:v>
                </c:pt>
                <c:pt idx="63">
                  <c:v>37.57</c:v>
                </c:pt>
                <c:pt idx="64">
                  <c:v>38.130000000000003</c:v>
                </c:pt>
                <c:pt idx="65">
                  <c:v>38.76</c:v>
                </c:pt>
                <c:pt idx="66">
                  <c:v>39.4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36216"/>
        <c:axId val="355528768"/>
      </c:lineChart>
      <c:dateAx>
        <c:axId val="355536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28768"/>
        <c:crosses val="autoZero"/>
        <c:auto val="1"/>
        <c:lblOffset val="100"/>
        <c:baseTimeUnit val="days"/>
      </c:dateAx>
      <c:valAx>
        <c:axId val="3555287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24-Feb-16</c:v>
                </c:pt>
                <c:pt idx="15">
                  <c:v>23-Feb-16</c:v>
                </c:pt>
                <c:pt idx="16">
                  <c:v>22-Feb-16</c:v>
                </c:pt>
                <c:pt idx="17">
                  <c:v>19-Feb-16</c:v>
                </c:pt>
                <c:pt idx="18">
                  <c:v>18-Feb-16</c:v>
                </c:pt>
                <c:pt idx="19">
                  <c:v>17-Feb-16</c:v>
                </c:pt>
                <c:pt idx="20">
                  <c:v>16-Feb-16</c:v>
                </c:pt>
                <c:pt idx="21">
                  <c:v>12-Feb-16</c:v>
                </c:pt>
                <c:pt idx="22">
                  <c:v>11-Feb-16</c:v>
                </c:pt>
                <c:pt idx="23">
                  <c:v>10-Feb-16</c:v>
                </c:pt>
                <c:pt idx="24">
                  <c:v>9-Feb-16</c:v>
                </c:pt>
                <c:pt idx="25">
                  <c:v>8-Feb-16</c:v>
                </c:pt>
                <c:pt idx="26">
                  <c:v>5-Feb-16</c:v>
                </c:pt>
                <c:pt idx="27">
                  <c:v>4-Feb-16</c:v>
                </c:pt>
                <c:pt idx="28">
                  <c:v>3-Feb-16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31.65</c:v>
                </c:pt>
                <c:pt idx="1">
                  <c:v>31.43</c:v>
                </c:pt>
                <c:pt idx="2">
                  <c:v>31.76</c:v>
                </c:pt>
                <c:pt idx="3">
                  <c:v>31.25</c:v>
                </c:pt>
                <c:pt idx="4">
                  <c:v>30.87</c:v>
                </c:pt>
                <c:pt idx="5">
                  <c:v>30.56</c:v>
                </c:pt>
                <c:pt idx="6">
                  <c:v>30.94</c:v>
                </c:pt>
                <c:pt idx="7">
                  <c:v>30.63</c:v>
                </c:pt>
                <c:pt idx="8">
                  <c:v>30.58</c:v>
                </c:pt>
                <c:pt idx="9">
                  <c:v>30.54</c:v>
                </c:pt>
                <c:pt idx="10">
                  <c:v>30.37</c:v>
                </c:pt>
                <c:pt idx="11">
                  <c:v>29.59</c:v>
                </c:pt>
                <c:pt idx="12">
                  <c:v>29.8</c:v>
                </c:pt>
                <c:pt idx="13">
                  <c:v>29.62</c:v>
                </c:pt>
                <c:pt idx="14">
                  <c:v>29.19</c:v>
                </c:pt>
                <c:pt idx="15">
                  <c:v>28.8</c:v>
                </c:pt>
                <c:pt idx="16">
                  <c:v>29.35</c:v>
                </c:pt>
                <c:pt idx="17">
                  <c:v>28.71</c:v>
                </c:pt>
                <c:pt idx="18">
                  <c:v>29.42</c:v>
                </c:pt>
                <c:pt idx="19">
                  <c:v>29.47</c:v>
                </c:pt>
                <c:pt idx="20">
                  <c:v>28.78</c:v>
                </c:pt>
                <c:pt idx="21">
                  <c:v>28.64</c:v>
                </c:pt>
                <c:pt idx="22">
                  <c:v>28.22</c:v>
                </c:pt>
                <c:pt idx="23">
                  <c:v>28.23</c:v>
                </c:pt>
                <c:pt idx="24">
                  <c:v>28.81</c:v>
                </c:pt>
                <c:pt idx="25">
                  <c:v>28.82</c:v>
                </c:pt>
                <c:pt idx="26">
                  <c:v>29.04</c:v>
                </c:pt>
                <c:pt idx="27">
                  <c:v>29.77</c:v>
                </c:pt>
                <c:pt idx="28">
                  <c:v>29.34</c:v>
                </c:pt>
                <c:pt idx="30">
                  <c:v>29.8</c:v>
                </c:pt>
                <c:pt idx="31">
                  <c:v>30.82</c:v>
                </c:pt>
                <c:pt idx="32">
                  <c:v>31.02</c:v>
                </c:pt>
                <c:pt idx="33">
                  <c:v>29.97</c:v>
                </c:pt>
                <c:pt idx="34">
                  <c:v>29.81</c:v>
                </c:pt>
                <c:pt idx="35">
                  <c:v>29.94</c:v>
                </c:pt>
                <c:pt idx="36">
                  <c:v>29.6</c:v>
                </c:pt>
                <c:pt idx="37">
                  <c:v>29.93</c:v>
                </c:pt>
                <c:pt idx="38">
                  <c:v>29.66</c:v>
                </c:pt>
                <c:pt idx="39">
                  <c:v>29.59</c:v>
                </c:pt>
                <c:pt idx="40">
                  <c:v>29.8</c:v>
                </c:pt>
                <c:pt idx="41">
                  <c:v>29.76</c:v>
                </c:pt>
                <c:pt idx="42">
                  <c:v>32.74</c:v>
                </c:pt>
                <c:pt idx="43">
                  <c:v>31.91</c:v>
                </c:pt>
                <c:pt idx="44">
                  <c:v>32.68</c:v>
                </c:pt>
                <c:pt idx="45">
                  <c:v>32.06</c:v>
                </c:pt>
                <c:pt idx="46">
                  <c:v>31.51</c:v>
                </c:pt>
                <c:pt idx="47">
                  <c:v>31.84</c:v>
                </c:pt>
                <c:pt idx="48">
                  <c:v>33.08</c:v>
                </c:pt>
                <c:pt idx="49">
                  <c:v>33.83</c:v>
                </c:pt>
                <c:pt idx="50">
                  <c:v>33.99</c:v>
                </c:pt>
                <c:pt idx="51">
                  <c:v>34.450000000000003</c:v>
                </c:pt>
                <c:pt idx="52">
                  <c:v>34.99</c:v>
                </c:pt>
                <c:pt idx="53">
                  <c:v>35.44</c:v>
                </c:pt>
                <c:pt idx="54">
                  <c:v>34.93</c:v>
                </c:pt>
                <c:pt idx="55">
                  <c:v>34.979999999999997</c:v>
                </c:pt>
                <c:pt idx="56">
                  <c:v>35</c:v>
                </c:pt>
                <c:pt idx="57">
                  <c:v>34.729999999999997</c:v>
                </c:pt>
                <c:pt idx="58">
                  <c:v>34.24</c:v>
                </c:pt>
                <c:pt idx="59">
                  <c:v>33.869999999999997</c:v>
                </c:pt>
                <c:pt idx="60">
                  <c:v>34.909999999999997</c:v>
                </c:pt>
                <c:pt idx="61">
                  <c:v>35.299999999999997</c:v>
                </c:pt>
                <c:pt idx="62">
                  <c:v>35.18</c:v>
                </c:pt>
                <c:pt idx="63">
                  <c:v>34.47</c:v>
                </c:pt>
                <c:pt idx="64">
                  <c:v>34.270000000000003</c:v>
                </c:pt>
                <c:pt idx="65">
                  <c:v>34.770000000000003</c:v>
                </c:pt>
                <c:pt idx="66">
                  <c:v>34.81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32296"/>
        <c:axId val="355532688"/>
      </c:lineChart>
      <c:catAx>
        <c:axId val="355532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2688"/>
        <c:crosses val="autoZero"/>
        <c:auto val="1"/>
        <c:lblAlgn val="ctr"/>
        <c:lblOffset val="100"/>
        <c:noMultiLvlLbl val="0"/>
      </c:catAx>
      <c:valAx>
        <c:axId val="355532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42444</c:v>
                </c:pt>
                <c:pt idx="2">
                  <c:v>42443</c:v>
                </c:pt>
                <c:pt idx="3">
                  <c:v>42440</c:v>
                </c:pt>
                <c:pt idx="4">
                  <c:v>42439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42353</c:v>
                </c:pt>
                <c:pt idx="64">
                  <c:v>42352</c:v>
                </c:pt>
                <c:pt idx="65">
                  <c:v>42349</c:v>
                </c:pt>
                <c:pt idx="66">
                  <c:v>42348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50.17</c:v>
                </c:pt>
                <c:pt idx="2">
                  <c:v>50.2</c:v>
                </c:pt>
                <c:pt idx="3">
                  <c:v>51.26</c:v>
                </c:pt>
                <c:pt idx="4">
                  <c:v>48.27</c:v>
                </c:pt>
                <c:pt idx="5">
                  <c:v>47.08</c:v>
                </c:pt>
                <c:pt idx="6">
                  <c:v>46.76</c:v>
                </c:pt>
                <c:pt idx="7">
                  <c:v>49.28</c:v>
                </c:pt>
                <c:pt idx="8">
                  <c:v>48.39</c:v>
                </c:pt>
                <c:pt idx="9">
                  <c:v>48</c:v>
                </c:pt>
                <c:pt idx="10">
                  <c:v>46.92</c:v>
                </c:pt>
                <c:pt idx="11">
                  <c:v>44.31</c:v>
                </c:pt>
                <c:pt idx="12">
                  <c:v>43.6</c:v>
                </c:pt>
                <c:pt idx="13">
                  <c:v>43.07</c:v>
                </c:pt>
                <c:pt idx="14">
                  <c:v>41.58</c:v>
                </c:pt>
                <c:pt idx="15">
                  <c:v>41.7</c:v>
                </c:pt>
                <c:pt idx="16">
                  <c:v>41.92</c:v>
                </c:pt>
                <c:pt idx="17">
                  <c:v>44.58</c:v>
                </c:pt>
                <c:pt idx="18">
                  <c:v>42.31</c:v>
                </c:pt>
                <c:pt idx="19">
                  <c:v>42.07</c:v>
                </c:pt>
                <c:pt idx="20">
                  <c:v>43.47</c:v>
                </c:pt>
                <c:pt idx="21">
                  <c:v>40.840000000000003</c:v>
                </c:pt>
                <c:pt idx="22">
                  <c:v>40.11</c:v>
                </c:pt>
                <c:pt idx="23">
                  <c:v>38.93</c:v>
                </c:pt>
                <c:pt idx="24">
                  <c:v>39.29</c:v>
                </c:pt>
                <c:pt idx="25">
                  <c:v>38.700000000000003</c:v>
                </c:pt>
                <c:pt idx="26">
                  <c:v>38.99</c:v>
                </c:pt>
                <c:pt idx="27">
                  <c:v>38.020000000000003</c:v>
                </c:pt>
                <c:pt idx="28">
                  <c:v>43.47</c:v>
                </c:pt>
                <c:pt idx="29">
                  <c:v>42.99</c:v>
                </c:pt>
                <c:pt idx="30">
                  <c:v>39.36</c:v>
                </c:pt>
                <c:pt idx="31">
                  <c:v>41.76</c:v>
                </c:pt>
                <c:pt idx="32">
                  <c:v>42.5</c:v>
                </c:pt>
                <c:pt idx="33">
                  <c:v>40.340000000000003</c:v>
                </c:pt>
                <c:pt idx="34">
                  <c:v>36.85</c:v>
                </c:pt>
                <c:pt idx="35">
                  <c:v>34.81</c:v>
                </c:pt>
                <c:pt idx="36">
                  <c:v>34.380000000000003</c:v>
                </c:pt>
                <c:pt idx="37">
                  <c:v>38.33</c:v>
                </c:pt>
                <c:pt idx="38">
                  <c:v>37.619999999999997</c:v>
                </c:pt>
                <c:pt idx="39">
                  <c:v>35.21</c:v>
                </c:pt>
                <c:pt idx="40">
                  <c:v>36.53</c:v>
                </c:pt>
                <c:pt idx="41">
                  <c:v>38.72</c:v>
                </c:pt>
                <c:pt idx="42">
                  <c:v>39.96</c:v>
                </c:pt>
                <c:pt idx="43">
                  <c:v>38.590000000000003</c:v>
                </c:pt>
                <c:pt idx="44">
                  <c:v>39.6</c:v>
                </c:pt>
                <c:pt idx="45">
                  <c:v>41.69</c:v>
                </c:pt>
                <c:pt idx="46">
                  <c:v>43.58</c:v>
                </c:pt>
                <c:pt idx="47">
                  <c:v>43.62</c:v>
                </c:pt>
                <c:pt idx="48">
                  <c:v>45.07</c:v>
                </c:pt>
                <c:pt idx="49">
                  <c:v>48.07</c:v>
                </c:pt>
                <c:pt idx="50">
                  <c:v>48.18</c:v>
                </c:pt>
                <c:pt idx="51">
                  <c:v>48.48</c:v>
                </c:pt>
                <c:pt idx="52">
                  <c:v>48.17</c:v>
                </c:pt>
                <c:pt idx="53">
                  <c:v>49.36</c:v>
                </c:pt>
                <c:pt idx="54">
                  <c:v>48.99</c:v>
                </c:pt>
                <c:pt idx="55">
                  <c:v>50.57</c:v>
                </c:pt>
                <c:pt idx="56">
                  <c:v>51.27</c:v>
                </c:pt>
                <c:pt idx="57">
                  <c:v>48.48</c:v>
                </c:pt>
                <c:pt idx="58">
                  <c:v>47.44</c:v>
                </c:pt>
                <c:pt idx="59">
                  <c:v>48.5</c:v>
                </c:pt>
                <c:pt idx="60">
                  <c:v>49.2</c:v>
                </c:pt>
                <c:pt idx="61">
                  <c:v>50.92</c:v>
                </c:pt>
                <c:pt idx="62">
                  <c:v>51.73</c:v>
                </c:pt>
                <c:pt idx="64">
                  <c:v>50.12</c:v>
                </c:pt>
                <c:pt idx="65">
                  <c:v>50.43</c:v>
                </c:pt>
                <c:pt idx="66">
                  <c:v>52.48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62888"/>
        <c:axId val="387575784"/>
      </c:lineChart>
      <c:dateAx>
        <c:axId val="32596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5784"/>
        <c:crosses val="autoZero"/>
        <c:auto val="1"/>
        <c:lblOffset val="100"/>
        <c:baseTimeUnit val="days"/>
      </c:dateAx>
      <c:valAx>
        <c:axId val="387575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42418.00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80.150000000000006</c:v>
                </c:pt>
                <c:pt idx="1">
                  <c:v>80.349999999999994</c:v>
                </c:pt>
                <c:pt idx="2">
                  <c:v>81.260000000000005</c:v>
                </c:pt>
                <c:pt idx="3">
                  <c:v>79.38</c:v>
                </c:pt>
                <c:pt idx="4">
                  <c:v>80.14</c:v>
                </c:pt>
                <c:pt idx="5">
                  <c:v>78.25</c:v>
                </c:pt>
                <c:pt idx="6">
                  <c:v>81.45</c:v>
                </c:pt>
                <c:pt idx="7">
                  <c:v>80.5</c:v>
                </c:pt>
                <c:pt idx="8">
                  <c:v>80.010000000000005</c:v>
                </c:pt>
                <c:pt idx="9">
                  <c:v>79.5</c:v>
                </c:pt>
                <c:pt idx="10">
                  <c:v>80.12</c:v>
                </c:pt>
                <c:pt idx="11">
                  <c:v>78.86</c:v>
                </c:pt>
                <c:pt idx="12">
                  <c:v>80</c:v>
                </c:pt>
                <c:pt idx="13">
                  <c:v>79.319999999999993</c:v>
                </c:pt>
                <c:pt idx="15">
                  <c:v>80.09</c:v>
                </c:pt>
                <c:pt idx="16">
                  <c:v>78.95</c:v>
                </c:pt>
                <c:pt idx="17">
                  <c:v>81.61</c:v>
                </c:pt>
                <c:pt idx="18">
                  <c:v>79.900000000000006</c:v>
                </c:pt>
                <c:pt idx="19">
                  <c:v>78.66</c:v>
                </c:pt>
                <c:pt idx="20">
                  <c:v>79.959999999999994</c:v>
                </c:pt>
                <c:pt idx="21">
                  <c:v>79.37</c:v>
                </c:pt>
                <c:pt idx="22">
                  <c:v>77.2</c:v>
                </c:pt>
                <c:pt idx="23">
                  <c:v>75.540000000000006</c:v>
                </c:pt>
                <c:pt idx="24">
                  <c:v>76.94</c:v>
                </c:pt>
                <c:pt idx="25">
                  <c:v>77.12</c:v>
                </c:pt>
                <c:pt idx="26">
                  <c:v>76.03</c:v>
                </c:pt>
                <c:pt idx="27">
                  <c:v>75.03</c:v>
                </c:pt>
                <c:pt idx="28">
                  <c:v>75.52</c:v>
                </c:pt>
                <c:pt idx="29">
                  <c:v>72.260000000000005</c:v>
                </c:pt>
                <c:pt idx="30">
                  <c:v>71.709999999999994</c:v>
                </c:pt>
                <c:pt idx="31">
                  <c:v>73.09</c:v>
                </c:pt>
                <c:pt idx="32">
                  <c:v>72</c:v>
                </c:pt>
                <c:pt idx="33">
                  <c:v>70.16</c:v>
                </c:pt>
                <c:pt idx="34">
                  <c:v>69.06</c:v>
                </c:pt>
                <c:pt idx="35">
                  <c:v>70.040000000000006</c:v>
                </c:pt>
                <c:pt idx="36">
                  <c:v>68.790000000000006</c:v>
                </c:pt>
                <c:pt idx="37">
                  <c:v>69.989999999999995</c:v>
                </c:pt>
                <c:pt idx="38">
                  <c:v>71</c:v>
                </c:pt>
                <c:pt idx="39">
                  <c:v>73.61</c:v>
                </c:pt>
                <c:pt idx="40">
                  <c:v>74.099999999999994</c:v>
                </c:pt>
                <c:pt idx="41">
                  <c:v>74.11</c:v>
                </c:pt>
                <c:pt idx="42">
                  <c:v>75.42</c:v>
                </c:pt>
                <c:pt idx="43">
                  <c:v>73.849999999999994</c:v>
                </c:pt>
                <c:pt idx="44">
                  <c:v>76.27</c:v>
                </c:pt>
                <c:pt idx="45">
                  <c:v>74.81</c:v>
                </c:pt>
                <c:pt idx="46">
                  <c:v>73.86</c:v>
                </c:pt>
                <c:pt idx="47">
                  <c:v>73.08</c:v>
                </c:pt>
                <c:pt idx="48">
                  <c:v>74.83</c:v>
                </c:pt>
                <c:pt idx="49">
                  <c:v>78.209999999999994</c:v>
                </c:pt>
                <c:pt idx="50">
                  <c:v>78.97</c:v>
                </c:pt>
                <c:pt idx="51">
                  <c:v>78.2</c:v>
                </c:pt>
                <c:pt idx="52">
                  <c:v>78.510000000000005</c:v>
                </c:pt>
                <c:pt idx="53">
                  <c:v>78.97</c:v>
                </c:pt>
                <c:pt idx="54">
                  <c:v>78.34</c:v>
                </c:pt>
                <c:pt idx="55">
                  <c:v>78.8</c:v>
                </c:pt>
                <c:pt idx="56">
                  <c:v>78.77</c:v>
                </c:pt>
                <c:pt idx="57">
                  <c:v>77.06</c:v>
                </c:pt>
                <c:pt idx="58">
                  <c:v>75.489999999999995</c:v>
                </c:pt>
                <c:pt idx="59">
                  <c:v>75.430000000000007</c:v>
                </c:pt>
                <c:pt idx="60">
                  <c:v>77.33</c:v>
                </c:pt>
                <c:pt idx="61">
                  <c:v>78.91</c:v>
                </c:pt>
                <c:pt idx="62">
                  <c:v>76.41</c:v>
                </c:pt>
                <c:pt idx="63">
                  <c:v>76.88</c:v>
                </c:pt>
                <c:pt idx="64">
                  <c:v>77.28</c:v>
                </c:pt>
                <c:pt idx="65">
                  <c:v>77.45</c:v>
                </c:pt>
                <c:pt idx="66">
                  <c:v>77.540000000000006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578920"/>
        <c:axId val="387576568"/>
      </c:lineChart>
      <c:catAx>
        <c:axId val="387578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6568"/>
        <c:crosses val="autoZero"/>
        <c:auto val="1"/>
        <c:lblAlgn val="ctr"/>
        <c:lblOffset val="100"/>
        <c:noMultiLvlLbl val="0"/>
      </c:catAx>
      <c:valAx>
        <c:axId val="38757656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575000"/>
        <c:axId val="387574216"/>
      </c:lineChart>
      <c:catAx>
        <c:axId val="38757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4216"/>
        <c:crosses val="autoZero"/>
        <c:auto val="1"/>
        <c:lblAlgn val="ctr"/>
        <c:lblOffset val="100"/>
        <c:noMultiLvlLbl val="1"/>
      </c:catAx>
      <c:valAx>
        <c:axId val="38757421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73.61</c:v>
                </c:pt>
                <c:pt idx="1">
                  <c:v>72.790000000000006</c:v>
                </c:pt>
                <c:pt idx="2">
                  <c:v>72.77</c:v>
                </c:pt>
                <c:pt idx="3">
                  <c:v>69.97</c:v>
                </c:pt>
                <c:pt idx="4">
                  <c:v>71.02</c:v>
                </c:pt>
                <c:pt idx="5">
                  <c:v>69.91</c:v>
                </c:pt>
                <c:pt idx="6">
                  <c:v>72.92</c:v>
                </c:pt>
                <c:pt idx="7">
                  <c:v>73.010000000000005</c:v>
                </c:pt>
                <c:pt idx="8">
                  <c:v>70.099999999999994</c:v>
                </c:pt>
                <c:pt idx="9">
                  <c:v>68.98</c:v>
                </c:pt>
                <c:pt idx="10">
                  <c:v>70.400000000000006</c:v>
                </c:pt>
                <c:pt idx="11">
                  <c:v>66.45</c:v>
                </c:pt>
                <c:pt idx="12">
                  <c:v>64.900000000000006</c:v>
                </c:pt>
                <c:pt idx="13">
                  <c:v>64.55</c:v>
                </c:pt>
                <c:pt idx="14">
                  <c:v>63.71</c:v>
                </c:pt>
                <c:pt idx="15">
                  <c:v>62.62</c:v>
                </c:pt>
                <c:pt idx="16">
                  <c:v>64.290000000000006</c:v>
                </c:pt>
                <c:pt idx="17">
                  <c:v>63.03</c:v>
                </c:pt>
                <c:pt idx="18">
                  <c:v>62.07</c:v>
                </c:pt>
                <c:pt idx="19">
                  <c:v>63.71</c:v>
                </c:pt>
                <c:pt idx="20">
                  <c:v>61.44</c:v>
                </c:pt>
                <c:pt idx="21">
                  <c:v>57.63</c:v>
                </c:pt>
                <c:pt idx="22">
                  <c:v>55.85</c:v>
                </c:pt>
                <c:pt idx="23">
                  <c:v>57.2</c:v>
                </c:pt>
                <c:pt idx="24">
                  <c:v>57.7</c:v>
                </c:pt>
                <c:pt idx="26">
                  <c:v>59.3</c:v>
                </c:pt>
                <c:pt idx="27">
                  <c:v>62.16</c:v>
                </c:pt>
                <c:pt idx="28">
                  <c:v>66</c:v>
                </c:pt>
                <c:pt idx="29">
                  <c:v>66.19</c:v>
                </c:pt>
                <c:pt idx="30">
                  <c:v>66.48</c:v>
                </c:pt>
                <c:pt idx="31">
                  <c:v>69.62</c:v>
                </c:pt>
                <c:pt idx="32">
                  <c:v>68.92</c:v>
                </c:pt>
                <c:pt idx="33">
                  <c:v>64.790000000000006</c:v>
                </c:pt>
                <c:pt idx="34">
                  <c:v>62.14</c:v>
                </c:pt>
                <c:pt idx="35">
                  <c:v>65.8</c:v>
                </c:pt>
                <c:pt idx="36">
                  <c:v>65.59</c:v>
                </c:pt>
                <c:pt idx="37">
                  <c:v>67.03</c:v>
                </c:pt>
                <c:pt idx="38">
                  <c:v>63.29</c:v>
                </c:pt>
                <c:pt idx="39">
                  <c:v>61.62</c:v>
                </c:pt>
                <c:pt idx="40">
                  <c:v>60.38</c:v>
                </c:pt>
                <c:pt idx="41">
                  <c:v>60.67</c:v>
                </c:pt>
                <c:pt idx="42">
                  <c:v>64.540000000000006</c:v>
                </c:pt>
                <c:pt idx="43">
                  <c:v>62.16</c:v>
                </c:pt>
                <c:pt idx="44">
                  <c:v>66.63</c:v>
                </c:pt>
                <c:pt idx="45">
                  <c:v>66.05</c:v>
                </c:pt>
                <c:pt idx="46">
                  <c:v>66.89</c:v>
                </c:pt>
                <c:pt idx="47">
                  <c:v>67.16</c:v>
                </c:pt>
                <c:pt idx="48">
                  <c:v>69.150000000000006</c:v>
                </c:pt>
                <c:pt idx="49">
                  <c:v>73.290000000000006</c:v>
                </c:pt>
                <c:pt idx="50">
                  <c:v>77.930000000000007</c:v>
                </c:pt>
                <c:pt idx="51">
                  <c:v>76.83</c:v>
                </c:pt>
                <c:pt idx="52">
                  <c:v>79.19</c:v>
                </c:pt>
                <c:pt idx="53">
                  <c:v>80.430000000000007</c:v>
                </c:pt>
                <c:pt idx="54">
                  <c:v>79.31</c:v>
                </c:pt>
                <c:pt idx="55">
                  <c:v>79.319999999999993</c:v>
                </c:pt>
                <c:pt idx="56">
                  <c:v>79.17</c:v>
                </c:pt>
                <c:pt idx="57">
                  <c:v>78.41</c:v>
                </c:pt>
                <c:pt idx="58">
                  <c:v>78.42</c:v>
                </c:pt>
                <c:pt idx="59">
                  <c:v>76.38</c:v>
                </c:pt>
                <c:pt idx="60">
                  <c:v>77.8</c:v>
                </c:pt>
                <c:pt idx="61">
                  <c:v>78.97</c:v>
                </c:pt>
                <c:pt idx="62">
                  <c:v>77.78</c:v>
                </c:pt>
                <c:pt idx="63">
                  <c:v>78.510000000000005</c:v>
                </c:pt>
                <c:pt idx="64">
                  <c:v>81.430000000000007</c:v>
                </c:pt>
                <c:pt idx="65">
                  <c:v>84.89</c:v>
                </c:pt>
                <c:pt idx="66">
                  <c:v>84.68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573040"/>
        <c:axId val="387574608"/>
      </c:lineChart>
      <c:dateAx>
        <c:axId val="38757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4608"/>
        <c:crosses val="autoZero"/>
        <c:auto val="1"/>
        <c:lblOffset val="100"/>
        <c:baseTimeUnit val="days"/>
      </c:dateAx>
      <c:valAx>
        <c:axId val="3875746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60.51</c:v>
                </c:pt>
                <c:pt idx="1">
                  <c:v>60.2</c:v>
                </c:pt>
                <c:pt idx="2">
                  <c:v>60.37</c:v>
                </c:pt>
                <c:pt idx="3">
                  <c:v>58.96</c:v>
                </c:pt>
                <c:pt idx="4">
                  <c:v>60.37</c:v>
                </c:pt>
                <c:pt idx="5">
                  <c:v>59.51</c:v>
                </c:pt>
                <c:pt idx="7">
                  <c:v>60.09</c:v>
                </c:pt>
                <c:pt idx="8">
                  <c:v>59.17</c:v>
                </c:pt>
                <c:pt idx="9">
                  <c:v>57.91</c:v>
                </c:pt>
                <c:pt idx="10">
                  <c:v>57.82</c:v>
                </c:pt>
                <c:pt idx="11">
                  <c:v>59.02</c:v>
                </c:pt>
                <c:pt idx="12">
                  <c:v>57.9</c:v>
                </c:pt>
                <c:pt idx="13">
                  <c:v>58.42</c:v>
                </c:pt>
                <c:pt idx="14">
                  <c:v>58.18</c:v>
                </c:pt>
                <c:pt idx="15">
                  <c:v>57.62</c:v>
                </c:pt>
                <c:pt idx="16">
                  <c:v>56.98</c:v>
                </c:pt>
                <c:pt idx="17">
                  <c:v>57.59</c:v>
                </c:pt>
                <c:pt idx="18">
                  <c:v>57.02</c:v>
                </c:pt>
                <c:pt idx="19">
                  <c:v>57.12</c:v>
                </c:pt>
                <c:pt idx="20">
                  <c:v>57.09</c:v>
                </c:pt>
                <c:pt idx="21">
                  <c:v>55.57</c:v>
                </c:pt>
                <c:pt idx="22">
                  <c:v>55.22</c:v>
                </c:pt>
                <c:pt idx="23">
                  <c:v>54.69</c:v>
                </c:pt>
                <c:pt idx="24">
                  <c:v>54.34</c:v>
                </c:pt>
                <c:pt idx="25">
                  <c:v>55.12</c:v>
                </c:pt>
                <c:pt idx="26">
                  <c:v>53.94</c:v>
                </c:pt>
                <c:pt idx="27">
                  <c:v>53.35</c:v>
                </c:pt>
                <c:pt idx="28">
                  <c:v>55.09</c:v>
                </c:pt>
                <c:pt idx="29">
                  <c:v>53.31</c:v>
                </c:pt>
                <c:pt idx="30">
                  <c:v>52</c:v>
                </c:pt>
                <c:pt idx="31">
                  <c:v>53.46</c:v>
                </c:pt>
                <c:pt idx="32">
                  <c:v>53.49</c:v>
                </c:pt>
                <c:pt idx="33">
                  <c:v>52.78</c:v>
                </c:pt>
                <c:pt idx="34">
                  <c:v>50.8</c:v>
                </c:pt>
                <c:pt idx="35">
                  <c:v>50.57</c:v>
                </c:pt>
                <c:pt idx="36">
                  <c:v>49.13</c:v>
                </c:pt>
                <c:pt idx="37">
                  <c:v>49.76</c:v>
                </c:pt>
                <c:pt idx="38">
                  <c:v>48.44</c:v>
                </c:pt>
                <c:pt idx="39">
                  <c:v>47.62</c:v>
                </c:pt>
                <c:pt idx="40">
                  <c:v>49.22</c:v>
                </c:pt>
                <c:pt idx="41">
                  <c:v>49.83</c:v>
                </c:pt>
                <c:pt idx="42">
                  <c:v>51.6</c:v>
                </c:pt>
                <c:pt idx="43">
                  <c:v>50.77</c:v>
                </c:pt>
                <c:pt idx="44">
                  <c:v>52.49</c:v>
                </c:pt>
                <c:pt idx="45">
                  <c:v>51.61</c:v>
                </c:pt>
                <c:pt idx="46">
                  <c:v>51.33</c:v>
                </c:pt>
                <c:pt idx="47">
                  <c:v>51.03</c:v>
                </c:pt>
                <c:pt idx="48">
                  <c:v>52.17</c:v>
                </c:pt>
                <c:pt idx="49">
                  <c:v>53.96</c:v>
                </c:pt>
                <c:pt idx="50">
                  <c:v>54.86</c:v>
                </c:pt>
                <c:pt idx="51">
                  <c:v>55.88</c:v>
                </c:pt>
                <c:pt idx="52">
                  <c:v>56.45</c:v>
                </c:pt>
                <c:pt idx="53">
                  <c:v>56.69</c:v>
                </c:pt>
                <c:pt idx="54">
                  <c:v>56.4</c:v>
                </c:pt>
                <c:pt idx="55">
                  <c:v>56.87</c:v>
                </c:pt>
                <c:pt idx="56">
                  <c:v>56.79</c:v>
                </c:pt>
                <c:pt idx="57">
                  <c:v>56.66</c:v>
                </c:pt>
                <c:pt idx="58">
                  <c:v>56.46</c:v>
                </c:pt>
                <c:pt idx="59">
                  <c:v>55.85</c:v>
                </c:pt>
                <c:pt idx="60">
                  <c:v>55.61</c:v>
                </c:pt>
                <c:pt idx="61">
                  <c:v>55.67</c:v>
                </c:pt>
                <c:pt idx="62">
                  <c:v>54.5</c:v>
                </c:pt>
                <c:pt idx="63">
                  <c:v>53.94</c:v>
                </c:pt>
                <c:pt idx="64">
                  <c:v>52.73</c:v>
                </c:pt>
                <c:pt idx="65">
                  <c:v>53.89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15640"/>
        <c:axId val="395914464"/>
      </c:lineChart>
      <c:dateAx>
        <c:axId val="395915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4464"/>
        <c:crosses val="autoZero"/>
        <c:auto val="1"/>
        <c:lblOffset val="100"/>
        <c:baseTimeUnit val="days"/>
      </c:dateAx>
      <c:valAx>
        <c:axId val="3959144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49.98</c:v>
                </c:pt>
                <c:pt idx="1">
                  <c:v>49.88</c:v>
                </c:pt>
                <c:pt idx="2">
                  <c:v>50.07</c:v>
                </c:pt>
                <c:pt idx="3">
                  <c:v>48.51</c:v>
                </c:pt>
                <c:pt idx="4">
                  <c:v>48.79</c:v>
                </c:pt>
                <c:pt idx="5">
                  <c:v>49.05</c:v>
                </c:pt>
                <c:pt idx="6">
                  <c:v>50.07</c:v>
                </c:pt>
                <c:pt idx="7">
                  <c:v>50.11</c:v>
                </c:pt>
                <c:pt idx="8">
                  <c:v>49.77</c:v>
                </c:pt>
                <c:pt idx="9">
                  <c:v>49.57</c:v>
                </c:pt>
                <c:pt idx="10">
                  <c:v>48.72</c:v>
                </c:pt>
                <c:pt idx="11">
                  <c:v>46.92</c:v>
                </c:pt>
                <c:pt idx="12">
                  <c:v>48.07</c:v>
                </c:pt>
                <c:pt idx="13">
                  <c:v>47.75</c:v>
                </c:pt>
                <c:pt idx="14">
                  <c:v>47.61</c:v>
                </c:pt>
                <c:pt idx="15">
                  <c:v>48.1</c:v>
                </c:pt>
                <c:pt idx="16">
                  <c:v>49.19</c:v>
                </c:pt>
                <c:pt idx="17">
                  <c:v>48.09</c:v>
                </c:pt>
                <c:pt idx="18">
                  <c:v>47.73</c:v>
                </c:pt>
                <c:pt idx="19">
                  <c:v>48.13</c:v>
                </c:pt>
                <c:pt idx="20">
                  <c:v>48.24</c:v>
                </c:pt>
                <c:pt idx="21">
                  <c:v>47.31</c:v>
                </c:pt>
                <c:pt idx="22">
                  <c:v>45.16</c:v>
                </c:pt>
                <c:pt idx="23">
                  <c:v>46.17</c:v>
                </c:pt>
                <c:pt idx="24">
                  <c:v>46.45</c:v>
                </c:pt>
                <c:pt idx="25">
                  <c:v>46.5</c:v>
                </c:pt>
                <c:pt idx="26">
                  <c:v>47.86</c:v>
                </c:pt>
                <c:pt idx="27">
                  <c:v>48.25</c:v>
                </c:pt>
                <c:pt idx="28">
                  <c:v>47.6</c:v>
                </c:pt>
                <c:pt idx="30">
                  <c:v>48.83</c:v>
                </c:pt>
                <c:pt idx="31">
                  <c:v>49.94</c:v>
                </c:pt>
                <c:pt idx="32">
                  <c:v>50.23</c:v>
                </c:pt>
                <c:pt idx="33">
                  <c:v>48.92</c:v>
                </c:pt>
                <c:pt idx="34">
                  <c:v>48.57</c:v>
                </c:pt>
                <c:pt idx="35">
                  <c:v>48.26</c:v>
                </c:pt>
                <c:pt idx="36">
                  <c:v>47.66</c:v>
                </c:pt>
                <c:pt idx="37">
                  <c:v>49.02</c:v>
                </c:pt>
                <c:pt idx="38">
                  <c:v>48.01</c:v>
                </c:pt>
                <c:pt idx="39">
                  <c:v>47.87</c:v>
                </c:pt>
                <c:pt idx="40">
                  <c:v>48.21</c:v>
                </c:pt>
                <c:pt idx="41">
                  <c:v>48.82</c:v>
                </c:pt>
                <c:pt idx="42">
                  <c:v>50.64</c:v>
                </c:pt>
                <c:pt idx="43">
                  <c:v>49.73</c:v>
                </c:pt>
                <c:pt idx="44">
                  <c:v>51.36</c:v>
                </c:pt>
                <c:pt idx="45">
                  <c:v>50.09</c:v>
                </c:pt>
                <c:pt idx="46">
                  <c:v>49.56</c:v>
                </c:pt>
                <c:pt idx="47">
                  <c:v>50.4</c:v>
                </c:pt>
                <c:pt idx="48">
                  <c:v>51.88</c:v>
                </c:pt>
                <c:pt idx="49">
                  <c:v>52.89</c:v>
                </c:pt>
                <c:pt idx="50">
                  <c:v>52.91</c:v>
                </c:pt>
                <c:pt idx="51">
                  <c:v>54.36</c:v>
                </c:pt>
                <c:pt idx="52">
                  <c:v>54.89</c:v>
                </c:pt>
                <c:pt idx="53">
                  <c:v>55.29</c:v>
                </c:pt>
                <c:pt idx="54">
                  <c:v>54.68</c:v>
                </c:pt>
                <c:pt idx="55">
                  <c:v>54.82</c:v>
                </c:pt>
                <c:pt idx="56">
                  <c:v>55.04</c:v>
                </c:pt>
                <c:pt idx="57">
                  <c:v>54.34</c:v>
                </c:pt>
                <c:pt idx="58">
                  <c:v>54.02</c:v>
                </c:pt>
                <c:pt idx="59">
                  <c:v>53.79</c:v>
                </c:pt>
                <c:pt idx="60">
                  <c:v>55.47</c:v>
                </c:pt>
                <c:pt idx="61">
                  <c:v>55.85</c:v>
                </c:pt>
                <c:pt idx="62">
                  <c:v>54.91</c:v>
                </c:pt>
                <c:pt idx="63">
                  <c:v>53.2</c:v>
                </c:pt>
                <c:pt idx="64">
                  <c:v>53.31</c:v>
                </c:pt>
                <c:pt idx="65">
                  <c:v>54.34</c:v>
                </c:pt>
                <c:pt idx="66">
                  <c:v>54.12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0736"/>
        <c:axId val="395916032"/>
      </c:lineChart>
      <c:dateAx>
        <c:axId val="395920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6032"/>
        <c:crosses val="autoZero"/>
        <c:auto val="1"/>
        <c:lblOffset val="100"/>
        <c:baseTimeUnit val="days"/>
      </c:dateAx>
      <c:valAx>
        <c:axId val="3959160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9.16</c:v>
                </c:pt>
                <c:pt idx="1">
                  <c:v>9.67</c:v>
                </c:pt>
                <c:pt idx="2">
                  <c:v>9.52</c:v>
                </c:pt>
                <c:pt idx="3">
                  <c:v>9.59</c:v>
                </c:pt>
                <c:pt idx="4">
                  <c:v>9.42</c:v>
                </c:pt>
                <c:pt idx="5">
                  <c:v>9.33</c:v>
                </c:pt>
                <c:pt idx="6">
                  <c:v>10.039999999999999</c:v>
                </c:pt>
                <c:pt idx="7">
                  <c:v>9.57</c:v>
                </c:pt>
                <c:pt idx="8">
                  <c:v>9.4700000000000006</c:v>
                </c:pt>
                <c:pt idx="9">
                  <c:v>9.6199999999999992</c:v>
                </c:pt>
                <c:pt idx="10">
                  <c:v>9.11</c:v>
                </c:pt>
                <c:pt idx="11">
                  <c:v>8.93</c:v>
                </c:pt>
                <c:pt idx="12">
                  <c:v>8.8699999999999992</c:v>
                </c:pt>
                <c:pt idx="13">
                  <c:v>8.8699999999999992</c:v>
                </c:pt>
                <c:pt idx="14">
                  <c:v>8.76</c:v>
                </c:pt>
                <c:pt idx="15">
                  <c:v>8.5299999999999994</c:v>
                </c:pt>
                <c:pt idx="16">
                  <c:v>8.91</c:v>
                </c:pt>
                <c:pt idx="17">
                  <c:v>7.87</c:v>
                </c:pt>
                <c:pt idx="18">
                  <c:v>8.1199999999999992</c:v>
                </c:pt>
                <c:pt idx="19">
                  <c:v>8.52</c:v>
                </c:pt>
                <c:pt idx="20">
                  <c:v>8.1199999999999992</c:v>
                </c:pt>
                <c:pt idx="21">
                  <c:v>7.69</c:v>
                </c:pt>
                <c:pt idx="22">
                  <c:v>7.33</c:v>
                </c:pt>
                <c:pt idx="23">
                  <c:v>7.54</c:v>
                </c:pt>
                <c:pt idx="24">
                  <c:v>7.81</c:v>
                </c:pt>
                <c:pt idx="25">
                  <c:v>7.9</c:v>
                </c:pt>
                <c:pt idx="26">
                  <c:v>8.1199999999999992</c:v>
                </c:pt>
                <c:pt idx="27">
                  <c:v>8.31</c:v>
                </c:pt>
                <c:pt idx="28">
                  <c:v>7.55</c:v>
                </c:pt>
                <c:pt idx="30">
                  <c:v>6.97</c:v>
                </c:pt>
                <c:pt idx="31">
                  <c:v>7.21</c:v>
                </c:pt>
                <c:pt idx="32">
                  <c:v>7.29</c:v>
                </c:pt>
                <c:pt idx="33">
                  <c:v>7</c:v>
                </c:pt>
                <c:pt idx="34">
                  <c:v>6.96</c:v>
                </c:pt>
                <c:pt idx="35">
                  <c:v>7.14</c:v>
                </c:pt>
                <c:pt idx="36">
                  <c:v>6.8</c:v>
                </c:pt>
                <c:pt idx="37">
                  <c:v>6.87</c:v>
                </c:pt>
                <c:pt idx="38">
                  <c:v>7.09</c:v>
                </c:pt>
                <c:pt idx="39">
                  <c:v>6.74</c:v>
                </c:pt>
                <c:pt idx="40">
                  <c:v>6.74</c:v>
                </c:pt>
                <c:pt idx="41">
                  <c:v>6.9</c:v>
                </c:pt>
                <c:pt idx="42">
                  <c:v>7.24</c:v>
                </c:pt>
                <c:pt idx="43">
                  <c:v>7.13</c:v>
                </c:pt>
                <c:pt idx="44">
                  <c:v>7.28</c:v>
                </c:pt>
                <c:pt idx="45">
                  <c:v>8</c:v>
                </c:pt>
                <c:pt idx="46">
                  <c:v>8.07</c:v>
                </c:pt>
                <c:pt idx="47">
                  <c:v>8.27</c:v>
                </c:pt>
                <c:pt idx="48">
                  <c:v>8.61</c:v>
                </c:pt>
                <c:pt idx="49">
                  <c:v>9.27</c:v>
                </c:pt>
                <c:pt idx="50">
                  <c:v>9.7100000000000009</c:v>
                </c:pt>
                <c:pt idx="51">
                  <c:v>9.8699999999999992</c:v>
                </c:pt>
                <c:pt idx="52">
                  <c:v>9.9600000000000009</c:v>
                </c:pt>
                <c:pt idx="53">
                  <c:v>10.130000000000001</c:v>
                </c:pt>
                <c:pt idx="54">
                  <c:v>9.98</c:v>
                </c:pt>
                <c:pt idx="55">
                  <c:v>10.119999999999999</c:v>
                </c:pt>
                <c:pt idx="56">
                  <c:v>10.19</c:v>
                </c:pt>
                <c:pt idx="57">
                  <c:v>9.56</c:v>
                </c:pt>
                <c:pt idx="58">
                  <c:v>9.32</c:v>
                </c:pt>
                <c:pt idx="59">
                  <c:v>9.23</c:v>
                </c:pt>
                <c:pt idx="60">
                  <c:v>9.15</c:v>
                </c:pt>
                <c:pt idx="61">
                  <c:v>9.24</c:v>
                </c:pt>
                <c:pt idx="62">
                  <c:v>9.1199999999999992</c:v>
                </c:pt>
                <c:pt idx="63">
                  <c:v>9</c:v>
                </c:pt>
                <c:pt idx="64">
                  <c:v>8.86</c:v>
                </c:pt>
                <c:pt idx="65">
                  <c:v>9.17</c:v>
                </c:pt>
                <c:pt idx="66">
                  <c:v>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1912"/>
        <c:axId val="395918384"/>
      </c:lineChart>
      <c:dateAx>
        <c:axId val="395921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8384"/>
        <c:crosses val="autoZero"/>
        <c:auto val="1"/>
        <c:lblOffset val="100"/>
        <c:baseTimeUnit val="days"/>
      </c:dateAx>
      <c:valAx>
        <c:axId val="3959183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24.2</c:v>
                </c:pt>
                <c:pt idx="1">
                  <c:v>24.07</c:v>
                </c:pt>
                <c:pt idx="2">
                  <c:v>24.03</c:v>
                </c:pt>
                <c:pt idx="3">
                  <c:v>23.14</c:v>
                </c:pt>
                <c:pt idx="4">
                  <c:v>23.3</c:v>
                </c:pt>
                <c:pt idx="5">
                  <c:v>23.26</c:v>
                </c:pt>
                <c:pt idx="6">
                  <c:v>23.56</c:v>
                </c:pt>
                <c:pt idx="7">
                  <c:v>23.28</c:v>
                </c:pt>
                <c:pt idx="8">
                  <c:v>23.07</c:v>
                </c:pt>
                <c:pt idx="9">
                  <c:v>22.56</c:v>
                </c:pt>
                <c:pt idx="10">
                  <c:v>21.99</c:v>
                </c:pt>
                <c:pt idx="11">
                  <c:v>19.82</c:v>
                </c:pt>
                <c:pt idx="12">
                  <c:v>19.559999999999999</c:v>
                </c:pt>
                <c:pt idx="13">
                  <c:v>19.47</c:v>
                </c:pt>
                <c:pt idx="14">
                  <c:v>19</c:v>
                </c:pt>
                <c:pt idx="15">
                  <c:v>18.25</c:v>
                </c:pt>
                <c:pt idx="16">
                  <c:v>17.690000000000001</c:v>
                </c:pt>
                <c:pt idx="17">
                  <c:v>17.010000000000002</c:v>
                </c:pt>
                <c:pt idx="18">
                  <c:v>17.02</c:v>
                </c:pt>
                <c:pt idx="19">
                  <c:v>17.46</c:v>
                </c:pt>
                <c:pt idx="20">
                  <c:v>16.73</c:v>
                </c:pt>
                <c:pt idx="21">
                  <c:v>16.079999999999998</c:v>
                </c:pt>
                <c:pt idx="22">
                  <c:v>15.5</c:v>
                </c:pt>
                <c:pt idx="23">
                  <c:v>15.88</c:v>
                </c:pt>
                <c:pt idx="24">
                  <c:v>15.64</c:v>
                </c:pt>
                <c:pt idx="25">
                  <c:v>16.21</c:v>
                </c:pt>
                <c:pt idx="26">
                  <c:v>17.420000000000002</c:v>
                </c:pt>
                <c:pt idx="27">
                  <c:v>18.510000000000002</c:v>
                </c:pt>
                <c:pt idx="28">
                  <c:v>18.57</c:v>
                </c:pt>
                <c:pt idx="29">
                  <c:v>18.36</c:v>
                </c:pt>
                <c:pt idx="30">
                  <c:v>17.850000000000001</c:v>
                </c:pt>
                <c:pt idx="31">
                  <c:v>17.809999999999999</c:v>
                </c:pt>
                <c:pt idx="32">
                  <c:v>17.09</c:v>
                </c:pt>
                <c:pt idx="33">
                  <c:v>17</c:v>
                </c:pt>
                <c:pt idx="34">
                  <c:v>17.04</c:v>
                </c:pt>
                <c:pt idx="35">
                  <c:v>16.62</c:v>
                </c:pt>
                <c:pt idx="36">
                  <c:v>16.02</c:v>
                </c:pt>
                <c:pt idx="37">
                  <c:v>15.88</c:v>
                </c:pt>
                <c:pt idx="38">
                  <c:v>15.78</c:v>
                </c:pt>
                <c:pt idx="39">
                  <c:v>15.7</c:v>
                </c:pt>
                <c:pt idx="40">
                  <c:v>16.100000000000001</c:v>
                </c:pt>
                <c:pt idx="41">
                  <c:v>16.41</c:v>
                </c:pt>
                <c:pt idx="42">
                  <c:v>16.239999999999998</c:v>
                </c:pt>
                <c:pt idx="43">
                  <c:v>16.73</c:v>
                </c:pt>
                <c:pt idx="44">
                  <c:v>16.21</c:v>
                </c:pt>
                <c:pt idx="45">
                  <c:v>16.55</c:v>
                </c:pt>
                <c:pt idx="46">
                  <c:v>17.190000000000001</c:v>
                </c:pt>
                <c:pt idx="47">
                  <c:v>17.440000000000001</c:v>
                </c:pt>
                <c:pt idx="48">
                  <c:v>17.829999999999998</c:v>
                </c:pt>
                <c:pt idx="49">
                  <c:v>17.920000000000002</c:v>
                </c:pt>
                <c:pt idx="50">
                  <c:v>17.77</c:v>
                </c:pt>
                <c:pt idx="51">
                  <c:v>17.45</c:v>
                </c:pt>
                <c:pt idx="52">
                  <c:v>17.73</c:v>
                </c:pt>
                <c:pt idx="53">
                  <c:v>17.16</c:v>
                </c:pt>
                <c:pt idx="54">
                  <c:v>17.600000000000001</c:v>
                </c:pt>
                <c:pt idx="55">
                  <c:v>17.68</c:v>
                </c:pt>
                <c:pt idx="56">
                  <c:v>17.309999999999999</c:v>
                </c:pt>
                <c:pt idx="57">
                  <c:v>17.190000000000001</c:v>
                </c:pt>
                <c:pt idx="58">
                  <c:v>17.84</c:v>
                </c:pt>
                <c:pt idx="59">
                  <c:v>18.03</c:v>
                </c:pt>
                <c:pt idx="60">
                  <c:v>18.52</c:v>
                </c:pt>
                <c:pt idx="61">
                  <c:v>17.82</c:v>
                </c:pt>
                <c:pt idx="62">
                  <c:v>17.71</c:v>
                </c:pt>
                <c:pt idx="63">
                  <c:v>18.04</c:v>
                </c:pt>
                <c:pt idx="64">
                  <c:v>18.920000000000002</c:v>
                </c:pt>
                <c:pt idx="65">
                  <c:v>18.89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2304"/>
        <c:axId val="395912504"/>
      </c:lineChart>
      <c:dateAx>
        <c:axId val="39592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2504"/>
        <c:crosses val="autoZero"/>
        <c:auto val="1"/>
        <c:lblOffset val="100"/>
        <c:baseTimeUnit val="days"/>
      </c:dateAx>
      <c:valAx>
        <c:axId val="3959125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41.37</c:v>
                </c:pt>
                <c:pt idx="1">
                  <c:v>41.27</c:v>
                </c:pt>
                <c:pt idx="2">
                  <c:v>41.16</c:v>
                </c:pt>
                <c:pt idx="3">
                  <c:v>39.799999999999997</c:v>
                </c:pt>
                <c:pt idx="4">
                  <c:v>39.85</c:v>
                </c:pt>
                <c:pt idx="5">
                  <c:v>38.700000000000003</c:v>
                </c:pt>
                <c:pt idx="6">
                  <c:v>39.590000000000003</c:v>
                </c:pt>
                <c:pt idx="7">
                  <c:v>40.98</c:v>
                </c:pt>
                <c:pt idx="8">
                  <c:v>41.28</c:v>
                </c:pt>
                <c:pt idx="9">
                  <c:v>40.31</c:v>
                </c:pt>
                <c:pt idx="10">
                  <c:v>39.51</c:v>
                </c:pt>
                <c:pt idx="11">
                  <c:v>38.01</c:v>
                </c:pt>
                <c:pt idx="12">
                  <c:v>38.67</c:v>
                </c:pt>
                <c:pt idx="13">
                  <c:v>37.869999999999997</c:v>
                </c:pt>
                <c:pt idx="15">
                  <c:v>37.74</c:v>
                </c:pt>
                <c:pt idx="16">
                  <c:v>37.869999999999997</c:v>
                </c:pt>
                <c:pt idx="17">
                  <c:v>38.11</c:v>
                </c:pt>
                <c:pt idx="18">
                  <c:v>37.46</c:v>
                </c:pt>
                <c:pt idx="19">
                  <c:v>37.5</c:v>
                </c:pt>
                <c:pt idx="20">
                  <c:v>37.43</c:v>
                </c:pt>
                <c:pt idx="21">
                  <c:v>36</c:v>
                </c:pt>
                <c:pt idx="22">
                  <c:v>34.79</c:v>
                </c:pt>
                <c:pt idx="23">
                  <c:v>33.76</c:v>
                </c:pt>
                <c:pt idx="24">
                  <c:v>34.869999999999997</c:v>
                </c:pt>
                <c:pt idx="25">
                  <c:v>34.270000000000003</c:v>
                </c:pt>
                <c:pt idx="26">
                  <c:v>34.26</c:v>
                </c:pt>
                <c:pt idx="27">
                  <c:v>36.43</c:v>
                </c:pt>
                <c:pt idx="28">
                  <c:v>37.520000000000003</c:v>
                </c:pt>
                <c:pt idx="29">
                  <c:v>36.229999999999997</c:v>
                </c:pt>
                <c:pt idx="30">
                  <c:v>37.25</c:v>
                </c:pt>
                <c:pt idx="31">
                  <c:v>39.01</c:v>
                </c:pt>
                <c:pt idx="32">
                  <c:v>38.78</c:v>
                </c:pt>
                <c:pt idx="33">
                  <c:v>37.51</c:v>
                </c:pt>
                <c:pt idx="34">
                  <c:v>37.15</c:v>
                </c:pt>
                <c:pt idx="35">
                  <c:v>38.18</c:v>
                </c:pt>
                <c:pt idx="36">
                  <c:v>37.130000000000003</c:v>
                </c:pt>
                <c:pt idx="37">
                  <c:v>36.97</c:v>
                </c:pt>
                <c:pt idx="38">
                  <c:v>36.85</c:v>
                </c:pt>
                <c:pt idx="39">
                  <c:v>36.07</c:v>
                </c:pt>
                <c:pt idx="40">
                  <c:v>36.200000000000003</c:v>
                </c:pt>
                <c:pt idx="41">
                  <c:v>37.130000000000003</c:v>
                </c:pt>
                <c:pt idx="42">
                  <c:v>37.479999999999997</c:v>
                </c:pt>
                <c:pt idx="43">
                  <c:v>37.97</c:v>
                </c:pt>
                <c:pt idx="44">
                  <c:v>39.97</c:v>
                </c:pt>
                <c:pt idx="45">
                  <c:v>39.35</c:v>
                </c:pt>
                <c:pt idx="46">
                  <c:v>39.380000000000003</c:v>
                </c:pt>
                <c:pt idx="47">
                  <c:v>40.33</c:v>
                </c:pt>
                <c:pt idx="48">
                  <c:v>42.22</c:v>
                </c:pt>
                <c:pt idx="49">
                  <c:v>43.42</c:v>
                </c:pt>
                <c:pt idx="50">
                  <c:v>43.44</c:v>
                </c:pt>
                <c:pt idx="51">
                  <c:v>44.08</c:v>
                </c:pt>
                <c:pt idx="52">
                  <c:v>43.75</c:v>
                </c:pt>
                <c:pt idx="53">
                  <c:v>44.24</c:v>
                </c:pt>
                <c:pt idx="54">
                  <c:v>44.37</c:v>
                </c:pt>
                <c:pt idx="55">
                  <c:v>43.61</c:v>
                </c:pt>
                <c:pt idx="56">
                  <c:v>44.27</c:v>
                </c:pt>
                <c:pt idx="57">
                  <c:v>44.43</c:v>
                </c:pt>
                <c:pt idx="58">
                  <c:v>44.8</c:v>
                </c:pt>
                <c:pt idx="59">
                  <c:v>44.71</c:v>
                </c:pt>
                <c:pt idx="60">
                  <c:v>44.82</c:v>
                </c:pt>
                <c:pt idx="61">
                  <c:v>45.18</c:v>
                </c:pt>
                <c:pt idx="62">
                  <c:v>44.13</c:v>
                </c:pt>
                <c:pt idx="63">
                  <c:v>42.15</c:v>
                </c:pt>
                <c:pt idx="64">
                  <c:v>45.28</c:v>
                </c:pt>
                <c:pt idx="65">
                  <c:v>47.22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2696"/>
        <c:axId val="395923480"/>
      </c:lineChart>
      <c:dateAx>
        <c:axId val="395922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3480"/>
        <c:crosses val="autoZero"/>
        <c:auto val="1"/>
        <c:lblOffset val="100"/>
        <c:baseTimeUnit val="days"/>
      </c:dateAx>
      <c:valAx>
        <c:axId val="3959234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57.29</c:v>
                </c:pt>
                <c:pt idx="1">
                  <c:v>58.54</c:v>
                </c:pt>
                <c:pt idx="2">
                  <c:v>58.5</c:v>
                </c:pt>
                <c:pt idx="3">
                  <c:v>57.37</c:v>
                </c:pt>
                <c:pt idx="4">
                  <c:v>58.14</c:v>
                </c:pt>
                <c:pt idx="5">
                  <c:v>56.75</c:v>
                </c:pt>
                <c:pt idx="6">
                  <c:v>57.43</c:v>
                </c:pt>
                <c:pt idx="7">
                  <c:v>57.16</c:v>
                </c:pt>
                <c:pt idx="8">
                  <c:v>57.19</c:v>
                </c:pt>
                <c:pt idx="9">
                  <c:v>57.84</c:v>
                </c:pt>
                <c:pt idx="10">
                  <c:v>57.29</c:v>
                </c:pt>
                <c:pt idx="11">
                  <c:v>56.65</c:v>
                </c:pt>
                <c:pt idx="12">
                  <c:v>56.58</c:v>
                </c:pt>
                <c:pt idx="13">
                  <c:v>56.47</c:v>
                </c:pt>
                <c:pt idx="14">
                  <c:v>55.44</c:v>
                </c:pt>
                <c:pt idx="15">
                  <c:v>54.77</c:v>
                </c:pt>
                <c:pt idx="16">
                  <c:v>54.82</c:v>
                </c:pt>
                <c:pt idx="17">
                  <c:v>52.73</c:v>
                </c:pt>
                <c:pt idx="18">
                  <c:v>53.24</c:v>
                </c:pt>
                <c:pt idx="19">
                  <c:v>52.49</c:v>
                </c:pt>
                <c:pt idx="20">
                  <c:v>50.76</c:v>
                </c:pt>
                <c:pt idx="21">
                  <c:v>49.57</c:v>
                </c:pt>
                <c:pt idx="22">
                  <c:v>49.14</c:v>
                </c:pt>
                <c:pt idx="23">
                  <c:v>50.16</c:v>
                </c:pt>
                <c:pt idx="24">
                  <c:v>50.23</c:v>
                </c:pt>
                <c:pt idx="25">
                  <c:v>50.2</c:v>
                </c:pt>
                <c:pt idx="26">
                  <c:v>51.84</c:v>
                </c:pt>
                <c:pt idx="27">
                  <c:v>51.72</c:v>
                </c:pt>
                <c:pt idx="28">
                  <c:v>51.72</c:v>
                </c:pt>
                <c:pt idx="29">
                  <c:v>50.11</c:v>
                </c:pt>
                <c:pt idx="30">
                  <c:v>40.44</c:v>
                </c:pt>
                <c:pt idx="31">
                  <c:v>39.9</c:v>
                </c:pt>
                <c:pt idx="32">
                  <c:v>38.729999999999997</c:v>
                </c:pt>
                <c:pt idx="33">
                  <c:v>38.03</c:v>
                </c:pt>
                <c:pt idx="34">
                  <c:v>37.79</c:v>
                </c:pt>
                <c:pt idx="35">
                  <c:v>36.729999999999997</c:v>
                </c:pt>
                <c:pt idx="36">
                  <c:v>38.409999999999997</c:v>
                </c:pt>
                <c:pt idx="37">
                  <c:v>37.51</c:v>
                </c:pt>
                <c:pt idx="38">
                  <c:v>36.49</c:v>
                </c:pt>
                <c:pt idx="39">
                  <c:v>35.76</c:v>
                </c:pt>
                <c:pt idx="40">
                  <c:v>35.57</c:v>
                </c:pt>
                <c:pt idx="41">
                  <c:v>36.11</c:v>
                </c:pt>
                <c:pt idx="42">
                  <c:v>36.15</c:v>
                </c:pt>
                <c:pt idx="43">
                  <c:v>37.520000000000003</c:v>
                </c:pt>
                <c:pt idx="44">
                  <c:v>37.14</c:v>
                </c:pt>
                <c:pt idx="45">
                  <c:v>37.79</c:v>
                </c:pt>
                <c:pt idx="46">
                  <c:v>38.96</c:v>
                </c:pt>
                <c:pt idx="47">
                  <c:v>39.76</c:v>
                </c:pt>
                <c:pt idx="48">
                  <c:v>40.72</c:v>
                </c:pt>
                <c:pt idx="49">
                  <c:v>40.369999999999997</c:v>
                </c:pt>
                <c:pt idx="50">
                  <c:v>40.06</c:v>
                </c:pt>
                <c:pt idx="51">
                  <c:v>40.22</c:v>
                </c:pt>
                <c:pt idx="52">
                  <c:v>41.01</c:v>
                </c:pt>
                <c:pt idx="53">
                  <c:v>40.630000000000003</c:v>
                </c:pt>
                <c:pt idx="54">
                  <c:v>40.86</c:v>
                </c:pt>
                <c:pt idx="55">
                  <c:v>41.63</c:v>
                </c:pt>
                <c:pt idx="56">
                  <c:v>40.82</c:v>
                </c:pt>
                <c:pt idx="57">
                  <c:v>40.33</c:v>
                </c:pt>
                <c:pt idx="58">
                  <c:v>39.700000000000003</c:v>
                </c:pt>
                <c:pt idx="59">
                  <c:v>39.43</c:v>
                </c:pt>
                <c:pt idx="60">
                  <c:v>40.94</c:v>
                </c:pt>
                <c:pt idx="61">
                  <c:v>40.479999999999997</c:v>
                </c:pt>
                <c:pt idx="62">
                  <c:v>40.15</c:v>
                </c:pt>
                <c:pt idx="63">
                  <c:v>40.39</c:v>
                </c:pt>
                <c:pt idx="64">
                  <c:v>42.22</c:v>
                </c:pt>
                <c:pt idx="65">
                  <c:v>41.94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6616"/>
        <c:axId val="395928184"/>
      </c:lineChart>
      <c:dateAx>
        <c:axId val="395926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8184"/>
        <c:crosses val="autoZero"/>
        <c:auto val="1"/>
        <c:lblOffset val="100"/>
        <c:baseTimeUnit val="days"/>
      </c:dateAx>
      <c:valAx>
        <c:axId val="3959281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65.92</c:v>
                </c:pt>
                <c:pt idx="1">
                  <c:v>64.95</c:v>
                </c:pt>
                <c:pt idx="2">
                  <c:v>65.52</c:v>
                </c:pt>
                <c:pt idx="3">
                  <c:v>64.260000000000005</c:v>
                </c:pt>
                <c:pt idx="4">
                  <c:v>64.53</c:v>
                </c:pt>
                <c:pt idx="5">
                  <c:v>64.58</c:v>
                </c:pt>
                <c:pt idx="6">
                  <c:v>65.03</c:v>
                </c:pt>
                <c:pt idx="7">
                  <c:v>65.38</c:v>
                </c:pt>
                <c:pt idx="8">
                  <c:v>65.31</c:v>
                </c:pt>
                <c:pt idx="9">
                  <c:v>65.41</c:v>
                </c:pt>
                <c:pt idx="10">
                  <c:v>64.81</c:v>
                </c:pt>
                <c:pt idx="11">
                  <c:v>63.46</c:v>
                </c:pt>
                <c:pt idx="12">
                  <c:v>64.319999999999993</c:v>
                </c:pt>
                <c:pt idx="13">
                  <c:v>64.41</c:v>
                </c:pt>
                <c:pt idx="15">
                  <c:v>63.95</c:v>
                </c:pt>
                <c:pt idx="16">
                  <c:v>63.73</c:v>
                </c:pt>
                <c:pt idx="17">
                  <c:v>64.44</c:v>
                </c:pt>
                <c:pt idx="18">
                  <c:v>64</c:v>
                </c:pt>
                <c:pt idx="19">
                  <c:v>64.3</c:v>
                </c:pt>
                <c:pt idx="20">
                  <c:v>65.02</c:v>
                </c:pt>
                <c:pt idx="21">
                  <c:v>64.569999999999993</c:v>
                </c:pt>
                <c:pt idx="22">
                  <c:v>63.91</c:v>
                </c:pt>
                <c:pt idx="23">
                  <c:v>62.32</c:v>
                </c:pt>
                <c:pt idx="24">
                  <c:v>62.98</c:v>
                </c:pt>
                <c:pt idx="25">
                  <c:v>63.01</c:v>
                </c:pt>
                <c:pt idx="26">
                  <c:v>63.33</c:v>
                </c:pt>
                <c:pt idx="27">
                  <c:v>63.37</c:v>
                </c:pt>
                <c:pt idx="28">
                  <c:v>62.05</c:v>
                </c:pt>
                <c:pt idx="29">
                  <c:v>59.64</c:v>
                </c:pt>
                <c:pt idx="30">
                  <c:v>59.97</c:v>
                </c:pt>
                <c:pt idx="31">
                  <c:v>60.53</c:v>
                </c:pt>
                <c:pt idx="32">
                  <c:v>60.6</c:v>
                </c:pt>
                <c:pt idx="33">
                  <c:v>59.22</c:v>
                </c:pt>
                <c:pt idx="34">
                  <c:v>58.41</c:v>
                </c:pt>
                <c:pt idx="35">
                  <c:v>58.18</c:v>
                </c:pt>
                <c:pt idx="36">
                  <c:v>57.7</c:v>
                </c:pt>
                <c:pt idx="37">
                  <c:v>58.53</c:v>
                </c:pt>
                <c:pt idx="38">
                  <c:v>58.15</c:v>
                </c:pt>
                <c:pt idx="39">
                  <c:v>57.99</c:v>
                </c:pt>
                <c:pt idx="40">
                  <c:v>58.44</c:v>
                </c:pt>
                <c:pt idx="41">
                  <c:v>58.13</c:v>
                </c:pt>
                <c:pt idx="42">
                  <c:v>58.42</c:v>
                </c:pt>
                <c:pt idx="43">
                  <c:v>57.91</c:v>
                </c:pt>
                <c:pt idx="44">
                  <c:v>58.65</c:v>
                </c:pt>
                <c:pt idx="45">
                  <c:v>58.02</c:v>
                </c:pt>
                <c:pt idx="46">
                  <c:v>58.23</c:v>
                </c:pt>
                <c:pt idx="47">
                  <c:v>58.44</c:v>
                </c:pt>
                <c:pt idx="48">
                  <c:v>59.85</c:v>
                </c:pt>
                <c:pt idx="49">
                  <c:v>60.53</c:v>
                </c:pt>
                <c:pt idx="50">
                  <c:v>60.67</c:v>
                </c:pt>
                <c:pt idx="51">
                  <c:v>62.09</c:v>
                </c:pt>
                <c:pt idx="52">
                  <c:v>62.81</c:v>
                </c:pt>
                <c:pt idx="53">
                  <c:v>63.19</c:v>
                </c:pt>
                <c:pt idx="54">
                  <c:v>62.64</c:v>
                </c:pt>
                <c:pt idx="55">
                  <c:v>63.14</c:v>
                </c:pt>
                <c:pt idx="56">
                  <c:v>62.89</c:v>
                </c:pt>
                <c:pt idx="57">
                  <c:v>62.5</c:v>
                </c:pt>
                <c:pt idx="58">
                  <c:v>61.3</c:v>
                </c:pt>
                <c:pt idx="59">
                  <c:v>61.33</c:v>
                </c:pt>
                <c:pt idx="60">
                  <c:v>62.37</c:v>
                </c:pt>
                <c:pt idx="61">
                  <c:v>63.38</c:v>
                </c:pt>
                <c:pt idx="62">
                  <c:v>62.7</c:v>
                </c:pt>
                <c:pt idx="63">
                  <c:v>61.39</c:v>
                </c:pt>
                <c:pt idx="64">
                  <c:v>61.47</c:v>
                </c:pt>
                <c:pt idx="65">
                  <c:v>62.48</c:v>
                </c:pt>
                <c:pt idx="66">
                  <c:v>62.9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5048"/>
        <c:axId val="395925440"/>
      </c:lineChart>
      <c:catAx>
        <c:axId val="395925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5440"/>
        <c:crosses val="autoZero"/>
        <c:auto val="1"/>
        <c:lblAlgn val="ctr"/>
        <c:lblOffset val="100"/>
        <c:noMultiLvlLbl val="0"/>
      </c:catAx>
      <c:valAx>
        <c:axId val="39592544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2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3/15/2016</c:v>
                </c:pt>
                <c:pt idx="1">
                  <c:v>3/14/2016</c:v>
                </c:pt>
                <c:pt idx="2">
                  <c:v>3/11/2016</c:v>
                </c:pt>
                <c:pt idx="3">
                  <c:v>3/10/2016</c:v>
                </c:pt>
                <c:pt idx="4">
                  <c:v>3/9/2016</c:v>
                </c:pt>
                <c:pt idx="5">
                  <c:v>3/8/2016</c:v>
                </c:pt>
                <c:pt idx="6">
                  <c:v>3/7/2016</c:v>
                </c:pt>
                <c:pt idx="7">
                  <c:v>3/4/2016</c:v>
                </c:pt>
                <c:pt idx="8">
                  <c:v>3/3/2016</c:v>
                </c:pt>
                <c:pt idx="9">
                  <c:v>3/2/2016</c:v>
                </c:pt>
                <c:pt idx="10">
                  <c:v>3/1/2016</c:v>
                </c:pt>
                <c:pt idx="11">
                  <c:v>2/29/2016</c:v>
                </c:pt>
                <c:pt idx="12">
                  <c:v>2/26/2016</c:v>
                </c:pt>
                <c:pt idx="13">
                  <c:v>2/25/2016</c:v>
                </c:pt>
                <c:pt idx="14">
                  <c:v>2/24/2016</c:v>
                </c:pt>
                <c:pt idx="15">
                  <c:v>2/23/2016</c:v>
                </c:pt>
                <c:pt idx="16">
                  <c:v>2/22/2016</c:v>
                </c:pt>
                <c:pt idx="17">
                  <c:v>2/19/2016</c:v>
                </c:pt>
                <c:pt idx="18">
                  <c:v>2/18/2016</c:v>
                </c:pt>
                <c:pt idx="19">
                  <c:v>2/17/2016</c:v>
                </c:pt>
                <c:pt idx="20">
                  <c:v>2/16/2016</c:v>
                </c:pt>
                <c:pt idx="21">
                  <c:v>2/12/2016</c:v>
                </c:pt>
                <c:pt idx="22">
                  <c:v>2/11/2016</c:v>
                </c:pt>
                <c:pt idx="23">
                  <c:v>2/10/2016</c:v>
                </c:pt>
                <c:pt idx="24">
                  <c:v>2/9/2016</c:v>
                </c:pt>
                <c:pt idx="25">
                  <c:v>2/8/2016</c:v>
                </c:pt>
                <c:pt idx="26">
                  <c:v>2/5/2016</c:v>
                </c:pt>
                <c:pt idx="27">
                  <c:v>2/4/2016</c:v>
                </c:pt>
                <c:pt idx="28">
                  <c:v>2/3/2016</c:v>
                </c:pt>
                <c:pt idx="29">
                  <c:v>2/3/2016</c:v>
                </c:pt>
                <c:pt idx="30">
                  <c:v>2/2/2016</c:v>
                </c:pt>
                <c:pt idx="31">
                  <c:v>2/1/2016</c:v>
                </c:pt>
                <c:pt idx="32">
                  <c:v>1/29/2016</c:v>
                </c:pt>
                <c:pt idx="33">
                  <c:v>1/28/2016</c:v>
                </c:pt>
                <c:pt idx="34">
                  <c:v>1/27/2016</c:v>
                </c:pt>
                <c:pt idx="35">
                  <c:v>1/26/2016</c:v>
                </c:pt>
                <c:pt idx="36">
                  <c:v>1/25/2016</c:v>
                </c:pt>
                <c:pt idx="37">
                  <c:v>1/22/2016</c:v>
                </c:pt>
                <c:pt idx="38">
                  <c:v>1/21/2016</c:v>
                </c:pt>
                <c:pt idx="39">
                  <c:v>1/20/2016</c:v>
                </c:pt>
                <c:pt idx="40">
                  <c:v>1/19/2016</c:v>
                </c:pt>
                <c:pt idx="41">
                  <c:v>1/15/2016</c:v>
                </c:pt>
                <c:pt idx="42">
                  <c:v>1/14/2016</c:v>
                </c:pt>
                <c:pt idx="43">
                  <c:v>1/13/2016</c:v>
                </c:pt>
                <c:pt idx="44">
                  <c:v>1/12/2016</c:v>
                </c:pt>
                <c:pt idx="45">
                  <c:v>1/11/2016</c:v>
                </c:pt>
                <c:pt idx="46">
                  <c:v>1/8/2016</c:v>
                </c:pt>
                <c:pt idx="47">
                  <c:v>1/7/2016</c:v>
                </c:pt>
                <c:pt idx="48">
                  <c:v>1/6/2016</c:v>
                </c:pt>
                <c:pt idx="49">
                  <c:v>1/5/2016</c:v>
                </c:pt>
                <c:pt idx="50">
                  <c:v>1/4/2016</c:v>
                </c:pt>
                <c:pt idx="51">
                  <c:v>12/31/2015</c:v>
                </c:pt>
                <c:pt idx="52">
                  <c:v>12/30/2015</c:v>
                </c:pt>
                <c:pt idx="53">
                  <c:v>12/29/2015</c:v>
                </c:pt>
                <c:pt idx="54">
                  <c:v>12/28/2015</c:v>
                </c:pt>
                <c:pt idx="55">
                  <c:v>12/24/2015</c:v>
                </c:pt>
                <c:pt idx="56">
                  <c:v>12/23/2015</c:v>
                </c:pt>
                <c:pt idx="57">
                  <c:v>12/22/2015</c:v>
                </c:pt>
                <c:pt idx="58">
                  <c:v>12/21/2015</c:v>
                </c:pt>
                <c:pt idx="59">
                  <c:v>12/18/2015</c:v>
                </c:pt>
                <c:pt idx="60">
                  <c:v>12/17/2015</c:v>
                </c:pt>
                <c:pt idx="61">
                  <c:v>12/16/2015</c:v>
                </c:pt>
                <c:pt idx="62">
                  <c:v>12/15/2015</c:v>
                </c:pt>
                <c:pt idx="63">
                  <c:v>12/14/2015</c:v>
                </c:pt>
                <c:pt idx="64">
                  <c:v>12/11/2015</c:v>
                </c:pt>
                <c:pt idx="65">
                  <c:v>12/10/2015</c:v>
                </c:pt>
                <c:pt idx="66">
                  <c:v>12/9/2015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</c:v>
                </c:pt>
                <c:pt idx="1">
                  <c:v>78.97</c:v>
                </c:pt>
                <c:pt idx="2">
                  <c:v>79.010000000000005</c:v>
                </c:pt>
                <c:pt idx="3">
                  <c:v>75.760000000000005</c:v>
                </c:pt>
                <c:pt idx="4">
                  <c:v>75.75</c:v>
                </c:pt>
                <c:pt idx="5">
                  <c:v>76.36</c:v>
                </c:pt>
                <c:pt idx="6">
                  <c:v>79.72</c:v>
                </c:pt>
                <c:pt idx="7">
                  <c:v>77.400000000000006</c:v>
                </c:pt>
                <c:pt idx="8">
                  <c:v>77</c:v>
                </c:pt>
                <c:pt idx="9">
                  <c:v>76.400000000000006</c:v>
                </c:pt>
                <c:pt idx="10">
                  <c:v>75.31</c:v>
                </c:pt>
                <c:pt idx="11">
                  <c:v>73.17</c:v>
                </c:pt>
                <c:pt idx="12">
                  <c:v>74.7</c:v>
                </c:pt>
                <c:pt idx="13">
                  <c:v>73.67</c:v>
                </c:pt>
                <c:pt idx="14">
                  <c:v>73.94</c:v>
                </c:pt>
                <c:pt idx="15">
                  <c:v>73.87</c:v>
                </c:pt>
                <c:pt idx="16">
                  <c:v>75.959999999999994</c:v>
                </c:pt>
                <c:pt idx="17">
                  <c:v>75</c:v>
                </c:pt>
                <c:pt idx="18">
                  <c:v>74.83</c:v>
                </c:pt>
                <c:pt idx="19">
                  <c:v>75.77</c:v>
                </c:pt>
                <c:pt idx="20">
                  <c:v>73.989999999999995</c:v>
                </c:pt>
                <c:pt idx="21">
                  <c:v>72.56</c:v>
                </c:pt>
                <c:pt idx="22">
                  <c:v>71.67</c:v>
                </c:pt>
                <c:pt idx="23">
                  <c:v>73.02</c:v>
                </c:pt>
                <c:pt idx="24">
                  <c:v>71.42</c:v>
                </c:pt>
                <c:pt idx="25">
                  <c:v>70.489999999999995</c:v>
                </c:pt>
                <c:pt idx="26">
                  <c:v>70.14</c:v>
                </c:pt>
                <c:pt idx="27">
                  <c:v>69.37</c:v>
                </c:pt>
                <c:pt idx="28">
                  <c:v>67.319999999999993</c:v>
                </c:pt>
                <c:pt idx="30">
                  <c:v>66.599999999999994</c:v>
                </c:pt>
                <c:pt idx="31">
                  <c:v>70.19</c:v>
                </c:pt>
                <c:pt idx="32">
                  <c:v>70.5</c:v>
                </c:pt>
                <c:pt idx="33">
                  <c:v>70.11</c:v>
                </c:pt>
                <c:pt idx="34">
                  <c:v>69.89</c:v>
                </c:pt>
                <c:pt idx="35">
                  <c:v>68.900000000000006</c:v>
                </c:pt>
                <c:pt idx="36">
                  <c:v>67.73</c:v>
                </c:pt>
                <c:pt idx="37">
                  <c:v>68.59</c:v>
                </c:pt>
                <c:pt idx="38">
                  <c:v>70.069999999999993</c:v>
                </c:pt>
                <c:pt idx="39">
                  <c:v>71.180000000000007</c:v>
                </c:pt>
                <c:pt idx="40">
                  <c:v>71.849999999999994</c:v>
                </c:pt>
                <c:pt idx="41">
                  <c:v>71.77</c:v>
                </c:pt>
                <c:pt idx="42">
                  <c:v>72.150000000000006</c:v>
                </c:pt>
                <c:pt idx="43">
                  <c:v>71.44</c:v>
                </c:pt>
                <c:pt idx="44">
                  <c:v>75.930000000000007</c:v>
                </c:pt>
                <c:pt idx="45">
                  <c:v>75.97</c:v>
                </c:pt>
                <c:pt idx="46">
                  <c:v>77.790000000000006</c:v>
                </c:pt>
                <c:pt idx="47">
                  <c:v>78</c:v>
                </c:pt>
                <c:pt idx="48">
                  <c:v>79.48</c:v>
                </c:pt>
                <c:pt idx="49">
                  <c:v>82.27</c:v>
                </c:pt>
                <c:pt idx="50">
                  <c:v>81.81</c:v>
                </c:pt>
                <c:pt idx="51">
                  <c:v>84.59</c:v>
                </c:pt>
                <c:pt idx="52">
                  <c:v>84.86</c:v>
                </c:pt>
                <c:pt idx="53">
                  <c:v>85.56</c:v>
                </c:pt>
                <c:pt idx="54">
                  <c:v>85.59</c:v>
                </c:pt>
                <c:pt idx="55">
                  <c:v>86.78</c:v>
                </c:pt>
                <c:pt idx="56">
                  <c:v>86.85</c:v>
                </c:pt>
                <c:pt idx="57">
                  <c:v>86.07</c:v>
                </c:pt>
                <c:pt idx="58">
                  <c:v>84.08</c:v>
                </c:pt>
                <c:pt idx="59">
                  <c:v>84.27</c:v>
                </c:pt>
                <c:pt idx="60">
                  <c:v>85.06</c:v>
                </c:pt>
                <c:pt idx="61">
                  <c:v>89.79</c:v>
                </c:pt>
                <c:pt idx="62">
                  <c:v>91.02</c:v>
                </c:pt>
                <c:pt idx="63">
                  <c:v>89.35</c:v>
                </c:pt>
                <c:pt idx="64">
                  <c:v>89.44</c:v>
                </c:pt>
                <c:pt idx="65">
                  <c:v>87.68</c:v>
                </c:pt>
                <c:pt idx="66">
                  <c:v>87.55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23576"/>
        <c:axId val="359320440"/>
      </c:lineChart>
      <c:catAx>
        <c:axId val="359323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20440"/>
        <c:crosses val="autoZero"/>
        <c:auto val="1"/>
        <c:lblAlgn val="ctr"/>
        <c:lblOffset val="100"/>
        <c:noMultiLvlLbl val="0"/>
      </c:catAx>
      <c:valAx>
        <c:axId val="3593204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2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27.37</c:v>
                </c:pt>
                <c:pt idx="1">
                  <c:v>26.93</c:v>
                </c:pt>
                <c:pt idx="2">
                  <c:v>25.69</c:v>
                </c:pt>
                <c:pt idx="3">
                  <c:v>26.15</c:v>
                </c:pt>
                <c:pt idx="4">
                  <c:v>26.2</c:v>
                </c:pt>
                <c:pt idx="5">
                  <c:v>25.08</c:v>
                </c:pt>
                <c:pt idx="6">
                  <c:v>24.19</c:v>
                </c:pt>
                <c:pt idx="7">
                  <c:v>22.39</c:v>
                </c:pt>
                <c:pt idx="8">
                  <c:v>22.49</c:v>
                </c:pt>
                <c:pt idx="9">
                  <c:v>19.46</c:v>
                </c:pt>
                <c:pt idx="10">
                  <c:v>18.010000000000002</c:v>
                </c:pt>
                <c:pt idx="11">
                  <c:v>18.43</c:v>
                </c:pt>
                <c:pt idx="12">
                  <c:v>18.8</c:v>
                </c:pt>
                <c:pt idx="13">
                  <c:v>18.64</c:v>
                </c:pt>
                <c:pt idx="14">
                  <c:v>18.899999999999999</c:v>
                </c:pt>
                <c:pt idx="15">
                  <c:v>17.95</c:v>
                </c:pt>
                <c:pt idx="16">
                  <c:v>19.079999999999998</c:v>
                </c:pt>
                <c:pt idx="17">
                  <c:v>18.82</c:v>
                </c:pt>
                <c:pt idx="18">
                  <c:v>20.05</c:v>
                </c:pt>
                <c:pt idx="19">
                  <c:v>20.79</c:v>
                </c:pt>
                <c:pt idx="20">
                  <c:v>18.37</c:v>
                </c:pt>
                <c:pt idx="21">
                  <c:v>17.38</c:v>
                </c:pt>
                <c:pt idx="22">
                  <c:v>16.670000000000002</c:v>
                </c:pt>
                <c:pt idx="23">
                  <c:v>18.63</c:v>
                </c:pt>
                <c:pt idx="24">
                  <c:v>26.35</c:v>
                </c:pt>
                <c:pt idx="25">
                  <c:v>27.94</c:v>
                </c:pt>
                <c:pt idx="26">
                  <c:v>29.57</c:v>
                </c:pt>
                <c:pt idx="27">
                  <c:v>29.49</c:v>
                </c:pt>
                <c:pt idx="28">
                  <c:v>31.36</c:v>
                </c:pt>
                <c:pt idx="29">
                  <c:v>32.04</c:v>
                </c:pt>
                <c:pt idx="30">
                  <c:v>33.76</c:v>
                </c:pt>
                <c:pt idx="31">
                  <c:v>35.65</c:v>
                </c:pt>
                <c:pt idx="32">
                  <c:v>35.619999999999997</c:v>
                </c:pt>
                <c:pt idx="33">
                  <c:v>32.840000000000003</c:v>
                </c:pt>
                <c:pt idx="34">
                  <c:v>34.24</c:v>
                </c:pt>
                <c:pt idx="35">
                  <c:v>30.62</c:v>
                </c:pt>
                <c:pt idx="36">
                  <c:v>32.04</c:v>
                </c:pt>
                <c:pt idx="37">
                  <c:v>31.77</c:v>
                </c:pt>
                <c:pt idx="38">
                  <c:v>33.82</c:v>
                </c:pt>
                <c:pt idx="39">
                  <c:v>31.09</c:v>
                </c:pt>
                <c:pt idx="40">
                  <c:v>35.200000000000003</c:v>
                </c:pt>
                <c:pt idx="41">
                  <c:v>37.119999999999997</c:v>
                </c:pt>
                <c:pt idx="42">
                  <c:v>42.76</c:v>
                </c:pt>
                <c:pt idx="43">
                  <c:v>44.72</c:v>
                </c:pt>
                <c:pt idx="44">
                  <c:v>47.69</c:v>
                </c:pt>
                <c:pt idx="45">
                  <c:v>48.81</c:v>
                </c:pt>
                <c:pt idx="46">
                  <c:v>47.07</c:v>
                </c:pt>
                <c:pt idx="47">
                  <c:v>50.2</c:v>
                </c:pt>
                <c:pt idx="48">
                  <c:v>50.44</c:v>
                </c:pt>
                <c:pt idx="49">
                  <c:v>52.79</c:v>
                </c:pt>
                <c:pt idx="50">
                  <c:v>51.02</c:v>
                </c:pt>
                <c:pt idx="51">
                  <c:v>50.8</c:v>
                </c:pt>
                <c:pt idx="52">
                  <c:v>49.74</c:v>
                </c:pt>
                <c:pt idx="53">
                  <c:v>51.31</c:v>
                </c:pt>
                <c:pt idx="54">
                  <c:v>51.98</c:v>
                </c:pt>
                <c:pt idx="55">
                  <c:v>51.48</c:v>
                </c:pt>
                <c:pt idx="56">
                  <c:v>51.32</c:v>
                </c:pt>
                <c:pt idx="57">
                  <c:v>55.09</c:v>
                </c:pt>
                <c:pt idx="58">
                  <c:v>56.91</c:v>
                </c:pt>
                <c:pt idx="59">
                  <c:v>57.26</c:v>
                </c:pt>
                <c:pt idx="60">
                  <c:v>53.69</c:v>
                </c:pt>
                <c:pt idx="61">
                  <c:v>40.049999999999997</c:v>
                </c:pt>
                <c:pt idx="62">
                  <c:v>41.59</c:v>
                </c:pt>
                <c:pt idx="63">
                  <c:v>37.04</c:v>
                </c:pt>
                <c:pt idx="64">
                  <c:v>36.65</c:v>
                </c:pt>
                <c:pt idx="65">
                  <c:v>35.840000000000003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22008"/>
        <c:axId val="359319656"/>
      </c:lineChart>
      <c:dateAx>
        <c:axId val="359322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9656"/>
        <c:crosses val="autoZero"/>
        <c:auto val="1"/>
        <c:lblOffset val="100"/>
        <c:baseTimeUnit val="days"/>
      </c:dateAx>
      <c:valAx>
        <c:axId val="35931965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2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9.58</c:v>
                </c:pt>
                <c:pt idx="1">
                  <c:v>9.7100000000000009</c:v>
                </c:pt>
                <c:pt idx="2">
                  <c:v>9.49</c:v>
                </c:pt>
                <c:pt idx="3">
                  <c:v>9.3000000000000007</c:v>
                </c:pt>
                <c:pt idx="4">
                  <c:v>9.3000000000000007</c:v>
                </c:pt>
                <c:pt idx="5">
                  <c:v>9.4</c:v>
                </c:pt>
                <c:pt idx="6">
                  <c:v>9.41</c:v>
                </c:pt>
                <c:pt idx="7">
                  <c:v>9.5500000000000007</c:v>
                </c:pt>
                <c:pt idx="8">
                  <c:v>9.4</c:v>
                </c:pt>
                <c:pt idx="9">
                  <c:v>9.2799999999999994</c:v>
                </c:pt>
                <c:pt idx="10">
                  <c:v>9.19</c:v>
                </c:pt>
                <c:pt idx="11">
                  <c:v>9.09</c:v>
                </c:pt>
                <c:pt idx="12">
                  <c:v>9.2899999999999991</c:v>
                </c:pt>
                <c:pt idx="13">
                  <c:v>9.3000000000000007</c:v>
                </c:pt>
                <c:pt idx="14">
                  <c:v>9.25</c:v>
                </c:pt>
                <c:pt idx="15">
                  <c:v>9.15</c:v>
                </c:pt>
                <c:pt idx="16">
                  <c:v>9.08</c:v>
                </c:pt>
                <c:pt idx="17">
                  <c:v>8.8000000000000007</c:v>
                </c:pt>
                <c:pt idx="18">
                  <c:v>8.99</c:v>
                </c:pt>
                <c:pt idx="19">
                  <c:v>8.9499999999999993</c:v>
                </c:pt>
                <c:pt idx="20">
                  <c:v>9</c:v>
                </c:pt>
                <c:pt idx="21">
                  <c:v>8.89</c:v>
                </c:pt>
                <c:pt idx="22">
                  <c:v>8.67</c:v>
                </c:pt>
                <c:pt idx="23">
                  <c:v>8.89</c:v>
                </c:pt>
                <c:pt idx="24">
                  <c:v>8.89</c:v>
                </c:pt>
                <c:pt idx="25">
                  <c:v>9.06</c:v>
                </c:pt>
                <c:pt idx="26">
                  <c:v>8.81</c:v>
                </c:pt>
                <c:pt idx="27">
                  <c:v>9.0399999999999991</c:v>
                </c:pt>
                <c:pt idx="28">
                  <c:v>8.82</c:v>
                </c:pt>
                <c:pt idx="29">
                  <c:v>9.1</c:v>
                </c:pt>
                <c:pt idx="30">
                  <c:v>9.2899999999999991</c:v>
                </c:pt>
                <c:pt idx="31">
                  <c:v>9.1999999999999993</c:v>
                </c:pt>
                <c:pt idx="32">
                  <c:v>9.1300000000000008</c:v>
                </c:pt>
                <c:pt idx="33">
                  <c:v>8.3000000000000007</c:v>
                </c:pt>
                <c:pt idx="34">
                  <c:v>8.1300000000000008</c:v>
                </c:pt>
                <c:pt idx="35">
                  <c:v>8.11</c:v>
                </c:pt>
                <c:pt idx="36">
                  <c:v>8.3000000000000007</c:v>
                </c:pt>
                <c:pt idx="37">
                  <c:v>8.0399999999999991</c:v>
                </c:pt>
                <c:pt idx="38">
                  <c:v>7.9</c:v>
                </c:pt>
                <c:pt idx="39">
                  <c:v>8.23</c:v>
                </c:pt>
                <c:pt idx="40">
                  <c:v>7.93</c:v>
                </c:pt>
                <c:pt idx="41">
                  <c:v>8.2799999999999994</c:v>
                </c:pt>
                <c:pt idx="42">
                  <c:v>8.08</c:v>
                </c:pt>
                <c:pt idx="43">
                  <c:v>8.14</c:v>
                </c:pt>
                <c:pt idx="44">
                  <c:v>7.94</c:v>
                </c:pt>
                <c:pt idx="45">
                  <c:v>7.85</c:v>
                </c:pt>
                <c:pt idx="46">
                  <c:v>7.8</c:v>
                </c:pt>
                <c:pt idx="47">
                  <c:v>8</c:v>
                </c:pt>
                <c:pt idx="48">
                  <c:v>8.2799999999999994</c:v>
                </c:pt>
                <c:pt idx="49">
                  <c:v>7.92</c:v>
                </c:pt>
                <c:pt idx="50">
                  <c:v>8.3000000000000007</c:v>
                </c:pt>
                <c:pt idx="51">
                  <c:v>8.35</c:v>
                </c:pt>
                <c:pt idx="52">
                  <c:v>8.56</c:v>
                </c:pt>
                <c:pt idx="53">
                  <c:v>8.43</c:v>
                </c:pt>
                <c:pt idx="54">
                  <c:v>8.4600000000000009</c:v>
                </c:pt>
                <c:pt idx="55">
                  <c:v>8.56</c:v>
                </c:pt>
                <c:pt idx="56">
                  <c:v>8.4700000000000006</c:v>
                </c:pt>
                <c:pt idx="57">
                  <c:v>8.49</c:v>
                </c:pt>
                <c:pt idx="58">
                  <c:v>8.56</c:v>
                </c:pt>
                <c:pt idx="59">
                  <c:v>8.69</c:v>
                </c:pt>
                <c:pt idx="60">
                  <c:v>8.85</c:v>
                </c:pt>
                <c:pt idx="61">
                  <c:v>8.74</c:v>
                </c:pt>
                <c:pt idx="62">
                  <c:v>8.81</c:v>
                </c:pt>
                <c:pt idx="63">
                  <c:v>8.85</c:v>
                </c:pt>
                <c:pt idx="64">
                  <c:v>8.9499999999999993</c:v>
                </c:pt>
                <c:pt idx="65">
                  <c:v>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16912"/>
        <c:axId val="359318872"/>
      </c:lineChart>
      <c:dateAx>
        <c:axId val="359316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8872"/>
        <c:crosses val="autoZero"/>
        <c:auto val="1"/>
        <c:lblOffset val="100"/>
        <c:baseTimeUnit val="days"/>
      </c:dateAx>
      <c:valAx>
        <c:axId val="35931887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24-Feb-16</c:v>
                </c:pt>
                <c:pt idx="15">
                  <c:v>23-Feb-16</c:v>
                </c:pt>
                <c:pt idx="16">
                  <c:v>22-Feb-16</c:v>
                </c:pt>
                <c:pt idx="17">
                  <c:v>19-Feb-16</c:v>
                </c:pt>
                <c:pt idx="18">
                  <c:v>18-Feb-16</c:v>
                </c:pt>
                <c:pt idx="19">
                  <c:v>17-Feb-16</c:v>
                </c:pt>
                <c:pt idx="20">
                  <c:v>16-Feb-16</c:v>
                </c:pt>
                <c:pt idx="21">
                  <c:v>12-Feb-16</c:v>
                </c:pt>
                <c:pt idx="22">
                  <c:v>11-Feb-16</c:v>
                </c:pt>
                <c:pt idx="23">
                  <c:v>10-Feb-16</c:v>
                </c:pt>
                <c:pt idx="24">
                  <c:v>9-Feb-16</c:v>
                </c:pt>
                <c:pt idx="25">
                  <c:v>8-Feb-16</c:v>
                </c:pt>
                <c:pt idx="26">
                  <c:v>5-Feb-16</c:v>
                </c:pt>
                <c:pt idx="27">
                  <c:v>4-Feb-16</c:v>
                </c:pt>
                <c:pt idx="28">
                  <c:v>3-Feb-16</c:v>
                </c:pt>
                <c:pt idx="29">
                  <c:v>2-Feb-16</c:v>
                </c:pt>
                <c:pt idx="30">
                  <c:v>1-Feb-16</c:v>
                </c:pt>
                <c:pt idx="31">
                  <c:v>29-Jan-16</c:v>
                </c:pt>
                <c:pt idx="32">
                  <c:v>28-Jan-16</c:v>
                </c:pt>
                <c:pt idx="33">
                  <c:v>27-Jan-16</c:v>
                </c:pt>
                <c:pt idx="34">
                  <c:v>26-Jan-16</c:v>
                </c:pt>
                <c:pt idx="35">
                  <c:v>25-Jan-16</c:v>
                </c:pt>
                <c:pt idx="36">
                  <c:v>22-Jan-16</c:v>
                </c:pt>
                <c:pt idx="37">
                  <c:v>21-Jan-16</c:v>
                </c:pt>
                <c:pt idx="38">
                  <c:v>20-Jan-16</c:v>
                </c:pt>
                <c:pt idx="39">
                  <c:v>19-Jan-16</c:v>
                </c:pt>
                <c:pt idx="40">
                  <c:v>15-Jan-16</c:v>
                </c:pt>
                <c:pt idx="41">
                  <c:v>14-Jan-16</c:v>
                </c:pt>
                <c:pt idx="42">
                  <c:v>13-Jan-16</c:v>
                </c:pt>
                <c:pt idx="43">
                  <c:v>12-Jan-16</c:v>
                </c:pt>
                <c:pt idx="44">
                  <c:v>11-Jan-16</c:v>
                </c:pt>
                <c:pt idx="45">
                  <c:v>8-Jan-16</c:v>
                </c:pt>
                <c:pt idx="46">
                  <c:v>7-Jan-16</c:v>
                </c:pt>
                <c:pt idx="47">
                  <c:v>6-Jan-16</c:v>
                </c:pt>
                <c:pt idx="48">
                  <c:v>5-Jan-16</c:v>
                </c:pt>
                <c:pt idx="49">
                  <c:v>4-Jan-16</c:v>
                </c:pt>
                <c:pt idx="50">
                  <c:v>31-Dec-15</c:v>
                </c:pt>
                <c:pt idx="51">
                  <c:v>30-Dec-15</c:v>
                </c:pt>
                <c:pt idx="52">
                  <c:v>29-Dec-15</c:v>
                </c:pt>
                <c:pt idx="53">
                  <c:v>28-Dec-15</c:v>
                </c:pt>
                <c:pt idx="54">
                  <c:v>24-Dec-15</c:v>
                </c:pt>
                <c:pt idx="55">
                  <c:v>23-Dec-15</c:v>
                </c:pt>
                <c:pt idx="56">
                  <c:v>22-Dec-15</c:v>
                </c:pt>
                <c:pt idx="57">
                  <c:v>21-Dec-15</c:v>
                </c:pt>
                <c:pt idx="58">
                  <c:v>18-Dec-15</c:v>
                </c:pt>
                <c:pt idx="59">
                  <c:v>17-Dec-15</c:v>
                </c:pt>
                <c:pt idx="60">
                  <c:v>16-Dec-15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148.47</c:v>
                </c:pt>
                <c:pt idx="1">
                  <c:v>148.13999999999999</c:v>
                </c:pt>
                <c:pt idx="2">
                  <c:v>148.82</c:v>
                </c:pt>
                <c:pt idx="3">
                  <c:v>144.41999999999999</c:v>
                </c:pt>
                <c:pt idx="4">
                  <c:v>141.96</c:v>
                </c:pt>
                <c:pt idx="5">
                  <c:v>139.63</c:v>
                </c:pt>
                <c:pt idx="6">
                  <c:v>143.51</c:v>
                </c:pt>
                <c:pt idx="7">
                  <c:v>146.06</c:v>
                </c:pt>
                <c:pt idx="8">
                  <c:v>137.33000000000001</c:v>
                </c:pt>
                <c:pt idx="9">
                  <c:v>136.97</c:v>
                </c:pt>
                <c:pt idx="10">
                  <c:v>138.43</c:v>
                </c:pt>
                <c:pt idx="11">
                  <c:v>133.97</c:v>
                </c:pt>
                <c:pt idx="12">
                  <c:v>133.11000000000001</c:v>
                </c:pt>
                <c:pt idx="13">
                  <c:v>132.47</c:v>
                </c:pt>
                <c:pt idx="14">
                  <c:v>130.34</c:v>
                </c:pt>
                <c:pt idx="15">
                  <c:v>128.16</c:v>
                </c:pt>
                <c:pt idx="16">
                  <c:v>130.63999999999999</c:v>
                </c:pt>
                <c:pt idx="17">
                  <c:v>128.66999999999999</c:v>
                </c:pt>
                <c:pt idx="18">
                  <c:v>127.07</c:v>
                </c:pt>
                <c:pt idx="19">
                  <c:v>130.68</c:v>
                </c:pt>
                <c:pt idx="20">
                  <c:v>126.24</c:v>
                </c:pt>
                <c:pt idx="21">
                  <c:v>121.66</c:v>
                </c:pt>
                <c:pt idx="22">
                  <c:v>116.31</c:v>
                </c:pt>
                <c:pt idx="23">
                  <c:v>119.2</c:v>
                </c:pt>
                <c:pt idx="24">
                  <c:v>119.71</c:v>
                </c:pt>
                <c:pt idx="25">
                  <c:v>121.86</c:v>
                </c:pt>
                <c:pt idx="26">
                  <c:v>128.36000000000001</c:v>
                </c:pt>
                <c:pt idx="27">
                  <c:v>136.12</c:v>
                </c:pt>
                <c:pt idx="28">
                  <c:v>131.36000000000001</c:v>
                </c:pt>
                <c:pt idx="29">
                  <c:v>133.24</c:v>
                </c:pt>
                <c:pt idx="30">
                  <c:v>137.68</c:v>
                </c:pt>
                <c:pt idx="31">
                  <c:v>133.71</c:v>
                </c:pt>
                <c:pt idx="32">
                  <c:v>126.37</c:v>
                </c:pt>
                <c:pt idx="33">
                  <c:v>122.35</c:v>
                </c:pt>
                <c:pt idx="34">
                  <c:v>124.39</c:v>
                </c:pt>
                <c:pt idx="35">
                  <c:v>124.49</c:v>
                </c:pt>
                <c:pt idx="36">
                  <c:v>124.51</c:v>
                </c:pt>
                <c:pt idx="37">
                  <c:v>124.53</c:v>
                </c:pt>
                <c:pt idx="38">
                  <c:v>123.83</c:v>
                </c:pt>
                <c:pt idx="39">
                  <c:v>120.07</c:v>
                </c:pt>
                <c:pt idx="40">
                  <c:v>119.97</c:v>
                </c:pt>
                <c:pt idx="41">
                  <c:v>125.19</c:v>
                </c:pt>
                <c:pt idx="42">
                  <c:v>123.31</c:v>
                </c:pt>
                <c:pt idx="43">
                  <c:v>129.91999999999999</c:v>
                </c:pt>
                <c:pt idx="44">
                  <c:v>128.04</c:v>
                </c:pt>
                <c:pt idx="45">
                  <c:v>128.19999999999999</c:v>
                </c:pt>
                <c:pt idx="46">
                  <c:v>129.05000000000001</c:v>
                </c:pt>
                <c:pt idx="47">
                  <c:v>133.29</c:v>
                </c:pt>
                <c:pt idx="48">
                  <c:v>137.52000000000001</c:v>
                </c:pt>
                <c:pt idx="49">
                  <c:v>142.28</c:v>
                </c:pt>
                <c:pt idx="50">
                  <c:v>145.15</c:v>
                </c:pt>
                <c:pt idx="51">
                  <c:v>147.37</c:v>
                </c:pt>
                <c:pt idx="52">
                  <c:v>147.94</c:v>
                </c:pt>
                <c:pt idx="53">
                  <c:v>146.35</c:v>
                </c:pt>
                <c:pt idx="54">
                  <c:v>146.32</c:v>
                </c:pt>
                <c:pt idx="55">
                  <c:v>146.51</c:v>
                </c:pt>
                <c:pt idx="56">
                  <c:v>145.1</c:v>
                </c:pt>
                <c:pt idx="57">
                  <c:v>145.80000000000001</c:v>
                </c:pt>
                <c:pt idx="58">
                  <c:v>140.19999999999999</c:v>
                </c:pt>
                <c:pt idx="59">
                  <c:v>140.47999999999999</c:v>
                </c:pt>
                <c:pt idx="60">
                  <c:v>143.88</c:v>
                </c:pt>
                <c:pt idx="62">
                  <c:v>143.27000000000001</c:v>
                </c:pt>
                <c:pt idx="63">
                  <c:v>142.51</c:v>
                </c:pt>
                <c:pt idx="64">
                  <c:v>144.41999999999999</c:v>
                </c:pt>
                <c:pt idx="65">
                  <c:v>147.33000000000001</c:v>
                </c:pt>
                <c:pt idx="66">
                  <c:v>145.65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07896"/>
        <c:axId val="359320048"/>
      </c:lineChart>
      <c:catAx>
        <c:axId val="359307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20048"/>
        <c:crosses val="autoZero"/>
        <c:auto val="1"/>
        <c:lblAlgn val="ctr"/>
        <c:lblOffset val="100"/>
        <c:noMultiLvlLbl val="0"/>
      </c:catAx>
      <c:valAx>
        <c:axId val="3593200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0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24-Feb-16</c:v>
                </c:pt>
                <c:pt idx="15">
                  <c:v>23-Feb-16</c:v>
                </c:pt>
                <c:pt idx="16">
                  <c:v>22-Feb-16</c:v>
                </c:pt>
                <c:pt idx="17">
                  <c:v>19-Feb-16</c:v>
                </c:pt>
                <c:pt idx="18">
                  <c:v>18-Feb-16</c:v>
                </c:pt>
                <c:pt idx="19">
                  <c:v>17-Feb-16</c:v>
                </c:pt>
                <c:pt idx="20">
                  <c:v>16-Feb-16</c:v>
                </c:pt>
                <c:pt idx="21">
                  <c:v>12-Feb-16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47.76</c:v>
                </c:pt>
                <c:pt idx="1">
                  <c:v>47.89</c:v>
                </c:pt>
                <c:pt idx="2">
                  <c:v>47.69</c:v>
                </c:pt>
                <c:pt idx="3">
                  <c:v>47</c:v>
                </c:pt>
                <c:pt idx="4">
                  <c:v>46.74</c:v>
                </c:pt>
                <c:pt idx="5">
                  <c:v>46.22</c:v>
                </c:pt>
                <c:pt idx="6">
                  <c:v>48.39</c:v>
                </c:pt>
                <c:pt idx="7">
                  <c:v>48.67</c:v>
                </c:pt>
                <c:pt idx="8">
                  <c:v>48.79</c:v>
                </c:pt>
                <c:pt idx="9">
                  <c:v>48.55</c:v>
                </c:pt>
                <c:pt idx="10">
                  <c:v>48.9</c:v>
                </c:pt>
                <c:pt idx="11">
                  <c:v>48.24</c:v>
                </c:pt>
                <c:pt idx="12">
                  <c:v>47.86</c:v>
                </c:pt>
                <c:pt idx="13">
                  <c:v>49.2</c:v>
                </c:pt>
                <c:pt idx="14">
                  <c:v>48.94</c:v>
                </c:pt>
                <c:pt idx="15">
                  <c:v>48.95</c:v>
                </c:pt>
                <c:pt idx="16">
                  <c:v>48.82</c:v>
                </c:pt>
                <c:pt idx="17">
                  <c:v>46.72</c:v>
                </c:pt>
                <c:pt idx="18">
                  <c:v>46.46</c:v>
                </c:pt>
                <c:pt idx="19">
                  <c:v>46.1</c:v>
                </c:pt>
                <c:pt idx="20">
                  <c:v>44.58</c:v>
                </c:pt>
                <c:pt idx="21">
                  <c:v>42.99</c:v>
                </c:pt>
                <c:pt idx="23">
                  <c:v>42.7</c:v>
                </c:pt>
                <c:pt idx="24">
                  <c:v>43.27</c:v>
                </c:pt>
                <c:pt idx="25">
                  <c:v>41.98</c:v>
                </c:pt>
                <c:pt idx="26">
                  <c:v>40.770000000000003</c:v>
                </c:pt>
                <c:pt idx="27">
                  <c:v>42.01</c:v>
                </c:pt>
                <c:pt idx="28">
                  <c:v>44.04</c:v>
                </c:pt>
                <c:pt idx="29">
                  <c:v>43.8</c:v>
                </c:pt>
                <c:pt idx="30">
                  <c:v>43.61</c:v>
                </c:pt>
                <c:pt idx="31">
                  <c:v>45.21</c:v>
                </c:pt>
                <c:pt idx="32">
                  <c:v>44.29</c:v>
                </c:pt>
                <c:pt idx="33">
                  <c:v>43.2</c:v>
                </c:pt>
                <c:pt idx="34">
                  <c:v>44.72</c:v>
                </c:pt>
                <c:pt idx="35">
                  <c:v>46.11</c:v>
                </c:pt>
                <c:pt idx="36">
                  <c:v>45.94</c:v>
                </c:pt>
                <c:pt idx="37">
                  <c:v>46.76</c:v>
                </c:pt>
                <c:pt idx="38">
                  <c:v>46.52</c:v>
                </c:pt>
                <c:pt idx="39">
                  <c:v>45.69</c:v>
                </c:pt>
                <c:pt idx="40">
                  <c:v>45.96</c:v>
                </c:pt>
                <c:pt idx="41">
                  <c:v>44.5</c:v>
                </c:pt>
                <c:pt idx="42">
                  <c:v>45.34</c:v>
                </c:pt>
                <c:pt idx="43">
                  <c:v>44.94</c:v>
                </c:pt>
                <c:pt idx="44">
                  <c:v>46.96</c:v>
                </c:pt>
                <c:pt idx="45">
                  <c:v>46.74</c:v>
                </c:pt>
                <c:pt idx="46">
                  <c:v>46.61</c:v>
                </c:pt>
                <c:pt idx="47">
                  <c:v>47</c:v>
                </c:pt>
                <c:pt idx="48">
                  <c:v>48.93</c:v>
                </c:pt>
                <c:pt idx="49">
                  <c:v>48.57</c:v>
                </c:pt>
                <c:pt idx="50">
                  <c:v>48.66</c:v>
                </c:pt>
                <c:pt idx="51">
                  <c:v>50.69</c:v>
                </c:pt>
                <c:pt idx="52">
                  <c:v>51.17</c:v>
                </c:pt>
                <c:pt idx="53">
                  <c:v>52.17</c:v>
                </c:pt>
                <c:pt idx="54">
                  <c:v>51.95</c:v>
                </c:pt>
                <c:pt idx="55">
                  <c:v>52.26</c:v>
                </c:pt>
                <c:pt idx="56">
                  <c:v>51.74</c:v>
                </c:pt>
                <c:pt idx="57">
                  <c:v>51.75</c:v>
                </c:pt>
                <c:pt idx="58">
                  <c:v>51.46</c:v>
                </c:pt>
                <c:pt idx="59">
                  <c:v>49.96</c:v>
                </c:pt>
                <c:pt idx="60">
                  <c:v>51.03</c:v>
                </c:pt>
                <c:pt idx="61">
                  <c:v>52.12</c:v>
                </c:pt>
                <c:pt idx="62">
                  <c:v>51.15</c:v>
                </c:pt>
                <c:pt idx="63">
                  <c:v>50.18</c:v>
                </c:pt>
                <c:pt idx="64">
                  <c:v>49.28</c:v>
                </c:pt>
                <c:pt idx="65">
                  <c:v>51.28</c:v>
                </c:pt>
                <c:pt idx="66">
                  <c:v>49.51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18480"/>
        <c:axId val="359309072"/>
      </c:lineChart>
      <c:catAx>
        <c:axId val="359318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09072"/>
        <c:crosses val="autoZero"/>
        <c:auto val="1"/>
        <c:lblAlgn val="ctr"/>
        <c:lblOffset val="100"/>
        <c:noMultiLvlLbl val="0"/>
      </c:catAx>
      <c:valAx>
        <c:axId val="35930907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98.24</c:v>
                </c:pt>
                <c:pt idx="1">
                  <c:v>98.81</c:v>
                </c:pt>
                <c:pt idx="2">
                  <c:v>97.94</c:v>
                </c:pt>
                <c:pt idx="3">
                  <c:v>97.04</c:v>
                </c:pt>
                <c:pt idx="4">
                  <c:v>97.66</c:v>
                </c:pt>
                <c:pt idx="5">
                  <c:v>97.82</c:v>
                </c:pt>
                <c:pt idx="6">
                  <c:v>99.39</c:v>
                </c:pt>
                <c:pt idx="7">
                  <c:v>98.48</c:v>
                </c:pt>
                <c:pt idx="8">
                  <c:v>98.82</c:v>
                </c:pt>
                <c:pt idx="9">
                  <c:v>97</c:v>
                </c:pt>
                <c:pt idx="10">
                  <c:v>97.65</c:v>
                </c:pt>
                <c:pt idx="11">
                  <c:v>95.52</c:v>
                </c:pt>
                <c:pt idx="12">
                  <c:v>95.31</c:v>
                </c:pt>
                <c:pt idx="13">
                  <c:v>95.65</c:v>
                </c:pt>
                <c:pt idx="14">
                  <c:v>95.43</c:v>
                </c:pt>
                <c:pt idx="15">
                  <c:v>95.38</c:v>
                </c:pt>
                <c:pt idx="16">
                  <c:v>96.37</c:v>
                </c:pt>
                <c:pt idx="17">
                  <c:v>95.01</c:v>
                </c:pt>
                <c:pt idx="18">
                  <c:v>95.17</c:v>
                </c:pt>
                <c:pt idx="19">
                  <c:v>95.5</c:v>
                </c:pt>
                <c:pt idx="20">
                  <c:v>92.91</c:v>
                </c:pt>
                <c:pt idx="21">
                  <c:v>91.15</c:v>
                </c:pt>
                <c:pt idx="22">
                  <c:v>90.31</c:v>
                </c:pt>
                <c:pt idx="23">
                  <c:v>88.85</c:v>
                </c:pt>
                <c:pt idx="24">
                  <c:v>92.32</c:v>
                </c:pt>
                <c:pt idx="25">
                  <c:v>92.12</c:v>
                </c:pt>
                <c:pt idx="26">
                  <c:v>93.9</c:v>
                </c:pt>
                <c:pt idx="27">
                  <c:v>95.43</c:v>
                </c:pt>
                <c:pt idx="28">
                  <c:v>95.14</c:v>
                </c:pt>
                <c:pt idx="29">
                  <c:v>93.12</c:v>
                </c:pt>
                <c:pt idx="30">
                  <c:v>95.15</c:v>
                </c:pt>
                <c:pt idx="31">
                  <c:v>95.82</c:v>
                </c:pt>
                <c:pt idx="32">
                  <c:v>93.53</c:v>
                </c:pt>
                <c:pt idx="33">
                  <c:v>94.32</c:v>
                </c:pt>
                <c:pt idx="34">
                  <c:v>96.27</c:v>
                </c:pt>
                <c:pt idx="35">
                  <c:v>95.29</c:v>
                </c:pt>
                <c:pt idx="36">
                  <c:v>96.9</c:v>
                </c:pt>
                <c:pt idx="37">
                  <c:v>94.02</c:v>
                </c:pt>
                <c:pt idx="38">
                  <c:v>92.54</c:v>
                </c:pt>
                <c:pt idx="39">
                  <c:v>93.97</c:v>
                </c:pt>
                <c:pt idx="40">
                  <c:v>93.9</c:v>
                </c:pt>
                <c:pt idx="41">
                  <c:v>99.11</c:v>
                </c:pt>
                <c:pt idx="42">
                  <c:v>98.48</c:v>
                </c:pt>
                <c:pt idx="43">
                  <c:v>101.46</c:v>
                </c:pt>
                <c:pt idx="44">
                  <c:v>99.92</c:v>
                </c:pt>
                <c:pt idx="45">
                  <c:v>99.25</c:v>
                </c:pt>
                <c:pt idx="46">
                  <c:v>99.5</c:v>
                </c:pt>
                <c:pt idx="47">
                  <c:v>100.36</c:v>
                </c:pt>
                <c:pt idx="48">
                  <c:v>100.9</c:v>
                </c:pt>
                <c:pt idx="49">
                  <c:v>102.98</c:v>
                </c:pt>
                <c:pt idx="50">
                  <c:v>105.08</c:v>
                </c:pt>
                <c:pt idx="51">
                  <c:v>106.34</c:v>
                </c:pt>
                <c:pt idx="52">
                  <c:v>107.08</c:v>
                </c:pt>
                <c:pt idx="53">
                  <c:v>107.25</c:v>
                </c:pt>
                <c:pt idx="54">
                  <c:v>105.86</c:v>
                </c:pt>
                <c:pt idx="55">
                  <c:v>105.56</c:v>
                </c:pt>
                <c:pt idx="56">
                  <c:v>106.74</c:v>
                </c:pt>
                <c:pt idx="57">
                  <c:v>106.59</c:v>
                </c:pt>
                <c:pt idx="58">
                  <c:v>107.72</c:v>
                </c:pt>
                <c:pt idx="59">
                  <c:v>112.01</c:v>
                </c:pt>
                <c:pt idx="60">
                  <c:v>113.79</c:v>
                </c:pt>
                <c:pt idx="61">
                  <c:v>112.16</c:v>
                </c:pt>
                <c:pt idx="62">
                  <c:v>109.35</c:v>
                </c:pt>
                <c:pt idx="63">
                  <c:v>108.04</c:v>
                </c:pt>
                <c:pt idx="64">
                  <c:v>110.76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14168"/>
        <c:axId val="359310640"/>
      </c:lineChart>
      <c:dateAx>
        <c:axId val="35931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0640"/>
        <c:crosses val="autoZero"/>
        <c:auto val="1"/>
        <c:lblOffset val="100"/>
        <c:baseTimeUnit val="days"/>
      </c:dateAx>
      <c:valAx>
        <c:axId val="3593106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42349</c:v>
                </c:pt>
                <c:pt idx="66">
                  <c:v>42348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5.16</c:v>
                </c:pt>
                <c:pt idx="1">
                  <c:v>5.34</c:v>
                </c:pt>
                <c:pt idx="2">
                  <c:v>5.38</c:v>
                </c:pt>
                <c:pt idx="3">
                  <c:v>5.32</c:v>
                </c:pt>
                <c:pt idx="4">
                  <c:v>5.17</c:v>
                </c:pt>
                <c:pt idx="6">
                  <c:v>5.65</c:v>
                </c:pt>
                <c:pt idx="7">
                  <c:v>5.79</c:v>
                </c:pt>
                <c:pt idx="8">
                  <c:v>5.57</c:v>
                </c:pt>
                <c:pt idx="9">
                  <c:v>5.69</c:v>
                </c:pt>
                <c:pt idx="10">
                  <c:v>5.63</c:v>
                </c:pt>
                <c:pt idx="11">
                  <c:v>5.47</c:v>
                </c:pt>
                <c:pt idx="12">
                  <c:v>5.41</c:v>
                </c:pt>
                <c:pt idx="13">
                  <c:v>5.43</c:v>
                </c:pt>
                <c:pt idx="14">
                  <c:v>5.31</c:v>
                </c:pt>
                <c:pt idx="15">
                  <c:v>5.3</c:v>
                </c:pt>
                <c:pt idx="16">
                  <c:v>5.08</c:v>
                </c:pt>
                <c:pt idx="17">
                  <c:v>4.51</c:v>
                </c:pt>
                <c:pt idx="18">
                  <c:v>4.4400000000000004</c:v>
                </c:pt>
                <c:pt idx="19">
                  <c:v>4.54</c:v>
                </c:pt>
                <c:pt idx="20">
                  <c:v>4.42</c:v>
                </c:pt>
                <c:pt idx="21">
                  <c:v>4.25</c:v>
                </c:pt>
                <c:pt idx="22">
                  <c:v>4.24</c:v>
                </c:pt>
                <c:pt idx="23">
                  <c:v>4.17</c:v>
                </c:pt>
                <c:pt idx="24">
                  <c:v>4.17</c:v>
                </c:pt>
                <c:pt idx="25">
                  <c:v>4.32</c:v>
                </c:pt>
                <c:pt idx="26">
                  <c:v>4.32</c:v>
                </c:pt>
                <c:pt idx="27">
                  <c:v>4.68</c:v>
                </c:pt>
                <c:pt idx="28">
                  <c:v>4.7</c:v>
                </c:pt>
                <c:pt idx="29">
                  <c:v>4.5999999999999996</c:v>
                </c:pt>
                <c:pt idx="30">
                  <c:v>4.3499999999999996</c:v>
                </c:pt>
                <c:pt idx="31">
                  <c:v>4.58</c:v>
                </c:pt>
                <c:pt idx="32">
                  <c:v>4.55</c:v>
                </c:pt>
                <c:pt idx="33">
                  <c:v>4.51</c:v>
                </c:pt>
                <c:pt idx="34">
                  <c:v>4.45</c:v>
                </c:pt>
                <c:pt idx="35">
                  <c:v>4.42</c:v>
                </c:pt>
                <c:pt idx="36">
                  <c:v>4.1900000000000004</c:v>
                </c:pt>
                <c:pt idx="37">
                  <c:v>4.3600000000000003</c:v>
                </c:pt>
                <c:pt idx="38">
                  <c:v>4</c:v>
                </c:pt>
                <c:pt idx="39">
                  <c:v>3.94</c:v>
                </c:pt>
                <c:pt idx="40">
                  <c:v>4.18</c:v>
                </c:pt>
                <c:pt idx="41">
                  <c:v>4.24</c:v>
                </c:pt>
                <c:pt idx="42">
                  <c:v>4.37</c:v>
                </c:pt>
                <c:pt idx="43">
                  <c:v>4.17</c:v>
                </c:pt>
                <c:pt idx="44">
                  <c:v>4.38</c:v>
                </c:pt>
                <c:pt idx="45">
                  <c:v>4.51</c:v>
                </c:pt>
                <c:pt idx="46">
                  <c:v>4.67</c:v>
                </c:pt>
                <c:pt idx="47">
                  <c:v>4.6900000000000004</c:v>
                </c:pt>
                <c:pt idx="48">
                  <c:v>4.76</c:v>
                </c:pt>
                <c:pt idx="49">
                  <c:v>4.72</c:v>
                </c:pt>
                <c:pt idx="50">
                  <c:v>4.6500000000000004</c:v>
                </c:pt>
                <c:pt idx="51">
                  <c:v>4.67</c:v>
                </c:pt>
                <c:pt idx="52">
                  <c:v>4.66</c:v>
                </c:pt>
                <c:pt idx="53">
                  <c:v>4.82</c:v>
                </c:pt>
                <c:pt idx="54">
                  <c:v>4.8499999999999996</c:v>
                </c:pt>
                <c:pt idx="55">
                  <c:v>4.8600000000000003</c:v>
                </c:pt>
                <c:pt idx="56">
                  <c:v>4.8499999999999996</c:v>
                </c:pt>
                <c:pt idx="57">
                  <c:v>4.6500000000000004</c:v>
                </c:pt>
                <c:pt idx="58">
                  <c:v>4.6399999999999997</c:v>
                </c:pt>
                <c:pt idx="59">
                  <c:v>4.6399999999999997</c:v>
                </c:pt>
                <c:pt idx="60">
                  <c:v>4.79</c:v>
                </c:pt>
                <c:pt idx="61">
                  <c:v>4.74</c:v>
                </c:pt>
                <c:pt idx="62">
                  <c:v>4.5199999999999996</c:v>
                </c:pt>
                <c:pt idx="63">
                  <c:v>4.5</c:v>
                </c:pt>
                <c:pt idx="64">
                  <c:v>4.57</c:v>
                </c:pt>
                <c:pt idx="66">
                  <c:v>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15736"/>
        <c:axId val="359316128"/>
      </c:lineChart>
      <c:dateAx>
        <c:axId val="359315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6128"/>
        <c:crosses val="autoZero"/>
        <c:auto val="1"/>
        <c:lblOffset val="100"/>
        <c:baseTimeUnit val="days"/>
      </c:dateAx>
      <c:valAx>
        <c:axId val="3593161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1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15-Mar-16</c:v>
                </c:pt>
                <c:pt idx="1">
                  <c:v>14-Mar-16</c:v>
                </c:pt>
                <c:pt idx="2">
                  <c:v>14-Mar-16</c:v>
                </c:pt>
                <c:pt idx="3">
                  <c:v>11-Mar-16</c:v>
                </c:pt>
                <c:pt idx="4">
                  <c:v>10-Mar-16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14-Dec-15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9-Dec-15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89.44</c:v>
                </c:pt>
                <c:pt idx="1">
                  <c:v>90.46</c:v>
                </c:pt>
                <c:pt idx="3">
                  <c:v>89.65</c:v>
                </c:pt>
                <c:pt idx="4">
                  <c:v>88.64</c:v>
                </c:pt>
                <c:pt idx="5">
                  <c:v>87.83</c:v>
                </c:pt>
                <c:pt idx="6">
                  <c:v>88.66</c:v>
                </c:pt>
                <c:pt idx="7">
                  <c:v>89.65</c:v>
                </c:pt>
                <c:pt idx="8">
                  <c:v>87.21</c:v>
                </c:pt>
                <c:pt idx="9">
                  <c:v>87.83</c:v>
                </c:pt>
                <c:pt idx="10">
                  <c:v>88.8</c:v>
                </c:pt>
                <c:pt idx="11">
                  <c:v>89.69</c:v>
                </c:pt>
                <c:pt idx="12">
                  <c:v>87.25</c:v>
                </c:pt>
                <c:pt idx="13">
                  <c:v>88.1</c:v>
                </c:pt>
                <c:pt idx="14">
                  <c:v>90.16</c:v>
                </c:pt>
                <c:pt idx="15">
                  <c:v>89.36</c:v>
                </c:pt>
                <c:pt idx="16">
                  <c:v>88.35</c:v>
                </c:pt>
                <c:pt idx="17">
                  <c:v>89.1</c:v>
                </c:pt>
                <c:pt idx="18">
                  <c:v>87.44</c:v>
                </c:pt>
                <c:pt idx="19">
                  <c:v>88.99</c:v>
                </c:pt>
                <c:pt idx="20">
                  <c:v>89.36</c:v>
                </c:pt>
                <c:pt idx="21">
                  <c:v>91.15</c:v>
                </c:pt>
                <c:pt idx="22">
                  <c:v>89.44</c:v>
                </c:pt>
                <c:pt idx="23">
                  <c:v>87.36</c:v>
                </c:pt>
                <c:pt idx="24">
                  <c:v>87.8</c:v>
                </c:pt>
                <c:pt idx="25">
                  <c:v>87.25</c:v>
                </c:pt>
                <c:pt idx="26">
                  <c:v>85.26</c:v>
                </c:pt>
                <c:pt idx="27">
                  <c:v>85.14</c:v>
                </c:pt>
                <c:pt idx="28">
                  <c:v>86.68</c:v>
                </c:pt>
                <c:pt idx="29">
                  <c:v>86.39</c:v>
                </c:pt>
                <c:pt idx="30">
                  <c:v>82.71</c:v>
                </c:pt>
                <c:pt idx="31">
                  <c:v>84.05</c:v>
                </c:pt>
                <c:pt idx="32">
                  <c:v>83</c:v>
                </c:pt>
                <c:pt idx="33">
                  <c:v>87.53</c:v>
                </c:pt>
                <c:pt idx="34">
                  <c:v>89.63</c:v>
                </c:pt>
                <c:pt idx="35">
                  <c:v>92.21</c:v>
                </c:pt>
                <c:pt idx="36">
                  <c:v>90.61</c:v>
                </c:pt>
                <c:pt idx="37">
                  <c:v>91.83</c:v>
                </c:pt>
                <c:pt idx="38">
                  <c:v>88.87</c:v>
                </c:pt>
                <c:pt idx="39">
                  <c:v>90.55</c:v>
                </c:pt>
                <c:pt idx="40">
                  <c:v>89.9</c:v>
                </c:pt>
                <c:pt idx="41">
                  <c:v>91.84</c:v>
                </c:pt>
                <c:pt idx="42">
                  <c:v>93.02</c:v>
                </c:pt>
                <c:pt idx="43">
                  <c:v>92.54</c:v>
                </c:pt>
                <c:pt idx="44">
                  <c:v>97.1</c:v>
                </c:pt>
                <c:pt idx="45">
                  <c:v>96.5</c:v>
                </c:pt>
                <c:pt idx="46">
                  <c:v>96.45</c:v>
                </c:pt>
                <c:pt idx="47">
                  <c:v>96.25</c:v>
                </c:pt>
                <c:pt idx="48">
                  <c:v>100.3</c:v>
                </c:pt>
                <c:pt idx="49">
                  <c:v>99.26</c:v>
                </c:pt>
                <c:pt idx="50">
                  <c:v>98.01</c:v>
                </c:pt>
                <c:pt idx="51">
                  <c:v>101.19</c:v>
                </c:pt>
                <c:pt idx="52">
                  <c:v>102.16</c:v>
                </c:pt>
                <c:pt idx="53">
                  <c:v>103.36</c:v>
                </c:pt>
                <c:pt idx="54">
                  <c:v>101.68</c:v>
                </c:pt>
                <c:pt idx="55">
                  <c:v>103.58</c:v>
                </c:pt>
                <c:pt idx="56">
                  <c:v>103.14</c:v>
                </c:pt>
                <c:pt idx="57">
                  <c:v>102.86</c:v>
                </c:pt>
                <c:pt idx="58">
                  <c:v>102.63</c:v>
                </c:pt>
                <c:pt idx="59">
                  <c:v>101.6</c:v>
                </c:pt>
                <c:pt idx="60">
                  <c:v>102.36</c:v>
                </c:pt>
                <c:pt idx="61">
                  <c:v>103.34</c:v>
                </c:pt>
                <c:pt idx="62">
                  <c:v>101.97</c:v>
                </c:pt>
                <c:pt idx="63">
                  <c:v>100.49</c:v>
                </c:pt>
                <c:pt idx="65">
                  <c:v>100.03</c:v>
                </c:pt>
                <c:pt idx="66">
                  <c:v>102.62</c:v>
                </c:pt>
                <c:pt idx="67">
                  <c:v>101.95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72400"/>
        <c:axId val="409563776"/>
      </c:lineChart>
      <c:catAx>
        <c:axId val="409572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3776"/>
        <c:crosses val="autoZero"/>
        <c:auto val="1"/>
        <c:lblAlgn val="ctr"/>
        <c:lblOffset val="100"/>
        <c:noMultiLvlLbl val="0"/>
      </c:catAx>
      <c:valAx>
        <c:axId val="40956377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24-Feb-16</c:v>
                </c:pt>
                <c:pt idx="15">
                  <c:v>23-Feb-16</c:v>
                </c:pt>
                <c:pt idx="16">
                  <c:v>22-Feb-16</c:v>
                </c:pt>
                <c:pt idx="17">
                  <c:v>19-Feb-16</c:v>
                </c:pt>
                <c:pt idx="18">
                  <c:v>18-Feb-16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50.08</c:v>
                </c:pt>
                <c:pt idx="1">
                  <c:v>50.35</c:v>
                </c:pt>
                <c:pt idx="2">
                  <c:v>49.32</c:v>
                </c:pt>
                <c:pt idx="3">
                  <c:v>49.35</c:v>
                </c:pt>
                <c:pt idx="4">
                  <c:v>48.68</c:v>
                </c:pt>
                <c:pt idx="5">
                  <c:v>49.97</c:v>
                </c:pt>
                <c:pt idx="6">
                  <c:v>49.95</c:v>
                </c:pt>
                <c:pt idx="7">
                  <c:v>49.38</c:v>
                </c:pt>
                <c:pt idx="8">
                  <c:v>49.42</c:v>
                </c:pt>
                <c:pt idx="9">
                  <c:v>48.86</c:v>
                </c:pt>
                <c:pt idx="10">
                  <c:v>46.95</c:v>
                </c:pt>
                <c:pt idx="11">
                  <c:v>46.7</c:v>
                </c:pt>
                <c:pt idx="12">
                  <c:v>46.76</c:v>
                </c:pt>
                <c:pt idx="13">
                  <c:v>46.63</c:v>
                </c:pt>
                <c:pt idx="14">
                  <c:v>46.08</c:v>
                </c:pt>
                <c:pt idx="15">
                  <c:v>46.36</c:v>
                </c:pt>
                <c:pt idx="16">
                  <c:v>46.66</c:v>
                </c:pt>
                <c:pt idx="17">
                  <c:v>47.2</c:v>
                </c:pt>
                <c:pt idx="19">
                  <c:v>47.48</c:v>
                </c:pt>
                <c:pt idx="20">
                  <c:v>46.31</c:v>
                </c:pt>
                <c:pt idx="21">
                  <c:v>44.19</c:v>
                </c:pt>
                <c:pt idx="22">
                  <c:v>42.91</c:v>
                </c:pt>
                <c:pt idx="23">
                  <c:v>44</c:v>
                </c:pt>
                <c:pt idx="24">
                  <c:v>43.79</c:v>
                </c:pt>
                <c:pt idx="25">
                  <c:v>44.4</c:v>
                </c:pt>
                <c:pt idx="26">
                  <c:v>45.11</c:v>
                </c:pt>
                <c:pt idx="27">
                  <c:v>45.56</c:v>
                </c:pt>
                <c:pt idx="28">
                  <c:v>45</c:v>
                </c:pt>
                <c:pt idx="29">
                  <c:v>44.45</c:v>
                </c:pt>
                <c:pt idx="30">
                  <c:v>45.81</c:v>
                </c:pt>
                <c:pt idx="31">
                  <c:v>46.19</c:v>
                </c:pt>
                <c:pt idx="32">
                  <c:v>45.37</c:v>
                </c:pt>
                <c:pt idx="33">
                  <c:v>45.45</c:v>
                </c:pt>
                <c:pt idx="34">
                  <c:v>46.3</c:v>
                </c:pt>
                <c:pt idx="35">
                  <c:v>44.75</c:v>
                </c:pt>
                <c:pt idx="36">
                  <c:v>45.67</c:v>
                </c:pt>
                <c:pt idx="37">
                  <c:v>44.03</c:v>
                </c:pt>
                <c:pt idx="38">
                  <c:v>43.48</c:v>
                </c:pt>
                <c:pt idx="39">
                  <c:v>44.95</c:v>
                </c:pt>
                <c:pt idx="40">
                  <c:v>44.94</c:v>
                </c:pt>
                <c:pt idx="41">
                  <c:v>46.31</c:v>
                </c:pt>
                <c:pt idx="42">
                  <c:v>45.93</c:v>
                </c:pt>
                <c:pt idx="43">
                  <c:v>47.14</c:v>
                </c:pt>
                <c:pt idx="44">
                  <c:v>46.61</c:v>
                </c:pt>
                <c:pt idx="45">
                  <c:v>46.1</c:v>
                </c:pt>
                <c:pt idx="46">
                  <c:v>46.89</c:v>
                </c:pt>
                <c:pt idx="47">
                  <c:v>48.86</c:v>
                </c:pt>
                <c:pt idx="48">
                  <c:v>50.23</c:v>
                </c:pt>
                <c:pt idx="49">
                  <c:v>49.76</c:v>
                </c:pt>
                <c:pt idx="50">
                  <c:v>49.66</c:v>
                </c:pt>
                <c:pt idx="51">
                  <c:v>50.84</c:v>
                </c:pt>
                <c:pt idx="52">
                  <c:v>50.99</c:v>
                </c:pt>
                <c:pt idx="53">
                  <c:v>50.55</c:v>
                </c:pt>
                <c:pt idx="54">
                  <c:v>51.13</c:v>
                </c:pt>
                <c:pt idx="55">
                  <c:v>50.7</c:v>
                </c:pt>
                <c:pt idx="56">
                  <c:v>50.01</c:v>
                </c:pt>
                <c:pt idx="57">
                  <c:v>49.22</c:v>
                </c:pt>
                <c:pt idx="58">
                  <c:v>49.05</c:v>
                </c:pt>
                <c:pt idx="59">
                  <c:v>49.71</c:v>
                </c:pt>
                <c:pt idx="60">
                  <c:v>50.21</c:v>
                </c:pt>
                <c:pt idx="61">
                  <c:v>49.17</c:v>
                </c:pt>
                <c:pt idx="62">
                  <c:v>48.71</c:v>
                </c:pt>
                <c:pt idx="63">
                  <c:v>48.25</c:v>
                </c:pt>
                <c:pt idx="64">
                  <c:v>48.55</c:v>
                </c:pt>
                <c:pt idx="65">
                  <c:v>47.92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68480"/>
        <c:axId val="409570832"/>
      </c:lineChart>
      <c:catAx>
        <c:axId val="409568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0832"/>
        <c:crosses val="autoZero"/>
        <c:auto val="1"/>
        <c:lblAlgn val="ctr"/>
        <c:lblOffset val="100"/>
        <c:noMultiLvlLbl val="0"/>
      </c:catAx>
      <c:valAx>
        <c:axId val="40957083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64168"/>
        <c:axId val="409571224"/>
      </c:lineChart>
      <c:catAx>
        <c:axId val="40956416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1224"/>
        <c:crosses val="autoZero"/>
        <c:auto val="1"/>
        <c:lblAlgn val="ctr"/>
        <c:lblOffset val="100"/>
        <c:noMultiLvlLbl val="0"/>
      </c:catAx>
      <c:valAx>
        <c:axId val="4095712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16-Dec-15</c:v>
                </c:pt>
                <c:pt idx="63">
                  <c:v>15-Dec-15</c:v>
                </c:pt>
                <c:pt idx="64">
                  <c:v>14-Dec-15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9-Dec-15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31.05</c:v>
                </c:pt>
                <c:pt idx="1">
                  <c:v>31.18</c:v>
                </c:pt>
                <c:pt idx="2">
                  <c:v>31.26</c:v>
                </c:pt>
                <c:pt idx="3">
                  <c:v>30.82</c:v>
                </c:pt>
                <c:pt idx="4">
                  <c:v>30.54</c:v>
                </c:pt>
                <c:pt idx="6">
                  <c:v>30.68</c:v>
                </c:pt>
                <c:pt idx="7">
                  <c:v>31.59</c:v>
                </c:pt>
                <c:pt idx="8">
                  <c:v>31.37</c:v>
                </c:pt>
                <c:pt idx="9">
                  <c:v>31.07</c:v>
                </c:pt>
                <c:pt idx="10">
                  <c:v>30.15</c:v>
                </c:pt>
                <c:pt idx="11">
                  <c:v>30.01</c:v>
                </c:pt>
                <c:pt idx="12">
                  <c:v>29.44</c:v>
                </c:pt>
                <c:pt idx="13">
                  <c:v>29.63</c:v>
                </c:pt>
                <c:pt idx="14">
                  <c:v>29.5</c:v>
                </c:pt>
                <c:pt idx="15">
                  <c:v>28.84</c:v>
                </c:pt>
                <c:pt idx="16">
                  <c:v>29.38</c:v>
                </c:pt>
                <c:pt idx="17">
                  <c:v>29.63</c:v>
                </c:pt>
                <c:pt idx="18">
                  <c:v>28.78</c:v>
                </c:pt>
                <c:pt idx="19">
                  <c:v>29.03</c:v>
                </c:pt>
                <c:pt idx="20">
                  <c:v>29.27</c:v>
                </c:pt>
                <c:pt idx="21">
                  <c:v>28.58</c:v>
                </c:pt>
                <c:pt idx="22">
                  <c:v>27.71</c:v>
                </c:pt>
                <c:pt idx="23">
                  <c:v>26.9</c:v>
                </c:pt>
                <c:pt idx="24">
                  <c:v>27.71</c:v>
                </c:pt>
                <c:pt idx="25">
                  <c:v>27.87</c:v>
                </c:pt>
                <c:pt idx="26">
                  <c:v>28.68</c:v>
                </c:pt>
                <c:pt idx="27">
                  <c:v>28.54</c:v>
                </c:pt>
                <c:pt idx="28">
                  <c:v>28.64</c:v>
                </c:pt>
                <c:pt idx="29">
                  <c:v>28.92</c:v>
                </c:pt>
                <c:pt idx="30">
                  <c:v>29.65</c:v>
                </c:pt>
                <c:pt idx="31">
                  <c:v>30.11</c:v>
                </c:pt>
                <c:pt idx="32">
                  <c:v>29.64</c:v>
                </c:pt>
                <c:pt idx="33">
                  <c:v>29.02</c:v>
                </c:pt>
                <c:pt idx="34">
                  <c:v>29.21</c:v>
                </c:pt>
                <c:pt idx="35">
                  <c:v>29.65</c:v>
                </c:pt>
                <c:pt idx="36">
                  <c:v>29.23</c:v>
                </c:pt>
                <c:pt idx="37">
                  <c:v>29.28</c:v>
                </c:pt>
                <c:pt idx="38">
                  <c:v>29.55</c:v>
                </c:pt>
                <c:pt idx="39">
                  <c:v>29.42</c:v>
                </c:pt>
                <c:pt idx="40">
                  <c:v>29.4</c:v>
                </c:pt>
                <c:pt idx="41">
                  <c:v>29.57</c:v>
                </c:pt>
                <c:pt idx="42">
                  <c:v>30.3</c:v>
                </c:pt>
                <c:pt idx="43">
                  <c:v>30.49</c:v>
                </c:pt>
                <c:pt idx="44">
                  <c:v>30.3</c:v>
                </c:pt>
                <c:pt idx="45">
                  <c:v>30.25</c:v>
                </c:pt>
                <c:pt idx="46">
                  <c:v>29.53</c:v>
                </c:pt>
                <c:pt idx="47">
                  <c:v>29.99</c:v>
                </c:pt>
                <c:pt idx="48">
                  <c:v>31.27</c:v>
                </c:pt>
                <c:pt idx="49">
                  <c:v>32.43</c:v>
                </c:pt>
                <c:pt idx="50">
                  <c:v>33.31</c:v>
                </c:pt>
                <c:pt idx="51">
                  <c:v>34.01</c:v>
                </c:pt>
                <c:pt idx="52">
                  <c:v>34.33</c:v>
                </c:pt>
                <c:pt idx="53">
                  <c:v>34.5</c:v>
                </c:pt>
                <c:pt idx="54">
                  <c:v>34.51</c:v>
                </c:pt>
                <c:pt idx="55">
                  <c:v>34.6</c:v>
                </c:pt>
                <c:pt idx="56">
                  <c:v>34.78</c:v>
                </c:pt>
                <c:pt idx="57">
                  <c:v>34.29</c:v>
                </c:pt>
                <c:pt idx="58">
                  <c:v>33.83</c:v>
                </c:pt>
                <c:pt idx="59">
                  <c:v>33.67</c:v>
                </c:pt>
                <c:pt idx="60">
                  <c:v>34.11</c:v>
                </c:pt>
                <c:pt idx="61">
                  <c:v>35.14</c:v>
                </c:pt>
                <c:pt idx="63">
                  <c:v>34.54</c:v>
                </c:pt>
                <c:pt idx="64">
                  <c:v>34.39</c:v>
                </c:pt>
                <c:pt idx="65">
                  <c:v>34.549999999999997</c:v>
                </c:pt>
                <c:pt idx="66">
                  <c:v>35.630000000000003</c:v>
                </c:pt>
                <c:pt idx="67">
                  <c:v>35.450000000000003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66520"/>
        <c:axId val="409568088"/>
      </c:lineChart>
      <c:catAx>
        <c:axId val="409566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8088"/>
        <c:crosses val="autoZero"/>
        <c:auto val="1"/>
        <c:lblAlgn val="ctr"/>
        <c:lblOffset val="100"/>
        <c:noMultiLvlLbl val="0"/>
      </c:catAx>
      <c:valAx>
        <c:axId val="4095680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11-Mar-16</c:v>
                </c:pt>
                <c:pt idx="4">
                  <c:v>10-Mar-16</c:v>
                </c:pt>
                <c:pt idx="5">
                  <c:v>9-Mar-16</c:v>
                </c:pt>
                <c:pt idx="6">
                  <c:v>8-Mar-16</c:v>
                </c:pt>
                <c:pt idx="7">
                  <c:v>7-Mar-16</c:v>
                </c:pt>
                <c:pt idx="8">
                  <c:v>4-Mar-16</c:v>
                </c:pt>
                <c:pt idx="9">
                  <c:v>3-Mar-16</c:v>
                </c:pt>
                <c:pt idx="10">
                  <c:v>2-Mar-16</c:v>
                </c:pt>
                <c:pt idx="11">
                  <c:v>1-Mar-16</c:v>
                </c:pt>
                <c:pt idx="12">
                  <c:v>29-Feb-16</c:v>
                </c:pt>
                <c:pt idx="13">
                  <c:v>26-Feb-16</c:v>
                </c:pt>
                <c:pt idx="14">
                  <c:v>25-Feb-16</c:v>
                </c:pt>
                <c:pt idx="15">
                  <c:v>24-Feb-16</c:v>
                </c:pt>
                <c:pt idx="16">
                  <c:v>23-Feb-16</c:v>
                </c:pt>
                <c:pt idx="17">
                  <c:v>22-Feb-16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11-Dec-15</c:v>
                </c:pt>
                <c:pt idx="66">
                  <c:v>10-Dec-15</c:v>
                </c:pt>
                <c:pt idx="67">
                  <c:v>9-Dec-15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138.26</c:v>
                </c:pt>
                <c:pt idx="1">
                  <c:v>139.77000000000001</c:v>
                </c:pt>
                <c:pt idx="2">
                  <c:v>140.22</c:v>
                </c:pt>
                <c:pt idx="4">
                  <c:v>137.96</c:v>
                </c:pt>
                <c:pt idx="5">
                  <c:v>138.15</c:v>
                </c:pt>
                <c:pt idx="6">
                  <c:v>139.08000000000001</c:v>
                </c:pt>
                <c:pt idx="7">
                  <c:v>141.55000000000001</c:v>
                </c:pt>
                <c:pt idx="8">
                  <c:v>140.30000000000001</c:v>
                </c:pt>
                <c:pt idx="9">
                  <c:v>138.66999999999999</c:v>
                </c:pt>
                <c:pt idx="10">
                  <c:v>138.12</c:v>
                </c:pt>
                <c:pt idx="11">
                  <c:v>135.28</c:v>
                </c:pt>
                <c:pt idx="12">
                  <c:v>129.19</c:v>
                </c:pt>
                <c:pt idx="13">
                  <c:v>130.71</c:v>
                </c:pt>
                <c:pt idx="14">
                  <c:v>130.57</c:v>
                </c:pt>
                <c:pt idx="15">
                  <c:v>129.77000000000001</c:v>
                </c:pt>
                <c:pt idx="16">
                  <c:v>129.74</c:v>
                </c:pt>
                <c:pt idx="17">
                  <c:v>131.44</c:v>
                </c:pt>
                <c:pt idx="18">
                  <c:v>130.16</c:v>
                </c:pt>
                <c:pt idx="19">
                  <c:v>129.69</c:v>
                </c:pt>
                <c:pt idx="20">
                  <c:v>130.69999999999999</c:v>
                </c:pt>
                <c:pt idx="21">
                  <c:v>127.42</c:v>
                </c:pt>
                <c:pt idx="22">
                  <c:v>126.48</c:v>
                </c:pt>
                <c:pt idx="23">
                  <c:v>123.3</c:v>
                </c:pt>
                <c:pt idx="24">
                  <c:v>125.46</c:v>
                </c:pt>
                <c:pt idx="25">
                  <c:v>124.45</c:v>
                </c:pt>
                <c:pt idx="26">
                  <c:v>121.94</c:v>
                </c:pt>
                <c:pt idx="27">
                  <c:v>123.18</c:v>
                </c:pt>
                <c:pt idx="28">
                  <c:v>127.8</c:v>
                </c:pt>
                <c:pt idx="29">
                  <c:v>126.05</c:v>
                </c:pt>
                <c:pt idx="30">
                  <c:v>126.89</c:v>
                </c:pt>
                <c:pt idx="31">
                  <c:v>130.69</c:v>
                </c:pt>
                <c:pt idx="32">
                  <c:v>132.06</c:v>
                </c:pt>
                <c:pt idx="33">
                  <c:v>128.16999999999999</c:v>
                </c:pt>
                <c:pt idx="34">
                  <c:v>135.83000000000001</c:v>
                </c:pt>
                <c:pt idx="35">
                  <c:v>134.1</c:v>
                </c:pt>
                <c:pt idx="36">
                  <c:v>134.72999999999999</c:v>
                </c:pt>
                <c:pt idx="37">
                  <c:v>135.31</c:v>
                </c:pt>
                <c:pt idx="38">
                  <c:v>131.68</c:v>
                </c:pt>
                <c:pt idx="39">
                  <c:v>133.05000000000001</c:v>
                </c:pt>
                <c:pt idx="40">
                  <c:v>134.91</c:v>
                </c:pt>
                <c:pt idx="41">
                  <c:v>132.76</c:v>
                </c:pt>
                <c:pt idx="42">
                  <c:v>135.79</c:v>
                </c:pt>
                <c:pt idx="43">
                  <c:v>133.77000000000001</c:v>
                </c:pt>
                <c:pt idx="44">
                  <c:v>136.97</c:v>
                </c:pt>
                <c:pt idx="45">
                  <c:v>134.88</c:v>
                </c:pt>
                <c:pt idx="46">
                  <c:v>134.16</c:v>
                </c:pt>
                <c:pt idx="47">
                  <c:v>134.31</c:v>
                </c:pt>
                <c:pt idx="48">
                  <c:v>137.44999999999999</c:v>
                </c:pt>
                <c:pt idx="49">
                  <c:v>138.51</c:v>
                </c:pt>
                <c:pt idx="50">
                  <c:v>138.75</c:v>
                </c:pt>
                <c:pt idx="51">
                  <c:v>141.85</c:v>
                </c:pt>
                <c:pt idx="52">
                  <c:v>142.86000000000001</c:v>
                </c:pt>
                <c:pt idx="53">
                  <c:v>143.03</c:v>
                </c:pt>
                <c:pt idx="54">
                  <c:v>140.69999999999999</c:v>
                </c:pt>
                <c:pt idx="55">
                  <c:v>141.32</c:v>
                </c:pt>
                <c:pt idx="56">
                  <c:v>141.02000000000001</c:v>
                </c:pt>
                <c:pt idx="57">
                  <c:v>139.53</c:v>
                </c:pt>
                <c:pt idx="58">
                  <c:v>137.55000000000001</c:v>
                </c:pt>
                <c:pt idx="59">
                  <c:v>134.51</c:v>
                </c:pt>
                <c:pt idx="60">
                  <c:v>138.16</c:v>
                </c:pt>
                <c:pt idx="61">
                  <c:v>140.44999999999999</c:v>
                </c:pt>
                <c:pt idx="62">
                  <c:v>137.49</c:v>
                </c:pt>
                <c:pt idx="63">
                  <c:v>135.41</c:v>
                </c:pt>
                <c:pt idx="64">
                  <c:v>134.19999999999999</c:v>
                </c:pt>
                <c:pt idx="66">
                  <c:v>135.13</c:v>
                </c:pt>
                <c:pt idx="67">
                  <c:v>134.38999999999999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69656"/>
        <c:axId val="409567304"/>
      </c:lineChart>
      <c:catAx>
        <c:axId val="409569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7304"/>
        <c:crosses val="autoZero"/>
        <c:auto val="1"/>
        <c:lblAlgn val="ctr"/>
        <c:lblOffset val="100"/>
        <c:noMultiLvlLbl val="0"/>
      </c:catAx>
      <c:valAx>
        <c:axId val="409567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6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15-Mar-16</c:v>
                </c:pt>
                <c:pt idx="1">
                  <c:v>14-Mar-16</c:v>
                </c:pt>
                <c:pt idx="2">
                  <c:v>11-Mar-16</c:v>
                </c:pt>
                <c:pt idx="3">
                  <c:v>10-Mar-16</c:v>
                </c:pt>
                <c:pt idx="4">
                  <c:v>9-Mar-16</c:v>
                </c:pt>
                <c:pt idx="5">
                  <c:v>8-Mar-16</c:v>
                </c:pt>
                <c:pt idx="6">
                  <c:v>7-Mar-16</c:v>
                </c:pt>
                <c:pt idx="7">
                  <c:v>4-Mar-16</c:v>
                </c:pt>
                <c:pt idx="8">
                  <c:v>3-Mar-16</c:v>
                </c:pt>
                <c:pt idx="9">
                  <c:v>2-Mar-16</c:v>
                </c:pt>
                <c:pt idx="10">
                  <c:v>1-Mar-16</c:v>
                </c:pt>
                <c:pt idx="11">
                  <c:v>29-Feb-16</c:v>
                </c:pt>
                <c:pt idx="12">
                  <c:v>26-Feb-16</c:v>
                </c:pt>
                <c:pt idx="13">
                  <c:v>25-Feb-16</c:v>
                </c:pt>
                <c:pt idx="14">
                  <c:v>24-Feb-16</c:v>
                </c:pt>
                <c:pt idx="15">
                  <c:v>23-Feb-16</c:v>
                </c:pt>
                <c:pt idx="16">
                  <c:v>22-Feb-16</c:v>
                </c:pt>
                <c:pt idx="17">
                  <c:v>19-Feb-16</c:v>
                </c:pt>
                <c:pt idx="18">
                  <c:v>19-Feb-16</c:v>
                </c:pt>
                <c:pt idx="19">
                  <c:v>18-Feb-16</c:v>
                </c:pt>
                <c:pt idx="20">
                  <c:v>17-Feb-16</c:v>
                </c:pt>
                <c:pt idx="21">
                  <c:v>16-Feb-16</c:v>
                </c:pt>
                <c:pt idx="22">
                  <c:v>12-Feb-16</c:v>
                </c:pt>
                <c:pt idx="23">
                  <c:v>11-Feb-16</c:v>
                </c:pt>
                <c:pt idx="24">
                  <c:v>10-Feb-16</c:v>
                </c:pt>
                <c:pt idx="25">
                  <c:v>9-Feb-16</c:v>
                </c:pt>
                <c:pt idx="26">
                  <c:v>8-Feb-16</c:v>
                </c:pt>
                <c:pt idx="27">
                  <c:v>5-Feb-16</c:v>
                </c:pt>
                <c:pt idx="28">
                  <c:v>4-Feb-16</c:v>
                </c:pt>
                <c:pt idx="29">
                  <c:v>3-Feb-16</c:v>
                </c:pt>
                <c:pt idx="30">
                  <c:v>2-Feb-16</c:v>
                </c:pt>
                <c:pt idx="31">
                  <c:v>1-Feb-16</c:v>
                </c:pt>
                <c:pt idx="32">
                  <c:v>29-Jan-16</c:v>
                </c:pt>
                <c:pt idx="33">
                  <c:v>28-Jan-16</c:v>
                </c:pt>
                <c:pt idx="34">
                  <c:v>27-Jan-16</c:v>
                </c:pt>
                <c:pt idx="35">
                  <c:v>26-Jan-16</c:v>
                </c:pt>
                <c:pt idx="36">
                  <c:v>25-Jan-16</c:v>
                </c:pt>
                <c:pt idx="37">
                  <c:v>22-Jan-16</c:v>
                </c:pt>
                <c:pt idx="38">
                  <c:v>21-Jan-16</c:v>
                </c:pt>
                <c:pt idx="39">
                  <c:v>20-Jan-16</c:v>
                </c:pt>
                <c:pt idx="40">
                  <c:v>19-Jan-16</c:v>
                </c:pt>
                <c:pt idx="41">
                  <c:v>15-Jan-16</c:v>
                </c:pt>
                <c:pt idx="42">
                  <c:v>14-Jan-16</c:v>
                </c:pt>
                <c:pt idx="43">
                  <c:v>13-Jan-16</c:v>
                </c:pt>
                <c:pt idx="44">
                  <c:v>12-Jan-16</c:v>
                </c:pt>
                <c:pt idx="45">
                  <c:v>11-Jan-16</c:v>
                </c:pt>
                <c:pt idx="46">
                  <c:v>8-Jan-16</c:v>
                </c:pt>
                <c:pt idx="47">
                  <c:v>7-Jan-16</c:v>
                </c:pt>
                <c:pt idx="48">
                  <c:v>6-Jan-16</c:v>
                </c:pt>
                <c:pt idx="49">
                  <c:v>5-Jan-16</c:v>
                </c:pt>
                <c:pt idx="50">
                  <c:v>4-Jan-16</c:v>
                </c:pt>
                <c:pt idx="51">
                  <c:v>31-Dec-15</c:v>
                </c:pt>
                <c:pt idx="52">
                  <c:v>30-Dec-15</c:v>
                </c:pt>
                <c:pt idx="53">
                  <c:v>29-Dec-15</c:v>
                </c:pt>
                <c:pt idx="54">
                  <c:v>28-Dec-15</c:v>
                </c:pt>
                <c:pt idx="55">
                  <c:v>24-Dec-15</c:v>
                </c:pt>
                <c:pt idx="56">
                  <c:v>23-Dec-15</c:v>
                </c:pt>
                <c:pt idx="57">
                  <c:v>22-Dec-15</c:v>
                </c:pt>
                <c:pt idx="58">
                  <c:v>21-Dec-15</c:v>
                </c:pt>
                <c:pt idx="59">
                  <c:v>18-Dec-15</c:v>
                </c:pt>
                <c:pt idx="60">
                  <c:v>17-Dec-15</c:v>
                </c:pt>
                <c:pt idx="61">
                  <c:v>16-Dec-15</c:v>
                </c:pt>
                <c:pt idx="62">
                  <c:v>15-Dec-15</c:v>
                </c:pt>
                <c:pt idx="63">
                  <c:v>14-Dec-15</c:v>
                </c:pt>
                <c:pt idx="64">
                  <c:v>11-Dec-15</c:v>
                </c:pt>
                <c:pt idx="65">
                  <c:v>10-Dec-15</c:v>
                </c:pt>
                <c:pt idx="66">
                  <c:v>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30.5</c:v>
                </c:pt>
                <c:pt idx="1">
                  <c:v>31.21</c:v>
                </c:pt>
                <c:pt idx="2">
                  <c:v>31.32</c:v>
                </c:pt>
                <c:pt idx="3">
                  <c:v>30.44</c:v>
                </c:pt>
                <c:pt idx="4">
                  <c:v>30.45</c:v>
                </c:pt>
                <c:pt idx="5">
                  <c:v>30.65</c:v>
                </c:pt>
                <c:pt idx="6">
                  <c:v>32.06</c:v>
                </c:pt>
                <c:pt idx="7">
                  <c:v>31.6</c:v>
                </c:pt>
                <c:pt idx="8">
                  <c:v>30.88</c:v>
                </c:pt>
                <c:pt idx="9">
                  <c:v>30.83</c:v>
                </c:pt>
                <c:pt idx="10">
                  <c:v>30.89</c:v>
                </c:pt>
                <c:pt idx="11">
                  <c:v>29.83</c:v>
                </c:pt>
                <c:pt idx="12">
                  <c:v>29.82</c:v>
                </c:pt>
                <c:pt idx="13">
                  <c:v>29.77</c:v>
                </c:pt>
                <c:pt idx="14">
                  <c:v>30.08</c:v>
                </c:pt>
                <c:pt idx="15">
                  <c:v>29.66</c:v>
                </c:pt>
                <c:pt idx="16">
                  <c:v>30.69</c:v>
                </c:pt>
                <c:pt idx="17">
                  <c:v>30.14</c:v>
                </c:pt>
                <c:pt idx="19">
                  <c:v>30.81</c:v>
                </c:pt>
                <c:pt idx="20">
                  <c:v>30.71</c:v>
                </c:pt>
                <c:pt idx="21">
                  <c:v>30.36</c:v>
                </c:pt>
                <c:pt idx="22">
                  <c:v>29.89</c:v>
                </c:pt>
                <c:pt idx="23">
                  <c:v>28.1</c:v>
                </c:pt>
                <c:pt idx="24">
                  <c:v>28.21</c:v>
                </c:pt>
                <c:pt idx="25">
                  <c:v>29</c:v>
                </c:pt>
                <c:pt idx="26">
                  <c:v>29.09</c:v>
                </c:pt>
                <c:pt idx="27">
                  <c:v>29.52</c:v>
                </c:pt>
                <c:pt idx="28">
                  <c:v>29.32</c:v>
                </c:pt>
                <c:pt idx="29">
                  <c:v>28.02</c:v>
                </c:pt>
                <c:pt idx="30">
                  <c:v>25.51</c:v>
                </c:pt>
                <c:pt idx="31">
                  <c:v>26.15</c:v>
                </c:pt>
                <c:pt idx="32">
                  <c:v>26.55</c:v>
                </c:pt>
                <c:pt idx="33">
                  <c:v>25.41</c:v>
                </c:pt>
                <c:pt idx="34">
                  <c:v>25.15</c:v>
                </c:pt>
                <c:pt idx="35">
                  <c:v>25.01</c:v>
                </c:pt>
                <c:pt idx="36">
                  <c:v>23.65</c:v>
                </c:pt>
                <c:pt idx="37">
                  <c:v>24.26</c:v>
                </c:pt>
                <c:pt idx="38">
                  <c:v>23.55</c:v>
                </c:pt>
                <c:pt idx="39">
                  <c:v>23.41</c:v>
                </c:pt>
                <c:pt idx="40">
                  <c:v>23.5</c:v>
                </c:pt>
                <c:pt idx="41">
                  <c:v>24.52</c:v>
                </c:pt>
                <c:pt idx="42">
                  <c:v>24.79</c:v>
                </c:pt>
                <c:pt idx="43">
                  <c:v>24.79</c:v>
                </c:pt>
                <c:pt idx="44">
                  <c:v>25.5</c:v>
                </c:pt>
                <c:pt idx="45">
                  <c:v>25.32</c:v>
                </c:pt>
                <c:pt idx="46">
                  <c:v>25.74</c:v>
                </c:pt>
                <c:pt idx="47">
                  <c:v>26.7</c:v>
                </c:pt>
                <c:pt idx="48">
                  <c:v>27.46</c:v>
                </c:pt>
                <c:pt idx="49">
                  <c:v>27.82</c:v>
                </c:pt>
                <c:pt idx="50">
                  <c:v>28.33</c:v>
                </c:pt>
                <c:pt idx="51">
                  <c:v>28.59</c:v>
                </c:pt>
                <c:pt idx="52">
                  <c:v>28.66</c:v>
                </c:pt>
                <c:pt idx="53">
                  <c:v>28.61</c:v>
                </c:pt>
                <c:pt idx="54">
                  <c:v>28.45</c:v>
                </c:pt>
                <c:pt idx="55">
                  <c:v>28.98</c:v>
                </c:pt>
                <c:pt idx="56">
                  <c:v>28.84</c:v>
                </c:pt>
                <c:pt idx="57">
                  <c:v>27.9</c:v>
                </c:pt>
                <c:pt idx="58">
                  <c:v>27.37</c:v>
                </c:pt>
                <c:pt idx="59">
                  <c:v>27.08</c:v>
                </c:pt>
                <c:pt idx="60">
                  <c:v>27.26</c:v>
                </c:pt>
                <c:pt idx="61">
                  <c:v>28.03</c:v>
                </c:pt>
                <c:pt idx="62">
                  <c:v>27.95</c:v>
                </c:pt>
                <c:pt idx="63">
                  <c:v>28.49</c:v>
                </c:pt>
                <c:pt idx="64">
                  <c:v>28.79</c:v>
                </c:pt>
                <c:pt idx="65">
                  <c:v>29.49</c:v>
                </c:pt>
                <c:pt idx="66">
                  <c:v>29.7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75144"/>
        <c:axId val="409575536"/>
      </c:lineChart>
      <c:catAx>
        <c:axId val="409575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5536"/>
        <c:crosses val="autoZero"/>
        <c:auto val="1"/>
        <c:lblAlgn val="ctr"/>
        <c:lblOffset val="100"/>
        <c:noMultiLvlLbl val="0"/>
      </c:catAx>
      <c:valAx>
        <c:axId val="409575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96.29</c:v>
                </c:pt>
                <c:pt idx="1">
                  <c:v>96.83</c:v>
                </c:pt>
                <c:pt idx="2">
                  <c:v>96.75</c:v>
                </c:pt>
                <c:pt idx="3">
                  <c:v>96.18</c:v>
                </c:pt>
                <c:pt idx="4">
                  <c:v>96.6</c:v>
                </c:pt>
                <c:pt idx="5">
                  <c:v>96.9</c:v>
                </c:pt>
                <c:pt idx="6">
                  <c:v>96.92</c:v>
                </c:pt>
                <c:pt idx="7">
                  <c:v>97</c:v>
                </c:pt>
                <c:pt idx="8">
                  <c:v>96.11</c:v>
                </c:pt>
                <c:pt idx="9">
                  <c:v>95.53</c:v>
                </c:pt>
                <c:pt idx="10">
                  <c:v>95.05</c:v>
                </c:pt>
                <c:pt idx="11">
                  <c:v>96.62</c:v>
                </c:pt>
                <c:pt idx="12">
                  <c:v>97.69</c:v>
                </c:pt>
                <c:pt idx="13">
                  <c:v>98.07</c:v>
                </c:pt>
                <c:pt idx="14">
                  <c:v>93.61</c:v>
                </c:pt>
                <c:pt idx="15">
                  <c:v>91.6</c:v>
                </c:pt>
                <c:pt idx="16">
                  <c:v>92.37</c:v>
                </c:pt>
                <c:pt idx="17">
                  <c:v>88.23</c:v>
                </c:pt>
                <c:pt idx="18">
                  <c:v>88.36</c:v>
                </c:pt>
                <c:pt idx="19">
                  <c:v>88.12</c:v>
                </c:pt>
                <c:pt idx="21">
                  <c:v>86.48</c:v>
                </c:pt>
                <c:pt idx="22">
                  <c:v>85.95</c:v>
                </c:pt>
                <c:pt idx="23">
                  <c:v>84.66</c:v>
                </c:pt>
                <c:pt idx="24">
                  <c:v>86.96</c:v>
                </c:pt>
                <c:pt idx="25">
                  <c:v>87.24</c:v>
                </c:pt>
                <c:pt idx="26">
                  <c:v>86.78</c:v>
                </c:pt>
                <c:pt idx="27">
                  <c:v>87.84</c:v>
                </c:pt>
                <c:pt idx="28">
                  <c:v>88.12</c:v>
                </c:pt>
                <c:pt idx="29">
                  <c:v>85.96</c:v>
                </c:pt>
                <c:pt idx="30">
                  <c:v>85.42</c:v>
                </c:pt>
                <c:pt idx="31">
                  <c:v>87.56</c:v>
                </c:pt>
                <c:pt idx="32">
                  <c:v>87.69</c:v>
                </c:pt>
                <c:pt idx="33">
                  <c:v>86.45</c:v>
                </c:pt>
                <c:pt idx="34">
                  <c:v>85.81</c:v>
                </c:pt>
                <c:pt idx="35">
                  <c:v>85.65</c:v>
                </c:pt>
                <c:pt idx="36">
                  <c:v>84.9</c:v>
                </c:pt>
                <c:pt idx="37">
                  <c:v>86.35</c:v>
                </c:pt>
                <c:pt idx="38">
                  <c:v>85.57</c:v>
                </c:pt>
                <c:pt idx="39">
                  <c:v>84.83</c:v>
                </c:pt>
                <c:pt idx="40">
                  <c:v>85.24</c:v>
                </c:pt>
                <c:pt idx="41">
                  <c:v>85.63</c:v>
                </c:pt>
                <c:pt idx="42">
                  <c:v>89.01</c:v>
                </c:pt>
                <c:pt idx="43">
                  <c:v>88.83</c:v>
                </c:pt>
                <c:pt idx="44">
                  <c:v>90.5</c:v>
                </c:pt>
                <c:pt idx="45">
                  <c:v>90.5</c:v>
                </c:pt>
                <c:pt idx="46">
                  <c:v>90.4</c:v>
                </c:pt>
                <c:pt idx="47">
                  <c:v>91.9</c:v>
                </c:pt>
                <c:pt idx="48">
                  <c:v>93.12</c:v>
                </c:pt>
                <c:pt idx="49">
                  <c:v>95.72</c:v>
                </c:pt>
                <c:pt idx="50">
                  <c:v>95.57</c:v>
                </c:pt>
                <c:pt idx="51">
                  <c:v>96.07</c:v>
                </c:pt>
                <c:pt idx="52">
                  <c:v>96.9</c:v>
                </c:pt>
                <c:pt idx="53">
                  <c:v>97.27</c:v>
                </c:pt>
                <c:pt idx="54">
                  <c:v>96.09</c:v>
                </c:pt>
                <c:pt idx="55">
                  <c:v>96.3</c:v>
                </c:pt>
                <c:pt idx="56">
                  <c:v>96.3</c:v>
                </c:pt>
                <c:pt idx="57">
                  <c:v>94.87</c:v>
                </c:pt>
                <c:pt idx="58">
                  <c:v>93.61</c:v>
                </c:pt>
                <c:pt idx="59">
                  <c:v>92.34</c:v>
                </c:pt>
                <c:pt idx="60">
                  <c:v>93.87</c:v>
                </c:pt>
                <c:pt idx="61">
                  <c:v>95.13</c:v>
                </c:pt>
                <c:pt idx="62">
                  <c:v>93.26</c:v>
                </c:pt>
                <c:pt idx="63">
                  <c:v>93.03</c:v>
                </c:pt>
                <c:pt idx="64">
                  <c:v>93.3</c:v>
                </c:pt>
                <c:pt idx="65">
                  <c:v>93.87</c:v>
                </c:pt>
                <c:pt idx="66">
                  <c:v>94.16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576712"/>
        <c:axId val="409573968"/>
      </c:lineChart>
      <c:dateAx>
        <c:axId val="409576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3968"/>
        <c:crosses val="autoZero"/>
        <c:auto val="1"/>
        <c:lblOffset val="100"/>
        <c:baseTimeUnit val="days"/>
      </c:dateAx>
      <c:valAx>
        <c:axId val="409573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7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42438</c:v>
                </c:pt>
                <c:pt idx="6">
                  <c:v>42437</c:v>
                </c:pt>
                <c:pt idx="7">
                  <c:v>42436</c:v>
                </c:pt>
                <c:pt idx="8">
                  <c:v>42433</c:v>
                </c:pt>
                <c:pt idx="9">
                  <c:v>42432</c:v>
                </c:pt>
                <c:pt idx="10">
                  <c:v>42431</c:v>
                </c:pt>
                <c:pt idx="11">
                  <c:v>42430</c:v>
                </c:pt>
                <c:pt idx="12">
                  <c:v>42429</c:v>
                </c:pt>
                <c:pt idx="13">
                  <c:v>42426</c:v>
                </c:pt>
                <c:pt idx="14">
                  <c:v>42425</c:v>
                </c:pt>
                <c:pt idx="15">
                  <c:v>42424</c:v>
                </c:pt>
                <c:pt idx="16">
                  <c:v>42423</c:v>
                </c:pt>
                <c:pt idx="17">
                  <c:v>42422</c:v>
                </c:pt>
                <c:pt idx="18">
                  <c:v>42419</c:v>
                </c:pt>
                <c:pt idx="19">
                  <c:v>42418</c:v>
                </c:pt>
                <c:pt idx="20">
                  <c:v>42417</c:v>
                </c:pt>
                <c:pt idx="21">
                  <c:v>42416</c:v>
                </c:pt>
                <c:pt idx="22">
                  <c:v>42412</c:v>
                </c:pt>
                <c:pt idx="23">
                  <c:v>42411</c:v>
                </c:pt>
                <c:pt idx="24">
                  <c:v>42410</c:v>
                </c:pt>
                <c:pt idx="25">
                  <c:v>42409</c:v>
                </c:pt>
                <c:pt idx="26">
                  <c:v>42408</c:v>
                </c:pt>
                <c:pt idx="27">
                  <c:v>42405</c:v>
                </c:pt>
                <c:pt idx="28">
                  <c:v>42404</c:v>
                </c:pt>
                <c:pt idx="29">
                  <c:v>42403</c:v>
                </c:pt>
                <c:pt idx="30">
                  <c:v>42402</c:v>
                </c:pt>
                <c:pt idx="31">
                  <c:v>42401</c:v>
                </c:pt>
                <c:pt idx="32">
                  <c:v>42398</c:v>
                </c:pt>
                <c:pt idx="33">
                  <c:v>42397</c:v>
                </c:pt>
                <c:pt idx="34">
                  <c:v>42396</c:v>
                </c:pt>
                <c:pt idx="35">
                  <c:v>42395</c:v>
                </c:pt>
                <c:pt idx="36">
                  <c:v>42394</c:v>
                </c:pt>
                <c:pt idx="37">
                  <c:v>42391</c:v>
                </c:pt>
                <c:pt idx="38">
                  <c:v>42390</c:v>
                </c:pt>
                <c:pt idx="39">
                  <c:v>42389</c:v>
                </c:pt>
                <c:pt idx="40">
                  <c:v>42388</c:v>
                </c:pt>
                <c:pt idx="41">
                  <c:v>42384</c:v>
                </c:pt>
                <c:pt idx="42">
                  <c:v>42383</c:v>
                </c:pt>
                <c:pt idx="43">
                  <c:v>42382</c:v>
                </c:pt>
                <c:pt idx="44">
                  <c:v>42381</c:v>
                </c:pt>
                <c:pt idx="45">
                  <c:v>42380</c:v>
                </c:pt>
                <c:pt idx="46">
                  <c:v>42377</c:v>
                </c:pt>
                <c:pt idx="47">
                  <c:v>42376</c:v>
                </c:pt>
                <c:pt idx="48">
                  <c:v>42375</c:v>
                </c:pt>
                <c:pt idx="49">
                  <c:v>42374</c:v>
                </c:pt>
                <c:pt idx="50">
                  <c:v>42373</c:v>
                </c:pt>
                <c:pt idx="51">
                  <c:v>42369</c:v>
                </c:pt>
                <c:pt idx="52">
                  <c:v>42368</c:v>
                </c:pt>
                <c:pt idx="53">
                  <c:v>42367</c:v>
                </c:pt>
                <c:pt idx="54">
                  <c:v>42366</c:v>
                </c:pt>
                <c:pt idx="55">
                  <c:v>42362</c:v>
                </c:pt>
                <c:pt idx="56">
                  <c:v>42361</c:v>
                </c:pt>
                <c:pt idx="57">
                  <c:v>42360</c:v>
                </c:pt>
                <c:pt idx="58">
                  <c:v>42359</c:v>
                </c:pt>
                <c:pt idx="59">
                  <c:v>42356</c:v>
                </c:pt>
                <c:pt idx="60">
                  <c:v>42355</c:v>
                </c:pt>
                <c:pt idx="61">
                  <c:v>42354</c:v>
                </c:pt>
                <c:pt idx="62">
                  <c:v>42353</c:v>
                </c:pt>
                <c:pt idx="63">
                  <c:v>42352</c:v>
                </c:pt>
                <c:pt idx="64">
                  <c:v>42349</c:v>
                </c:pt>
                <c:pt idx="65">
                  <c:v>42348</c:v>
                </c:pt>
                <c:pt idx="66">
                  <c:v>42347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124.85</c:v>
                </c:pt>
                <c:pt idx="1">
                  <c:v>125.22</c:v>
                </c:pt>
                <c:pt idx="2">
                  <c:v>125.1</c:v>
                </c:pt>
                <c:pt idx="3">
                  <c:v>122.09</c:v>
                </c:pt>
                <c:pt idx="4">
                  <c:v>121.1</c:v>
                </c:pt>
                <c:pt idx="6">
                  <c:v>121.66</c:v>
                </c:pt>
                <c:pt idx="7">
                  <c:v>121.76</c:v>
                </c:pt>
                <c:pt idx="8">
                  <c:v>121.8</c:v>
                </c:pt>
                <c:pt idx="9">
                  <c:v>121.82</c:v>
                </c:pt>
                <c:pt idx="10">
                  <c:v>121.27</c:v>
                </c:pt>
                <c:pt idx="11">
                  <c:v>121.67</c:v>
                </c:pt>
                <c:pt idx="12">
                  <c:v>119.1</c:v>
                </c:pt>
                <c:pt idx="13">
                  <c:v>121.33</c:v>
                </c:pt>
                <c:pt idx="14">
                  <c:v>121.2</c:v>
                </c:pt>
                <c:pt idx="15">
                  <c:v>120.2</c:v>
                </c:pt>
                <c:pt idx="16">
                  <c:v>121.15</c:v>
                </c:pt>
                <c:pt idx="17">
                  <c:v>121.27</c:v>
                </c:pt>
                <c:pt idx="18">
                  <c:v>117.68</c:v>
                </c:pt>
                <c:pt idx="19">
                  <c:v>117.45</c:v>
                </c:pt>
                <c:pt idx="20">
                  <c:v>118.3</c:v>
                </c:pt>
                <c:pt idx="21">
                  <c:v>115.15</c:v>
                </c:pt>
                <c:pt idx="22">
                  <c:v>111.82</c:v>
                </c:pt>
                <c:pt idx="23">
                  <c:v>110.62</c:v>
                </c:pt>
                <c:pt idx="24">
                  <c:v>112.74</c:v>
                </c:pt>
                <c:pt idx="25">
                  <c:v>111.16</c:v>
                </c:pt>
                <c:pt idx="26">
                  <c:v>110.02</c:v>
                </c:pt>
                <c:pt idx="27">
                  <c:v>111.72</c:v>
                </c:pt>
                <c:pt idx="28">
                  <c:v>114.2</c:v>
                </c:pt>
                <c:pt idx="29">
                  <c:v>112.75</c:v>
                </c:pt>
                <c:pt idx="30">
                  <c:v>113.88</c:v>
                </c:pt>
                <c:pt idx="31">
                  <c:v>115.89</c:v>
                </c:pt>
                <c:pt idx="32">
                  <c:v>115.16</c:v>
                </c:pt>
                <c:pt idx="33">
                  <c:v>111.38</c:v>
                </c:pt>
                <c:pt idx="34">
                  <c:v>112.33</c:v>
                </c:pt>
                <c:pt idx="35">
                  <c:v>113.96</c:v>
                </c:pt>
                <c:pt idx="36">
                  <c:v>113.38</c:v>
                </c:pt>
                <c:pt idx="37">
                  <c:v>114.33</c:v>
                </c:pt>
                <c:pt idx="38">
                  <c:v>113.5</c:v>
                </c:pt>
                <c:pt idx="39">
                  <c:v>114.79</c:v>
                </c:pt>
                <c:pt idx="40">
                  <c:v>112.58</c:v>
                </c:pt>
                <c:pt idx="41">
                  <c:v>109.27</c:v>
                </c:pt>
                <c:pt idx="42">
                  <c:v>110.76</c:v>
                </c:pt>
                <c:pt idx="43">
                  <c:v>109.23</c:v>
                </c:pt>
                <c:pt idx="44">
                  <c:v>112.26</c:v>
                </c:pt>
                <c:pt idx="45">
                  <c:v>109.58</c:v>
                </c:pt>
                <c:pt idx="46">
                  <c:v>110.16</c:v>
                </c:pt>
                <c:pt idx="47">
                  <c:v>112.09</c:v>
                </c:pt>
                <c:pt idx="48">
                  <c:v>115.49</c:v>
                </c:pt>
                <c:pt idx="49">
                  <c:v>116.68</c:v>
                </c:pt>
                <c:pt idx="50">
                  <c:v>116.46</c:v>
                </c:pt>
                <c:pt idx="51">
                  <c:v>117.64</c:v>
                </c:pt>
                <c:pt idx="52">
                  <c:v>118.92</c:v>
                </c:pt>
                <c:pt idx="53">
                  <c:v>119.82</c:v>
                </c:pt>
                <c:pt idx="54">
                  <c:v>118.33</c:v>
                </c:pt>
                <c:pt idx="55">
                  <c:v>118.34</c:v>
                </c:pt>
                <c:pt idx="56">
                  <c:v>118.69</c:v>
                </c:pt>
                <c:pt idx="57">
                  <c:v>117.44</c:v>
                </c:pt>
                <c:pt idx="58">
                  <c:v>117.41</c:v>
                </c:pt>
                <c:pt idx="59">
                  <c:v>115.82</c:v>
                </c:pt>
                <c:pt idx="60">
                  <c:v>119.22</c:v>
                </c:pt>
                <c:pt idx="61">
                  <c:v>118.83</c:v>
                </c:pt>
                <c:pt idx="62">
                  <c:v>117.61</c:v>
                </c:pt>
                <c:pt idx="63">
                  <c:v>115.85</c:v>
                </c:pt>
                <c:pt idx="64">
                  <c:v>115.98</c:v>
                </c:pt>
                <c:pt idx="65">
                  <c:v>116.21</c:v>
                </c:pt>
                <c:pt idx="66">
                  <c:v>115.05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164056"/>
        <c:axId val="413161704"/>
      </c:lineChart>
      <c:dateAx>
        <c:axId val="413164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61704"/>
        <c:crosses val="autoZero"/>
        <c:auto val="1"/>
        <c:lblOffset val="100"/>
        <c:baseTimeUnit val="days"/>
      </c:dateAx>
      <c:valAx>
        <c:axId val="4131617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6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42444</c:v>
                </c:pt>
                <c:pt idx="1">
                  <c:v>42443</c:v>
                </c:pt>
                <c:pt idx="2">
                  <c:v>42440</c:v>
                </c:pt>
                <c:pt idx="3">
                  <c:v>42439</c:v>
                </c:pt>
                <c:pt idx="4">
                  <c:v>42438</c:v>
                </c:pt>
                <c:pt idx="5">
                  <c:v>42437</c:v>
                </c:pt>
                <c:pt idx="6">
                  <c:v>42436</c:v>
                </c:pt>
                <c:pt idx="7">
                  <c:v>42433</c:v>
                </c:pt>
                <c:pt idx="8">
                  <c:v>42432</c:v>
                </c:pt>
                <c:pt idx="9">
                  <c:v>42431</c:v>
                </c:pt>
                <c:pt idx="10">
                  <c:v>42430</c:v>
                </c:pt>
                <c:pt idx="11">
                  <c:v>42429</c:v>
                </c:pt>
                <c:pt idx="12">
                  <c:v>42426</c:v>
                </c:pt>
                <c:pt idx="13">
                  <c:v>42425</c:v>
                </c:pt>
                <c:pt idx="14">
                  <c:v>42424</c:v>
                </c:pt>
                <c:pt idx="15">
                  <c:v>42423</c:v>
                </c:pt>
                <c:pt idx="16">
                  <c:v>42422</c:v>
                </c:pt>
                <c:pt idx="17">
                  <c:v>42419</c:v>
                </c:pt>
                <c:pt idx="18">
                  <c:v>42418</c:v>
                </c:pt>
                <c:pt idx="19">
                  <c:v>42417</c:v>
                </c:pt>
                <c:pt idx="20">
                  <c:v>42416</c:v>
                </c:pt>
                <c:pt idx="21">
                  <c:v>42412</c:v>
                </c:pt>
                <c:pt idx="22">
                  <c:v>42411</c:v>
                </c:pt>
                <c:pt idx="23">
                  <c:v>42410</c:v>
                </c:pt>
                <c:pt idx="24">
                  <c:v>42409</c:v>
                </c:pt>
                <c:pt idx="25">
                  <c:v>42408</c:v>
                </c:pt>
                <c:pt idx="26">
                  <c:v>42405</c:v>
                </c:pt>
                <c:pt idx="27">
                  <c:v>42404</c:v>
                </c:pt>
                <c:pt idx="28">
                  <c:v>42403</c:v>
                </c:pt>
                <c:pt idx="29">
                  <c:v>42402</c:v>
                </c:pt>
                <c:pt idx="30">
                  <c:v>42401</c:v>
                </c:pt>
                <c:pt idx="31">
                  <c:v>42398</c:v>
                </c:pt>
                <c:pt idx="32">
                  <c:v>42397</c:v>
                </c:pt>
                <c:pt idx="33">
                  <c:v>42396</c:v>
                </c:pt>
                <c:pt idx="34">
                  <c:v>42395</c:v>
                </c:pt>
                <c:pt idx="35">
                  <c:v>42394</c:v>
                </c:pt>
                <c:pt idx="36">
                  <c:v>42391</c:v>
                </c:pt>
                <c:pt idx="37">
                  <c:v>42390</c:v>
                </c:pt>
                <c:pt idx="38">
                  <c:v>42389</c:v>
                </c:pt>
                <c:pt idx="39">
                  <c:v>42388</c:v>
                </c:pt>
                <c:pt idx="40">
                  <c:v>42384</c:v>
                </c:pt>
                <c:pt idx="41">
                  <c:v>42383</c:v>
                </c:pt>
                <c:pt idx="42">
                  <c:v>42382</c:v>
                </c:pt>
                <c:pt idx="43">
                  <c:v>42381</c:v>
                </c:pt>
                <c:pt idx="44">
                  <c:v>42380</c:v>
                </c:pt>
                <c:pt idx="45">
                  <c:v>42377</c:v>
                </c:pt>
                <c:pt idx="46">
                  <c:v>42376</c:v>
                </c:pt>
                <c:pt idx="47">
                  <c:v>42375</c:v>
                </c:pt>
                <c:pt idx="48">
                  <c:v>42374</c:v>
                </c:pt>
                <c:pt idx="49">
                  <c:v>42373</c:v>
                </c:pt>
                <c:pt idx="50">
                  <c:v>42369</c:v>
                </c:pt>
                <c:pt idx="51">
                  <c:v>42368</c:v>
                </c:pt>
                <c:pt idx="52">
                  <c:v>42367</c:v>
                </c:pt>
                <c:pt idx="53">
                  <c:v>42366</c:v>
                </c:pt>
                <c:pt idx="54">
                  <c:v>42362</c:v>
                </c:pt>
                <c:pt idx="55">
                  <c:v>42361</c:v>
                </c:pt>
                <c:pt idx="56">
                  <c:v>42360</c:v>
                </c:pt>
                <c:pt idx="57">
                  <c:v>42359</c:v>
                </c:pt>
                <c:pt idx="58">
                  <c:v>42356</c:v>
                </c:pt>
                <c:pt idx="59">
                  <c:v>42355</c:v>
                </c:pt>
                <c:pt idx="60">
                  <c:v>42354</c:v>
                </c:pt>
                <c:pt idx="61">
                  <c:v>42353</c:v>
                </c:pt>
                <c:pt idx="62">
                  <c:v>42352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250.33</c:v>
                </c:pt>
                <c:pt idx="1">
                  <c:v>257.77</c:v>
                </c:pt>
                <c:pt idx="2">
                  <c:v>259.74</c:v>
                </c:pt>
                <c:pt idx="3">
                  <c:v>251.97</c:v>
                </c:pt>
                <c:pt idx="4">
                  <c:v>255.66</c:v>
                </c:pt>
                <c:pt idx="5">
                  <c:v>261.27999999999997</c:v>
                </c:pt>
                <c:pt idx="6">
                  <c:v>269.52</c:v>
                </c:pt>
                <c:pt idx="7">
                  <c:v>263.94</c:v>
                </c:pt>
                <c:pt idx="8">
                  <c:v>268.64</c:v>
                </c:pt>
                <c:pt idx="9">
                  <c:v>273.66000000000003</c:v>
                </c:pt>
                <c:pt idx="10">
                  <c:v>270.89999999999998</c:v>
                </c:pt>
                <c:pt idx="11">
                  <c:v>259.42</c:v>
                </c:pt>
                <c:pt idx="12">
                  <c:v>264.49</c:v>
                </c:pt>
                <c:pt idx="13">
                  <c:v>262.35000000000002</c:v>
                </c:pt>
                <c:pt idx="14">
                  <c:v>257.22000000000003</c:v>
                </c:pt>
                <c:pt idx="15">
                  <c:v>258.99</c:v>
                </c:pt>
                <c:pt idx="16">
                  <c:v>265.83</c:v>
                </c:pt>
                <c:pt idx="17">
                  <c:v>261.39999999999998</c:v>
                </c:pt>
                <c:pt idx="18">
                  <c:v>259.05</c:v>
                </c:pt>
                <c:pt idx="19">
                  <c:v>265.63</c:v>
                </c:pt>
                <c:pt idx="20">
                  <c:v>256.52</c:v>
                </c:pt>
                <c:pt idx="21">
                  <c:v>247.22</c:v>
                </c:pt>
                <c:pt idx="22">
                  <c:v>245.11</c:v>
                </c:pt>
                <c:pt idx="23">
                  <c:v>252.2</c:v>
                </c:pt>
                <c:pt idx="24">
                  <c:v>249.99</c:v>
                </c:pt>
                <c:pt idx="25">
                  <c:v>250.77</c:v>
                </c:pt>
                <c:pt idx="26">
                  <c:v>263.86</c:v>
                </c:pt>
                <c:pt idx="27">
                  <c:v>273.27</c:v>
                </c:pt>
                <c:pt idx="28">
                  <c:v>270.43</c:v>
                </c:pt>
                <c:pt idx="29">
                  <c:v>266.06</c:v>
                </c:pt>
                <c:pt idx="30">
                  <c:v>273.45</c:v>
                </c:pt>
                <c:pt idx="31">
                  <c:v>273.06</c:v>
                </c:pt>
                <c:pt idx="32">
                  <c:v>265.95999999999998</c:v>
                </c:pt>
                <c:pt idx="33">
                  <c:v>273.26</c:v>
                </c:pt>
                <c:pt idx="34">
                  <c:v>259.87</c:v>
                </c:pt>
                <c:pt idx="35">
                  <c:v>262.10000000000002</c:v>
                </c:pt>
                <c:pt idx="36">
                  <c:v>268.92</c:v>
                </c:pt>
                <c:pt idx="37">
                  <c:v>262.08</c:v>
                </c:pt>
                <c:pt idx="38">
                  <c:v>269.35000000000002</c:v>
                </c:pt>
                <c:pt idx="39">
                  <c:v>269.85000000000002</c:v>
                </c:pt>
                <c:pt idx="40">
                  <c:v>273.33</c:v>
                </c:pt>
                <c:pt idx="41">
                  <c:v>280.57</c:v>
                </c:pt>
                <c:pt idx="42">
                  <c:v>267.25</c:v>
                </c:pt>
                <c:pt idx="43">
                  <c:v>278.67</c:v>
                </c:pt>
                <c:pt idx="44">
                  <c:v>278.54000000000002</c:v>
                </c:pt>
                <c:pt idx="45">
                  <c:v>280.58999999999997</c:v>
                </c:pt>
                <c:pt idx="46">
                  <c:v>284.01</c:v>
                </c:pt>
                <c:pt idx="47">
                  <c:v>293.68</c:v>
                </c:pt>
                <c:pt idx="48">
                  <c:v>296.7</c:v>
                </c:pt>
                <c:pt idx="49">
                  <c:v>294.62</c:v>
                </c:pt>
                <c:pt idx="50">
                  <c:v>306.35000000000002</c:v>
                </c:pt>
                <c:pt idx="51">
                  <c:v>308.33999999999997</c:v>
                </c:pt>
                <c:pt idx="52">
                  <c:v>309.67</c:v>
                </c:pt>
                <c:pt idx="53">
                  <c:v>303.83999999999997</c:v>
                </c:pt>
                <c:pt idx="54">
                  <c:v>302.29000000000002</c:v>
                </c:pt>
                <c:pt idx="55">
                  <c:v>300.19</c:v>
                </c:pt>
                <c:pt idx="56">
                  <c:v>300.77</c:v>
                </c:pt>
                <c:pt idx="57">
                  <c:v>297.56</c:v>
                </c:pt>
                <c:pt idx="58">
                  <c:v>293.37</c:v>
                </c:pt>
                <c:pt idx="59">
                  <c:v>297.17</c:v>
                </c:pt>
                <c:pt idx="60">
                  <c:v>299.29000000000002</c:v>
                </c:pt>
                <c:pt idx="61">
                  <c:v>289.11</c:v>
                </c:pt>
                <c:pt idx="62">
                  <c:v>282.39</c:v>
                </c:pt>
                <c:pt idx="63">
                  <c:v>283.45999999999998</c:v>
                </c:pt>
                <c:pt idx="64">
                  <c:v>289.88</c:v>
                </c:pt>
                <c:pt idx="65">
                  <c:v>284.61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159744"/>
        <c:axId val="413167192"/>
      </c:lineChart>
      <c:dateAx>
        <c:axId val="41315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67192"/>
        <c:crosses val="autoZero"/>
        <c:auto val="1"/>
        <c:lblOffset val="100"/>
        <c:baseTimeUnit val="days"/>
      </c:dateAx>
      <c:valAx>
        <c:axId val="41316719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5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48"/>
  <sheetViews>
    <sheetView tabSelected="1" zoomScaleNormal="100" workbookViewId="0">
      <pane ySplit="1" topLeftCell="A134" activePane="bottomLeft" state="frozen"/>
      <selection pane="bottomLeft" activeCell="K152" sqref="K152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6" bestFit="1" customWidth="1"/>
    <col min="17" max="17" width="12.28515625" style="396" bestFit="1" customWidth="1"/>
    <col min="18" max="18" width="12" style="396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400"/>
      <c r="B1" s="401" t="s">
        <v>88</v>
      </c>
      <c r="C1" s="400" t="s">
        <v>142</v>
      </c>
      <c r="D1" s="402" t="s">
        <v>144</v>
      </c>
      <c r="E1" s="402" t="s">
        <v>159</v>
      </c>
      <c r="F1" s="402" t="s">
        <v>177</v>
      </c>
      <c r="G1" s="402" t="s">
        <v>178</v>
      </c>
      <c r="H1" s="402" t="s">
        <v>179</v>
      </c>
      <c r="I1" s="400" t="s">
        <v>87</v>
      </c>
      <c r="J1" s="400" t="s">
        <v>89</v>
      </c>
      <c r="K1" s="400" t="s">
        <v>141</v>
      </c>
      <c r="L1" s="400" t="s">
        <v>143</v>
      </c>
      <c r="M1" s="403" t="s">
        <v>99</v>
      </c>
      <c r="N1" s="403" t="s">
        <v>76</v>
      </c>
      <c r="O1" s="400" t="s">
        <v>173</v>
      </c>
      <c r="P1" s="404" t="s">
        <v>285</v>
      </c>
      <c r="Q1" s="404" t="s">
        <v>421</v>
      </c>
      <c r="R1" s="404" t="s">
        <v>422</v>
      </c>
      <c r="S1" s="243" t="s">
        <v>174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7"/>
      <c r="R2" s="397"/>
      <c r="S2" s="395">
        <f>LOOKUP(2,1/(M:M&lt;&gt;""),M:M)</f>
        <v>-102377.96000000002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7"/>
      <c r="R3" s="397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7"/>
      <c r="R4" s="397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7"/>
      <c r="R5" s="397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7"/>
      <c r="R6" s="397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8"/>
      <c r="R7" s="398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8"/>
      <c r="R8" s="398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8"/>
      <c r="R9" s="398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8"/>
      <c r="R10" s="398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8"/>
      <c r="R11" s="398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7"/>
      <c r="R12" s="397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7"/>
      <c r="R13" s="397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7"/>
      <c r="R14" s="397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7"/>
      <c r="R15" s="397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7"/>
      <c r="R16" s="397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8"/>
      <c r="R17" s="398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8"/>
      <c r="R18" s="398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8"/>
      <c r="R19" s="398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8"/>
      <c r="R20" s="398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7"/>
      <c r="R21" s="397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7"/>
      <c r="R22" s="397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7"/>
      <c r="R23" s="397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7"/>
      <c r="R24" s="397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7"/>
      <c r="R25" s="397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8"/>
      <c r="R26" s="398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8"/>
      <c r="R27" s="398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8"/>
      <c r="R28" s="398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8"/>
      <c r="R29" s="398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8"/>
      <c r="R30" s="398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7"/>
      <c r="R31" s="397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7"/>
      <c r="R32" s="397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7"/>
      <c r="R33" s="397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7"/>
      <c r="R34" s="397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7"/>
      <c r="R35" s="397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8"/>
      <c r="R36" s="398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8"/>
      <c r="R37" s="398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8"/>
      <c r="R38" s="398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8"/>
      <c r="R39" s="398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8"/>
      <c r="R40" s="398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7"/>
      <c r="R41" s="397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7"/>
      <c r="R42" s="397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7"/>
      <c r="R43" s="397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7"/>
      <c r="R44" s="397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7"/>
      <c r="R45" s="397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8"/>
      <c r="R46" s="398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8"/>
      <c r="R47" s="398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8"/>
      <c r="R48" s="398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8"/>
      <c r="R49" s="398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8"/>
      <c r="R50" s="398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7"/>
      <c r="R51" s="397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7"/>
      <c r="R52" s="397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7"/>
      <c r="R53" s="397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7"/>
      <c r="R54" s="397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7"/>
      <c r="R55" s="397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8"/>
      <c r="R56" s="398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8"/>
      <c r="R57" s="398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8"/>
      <c r="R58" s="398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8"/>
      <c r="R59" s="398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8"/>
      <c r="R60" s="398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7"/>
      <c r="R61" s="397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7"/>
      <c r="R62" s="397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7"/>
      <c r="R63" s="397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7"/>
      <c r="R64" s="397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7"/>
      <c r="R65" s="397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8"/>
      <c r="R66" s="398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8"/>
      <c r="R67" s="398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8"/>
      <c r="R68" s="398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8"/>
      <c r="R69" s="398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8"/>
      <c r="R70" s="398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7"/>
      <c r="R71" s="397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7"/>
      <c r="R72" s="397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7"/>
      <c r="R73" s="397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7"/>
      <c r="R74" s="397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8"/>
      <c r="R75" s="398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8"/>
      <c r="R76" s="398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8"/>
      <c r="R77" s="398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8"/>
      <c r="R78" s="398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8"/>
      <c r="R79" s="398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7"/>
      <c r="R80" s="397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7"/>
      <c r="R81" s="397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7"/>
      <c r="R82" s="397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7"/>
      <c r="R83" s="397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7"/>
      <c r="R84" s="397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8"/>
      <c r="R85" s="398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8"/>
      <c r="R86" s="398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8"/>
      <c r="R87" s="398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8"/>
      <c r="R88" s="398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8"/>
      <c r="R89" s="398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7"/>
      <c r="R90" s="397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7"/>
      <c r="R91" s="397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7"/>
      <c r="R92" s="397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7"/>
      <c r="R93" s="397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8"/>
      <c r="R94" s="398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8"/>
      <c r="R95" s="398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8"/>
      <c r="R96" s="398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8"/>
      <c r="R97" s="398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7"/>
      <c r="R98" s="397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7"/>
      <c r="R99" s="397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7"/>
      <c r="R100" s="397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7"/>
      <c r="R101" s="397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7"/>
      <c r="R102" s="397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8"/>
      <c r="R103" s="398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8"/>
      <c r="R104" s="398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8"/>
      <c r="R105" s="398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8"/>
      <c r="R106" s="398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8"/>
      <c r="R107" s="398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7"/>
      <c r="R108" s="397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7"/>
      <c r="R109" s="397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7"/>
      <c r="R110" s="397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7"/>
      <c r="R111" s="397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8"/>
      <c r="R112" s="398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8"/>
      <c r="R113" s="398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8"/>
      <c r="R114" s="398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8"/>
      <c r="R115" s="398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8"/>
      <c r="R116" s="398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9"/>
      <c r="R117" s="399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9"/>
      <c r="R118" s="399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9"/>
      <c r="R119" s="399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9"/>
      <c r="R120" s="399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9"/>
      <c r="R121" s="399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8"/>
      <c r="R122" s="398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8"/>
      <c r="R123" s="398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8"/>
      <c r="R124" s="398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8"/>
      <c r="R125" s="398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8"/>
      <c r="R126" s="398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9"/>
      <c r="R127" s="399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9"/>
      <c r="R128" s="399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9"/>
      <c r="R129" s="399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9"/>
      <c r="R130" s="399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8"/>
      <c r="R131" s="398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46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46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8"/>
      <c r="R132" s="398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46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8"/>
      <c r="R133" s="398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8"/>
      <c r="R134" s="398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8"/>
      <c r="R135" s="398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9"/>
      <c r="R136" s="399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9"/>
      <c r="R137" s="399"/>
    </row>
    <row r="138" spans="1:18" ht="20.100000000000001" customHeight="1" x14ac:dyDescent="0.25">
      <c r="B138" s="284">
        <v>42431</v>
      </c>
      <c r="C138" s="387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9"/>
      <c r="R138" s="399"/>
    </row>
    <row r="139" spans="1:18" ht="20.100000000000001" customHeight="1" x14ac:dyDescent="0.25">
      <c r="B139" s="284">
        <v>42432</v>
      </c>
      <c r="C139" s="387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9"/>
      <c r="R139" s="399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9"/>
      <c r="R140" s="399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8"/>
      <c r="R141" s="398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8"/>
      <c r="R142" s="398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8"/>
      <c r="R143" s="398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8"/>
      <c r="R144" s="398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8"/>
      <c r="R145" s="398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ref="D147" si="383">(C147-C146)/C146</f>
        <v>-1.8369610425620587E-3</v>
      </c>
      <c r="E147" s="286">
        <f t="shared" ref="E147" si="384">(C147-$C$2)/$C$2</f>
        <v>-4.1147428701889227E-2</v>
      </c>
      <c r="F147" s="287">
        <v>4728.66</v>
      </c>
      <c r="G147" s="188">
        <f t="shared" ref="G147" si="385">(F147-F146)/F146</f>
        <v>-4.5513106595821496E-3</v>
      </c>
      <c r="H147" s="288">
        <f t="shared" ref="H147" si="386">(F147-F$2)/F$2</f>
        <v>-7.1300351552526661E-2</v>
      </c>
      <c r="I147" s="289">
        <v>295669.06</v>
      </c>
      <c r="J147" s="290">
        <v>400000</v>
      </c>
      <c r="K147" s="290">
        <f t="shared" ref="K147" si="387">I147-I146-J147+J146</f>
        <v>285.57000000000698</v>
      </c>
      <c r="L147" s="188">
        <f t="shared" ref="L147" si="388">K147/I146</f>
        <v>9.6677712082014809E-4</v>
      </c>
      <c r="M147" s="291">
        <f t="shared" ref="M147" si="389">I147-J147</f>
        <v>-104330.94</v>
      </c>
      <c r="N147" s="292">
        <f t="shared" ref="N147" si="390">M147/J147</f>
        <v>-0.26082735000000001</v>
      </c>
      <c r="O147" s="291" t="b">
        <f t="shared" ref="O147" si="391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ref="D148" si="392">(C148-C147)/C147</f>
        <v>5.6003928707841853E-3</v>
      </c>
      <c r="E148" s="286">
        <f t="shared" ref="E148" si="393">(C148-$C$2)/$C$2</f>
        <v>-3.5777477597458203E-2</v>
      </c>
      <c r="F148" s="287">
        <v>4763.97</v>
      </c>
      <c r="G148" s="188">
        <f t="shared" ref="G148" si="394">(F148-F147)/F147</f>
        <v>7.467231731611154E-3</v>
      </c>
      <c r="H148" s="288">
        <f t="shared" ref="H148" si="395">(F148-F$2)/F$2</f>
        <v>-6.4365536068503565E-2</v>
      </c>
      <c r="I148" s="289">
        <v>297622.03999999998</v>
      </c>
      <c r="J148" s="290">
        <v>400000</v>
      </c>
      <c r="K148" s="290">
        <f t="shared" ref="K148" si="396">I148-I147-J148+J147</f>
        <v>1952.9799999999814</v>
      </c>
      <c r="L148" s="188">
        <f t="shared" ref="L148" si="397">K148/I147</f>
        <v>6.6052903878409917E-3</v>
      </c>
      <c r="M148" s="291">
        <f t="shared" ref="M148" si="398">I148-J148</f>
        <v>-102377.96000000002</v>
      </c>
      <c r="N148" s="292">
        <f t="shared" ref="N148" si="399">M148/J148</f>
        <v>-0.25594490000000003</v>
      </c>
      <c r="O148" s="291" t="b">
        <f t="shared" ref="O148" si="400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>I148-Q148</f>
        <v>89505.579999999987</v>
      </c>
    </row>
  </sheetData>
  <conditionalFormatting sqref="L149:L1048576 L1:L2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8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48">
    <cfRule type="colorScale" priority="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48">
    <cfRule type="colorScale" priority="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8">
    <cfRule type="colorScale" priority="11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21" activePane="bottomLeft" state="frozen"/>
      <selection activeCell="E5" sqref="E5"/>
      <selection pane="bottomLeft" activeCell="F210" sqref="F210"/>
    </sheetView>
  </sheetViews>
  <sheetFormatPr defaultRowHeight="18" customHeight="1" x14ac:dyDescent="0.25"/>
  <cols>
    <col min="1" max="1" width="9.5703125" style="331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5" t="s">
        <v>1</v>
      </c>
      <c r="B1" s="356" t="s">
        <v>2</v>
      </c>
      <c r="C1" s="357" t="s">
        <v>4</v>
      </c>
      <c r="D1" s="356" t="s">
        <v>5</v>
      </c>
      <c r="E1" s="356" t="s">
        <v>96</v>
      </c>
      <c r="F1" s="358" t="s">
        <v>60</v>
      </c>
      <c r="G1" s="356" t="s">
        <v>3</v>
      </c>
      <c r="H1" s="357" t="s">
        <v>6</v>
      </c>
      <c r="I1" s="356" t="s">
        <v>7</v>
      </c>
      <c r="J1" s="357" t="s">
        <v>97</v>
      </c>
      <c r="K1" s="358" t="s">
        <v>61</v>
      </c>
      <c r="L1" s="356" t="s">
        <v>77</v>
      </c>
      <c r="M1" s="358" t="s">
        <v>38</v>
      </c>
      <c r="N1" s="357" t="s">
        <v>59</v>
      </c>
      <c r="O1" s="357" t="s">
        <v>76</v>
      </c>
      <c r="P1" s="27" t="s">
        <v>139</v>
      </c>
    </row>
    <row r="2" spans="1:17" ht="18" customHeight="1" x14ac:dyDescent="0.25">
      <c r="A2" s="344" t="s">
        <v>12</v>
      </c>
      <c r="B2" s="345">
        <v>42151</v>
      </c>
      <c r="C2" s="346">
        <v>5</v>
      </c>
      <c r="D2" s="347">
        <v>42.7</v>
      </c>
      <c r="E2" s="348"/>
      <c r="F2" s="347">
        <f>C2*D2</f>
        <v>213.5</v>
      </c>
      <c r="G2" s="345">
        <v>42181</v>
      </c>
      <c r="H2" s="346">
        <v>5</v>
      </c>
      <c r="I2" s="347">
        <v>43.35</v>
      </c>
      <c r="J2" s="346">
        <v>0.01</v>
      </c>
      <c r="K2" s="347">
        <f>H2*I2-J2</f>
        <v>216.74</v>
      </c>
      <c r="L2" s="348"/>
      <c r="M2" s="347"/>
      <c r="N2" s="347"/>
      <c r="O2" s="349"/>
    </row>
    <row r="3" spans="1:17" ht="18" customHeight="1" x14ac:dyDescent="0.25">
      <c r="A3" s="344"/>
      <c r="B3" s="345">
        <v>42153</v>
      </c>
      <c r="C3" s="346">
        <v>25</v>
      </c>
      <c r="D3" s="347">
        <v>41.6</v>
      </c>
      <c r="E3" s="348"/>
      <c r="F3" s="347">
        <f>C3*D3</f>
        <v>1040</v>
      </c>
      <c r="G3" s="345">
        <v>42200</v>
      </c>
      <c r="H3" s="346">
        <v>10</v>
      </c>
      <c r="I3" s="347">
        <v>41.64</v>
      </c>
      <c r="J3" s="346">
        <v>0.01</v>
      </c>
      <c r="K3" s="347">
        <f>H3*I3-J3</f>
        <v>416.39</v>
      </c>
      <c r="L3" s="348"/>
      <c r="M3" s="347"/>
      <c r="N3" s="347"/>
      <c r="O3" s="349"/>
    </row>
    <row r="4" spans="1:17" ht="18" customHeight="1" x14ac:dyDescent="0.25">
      <c r="A4" s="344"/>
      <c r="B4" s="345">
        <v>42166</v>
      </c>
      <c r="C4" s="346">
        <v>10</v>
      </c>
      <c r="D4" s="347">
        <v>40</v>
      </c>
      <c r="E4" s="348"/>
      <c r="F4" s="347">
        <f>C4*D4</f>
        <v>400</v>
      </c>
      <c r="G4" s="345">
        <v>42201</v>
      </c>
      <c r="H4" s="346">
        <v>125</v>
      </c>
      <c r="I4" s="347">
        <v>42.6</v>
      </c>
      <c r="J4" s="346">
        <v>0.1</v>
      </c>
      <c r="K4" s="347">
        <f>H4*I4-J4</f>
        <v>5324.9</v>
      </c>
      <c r="L4" s="348"/>
      <c r="M4" s="347"/>
      <c r="N4" s="347"/>
      <c r="O4" s="349"/>
      <c r="Q4" s="163"/>
    </row>
    <row r="5" spans="1:17" ht="18" customHeight="1" x14ac:dyDescent="0.25">
      <c r="A5" s="344"/>
      <c r="B5" s="345">
        <v>42166</v>
      </c>
      <c r="C5" s="346">
        <v>100</v>
      </c>
      <c r="D5" s="347">
        <v>39.799999999999997</v>
      </c>
      <c r="E5" s="348"/>
      <c r="F5" s="347">
        <f>C5*D5</f>
        <v>3979.9999999999995</v>
      </c>
      <c r="G5" s="348"/>
      <c r="H5" s="346"/>
      <c r="I5" s="347"/>
      <c r="J5" s="346"/>
      <c r="K5" s="347"/>
      <c r="L5" s="348"/>
      <c r="M5" s="347"/>
      <c r="N5" s="347"/>
      <c r="O5" s="349"/>
    </row>
    <row r="6" spans="1:17" ht="17.25" customHeight="1" x14ac:dyDescent="0.25">
      <c r="A6" s="344"/>
      <c r="B6" s="350"/>
      <c r="C6" s="351">
        <f>SUM(C2:C5)</f>
        <v>140</v>
      </c>
      <c r="D6" s="352"/>
      <c r="E6" s="353"/>
      <c r="F6" s="352">
        <f>SUM(F2:F5)</f>
        <v>5633.5</v>
      </c>
      <c r="G6" s="353"/>
      <c r="H6" s="351">
        <f>SUM(H2:H5)</f>
        <v>140</v>
      </c>
      <c r="I6" s="352"/>
      <c r="J6" s="351"/>
      <c r="K6" s="352">
        <f>SUM(K2:K5)</f>
        <v>5958.03</v>
      </c>
      <c r="L6" s="353"/>
      <c r="M6" s="352"/>
      <c r="N6" s="352">
        <f>K6-F6</f>
        <v>324.52999999999975</v>
      </c>
      <c r="O6" s="354">
        <f>(N6+M6)/F6</f>
        <v>5.7607171385461925E-2</v>
      </c>
      <c r="P6" s="153" t="s">
        <v>140</v>
      </c>
    </row>
    <row r="7" spans="1:17" ht="17.25" customHeight="1" x14ac:dyDescent="0.25">
      <c r="A7" s="332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3" t="s">
        <v>18</v>
      </c>
      <c r="B8" s="334">
        <v>42153</v>
      </c>
      <c r="C8" s="335">
        <v>50</v>
      </c>
      <c r="D8" s="336">
        <v>36.4</v>
      </c>
      <c r="E8" s="336">
        <v>0</v>
      </c>
      <c r="F8" s="336">
        <f t="shared" ref="F8:F15" si="0">C8*D8</f>
        <v>1820</v>
      </c>
      <c r="G8" s="334">
        <v>42333</v>
      </c>
      <c r="H8" s="337">
        <v>80</v>
      </c>
      <c r="I8" s="336">
        <v>8.7200000000000006</v>
      </c>
      <c r="J8" s="336">
        <v>0.01</v>
      </c>
      <c r="K8" s="336">
        <f>I8*H8-J8</f>
        <v>697.59</v>
      </c>
      <c r="L8" s="335"/>
      <c r="M8" s="335"/>
      <c r="N8" s="335"/>
      <c r="O8" s="338"/>
      <c r="P8" s="4"/>
      <c r="Q8" s="198"/>
    </row>
    <row r="9" spans="1:17" ht="17.25" customHeight="1" x14ac:dyDescent="0.25">
      <c r="A9" s="339"/>
      <c r="B9" s="334">
        <v>42173</v>
      </c>
      <c r="C9" s="335">
        <v>5</v>
      </c>
      <c r="D9" s="336">
        <v>22.95</v>
      </c>
      <c r="E9" s="336">
        <v>0</v>
      </c>
      <c r="F9" s="336">
        <f t="shared" si="0"/>
        <v>114.75</v>
      </c>
      <c r="G9" s="334">
        <v>42335</v>
      </c>
      <c r="H9" s="337">
        <v>80</v>
      </c>
      <c r="I9" s="336">
        <v>8.98</v>
      </c>
      <c r="J9" s="336">
        <v>0.01</v>
      </c>
      <c r="K9" s="336">
        <f>I9*H9-J9</f>
        <v>718.3900000000001</v>
      </c>
      <c r="L9" s="335"/>
      <c r="M9" s="335"/>
      <c r="N9" s="335"/>
      <c r="O9" s="338"/>
      <c r="P9" s="4"/>
      <c r="Q9" s="3"/>
    </row>
    <row r="10" spans="1:17" ht="17.25" customHeight="1" x14ac:dyDescent="0.25">
      <c r="A10" s="340"/>
      <c r="B10" s="334">
        <v>42173</v>
      </c>
      <c r="C10" s="335">
        <v>10</v>
      </c>
      <c r="D10" s="336">
        <v>22.8</v>
      </c>
      <c r="E10" s="336">
        <v>0</v>
      </c>
      <c r="F10" s="336">
        <f t="shared" si="0"/>
        <v>228</v>
      </c>
      <c r="G10" s="334">
        <v>42362</v>
      </c>
      <c r="H10" s="337">
        <v>80</v>
      </c>
      <c r="I10" s="336">
        <v>9.4499999999999993</v>
      </c>
      <c r="J10" s="336">
        <v>0.01</v>
      </c>
      <c r="K10" s="336">
        <f>I10*H10-J10</f>
        <v>755.99</v>
      </c>
      <c r="L10" s="335"/>
      <c r="M10" s="335"/>
      <c r="N10" s="335"/>
      <c r="O10" s="338"/>
      <c r="P10" s="4"/>
      <c r="Q10" s="329"/>
    </row>
    <row r="11" spans="1:17" ht="18" customHeight="1" x14ac:dyDescent="0.25">
      <c r="A11" s="340"/>
      <c r="B11" s="334">
        <v>42234</v>
      </c>
      <c r="C11" s="335">
        <v>15</v>
      </c>
      <c r="D11" s="336">
        <v>13.9</v>
      </c>
      <c r="E11" s="336">
        <v>0</v>
      </c>
      <c r="F11" s="336">
        <f t="shared" si="0"/>
        <v>208.5</v>
      </c>
      <c r="G11" s="334">
        <v>42398</v>
      </c>
      <c r="H11" s="337">
        <v>3</v>
      </c>
      <c r="I11" s="336">
        <v>5.81</v>
      </c>
      <c r="J11" s="336">
        <v>0.01</v>
      </c>
      <c r="K11" s="336">
        <f>I11*H11-J11</f>
        <v>17.419999999999998</v>
      </c>
      <c r="L11" s="335"/>
      <c r="M11" s="335"/>
      <c r="N11" s="335"/>
      <c r="O11" s="338"/>
      <c r="P11" s="4"/>
      <c r="Q11" s="3"/>
    </row>
    <row r="12" spans="1:17" ht="18" customHeight="1" x14ac:dyDescent="0.25">
      <c r="A12" s="340"/>
      <c r="B12" s="405">
        <v>42328</v>
      </c>
      <c r="C12" s="335">
        <v>1</v>
      </c>
      <c r="D12" s="336">
        <v>8.59</v>
      </c>
      <c r="E12" s="336">
        <v>0</v>
      </c>
      <c r="F12" s="336">
        <f t="shared" si="0"/>
        <v>8.59</v>
      </c>
      <c r="G12" s="335"/>
      <c r="H12" s="337"/>
      <c r="I12" s="336"/>
      <c r="J12" s="336"/>
      <c r="K12" s="336"/>
      <c r="L12" s="335"/>
      <c r="M12" s="335"/>
      <c r="N12" s="335"/>
      <c r="O12" s="338"/>
      <c r="P12" s="4"/>
      <c r="Q12" s="3"/>
    </row>
    <row r="13" spans="1:17" ht="18" customHeight="1" x14ac:dyDescent="0.25">
      <c r="A13" s="340"/>
      <c r="B13" s="405"/>
      <c r="C13" s="335">
        <v>80</v>
      </c>
      <c r="D13" s="336">
        <v>8.59</v>
      </c>
      <c r="E13" s="336">
        <v>0</v>
      </c>
      <c r="F13" s="336">
        <f t="shared" si="0"/>
        <v>687.2</v>
      </c>
      <c r="G13" s="335"/>
      <c r="H13" s="337"/>
      <c r="I13" s="336"/>
      <c r="J13" s="336"/>
      <c r="K13" s="336"/>
      <c r="L13" s="335"/>
      <c r="M13" s="335"/>
      <c r="N13" s="335"/>
      <c r="O13" s="338"/>
      <c r="P13" s="4"/>
      <c r="Q13" s="3"/>
    </row>
    <row r="14" spans="1:17" ht="18" customHeight="1" x14ac:dyDescent="0.25">
      <c r="A14" s="340"/>
      <c r="B14" s="405">
        <v>42354</v>
      </c>
      <c r="C14" s="335">
        <v>2</v>
      </c>
      <c r="D14" s="336">
        <v>8.73</v>
      </c>
      <c r="E14" s="336">
        <v>0</v>
      </c>
      <c r="F14" s="336">
        <f t="shared" si="0"/>
        <v>17.46</v>
      </c>
      <c r="G14" s="335"/>
      <c r="H14" s="337"/>
      <c r="I14" s="336"/>
      <c r="J14" s="336"/>
      <c r="K14" s="336"/>
      <c r="L14" s="335"/>
      <c r="M14" s="335"/>
      <c r="N14" s="335"/>
      <c r="O14" s="338"/>
      <c r="P14" s="4"/>
      <c r="Q14" s="330"/>
    </row>
    <row r="15" spans="1:17" ht="18" customHeight="1" x14ac:dyDescent="0.25">
      <c r="A15" s="340"/>
      <c r="B15" s="405"/>
      <c r="C15" s="335">
        <v>80</v>
      </c>
      <c r="D15" s="336">
        <v>8.73</v>
      </c>
      <c r="E15" s="336">
        <v>0</v>
      </c>
      <c r="F15" s="336">
        <f t="shared" si="0"/>
        <v>698.40000000000009</v>
      </c>
      <c r="G15" s="335"/>
      <c r="H15" s="335"/>
      <c r="I15" s="336"/>
      <c r="J15" s="336"/>
      <c r="K15" s="336"/>
      <c r="L15" s="335"/>
      <c r="M15" s="335"/>
      <c r="N15" s="335"/>
      <c r="O15" s="335"/>
      <c r="P15" s="4"/>
      <c r="Q15" s="4"/>
    </row>
    <row r="16" spans="1:17" ht="18" customHeight="1" x14ac:dyDescent="0.25">
      <c r="A16" s="333"/>
      <c r="B16" s="338"/>
      <c r="C16" s="338">
        <f>SUM(C8:C15)</f>
        <v>243</v>
      </c>
      <c r="D16" s="341"/>
      <c r="E16" s="341"/>
      <c r="F16" s="341">
        <f>SUM(F8:F15)</f>
        <v>3782.9</v>
      </c>
      <c r="G16" s="341"/>
      <c r="H16" s="342">
        <f>SUM(H8:H12)</f>
        <v>243</v>
      </c>
      <c r="I16" s="341"/>
      <c r="J16" s="341"/>
      <c r="K16" s="341">
        <f>SUM(K8:K12)</f>
        <v>2189.3900000000003</v>
      </c>
      <c r="L16" s="341"/>
      <c r="M16" s="341"/>
      <c r="N16" s="341">
        <f>K16-F16</f>
        <v>-1593.5099999999998</v>
      </c>
      <c r="O16" s="343">
        <f>N16/F16</f>
        <v>-0.42124031827433972</v>
      </c>
      <c r="P16" s="4"/>
      <c r="Q16" s="4"/>
    </row>
    <row r="17" spans="1:16" ht="18" customHeight="1" x14ac:dyDescent="0.25">
      <c r="A17" s="28"/>
      <c r="B17" s="359"/>
      <c r="C17" s="360"/>
      <c r="D17" s="361"/>
      <c r="E17" s="361"/>
      <c r="F17" s="361"/>
      <c r="G17" s="359"/>
      <c r="H17" s="360"/>
      <c r="I17" s="361"/>
      <c r="J17" s="361"/>
      <c r="K17" s="361"/>
      <c r="L17" s="359"/>
      <c r="M17" s="361"/>
      <c r="N17" s="361"/>
      <c r="O17" s="362"/>
    </row>
    <row r="18" spans="1:16" ht="18" customHeight="1" x14ac:dyDescent="0.25">
      <c r="A18" s="344" t="s">
        <v>48</v>
      </c>
      <c r="B18" s="345">
        <v>42186</v>
      </c>
      <c r="C18" s="346">
        <v>10</v>
      </c>
      <c r="D18" s="347">
        <v>101.7</v>
      </c>
      <c r="E18" s="347"/>
      <c r="F18" s="347">
        <f>C18*D18</f>
        <v>1017</v>
      </c>
      <c r="G18" s="345">
        <v>42186</v>
      </c>
      <c r="H18" s="346">
        <v>10</v>
      </c>
      <c r="I18" s="347">
        <v>103</v>
      </c>
      <c r="J18" s="347">
        <v>0.02</v>
      </c>
      <c r="K18" s="347">
        <f>H18*I18-J18</f>
        <v>1029.98</v>
      </c>
      <c r="L18" s="348"/>
      <c r="M18" s="347"/>
      <c r="N18" s="347"/>
      <c r="O18" s="349"/>
    </row>
    <row r="19" spans="1:16" ht="18" customHeight="1" x14ac:dyDescent="0.25">
      <c r="A19" s="344"/>
      <c r="B19" s="350"/>
      <c r="C19" s="351">
        <f>SUM(C18)</f>
        <v>10</v>
      </c>
      <c r="D19" s="352"/>
      <c r="E19" s="352"/>
      <c r="F19" s="352">
        <f>SUM(F18)</f>
        <v>1017</v>
      </c>
      <c r="G19" s="353"/>
      <c r="H19" s="351">
        <f>SUM(H18)</f>
        <v>10</v>
      </c>
      <c r="I19" s="352"/>
      <c r="J19" s="352"/>
      <c r="K19" s="352">
        <f>SUM(K18)</f>
        <v>1029.98</v>
      </c>
      <c r="L19" s="353"/>
      <c r="M19" s="352"/>
      <c r="N19" s="352">
        <f>K19-F19</f>
        <v>12.980000000000018</v>
      </c>
      <c r="O19" s="354">
        <f>(N19+M19)/F19</f>
        <v>1.2763028515240922E-2</v>
      </c>
      <c r="P19" s="153" t="s">
        <v>140</v>
      </c>
    </row>
    <row r="20" spans="1:16" ht="18" customHeight="1" x14ac:dyDescent="0.25">
      <c r="A20" s="28"/>
      <c r="B20" s="359"/>
      <c r="C20" s="360"/>
      <c r="D20" s="361"/>
      <c r="E20" s="28"/>
      <c r="F20" s="361"/>
      <c r="G20" s="359"/>
      <c r="H20" s="360"/>
      <c r="I20" s="361"/>
      <c r="K20" s="361"/>
      <c r="L20" s="359"/>
      <c r="M20" s="361"/>
      <c r="N20" s="361"/>
      <c r="O20" s="362"/>
    </row>
    <row r="21" spans="1:16" ht="18" customHeight="1" x14ac:dyDescent="0.25">
      <c r="A21" s="344" t="s">
        <v>29</v>
      </c>
      <c r="B21" s="345">
        <v>42164</v>
      </c>
      <c r="C21" s="346">
        <v>5</v>
      </c>
      <c r="D21" s="347">
        <v>45.9</v>
      </c>
      <c r="E21" s="348"/>
      <c r="F21" s="347">
        <f>C21*D21</f>
        <v>229.5</v>
      </c>
      <c r="G21" s="345">
        <v>42195</v>
      </c>
      <c r="H21" s="346">
        <v>20</v>
      </c>
      <c r="I21" s="347">
        <v>46.15</v>
      </c>
      <c r="J21" s="346">
        <v>0.02</v>
      </c>
      <c r="K21" s="347">
        <f>H21*I21-J21</f>
        <v>922.98</v>
      </c>
      <c r="L21" s="348"/>
      <c r="M21" s="347"/>
      <c r="N21" s="347"/>
      <c r="O21" s="349"/>
    </row>
    <row r="22" spans="1:16" ht="18" customHeight="1" x14ac:dyDescent="0.25">
      <c r="A22" s="344"/>
      <c r="B22" s="345">
        <v>42184</v>
      </c>
      <c r="C22" s="346">
        <v>5</v>
      </c>
      <c r="D22" s="347">
        <v>44.5</v>
      </c>
      <c r="E22" s="348"/>
      <c r="F22" s="347">
        <f>C22*D22</f>
        <v>222.5</v>
      </c>
      <c r="G22" s="348"/>
      <c r="H22" s="346"/>
      <c r="I22" s="347"/>
      <c r="J22" s="346"/>
      <c r="K22" s="347"/>
      <c r="L22" s="348"/>
      <c r="M22" s="347"/>
      <c r="N22" s="347"/>
      <c r="O22" s="349"/>
    </row>
    <row r="23" spans="1:16" ht="18" customHeight="1" x14ac:dyDescent="0.25">
      <c r="A23" s="344"/>
      <c r="B23" s="345">
        <v>42184</v>
      </c>
      <c r="C23" s="346">
        <v>10</v>
      </c>
      <c r="D23" s="347">
        <v>44.35</v>
      </c>
      <c r="E23" s="348"/>
      <c r="F23" s="347">
        <f>C23*D23</f>
        <v>443.5</v>
      </c>
      <c r="G23" s="348"/>
      <c r="H23" s="346"/>
      <c r="I23" s="347"/>
      <c r="J23" s="346"/>
      <c r="K23" s="347"/>
      <c r="L23" s="348"/>
      <c r="M23" s="347"/>
      <c r="N23" s="347"/>
      <c r="O23" s="349"/>
    </row>
    <row r="24" spans="1:16" ht="18" customHeight="1" x14ac:dyDescent="0.25">
      <c r="A24" s="344"/>
      <c r="B24" s="350"/>
      <c r="C24" s="351">
        <f>SUM(C21:C23)</f>
        <v>20</v>
      </c>
      <c r="D24" s="352"/>
      <c r="E24" s="353"/>
      <c r="F24" s="352">
        <f>SUM(F21:F23)</f>
        <v>895.5</v>
      </c>
      <c r="G24" s="353"/>
      <c r="H24" s="351">
        <f>SUM(H21:H23)</f>
        <v>20</v>
      </c>
      <c r="I24" s="352"/>
      <c r="J24" s="351"/>
      <c r="K24" s="352">
        <f>SUM(K21:K23)</f>
        <v>922.98</v>
      </c>
      <c r="L24" s="353"/>
      <c r="M24" s="352"/>
      <c r="N24" s="352">
        <f>K24-F24</f>
        <v>27.480000000000018</v>
      </c>
      <c r="O24" s="354">
        <f>(N24+M24)/F24</f>
        <v>3.0686767169179251E-2</v>
      </c>
      <c r="P24" s="153" t="s">
        <v>140</v>
      </c>
    </row>
    <row r="25" spans="1:16" ht="18" customHeight="1" x14ac:dyDescent="0.25">
      <c r="A25" s="28"/>
      <c r="B25" s="359"/>
      <c r="C25" s="360"/>
      <c r="D25" s="361"/>
      <c r="E25" s="28"/>
      <c r="F25" s="361"/>
      <c r="G25" s="359"/>
      <c r="H25" s="360"/>
      <c r="I25" s="361"/>
      <c r="K25" s="361"/>
      <c r="L25" s="359"/>
      <c r="M25" s="361"/>
      <c r="N25" s="361"/>
      <c r="O25" s="362"/>
    </row>
    <row r="26" spans="1:16" ht="18" customHeight="1" x14ac:dyDescent="0.25">
      <c r="A26" s="333" t="s">
        <v>11</v>
      </c>
      <c r="B26" s="334">
        <v>42150</v>
      </c>
      <c r="C26" s="335">
        <v>5</v>
      </c>
      <c r="D26" s="336">
        <v>169</v>
      </c>
      <c r="E26" s="336">
        <v>0</v>
      </c>
      <c r="F26" s="336">
        <f>C26*D26+E26</f>
        <v>845</v>
      </c>
      <c r="G26" s="334">
        <v>42186</v>
      </c>
      <c r="H26" s="335">
        <v>100</v>
      </c>
      <c r="I26" s="336">
        <v>167</v>
      </c>
      <c r="J26" s="336">
        <v>0.31</v>
      </c>
      <c r="K26" s="336">
        <f t="shared" ref="K26:K41" si="1">H26*I26-J26</f>
        <v>16699.689999999999</v>
      </c>
      <c r="L26" s="335"/>
      <c r="M26" s="335"/>
      <c r="N26" s="335"/>
      <c r="O26" s="338"/>
    </row>
    <row r="27" spans="1:16" ht="18" customHeight="1" x14ac:dyDescent="0.25">
      <c r="A27" s="380"/>
      <c r="B27" s="334">
        <v>42150</v>
      </c>
      <c r="C27" s="335">
        <v>10</v>
      </c>
      <c r="D27" s="336">
        <v>166.5</v>
      </c>
      <c r="E27" s="336">
        <v>0</v>
      </c>
      <c r="F27" s="336">
        <f t="shared" ref="F27:F46" si="2">C27*D27+E27</f>
        <v>1665</v>
      </c>
      <c r="G27" s="334">
        <v>42186</v>
      </c>
      <c r="H27" s="335">
        <v>100</v>
      </c>
      <c r="I27" s="336">
        <v>167</v>
      </c>
      <c r="J27" s="336">
        <v>0.31</v>
      </c>
      <c r="K27" s="336">
        <f t="shared" si="1"/>
        <v>16699.689999999999</v>
      </c>
      <c r="L27" s="335"/>
      <c r="M27" s="335"/>
      <c r="N27" s="335"/>
      <c r="O27" s="338"/>
    </row>
    <row r="28" spans="1:16" ht="18" customHeight="1" x14ac:dyDescent="0.25">
      <c r="A28" s="335"/>
      <c r="B28" s="334">
        <v>42150</v>
      </c>
      <c r="C28" s="335">
        <v>30</v>
      </c>
      <c r="D28" s="336">
        <v>165.4</v>
      </c>
      <c r="E28" s="336">
        <v>0</v>
      </c>
      <c r="F28" s="336">
        <f t="shared" si="2"/>
        <v>4962</v>
      </c>
      <c r="G28" s="334">
        <v>42186</v>
      </c>
      <c r="H28" s="335">
        <v>50</v>
      </c>
      <c r="I28" s="336">
        <v>168.5</v>
      </c>
      <c r="J28" s="336">
        <v>0.16</v>
      </c>
      <c r="K28" s="336">
        <f t="shared" si="1"/>
        <v>8424.84</v>
      </c>
      <c r="L28" s="335"/>
      <c r="M28" s="335"/>
      <c r="N28" s="335"/>
      <c r="O28" s="338"/>
    </row>
    <row r="29" spans="1:16" ht="18" customHeight="1" x14ac:dyDescent="0.25">
      <c r="A29" s="335"/>
      <c r="B29" s="334">
        <v>42150</v>
      </c>
      <c r="C29" s="335">
        <v>10</v>
      </c>
      <c r="D29" s="336">
        <v>164.85</v>
      </c>
      <c r="E29" s="336">
        <v>0</v>
      </c>
      <c r="F29" s="336">
        <f t="shared" si="2"/>
        <v>1648.5</v>
      </c>
      <c r="G29" s="334">
        <v>42236</v>
      </c>
      <c r="H29" s="335">
        <v>10</v>
      </c>
      <c r="I29" s="336">
        <v>133.19999999999999</v>
      </c>
      <c r="J29" s="336">
        <v>0.02</v>
      </c>
      <c r="K29" s="336">
        <f t="shared" si="1"/>
        <v>1331.98</v>
      </c>
      <c r="L29" s="335"/>
      <c r="M29" s="335"/>
      <c r="N29" s="335"/>
      <c r="O29" s="338"/>
    </row>
    <row r="30" spans="1:16" ht="18" customHeight="1" x14ac:dyDescent="0.25">
      <c r="A30" s="335"/>
      <c r="B30" s="334">
        <v>42186</v>
      </c>
      <c r="C30" s="335">
        <v>145</v>
      </c>
      <c r="D30" s="336">
        <v>166</v>
      </c>
      <c r="E30" s="336">
        <v>0</v>
      </c>
      <c r="F30" s="336">
        <f t="shared" si="2"/>
        <v>24070</v>
      </c>
      <c r="G30" s="334">
        <v>42240</v>
      </c>
      <c r="H30" s="335">
        <v>20</v>
      </c>
      <c r="I30" s="336">
        <v>130</v>
      </c>
      <c r="J30" s="336">
        <v>0.05</v>
      </c>
      <c r="K30" s="336">
        <f t="shared" si="1"/>
        <v>2599.9499999999998</v>
      </c>
      <c r="L30" s="335"/>
      <c r="M30" s="335"/>
      <c r="N30" s="335"/>
      <c r="O30" s="338"/>
    </row>
    <row r="31" spans="1:16" ht="18" customHeight="1" x14ac:dyDescent="0.25">
      <c r="A31" s="335"/>
      <c r="B31" s="334">
        <v>42186</v>
      </c>
      <c r="C31" s="335">
        <v>100</v>
      </c>
      <c r="D31" s="336">
        <v>164</v>
      </c>
      <c r="E31" s="336">
        <v>0</v>
      </c>
      <c r="F31" s="336">
        <f t="shared" si="2"/>
        <v>16400</v>
      </c>
      <c r="G31" s="334">
        <v>42270</v>
      </c>
      <c r="H31" s="335">
        <v>50</v>
      </c>
      <c r="I31" s="336">
        <v>141.19999999999999</v>
      </c>
      <c r="J31" s="336">
        <v>0.13</v>
      </c>
      <c r="K31" s="336">
        <f t="shared" si="1"/>
        <v>7059.869999999999</v>
      </c>
      <c r="L31" s="335"/>
      <c r="M31" s="335"/>
      <c r="N31" s="335"/>
      <c r="O31" s="338"/>
    </row>
    <row r="32" spans="1:16" ht="18" customHeight="1" x14ac:dyDescent="0.25">
      <c r="A32" s="335"/>
      <c r="B32" s="334">
        <v>42235</v>
      </c>
      <c r="C32" s="335">
        <v>10</v>
      </c>
      <c r="D32" s="336">
        <v>124</v>
      </c>
      <c r="E32" s="336">
        <v>0</v>
      </c>
      <c r="F32" s="336">
        <f t="shared" si="2"/>
        <v>1240</v>
      </c>
      <c r="G32" s="334">
        <v>42305</v>
      </c>
      <c r="H32" s="335">
        <v>150</v>
      </c>
      <c r="I32" s="336">
        <v>82</v>
      </c>
      <c r="J32" s="336">
        <v>0.23</v>
      </c>
      <c r="K32" s="336">
        <f t="shared" si="1"/>
        <v>12299.77</v>
      </c>
      <c r="L32" s="335"/>
      <c r="M32" s="335"/>
      <c r="N32" s="335"/>
      <c r="O32" s="338"/>
    </row>
    <row r="33" spans="1:15" ht="18" customHeight="1" x14ac:dyDescent="0.25">
      <c r="A33" s="335"/>
      <c r="B33" s="334">
        <v>42240</v>
      </c>
      <c r="C33" s="335">
        <v>20</v>
      </c>
      <c r="D33" s="336">
        <v>123</v>
      </c>
      <c r="E33" s="336">
        <v>0</v>
      </c>
      <c r="F33" s="336">
        <f t="shared" si="2"/>
        <v>2460</v>
      </c>
      <c r="G33" s="334">
        <v>42307</v>
      </c>
      <c r="H33" s="335">
        <v>120</v>
      </c>
      <c r="I33" s="336">
        <v>85.8</v>
      </c>
      <c r="J33" s="336">
        <v>7.14</v>
      </c>
      <c r="K33" s="336">
        <f t="shared" si="1"/>
        <v>10288.86</v>
      </c>
      <c r="L33" s="335"/>
      <c r="M33" s="335"/>
      <c r="N33" s="335"/>
      <c r="O33" s="335"/>
    </row>
    <row r="34" spans="1:15" ht="18" customHeight="1" x14ac:dyDescent="0.25">
      <c r="A34" s="335"/>
      <c r="B34" s="334">
        <v>42271</v>
      </c>
      <c r="C34" s="335">
        <v>50</v>
      </c>
      <c r="D34" s="336">
        <v>123.05</v>
      </c>
      <c r="E34" s="336">
        <v>0</v>
      </c>
      <c r="F34" s="336">
        <f t="shared" si="2"/>
        <v>6152.5</v>
      </c>
      <c r="G34" s="334">
        <v>42313</v>
      </c>
      <c r="H34" s="335">
        <v>80</v>
      </c>
      <c r="I34" s="336">
        <v>83</v>
      </c>
      <c r="J34" s="336">
        <v>0.12</v>
      </c>
      <c r="K34" s="336">
        <f t="shared" si="1"/>
        <v>6639.88</v>
      </c>
      <c r="L34" s="335"/>
      <c r="M34" s="335"/>
      <c r="N34" s="335"/>
      <c r="O34" s="335"/>
    </row>
    <row r="35" spans="1:15" ht="18" customHeight="1" x14ac:dyDescent="0.25">
      <c r="A35" s="335"/>
      <c r="B35" s="334">
        <v>42271</v>
      </c>
      <c r="C35" s="335">
        <v>50</v>
      </c>
      <c r="D35" s="336">
        <v>138.5</v>
      </c>
      <c r="E35" s="336">
        <v>0</v>
      </c>
      <c r="F35" s="336">
        <f t="shared" si="2"/>
        <v>6925</v>
      </c>
      <c r="G35" s="334">
        <v>42320</v>
      </c>
      <c r="H35" s="335">
        <v>200</v>
      </c>
      <c r="I35" s="336">
        <v>73.5</v>
      </c>
      <c r="J35" s="336">
        <v>0.27</v>
      </c>
      <c r="K35" s="336">
        <f t="shared" si="1"/>
        <v>14699.73</v>
      </c>
      <c r="L35" s="335"/>
      <c r="M35" s="335"/>
      <c r="N35" s="335"/>
      <c r="O35" s="335"/>
    </row>
    <row r="36" spans="1:15" ht="18" customHeight="1" x14ac:dyDescent="0.25">
      <c r="A36" s="335"/>
      <c r="B36" s="334">
        <v>42277</v>
      </c>
      <c r="C36" s="335">
        <v>10</v>
      </c>
      <c r="D36" s="336">
        <v>101.5</v>
      </c>
      <c r="E36" s="336">
        <v>0</v>
      </c>
      <c r="F36" s="336">
        <f t="shared" si="2"/>
        <v>1015</v>
      </c>
      <c r="G36" s="334">
        <v>42327</v>
      </c>
      <c r="H36" s="335">
        <v>200</v>
      </c>
      <c r="I36" s="336">
        <v>73.95</v>
      </c>
      <c r="J36" s="336">
        <v>0.27</v>
      </c>
      <c r="K36" s="336">
        <f t="shared" si="1"/>
        <v>14789.73</v>
      </c>
      <c r="L36" s="335"/>
      <c r="M36" s="335"/>
      <c r="N36" s="335"/>
      <c r="O36" s="335"/>
    </row>
    <row r="37" spans="1:15" ht="18" customHeight="1" x14ac:dyDescent="0.25">
      <c r="A37" s="335"/>
      <c r="B37" s="334">
        <v>42278</v>
      </c>
      <c r="C37" s="335">
        <v>10</v>
      </c>
      <c r="D37" s="336">
        <v>93.95</v>
      </c>
      <c r="E37" s="336">
        <v>0</v>
      </c>
      <c r="F37" s="336">
        <f t="shared" si="2"/>
        <v>939.5</v>
      </c>
      <c r="G37" s="334">
        <v>42339</v>
      </c>
      <c r="H37" s="335">
        <v>60</v>
      </c>
      <c r="I37" s="336">
        <v>89.49</v>
      </c>
      <c r="J37" s="336">
        <v>0.1</v>
      </c>
      <c r="K37" s="336">
        <f t="shared" si="1"/>
        <v>5369.2999999999993</v>
      </c>
      <c r="L37" s="335"/>
      <c r="M37" s="335"/>
      <c r="N37" s="335"/>
      <c r="O37" s="335"/>
    </row>
    <row r="38" spans="1:15" ht="18" customHeight="1" x14ac:dyDescent="0.25">
      <c r="A38" s="335"/>
      <c r="B38" s="334">
        <v>42286</v>
      </c>
      <c r="C38" s="335">
        <v>30</v>
      </c>
      <c r="D38" s="336">
        <v>89.5</v>
      </c>
      <c r="E38" s="336">
        <v>0</v>
      </c>
      <c r="F38" s="336">
        <f t="shared" si="2"/>
        <v>2685</v>
      </c>
      <c r="G38" s="334">
        <v>42340</v>
      </c>
      <c r="H38" s="335">
        <v>60</v>
      </c>
      <c r="I38" s="336">
        <v>93.79</v>
      </c>
      <c r="J38" s="336">
        <v>0.1</v>
      </c>
      <c r="K38" s="336">
        <f t="shared" si="1"/>
        <v>5627.3</v>
      </c>
      <c r="L38" s="335"/>
      <c r="M38" s="335"/>
      <c r="N38" s="335"/>
      <c r="O38" s="335"/>
    </row>
    <row r="39" spans="1:15" ht="18" customHeight="1" x14ac:dyDescent="0.25">
      <c r="A39" s="335"/>
      <c r="B39" s="334">
        <v>42299</v>
      </c>
      <c r="C39" s="335">
        <v>50</v>
      </c>
      <c r="D39" s="336">
        <v>74.3</v>
      </c>
      <c r="E39" s="336">
        <v>0</v>
      </c>
      <c r="F39" s="336">
        <f t="shared" si="2"/>
        <v>3715</v>
      </c>
      <c r="G39" s="334">
        <v>42347</v>
      </c>
      <c r="H39" s="335">
        <v>60</v>
      </c>
      <c r="I39" s="336">
        <v>81.849999999999994</v>
      </c>
      <c r="J39" s="336">
        <v>0.09</v>
      </c>
      <c r="K39" s="336">
        <f t="shared" si="1"/>
        <v>4910.91</v>
      </c>
      <c r="L39" s="335"/>
      <c r="M39" s="335"/>
      <c r="N39" s="335"/>
      <c r="O39" s="335"/>
    </row>
    <row r="40" spans="1:15" ht="18" customHeight="1" x14ac:dyDescent="0.25">
      <c r="A40" s="335"/>
      <c r="B40" s="334">
        <v>42305</v>
      </c>
      <c r="C40" s="335">
        <v>150</v>
      </c>
      <c r="D40" s="336">
        <v>79.5</v>
      </c>
      <c r="E40" s="336">
        <v>0</v>
      </c>
      <c r="F40" s="336">
        <f t="shared" si="2"/>
        <v>11925</v>
      </c>
      <c r="G40" s="334">
        <v>42349</v>
      </c>
      <c r="H40" s="335">
        <v>220</v>
      </c>
      <c r="I40" s="336">
        <v>53.95</v>
      </c>
      <c r="J40" s="336">
        <v>0.22</v>
      </c>
      <c r="K40" s="336">
        <f t="shared" si="1"/>
        <v>11868.78</v>
      </c>
      <c r="L40" s="335"/>
      <c r="M40" s="336"/>
      <c r="N40" s="335"/>
      <c r="O40" s="335"/>
    </row>
    <row r="41" spans="1:15" ht="18" customHeight="1" x14ac:dyDescent="0.25">
      <c r="A41" s="335"/>
      <c r="B41" s="334">
        <v>42310</v>
      </c>
      <c r="C41" s="335">
        <v>120</v>
      </c>
      <c r="D41" s="336">
        <v>82</v>
      </c>
      <c r="E41" s="336">
        <v>6.95</v>
      </c>
      <c r="F41" s="336">
        <f t="shared" si="2"/>
        <v>9846.9500000000007</v>
      </c>
      <c r="G41" s="334">
        <v>42354</v>
      </c>
      <c r="H41" s="335">
        <v>220</v>
      </c>
      <c r="I41" s="336">
        <v>59.47</v>
      </c>
      <c r="J41" s="336">
        <v>0.24</v>
      </c>
      <c r="K41" s="336">
        <f t="shared" si="1"/>
        <v>13083.16</v>
      </c>
      <c r="L41" s="335"/>
      <c r="M41" s="335"/>
      <c r="N41" s="335"/>
      <c r="O41" s="335"/>
    </row>
    <row r="42" spans="1:15" ht="18" customHeight="1" x14ac:dyDescent="0.25">
      <c r="A42" s="335"/>
      <c r="B42" s="334">
        <v>42318</v>
      </c>
      <c r="C42" s="335">
        <v>80</v>
      </c>
      <c r="D42" s="336">
        <v>77.12</v>
      </c>
      <c r="E42" s="336">
        <v>0</v>
      </c>
      <c r="F42" s="336">
        <f t="shared" si="2"/>
        <v>6169.6</v>
      </c>
      <c r="G42" s="334"/>
      <c r="H42" s="335"/>
      <c r="I42" s="336"/>
      <c r="J42" s="336"/>
      <c r="K42" s="336"/>
      <c r="L42" s="335"/>
      <c r="M42" s="335"/>
      <c r="N42" s="335"/>
      <c r="O42" s="335"/>
    </row>
    <row r="43" spans="1:15" ht="18" customHeight="1" x14ac:dyDescent="0.25">
      <c r="A43" s="335"/>
      <c r="B43" s="334">
        <v>42320</v>
      </c>
      <c r="C43" s="335">
        <v>200</v>
      </c>
      <c r="D43" s="336">
        <v>73.010000000000005</v>
      </c>
      <c r="E43" s="336">
        <v>0</v>
      </c>
      <c r="F43" s="336">
        <f t="shared" si="2"/>
        <v>14602.000000000002</v>
      </c>
      <c r="G43" s="334"/>
      <c r="H43" s="335"/>
      <c r="I43" s="336"/>
      <c r="J43" s="336"/>
      <c r="K43" s="336"/>
      <c r="L43" s="335"/>
      <c r="M43" s="335"/>
      <c r="N43" s="335"/>
      <c r="O43" s="335"/>
    </row>
    <row r="44" spans="1:15" ht="18" customHeight="1" x14ac:dyDescent="0.25">
      <c r="A44" s="335"/>
      <c r="B44" s="334">
        <v>42327</v>
      </c>
      <c r="C44" s="335">
        <v>200</v>
      </c>
      <c r="D44" s="336">
        <v>73.11</v>
      </c>
      <c r="E44" s="336">
        <v>0</v>
      </c>
      <c r="F44" s="336">
        <f t="shared" si="2"/>
        <v>14622</v>
      </c>
      <c r="G44" s="335"/>
      <c r="H44" s="335"/>
      <c r="I44" s="336"/>
      <c r="J44" s="336"/>
      <c r="K44" s="336"/>
      <c r="L44" s="335"/>
      <c r="M44" s="335"/>
      <c r="N44" s="335"/>
      <c r="O44" s="335"/>
    </row>
    <row r="45" spans="1:15" ht="18" customHeight="1" x14ac:dyDescent="0.25">
      <c r="A45" s="335"/>
      <c r="B45" s="334">
        <v>42339</v>
      </c>
      <c r="C45" s="335">
        <v>60</v>
      </c>
      <c r="D45" s="336">
        <v>89.38</v>
      </c>
      <c r="E45" s="336">
        <v>0</v>
      </c>
      <c r="F45" s="336">
        <f t="shared" si="2"/>
        <v>5362.7999999999993</v>
      </c>
      <c r="G45" s="335"/>
      <c r="H45" s="335"/>
      <c r="I45" s="336"/>
      <c r="J45" s="336"/>
      <c r="K45" s="336"/>
      <c r="L45" s="335"/>
      <c r="M45" s="335"/>
      <c r="N45" s="335"/>
      <c r="O45" s="335"/>
    </row>
    <row r="46" spans="1:15" ht="18" customHeight="1" x14ac:dyDescent="0.25">
      <c r="A46" s="335"/>
      <c r="B46" s="334">
        <v>42340</v>
      </c>
      <c r="C46" s="335">
        <v>60</v>
      </c>
      <c r="D46" s="336">
        <v>93.06</v>
      </c>
      <c r="E46" s="336">
        <v>0</v>
      </c>
      <c r="F46" s="336">
        <f t="shared" si="2"/>
        <v>5583.6</v>
      </c>
      <c r="G46" s="335"/>
      <c r="H46" s="335"/>
      <c r="I46" s="336"/>
      <c r="J46" s="336"/>
      <c r="K46" s="336"/>
      <c r="L46" s="335"/>
      <c r="M46" s="335"/>
      <c r="N46" s="335"/>
      <c r="O46" s="335"/>
    </row>
    <row r="47" spans="1:15" ht="18" customHeight="1" x14ac:dyDescent="0.25">
      <c r="A47" s="335"/>
      <c r="B47" s="334">
        <v>42342</v>
      </c>
      <c r="C47" s="335">
        <v>10</v>
      </c>
      <c r="D47" s="336">
        <v>80.989999999999995</v>
      </c>
      <c r="E47" s="336">
        <v>0</v>
      </c>
      <c r="F47" s="336">
        <f>C47*D47+E47</f>
        <v>809.9</v>
      </c>
      <c r="G47" s="335"/>
      <c r="H47" s="335"/>
      <c r="I47" s="336"/>
      <c r="J47" s="336"/>
      <c r="K47" s="336"/>
      <c r="L47" s="335"/>
      <c r="M47" s="335"/>
      <c r="N47" s="335"/>
      <c r="O47" s="335"/>
    </row>
    <row r="48" spans="1:15" ht="18" customHeight="1" x14ac:dyDescent="0.25">
      <c r="A48" s="335"/>
      <c r="B48" s="334">
        <v>42348</v>
      </c>
      <c r="C48" s="335">
        <v>70</v>
      </c>
      <c r="D48" s="336">
        <v>58.01</v>
      </c>
      <c r="E48" s="336">
        <v>0</v>
      </c>
      <c r="F48" s="336">
        <f>C48*D48+E48</f>
        <v>4060.7</v>
      </c>
      <c r="G48" s="335"/>
      <c r="H48" s="335"/>
      <c r="I48" s="336"/>
      <c r="J48" s="336"/>
      <c r="K48" s="336"/>
      <c r="L48" s="335"/>
      <c r="M48" s="335"/>
      <c r="N48" s="335"/>
      <c r="O48" s="335"/>
    </row>
    <row r="49" spans="1:16" ht="18" customHeight="1" x14ac:dyDescent="0.25">
      <c r="A49" s="335"/>
      <c r="B49" s="334">
        <v>42354</v>
      </c>
      <c r="C49" s="335">
        <v>220</v>
      </c>
      <c r="D49" s="336">
        <v>59.15</v>
      </c>
      <c r="E49" s="336">
        <v>0</v>
      </c>
      <c r="F49" s="336">
        <f>C49*D49+E49</f>
        <v>13013</v>
      </c>
      <c r="G49" s="335"/>
      <c r="H49" s="335"/>
      <c r="I49" s="336"/>
      <c r="J49" s="336"/>
      <c r="K49" s="336"/>
      <c r="L49" s="335"/>
      <c r="M49" s="335"/>
      <c r="N49" s="335"/>
      <c r="O49" s="335"/>
    </row>
    <row r="50" spans="1:16" ht="18" customHeight="1" x14ac:dyDescent="0.25">
      <c r="A50" s="338"/>
      <c r="B50" s="338"/>
      <c r="C50" s="338">
        <f>SUM(C26:C49)</f>
        <v>1700</v>
      </c>
      <c r="D50" s="341"/>
      <c r="E50" s="341"/>
      <c r="F50" s="341">
        <f>SUM(F26:F49)</f>
        <v>160718.04999999999</v>
      </c>
      <c r="G50" s="338"/>
      <c r="H50" s="338">
        <f>SUM(H26:H45)</f>
        <v>1700</v>
      </c>
      <c r="I50" s="341"/>
      <c r="J50" s="341"/>
      <c r="K50" s="341">
        <f>SUM(K26:K45)</f>
        <v>152393.44000000003</v>
      </c>
      <c r="L50" s="338"/>
      <c r="M50" s="338"/>
      <c r="N50" s="341">
        <f>K50-F50</f>
        <v>-8324.6099999999569</v>
      </c>
      <c r="O50" s="343">
        <f>N50/F50</f>
        <v>-5.1796360147475393E-2</v>
      </c>
    </row>
    <row r="51" spans="1:16" ht="18" customHeight="1" x14ac:dyDescent="0.25">
      <c r="B51" s="359"/>
      <c r="C51" s="360"/>
      <c r="D51" s="361"/>
      <c r="E51" s="361"/>
      <c r="F51" s="361"/>
      <c r="G51" s="359"/>
      <c r="H51" s="360"/>
      <c r="I51" s="361"/>
      <c r="K51" s="361"/>
      <c r="L51" s="359"/>
      <c r="M51" s="361"/>
      <c r="N51" s="361"/>
      <c r="O51" s="362"/>
      <c r="P51" s="153"/>
    </row>
    <row r="52" spans="1:16" ht="18" customHeight="1" x14ac:dyDescent="0.25">
      <c r="A52" s="344" t="s">
        <v>30</v>
      </c>
      <c r="B52" s="345">
        <v>42164</v>
      </c>
      <c r="C52" s="346">
        <v>10</v>
      </c>
      <c r="D52" s="347">
        <v>141.4</v>
      </c>
      <c r="E52" s="347"/>
      <c r="F52" s="347">
        <f>C52*D52</f>
        <v>1414</v>
      </c>
      <c r="G52" s="345">
        <v>42216</v>
      </c>
      <c r="H52" s="346">
        <v>10</v>
      </c>
      <c r="I52" s="347">
        <v>143.35</v>
      </c>
      <c r="J52" s="347">
        <v>0.03</v>
      </c>
      <c r="K52" s="347">
        <f>H52*I52-J52</f>
        <v>1433.47</v>
      </c>
      <c r="L52" s="348"/>
      <c r="M52" s="347"/>
      <c r="N52" s="347"/>
      <c r="O52" s="349"/>
      <c r="P52" s="153"/>
    </row>
    <row r="53" spans="1:16" ht="18" customHeight="1" x14ac:dyDescent="0.25">
      <c r="A53" s="363"/>
      <c r="B53" s="364"/>
      <c r="C53" s="365">
        <f>SUM(C52)</f>
        <v>10</v>
      </c>
      <c r="D53" s="366"/>
      <c r="E53" s="366"/>
      <c r="F53" s="366">
        <f>SUM(F52)</f>
        <v>1414</v>
      </c>
      <c r="G53" s="367"/>
      <c r="H53" s="365">
        <f>SUM(H52)</f>
        <v>10</v>
      </c>
      <c r="I53" s="366"/>
      <c r="J53" s="365"/>
      <c r="K53" s="366">
        <f>SUM(K52)</f>
        <v>1433.47</v>
      </c>
      <c r="L53" s="367"/>
      <c r="M53" s="366"/>
      <c r="N53" s="366">
        <f>K53-F53</f>
        <v>19.470000000000027</v>
      </c>
      <c r="O53" s="368">
        <f>(N53+M53)/F53</f>
        <v>1.3769448373408788E-2</v>
      </c>
      <c r="P53" s="153" t="s">
        <v>140</v>
      </c>
    </row>
    <row r="54" spans="1:16" ht="18" customHeight="1" x14ac:dyDescent="0.25">
      <c r="B54" s="359"/>
      <c r="C54" s="360"/>
      <c r="D54" s="361"/>
      <c r="E54" s="28"/>
      <c r="F54" s="361"/>
      <c r="G54" s="359"/>
      <c r="H54" s="360"/>
      <c r="I54" s="361"/>
      <c r="K54" s="361"/>
      <c r="L54" s="359"/>
      <c r="M54" s="361"/>
      <c r="N54" s="361"/>
      <c r="O54" s="362"/>
    </row>
    <row r="55" spans="1:16" ht="18" customHeight="1" x14ac:dyDescent="0.25">
      <c r="A55" s="344" t="s">
        <v>52</v>
      </c>
      <c r="B55" s="345">
        <v>42213</v>
      </c>
      <c r="C55" s="346">
        <v>25</v>
      </c>
      <c r="D55" s="347">
        <v>84.9</v>
      </c>
      <c r="E55" s="348"/>
      <c r="F55" s="347">
        <v>2122.5</v>
      </c>
      <c r="G55" s="345">
        <v>42221</v>
      </c>
      <c r="H55" s="346">
        <v>30</v>
      </c>
      <c r="I55" s="347">
        <v>84.23</v>
      </c>
      <c r="J55" s="347">
        <v>0</v>
      </c>
      <c r="K55" s="347">
        <v>2526.85</v>
      </c>
      <c r="L55" s="348"/>
      <c r="M55" s="347"/>
      <c r="N55" s="347"/>
      <c r="O55" s="349"/>
    </row>
    <row r="56" spans="1:16" ht="18" customHeight="1" x14ac:dyDescent="0.25">
      <c r="A56" s="344"/>
      <c r="B56" s="345">
        <v>42213</v>
      </c>
      <c r="C56" s="346">
        <v>5</v>
      </c>
      <c r="D56" s="347">
        <v>84.25</v>
      </c>
      <c r="E56" s="348"/>
      <c r="F56" s="347">
        <v>421.25</v>
      </c>
      <c r="G56" s="345">
        <v>42263</v>
      </c>
      <c r="H56" s="346">
        <v>40</v>
      </c>
      <c r="I56" s="347">
        <v>85</v>
      </c>
      <c r="J56" s="346">
        <v>0.06</v>
      </c>
      <c r="K56" s="347">
        <v>3399.94</v>
      </c>
      <c r="L56" s="348"/>
      <c r="M56" s="347"/>
      <c r="N56" s="347"/>
      <c r="O56" s="349"/>
    </row>
    <row r="57" spans="1:16" ht="18" customHeight="1" x14ac:dyDescent="0.25">
      <c r="A57" s="344"/>
      <c r="B57" s="345">
        <v>42214</v>
      </c>
      <c r="C57" s="346">
        <v>10</v>
      </c>
      <c r="D57" s="347">
        <v>83.2</v>
      </c>
      <c r="E57" s="348"/>
      <c r="F57" s="347">
        <v>832</v>
      </c>
      <c r="G57" s="348"/>
      <c r="H57" s="346"/>
      <c r="I57" s="347"/>
      <c r="J57" s="346"/>
      <c r="K57" s="347"/>
      <c r="L57" s="348"/>
      <c r="M57" s="347"/>
      <c r="N57" s="347"/>
      <c r="O57" s="349"/>
    </row>
    <row r="58" spans="1:16" ht="18" customHeight="1" x14ac:dyDescent="0.25">
      <c r="A58" s="344"/>
      <c r="B58" s="345">
        <v>42215</v>
      </c>
      <c r="C58" s="346">
        <v>5</v>
      </c>
      <c r="D58" s="347">
        <v>82.25</v>
      </c>
      <c r="E58" s="348"/>
      <c r="F58" s="347">
        <v>411.25</v>
      </c>
      <c r="G58" s="348"/>
      <c r="H58" s="346"/>
      <c r="I58" s="347"/>
      <c r="J58" s="346"/>
      <c r="K58" s="347"/>
      <c r="L58" s="348"/>
      <c r="M58" s="347"/>
      <c r="N58" s="347"/>
      <c r="O58" s="349"/>
    </row>
    <row r="59" spans="1:16" ht="18" customHeight="1" x14ac:dyDescent="0.25">
      <c r="A59" s="344"/>
      <c r="B59" s="345">
        <v>42220</v>
      </c>
      <c r="C59" s="346">
        <v>10</v>
      </c>
      <c r="D59" s="347">
        <v>81.349999999999994</v>
      </c>
      <c r="E59" s="348"/>
      <c r="F59" s="347">
        <v>813.5</v>
      </c>
      <c r="G59" s="348"/>
      <c r="H59" s="346"/>
      <c r="I59" s="347"/>
      <c r="J59" s="346"/>
      <c r="K59" s="347"/>
      <c r="L59" s="348"/>
      <c r="M59" s="347"/>
      <c r="N59" s="347"/>
      <c r="O59" s="349"/>
    </row>
    <row r="60" spans="1:16" ht="18" customHeight="1" x14ac:dyDescent="0.25">
      <c r="A60" s="344"/>
      <c r="B60" s="345">
        <v>42220</v>
      </c>
      <c r="C60" s="346">
        <v>5</v>
      </c>
      <c r="D60" s="347">
        <v>82.4</v>
      </c>
      <c r="E60" s="348"/>
      <c r="F60" s="347">
        <v>412</v>
      </c>
      <c r="G60" s="348"/>
      <c r="H60" s="346"/>
      <c r="I60" s="347"/>
      <c r="J60" s="346"/>
      <c r="K60" s="347"/>
      <c r="L60" s="348"/>
      <c r="M60" s="347"/>
      <c r="N60" s="347"/>
      <c r="O60" s="349"/>
    </row>
    <row r="61" spans="1:16" ht="18" customHeight="1" x14ac:dyDescent="0.25">
      <c r="A61" s="344"/>
      <c r="B61" s="345">
        <v>42221</v>
      </c>
      <c r="C61" s="346">
        <v>10</v>
      </c>
      <c r="D61" s="347">
        <v>80.7</v>
      </c>
      <c r="E61" s="348"/>
      <c r="F61" s="347">
        <v>807</v>
      </c>
      <c r="G61" s="348"/>
      <c r="H61" s="346"/>
      <c r="I61" s="347"/>
      <c r="J61" s="346"/>
      <c r="K61" s="347"/>
      <c r="L61" s="348"/>
      <c r="M61" s="347"/>
      <c r="N61" s="347"/>
      <c r="O61" s="349"/>
    </row>
    <row r="62" spans="1:16" ht="18" customHeight="1" x14ac:dyDescent="0.25">
      <c r="A62" s="363"/>
      <c r="B62" s="367"/>
      <c r="C62" s="365">
        <v>70</v>
      </c>
      <c r="D62" s="366"/>
      <c r="E62" s="367"/>
      <c r="F62" s="366">
        <f>SUM(F55:F61)</f>
        <v>5819.5</v>
      </c>
      <c r="G62" s="367"/>
      <c r="H62" s="365">
        <v>70</v>
      </c>
      <c r="I62" s="366"/>
      <c r="J62" s="365"/>
      <c r="K62" s="366">
        <f>SUM(K55:K56)</f>
        <v>5926.79</v>
      </c>
      <c r="L62" s="367"/>
      <c r="M62" s="366"/>
      <c r="N62" s="366">
        <f>K62-F62</f>
        <v>107.28999999999996</v>
      </c>
      <c r="O62" s="368">
        <f>N62/F62</f>
        <v>1.843629177764412E-2</v>
      </c>
      <c r="P62" s="153" t="s">
        <v>140</v>
      </c>
    </row>
    <row r="63" spans="1:16" ht="18" customHeight="1" x14ac:dyDescent="0.25">
      <c r="B63" s="359"/>
      <c r="C63" s="360"/>
      <c r="D63" s="361"/>
      <c r="E63" s="361"/>
      <c r="F63" s="361"/>
      <c r="G63" s="359"/>
      <c r="H63" s="360"/>
      <c r="I63" s="361"/>
      <c r="K63" s="361"/>
      <c r="L63" s="359"/>
      <c r="M63" s="361"/>
      <c r="N63" s="361"/>
      <c r="O63" s="362"/>
    </row>
    <row r="64" spans="1:16" ht="18" customHeight="1" x14ac:dyDescent="0.25">
      <c r="A64" s="344" t="s">
        <v>8</v>
      </c>
      <c r="B64" s="345">
        <v>42145</v>
      </c>
      <c r="C64" s="346">
        <v>50</v>
      </c>
      <c r="D64" s="347">
        <v>61.7</v>
      </c>
      <c r="E64" s="347"/>
      <c r="F64" s="347">
        <f t="shared" ref="F64:F74" si="3">C64*D64</f>
        <v>3085</v>
      </c>
      <c r="G64" s="345">
        <v>42187</v>
      </c>
      <c r="H64" s="346">
        <v>300</v>
      </c>
      <c r="I64" s="347">
        <v>57.78</v>
      </c>
      <c r="J64" s="347">
        <v>0.32</v>
      </c>
      <c r="K64" s="347">
        <f>H64*I64-J64</f>
        <v>17333.68</v>
      </c>
      <c r="L64" s="345">
        <v>42185</v>
      </c>
      <c r="M64" s="347">
        <v>44.61</v>
      </c>
      <c r="N64" s="347"/>
      <c r="O64" s="349"/>
    </row>
    <row r="65" spans="1:16" ht="18" customHeight="1" x14ac:dyDescent="0.25">
      <c r="A65" s="344"/>
      <c r="B65" s="345">
        <v>42146</v>
      </c>
      <c r="C65" s="346">
        <v>10</v>
      </c>
      <c r="D65" s="347">
        <v>61.37</v>
      </c>
      <c r="E65" s="347"/>
      <c r="F65" s="347">
        <f t="shared" si="3"/>
        <v>613.69999999999993</v>
      </c>
      <c r="G65" s="345">
        <v>42216</v>
      </c>
      <c r="H65" s="346">
        <v>300</v>
      </c>
      <c r="I65" s="347">
        <v>62</v>
      </c>
      <c r="J65" s="346">
        <v>0.34</v>
      </c>
      <c r="K65" s="347">
        <f>H65*I65-J65</f>
        <v>18599.66</v>
      </c>
      <c r="L65" s="348"/>
      <c r="M65" s="347"/>
      <c r="N65" s="347"/>
      <c r="O65" s="349"/>
    </row>
    <row r="66" spans="1:16" ht="18" customHeight="1" x14ac:dyDescent="0.25">
      <c r="A66" s="344"/>
      <c r="B66" s="345">
        <v>42146</v>
      </c>
      <c r="C66" s="346">
        <v>20</v>
      </c>
      <c r="D66" s="347">
        <v>61.12</v>
      </c>
      <c r="E66" s="347"/>
      <c r="F66" s="347">
        <f t="shared" si="3"/>
        <v>1222.3999999999999</v>
      </c>
      <c r="G66" s="348"/>
      <c r="H66" s="346"/>
      <c r="I66" s="347"/>
      <c r="J66" s="347"/>
      <c r="K66" s="347"/>
      <c r="L66" s="348"/>
      <c r="M66" s="347"/>
      <c r="N66" s="347"/>
      <c r="O66" s="349"/>
    </row>
    <row r="67" spans="1:16" ht="18" customHeight="1" x14ac:dyDescent="0.25">
      <c r="A67" s="344"/>
      <c r="B67" s="345">
        <v>42146</v>
      </c>
      <c r="C67" s="346">
        <v>20</v>
      </c>
      <c r="D67" s="347">
        <v>61.1</v>
      </c>
      <c r="E67" s="347"/>
      <c r="F67" s="347">
        <f t="shared" si="3"/>
        <v>1222</v>
      </c>
      <c r="G67" s="348"/>
      <c r="H67" s="346"/>
      <c r="I67" s="347"/>
      <c r="J67" s="346"/>
      <c r="K67" s="347"/>
      <c r="L67" s="348"/>
      <c r="M67" s="347"/>
      <c r="N67" s="347"/>
      <c r="O67" s="349"/>
    </row>
    <row r="68" spans="1:16" ht="18" customHeight="1" x14ac:dyDescent="0.25">
      <c r="A68" s="344"/>
      <c r="B68" s="345">
        <v>42146</v>
      </c>
      <c r="C68" s="346">
        <v>10</v>
      </c>
      <c r="D68" s="347">
        <v>60.8</v>
      </c>
      <c r="E68" s="347"/>
      <c r="F68" s="347">
        <f t="shared" si="3"/>
        <v>608</v>
      </c>
      <c r="G68" s="348"/>
      <c r="H68" s="346"/>
      <c r="I68" s="347"/>
      <c r="J68" s="347"/>
      <c r="K68" s="347"/>
      <c r="L68" s="348"/>
      <c r="M68" s="347"/>
      <c r="N68" s="347"/>
      <c r="O68" s="349"/>
    </row>
    <row r="69" spans="1:16" ht="18" customHeight="1" x14ac:dyDescent="0.25">
      <c r="A69" s="344"/>
      <c r="B69" s="345">
        <v>42146</v>
      </c>
      <c r="C69" s="346">
        <v>20</v>
      </c>
      <c r="D69" s="347">
        <v>60.7</v>
      </c>
      <c r="E69" s="347"/>
      <c r="F69" s="347">
        <f t="shared" si="3"/>
        <v>1214</v>
      </c>
      <c r="G69" s="348"/>
      <c r="H69" s="346"/>
      <c r="I69" s="347"/>
      <c r="J69" s="347"/>
      <c r="K69" s="347"/>
      <c r="L69" s="348"/>
      <c r="M69" s="347"/>
      <c r="N69" s="347"/>
      <c r="O69" s="349"/>
    </row>
    <row r="70" spans="1:16" ht="18" customHeight="1" x14ac:dyDescent="0.25">
      <c r="A70" s="344"/>
      <c r="B70" s="345">
        <v>42150</v>
      </c>
      <c r="C70" s="346">
        <v>20</v>
      </c>
      <c r="D70" s="347">
        <v>60.6</v>
      </c>
      <c r="E70" s="347"/>
      <c r="F70" s="347">
        <f t="shared" si="3"/>
        <v>1212</v>
      </c>
      <c r="G70" s="348"/>
      <c r="H70" s="346"/>
      <c r="I70" s="347"/>
      <c r="J70" s="347"/>
      <c r="K70" s="347"/>
      <c r="L70" s="348"/>
      <c r="M70" s="347"/>
      <c r="N70" s="347"/>
      <c r="O70" s="349"/>
    </row>
    <row r="71" spans="1:16" ht="18" customHeight="1" x14ac:dyDescent="0.25">
      <c r="A71" s="344"/>
      <c r="B71" s="345">
        <v>42152</v>
      </c>
      <c r="C71" s="346">
        <v>30</v>
      </c>
      <c r="D71" s="347">
        <v>60.33</v>
      </c>
      <c r="E71" s="347"/>
      <c r="F71" s="347">
        <f t="shared" si="3"/>
        <v>1809.8999999999999</v>
      </c>
      <c r="G71" s="348"/>
      <c r="H71" s="346"/>
      <c r="I71" s="347"/>
      <c r="J71" s="347"/>
      <c r="K71" s="347"/>
      <c r="L71" s="348"/>
      <c r="M71" s="347"/>
      <c r="N71" s="347"/>
      <c r="O71" s="349"/>
    </row>
    <row r="72" spans="1:16" ht="18" customHeight="1" x14ac:dyDescent="0.25">
      <c r="A72" s="344"/>
      <c r="B72" s="345">
        <v>42152</v>
      </c>
      <c r="C72" s="346">
        <v>30</v>
      </c>
      <c r="D72" s="347">
        <v>60.39</v>
      </c>
      <c r="E72" s="347"/>
      <c r="F72" s="347">
        <f t="shared" si="3"/>
        <v>1811.7</v>
      </c>
      <c r="G72" s="348"/>
      <c r="H72" s="346"/>
      <c r="I72" s="347"/>
      <c r="J72" s="347"/>
      <c r="K72" s="347"/>
      <c r="L72" s="348"/>
      <c r="M72" s="347"/>
      <c r="N72" s="347"/>
      <c r="O72" s="349"/>
    </row>
    <row r="73" spans="1:16" ht="18" customHeight="1" x14ac:dyDescent="0.25">
      <c r="A73" s="344"/>
      <c r="B73" s="345">
        <v>42166</v>
      </c>
      <c r="C73" s="346">
        <v>100</v>
      </c>
      <c r="D73" s="347">
        <v>58</v>
      </c>
      <c r="E73" s="347"/>
      <c r="F73" s="347">
        <f t="shared" si="3"/>
        <v>5800</v>
      </c>
      <c r="G73" s="348"/>
      <c r="H73" s="346"/>
      <c r="I73" s="347"/>
      <c r="J73" s="347"/>
      <c r="K73" s="347"/>
      <c r="L73" s="348"/>
      <c r="M73" s="347"/>
      <c r="N73" s="347"/>
      <c r="O73" s="349"/>
    </row>
    <row r="74" spans="1:16" ht="18" customHeight="1" x14ac:dyDescent="0.25">
      <c r="A74" s="344"/>
      <c r="B74" s="345">
        <v>42187</v>
      </c>
      <c r="C74" s="346">
        <v>290</v>
      </c>
      <c r="D74" s="347">
        <v>57.85</v>
      </c>
      <c r="E74" s="347"/>
      <c r="F74" s="347">
        <f t="shared" si="3"/>
        <v>16776.5</v>
      </c>
      <c r="G74" s="348"/>
      <c r="H74" s="346"/>
      <c r="I74" s="347"/>
      <c r="J74" s="347"/>
      <c r="K74" s="347"/>
      <c r="L74" s="348"/>
      <c r="M74" s="347"/>
      <c r="N74" s="347"/>
      <c r="O74" s="349"/>
    </row>
    <row r="75" spans="1:16" ht="18" customHeight="1" x14ac:dyDescent="0.25">
      <c r="A75" s="344"/>
      <c r="B75" s="350"/>
      <c r="C75" s="351">
        <f>SUM(C64:C74)</f>
        <v>600</v>
      </c>
      <c r="D75" s="352"/>
      <c r="E75" s="352"/>
      <c r="F75" s="352">
        <f>SUM(F64:F74)</f>
        <v>35375.199999999997</v>
      </c>
      <c r="G75" s="353"/>
      <c r="H75" s="351">
        <f>SUM(H64:H74)</f>
        <v>600</v>
      </c>
      <c r="I75" s="352"/>
      <c r="J75" s="352"/>
      <c r="K75" s="352">
        <f>SUM(K64:K74)</f>
        <v>35933.339999999997</v>
      </c>
      <c r="L75" s="353"/>
      <c r="M75" s="352">
        <f>SUM(M64:M74)</f>
        <v>44.61</v>
      </c>
      <c r="N75" s="352">
        <f>K75-F75</f>
        <v>558.13999999999942</v>
      </c>
      <c r="O75" s="354">
        <f>(N75+M75)/F75</f>
        <v>1.7038772925665423E-2</v>
      </c>
      <c r="P75" s="153" t="s">
        <v>140</v>
      </c>
    </row>
    <row r="76" spans="1:16" ht="18" customHeight="1" x14ac:dyDescent="0.25">
      <c r="B76" s="359"/>
      <c r="C76" s="360"/>
      <c r="D76" s="361"/>
      <c r="E76" s="28"/>
      <c r="F76" s="361"/>
      <c r="G76" s="359"/>
      <c r="H76" s="360"/>
      <c r="I76" s="361"/>
      <c r="J76" s="361"/>
      <c r="K76" s="361"/>
      <c r="L76" s="359"/>
      <c r="M76" s="361"/>
      <c r="N76" s="361"/>
      <c r="O76" s="362"/>
    </row>
    <row r="77" spans="1:16" ht="18" customHeight="1" x14ac:dyDescent="0.25">
      <c r="A77" s="344" t="s">
        <v>40</v>
      </c>
      <c r="B77" s="345">
        <v>42184</v>
      </c>
      <c r="C77" s="346">
        <v>20</v>
      </c>
      <c r="D77" s="347">
        <v>164.18</v>
      </c>
      <c r="E77" s="347"/>
      <c r="F77" s="347">
        <f>C77*D77</f>
        <v>3283.6000000000004</v>
      </c>
      <c r="G77" s="345">
        <v>42216</v>
      </c>
      <c r="H77" s="346">
        <v>20</v>
      </c>
      <c r="I77" s="347">
        <v>158</v>
      </c>
      <c r="J77" s="347">
        <v>0.06</v>
      </c>
      <c r="K77" s="347">
        <f>H77*I77-J77</f>
        <v>3159.94</v>
      </c>
      <c r="L77" s="348"/>
      <c r="M77" s="347"/>
      <c r="N77" s="347"/>
      <c r="O77" s="346"/>
    </row>
    <row r="78" spans="1:16" ht="18" customHeight="1" x14ac:dyDescent="0.25">
      <c r="A78" s="344"/>
      <c r="B78" s="345">
        <v>42209</v>
      </c>
      <c r="C78" s="346">
        <v>10</v>
      </c>
      <c r="D78" s="347">
        <v>148</v>
      </c>
      <c r="E78" s="347"/>
      <c r="F78" s="347">
        <f>C78*D78</f>
        <v>1480</v>
      </c>
      <c r="G78" s="345">
        <v>42235</v>
      </c>
      <c r="H78" s="346">
        <v>20</v>
      </c>
      <c r="I78" s="347">
        <v>159.80000000000001</v>
      </c>
      <c r="J78" s="347">
        <v>0.06</v>
      </c>
      <c r="K78" s="347">
        <f>H78*I78-J78</f>
        <v>3195.94</v>
      </c>
      <c r="L78" s="348"/>
      <c r="M78" s="347"/>
      <c r="N78" s="347"/>
      <c r="O78" s="346"/>
    </row>
    <row r="79" spans="1:16" ht="18" customHeight="1" x14ac:dyDescent="0.25">
      <c r="A79" s="344"/>
      <c r="B79" s="345">
        <v>42209</v>
      </c>
      <c r="C79" s="346">
        <v>10</v>
      </c>
      <c r="D79" s="347">
        <v>146.69999999999999</v>
      </c>
      <c r="E79" s="347"/>
      <c r="F79" s="347">
        <f>C79*D79</f>
        <v>1467</v>
      </c>
      <c r="G79" s="348"/>
      <c r="H79" s="346"/>
      <c r="I79" s="347"/>
      <c r="J79" s="347"/>
      <c r="K79" s="347"/>
      <c r="L79" s="348"/>
      <c r="M79" s="347"/>
      <c r="N79" s="347"/>
      <c r="O79" s="346"/>
    </row>
    <row r="80" spans="1:16" ht="18" customHeight="1" x14ac:dyDescent="0.25">
      <c r="A80" s="344"/>
      <c r="B80" s="353"/>
      <c r="C80" s="351">
        <f>SUM(C77:C79)</f>
        <v>40</v>
      </c>
      <c r="D80" s="352"/>
      <c r="E80" s="352"/>
      <c r="F80" s="352">
        <f>SUM(F77:F79)</f>
        <v>6230.6</v>
      </c>
      <c r="G80" s="353"/>
      <c r="H80" s="351">
        <f>SUM(H77:H79)</f>
        <v>40</v>
      </c>
      <c r="I80" s="352"/>
      <c r="J80" s="352"/>
      <c r="K80" s="352">
        <f>SUM(K77:K79)</f>
        <v>6355.88</v>
      </c>
      <c r="L80" s="353"/>
      <c r="M80" s="352"/>
      <c r="N80" s="352">
        <f>K80-F80</f>
        <v>125.27999999999975</v>
      </c>
      <c r="O80" s="354">
        <f>(N80+M80)/F80</f>
        <v>2.0107212788495449E-2</v>
      </c>
      <c r="P80" s="153" t="s">
        <v>140</v>
      </c>
    </row>
    <row r="81" spans="1:16" ht="18" customHeight="1" x14ac:dyDescent="0.25">
      <c r="B81" s="359"/>
      <c r="C81" s="360"/>
      <c r="D81" s="361"/>
      <c r="E81" s="361"/>
      <c r="F81" s="361"/>
      <c r="G81" s="359"/>
      <c r="H81" s="360"/>
      <c r="I81" s="361"/>
      <c r="J81" s="361"/>
      <c r="K81" s="361"/>
      <c r="L81" s="359"/>
      <c r="M81" s="361"/>
      <c r="N81" s="361"/>
      <c r="O81" s="362"/>
    </row>
    <row r="82" spans="1:16" ht="18" customHeight="1" x14ac:dyDescent="0.25">
      <c r="A82" s="344" t="s">
        <v>19</v>
      </c>
      <c r="B82" s="345">
        <v>42152</v>
      </c>
      <c r="C82" s="346">
        <v>5</v>
      </c>
      <c r="D82" s="347">
        <v>35.049999999999997</v>
      </c>
      <c r="E82" s="347"/>
      <c r="F82" s="347">
        <v>175.25</v>
      </c>
      <c r="G82" s="345">
        <v>42206</v>
      </c>
      <c r="H82" s="346">
        <v>39</v>
      </c>
      <c r="I82" s="347">
        <v>35.65</v>
      </c>
      <c r="J82" s="346">
        <v>0.03</v>
      </c>
      <c r="K82" s="347">
        <f>H82*I82-J82</f>
        <v>1390.32</v>
      </c>
      <c r="L82" s="345">
        <v>42170</v>
      </c>
      <c r="M82" s="347">
        <v>7.73</v>
      </c>
      <c r="N82" s="347"/>
      <c r="O82" s="349"/>
    </row>
    <row r="83" spans="1:16" ht="18" customHeight="1" x14ac:dyDescent="0.25">
      <c r="A83" s="344"/>
      <c r="B83" s="345">
        <v>42153</v>
      </c>
      <c r="C83" s="346">
        <v>25</v>
      </c>
      <c r="D83" s="347">
        <v>34.4</v>
      </c>
      <c r="E83" s="348"/>
      <c r="F83" s="347">
        <v>860</v>
      </c>
      <c r="G83" s="345">
        <v>42264</v>
      </c>
      <c r="H83" s="346">
        <v>51</v>
      </c>
      <c r="I83" s="347">
        <v>35</v>
      </c>
      <c r="J83" s="347">
        <v>0.03</v>
      </c>
      <c r="K83" s="347">
        <f>H83*I83-J83</f>
        <v>1784.97</v>
      </c>
      <c r="L83" s="345">
        <v>42262</v>
      </c>
      <c r="M83" s="347">
        <v>13.64</v>
      </c>
      <c r="N83" s="347"/>
      <c r="O83" s="349"/>
    </row>
    <row r="84" spans="1:16" ht="18" customHeight="1" x14ac:dyDescent="0.25">
      <c r="A84" s="344"/>
      <c r="B84" s="345">
        <v>42173</v>
      </c>
      <c r="C84" s="346">
        <v>10</v>
      </c>
      <c r="D84" s="347">
        <v>34.1</v>
      </c>
      <c r="E84" s="347"/>
      <c r="F84" s="347">
        <v>341</v>
      </c>
      <c r="G84" s="348"/>
      <c r="H84" s="346"/>
      <c r="I84" s="347"/>
      <c r="J84" s="347"/>
      <c r="K84" s="347"/>
      <c r="L84" s="348"/>
      <c r="M84" s="347"/>
      <c r="N84" s="347"/>
      <c r="O84" s="349"/>
    </row>
    <row r="85" spans="1:16" ht="18" customHeight="1" x14ac:dyDescent="0.25">
      <c r="A85" s="344"/>
      <c r="B85" s="345">
        <v>42228</v>
      </c>
      <c r="C85" s="346">
        <v>50</v>
      </c>
      <c r="D85" s="347">
        <v>33.44</v>
      </c>
      <c r="E85" s="347"/>
      <c r="F85" s="347">
        <v>1672.2</v>
      </c>
      <c r="G85" s="348"/>
      <c r="H85" s="346"/>
      <c r="I85" s="347"/>
      <c r="J85" s="347"/>
      <c r="K85" s="347"/>
      <c r="L85" s="348"/>
      <c r="M85" s="347"/>
      <c r="N85" s="347"/>
      <c r="O85" s="349"/>
    </row>
    <row r="86" spans="1:16" ht="18" customHeight="1" x14ac:dyDescent="0.25">
      <c r="A86" s="344"/>
      <c r="B86" s="353"/>
      <c r="C86" s="351">
        <v>90</v>
      </c>
      <c r="D86" s="352"/>
      <c r="E86" s="352"/>
      <c r="F86" s="352">
        <f>SUM(F82:F85)</f>
        <v>3048.45</v>
      </c>
      <c r="G86" s="353"/>
      <c r="H86" s="351">
        <v>90</v>
      </c>
      <c r="I86" s="352"/>
      <c r="J86" s="352"/>
      <c r="K86" s="352">
        <f>SUM(K82:K83)</f>
        <v>3175.29</v>
      </c>
      <c r="L86" s="353"/>
      <c r="M86" s="352">
        <f>SUM(M82:M83)</f>
        <v>21.37</v>
      </c>
      <c r="N86" s="352">
        <f>K86-F86</f>
        <v>126.84000000000015</v>
      </c>
      <c r="O86" s="354">
        <f>N86/F86</f>
        <v>4.1608030310485704E-2</v>
      </c>
      <c r="P86" s="153" t="s">
        <v>140</v>
      </c>
    </row>
    <row r="87" spans="1:16" ht="18" customHeight="1" x14ac:dyDescent="0.25">
      <c r="B87" s="359"/>
      <c r="C87" s="360"/>
      <c r="D87" s="361"/>
      <c r="E87" s="28"/>
      <c r="F87" s="361"/>
      <c r="G87" s="359"/>
      <c r="H87" s="360"/>
      <c r="I87" s="361"/>
      <c r="K87" s="361"/>
      <c r="L87" s="359"/>
      <c r="M87" s="361"/>
      <c r="N87" s="361"/>
      <c r="O87" s="362"/>
    </row>
    <row r="88" spans="1:16" ht="18" customHeight="1" x14ac:dyDescent="0.25">
      <c r="A88" s="344" t="s">
        <v>32</v>
      </c>
      <c r="B88" s="345">
        <v>42166</v>
      </c>
      <c r="C88" s="346">
        <v>25</v>
      </c>
      <c r="D88" s="347">
        <v>41.2</v>
      </c>
      <c r="E88" s="348"/>
      <c r="F88" s="347">
        <f>C88*D88</f>
        <v>1030</v>
      </c>
      <c r="G88" s="345">
        <v>42200</v>
      </c>
      <c r="H88" s="346">
        <v>50</v>
      </c>
      <c r="I88" s="347">
        <v>42.08</v>
      </c>
      <c r="J88" s="346">
        <v>0.04</v>
      </c>
      <c r="K88" s="347">
        <f>H88*I88-J88</f>
        <v>2103.96</v>
      </c>
      <c r="L88" s="348"/>
      <c r="M88" s="347"/>
      <c r="N88" s="347"/>
      <c r="O88" s="349"/>
    </row>
    <row r="89" spans="1:16" ht="18" customHeight="1" x14ac:dyDescent="0.25">
      <c r="A89" s="344"/>
      <c r="B89" s="345">
        <v>42167</v>
      </c>
      <c r="C89" s="346">
        <v>25</v>
      </c>
      <c r="D89" s="347">
        <v>39.1</v>
      </c>
      <c r="E89" s="348"/>
      <c r="F89" s="347">
        <f>C89*D89</f>
        <v>977.5</v>
      </c>
      <c r="G89" s="348"/>
      <c r="H89" s="346"/>
      <c r="I89" s="347"/>
      <c r="J89" s="346"/>
      <c r="K89" s="347"/>
      <c r="L89" s="348"/>
      <c r="M89" s="347"/>
      <c r="N89" s="347"/>
      <c r="O89" s="349"/>
    </row>
    <row r="90" spans="1:16" ht="18" customHeight="1" x14ac:dyDescent="0.25">
      <c r="A90" s="344"/>
      <c r="B90" s="350"/>
      <c r="C90" s="351">
        <f>SUM(C88:C89)</f>
        <v>50</v>
      </c>
      <c r="D90" s="352"/>
      <c r="E90" s="353"/>
      <c r="F90" s="352">
        <f>SUM(F88:F89)</f>
        <v>2007.5</v>
      </c>
      <c r="G90" s="353"/>
      <c r="H90" s="351">
        <f>SUM(H88:H89)</f>
        <v>50</v>
      </c>
      <c r="I90" s="352"/>
      <c r="J90" s="351"/>
      <c r="K90" s="352">
        <f>SUM(K88:K89)</f>
        <v>2103.96</v>
      </c>
      <c r="L90" s="353"/>
      <c r="M90" s="352"/>
      <c r="N90" s="352">
        <f>K90-F90</f>
        <v>96.460000000000036</v>
      </c>
      <c r="O90" s="354">
        <f>(N90+M90)/F90</f>
        <v>4.804981320049815E-2</v>
      </c>
      <c r="P90" s="153" t="s">
        <v>140</v>
      </c>
    </row>
    <row r="91" spans="1:16" ht="18" customHeight="1" x14ac:dyDescent="0.25">
      <c r="B91" s="359"/>
      <c r="C91" s="360"/>
      <c r="D91" s="361"/>
      <c r="E91" s="361"/>
      <c r="F91" s="361"/>
      <c r="G91" s="359"/>
      <c r="H91" s="360"/>
      <c r="I91" s="361"/>
      <c r="K91" s="361"/>
      <c r="L91" s="359"/>
      <c r="M91" s="361"/>
      <c r="N91" s="361"/>
      <c r="O91" s="362"/>
      <c r="P91" s="153"/>
    </row>
    <row r="92" spans="1:16" ht="18" customHeight="1" x14ac:dyDescent="0.25">
      <c r="A92" s="344" t="s">
        <v>16</v>
      </c>
      <c r="B92" s="345">
        <v>42153</v>
      </c>
      <c r="C92" s="346">
        <v>1</v>
      </c>
      <c r="D92" s="347">
        <v>20.3</v>
      </c>
      <c r="E92" s="347"/>
      <c r="F92" s="347">
        <f>C92*D92</f>
        <v>20.3</v>
      </c>
      <c r="G92" s="345">
        <v>42187</v>
      </c>
      <c r="H92" s="346">
        <v>1</v>
      </c>
      <c r="I92" s="347">
        <v>28.5</v>
      </c>
      <c r="J92" s="347">
        <v>0.01</v>
      </c>
      <c r="K92" s="347">
        <f>H92*I92-J92</f>
        <v>28.49</v>
      </c>
      <c r="L92" s="348"/>
      <c r="M92" s="347"/>
      <c r="N92" s="347"/>
      <c r="O92" s="349"/>
      <c r="P92" s="153"/>
    </row>
    <row r="93" spans="1:16" ht="18" customHeight="1" x14ac:dyDescent="0.25">
      <c r="A93" s="344"/>
      <c r="B93" s="353"/>
      <c r="C93" s="351">
        <f>SUM(C92)</f>
        <v>1</v>
      </c>
      <c r="D93" s="352"/>
      <c r="E93" s="352"/>
      <c r="F93" s="352">
        <f>SUM(F92)</f>
        <v>20.3</v>
      </c>
      <c r="G93" s="353"/>
      <c r="H93" s="351">
        <f>SUM(H92)</f>
        <v>1</v>
      </c>
      <c r="I93" s="352"/>
      <c r="J93" s="352"/>
      <c r="K93" s="352">
        <f>SUM(K92)</f>
        <v>28.49</v>
      </c>
      <c r="L93" s="353"/>
      <c r="M93" s="352"/>
      <c r="N93" s="352">
        <f>K93-F93</f>
        <v>8.1899999999999977</v>
      </c>
      <c r="O93" s="354">
        <f>(N93+M93)/F93</f>
        <v>0.40344827586206883</v>
      </c>
      <c r="P93" s="153" t="s">
        <v>140</v>
      </c>
    </row>
    <row r="94" spans="1:16" ht="18" customHeight="1" x14ac:dyDescent="0.25">
      <c r="B94" s="359"/>
      <c r="C94" s="360"/>
      <c r="D94" s="361"/>
      <c r="E94" s="28"/>
      <c r="F94" s="361"/>
      <c r="G94" s="359"/>
      <c r="H94" s="360"/>
      <c r="I94" s="361"/>
      <c r="K94" s="361"/>
      <c r="L94" s="359"/>
      <c r="M94" s="361"/>
      <c r="N94" s="361"/>
      <c r="O94" s="362"/>
      <c r="P94" s="153"/>
    </row>
    <row r="95" spans="1:16" ht="18" customHeight="1" x14ac:dyDescent="0.25">
      <c r="A95" s="344" t="s">
        <v>21</v>
      </c>
      <c r="B95" s="345">
        <v>42153</v>
      </c>
      <c r="C95" s="346">
        <v>10</v>
      </c>
      <c r="D95" s="347">
        <v>17.399999999999999</v>
      </c>
      <c r="E95" s="348"/>
      <c r="F95" s="347">
        <f>C95*D95</f>
        <v>174</v>
      </c>
      <c r="G95" s="345">
        <v>42186</v>
      </c>
      <c r="H95" s="346">
        <v>10</v>
      </c>
      <c r="I95" s="347">
        <v>24.2</v>
      </c>
      <c r="J95" s="346">
        <v>0.01</v>
      </c>
      <c r="K95" s="347">
        <f>H95*I95-J95</f>
        <v>241.99</v>
      </c>
      <c r="L95" s="348"/>
      <c r="M95" s="347"/>
      <c r="N95" s="347"/>
      <c r="O95" s="349"/>
      <c r="P95" s="153"/>
    </row>
    <row r="96" spans="1:16" ht="18" customHeight="1" x14ac:dyDescent="0.25">
      <c r="A96" s="344"/>
      <c r="B96" s="345">
        <v>42187</v>
      </c>
      <c r="C96" s="346">
        <v>1000</v>
      </c>
      <c r="D96" s="347">
        <v>22.12</v>
      </c>
      <c r="E96" s="348"/>
      <c r="F96" s="347">
        <f>C96*D96</f>
        <v>22120</v>
      </c>
      <c r="G96" s="345">
        <v>42187</v>
      </c>
      <c r="H96" s="346">
        <v>4000</v>
      </c>
      <c r="I96" s="347">
        <v>21.81</v>
      </c>
      <c r="J96" s="346">
        <v>11.91</v>
      </c>
      <c r="K96" s="347">
        <f>H96*I96-J96</f>
        <v>87228.09</v>
      </c>
      <c r="L96" s="348"/>
      <c r="M96" s="347"/>
      <c r="N96" s="347"/>
      <c r="O96" s="349"/>
      <c r="P96" s="153"/>
    </row>
    <row r="97" spans="1:16" ht="18" customHeight="1" x14ac:dyDescent="0.25">
      <c r="A97" s="344"/>
      <c r="B97" s="345">
        <v>42187</v>
      </c>
      <c r="C97" s="346">
        <v>1000</v>
      </c>
      <c r="D97" s="347">
        <v>21.7</v>
      </c>
      <c r="E97" s="348"/>
      <c r="F97" s="347">
        <f>C97*D97</f>
        <v>21700</v>
      </c>
      <c r="G97" s="345"/>
      <c r="H97" s="346"/>
      <c r="I97" s="347"/>
      <c r="J97" s="346"/>
      <c r="K97" s="347"/>
      <c r="L97" s="348"/>
      <c r="M97" s="347"/>
      <c r="N97" s="347"/>
      <c r="O97" s="349"/>
      <c r="P97" s="153"/>
    </row>
    <row r="98" spans="1:16" ht="18" customHeight="1" x14ac:dyDescent="0.25">
      <c r="A98" s="344"/>
      <c r="B98" s="345">
        <v>42187</v>
      </c>
      <c r="C98" s="346">
        <v>2000</v>
      </c>
      <c r="D98" s="347">
        <v>21.49</v>
      </c>
      <c r="E98" s="348"/>
      <c r="F98" s="347">
        <f>C98*D98</f>
        <v>42980</v>
      </c>
      <c r="G98" s="345"/>
      <c r="H98" s="346"/>
      <c r="I98" s="347"/>
      <c r="J98" s="346"/>
      <c r="K98" s="347"/>
      <c r="L98" s="348"/>
      <c r="M98" s="347"/>
      <c r="N98" s="347"/>
      <c r="O98" s="349"/>
      <c r="P98" s="153"/>
    </row>
    <row r="99" spans="1:16" ht="18" customHeight="1" x14ac:dyDescent="0.25">
      <c r="A99" s="344"/>
      <c r="B99" s="350"/>
      <c r="C99" s="351">
        <f>SUM(C95:C98)</f>
        <v>4010</v>
      </c>
      <c r="D99" s="352"/>
      <c r="E99" s="353"/>
      <c r="F99" s="352">
        <f>SUM(F95:F98)</f>
        <v>86974</v>
      </c>
      <c r="G99" s="353"/>
      <c r="H99" s="351">
        <f>SUM(H95:H98)</f>
        <v>4010</v>
      </c>
      <c r="I99" s="352"/>
      <c r="J99" s="351"/>
      <c r="K99" s="352">
        <f>SUM(K95:K98)</f>
        <v>87470.080000000002</v>
      </c>
      <c r="L99" s="353"/>
      <c r="M99" s="352"/>
      <c r="N99" s="352">
        <f>K99-F99</f>
        <v>496.08000000000175</v>
      </c>
      <c r="O99" s="354">
        <f>(N99+M99)/F99</f>
        <v>5.7037735415181746E-3</v>
      </c>
      <c r="P99" s="153" t="s">
        <v>140</v>
      </c>
    </row>
    <row r="100" spans="1:16" ht="18" customHeight="1" x14ac:dyDescent="0.25">
      <c r="B100" s="359"/>
      <c r="C100" s="360"/>
      <c r="D100" s="361"/>
      <c r="E100" s="28"/>
      <c r="F100" s="361"/>
      <c r="G100" s="359"/>
      <c r="H100" s="360"/>
      <c r="I100" s="361"/>
      <c r="J100" s="361"/>
      <c r="K100" s="361"/>
      <c r="L100" s="359"/>
      <c r="M100" s="361"/>
      <c r="N100" s="360"/>
      <c r="O100" s="360"/>
    </row>
    <row r="101" spans="1:16" ht="18" customHeight="1" x14ac:dyDescent="0.25">
      <c r="A101" s="344" t="s">
        <v>9</v>
      </c>
      <c r="B101" s="345">
        <v>42145</v>
      </c>
      <c r="C101" s="346">
        <v>100</v>
      </c>
      <c r="D101" s="347">
        <v>5.55</v>
      </c>
      <c r="E101" s="347"/>
      <c r="F101" s="347">
        <f t="shared" ref="F101:F130" si="4">C101*D101</f>
        <v>555</v>
      </c>
      <c r="G101" s="345">
        <v>42187</v>
      </c>
      <c r="H101" s="346">
        <v>4200</v>
      </c>
      <c r="I101" s="347">
        <v>5.0199999999999996</v>
      </c>
      <c r="J101" s="347">
        <v>0.39</v>
      </c>
      <c r="K101" s="347">
        <f>H101*I101-J101</f>
        <v>21083.61</v>
      </c>
      <c r="L101" s="345">
        <v>42185</v>
      </c>
      <c r="M101" s="347">
        <v>656.25</v>
      </c>
      <c r="N101" s="346"/>
      <c r="O101" s="346"/>
    </row>
    <row r="102" spans="1:16" ht="18" customHeight="1" x14ac:dyDescent="0.25">
      <c r="A102" s="344"/>
      <c r="B102" s="345">
        <v>42146</v>
      </c>
      <c r="C102" s="346">
        <v>100</v>
      </c>
      <c r="D102" s="347">
        <v>5.47</v>
      </c>
      <c r="E102" s="347"/>
      <c r="F102" s="347">
        <f t="shared" si="4"/>
        <v>547</v>
      </c>
      <c r="G102" s="345">
        <v>42207</v>
      </c>
      <c r="H102" s="346">
        <v>1000</v>
      </c>
      <c r="I102" s="347">
        <v>5.12</v>
      </c>
      <c r="J102" s="347">
        <v>0.09</v>
      </c>
      <c r="K102" s="347">
        <f>H102*I102-J102</f>
        <v>5119.91</v>
      </c>
      <c r="L102" s="348"/>
      <c r="M102" s="347"/>
      <c r="N102" s="346"/>
      <c r="O102" s="346"/>
    </row>
    <row r="103" spans="1:16" ht="18" customHeight="1" x14ac:dyDescent="0.25">
      <c r="A103" s="344"/>
      <c r="B103" s="345">
        <v>42146</v>
      </c>
      <c r="C103" s="346">
        <v>100</v>
      </c>
      <c r="D103" s="347">
        <v>5.43</v>
      </c>
      <c r="E103" s="347"/>
      <c r="F103" s="347">
        <f t="shared" si="4"/>
        <v>543</v>
      </c>
      <c r="G103" s="345">
        <v>42207</v>
      </c>
      <c r="H103" s="346">
        <v>2000</v>
      </c>
      <c r="I103" s="347">
        <v>5.16</v>
      </c>
      <c r="J103" s="347">
        <v>0.19</v>
      </c>
      <c r="K103" s="347">
        <f t="shared" ref="K103:K110" si="5">H103*I103-J103</f>
        <v>10319.81</v>
      </c>
      <c r="L103" s="348"/>
      <c r="M103" s="347"/>
      <c r="N103" s="346"/>
      <c r="O103" s="346"/>
    </row>
    <row r="104" spans="1:16" ht="18" customHeight="1" x14ac:dyDescent="0.25">
      <c r="A104" s="344"/>
      <c r="B104" s="345">
        <v>42146</v>
      </c>
      <c r="C104" s="346">
        <v>100</v>
      </c>
      <c r="D104" s="347">
        <v>5.4</v>
      </c>
      <c r="E104" s="347"/>
      <c r="F104" s="347">
        <f t="shared" si="4"/>
        <v>540</v>
      </c>
      <c r="G104" s="345">
        <v>42207</v>
      </c>
      <c r="H104" s="346">
        <v>1000</v>
      </c>
      <c r="I104" s="347">
        <v>5.07</v>
      </c>
      <c r="J104" s="347">
        <v>0.09</v>
      </c>
      <c r="K104" s="347">
        <f t="shared" si="5"/>
        <v>5069.91</v>
      </c>
      <c r="L104" s="348"/>
      <c r="M104" s="347"/>
      <c r="N104" s="346"/>
      <c r="O104" s="346"/>
    </row>
    <row r="105" spans="1:16" ht="18" customHeight="1" x14ac:dyDescent="0.25">
      <c r="A105" s="344"/>
      <c r="B105" s="345">
        <v>42146</v>
      </c>
      <c r="C105" s="346">
        <v>200</v>
      </c>
      <c r="D105" s="347">
        <v>5.35</v>
      </c>
      <c r="E105" s="347"/>
      <c r="F105" s="347">
        <f t="shared" si="4"/>
        <v>1070</v>
      </c>
      <c r="G105" s="345">
        <v>42207</v>
      </c>
      <c r="H105" s="346">
        <v>1000</v>
      </c>
      <c r="I105" s="347">
        <v>5.09</v>
      </c>
      <c r="J105" s="347">
        <v>0.09</v>
      </c>
      <c r="K105" s="347">
        <f t="shared" si="5"/>
        <v>5089.91</v>
      </c>
      <c r="L105" s="348"/>
      <c r="M105" s="347"/>
      <c r="N105" s="346"/>
      <c r="O105" s="346"/>
    </row>
    <row r="106" spans="1:16" ht="18" customHeight="1" x14ac:dyDescent="0.25">
      <c r="A106" s="344"/>
      <c r="B106" s="345">
        <v>42152</v>
      </c>
      <c r="C106" s="346">
        <v>250</v>
      </c>
      <c r="D106" s="347">
        <v>5.3</v>
      </c>
      <c r="E106" s="347"/>
      <c r="F106" s="347">
        <f t="shared" si="4"/>
        <v>1325</v>
      </c>
      <c r="G106" s="345">
        <v>42207</v>
      </c>
      <c r="H106" s="346">
        <v>2000</v>
      </c>
      <c r="I106" s="347">
        <v>5.23</v>
      </c>
      <c r="J106" s="347">
        <v>0.19</v>
      </c>
      <c r="K106" s="347">
        <f t="shared" si="5"/>
        <v>10459.81</v>
      </c>
      <c r="L106" s="348"/>
      <c r="M106" s="347"/>
      <c r="N106" s="346"/>
      <c r="O106" s="346"/>
    </row>
    <row r="107" spans="1:16" ht="18" customHeight="1" x14ac:dyDescent="0.25">
      <c r="A107" s="344"/>
      <c r="B107" s="345">
        <v>42152</v>
      </c>
      <c r="C107" s="346">
        <v>200</v>
      </c>
      <c r="D107" s="347">
        <v>5.26</v>
      </c>
      <c r="E107" s="347"/>
      <c r="F107" s="347">
        <f t="shared" si="4"/>
        <v>1052</v>
      </c>
      <c r="G107" s="345">
        <v>42222</v>
      </c>
      <c r="H107" s="346">
        <v>5000</v>
      </c>
      <c r="I107" s="347">
        <v>5.12</v>
      </c>
      <c r="J107" s="347">
        <v>0.47</v>
      </c>
      <c r="K107" s="347">
        <f t="shared" si="5"/>
        <v>25599.53</v>
      </c>
      <c r="L107" s="348"/>
      <c r="M107" s="347"/>
      <c r="N107" s="346"/>
      <c r="O107" s="346"/>
    </row>
    <row r="108" spans="1:16" ht="18" customHeight="1" x14ac:dyDescent="0.25">
      <c r="A108" s="344"/>
      <c r="B108" s="345">
        <v>42152</v>
      </c>
      <c r="C108" s="346">
        <v>200</v>
      </c>
      <c r="D108" s="347">
        <v>5.22</v>
      </c>
      <c r="E108" s="347"/>
      <c r="F108" s="347">
        <f t="shared" si="4"/>
        <v>1044</v>
      </c>
      <c r="G108" s="345">
        <v>42222</v>
      </c>
      <c r="H108" s="346">
        <v>1000</v>
      </c>
      <c r="I108" s="347">
        <v>5.1100000000000003</v>
      </c>
      <c r="J108" s="347">
        <v>0.09</v>
      </c>
      <c r="K108" s="347">
        <f t="shared" si="5"/>
        <v>5109.91</v>
      </c>
      <c r="L108" s="348"/>
      <c r="M108" s="347"/>
      <c r="N108" s="346"/>
      <c r="O108" s="346"/>
    </row>
    <row r="109" spans="1:16" ht="18" customHeight="1" x14ac:dyDescent="0.25">
      <c r="A109" s="344"/>
      <c r="B109" s="345">
        <v>42152</v>
      </c>
      <c r="C109" s="346">
        <v>1000</v>
      </c>
      <c r="D109" s="347">
        <v>5.19</v>
      </c>
      <c r="E109" s="347"/>
      <c r="F109" s="347">
        <f t="shared" si="4"/>
        <v>5190</v>
      </c>
      <c r="G109" s="345">
        <v>42223</v>
      </c>
      <c r="H109" s="346">
        <v>1950</v>
      </c>
      <c r="I109" s="347">
        <v>5.2</v>
      </c>
      <c r="J109" s="347">
        <v>0.19</v>
      </c>
      <c r="K109" s="347">
        <f t="shared" si="5"/>
        <v>10139.81</v>
      </c>
      <c r="L109" s="348"/>
      <c r="M109" s="347"/>
      <c r="N109" s="346"/>
      <c r="O109" s="346"/>
    </row>
    <row r="110" spans="1:16" ht="18" customHeight="1" x14ac:dyDescent="0.25">
      <c r="A110" s="344"/>
      <c r="B110" s="345">
        <v>42152</v>
      </c>
      <c r="C110" s="346">
        <v>2000</v>
      </c>
      <c r="D110" s="347">
        <v>5.17</v>
      </c>
      <c r="E110" s="347"/>
      <c r="F110" s="347">
        <f t="shared" si="4"/>
        <v>10340</v>
      </c>
      <c r="G110" s="345">
        <v>42229</v>
      </c>
      <c r="H110" s="346">
        <v>50</v>
      </c>
      <c r="I110" s="347">
        <v>5.28</v>
      </c>
      <c r="J110" s="347">
        <v>0.01</v>
      </c>
      <c r="K110" s="347">
        <f t="shared" si="5"/>
        <v>263.99</v>
      </c>
      <c r="L110" s="348"/>
      <c r="M110" s="347"/>
      <c r="N110" s="346"/>
      <c r="O110" s="346"/>
    </row>
    <row r="111" spans="1:16" ht="18" customHeight="1" x14ac:dyDescent="0.25">
      <c r="A111" s="344"/>
      <c r="B111" s="345">
        <v>42152</v>
      </c>
      <c r="C111" s="346">
        <v>2000</v>
      </c>
      <c r="D111" s="347">
        <v>5.15</v>
      </c>
      <c r="E111" s="347"/>
      <c r="F111" s="347">
        <f t="shared" si="4"/>
        <v>10300</v>
      </c>
      <c r="G111" s="348"/>
      <c r="H111" s="346"/>
      <c r="I111" s="347"/>
      <c r="J111" s="347"/>
      <c r="K111" s="347"/>
      <c r="L111" s="348"/>
      <c r="M111" s="347"/>
      <c r="N111" s="346"/>
      <c r="O111" s="346"/>
    </row>
    <row r="112" spans="1:16" ht="18" customHeight="1" x14ac:dyDescent="0.25">
      <c r="A112" s="344"/>
      <c r="B112" s="345">
        <v>42158</v>
      </c>
      <c r="C112" s="346">
        <v>500</v>
      </c>
      <c r="D112" s="347">
        <v>5.09</v>
      </c>
      <c r="E112" s="347"/>
      <c r="F112" s="347">
        <f t="shared" si="4"/>
        <v>2545</v>
      </c>
      <c r="G112" s="348"/>
      <c r="H112" s="346"/>
      <c r="I112" s="347"/>
      <c r="J112" s="347"/>
      <c r="K112" s="347"/>
      <c r="L112" s="348"/>
      <c r="M112" s="347"/>
      <c r="N112" s="346"/>
      <c r="O112" s="346"/>
    </row>
    <row r="113" spans="1:15" ht="18" customHeight="1" x14ac:dyDescent="0.25">
      <c r="A113" s="344"/>
      <c r="B113" s="345">
        <v>42158</v>
      </c>
      <c r="C113" s="346">
        <v>1000</v>
      </c>
      <c r="D113" s="347">
        <v>5.04</v>
      </c>
      <c r="E113" s="348"/>
      <c r="F113" s="347">
        <f t="shared" si="4"/>
        <v>5040</v>
      </c>
      <c r="G113" s="348"/>
      <c r="H113" s="346"/>
      <c r="I113" s="347"/>
      <c r="J113" s="347"/>
      <c r="K113" s="347"/>
      <c r="L113" s="348"/>
      <c r="M113" s="347"/>
      <c r="N113" s="346"/>
      <c r="O113" s="346"/>
    </row>
    <row r="114" spans="1:15" ht="18" customHeight="1" x14ac:dyDescent="0.25">
      <c r="A114" s="344"/>
      <c r="B114" s="345">
        <v>42158</v>
      </c>
      <c r="C114" s="346">
        <v>200</v>
      </c>
      <c r="D114" s="347">
        <v>5.05</v>
      </c>
      <c r="E114" s="347"/>
      <c r="F114" s="347">
        <f t="shared" si="4"/>
        <v>1010</v>
      </c>
      <c r="G114" s="348"/>
      <c r="H114" s="346"/>
      <c r="I114" s="347"/>
      <c r="J114" s="347"/>
      <c r="K114" s="347"/>
      <c r="L114" s="348"/>
      <c r="M114" s="347"/>
      <c r="N114" s="346"/>
      <c r="O114" s="346"/>
    </row>
    <row r="115" spans="1:15" ht="18" customHeight="1" x14ac:dyDescent="0.25">
      <c r="A115" s="344"/>
      <c r="B115" s="345">
        <v>42164</v>
      </c>
      <c r="C115" s="346">
        <v>500</v>
      </c>
      <c r="D115" s="347">
        <v>5.07</v>
      </c>
      <c r="E115" s="347"/>
      <c r="F115" s="347">
        <f t="shared" si="4"/>
        <v>2535</v>
      </c>
      <c r="G115" s="348"/>
      <c r="H115" s="346"/>
      <c r="I115" s="347"/>
      <c r="J115" s="347"/>
      <c r="K115" s="347"/>
      <c r="L115" s="348"/>
      <c r="M115" s="347"/>
      <c r="N115" s="346"/>
      <c r="O115" s="346"/>
    </row>
    <row r="116" spans="1:15" ht="18" customHeight="1" x14ac:dyDescent="0.25">
      <c r="A116" s="344"/>
      <c r="B116" s="345">
        <v>42164</v>
      </c>
      <c r="C116" s="346">
        <v>1000</v>
      </c>
      <c r="D116" s="347">
        <v>5.04</v>
      </c>
      <c r="E116" s="347"/>
      <c r="F116" s="347">
        <f t="shared" si="4"/>
        <v>5040</v>
      </c>
      <c r="G116" s="348"/>
      <c r="H116" s="346"/>
      <c r="I116" s="347"/>
      <c r="J116" s="347"/>
      <c r="K116" s="347"/>
      <c r="L116" s="348"/>
      <c r="M116" s="347"/>
      <c r="N116" s="346"/>
      <c r="O116" s="346"/>
    </row>
    <row r="117" spans="1:15" ht="18" customHeight="1" x14ac:dyDescent="0.25">
      <c r="A117" s="344"/>
      <c r="B117" s="345">
        <v>42164</v>
      </c>
      <c r="C117" s="346">
        <v>1000</v>
      </c>
      <c r="D117" s="347">
        <v>5.01</v>
      </c>
      <c r="E117" s="347"/>
      <c r="F117" s="347">
        <f t="shared" si="4"/>
        <v>5010</v>
      </c>
      <c r="G117" s="348"/>
      <c r="H117" s="346"/>
      <c r="I117" s="347"/>
      <c r="J117" s="347"/>
      <c r="K117" s="347"/>
      <c r="L117" s="348"/>
      <c r="M117" s="347"/>
      <c r="N117" s="346"/>
      <c r="O117" s="346"/>
    </row>
    <row r="118" spans="1:15" ht="18" customHeight="1" x14ac:dyDescent="0.25">
      <c r="A118" s="344"/>
      <c r="B118" s="345">
        <v>42173</v>
      </c>
      <c r="C118" s="346">
        <v>500</v>
      </c>
      <c r="D118" s="347">
        <v>4.88</v>
      </c>
      <c r="E118" s="347"/>
      <c r="F118" s="347">
        <f t="shared" si="4"/>
        <v>2440</v>
      </c>
      <c r="G118" s="348"/>
      <c r="H118" s="346"/>
      <c r="I118" s="347"/>
      <c r="J118" s="347"/>
      <c r="K118" s="347"/>
      <c r="L118" s="348"/>
      <c r="M118" s="347"/>
      <c r="N118" s="346"/>
      <c r="O118" s="346"/>
    </row>
    <row r="119" spans="1:15" ht="18" customHeight="1" x14ac:dyDescent="0.25">
      <c r="A119" s="344"/>
      <c r="B119" s="345">
        <v>42187</v>
      </c>
      <c r="C119" s="346">
        <v>2000</v>
      </c>
      <c r="D119" s="347">
        <v>4.9800000000000004</v>
      </c>
      <c r="E119" s="347"/>
      <c r="F119" s="347">
        <f t="shared" si="4"/>
        <v>9960</v>
      </c>
      <c r="G119" s="348"/>
      <c r="H119" s="346"/>
      <c r="I119" s="347"/>
      <c r="J119" s="347"/>
      <c r="K119" s="347"/>
      <c r="L119" s="348"/>
      <c r="M119" s="347"/>
      <c r="N119" s="346"/>
      <c r="O119" s="346"/>
    </row>
    <row r="120" spans="1:15" ht="18" customHeight="1" x14ac:dyDescent="0.25">
      <c r="A120" s="344"/>
      <c r="B120" s="345">
        <v>42187</v>
      </c>
      <c r="C120" s="346">
        <v>100</v>
      </c>
      <c r="D120" s="347">
        <v>4.9800000000000004</v>
      </c>
      <c r="E120" s="347"/>
      <c r="F120" s="347">
        <f t="shared" si="4"/>
        <v>498.00000000000006</v>
      </c>
      <c r="G120" s="348"/>
      <c r="H120" s="346"/>
      <c r="I120" s="347"/>
      <c r="J120" s="347"/>
      <c r="K120" s="347"/>
      <c r="L120" s="348"/>
      <c r="M120" s="347"/>
      <c r="N120" s="346"/>
      <c r="O120" s="346"/>
    </row>
    <row r="121" spans="1:15" ht="18" customHeight="1" x14ac:dyDescent="0.25">
      <c r="A121" s="344"/>
      <c r="B121" s="345">
        <v>42187</v>
      </c>
      <c r="C121" s="346">
        <v>100</v>
      </c>
      <c r="D121" s="347">
        <v>4.9800000000000004</v>
      </c>
      <c r="E121" s="347"/>
      <c r="F121" s="347">
        <f t="shared" si="4"/>
        <v>498.00000000000006</v>
      </c>
      <c r="G121" s="348"/>
      <c r="H121" s="346"/>
      <c r="I121" s="347"/>
      <c r="J121" s="347"/>
      <c r="K121" s="347"/>
      <c r="L121" s="348"/>
      <c r="M121" s="347"/>
      <c r="N121" s="346"/>
      <c r="O121" s="346"/>
    </row>
    <row r="122" spans="1:15" ht="18" customHeight="1" x14ac:dyDescent="0.25">
      <c r="A122" s="344"/>
      <c r="B122" s="345">
        <v>42187</v>
      </c>
      <c r="C122" s="346">
        <v>2000</v>
      </c>
      <c r="D122" s="347">
        <v>4.97</v>
      </c>
      <c r="E122" s="347"/>
      <c r="F122" s="347">
        <f t="shared" si="4"/>
        <v>9940</v>
      </c>
      <c r="G122" s="348"/>
      <c r="H122" s="346"/>
      <c r="I122" s="347"/>
      <c r="J122" s="347"/>
      <c r="K122" s="347"/>
      <c r="L122" s="348"/>
      <c r="M122" s="347"/>
      <c r="N122" s="346"/>
      <c r="O122" s="346"/>
    </row>
    <row r="123" spans="1:15" ht="18" customHeight="1" x14ac:dyDescent="0.25">
      <c r="A123" s="344"/>
      <c r="B123" s="345">
        <v>42199</v>
      </c>
      <c r="C123" s="346">
        <v>500</v>
      </c>
      <c r="D123" s="347">
        <v>4.8</v>
      </c>
      <c r="E123" s="347"/>
      <c r="F123" s="347">
        <f t="shared" si="4"/>
        <v>2400</v>
      </c>
      <c r="G123" s="348"/>
      <c r="H123" s="346"/>
      <c r="I123" s="347"/>
      <c r="J123" s="347"/>
      <c r="K123" s="347"/>
      <c r="L123" s="348"/>
      <c r="M123" s="347"/>
      <c r="N123" s="346"/>
      <c r="O123" s="346"/>
    </row>
    <row r="124" spans="1:15" ht="18" customHeight="1" x14ac:dyDescent="0.25">
      <c r="A124" s="344"/>
      <c r="B124" s="345">
        <v>42212</v>
      </c>
      <c r="C124" s="346">
        <v>300</v>
      </c>
      <c r="D124" s="347">
        <v>4.76</v>
      </c>
      <c r="E124" s="347"/>
      <c r="F124" s="347">
        <f t="shared" si="4"/>
        <v>1428</v>
      </c>
      <c r="G124" s="348"/>
      <c r="H124" s="346"/>
      <c r="I124" s="347"/>
      <c r="J124" s="347"/>
      <c r="K124" s="347"/>
      <c r="L124" s="348"/>
      <c r="M124" s="347"/>
      <c r="N124" s="346"/>
      <c r="O124" s="346"/>
    </row>
    <row r="125" spans="1:15" ht="18" customHeight="1" x14ac:dyDescent="0.25">
      <c r="A125" s="344"/>
      <c r="B125" s="345">
        <v>42212</v>
      </c>
      <c r="C125" s="346">
        <v>1700</v>
      </c>
      <c r="D125" s="347">
        <v>4.76</v>
      </c>
      <c r="E125" s="347"/>
      <c r="F125" s="347">
        <f t="shared" si="4"/>
        <v>8092</v>
      </c>
      <c r="G125" s="348"/>
      <c r="H125" s="346"/>
      <c r="I125" s="347"/>
      <c r="J125" s="347"/>
      <c r="K125" s="347"/>
      <c r="L125" s="348"/>
      <c r="M125" s="347"/>
      <c r="N125" s="346"/>
      <c r="O125" s="346"/>
    </row>
    <row r="126" spans="1:15" ht="18" customHeight="1" x14ac:dyDescent="0.25">
      <c r="A126" s="344"/>
      <c r="B126" s="345">
        <v>42214</v>
      </c>
      <c r="C126" s="346">
        <v>500</v>
      </c>
      <c r="D126" s="347">
        <v>4.68</v>
      </c>
      <c r="E126" s="347"/>
      <c r="F126" s="347">
        <f t="shared" si="4"/>
        <v>2340</v>
      </c>
      <c r="G126" s="348"/>
      <c r="H126" s="346"/>
      <c r="I126" s="347"/>
      <c r="J126" s="347"/>
      <c r="K126" s="347"/>
      <c r="L126" s="348"/>
      <c r="M126" s="347"/>
      <c r="N126" s="346"/>
      <c r="O126" s="346"/>
    </row>
    <row r="127" spans="1:15" ht="18" customHeight="1" x14ac:dyDescent="0.25">
      <c r="A127" s="344"/>
      <c r="B127" s="345">
        <v>42214</v>
      </c>
      <c r="C127" s="346">
        <v>50</v>
      </c>
      <c r="D127" s="347">
        <v>4.6500000000000004</v>
      </c>
      <c r="E127" s="347"/>
      <c r="F127" s="347">
        <f t="shared" si="4"/>
        <v>232.50000000000003</v>
      </c>
      <c r="G127" s="348"/>
      <c r="H127" s="346"/>
      <c r="I127" s="347"/>
      <c r="J127" s="347"/>
      <c r="K127" s="347"/>
      <c r="L127" s="348"/>
      <c r="M127" s="347"/>
      <c r="N127" s="346"/>
      <c r="O127" s="346"/>
    </row>
    <row r="128" spans="1:15" ht="18" customHeight="1" x14ac:dyDescent="0.25">
      <c r="A128" s="344"/>
      <c r="B128" s="345">
        <v>42214</v>
      </c>
      <c r="C128" s="346">
        <v>200</v>
      </c>
      <c r="D128" s="347">
        <v>4.63</v>
      </c>
      <c r="E128" s="347"/>
      <c r="F128" s="347">
        <f t="shared" si="4"/>
        <v>926</v>
      </c>
      <c r="G128" s="348"/>
      <c r="H128" s="346"/>
      <c r="I128" s="347"/>
      <c r="J128" s="347"/>
      <c r="K128" s="347"/>
      <c r="L128" s="348"/>
      <c r="M128" s="347"/>
      <c r="N128" s="346"/>
      <c r="O128" s="346"/>
    </row>
    <row r="129" spans="1:16" ht="18" customHeight="1" x14ac:dyDescent="0.25">
      <c r="A129" s="344"/>
      <c r="B129" s="345">
        <v>42214</v>
      </c>
      <c r="C129" s="346">
        <v>300</v>
      </c>
      <c r="D129" s="347">
        <v>4.59</v>
      </c>
      <c r="E129" s="347"/>
      <c r="F129" s="347">
        <f t="shared" si="4"/>
        <v>1377</v>
      </c>
      <c r="G129" s="348"/>
      <c r="H129" s="346"/>
      <c r="I129" s="347"/>
      <c r="J129" s="347"/>
      <c r="K129" s="347"/>
      <c r="L129" s="348"/>
      <c r="M129" s="347"/>
      <c r="N129" s="346"/>
      <c r="O129" s="346"/>
    </row>
    <row r="130" spans="1:16" ht="18" customHeight="1" x14ac:dyDescent="0.25">
      <c r="A130" s="344"/>
      <c r="B130" s="345">
        <v>42214</v>
      </c>
      <c r="C130" s="346">
        <v>500</v>
      </c>
      <c r="D130" s="347">
        <v>4.54</v>
      </c>
      <c r="E130" s="347"/>
      <c r="F130" s="347">
        <f t="shared" si="4"/>
        <v>2270</v>
      </c>
      <c r="G130" s="348"/>
      <c r="H130" s="346"/>
      <c r="I130" s="347"/>
      <c r="J130" s="347"/>
      <c r="K130" s="347"/>
      <c r="L130" s="348"/>
      <c r="M130" s="347"/>
      <c r="N130" s="346"/>
      <c r="O130" s="346"/>
    </row>
    <row r="131" spans="1:16" ht="18" customHeight="1" x14ac:dyDescent="0.25">
      <c r="A131" s="344"/>
      <c r="B131" s="353"/>
      <c r="C131" s="351">
        <f>SUM(C101:C130)</f>
        <v>19200</v>
      </c>
      <c r="D131" s="352"/>
      <c r="E131" s="352"/>
      <c r="F131" s="352">
        <f>SUM(F101:F130)</f>
        <v>96087.5</v>
      </c>
      <c r="G131" s="353"/>
      <c r="H131" s="351">
        <f>SUM(H101:H130)</f>
        <v>19200</v>
      </c>
      <c r="I131" s="352"/>
      <c r="J131" s="352"/>
      <c r="K131" s="352">
        <f>SUM(K101:K130)</f>
        <v>98256.200000000012</v>
      </c>
      <c r="L131" s="353"/>
      <c r="M131" s="352">
        <f>SUM(M101:M130)</f>
        <v>656.25</v>
      </c>
      <c r="N131" s="352">
        <f>K131-F131</f>
        <v>2168.7000000000116</v>
      </c>
      <c r="O131" s="354">
        <f>(N131+M131)/F131</f>
        <v>2.9399765838428637E-2</v>
      </c>
      <c r="P131" s="153" t="s">
        <v>140</v>
      </c>
    </row>
    <row r="132" spans="1:16" ht="18" customHeight="1" x14ac:dyDescent="0.25">
      <c r="B132" s="359"/>
      <c r="C132" s="360"/>
      <c r="D132" s="361"/>
      <c r="E132" s="28"/>
      <c r="F132" s="361"/>
      <c r="G132" s="359"/>
      <c r="H132" s="360"/>
      <c r="I132" s="361"/>
      <c r="K132" s="361"/>
      <c r="L132" s="359"/>
      <c r="M132" s="361"/>
      <c r="N132" s="361"/>
      <c r="O132" s="362"/>
    </row>
    <row r="133" spans="1:16" ht="18" customHeight="1" x14ac:dyDescent="0.25">
      <c r="A133" s="344" t="s">
        <v>25</v>
      </c>
      <c r="B133" s="345">
        <v>42163</v>
      </c>
      <c r="C133" s="346">
        <v>1</v>
      </c>
      <c r="D133" s="347">
        <v>117.3</v>
      </c>
      <c r="E133" s="348"/>
      <c r="F133" s="347">
        <f>C133*D133</f>
        <v>117.3</v>
      </c>
      <c r="G133" s="345">
        <v>42186</v>
      </c>
      <c r="H133" s="346">
        <v>1</v>
      </c>
      <c r="I133" s="347">
        <v>121.6</v>
      </c>
      <c r="J133" s="346">
        <v>0.01</v>
      </c>
      <c r="K133" s="347">
        <f>H133*I133-J133</f>
        <v>121.58999999999999</v>
      </c>
      <c r="L133" s="348"/>
      <c r="M133" s="347"/>
      <c r="N133" s="347"/>
      <c r="O133" s="349"/>
    </row>
    <row r="134" spans="1:16" ht="18" customHeight="1" x14ac:dyDescent="0.25">
      <c r="A134" s="344"/>
      <c r="B134" s="350"/>
      <c r="C134" s="351">
        <f>SUM(C133)</f>
        <v>1</v>
      </c>
      <c r="D134" s="352"/>
      <c r="E134" s="353"/>
      <c r="F134" s="352">
        <f>SUM(F133)</f>
        <v>117.3</v>
      </c>
      <c r="G134" s="353"/>
      <c r="H134" s="351">
        <f>SUM(H133)</f>
        <v>1</v>
      </c>
      <c r="I134" s="352"/>
      <c r="J134" s="351"/>
      <c r="K134" s="352">
        <f>SUM(K133)</f>
        <v>121.58999999999999</v>
      </c>
      <c r="L134" s="353"/>
      <c r="M134" s="352"/>
      <c r="N134" s="352">
        <f>K134-F134</f>
        <v>4.289999999999992</v>
      </c>
      <c r="O134" s="354">
        <f>(N134+M134)/F134</f>
        <v>3.6572890025575379E-2</v>
      </c>
      <c r="P134" s="153" t="s">
        <v>140</v>
      </c>
    </row>
    <row r="135" spans="1:16" ht="18" customHeight="1" x14ac:dyDescent="0.25">
      <c r="B135" s="359"/>
      <c r="C135" s="360"/>
      <c r="D135" s="361"/>
      <c r="E135" s="361"/>
      <c r="F135" s="361"/>
      <c r="G135" s="359"/>
      <c r="H135" s="360"/>
      <c r="I135" s="361"/>
      <c r="J135" s="361"/>
      <c r="K135" s="361"/>
      <c r="L135" s="359"/>
      <c r="M135" s="361"/>
      <c r="N135" s="361"/>
      <c r="O135" s="362"/>
    </row>
    <row r="136" spans="1:16" ht="18" customHeight="1" x14ac:dyDescent="0.25">
      <c r="A136" s="344" t="s">
        <v>36</v>
      </c>
      <c r="B136" s="345">
        <v>42167</v>
      </c>
      <c r="C136" s="346">
        <v>25</v>
      </c>
      <c r="D136" s="347">
        <v>34.15</v>
      </c>
      <c r="E136" s="347"/>
      <c r="F136" s="347">
        <f>C136*D136</f>
        <v>853.75</v>
      </c>
      <c r="G136" s="345">
        <v>42186</v>
      </c>
      <c r="H136" s="346">
        <v>35</v>
      </c>
      <c r="I136" s="347">
        <v>34.799999999999997</v>
      </c>
      <c r="J136" s="347">
        <v>0.02</v>
      </c>
      <c r="K136" s="347">
        <f>H136*I136-J136</f>
        <v>1217.98</v>
      </c>
      <c r="L136" s="348"/>
      <c r="M136" s="347"/>
      <c r="N136" s="347"/>
      <c r="O136" s="349"/>
    </row>
    <row r="137" spans="1:16" ht="18" customHeight="1" x14ac:dyDescent="0.25">
      <c r="A137" s="344"/>
      <c r="B137" s="345">
        <v>42178</v>
      </c>
      <c r="C137" s="346">
        <v>10</v>
      </c>
      <c r="D137" s="347">
        <v>33.119999999999997</v>
      </c>
      <c r="E137" s="347"/>
      <c r="F137" s="347">
        <f>C137*D137</f>
        <v>331.2</v>
      </c>
      <c r="G137" s="348"/>
      <c r="H137" s="346"/>
      <c r="I137" s="347"/>
      <c r="J137" s="347"/>
      <c r="K137" s="347"/>
      <c r="L137" s="348"/>
      <c r="M137" s="347"/>
      <c r="N137" s="347"/>
      <c r="O137" s="349"/>
    </row>
    <row r="138" spans="1:16" ht="18" customHeight="1" x14ac:dyDescent="0.25">
      <c r="A138" s="344"/>
      <c r="B138" s="350"/>
      <c r="C138" s="351">
        <f>SUM(C136:C137)</f>
        <v>35</v>
      </c>
      <c r="D138" s="352"/>
      <c r="E138" s="352"/>
      <c r="F138" s="352">
        <f>SUM(F136:F137)</f>
        <v>1184.95</v>
      </c>
      <c r="G138" s="353"/>
      <c r="H138" s="351">
        <f>SUM(H136:H137)</f>
        <v>35</v>
      </c>
      <c r="I138" s="352"/>
      <c r="J138" s="352"/>
      <c r="K138" s="352">
        <f>SUM(K136:K137)</f>
        <v>1217.98</v>
      </c>
      <c r="L138" s="353"/>
      <c r="M138" s="352"/>
      <c r="N138" s="352">
        <f>K138-F138</f>
        <v>33.029999999999973</v>
      </c>
      <c r="O138" s="354">
        <f>(N138+M138)/F138</f>
        <v>2.7874593864720007E-2</v>
      </c>
      <c r="P138" s="153" t="s">
        <v>140</v>
      </c>
    </row>
    <row r="139" spans="1:16" ht="18" customHeight="1" x14ac:dyDescent="0.25">
      <c r="B139" s="359"/>
      <c r="C139" s="360"/>
      <c r="D139" s="361"/>
      <c r="E139" s="28"/>
      <c r="F139" s="361"/>
      <c r="G139" s="359"/>
      <c r="H139" s="360"/>
      <c r="I139" s="361"/>
      <c r="K139" s="361"/>
      <c r="L139" s="359"/>
      <c r="M139" s="361"/>
      <c r="N139" s="361"/>
      <c r="O139" s="362"/>
    </row>
    <row r="140" spans="1:16" ht="18" customHeight="1" x14ac:dyDescent="0.25">
      <c r="A140" s="344" t="s">
        <v>14</v>
      </c>
      <c r="B140" s="345">
        <v>42152</v>
      </c>
      <c r="C140" s="346">
        <v>2</v>
      </c>
      <c r="D140" s="347">
        <v>51.22</v>
      </c>
      <c r="E140" s="348"/>
      <c r="F140" s="347">
        <f>C140*D140</f>
        <v>102.44</v>
      </c>
      <c r="G140" s="345">
        <v>42187</v>
      </c>
      <c r="H140" s="346">
        <v>150</v>
      </c>
      <c r="I140" s="347">
        <v>48.92</v>
      </c>
      <c r="J140" s="346">
        <v>0.12</v>
      </c>
      <c r="K140" s="347">
        <f>H140*I140-J140</f>
        <v>7337.88</v>
      </c>
      <c r="L140" s="345">
        <v>42195</v>
      </c>
      <c r="M140" s="347">
        <v>52</v>
      </c>
      <c r="N140" s="347"/>
      <c r="O140" s="349"/>
    </row>
    <row r="141" spans="1:16" ht="18" customHeight="1" x14ac:dyDescent="0.25">
      <c r="A141" s="344"/>
      <c r="B141" s="345">
        <v>42164</v>
      </c>
      <c r="C141" s="346">
        <v>48</v>
      </c>
      <c r="D141" s="347">
        <v>49.9</v>
      </c>
      <c r="E141" s="348"/>
      <c r="F141" s="347">
        <f>C141*D141</f>
        <v>2395.1999999999998</v>
      </c>
      <c r="G141" s="348"/>
      <c r="H141" s="346"/>
      <c r="I141" s="347"/>
      <c r="J141" s="346"/>
      <c r="K141" s="347"/>
      <c r="L141" s="348"/>
      <c r="M141" s="347"/>
      <c r="N141" s="347"/>
      <c r="O141" s="349"/>
    </row>
    <row r="142" spans="1:16" ht="18" customHeight="1" x14ac:dyDescent="0.25">
      <c r="A142" s="344"/>
      <c r="B142" s="345">
        <v>42165</v>
      </c>
      <c r="C142" s="346">
        <v>50</v>
      </c>
      <c r="D142" s="347">
        <v>48.6</v>
      </c>
      <c r="E142" s="348"/>
      <c r="F142" s="347">
        <f>C142*D142</f>
        <v>2430</v>
      </c>
      <c r="G142" s="348"/>
      <c r="H142" s="346"/>
      <c r="I142" s="347"/>
      <c r="J142" s="346"/>
      <c r="K142" s="347"/>
      <c r="L142" s="348"/>
      <c r="M142" s="347"/>
      <c r="N142" s="347"/>
      <c r="O142" s="349"/>
    </row>
    <row r="143" spans="1:16" ht="18" customHeight="1" x14ac:dyDescent="0.25">
      <c r="A143" s="344"/>
      <c r="B143" s="345">
        <v>42173</v>
      </c>
      <c r="C143" s="346">
        <v>25</v>
      </c>
      <c r="D143" s="347">
        <v>47.62</v>
      </c>
      <c r="E143" s="348"/>
      <c r="F143" s="347">
        <f>C143*D143</f>
        <v>1190.5</v>
      </c>
      <c r="G143" s="348"/>
      <c r="H143" s="346"/>
      <c r="I143" s="347"/>
      <c r="J143" s="346"/>
      <c r="K143" s="347"/>
      <c r="L143" s="348"/>
      <c r="M143" s="347"/>
      <c r="N143" s="347"/>
      <c r="O143" s="349"/>
    </row>
    <row r="144" spans="1:16" ht="18" customHeight="1" x14ac:dyDescent="0.25">
      <c r="A144" s="344"/>
      <c r="B144" s="345">
        <v>42173</v>
      </c>
      <c r="C144" s="346">
        <v>25</v>
      </c>
      <c r="D144" s="347">
        <v>47.54</v>
      </c>
      <c r="E144" s="348"/>
      <c r="F144" s="347">
        <f>C144*D144</f>
        <v>1188.5</v>
      </c>
      <c r="G144" s="348"/>
      <c r="H144" s="346"/>
      <c r="I144" s="347"/>
      <c r="J144" s="346"/>
      <c r="K144" s="347"/>
      <c r="L144" s="348"/>
      <c r="M144" s="347"/>
      <c r="N144" s="347"/>
      <c r="O144" s="349"/>
    </row>
    <row r="145" spans="1:18" ht="18" customHeight="1" x14ac:dyDescent="0.25">
      <c r="A145" s="344"/>
      <c r="B145" s="350"/>
      <c r="C145" s="351">
        <f>SUM(C140:C144)</f>
        <v>150</v>
      </c>
      <c r="D145" s="352"/>
      <c r="E145" s="353"/>
      <c r="F145" s="352">
        <f t="shared" ref="F145:M145" si="6">SUM(F140:F144)</f>
        <v>7306.6399999999994</v>
      </c>
      <c r="G145" s="353"/>
      <c r="H145" s="351">
        <f t="shared" si="6"/>
        <v>150</v>
      </c>
      <c r="I145" s="352"/>
      <c r="J145" s="351"/>
      <c r="K145" s="352">
        <f t="shared" si="6"/>
        <v>7337.88</v>
      </c>
      <c r="L145" s="353"/>
      <c r="M145" s="352">
        <f t="shared" si="6"/>
        <v>52</v>
      </c>
      <c r="N145" s="352">
        <f>K145-F145</f>
        <v>31.240000000000691</v>
      </c>
      <c r="O145" s="354">
        <f>(N145+M145)/F145</f>
        <v>1.1392377344442959E-2</v>
      </c>
      <c r="P145" s="153" t="s">
        <v>140</v>
      </c>
    </row>
    <row r="146" spans="1:18" ht="18" customHeight="1" x14ac:dyDescent="0.25">
      <c r="B146" s="373"/>
      <c r="C146" s="360"/>
      <c r="D146" s="361"/>
      <c r="E146" s="360"/>
      <c r="F146" s="361"/>
      <c r="G146" s="376"/>
      <c r="H146" s="360"/>
      <c r="I146" s="361"/>
      <c r="J146" s="360"/>
      <c r="K146" s="361"/>
      <c r="L146" s="359"/>
      <c r="M146" s="361"/>
      <c r="N146" s="360"/>
      <c r="O146" s="360"/>
    </row>
    <row r="147" spans="1:18" ht="18" customHeight="1" x14ac:dyDescent="0.25">
      <c r="A147" s="344" t="s">
        <v>26</v>
      </c>
      <c r="B147" s="345">
        <v>42163</v>
      </c>
      <c r="C147" s="346">
        <v>50</v>
      </c>
      <c r="D147" s="347">
        <v>5.9</v>
      </c>
      <c r="E147" s="346">
        <v>0</v>
      </c>
      <c r="F147" s="347">
        <v>295</v>
      </c>
      <c r="G147" s="375">
        <v>42187</v>
      </c>
      <c r="H147" s="346">
        <v>200</v>
      </c>
      <c r="I147" s="347">
        <v>6.45</v>
      </c>
      <c r="J147" s="346">
        <v>0.02</v>
      </c>
      <c r="K147" s="347">
        <v>1289.98</v>
      </c>
      <c r="L147" s="348"/>
      <c r="M147" s="347"/>
      <c r="N147" s="346"/>
      <c r="O147" s="346"/>
    </row>
    <row r="148" spans="1:18" ht="18" customHeight="1" x14ac:dyDescent="0.25">
      <c r="A148" s="344"/>
      <c r="B148" s="345">
        <v>42163</v>
      </c>
      <c r="C148" s="346">
        <v>100</v>
      </c>
      <c r="D148" s="347">
        <v>6.2</v>
      </c>
      <c r="E148" s="346">
        <v>0</v>
      </c>
      <c r="F148" s="347">
        <v>620</v>
      </c>
      <c r="G148" s="375">
        <v>42261</v>
      </c>
      <c r="H148" s="346">
        <v>450</v>
      </c>
      <c r="I148" s="347">
        <v>6.23</v>
      </c>
      <c r="J148" s="346">
        <v>0.05</v>
      </c>
      <c r="K148" s="347">
        <v>2803.45</v>
      </c>
      <c r="L148" s="348"/>
      <c r="M148" s="347"/>
      <c r="N148" s="346"/>
      <c r="O148" s="346"/>
    </row>
    <row r="149" spans="1:18" ht="18" customHeight="1" x14ac:dyDescent="0.25">
      <c r="A149" s="344"/>
      <c r="B149" s="345">
        <v>42187</v>
      </c>
      <c r="C149" s="346">
        <v>200</v>
      </c>
      <c r="D149" s="347">
        <v>6.3</v>
      </c>
      <c r="E149" s="346">
        <v>0</v>
      </c>
      <c r="F149" s="347">
        <v>1260</v>
      </c>
      <c r="G149" s="375"/>
      <c r="H149" s="346"/>
      <c r="I149" s="347"/>
      <c r="J149" s="346"/>
      <c r="K149" s="347"/>
      <c r="L149" s="348"/>
      <c r="M149" s="347"/>
      <c r="N149" s="346"/>
      <c r="O149" s="346"/>
    </row>
    <row r="150" spans="1:18" ht="18" customHeight="1" x14ac:dyDescent="0.25">
      <c r="A150" s="344"/>
      <c r="B150" s="345">
        <v>42194</v>
      </c>
      <c r="C150" s="346">
        <v>150</v>
      </c>
      <c r="D150" s="347">
        <v>6.1</v>
      </c>
      <c r="E150" s="346">
        <v>0</v>
      </c>
      <c r="F150" s="347">
        <v>915</v>
      </c>
      <c r="G150" s="375"/>
      <c r="H150" s="346"/>
      <c r="I150" s="347"/>
      <c r="J150" s="346"/>
      <c r="K150" s="347"/>
      <c r="L150" s="348"/>
      <c r="M150" s="347"/>
      <c r="N150" s="346"/>
      <c r="O150" s="346"/>
    </row>
    <row r="151" spans="1:18" ht="18" customHeight="1" x14ac:dyDescent="0.25">
      <c r="A151" s="344"/>
      <c r="B151" s="345">
        <v>42240</v>
      </c>
      <c r="C151" s="346">
        <v>150</v>
      </c>
      <c r="D151" s="347">
        <v>5.69</v>
      </c>
      <c r="E151" s="346">
        <v>0</v>
      </c>
      <c r="F151" s="347">
        <v>853.50000000000011</v>
      </c>
      <c r="G151" s="375"/>
      <c r="H151" s="346"/>
      <c r="I151" s="347"/>
      <c r="J151" s="346"/>
      <c r="K151" s="347"/>
      <c r="L151" s="348"/>
      <c r="M151" s="347"/>
      <c r="N151" s="346"/>
      <c r="O151" s="346"/>
    </row>
    <row r="152" spans="1:18" ht="18" customHeight="1" x14ac:dyDescent="0.25">
      <c r="A152" s="344"/>
      <c r="B152" s="350"/>
      <c r="C152" s="351">
        <v>650</v>
      </c>
      <c r="D152" s="352"/>
      <c r="E152" s="351"/>
      <c r="F152" s="352">
        <v>3943.5</v>
      </c>
      <c r="G152" s="377"/>
      <c r="H152" s="351">
        <v>650</v>
      </c>
      <c r="I152" s="352"/>
      <c r="J152" s="351"/>
      <c r="K152" s="352">
        <f>SUM(K147:K148)</f>
        <v>4093.43</v>
      </c>
      <c r="L152" s="353"/>
      <c r="M152" s="352"/>
      <c r="N152" s="352">
        <f>K152-F152</f>
        <v>149.92999999999984</v>
      </c>
      <c r="O152" s="354">
        <f>N152/K152</f>
        <v>3.6626985193346374E-2</v>
      </c>
      <c r="P152" s="153" t="s">
        <v>140</v>
      </c>
    </row>
    <row r="153" spans="1:18" ht="18" customHeight="1" x14ac:dyDescent="0.25">
      <c r="B153" s="373"/>
      <c r="C153" s="360"/>
      <c r="D153" s="361"/>
      <c r="E153" s="360"/>
      <c r="F153" s="361"/>
      <c r="G153" s="376"/>
      <c r="H153" s="360"/>
      <c r="I153" s="361"/>
      <c r="J153" s="360"/>
      <c r="K153" s="361"/>
      <c r="L153" s="359"/>
      <c r="M153" s="361"/>
      <c r="N153" s="360"/>
      <c r="O153" s="360"/>
    </row>
    <row r="154" spans="1:18" ht="18" customHeight="1" x14ac:dyDescent="0.25">
      <c r="A154" s="333" t="s">
        <v>26</v>
      </c>
      <c r="B154" s="334">
        <v>42284</v>
      </c>
      <c r="C154" s="335">
        <v>150</v>
      </c>
      <c r="D154" s="336">
        <v>3.75</v>
      </c>
      <c r="E154" s="336">
        <v>0</v>
      </c>
      <c r="F154" s="336">
        <f>D154*C154</f>
        <v>562.5</v>
      </c>
      <c r="G154" s="334">
        <v>42291</v>
      </c>
      <c r="H154" s="337">
        <v>100</v>
      </c>
      <c r="I154" s="336">
        <v>4.4000000000000004</v>
      </c>
      <c r="J154" s="336">
        <v>0.01</v>
      </c>
      <c r="K154" s="335">
        <f>I154*H154-J154</f>
        <v>439.99000000000007</v>
      </c>
      <c r="L154" s="334"/>
      <c r="M154" s="336"/>
      <c r="N154" s="335"/>
      <c r="O154" s="338"/>
      <c r="P154"/>
      <c r="Q154"/>
    </row>
    <row r="155" spans="1:18" ht="18" customHeight="1" x14ac:dyDescent="0.25">
      <c r="A155" s="380"/>
      <c r="B155" s="405">
        <v>42338</v>
      </c>
      <c r="C155" s="335">
        <v>50</v>
      </c>
      <c r="D155" s="336">
        <v>3.03</v>
      </c>
      <c r="E155" s="336">
        <v>0</v>
      </c>
      <c r="F155" s="336">
        <f>D155*C155</f>
        <v>151.5</v>
      </c>
      <c r="G155" s="334">
        <v>42333</v>
      </c>
      <c r="H155" s="335">
        <v>50</v>
      </c>
      <c r="I155" s="335">
        <v>3.16</v>
      </c>
      <c r="J155" s="335">
        <v>0.01</v>
      </c>
      <c r="K155" s="335">
        <f>I155*H155-J155</f>
        <v>157.99</v>
      </c>
      <c r="L155" s="335"/>
      <c r="M155" s="335"/>
      <c r="N155" s="335"/>
      <c r="O155" s="338"/>
      <c r="P155"/>
      <c r="Q155"/>
    </row>
    <row r="156" spans="1:18" ht="18" customHeight="1" x14ac:dyDescent="0.25">
      <c r="A156" s="335"/>
      <c r="B156" s="405"/>
      <c r="C156" s="335">
        <v>2</v>
      </c>
      <c r="D156" s="336">
        <v>3.03</v>
      </c>
      <c r="E156" s="336">
        <v>0</v>
      </c>
      <c r="F156" s="336">
        <f>D156*C156</f>
        <v>6.06</v>
      </c>
      <c r="G156" s="334">
        <v>42339</v>
      </c>
      <c r="H156" s="335">
        <v>50</v>
      </c>
      <c r="I156" s="335">
        <v>3.38</v>
      </c>
      <c r="J156" s="335">
        <v>0.01</v>
      </c>
      <c r="K156" s="335">
        <f>I156*H156-J156</f>
        <v>168.99</v>
      </c>
      <c r="L156" s="335"/>
      <c r="M156" s="335"/>
      <c r="N156" s="335"/>
      <c r="O156" s="338"/>
      <c r="P156"/>
      <c r="Q156"/>
    </row>
    <row r="157" spans="1:18" ht="18" customHeight="1" x14ac:dyDescent="0.25">
      <c r="A157" s="335"/>
      <c r="B157" s="334">
        <v>42340</v>
      </c>
      <c r="C157" s="335">
        <v>52</v>
      </c>
      <c r="D157" s="336">
        <v>3.2</v>
      </c>
      <c r="E157" s="336">
        <v>0</v>
      </c>
      <c r="F157" s="336">
        <f>D157*C157</f>
        <v>166.4</v>
      </c>
      <c r="G157" s="335"/>
      <c r="H157" s="336">
        <v>54</v>
      </c>
      <c r="I157" s="336">
        <v>1.63</v>
      </c>
      <c r="J157" s="336">
        <v>0</v>
      </c>
      <c r="K157" s="335">
        <f>I157*H157-J157</f>
        <v>88.02</v>
      </c>
      <c r="L157" s="335"/>
      <c r="M157" s="335"/>
      <c r="N157" s="335"/>
      <c r="O157" s="338"/>
      <c r="P157"/>
      <c r="Q157" s="3"/>
      <c r="R157"/>
    </row>
    <row r="158" spans="1:18" ht="18" customHeight="1" x14ac:dyDescent="0.25">
      <c r="A158" s="338"/>
      <c r="B158" s="338"/>
      <c r="C158" s="338">
        <f>SUM(C154:C157)</f>
        <v>254</v>
      </c>
      <c r="D158" s="338"/>
      <c r="E158" s="341"/>
      <c r="F158" s="338">
        <f>SUM(F154:F157)</f>
        <v>886.45999999999992</v>
      </c>
      <c r="G158" s="338"/>
      <c r="H158" s="342">
        <f>SUM(H154:H157)</f>
        <v>254</v>
      </c>
      <c r="I158" s="338"/>
      <c r="J158" s="338"/>
      <c r="K158" s="338">
        <f>SUM(K154:K157)</f>
        <v>854.99</v>
      </c>
      <c r="L158" s="338"/>
      <c r="M158" s="341">
        <f>SUM(M154:M156)</f>
        <v>0</v>
      </c>
      <c r="N158" s="338">
        <f>K158-F158</f>
        <v>-31.469999999999914</v>
      </c>
      <c r="O158" s="343">
        <f>N158/F158</f>
        <v>-3.5500755815265121E-2</v>
      </c>
      <c r="P158"/>
      <c r="Q158" s="148"/>
      <c r="R158"/>
    </row>
    <row r="159" spans="1:18" ht="18" customHeight="1" x14ac:dyDescent="0.25">
      <c r="B159" s="373"/>
      <c r="C159" s="360"/>
      <c r="D159" s="361"/>
      <c r="E159" s="360"/>
      <c r="F159" s="361"/>
      <c r="G159" s="376"/>
      <c r="H159" s="360"/>
      <c r="I159" s="361"/>
      <c r="J159" s="360"/>
      <c r="K159" s="361"/>
      <c r="L159" s="359"/>
      <c r="M159" s="361"/>
      <c r="N159" s="360"/>
      <c r="O159" s="360"/>
    </row>
    <row r="160" spans="1:18" ht="18" customHeight="1" x14ac:dyDescent="0.25">
      <c r="A160" s="344" t="s">
        <v>23</v>
      </c>
      <c r="B160" s="345">
        <v>42153</v>
      </c>
      <c r="C160" s="346">
        <v>50</v>
      </c>
      <c r="D160" s="347">
        <v>37.22</v>
      </c>
      <c r="E160" s="346"/>
      <c r="F160" s="347">
        <f>D160*C160</f>
        <v>1861</v>
      </c>
      <c r="G160" s="375">
        <v>42186</v>
      </c>
      <c r="H160" s="346">
        <v>50</v>
      </c>
      <c r="I160" s="347">
        <v>38.4</v>
      </c>
      <c r="J160" s="346">
        <v>0.04</v>
      </c>
      <c r="K160" s="347">
        <f>H160*I160-J160</f>
        <v>1919.96</v>
      </c>
      <c r="L160" s="348"/>
      <c r="M160" s="347"/>
      <c r="N160" s="346"/>
      <c r="O160" s="346"/>
    </row>
    <row r="161" spans="1:16" ht="18" customHeight="1" x14ac:dyDescent="0.25">
      <c r="A161" s="344"/>
      <c r="B161" s="345">
        <v>42208</v>
      </c>
      <c r="C161" s="346">
        <v>100</v>
      </c>
      <c r="D161" s="347">
        <v>36</v>
      </c>
      <c r="E161" s="348"/>
      <c r="F161" s="347">
        <f>D161*C161</f>
        <v>3600</v>
      </c>
      <c r="G161" s="375">
        <v>42230</v>
      </c>
      <c r="H161" s="346">
        <v>100</v>
      </c>
      <c r="I161" s="347">
        <v>35.96</v>
      </c>
      <c r="J161" s="346">
        <v>7.0000000000000007E-2</v>
      </c>
      <c r="K161" s="347">
        <f t="shared" ref="K161:K162" si="7">H161*I161-J161</f>
        <v>3595.93</v>
      </c>
      <c r="L161" s="348"/>
      <c r="M161" s="347"/>
      <c r="N161" s="346"/>
      <c r="O161" s="346"/>
    </row>
    <row r="162" spans="1:16" ht="18" customHeight="1" x14ac:dyDescent="0.25">
      <c r="A162" s="344"/>
      <c r="B162" s="345">
        <v>42209</v>
      </c>
      <c r="C162" s="346">
        <v>20</v>
      </c>
      <c r="D162" s="346">
        <f>709.5/20</f>
        <v>35.475000000000001</v>
      </c>
      <c r="E162" s="346"/>
      <c r="F162" s="347">
        <f>D162*C162</f>
        <v>709.5</v>
      </c>
      <c r="G162" s="375">
        <v>42258</v>
      </c>
      <c r="H162" s="346">
        <v>40</v>
      </c>
      <c r="I162" s="347">
        <v>36.65</v>
      </c>
      <c r="J162" s="346">
        <v>0.03</v>
      </c>
      <c r="K162" s="347">
        <f t="shared" si="7"/>
        <v>1465.97</v>
      </c>
      <c r="L162" s="348"/>
      <c r="M162" s="347"/>
      <c r="N162" s="346"/>
      <c r="O162" s="346"/>
    </row>
    <row r="163" spans="1:16" ht="18" customHeight="1" x14ac:dyDescent="0.25">
      <c r="A163" s="344"/>
      <c r="B163" s="345">
        <v>42209</v>
      </c>
      <c r="C163" s="346">
        <v>20</v>
      </c>
      <c r="D163" s="347">
        <v>35.03</v>
      </c>
      <c r="E163" s="348"/>
      <c r="F163" s="347">
        <f>D163*C163</f>
        <v>700.6</v>
      </c>
      <c r="G163" s="375"/>
      <c r="H163" s="346"/>
      <c r="I163" s="347"/>
      <c r="J163" s="346"/>
      <c r="K163" s="347"/>
      <c r="L163" s="348"/>
      <c r="M163" s="347"/>
      <c r="N163" s="346"/>
      <c r="O163" s="346"/>
    </row>
    <row r="164" spans="1:16" ht="18" customHeight="1" x14ac:dyDescent="0.25">
      <c r="A164" s="344"/>
      <c r="B164" s="350"/>
      <c r="C164" s="351">
        <v>190</v>
      </c>
      <c r="D164" s="352"/>
      <c r="E164" s="351"/>
      <c r="F164" s="352">
        <f>SUM(F160:F163)</f>
        <v>6871.1</v>
      </c>
      <c r="G164" s="377"/>
      <c r="H164" s="351">
        <v>190</v>
      </c>
      <c r="I164" s="352"/>
      <c r="J164" s="351"/>
      <c r="K164" s="352">
        <f>SUM(K160:K162)</f>
        <v>6981.86</v>
      </c>
      <c r="L164" s="353"/>
      <c r="M164" s="352"/>
      <c r="N164" s="351">
        <f>K164-F164</f>
        <v>110.75999999999931</v>
      </c>
      <c r="O164" s="354">
        <f>(N164+M164)/F164</f>
        <v>1.6119689714892711E-2</v>
      </c>
      <c r="P164" s="153" t="s">
        <v>140</v>
      </c>
    </row>
    <row r="165" spans="1:16" ht="18" customHeight="1" x14ac:dyDescent="0.25">
      <c r="B165" s="359"/>
      <c r="C165" s="360"/>
      <c r="D165" s="361"/>
      <c r="E165" s="361"/>
      <c r="F165" s="361"/>
      <c r="G165" s="359"/>
      <c r="H165" s="360"/>
      <c r="I165" s="361"/>
      <c r="J165" s="361"/>
      <c r="K165" s="361"/>
      <c r="L165" s="359"/>
      <c r="M165" s="361"/>
      <c r="N165" s="361"/>
      <c r="O165" s="362"/>
    </row>
    <row r="166" spans="1:16" ht="18" customHeight="1" x14ac:dyDescent="0.25">
      <c r="A166" s="344" t="s">
        <v>41</v>
      </c>
      <c r="B166" s="345">
        <v>42184</v>
      </c>
      <c r="C166" s="346">
        <v>10</v>
      </c>
      <c r="D166" s="347">
        <v>66</v>
      </c>
      <c r="E166" s="347"/>
      <c r="F166" s="347">
        <f>C166*D166</f>
        <v>660</v>
      </c>
      <c r="G166" s="345">
        <v>42219</v>
      </c>
      <c r="H166" s="346">
        <v>10</v>
      </c>
      <c r="I166" s="347">
        <v>70.45</v>
      </c>
      <c r="J166" s="347">
        <v>0.01</v>
      </c>
      <c r="K166" s="347">
        <f>H166*I166-J166</f>
        <v>704.49</v>
      </c>
      <c r="L166" s="348"/>
      <c r="M166" s="347"/>
      <c r="N166" s="347"/>
      <c r="O166" s="349"/>
    </row>
    <row r="167" spans="1:16" ht="18" customHeight="1" x14ac:dyDescent="0.25">
      <c r="A167" s="344"/>
      <c r="B167" s="350"/>
      <c r="C167" s="351">
        <f>SUM(C166)</f>
        <v>10</v>
      </c>
      <c r="D167" s="352"/>
      <c r="E167" s="352"/>
      <c r="F167" s="352">
        <f>SUM(F166)</f>
        <v>660</v>
      </c>
      <c r="G167" s="353"/>
      <c r="H167" s="351">
        <f>SUM(H166)</f>
        <v>10</v>
      </c>
      <c r="I167" s="352"/>
      <c r="J167" s="352"/>
      <c r="K167" s="352">
        <f>SUM(K166)</f>
        <v>704.49</v>
      </c>
      <c r="L167" s="353"/>
      <c r="M167" s="352"/>
      <c r="N167" s="352">
        <f>K167-F167</f>
        <v>44.490000000000009</v>
      </c>
      <c r="O167" s="354">
        <f>(N167+M167)/F167</f>
        <v>6.7409090909090918E-2</v>
      </c>
      <c r="P167" s="153" t="s">
        <v>140</v>
      </c>
    </row>
    <row r="168" spans="1:16" ht="18" customHeight="1" x14ac:dyDescent="0.25">
      <c r="B168" s="359"/>
      <c r="C168" s="360"/>
      <c r="D168" s="361"/>
      <c r="E168" s="28"/>
      <c r="F168" s="361"/>
      <c r="G168" s="359"/>
      <c r="H168" s="360"/>
      <c r="I168" s="361"/>
      <c r="K168" s="361"/>
      <c r="L168" s="359"/>
      <c r="M168" s="361"/>
      <c r="N168" s="361"/>
      <c r="O168" s="362"/>
    </row>
    <row r="169" spans="1:16" ht="18" customHeight="1" x14ac:dyDescent="0.25">
      <c r="A169" s="344" t="s">
        <v>46</v>
      </c>
      <c r="B169" s="374">
        <v>42185</v>
      </c>
      <c r="C169" s="370">
        <v>20</v>
      </c>
      <c r="D169" s="371">
        <v>28.2</v>
      </c>
      <c r="E169" s="369"/>
      <c r="F169" s="371">
        <f>C169*D169</f>
        <v>564</v>
      </c>
      <c r="G169" s="374">
        <v>42187</v>
      </c>
      <c r="H169" s="370">
        <v>20</v>
      </c>
      <c r="I169" s="371">
        <v>28.75</v>
      </c>
      <c r="J169" s="370">
        <v>0.01</v>
      </c>
      <c r="K169" s="371">
        <f>H169*I169-J169</f>
        <v>574.99</v>
      </c>
      <c r="L169" s="369"/>
      <c r="M169" s="371"/>
      <c r="N169" s="371"/>
      <c r="O169" s="372"/>
    </row>
    <row r="170" spans="1:16" ht="18" customHeight="1" x14ac:dyDescent="0.25">
      <c r="A170" s="363"/>
      <c r="B170" s="367"/>
      <c r="C170" s="365">
        <f>SUM(C169)</f>
        <v>20</v>
      </c>
      <c r="D170" s="366"/>
      <c r="E170" s="367"/>
      <c r="F170" s="366">
        <f>SUM(F169)</f>
        <v>564</v>
      </c>
      <c r="G170" s="367"/>
      <c r="H170" s="365">
        <f>SUM(H169)</f>
        <v>20</v>
      </c>
      <c r="I170" s="366"/>
      <c r="J170" s="365"/>
      <c r="K170" s="366">
        <f>SUM(K169)</f>
        <v>574.99</v>
      </c>
      <c r="L170" s="367"/>
      <c r="M170" s="366"/>
      <c r="N170" s="366">
        <f>K170-F170</f>
        <v>10.990000000000009</v>
      </c>
      <c r="O170" s="368">
        <f>(N170+M170)/F170</f>
        <v>1.9485815602836895E-2</v>
      </c>
      <c r="P170" s="153" t="s">
        <v>140</v>
      </c>
    </row>
    <row r="171" spans="1:16" ht="18" customHeight="1" x14ac:dyDescent="0.25">
      <c r="B171" s="359"/>
      <c r="C171" s="360"/>
      <c r="D171" s="361"/>
      <c r="E171" s="361"/>
      <c r="F171" s="361"/>
      <c r="G171" s="359"/>
      <c r="H171" s="360"/>
      <c r="I171" s="361"/>
      <c r="J171" s="361"/>
      <c r="K171" s="361"/>
      <c r="L171" s="359"/>
      <c r="M171" s="361"/>
      <c r="N171" s="361"/>
      <c r="O171" s="362"/>
    </row>
    <row r="172" spans="1:16" ht="18" customHeight="1" x14ac:dyDescent="0.25">
      <c r="A172" s="344" t="s">
        <v>28</v>
      </c>
      <c r="B172" s="345">
        <v>42164</v>
      </c>
      <c r="C172" s="346">
        <v>20</v>
      </c>
      <c r="D172" s="347">
        <v>29.9</v>
      </c>
      <c r="E172" s="347"/>
      <c r="F172" s="347">
        <f>C172*D172</f>
        <v>598</v>
      </c>
      <c r="G172" s="345">
        <v>42187</v>
      </c>
      <c r="H172" s="346">
        <v>40</v>
      </c>
      <c r="I172" s="347">
        <v>30.4</v>
      </c>
      <c r="J172" s="347">
        <v>0.02</v>
      </c>
      <c r="K172" s="347">
        <f>H172*I172-J172</f>
        <v>1215.98</v>
      </c>
      <c r="L172" s="348"/>
      <c r="M172" s="347"/>
      <c r="N172" s="347"/>
      <c r="O172" s="349"/>
    </row>
    <row r="173" spans="1:16" ht="18" customHeight="1" x14ac:dyDescent="0.25">
      <c r="A173" s="344"/>
      <c r="B173" s="345">
        <v>42166</v>
      </c>
      <c r="C173" s="346">
        <v>20</v>
      </c>
      <c r="D173" s="347">
        <v>29.3</v>
      </c>
      <c r="E173" s="347"/>
      <c r="F173" s="347">
        <f>C173*D173</f>
        <v>586</v>
      </c>
      <c r="G173" s="348"/>
      <c r="H173" s="346"/>
      <c r="I173" s="347"/>
      <c r="J173" s="346"/>
      <c r="K173" s="347"/>
      <c r="L173" s="348"/>
      <c r="M173" s="347"/>
      <c r="N173" s="347"/>
      <c r="O173" s="349"/>
    </row>
    <row r="174" spans="1:16" ht="18" customHeight="1" x14ac:dyDescent="0.25">
      <c r="A174" s="344"/>
      <c r="B174" s="350"/>
      <c r="C174" s="351">
        <f>SUM(C172:C173)</f>
        <v>40</v>
      </c>
      <c r="D174" s="352"/>
      <c r="E174" s="352"/>
      <c r="F174" s="352">
        <f>SUM(F172:F173)</f>
        <v>1184</v>
      </c>
      <c r="G174" s="353"/>
      <c r="H174" s="351">
        <f>SUM(H172:H173)</f>
        <v>40</v>
      </c>
      <c r="I174" s="352"/>
      <c r="J174" s="352"/>
      <c r="K174" s="352">
        <f>SUM(K172:K173)</f>
        <v>1215.98</v>
      </c>
      <c r="L174" s="353"/>
      <c r="M174" s="352"/>
      <c r="N174" s="352">
        <f>K174-F174</f>
        <v>31.980000000000018</v>
      </c>
      <c r="O174" s="354">
        <f>(N174+M174)/F174</f>
        <v>2.7010135135135151E-2</v>
      </c>
      <c r="P174" s="153" t="s">
        <v>140</v>
      </c>
    </row>
    <row r="175" spans="1:16" ht="18" customHeight="1" x14ac:dyDescent="0.25">
      <c r="B175" s="373"/>
      <c r="C175" s="360"/>
      <c r="D175" s="361"/>
      <c r="E175" s="360"/>
      <c r="F175" s="361"/>
      <c r="G175" s="359"/>
      <c r="H175" s="360"/>
      <c r="I175" s="361"/>
      <c r="J175" s="360"/>
      <c r="K175" s="361"/>
      <c r="L175" s="359"/>
      <c r="M175" s="361"/>
      <c r="N175" s="359"/>
      <c r="O175" s="359"/>
      <c r="P175" s="153"/>
    </row>
    <row r="176" spans="1:16" ht="18" customHeight="1" x14ac:dyDescent="0.25">
      <c r="A176" s="344" t="s">
        <v>44</v>
      </c>
      <c r="B176" s="345">
        <v>42185</v>
      </c>
      <c r="C176" s="346">
        <v>10</v>
      </c>
      <c r="D176" s="347">
        <v>71.2</v>
      </c>
      <c r="E176" s="346"/>
      <c r="F176" s="347">
        <f>C176*D176</f>
        <v>712</v>
      </c>
      <c r="G176" s="345">
        <v>42228</v>
      </c>
      <c r="H176" s="346">
        <v>10</v>
      </c>
      <c r="I176" s="347">
        <v>75.5</v>
      </c>
      <c r="J176" s="346">
        <v>0.01</v>
      </c>
      <c r="K176" s="347">
        <f>H176*I176-J176</f>
        <v>754.99</v>
      </c>
      <c r="L176" s="345">
        <v>42277</v>
      </c>
      <c r="M176" s="347">
        <v>2.83</v>
      </c>
      <c r="N176" s="348"/>
      <c r="O176" s="348"/>
      <c r="P176" s="153"/>
    </row>
    <row r="177" spans="1:16" ht="18" customHeight="1" x14ac:dyDescent="0.25">
      <c r="A177" s="344"/>
      <c r="B177" s="345">
        <v>42220</v>
      </c>
      <c r="C177" s="346">
        <v>5</v>
      </c>
      <c r="D177" s="347">
        <v>70.650000000000006</v>
      </c>
      <c r="E177" s="347"/>
      <c r="F177" s="347">
        <f>C177*D177</f>
        <v>353.25</v>
      </c>
      <c r="G177" s="345">
        <v>42283</v>
      </c>
      <c r="H177" s="346">
        <v>5</v>
      </c>
      <c r="I177" s="347">
        <v>71.25</v>
      </c>
      <c r="J177" s="346">
        <v>0.01</v>
      </c>
      <c r="K177" s="347">
        <f>H177*I177-J177</f>
        <v>356.24</v>
      </c>
      <c r="L177" s="348"/>
      <c r="M177" s="346"/>
      <c r="N177" s="348"/>
      <c r="O177" s="348"/>
      <c r="P177" s="153"/>
    </row>
    <row r="178" spans="1:16" ht="18" customHeight="1" x14ac:dyDescent="0.25">
      <c r="A178" s="344"/>
      <c r="B178" s="353"/>
      <c r="C178" s="351">
        <f>SUM(C176:C177)</f>
        <v>15</v>
      </c>
      <c r="D178" s="352"/>
      <c r="E178" s="352"/>
      <c r="F178" s="352">
        <f>SUM(F176:F177)</f>
        <v>1065.25</v>
      </c>
      <c r="G178" s="353"/>
      <c r="H178" s="351">
        <f>SUM(H176:H177)</f>
        <v>15</v>
      </c>
      <c r="I178" s="352"/>
      <c r="J178" s="352"/>
      <c r="K178" s="352">
        <f>SUM(K176:K177)</f>
        <v>1111.23</v>
      </c>
      <c r="L178" s="378"/>
      <c r="M178" s="352">
        <f>SUM(M176:M177)</f>
        <v>2.83</v>
      </c>
      <c r="N178" s="352">
        <f>K178-F178</f>
        <v>45.980000000000018</v>
      </c>
      <c r="O178" s="379">
        <f>(N178+M178)/F178</f>
        <v>4.5820229992959413E-2</v>
      </c>
      <c r="P178" s="153" t="s">
        <v>140</v>
      </c>
    </row>
    <row r="179" spans="1:16" ht="18" customHeight="1" x14ac:dyDescent="0.25">
      <c r="B179" s="359"/>
      <c r="C179" s="360"/>
      <c r="D179" s="361"/>
      <c r="E179" s="28"/>
      <c r="F179" s="361"/>
      <c r="G179" s="359"/>
      <c r="H179" s="360"/>
      <c r="I179" s="361"/>
      <c r="K179" s="361"/>
      <c r="L179" s="359"/>
      <c r="M179" s="361"/>
      <c r="N179" s="361"/>
      <c r="O179" s="362"/>
    </row>
    <row r="180" spans="1:16" ht="18" customHeight="1" x14ac:dyDescent="0.25">
      <c r="A180" s="344" t="s">
        <v>0</v>
      </c>
      <c r="B180" s="345">
        <v>42144</v>
      </c>
      <c r="C180" s="346">
        <v>50</v>
      </c>
      <c r="D180" s="347">
        <v>130.16999999999999</v>
      </c>
      <c r="E180" s="348"/>
      <c r="F180" s="347">
        <f>C180*D180</f>
        <v>6508.4999999999991</v>
      </c>
      <c r="G180" s="345">
        <v>42186</v>
      </c>
      <c r="H180" s="346">
        <v>50</v>
      </c>
      <c r="I180" s="347">
        <v>133.5</v>
      </c>
      <c r="J180" s="346">
        <v>0.12</v>
      </c>
      <c r="K180" s="347">
        <f>H180*I180-J180</f>
        <v>6674.88</v>
      </c>
      <c r="L180" s="345">
        <v>42200</v>
      </c>
      <c r="M180" s="347">
        <v>7.5</v>
      </c>
      <c r="N180" s="346"/>
      <c r="O180" s="346"/>
    </row>
    <row r="181" spans="1:16" ht="18" customHeight="1" x14ac:dyDescent="0.25">
      <c r="A181" s="344"/>
      <c r="B181" s="350"/>
      <c r="C181" s="351">
        <f>SUM(C180)</f>
        <v>50</v>
      </c>
      <c r="D181" s="352"/>
      <c r="E181" s="353"/>
      <c r="F181" s="352">
        <f>SUM(F180)</f>
        <v>6508.4999999999991</v>
      </c>
      <c r="G181" s="353"/>
      <c r="H181" s="351">
        <f>SUM(H180)</f>
        <v>50</v>
      </c>
      <c r="I181" s="352"/>
      <c r="J181" s="351"/>
      <c r="K181" s="352">
        <f>SUM(K180)</f>
        <v>6674.88</v>
      </c>
      <c r="L181" s="353"/>
      <c r="M181" s="352">
        <f>SUM(M180)</f>
        <v>7.5</v>
      </c>
      <c r="N181" s="352">
        <f>K181-F181</f>
        <v>166.38000000000102</v>
      </c>
      <c r="O181" s="354">
        <f>(N181+M181)/F181</f>
        <v>2.6715833141276953E-2</v>
      </c>
      <c r="P181" s="153" t="s">
        <v>140</v>
      </c>
    </row>
    <row r="182" spans="1:16" ht="18" customHeight="1" x14ac:dyDescent="0.25">
      <c r="B182" s="359"/>
      <c r="C182" s="360"/>
      <c r="D182" s="361"/>
      <c r="E182" s="361"/>
      <c r="F182" s="361"/>
      <c r="G182" s="359"/>
      <c r="H182" s="360"/>
      <c r="I182" s="361"/>
      <c r="J182" s="361"/>
      <c r="K182" s="361"/>
      <c r="L182" s="359"/>
      <c r="M182" s="361"/>
      <c r="N182" s="361"/>
      <c r="O182" s="362"/>
    </row>
    <row r="183" spans="1:16" ht="18" customHeight="1" x14ac:dyDescent="0.25">
      <c r="A183" s="344" t="s">
        <v>49</v>
      </c>
      <c r="B183" s="345">
        <v>42186</v>
      </c>
      <c r="C183" s="346">
        <v>100</v>
      </c>
      <c r="D183" s="347">
        <v>27.5</v>
      </c>
      <c r="E183" s="347"/>
      <c r="F183" s="347">
        <f>C183*D183</f>
        <v>2750</v>
      </c>
      <c r="G183" s="345">
        <v>42219</v>
      </c>
      <c r="H183" s="346">
        <v>100</v>
      </c>
      <c r="I183" s="347">
        <v>29.5</v>
      </c>
      <c r="J183" s="346">
        <v>0.05</v>
      </c>
      <c r="K183" s="347">
        <f>H183*I183-J183</f>
        <v>2949.95</v>
      </c>
      <c r="L183" s="345">
        <v>42216</v>
      </c>
      <c r="M183" s="347">
        <v>11</v>
      </c>
      <c r="N183" s="347"/>
      <c r="O183" s="349"/>
    </row>
    <row r="184" spans="1:16" ht="18" customHeight="1" x14ac:dyDescent="0.25">
      <c r="A184" s="344"/>
      <c r="B184" s="350"/>
      <c r="C184" s="351">
        <f>SUM(C183)</f>
        <v>100</v>
      </c>
      <c r="D184" s="352"/>
      <c r="E184" s="353"/>
      <c r="F184" s="352">
        <f>SUM(F183)</f>
        <v>2750</v>
      </c>
      <c r="G184" s="353"/>
      <c r="H184" s="351">
        <f>SUM(H183)</f>
        <v>100</v>
      </c>
      <c r="I184" s="352"/>
      <c r="J184" s="352"/>
      <c r="K184" s="352">
        <f>SUM(K183)</f>
        <v>2949.95</v>
      </c>
      <c r="L184" s="353"/>
      <c r="M184" s="352">
        <v>11</v>
      </c>
      <c r="N184" s="352">
        <f>K184-F184</f>
        <v>199.94999999999982</v>
      </c>
      <c r="O184" s="354">
        <f>(N184+M184)/F184</f>
        <v>7.6709090909090838E-2</v>
      </c>
      <c r="P184" s="153" t="s">
        <v>140</v>
      </c>
    </row>
    <row r="185" spans="1:16" ht="18" customHeight="1" x14ac:dyDescent="0.25">
      <c r="B185" s="359"/>
      <c r="C185" s="360"/>
      <c r="D185" s="361"/>
      <c r="E185" s="28"/>
      <c r="F185" s="361"/>
      <c r="G185" s="359"/>
      <c r="H185" s="360"/>
      <c r="I185" s="361"/>
      <c r="K185" s="361"/>
      <c r="L185" s="359"/>
      <c r="M185" s="361"/>
      <c r="N185" s="361"/>
      <c r="O185" s="360"/>
    </row>
    <row r="186" spans="1:16" ht="18" customHeight="1" x14ac:dyDescent="0.25">
      <c r="A186" s="344" t="s">
        <v>13</v>
      </c>
      <c r="B186" s="345">
        <v>42151</v>
      </c>
      <c r="C186" s="346">
        <v>5</v>
      </c>
      <c r="D186" s="347">
        <v>54.2</v>
      </c>
      <c r="E186" s="348"/>
      <c r="F186" s="347">
        <f t="shared" ref="F186:F192" si="8">C186*D186</f>
        <v>271</v>
      </c>
      <c r="G186" s="345">
        <v>42181</v>
      </c>
      <c r="H186" s="346">
        <v>25</v>
      </c>
      <c r="I186" s="347">
        <v>55.4</v>
      </c>
      <c r="J186" s="346">
        <v>0.03</v>
      </c>
      <c r="K186" s="347">
        <f>H186*I186-J186</f>
        <v>1384.97</v>
      </c>
      <c r="L186" s="348"/>
      <c r="M186" s="347"/>
      <c r="N186" s="347"/>
      <c r="O186" s="349"/>
    </row>
    <row r="187" spans="1:16" ht="18" customHeight="1" x14ac:dyDescent="0.25">
      <c r="A187" s="344"/>
      <c r="B187" s="345">
        <v>42152</v>
      </c>
      <c r="C187" s="346">
        <v>20</v>
      </c>
      <c r="D187" s="347">
        <v>53.35</v>
      </c>
      <c r="E187" s="348"/>
      <c r="F187" s="347">
        <f t="shared" si="8"/>
        <v>1067</v>
      </c>
      <c r="G187" s="345">
        <v>42200</v>
      </c>
      <c r="H187" s="346">
        <v>225</v>
      </c>
      <c r="I187" s="347">
        <v>55.56</v>
      </c>
      <c r="J187" s="346">
        <v>0.23</v>
      </c>
      <c r="K187" s="347">
        <f>H187*I187-J187</f>
        <v>12500.77</v>
      </c>
      <c r="L187" s="348"/>
      <c r="M187" s="347"/>
      <c r="N187" s="347"/>
      <c r="O187" s="349"/>
    </row>
    <row r="188" spans="1:16" ht="18" customHeight="1" x14ac:dyDescent="0.25">
      <c r="A188" s="344"/>
      <c r="B188" s="345">
        <v>42153</v>
      </c>
      <c r="C188" s="346">
        <v>25</v>
      </c>
      <c r="D188" s="347">
        <v>52.35</v>
      </c>
      <c r="E188" s="348"/>
      <c r="F188" s="347">
        <f t="shared" si="8"/>
        <v>1308.75</v>
      </c>
      <c r="G188" s="348"/>
      <c r="H188" s="346"/>
      <c r="I188" s="347"/>
      <c r="J188" s="346"/>
      <c r="K188" s="347"/>
      <c r="L188" s="348"/>
      <c r="M188" s="347"/>
      <c r="N188" s="347"/>
      <c r="O188" s="349"/>
    </row>
    <row r="189" spans="1:16" ht="18" customHeight="1" x14ac:dyDescent="0.25">
      <c r="A189" s="344"/>
      <c r="B189" s="345">
        <v>42153</v>
      </c>
      <c r="C189" s="346">
        <v>25</v>
      </c>
      <c r="D189" s="347">
        <v>51.75</v>
      </c>
      <c r="E189" s="348"/>
      <c r="F189" s="347">
        <f t="shared" si="8"/>
        <v>1293.75</v>
      </c>
      <c r="G189" s="348"/>
      <c r="H189" s="346"/>
      <c r="I189" s="347"/>
      <c r="J189" s="346"/>
      <c r="K189" s="347"/>
      <c r="L189" s="348"/>
      <c r="M189" s="347"/>
      <c r="N189" s="347"/>
      <c r="O189" s="349"/>
    </row>
    <row r="190" spans="1:16" ht="18" customHeight="1" x14ac:dyDescent="0.25">
      <c r="A190" s="344"/>
      <c r="B190" s="345">
        <v>42166</v>
      </c>
      <c r="C190" s="346">
        <v>25</v>
      </c>
      <c r="D190" s="347">
        <v>52.1</v>
      </c>
      <c r="E190" s="348"/>
      <c r="F190" s="347">
        <f t="shared" si="8"/>
        <v>1302.5</v>
      </c>
      <c r="G190" s="348"/>
      <c r="H190" s="346"/>
      <c r="I190" s="347"/>
      <c r="J190" s="346"/>
      <c r="K190" s="347"/>
      <c r="L190" s="348"/>
      <c r="M190" s="347"/>
      <c r="N190" s="347"/>
      <c r="O190" s="349"/>
    </row>
    <row r="191" spans="1:16" ht="18" customHeight="1" x14ac:dyDescent="0.25">
      <c r="A191" s="344"/>
      <c r="B191" s="345">
        <v>42166</v>
      </c>
      <c r="C191" s="346">
        <v>50</v>
      </c>
      <c r="D191" s="347">
        <v>51.5</v>
      </c>
      <c r="E191" s="348"/>
      <c r="F191" s="347">
        <f t="shared" si="8"/>
        <v>2575</v>
      </c>
      <c r="G191" s="348"/>
      <c r="H191" s="346"/>
      <c r="I191" s="347"/>
      <c r="J191" s="346"/>
      <c r="K191" s="347"/>
      <c r="L191" s="348"/>
      <c r="M191" s="347"/>
      <c r="N191" s="347"/>
      <c r="O191" s="349"/>
    </row>
    <row r="192" spans="1:16" ht="18" customHeight="1" x14ac:dyDescent="0.25">
      <c r="A192" s="344"/>
      <c r="B192" s="345">
        <v>42166</v>
      </c>
      <c r="C192" s="346">
        <v>100</v>
      </c>
      <c r="D192" s="347">
        <v>51.35</v>
      </c>
      <c r="E192" s="348"/>
      <c r="F192" s="347">
        <f t="shared" si="8"/>
        <v>5135</v>
      </c>
      <c r="G192" s="348"/>
      <c r="H192" s="346"/>
      <c r="I192" s="347"/>
      <c r="J192" s="346"/>
      <c r="K192" s="347"/>
      <c r="L192" s="348"/>
      <c r="M192" s="347"/>
      <c r="N192" s="347"/>
      <c r="O192" s="349"/>
    </row>
    <row r="193" spans="1:16" ht="18" customHeight="1" x14ac:dyDescent="0.25">
      <c r="A193" s="344"/>
      <c r="B193" s="350"/>
      <c r="C193" s="351">
        <f>SUM(C186:C192)</f>
        <v>250</v>
      </c>
      <c r="D193" s="352"/>
      <c r="E193" s="353"/>
      <c r="F193" s="352">
        <f>SUM(F186:F192)</f>
        <v>12953</v>
      </c>
      <c r="G193" s="353"/>
      <c r="H193" s="351">
        <f>SUM(H186:H192)</f>
        <v>250</v>
      </c>
      <c r="I193" s="352"/>
      <c r="J193" s="351"/>
      <c r="K193" s="352">
        <f>SUM(K186:K192)</f>
        <v>13885.74</v>
      </c>
      <c r="L193" s="353"/>
      <c r="M193" s="352"/>
      <c r="N193" s="352">
        <f>K193-F193</f>
        <v>932.73999999999978</v>
      </c>
      <c r="O193" s="354">
        <f>(N193+M193)/F193</f>
        <v>7.2009573071875221E-2</v>
      </c>
      <c r="P193" s="153" t="s">
        <v>140</v>
      </c>
    </row>
    <row r="194" spans="1:16" ht="18" customHeight="1" x14ac:dyDescent="0.25">
      <c r="B194" s="359"/>
      <c r="C194" s="360"/>
      <c r="D194" s="361"/>
      <c r="E194" s="361"/>
      <c r="F194" s="361"/>
      <c r="G194" s="359"/>
      <c r="H194" s="360"/>
      <c r="I194" s="361"/>
      <c r="J194" s="361"/>
      <c r="K194" s="361"/>
      <c r="L194" s="359"/>
      <c r="M194" s="361"/>
      <c r="N194" s="361"/>
      <c r="O194" s="362"/>
    </row>
    <row r="195" spans="1:16" ht="18" customHeight="1" x14ac:dyDescent="0.25">
      <c r="A195" s="344" t="s">
        <v>20</v>
      </c>
      <c r="B195" s="345">
        <v>42153</v>
      </c>
      <c r="C195" s="346">
        <v>50</v>
      </c>
      <c r="D195" s="347">
        <v>20.99</v>
      </c>
      <c r="E195" s="348"/>
      <c r="F195" s="347">
        <f>C195*D195</f>
        <v>1049.5</v>
      </c>
      <c r="G195" s="345">
        <v>42186</v>
      </c>
      <c r="H195" s="346">
        <v>297</v>
      </c>
      <c r="I195" s="347">
        <v>19.399999999999999</v>
      </c>
      <c r="J195" s="347">
        <v>0.11</v>
      </c>
      <c r="K195" s="347">
        <f>H195*I195-J195</f>
        <v>5761.69</v>
      </c>
      <c r="L195" s="348"/>
      <c r="M195" s="347"/>
      <c r="N195" s="347"/>
      <c r="O195" s="349"/>
    </row>
    <row r="196" spans="1:16" ht="18" customHeight="1" x14ac:dyDescent="0.25">
      <c r="A196" s="344"/>
      <c r="B196" s="345">
        <v>42185</v>
      </c>
      <c r="C196" s="346">
        <v>100</v>
      </c>
      <c r="D196" s="347">
        <v>20.6</v>
      </c>
      <c r="E196" s="347"/>
      <c r="F196" s="347">
        <f>C196*D196</f>
        <v>2060</v>
      </c>
      <c r="G196" s="345">
        <v>42186</v>
      </c>
      <c r="H196" s="346">
        <v>300</v>
      </c>
      <c r="I196" s="347">
        <v>20.28</v>
      </c>
      <c r="J196" s="347">
        <v>0.11</v>
      </c>
      <c r="K196" s="347">
        <f>H196*I196-J196</f>
        <v>6083.89</v>
      </c>
      <c r="L196" s="348"/>
      <c r="M196" s="347"/>
      <c r="N196" s="347"/>
      <c r="O196" s="349"/>
    </row>
    <row r="197" spans="1:16" ht="18" customHeight="1" x14ac:dyDescent="0.25">
      <c r="A197" s="344"/>
      <c r="B197" s="345">
        <v>42186</v>
      </c>
      <c r="C197" s="346">
        <v>150</v>
      </c>
      <c r="D197" s="347">
        <v>19.95</v>
      </c>
      <c r="E197" s="347"/>
      <c r="F197" s="347">
        <f>C197*D197</f>
        <v>2992.5</v>
      </c>
      <c r="G197" s="345">
        <v>42186</v>
      </c>
      <c r="H197" s="346">
        <v>300</v>
      </c>
      <c r="I197" s="347">
        <v>19.75</v>
      </c>
      <c r="J197" s="347">
        <v>0.11</v>
      </c>
      <c r="K197" s="347">
        <f>H197*I197-J197</f>
        <v>5924.89</v>
      </c>
      <c r="L197" s="348"/>
      <c r="M197" s="347"/>
      <c r="N197" s="347"/>
      <c r="O197" s="349"/>
    </row>
    <row r="198" spans="1:16" ht="18" customHeight="1" x14ac:dyDescent="0.25">
      <c r="A198" s="344"/>
      <c r="B198" s="345">
        <v>42186</v>
      </c>
      <c r="C198" s="346">
        <v>300</v>
      </c>
      <c r="D198" s="347">
        <v>19.7</v>
      </c>
      <c r="E198" s="348"/>
      <c r="F198" s="347">
        <f>C198*D198</f>
        <v>5910</v>
      </c>
      <c r="G198" s="348"/>
      <c r="H198" s="346"/>
      <c r="I198" s="347"/>
      <c r="J198" s="347"/>
      <c r="K198" s="347"/>
      <c r="L198" s="348"/>
      <c r="M198" s="347"/>
      <c r="N198" s="347"/>
      <c r="O198" s="349"/>
    </row>
    <row r="199" spans="1:16" ht="18" customHeight="1" x14ac:dyDescent="0.25">
      <c r="A199" s="344"/>
      <c r="B199" s="345">
        <v>42186</v>
      </c>
      <c r="C199" s="346">
        <v>297</v>
      </c>
      <c r="D199" s="347">
        <v>19.13</v>
      </c>
      <c r="E199" s="347"/>
      <c r="F199" s="347">
        <f>C199*D199</f>
        <v>5681.61</v>
      </c>
      <c r="G199" s="348"/>
      <c r="H199" s="346"/>
      <c r="I199" s="347"/>
      <c r="J199" s="347"/>
      <c r="K199" s="347"/>
      <c r="L199" s="348"/>
      <c r="M199" s="347"/>
      <c r="N199" s="347"/>
      <c r="O199" s="349"/>
    </row>
    <row r="200" spans="1:16" ht="18" customHeight="1" x14ac:dyDescent="0.25">
      <c r="A200" s="344"/>
      <c r="B200" s="350"/>
      <c r="C200" s="351">
        <f>SUM(C195:C199)</f>
        <v>897</v>
      </c>
      <c r="D200" s="352"/>
      <c r="E200" s="352"/>
      <c r="F200" s="352">
        <f>SUM(F195:F199)</f>
        <v>17693.61</v>
      </c>
      <c r="G200" s="353"/>
      <c r="H200" s="351">
        <f>SUM(H195:H199)</f>
        <v>897</v>
      </c>
      <c r="I200" s="352"/>
      <c r="J200" s="352"/>
      <c r="K200" s="352">
        <f>SUM(K195:K199)</f>
        <v>17770.47</v>
      </c>
      <c r="L200" s="353"/>
      <c r="M200" s="352"/>
      <c r="N200" s="352">
        <f>K200-F200</f>
        <v>76.860000000000582</v>
      </c>
      <c r="O200" s="354">
        <f>(N200+M200)/F200</f>
        <v>4.3439411177255841E-3</v>
      </c>
      <c r="P200" s="153" t="s">
        <v>140</v>
      </c>
    </row>
    <row r="201" spans="1:16" ht="18" customHeight="1" x14ac:dyDescent="0.25">
      <c r="B201" s="359"/>
      <c r="C201" s="360"/>
      <c r="D201" s="361"/>
      <c r="E201" s="28"/>
      <c r="F201" s="361"/>
      <c r="G201" s="359"/>
      <c r="H201" s="360"/>
      <c r="I201" s="361"/>
      <c r="K201" s="361"/>
      <c r="L201" s="359"/>
      <c r="M201" s="361"/>
      <c r="N201" s="361"/>
      <c r="O201" s="362"/>
    </row>
    <row r="202" spans="1:16" ht="18" customHeight="1" x14ac:dyDescent="0.25">
      <c r="A202" s="344" t="s">
        <v>31</v>
      </c>
      <c r="B202" s="345">
        <v>42165</v>
      </c>
      <c r="C202" s="346">
        <v>1</v>
      </c>
      <c r="D202" s="347">
        <v>73.03</v>
      </c>
      <c r="E202" s="348"/>
      <c r="F202" s="347">
        <f>C202*D202</f>
        <v>73.03</v>
      </c>
      <c r="G202" s="345">
        <v>42195</v>
      </c>
      <c r="H202" s="346">
        <v>1</v>
      </c>
      <c r="I202" s="347">
        <v>73.5</v>
      </c>
      <c r="J202" s="346">
        <v>0.01</v>
      </c>
      <c r="K202" s="347">
        <f>H202*I202-J202</f>
        <v>73.489999999999995</v>
      </c>
      <c r="L202" s="348"/>
      <c r="M202" s="347"/>
      <c r="N202" s="347"/>
      <c r="O202" s="349"/>
    </row>
    <row r="203" spans="1:16" ht="18" customHeight="1" x14ac:dyDescent="0.25">
      <c r="A203" s="344"/>
      <c r="B203" s="350"/>
      <c r="C203" s="351">
        <f>SUM(C202)</f>
        <v>1</v>
      </c>
      <c r="D203" s="352"/>
      <c r="E203" s="353"/>
      <c r="F203" s="352">
        <f>SUM(F202)</f>
        <v>73.03</v>
      </c>
      <c r="G203" s="353"/>
      <c r="H203" s="351">
        <f>SUM(H202)</f>
        <v>1</v>
      </c>
      <c r="I203" s="352"/>
      <c r="J203" s="351"/>
      <c r="K203" s="352">
        <f>SUM(K202)</f>
        <v>73.489999999999995</v>
      </c>
      <c r="L203" s="353"/>
      <c r="M203" s="352"/>
      <c r="N203" s="352">
        <f>K203-F203</f>
        <v>0.45999999999999375</v>
      </c>
      <c r="O203" s="354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176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-100138.49199999961</v>
      </c>
    </row>
    <row r="210" spans="13:16" ht="18" customHeight="1" x14ac:dyDescent="0.25">
      <c r="M210" s="29" t="s">
        <v>167</v>
      </c>
      <c r="N210" s="155">
        <f>SUM(N205:N208)</f>
        <v>-102377.96199999955</v>
      </c>
      <c r="P210" s="272"/>
    </row>
    <row r="211" spans="13:16" ht="18" customHeight="1" x14ac:dyDescent="0.25">
      <c r="M211" s="29" t="s">
        <v>168</v>
      </c>
      <c r="N211" s="155">
        <f>Balance!S2</f>
        <v>-102377.96000000002</v>
      </c>
    </row>
    <row r="212" spans="13:16" ht="18" customHeight="1" x14ac:dyDescent="0.25">
      <c r="M212" s="29" t="s">
        <v>138</v>
      </c>
      <c r="N212" s="30">
        <f>N210-N211</f>
        <v>-1.9999995274702087E-3</v>
      </c>
    </row>
  </sheetData>
  <mergeCells count="3">
    <mergeCell ref="B12:B13"/>
    <mergeCell ref="B14:B15"/>
    <mergeCell ref="B155:B156"/>
  </mergeCells>
  <conditionalFormatting sqref="Q13">
    <cfRule type="expression" dxfId="431" priority="5">
      <formula>#REF!&gt;0</formula>
    </cfRule>
    <cfRule type="expression" dxfId="43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11" activePane="bottomLeft" state="frozen"/>
      <selection pane="bottomLeft" activeCell="E20" sqref="E20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166</v>
      </c>
      <c r="G1" s="6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6"/>
      <c r="B2" s="56"/>
      <c r="C2" s="56"/>
      <c r="D2" s="57"/>
      <c r="E2" s="26" t="s">
        <v>10</v>
      </c>
      <c r="F2" s="283">
        <v>9.74</v>
      </c>
      <c r="G2" s="53">
        <v>9.74</v>
      </c>
      <c r="H2" s="381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6"/>
      <c r="N2" s="68"/>
      <c r="O2" s="68"/>
      <c r="Q2" s="162"/>
    </row>
    <row r="3" spans="1:17" ht="18.95" customHeight="1" x14ac:dyDescent="0.25">
      <c r="A3" s="55"/>
      <c r="B3" s="55"/>
      <c r="C3" s="55"/>
      <c r="D3" s="57"/>
      <c r="E3" s="26" t="s">
        <v>45</v>
      </c>
      <c r="F3" s="283">
        <v>66.28</v>
      </c>
      <c r="G3" s="53">
        <v>66.28</v>
      </c>
      <c r="H3" s="381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N3" s="53"/>
      <c r="Q3" s="162"/>
    </row>
    <row r="4" spans="1:17" ht="18.95" customHeight="1" x14ac:dyDescent="0.25">
      <c r="A4" s="55"/>
      <c r="B4" s="56"/>
      <c r="C4" s="56"/>
      <c r="D4" s="57"/>
      <c r="E4" s="26" t="s">
        <v>68</v>
      </c>
      <c r="F4" s="283">
        <v>9.7249999999999996</v>
      </c>
      <c r="G4" s="53">
        <v>9.7249999999999996</v>
      </c>
      <c r="H4" s="381">
        <v>0</v>
      </c>
      <c r="I4" s="53">
        <v>0</v>
      </c>
      <c r="J4" s="53">
        <v>37</v>
      </c>
      <c r="K4" s="236">
        <v>0</v>
      </c>
      <c r="L4" s="69" t="str">
        <f>HYPERLINK("http://finance.yahoo.com/q?s=" &amp; E4, "Link")</f>
        <v>Link</v>
      </c>
      <c r="M4" s="207"/>
      <c r="N4" s="68"/>
      <c r="O4" s="68"/>
      <c r="Q4" s="179"/>
    </row>
    <row r="5" spans="1:17" ht="18.95" customHeight="1" x14ac:dyDescent="0.25">
      <c r="A5" s="56"/>
      <c r="B5" s="56"/>
      <c r="C5" s="56"/>
      <c r="D5" s="57"/>
      <c r="E5" s="26" t="s">
        <v>33</v>
      </c>
      <c r="F5" s="283">
        <v>148.63</v>
      </c>
      <c r="G5" s="53">
        <v>148.63</v>
      </c>
      <c r="H5" s="381">
        <v>0</v>
      </c>
      <c r="I5" s="53">
        <v>0</v>
      </c>
      <c r="J5" s="53">
        <v>780.73999999999796</v>
      </c>
      <c r="K5" s="236">
        <v>0</v>
      </c>
      <c r="L5" s="69" t="str">
        <f>HYPERLINK("http://finance.yahoo.com/q?s=" &amp; E5, "Link")</f>
        <v>Link</v>
      </c>
      <c r="M5" s="175" t="s">
        <v>182</v>
      </c>
      <c r="O5" s="53"/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83">
        <v>250.84</v>
      </c>
      <c r="G6" s="53">
        <v>251.5</v>
      </c>
      <c r="H6" s="381">
        <v>5</v>
      </c>
      <c r="I6" s="53">
        <v>1257.5</v>
      </c>
      <c r="J6" s="53">
        <v>1370.3500000000088</v>
      </c>
      <c r="K6" s="236">
        <v>-2.6242544731610203E-3</v>
      </c>
      <c r="L6" s="69" t="str">
        <f>HYPERLINK("http://finance.yahoo.com/q?s=" &amp; E6, "Link")</f>
        <v>Link</v>
      </c>
      <c r="M6" s="176"/>
      <c r="Q6" s="162"/>
    </row>
    <row r="7" spans="1:17" ht="18.95" customHeight="1" x14ac:dyDescent="0.25">
      <c r="A7" s="56"/>
      <c r="B7" s="56"/>
      <c r="C7" s="56"/>
      <c r="D7" s="57"/>
      <c r="E7" s="26" t="s">
        <v>8</v>
      </c>
      <c r="F7" s="283">
        <v>60.96</v>
      </c>
      <c r="G7" s="53">
        <v>60.96</v>
      </c>
      <c r="H7" s="381">
        <v>0</v>
      </c>
      <c r="I7" s="53">
        <v>0</v>
      </c>
      <c r="J7" s="53">
        <v>121.94999999999982</v>
      </c>
      <c r="K7" s="236">
        <v>0</v>
      </c>
      <c r="L7" s="69" t="str">
        <f>HYPERLINK("http://finance.yahoo.com/q?s=" &amp; E7, "Link")</f>
        <v>Link</v>
      </c>
      <c r="M7" s="208"/>
      <c r="N7" s="53"/>
      <c r="P7" s="53"/>
      <c r="Q7" s="162"/>
    </row>
    <row r="8" spans="1:17" ht="18.95" customHeight="1" x14ac:dyDescent="0.25">
      <c r="A8" s="55"/>
      <c r="B8" s="56"/>
      <c r="C8" s="56"/>
      <c r="D8" s="57"/>
      <c r="E8" s="26" t="s">
        <v>17</v>
      </c>
      <c r="F8" s="283">
        <v>14.55</v>
      </c>
      <c r="G8" s="53">
        <v>30.136946666666695</v>
      </c>
      <c r="H8" s="381">
        <v>1500</v>
      </c>
      <c r="I8" s="53">
        <v>45205.420000000042</v>
      </c>
      <c r="J8" s="53">
        <v>-23380.420000000042</v>
      </c>
      <c r="K8" s="236">
        <v>-0.51720391050453729</v>
      </c>
      <c r="L8" s="69" t="str">
        <f>HYPERLINK("http://finance.yahoo.com/q?s=" &amp; E8, "Link")</f>
        <v>Link</v>
      </c>
      <c r="M8" s="393" t="s">
        <v>211</v>
      </c>
      <c r="N8" s="53"/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83">
        <v>48.77</v>
      </c>
      <c r="G9" s="53">
        <v>48.77</v>
      </c>
      <c r="H9" s="381">
        <v>0</v>
      </c>
      <c r="I9" s="53">
        <v>0</v>
      </c>
      <c r="J9" s="53">
        <v>205.01999999999998</v>
      </c>
      <c r="K9" s="236">
        <v>0</v>
      </c>
      <c r="L9" s="69" t="str">
        <f>HYPERLINK("http://finance.yahoo.com/q?s=" &amp; E9, "Link")</f>
        <v>Link</v>
      </c>
      <c r="M9" s="207"/>
      <c r="N9" s="293"/>
      <c r="O9" s="68"/>
      <c r="P9" s="53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83">
        <v>98.44</v>
      </c>
      <c r="G10" s="53">
        <v>96.787600000000026</v>
      </c>
      <c r="H10" s="381">
        <v>25</v>
      </c>
      <c r="I10" s="53">
        <v>2419.6900000000005</v>
      </c>
      <c r="J10" s="53">
        <v>41.309999999999491</v>
      </c>
      <c r="K10" s="236">
        <v>1.7072434898685072E-2</v>
      </c>
      <c r="L10" s="69" t="str">
        <f>HYPERLINK("http://finance.yahoo.com/q?s=" &amp; E10, "Link")</f>
        <v>Link</v>
      </c>
      <c r="M10" s="206"/>
      <c r="Q10" s="162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83">
        <v>5.34</v>
      </c>
      <c r="G11" s="53">
        <v>5.34</v>
      </c>
      <c r="H11" s="381">
        <v>0</v>
      </c>
      <c r="I11" s="53">
        <v>0</v>
      </c>
      <c r="J11" s="53">
        <v>434.93000000000029</v>
      </c>
      <c r="K11" s="236">
        <v>0</v>
      </c>
      <c r="L11" s="69" t="str">
        <f>HYPERLINK("http://finance.yahoo.com/q?s=" &amp; E11, "Link")</f>
        <v>Link</v>
      </c>
      <c r="M11" s="206"/>
      <c r="Q11" s="162"/>
    </row>
    <row r="12" spans="1:17" ht="18.95" customHeight="1" x14ac:dyDescent="0.25">
      <c r="A12" s="55"/>
      <c r="B12" s="56"/>
      <c r="C12" s="56"/>
      <c r="D12" s="57"/>
      <c r="E12" s="26" t="s">
        <v>55</v>
      </c>
      <c r="F12" s="283">
        <v>90.28</v>
      </c>
      <c r="G12" s="53">
        <v>95.175857142857154</v>
      </c>
      <c r="H12" s="381">
        <v>70</v>
      </c>
      <c r="I12" s="53">
        <v>6662.31</v>
      </c>
      <c r="J12" s="53">
        <v>-342.71000000000004</v>
      </c>
      <c r="K12" s="236">
        <v>-5.1440116115881833E-2</v>
      </c>
      <c r="L12" s="69" t="str">
        <f>HYPERLINK("http://finance.yahoo.com/q?s=" &amp; E12, "Link")</f>
        <v>Link</v>
      </c>
      <c r="M12" s="207"/>
      <c r="N12" s="68"/>
      <c r="O12" s="68"/>
      <c r="Q12" s="162"/>
    </row>
    <row r="13" spans="1:17" ht="18.95" customHeight="1" x14ac:dyDescent="0.25">
      <c r="A13" s="55"/>
      <c r="B13" s="55"/>
      <c r="C13" s="56"/>
      <c r="D13" s="57"/>
      <c r="E13" s="26" t="s">
        <v>216</v>
      </c>
      <c r="F13" s="283">
        <v>61.39</v>
      </c>
      <c r="G13" s="53">
        <v>61.39</v>
      </c>
      <c r="H13" s="381">
        <v>0</v>
      </c>
      <c r="I13" s="53">
        <v>0</v>
      </c>
      <c r="J13" s="53">
        <v>49.949999999999818</v>
      </c>
      <c r="K13" s="236">
        <v>0</v>
      </c>
      <c r="L13" s="69" t="str">
        <f>HYPERLINK("http://finance.yahoo.com/q?s=" &amp; E13, "Link")</f>
        <v>Link</v>
      </c>
      <c r="M13" s="216"/>
      <c r="N13" s="68"/>
      <c r="O13" s="68"/>
      <c r="Q13" s="179"/>
    </row>
    <row r="14" spans="1:17" ht="18.95" customHeight="1" x14ac:dyDescent="0.25">
      <c r="A14" s="56"/>
      <c r="B14" s="56"/>
      <c r="C14" s="56"/>
      <c r="D14" s="57"/>
      <c r="E14" s="26" t="s">
        <v>56</v>
      </c>
      <c r="F14" s="283">
        <v>31.69</v>
      </c>
      <c r="G14" s="53">
        <v>31.69</v>
      </c>
      <c r="H14" s="381">
        <v>0</v>
      </c>
      <c r="I14" s="53">
        <v>0</v>
      </c>
      <c r="J14" s="53">
        <v>36.819999999999709</v>
      </c>
      <c r="K14" s="236">
        <v>0</v>
      </c>
      <c r="L14" s="69" t="str">
        <f>HYPERLINK("http://finance.yahoo.com/q?s=" &amp; E14, "Link")</f>
        <v>Link</v>
      </c>
      <c r="M14" s="216"/>
      <c r="N14" s="53"/>
      <c r="O14" s="53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51.83</v>
      </c>
      <c r="G15" s="53">
        <v>32.701153846153581</v>
      </c>
      <c r="H15" s="381">
        <v>130</v>
      </c>
      <c r="I15" s="53">
        <v>4251.1499999999651</v>
      </c>
      <c r="J15" s="53">
        <v>2486.7500000000346</v>
      </c>
      <c r="K15" s="236">
        <v>0.5849593639368299</v>
      </c>
      <c r="L15" s="69" t="str">
        <f>HYPERLINK("http://finance.yahoo.com/q?s=" &amp; E15, "Link")</f>
        <v>Link</v>
      </c>
      <c r="M15" s="207"/>
      <c r="Q15" s="162"/>
    </row>
    <row r="16" spans="1:17" ht="18.95" customHeight="1" x14ac:dyDescent="0.25">
      <c r="A16" s="56"/>
      <c r="B16" s="55"/>
      <c r="C16" s="56"/>
      <c r="D16" s="57"/>
      <c r="E16" s="26" t="s">
        <v>27</v>
      </c>
      <c r="F16" s="283">
        <v>31.69</v>
      </c>
      <c r="G16" s="53">
        <v>31.69</v>
      </c>
      <c r="H16" s="381">
        <v>0</v>
      </c>
      <c r="I16" s="53">
        <v>0</v>
      </c>
      <c r="J16" s="53">
        <v>1407.5400000000009</v>
      </c>
      <c r="K16" s="236">
        <v>0</v>
      </c>
      <c r="L16" s="69" t="str">
        <f>HYPERLINK("http://finance.yahoo.com/q?s=" &amp; E16, "Link")</f>
        <v>Link</v>
      </c>
      <c r="M16" s="216"/>
      <c r="N16" s="53"/>
      <c r="Q16" s="162"/>
    </row>
    <row r="17" spans="1:17" ht="18.95" customHeight="1" x14ac:dyDescent="0.25">
      <c r="A17" s="55"/>
      <c r="B17" s="55"/>
      <c r="C17" s="56"/>
      <c r="E17" s="26" t="s">
        <v>217</v>
      </c>
      <c r="F17" s="283">
        <v>40.39</v>
      </c>
      <c r="G17" s="53">
        <v>40.39</v>
      </c>
      <c r="H17" s="381">
        <v>0</v>
      </c>
      <c r="I17" s="53">
        <v>0</v>
      </c>
      <c r="J17" s="53">
        <v>119.92000000000053</v>
      </c>
      <c r="K17" s="236">
        <v>0</v>
      </c>
      <c r="L17" s="69" t="str">
        <f>HYPERLINK("http://finance.yahoo.com/q?s=" &amp; E17, "Link")</f>
        <v>Link</v>
      </c>
      <c r="M17" s="216"/>
      <c r="Q17" s="162"/>
    </row>
    <row r="18" spans="1:17" ht="18.95" customHeight="1" x14ac:dyDescent="0.25">
      <c r="A18" s="55"/>
      <c r="B18" s="55"/>
      <c r="C18" s="56"/>
      <c r="D18" s="57"/>
      <c r="E18" s="26" t="s">
        <v>15</v>
      </c>
      <c r="F18" s="283">
        <v>24.15</v>
      </c>
      <c r="G18" s="53">
        <v>24.15</v>
      </c>
      <c r="H18" s="381">
        <v>0</v>
      </c>
      <c r="I18" s="53">
        <v>0</v>
      </c>
      <c r="J18" s="53">
        <v>155.90000000000146</v>
      </c>
      <c r="K18" s="236">
        <v>0</v>
      </c>
      <c r="L18" s="69" t="str">
        <f>HYPERLINK("http://finance.yahoo.com/q?s=" &amp; E18, "Link")</f>
        <v>Link</v>
      </c>
      <c r="M18" s="388"/>
      <c r="N18" s="53"/>
      <c r="O18" s="68"/>
      <c r="Q18" s="162"/>
    </row>
    <row r="19" spans="1:17" ht="18.95" customHeight="1" x14ac:dyDescent="0.25">
      <c r="A19" s="55"/>
      <c r="B19" s="55"/>
      <c r="C19" s="56"/>
      <c r="E19" s="26" t="s">
        <v>24</v>
      </c>
      <c r="F19" s="283">
        <v>56.06</v>
      </c>
      <c r="G19" s="53">
        <v>56.06</v>
      </c>
      <c r="H19" s="381">
        <v>0</v>
      </c>
      <c r="I19" s="53">
        <v>0</v>
      </c>
      <c r="J19" s="53">
        <v>745.43999999999505</v>
      </c>
      <c r="K19" s="236">
        <v>0</v>
      </c>
      <c r="L19" s="69" t="str">
        <f>HYPERLINK("http://finance.yahoo.com/q?s=" &amp; E19, "Link")</f>
        <v>Link</v>
      </c>
      <c r="M19" s="207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83">
        <v>11.52</v>
      </c>
      <c r="G20" s="53">
        <v>17.712168463030775</v>
      </c>
      <c r="H20" s="381">
        <v>9278</v>
      </c>
      <c r="I20" s="53">
        <v>164333.49899999952</v>
      </c>
      <c r="J20" s="53">
        <v>-57450.938999999518</v>
      </c>
      <c r="K20" s="236">
        <v>-0.34959968204656616</v>
      </c>
      <c r="L20" s="69" t="str">
        <f>HYPERLINK("http://finance.yahoo.com/q?s=" &amp; E20, "Link")</f>
        <v>Link</v>
      </c>
      <c r="M20" s="207"/>
      <c r="P20" s="53"/>
      <c r="Q20" s="162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83">
        <v>10.72</v>
      </c>
      <c r="G21" s="53">
        <v>16.258881474480173</v>
      </c>
      <c r="H21" s="381">
        <v>5290</v>
      </c>
      <c r="I21" s="53">
        <v>86009.483000000109</v>
      </c>
      <c r="J21" s="53">
        <v>-29300.683000000106</v>
      </c>
      <c r="K21" s="236">
        <v>-0.34066805168448777</v>
      </c>
      <c r="L21" s="69" t="str">
        <f>HYPERLINK("http://finance.yahoo.com/q?s=" &amp; E21, "Link")</f>
        <v>Link</v>
      </c>
      <c r="M21" s="175"/>
      <c r="N21" s="53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3">
        <v>80.989999999999995</v>
      </c>
      <c r="G22" s="53">
        <v>80.989999999999995</v>
      </c>
      <c r="H22" s="381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 t="s">
        <v>245</v>
      </c>
      <c r="N22" s="53"/>
      <c r="P22" s="53"/>
      <c r="Q22" s="162"/>
    </row>
    <row r="23" spans="1:17" ht="18.95" customHeight="1" x14ac:dyDescent="0.25">
      <c r="A23" s="169"/>
      <c r="B23" s="55"/>
      <c r="C23" s="56"/>
      <c r="D23" s="57"/>
      <c r="E23" s="26" t="s">
        <v>219</v>
      </c>
      <c r="F23" s="283">
        <v>42.16</v>
      </c>
      <c r="G23" s="53">
        <v>40.798333333333325</v>
      </c>
      <c r="H23" s="381">
        <v>30</v>
      </c>
      <c r="I23" s="53">
        <v>1223.9499999999998</v>
      </c>
      <c r="J23" s="53">
        <v>40.850000000000136</v>
      </c>
      <c r="K23" s="236">
        <v>3.3375546386698936E-2</v>
      </c>
      <c r="L23" s="69" t="str">
        <f>HYPERLINK("http://finance.yahoo.com/q?s=" &amp; E23, "Link")</f>
        <v>Link</v>
      </c>
      <c r="M23" s="206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3">
        <v>26.81</v>
      </c>
      <c r="G24" s="53">
        <v>31.064299999999932</v>
      </c>
      <c r="H24" s="381">
        <v>100</v>
      </c>
      <c r="I24" s="53">
        <v>3106.429999999993</v>
      </c>
      <c r="J24" s="53">
        <v>-425.42999999999302</v>
      </c>
      <c r="K24" s="236">
        <v>-0.13695142011891279</v>
      </c>
      <c r="L24" s="69" t="str">
        <f>HYPERLINK("http://finance.yahoo.com/q?s=" &amp; E24, "Link")</f>
        <v>Link</v>
      </c>
      <c r="M24" s="176"/>
      <c r="N24" s="53"/>
      <c r="Q24" s="162"/>
    </row>
    <row r="25" spans="1:17" ht="18.95" customHeight="1" x14ac:dyDescent="0.25">
      <c r="A25" s="55"/>
      <c r="B25" s="55"/>
      <c r="C25" s="56"/>
      <c r="E25" s="26" t="s">
        <v>220</v>
      </c>
      <c r="F25" s="283">
        <v>203.34</v>
      </c>
      <c r="G25" s="53">
        <v>203.34</v>
      </c>
      <c r="H25" s="381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6"/>
      <c r="N25" s="53"/>
      <c r="Q25" s="162"/>
    </row>
    <row r="26" spans="1:17" ht="18.95" customHeight="1" x14ac:dyDescent="0.25">
      <c r="A26" s="55"/>
      <c r="B26" s="55"/>
      <c r="C26" s="56"/>
      <c r="D26" s="57"/>
      <c r="E26" s="26" t="s">
        <v>215</v>
      </c>
      <c r="F26" s="283">
        <v>75</v>
      </c>
      <c r="G26" s="53">
        <v>75</v>
      </c>
      <c r="H26" s="381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6"/>
      <c r="O26" s="394"/>
      <c r="P26" s="394"/>
      <c r="Q26" s="179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3">
        <v>31.38</v>
      </c>
      <c r="G27" s="53">
        <v>31.38</v>
      </c>
      <c r="H27" s="381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N27" s="53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3">
        <v>139.08000000000001</v>
      </c>
      <c r="G28" s="53">
        <v>139.08000000000001</v>
      </c>
      <c r="H28" s="381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N28" s="293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83">
        <v>124.9</v>
      </c>
      <c r="G29" s="53">
        <v>124.9</v>
      </c>
      <c r="H29" s="381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216"/>
      <c r="N29" s="68"/>
      <c r="O29" s="68"/>
      <c r="Q29" s="162"/>
    </row>
    <row r="30" spans="1:17" ht="18.95" customHeight="1" x14ac:dyDescent="0.25">
      <c r="A30" s="66"/>
      <c r="B30" s="67"/>
      <c r="C30" s="66"/>
      <c r="D30" s="57"/>
      <c r="E30" s="26" t="s">
        <v>42</v>
      </c>
      <c r="F30" s="283">
        <v>80.31</v>
      </c>
      <c r="G30" s="53">
        <v>80.31</v>
      </c>
      <c r="H30" s="381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Q30" s="162"/>
    </row>
    <row r="31" spans="1:17" ht="18.95" customHeight="1" x14ac:dyDescent="0.25">
      <c r="A31" s="169"/>
      <c r="B31" s="55"/>
      <c r="C31" s="56"/>
      <c r="D31" s="57"/>
      <c r="E31" s="26" t="s">
        <v>54</v>
      </c>
      <c r="F31" s="283">
        <v>97.49</v>
      </c>
      <c r="G31" s="53">
        <v>97.49</v>
      </c>
      <c r="H31" s="381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216"/>
      <c r="N31" s="293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218</v>
      </c>
      <c r="F32" s="283">
        <v>49.54</v>
      </c>
      <c r="G32" s="53">
        <v>50.125</v>
      </c>
      <c r="H32" s="381">
        <v>40</v>
      </c>
      <c r="I32" s="53">
        <v>2005</v>
      </c>
      <c r="J32" s="53">
        <v>-23.400000000000091</v>
      </c>
      <c r="K32" s="236">
        <v>-1.1670822942643409E-2</v>
      </c>
      <c r="L32" s="69" t="str">
        <f>HYPERLINK("http://finance.yahoo.com/q?s=" &amp; E32, "Link")</f>
        <v>Link</v>
      </c>
      <c r="M32" s="207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3">
        <v>51.08</v>
      </c>
      <c r="G33" s="53">
        <v>51.08</v>
      </c>
      <c r="H33" s="381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388"/>
      <c r="P33" s="53"/>
      <c r="Q33" s="162"/>
    </row>
    <row r="34" spans="1:17" ht="18.95" customHeight="1" x14ac:dyDescent="0.25">
      <c r="A34" s="55"/>
      <c r="B34" s="55"/>
      <c r="C34" s="56"/>
      <c r="D34" s="57"/>
      <c r="E34" s="26"/>
      <c r="H34" s="381"/>
      <c r="K34" s="236"/>
      <c r="L34" s="69"/>
      <c r="M34" s="207"/>
      <c r="N34" s="162"/>
    </row>
    <row r="35" spans="1:17" ht="18.95" customHeight="1" x14ac:dyDescent="0.25">
      <c r="A35" s="55"/>
      <c r="B35" s="55"/>
      <c r="C35" s="56"/>
      <c r="E35" s="26"/>
      <c r="H35" s="381"/>
      <c r="K35" s="236"/>
      <c r="L35" s="69"/>
      <c r="M35" s="32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2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3"/>
      <c r="D37" s="53"/>
      <c r="E37" s="54"/>
      <c r="F37" s="53"/>
      <c r="H37" s="382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3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E2:M33">
    <sortCondition ref="E1"/>
  </sortState>
  <conditionalFormatting sqref="J2:J14 J16:J34">
    <cfRule type="expression" dxfId="429" priority="45">
      <formula>$J2&lt;0</formula>
    </cfRule>
  </conditionalFormatting>
  <conditionalFormatting sqref="J2:J14 J16:J34">
    <cfRule type="expression" dxfId="42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7" priority="39">
      <formula>E2=0</formula>
    </cfRule>
  </conditionalFormatting>
  <conditionalFormatting sqref="E3">
    <cfRule type="expression" dxfId="426" priority="38">
      <formula>H3=0</formula>
    </cfRule>
  </conditionalFormatting>
  <conditionalFormatting sqref="G2:G14 D35 G16:G34">
    <cfRule type="expression" dxfId="425" priority="37">
      <formula>E2=0</formula>
    </cfRule>
  </conditionalFormatting>
  <conditionalFormatting sqref="Q13">
    <cfRule type="expression" dxfId="424" priority="35">
      <formula>R13=0</formula>
    </cfRule>
  </conditionalFormatting>
  <conditionalFormatting sqref="F2:F14 F16:F34">
    <cfRule type="expression" dxfId="423" priority="34">
      <formula>H2=0</formula>
    </cfRule>
  </conditionalFormatting>
  <conditionalFormatting sqref="P22">
    <cfRule type="expression" dxfId="422" priority="33">
      <formula>R22=0</formula>
    </cfRule>
  </conditionalFormatting>
  <conditionalFormatting sqref="E35 H2:H14 H16:H34">
    <cfRule type="expression" dxfId="421" priority="31">
      <formula>E2=0</formula>
    </cfRule>
  </conditionalFormatting>
  <conditionalFormatting sqref="P19">
    <cfRule type="expression" dxfId="420" priority="30">
      <formula>P19=0</formula>
    </cfRule>
  </conditionalFormatting>
  <conditionalFormatting sqref="Q12">
    <cfRule type="expression" dxfId="419" priority="29">
      <formula>Q12=0</formula>
    </cfRule>
  </conditionalFormatting>
  <conditionalFormatting sqref="O9">
    <cfRule type="expression" dxfId="418" priority="28">
      <formula>O9=0</formula>
    </cfRule>
  </conditionalFormatting>
  <conditionalFormatting sqref="F35:F36 I2:I14 I16:I34">
    <cfRule type="expression" dxfId="417" priority="27">
      <formula>E2=0</formula>
    </cfRule>
  </conditionalFormatting>
  <conditionalFormatting sqref="P18">
    <cfRule type="expression" dxfId="416" priority="26">
      <formula>O18=0</formula>
    </cfRule>
  </conditionalFormatting>
  <conditionalFormatting sqref="Q11">
    <cfRule type="expression" dxfId="415" priority="25">
      <formula>P11=0</formula>
    </cfRule>
  </conditionalFormatting>
  <conditionalFormatting sqref="K39:K71 H35:H38 K2:K34">
    <cfRule type="expression" dxfId="414" priority="24">
      <formula>E2=0</formula>
    </cfRule>
  </conditionalFormatting>
  <conditionalFormatting sqref="K28">
    <cfRule type="expression" dxfId="413" priority="23">
      <formula>H28=0</formula>
    </cfRule>
  </conditionalFormatting>
  <conditionalFormatting sqref="K29">
    <cfRule type="expression" dxfId="412" priority="22">
      <formula>H29=0</formula>
    </cfRule>
  </conditionalFormatting>
  <conditionalFormatting sqref="G29">
    <cfRule type="expression" dxfId="411" priority="19">
      <formula>H29=0</formula>
    </cfRule>
  </conditionalFormatting>
  <conditionalFormatting sqref="E23:E32">
    <cfRule type="expression" dxfId="410" priority="16">
      <formula>H23=0</formula>
    </cfRule>
  </conditionalFormatting>
  <conditionalFormatting sqref="C37">
    <cfRule type="expression" dxfId="409" priority="13">
      <formula>E37=0</formula>
    </cfRule>
  </conditionalFormatting>
  <conditionalFormatting sqref="D36">
    <cfRule type="expression" dxfId="408" priority="11">
      <formula>E36=0</formula>
    </cfRule>
  </conditionalFormatting>
  <conditionalFormatting sqref="E36">
    <cfRule type="expression" dxfId="407" priority="10">
      <formula>E36=0</formula>
    </cfRule>
  </conditionalFormatting>
  <conditionalFormatting sqref="G35:G37">
    <cfRule type="expression" dxfId="406" priority="124">
      <formula>$G35&lt;0</formula>
    </cfRule>
  </conditionalFormatting>
  <conditionalFormatting sqref="G35:G37">
    <cfRule type="expression" dxfId="405" priority="126">
      <formula>$G35&gt;0</formula>
    </cfRule>
  </conditionalFormatting>
  <conditionalFormatting sqref="B6">
    <cfRule type="expression" dxfId="404" priority="131">
      <formula>E35=0</formula>
    </cfRule>
  </conditionalFormatting>
  <conditionalFormatting sqref="C6">
    <cfRule type="expression" dxfId="403" priority="132">
      <formula>E35=0</formula>
    </cfRule>
  </conditionalFormatting>
  <conditionalFormatting sqref="J15">
    <cfRule type="expression" dxfId="402" priority="9">
      <formula>$J15&lt;0</formula>
    </cfRule>
  </conditionalFormatting>
  <conditionalFormatting sqref="J15">
    <cfRule type="expression" dxfId="401" priority="8">
      <formula>$J15&gt;0</formula>
    </cfRule>
  </conditionalFormatting>
  <conditionalFormatting sqref="E15">
    <cfRule type="expression" dxfId="400" priority="6">
      <formula>H15=0</formula>
    </cfRule>
  </conditionalFormatting>
  <conditionalFormatting sqref="G15">
    <cfRule type="expression" dxfId="399" priority="5">
      <formula>H15=0</formula>
    </cfRule>
  </conditionalFormatting>
  <conditionalFormatting sqref="F15">
    <cfRule type="expression" dxfId="398" priority="4">
      <formula>H15=0</formula>
    </cfRule>
  </conditionalFormatting>
  <conditionalFormatting sqref="H15">
    <cfRule type="expression" dxfId="397" priority="3">
      <formula>H15=0</formula>
    </cfRule>
  </conditionalFormatting>
  <conditionalFormatting sqref="I15">
    <cfRule type="expression" dxfId="396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58"/>
  <sheetViews>
    <sheetView zoomScaleNormal="100" workbookViewId="0">
      <pane ySplit="1" topLeftCell="A44" activePane="bottomLeft" state="frozen"/>
      <selection pane="bottomLeft" activeCell="L64" sqref="L64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8178</v>
      </c>
      <c r="W2" s="143">
        <v>42444</v>
      </c>
      <c r="X2" s="12">
        <v>10.85</v>
      </c>
      <c r="Y2" s="12">
        <v>11.31</v>
      </c>
      <c r="Z2" s="12">
        <v>10.6</v>
      </c>
      <c r="AA2" s="12">
        <v>11.31</v>
      </c>
      <c r="AB2" s="105">
        <v>23865900</v>
      </c>
      <c r="AC2" s="12">
        <v>11.31</v>
      </c>
      <c r="AD2">
        <f t="shared" ref="AD2:AD14" si="0">Y2-Z2</f>
        <v>0.71000000000000085</v>
      </c>
      <c r="AE2" s="148">
        <f t="shared" ref="AE2:AE14" si="1">AC2/AC3-1</f>
        <v>1.9837691614066788E-2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90">
        <f>IF(Q2=0, Q4, (F91-K91-M91)/Q2)</f>
        <v>18.467045610173578</v>
      </c>
      <c r="W3" s="143">
        <v>42443</v>
      </c>
      <c r="X3" s="12">
        <v>10.86</v>
      </c>
      <c r="Y3" s="12">
        <v>11.32</v>
      </c>
      <c r="Z3" s="12">
        <v>10.68</v>
      </c>
      <c r="AA3" s="12">
        <v>11.09</v>
      </c>
      <c r="AB3" s="105">
        <v>28438300</v>
      </c>
      <c r="AC3" s="12">
        <v>11.09</v>
      </c>
      <c r="AD3">
        <f t="shared" si="0"/>
        <v>0.64000000000000057</v>
      </c>
      <c r="AE3" s="148">
        <f t="shared" si="1"/>
        <v>-6.2724014336917877E-3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11.52</v>
      </c>
      <c r="W4" s="143">
        <v>42440</v>
      </c>
      <c r="X4" s="12">
        <v>11.14</v>
      </c>
      <c r="Y4" s="12">
        <v>11.35</v>
      </c>
      <c r="Z4" s="12">
        <v>10.95</v>
      </c>
      <c r="AA4" s="12">
        <v>11.16</v>
      </c>
      <c r="AB4" s="105">
        <v>31812100</v>
      </c>
      <c r="AC4" s="12">
        <v>11.16</v>
      </c>
      <c r="AD4">
        <f t="shared" si="0"/>
        <v>0.40000000000000036</v>
      </c>
      <c r="AE4" s="148">
        <f t="shared" si="1"/>
        <v>5.3824362606232246E-2</v>
      </c>
      <c r="AJ4" s="265"/>
      <c r="AL4" s="263"/>
      <c r="AO4" s="263"/>
    </row>
    <row r="5" spans="1:41" x14ac:dyDescent="0.25">
      <c r="B5" s="410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94210.559999999998</v>
      </c>
      <c r="T5" s="75"/>
      <c r="W5" s="143">
        <v>42439</v>
      </c>
      <c r="X5" s="12">
        <v>10.31</v>
      </c>
      <c r="Y5" s="12">
        <v>10.62</v>
      </c>
      <c r="Z5" s="12">
        <v>10.01</v>
      </c>
      <c r="AA5" s="12">
        <v>10.59</v>
      </c>
      <c r="AB5" s="105">
        <v>33980800</v>
      </c>
      <c r="AC5" s="12">
        <v>10.59</v>
      </c>
      <c r="AD5">
        <f t="shared" si="0"/>
        <v>0.60999999999999943</v>
      </c>
      <c r="AE5" s="148">
        <f t="shared" si="1"/>
        <v>1.0496183206106791E-2</v>
      </c>
    </row>
    <row r="6" spans="1:41" x14ac:dyDescent="0.25">
      <c r="B6" s="410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151023.49899999952</v>
      </c>
      <c r="W6" s="143">
        <v>42438</v>
      </c>
      <c r="X6" s="12">
        <v>10.51</v>
      </c>
      <c r="Y6" s="12">
        <v>10.68</v>
      </c>
      <c r="Z6" s="12">
        <v>10.08</v>
      </c>
      <c r="AA6" s="12">
        <v>10.48</v>
      </c>
      <c r="AB6" s="105">
        <v>30855500</v>
      </c>
      <c r="AC6" s="12">
        <v>10.48</v>
      </c>
      <c r="AD6">
        <f t="shared" si="0"/>
        <v>0.59999999999999964</v>
      </c>
      <c r="AE6" s="148">
        <f t="shared" si="1"/>
        <v>3.5573122529644285E-2</v>
      </c>
    </row>
    <row r="7" spans="1:41" ht="15.75" x14ac:dyDescent="0.25">
      <c r="B7" s="410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09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-56812.938999999518</v>
      </c>
      <c r="R7" s="206"/>
      <c r="U7" s="197"/>
      <c r="W7" s="143">
        <v>42437</v>
      </c>
      <c r="X7" s="12">
        <v>10.84</v>
      </c>
      <c r="Y7" s="12">
        <v>10.87</v>
      </c>
      <c r="Z7" s="12">
        <v>9.92</v>
      </c>
      <c r="AA7" s="12">
        <v>10.119999999999999</v>
      </c>
      <c r="AB7" s="105">
        <v>35384100</v>
      </c>
      <c r="AC7" s="12">
        <v>10.119999999999999</v>
      </c>
      <c r="AD7">
        <f t="shared" si="0"/>
        <v>0.94999999999999929</v>
      </c>
      <c r="AE7" s="148">
        <f t="shared" si="1"/>
        <v>-8.2502266545784297E-2</v>
      </c>
    </row>
    <row r="8" spans="1:41" x14ac:dyDescent="0.25">
      <c r="B8" s="410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09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-0.37618608611365645</v>
      </c>
      <c r="W8" s="143">
        <v>42436</v>
      </c>
      <c r="X8" s="12">
        <v>11.12</v>
      </c>
      <c r="Y8" s="12">
        <v>11.59</v>
      </c>
      <c r="Z8" s="12">
        <v>10.72</v>
      </c>
      <c r="AA8" s="12">
        <v>11.03</v>
      </c>
      <c r="AB8" s="105">
        <v>57377500</v>
      </c>
      <c r="AC8" s="12">
        <v>11.03</v>
      </c>
      <c r="AD8">
        <f t="shared" si="0"/>
        <v>0.86999999999999922</v>
      </c>
      <c r="AE8" s="148">
        <f t="shared" si="1"/>
        <v>2.7272727272726893E-3</v>
      </c>
    </row>
    <row r="9" spans="1:41" x14ac:dyDescent="0.25">
      <c r="B9" s="410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42433</v>
      </c>
      <c r="X9" s="12">
        <v>10.36</v>
      </c>
      <c r="Y9" s="12">
        <v>11.48</v>
      </c>
      <c r="Z9" s="12">
        <v>10.08</v>
      </c>
      <c r="AA9" s="12">
        <v>11</v>
      </c>
      <c r="AB9" s="105">
        <v>86914500</v>
      </c>
      <c r="AC9" s="12">
        <v>11</v>
      </c>
      <c r="AD9">
        <f t="shared" si="0"/>
        <v>1.4000000000000004</v>
      </c>
      <c r="AE9" s="148">
        <f t="shared" si="1"/>
        <v>0.10330992978936804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07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42432</v>
      </c>
      <c r="X10" s="12">
        <v>9.0299999999999994</v>
      </c>
      <c r="Y10" s="12">
        <v>10</v>
      </c>
      <c r="Z10" s="12">
        <v>8.9700000000000006</v>
      </c>
      <c r="AA10" s="12">
        <v>9.9700000000000006</v>
      </c>
      <c r="AB10" s="105">
        <v>65378700</v>
      </c>
      <c r="AC10" s="12">
        <v>9.9700000000000006</v>
      </c>
      <c r="AD10">
        <f t="shared" si="0"/>
        <v>1.0299999999999994</v>
      </c>
      <c r="AE10" s="148">
        <f t="shared" si="1"/>
        <v>9.5604395604395709E-2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07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42431</v>
      </c>
      <c r="X11" s="12">
        <v>7.94</v>
      </c>
      <c r="Y11" s="12">
        <v>9.15</v>
      </c>
      <c r="Z11" s="12">
        <v>7.9</v>
      </c>
      <c r="AA11" s="12">
        <v>9.1</v>
      </c>
      <c r="AB11" s="105">
        <v>74464900</v>
      </c>
      <c r="AC11" s="12">
        <v>9.1</v>
      </c>
      <c r="AD11">
        <f t="shared" si="0"/>
        <v>1.25</v>
      </c>
      <c r="AE11" s="148">
        <f t="shared" si="1"/>
        <v>0.14321608040200995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07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42430</v>
      </c>
      <c r="X12" s="12">
        <v>8.2100000000000009</v>
      </c>
      <c r="Y12" s="12">
        <v>8.2100000000000009</v>
      </c>
      <c r="Z12" s="12">
        <v>7.56</v>
      </c>
      <c r="AA12" s="12">
        <v>7.96</v>
      </c>
      <c r="AB12" s="105">
        <v>273901400</v>
      </c>
      <c r="AC12" s="12">
        <v>7.96</v>
      </c>
      <c r="AD12">
        <f t="shared" si="0"/>
        <v>0.65000000000000124</v>
      </c>
      <c r="AE12" s="148">
        <f t="shared" si="1"/>
        <v>-3.0450669914738215E-2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07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42429</v>
      </c>
      <c r="X13" s="12">
        <v>8.49</v>
      </c>
      <c r="Y13" s="12">
        <v>8.5299999999999994</v>
      </c>
      <c r="Z13" s="12">
        <v>7.97</v>
      </c>
      <c r="AA13" s="12">
        <v>8.2100000000000009</v>
      </c>
      <c r="AB13" s="105">
        <v>35635000</v>
      </c>
      <c r="AC13" s="12">
        <v>8.2100000000000009</v>
      </c>
      <c r="AD13">
        <f t="shared" si="0"/>
        <v>0.55999999999999961</v>
      </c>
      <c r="AE13" s="148">
        <f t="shared" si="1"/>
        <v>2.2415940224159492E-2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07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42426</v>
      </c>
      <c r="X14" s="12">
        <v>7.75</v>
      </c>
      <c r="Y14" s="12">
        <v>8.1999999999999993</v>
      </c>
      <c r="Z14" s="12">
        <v>7.59</v>
      </c>
      <c r="AA14" s="12">
        <v>8.0299999999999994</v>
      </c>
      <c r="AB14" s="105">
        <v>36394800</v>
      </c>
      <c r="AC14" s="12">
        <v>8.0299999999999994</v>
      </c>
      <c r="AD14">
        <f t="shared" si="0"/>
        <v>0.60999999999999943</v>
      </c>
      <c r="AE14" s="148">
        <f t="shared" si="1"/>
        <v>8.6603518267929669E-2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07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42425</v>
      </c>
      <c r="X15" s="12">
        <v>7.25</v>
      </c>
      <c r="Y15" s="12">
        <v>7.43</v>
      </c>
      <c r="Z15" s="12">
        <v>6.96</v>
      </c>
      <c r="AA15" s="12">
        <v>7.39</v>
      </c>
      <c r="AB15" s="105">
        <v>20673100</v>
      </c>
      <c r="AC15" s="12">
        <v>7.39</v>
      </c>
      <c r="AD15">
        <f>Y15-Z15</f>
        <v>0.46999999999999975</v>
      </c>
      <c r="AE15" s="148">
        <f>AC15/AC16-1</f>
        <v>2.3545706371191022E-2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07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42424</v>
      </c>
      <c r="X16" s="12">
        <v>6.75</v>
      </c>
      <c r="Y16" s="12">
        <v>7.25</v>
      </c>
      <c r="Z16" s="12">
        <v>6.66</v>
      </c>
      <c r="AA16" s="12">
        <v>7.22</v>
      </c>
      <c r="AB16" s="105">
        <v>18774000</v>
      </c>
      <c r="AC16" s="12">
        <v>7.22</v>
      </c>
      <c r="AD16">
        <f t="shared" ref="AD16:AD68" si="7">Y16-Z16</f>
        <v>0.58999999999999986</v>
      </c>
      <c r="AE16" s="148">
        <f t="shared" ref="AE16:AE67" si="8">AC16/AC17-1</f>
        <v>2.7027027027026973E-2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07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42423</v>
      </c>
      <c r="X17" s="12">
        <v>7.3</v>
      </c>
      <c r="Y17" s="12">
        <v>7.46</v>
      </c>
      <c r="Z17" s="12">
        <v>6.9</v>
      </c>
      <c r="AA17" s="12">
        <v>7.03</v>
      </c>
      <c r="AB17" s="105">
        <v>27981300</v>
      </c>
      <c r="AC17" s="12">
        <v>7.03</v>
      </c>
      <c r="AD17">
        <f t="shared" si="7"/>
        <v>0.55999999999999961</v>
      </c>
      <c r="AE17" s="148">
        <f t="shared" si="8"/>
        <v>-6.1415220293724926E-2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42422</v>
      </c>
      <c r="X18" s="12">
        <v>6.97</v>
      </c>
      <c r="Y18" s="12">
        <v>7.5</v>
      </c>
      <c r="Z18" s="12">
        <v>6.85</v>
      </c>
      <c r="AA18" s="12">
        <v>7.49</v>
      </c>
      <c r="AB18" s="105">
        <v>34528900</v>
      </c>
      <c r="AC18" s="12">
        <v>7.49</v>
      </c>
      <c r="AD18">
        <f t="shared" si="7"/>
        <v>0.65000000000000036</v>
      </c>
      <c r="AE18" s="148">
        <f t="shared" si="8"/>
        <v>0.11292719167904908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42419</v>
      </c>
      <c r="X19" s="12">
        <v>6.85</v>
      </c>
      <c r="Y19" s="12">
        <v>6.88</v>
      </c>
      <c r="Z19" s="12">
        <v>6.52</v>
      </c>
      <c r="AA19" s="12">
        <v>6.73</v>
      </c>
      <c r="AB19" s="105">
        <v>38595300</v>
      </c>
      <c r="AC19" s="12">
        <v>6.73</v>
      </c>
      <c r="AD19">
        <f t="shared" si="7"/>
        <v>0.36000000000000032</v>
      </c>
      <c r="AE19" s="148">
        <f t="shared" si="8"/>
        <v>-2.8860028860028808E-2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42418</v>
      </c>
      <c r="X20" s="12">
        <v>7.6</v>
      </c>
      <c r="Y20" s="12">
        <v>7.62</v>
      </c>
      <c r="Z20" s="12">
        <v>6.7</v>
      </c>
      <c r="AA20" s="12">
        <v>6.93</v>
      </c>
      <c r="AB20" s="105">
        <v>54821400</v>
      </c>
      <c r="AC20" s="12">
        <v>6.93</v>
      </c>
      <c r="AD20">
        <f t="shared" si="7"/>
        <v>0.91999999999999993</v>
      </c>
      <c r="AE20" s="148">
        <f t="shared" si="8"/>
        <v>-6.4777327935222728E-2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42417</v>
      </c>
      <c r="X21" s="12">
        <v>7.67</v>
      </c>
      <c r="Y21" s="12">
        <v>7.72</v>
      </c>
      <c r="Z21" s="12">
        <v>6.75</v>
      </c>
      <c r="AA21" s="12">
        <v>7.41</v>
      </c>
      <c r="AB21" s="105">
        <v>63298300</v>
      </c>
      <c r="AC21" s="12">
        <v>7.41</v>
      </c>
      <c r="AD21">
        <f t="shared" si="7"/>
        <v>0.96999999999999975</v>
      </c>
      <c r="AE21" s="148">
        <f t="shared" si="8"/>
        <v>1.3513513513512265E-3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42416</v>
      </c>
      <c r="X22" s="12">
        <v>7.76</v>
      </c>
      <c r="Y22" s="12">
        <v>7.84</v>
      </c>
      <c r="Z22" s="12">
        <v>7.18</v>
      </c>
      <c r="AA22" s="12">
        <v>7.4</v>
      </c>
      <c r="AB22" s="105">
        <v>22388300</v>
      </c>
      <c r="AC22" s="12">
        <v>7.4</v>
      </c>
      <c r="AD22">
        <f t="shared" si="7"/>
        <v>0.66000000000000014</v>
      </c>
      <c r="AE22" s="148">
        <f t="shared" si="8"/>
        <v>-1.2016021361815787E-2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42412</v>
      </c>
      <c r="X23" s="12">
        <v>7.22</v>
      </c>
      <c r="Y23" s="12">
        <v>7.66</v>
      </c>
      <c r="Z23" s="12">
        <v>7.05</v>
      </c>
      <c r="AA23" s="12">
        <v>7.49</v>
      </c>
      <c r="AB23" s="105">
        <v>30427700</v>
      </c>
      <c r="AC23" s="12">
        <v>7.49</v>
      </c>
      <c r="AD23">
        <f t="shared" si="7"/>
        <v>0.61000000000000032</v>
      </c>
      <c r="AE23" s="148" t="e">
        <f t="shared" si="8"/>
        <v>#DIV/0!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42412</v>
      </c>
      <c r="X24" s="12" t="s">
        <v>180</v>
      </c>
      <c r="Y24" s="12"/>
      <c r="Z24" s="12"/>
      <c r="AA24" s="12"/>
      <c r="AB24" s="105"/>
      <c r="AC24" s="12"/>
      <c r="AD24">
        <f t="shared" si="7"/>
        <v>0</v>
      </c>
      <c r="AE24" s="148">
        <f t="shared" si="8"/>
        <v>-1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42411</v>
      </c>
      <c r="X25" s="12">
        <v>6.92</v>
      </c>
      <c r="Y25" s="12">
        <v>7.3</v>
      </c>
      <c r="Z25" s="12">
        <v>6.52</v>
      </c>
      <c r="AA25" s="12">
        <v>7.06</v>
      </c>
      <c r="AB25" s="105">
        <v>36853000</v>
      </c>
      <c r="AC25" s="12">
        <v>7.01</v>
      </c>
      <c r="AD25">
        <f t="shared" si="7"/>
        <v>0.78000000000000025</v>
      </c>
      <c r="AE25" s="148">
        <f t="shared" si="8"/>
        <v>-9.8870056497175618E-3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42410</v>
      </c>
      <c r="X26" s="12">
        <v>7.23</v>
      </c>
      <c r="Y26" s="12">
        <v>7.62</v>
      </c>
      <c r="Z26" s="12">
        <v>7.01</v>
      </c>
      <c r="AA26" s="12">
        <v>7.13</v>
      </c>
      <c r="AB26" s="105">
        <v>21711900</v>
      </c>
      <c r="AC26" s="12">
        <v>7.08</v>
      </c>
      <c r="AD26">
        <f t="shared" si="7"/>
        <v>0.61000000000000032</v>
      </c>
      <c r="AE26" s="148">
        <f t="shared" si="8"/>
        <v>-2.2099447513812209E-2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42409</v>
      </c>
      <c r="X27" s="12">
        <v>7.63</v>
      </c>
      <c r="Y27" s="12">
        <v>7.71</v>
      </c>
      <c r="Z27" s="12">
        <v>7.03</v>
      </c>
      <c r="AA27" s="12">
        <v>7.29</v>
      </c>
      <c r="AB27" s="105">
        <v>24990000</v>
      </c>
      <c r="AC27" s="12">
        <v>7.24</v>
      </c>
      <c r="AD27">
        <f t="shared" si="7"/>
        <v>0.67999999999999972</v>
      </c>
      <c r="AE27" s="148">
        <f t="shared" si="8"/>
        <v>-6.7010309278350499E-2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42408</v>
      </c>
      <c r="X28" s="12">
        <v>8.26</v>
      </c>
      <c r="Y28" s="12">
        <v>8.4600000000000009</v>
      </c>
      <c r="Z28" s="12">
        <v>7.63</v>
      </c>
      <c r="AA28" s="12">
        <v>7.82</v>
      </c>
      <c r="AB28" s="105">
        <v>45568000</v>
      </c>
      <c r="AC28" s="12">
        <v>7.76</v>
      </c>
      <c r="AD28">
        <f t="shared" si="7"/>
        <v>0.83000000000000096</v>
      </c>
      <c r="AE28" s="148">
        <f t="shared" si="8"/>
        <v>-7.6190476190476253E-2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42405</v>
      </c>
      <c r="X29" s="12">
        <v>9.07</v>
      </c>
      <c r="Y29" s="12">
        <v>9.1</v>
      </c>
      <c r="Z29" s="12">
        <v>8.34</v>
      </c>
      <c r="AA29" s="12">
        <v>8.4600000000000009</v>
      </c>
      <c r="AB29" s="105">
        <v>29574000</v>
      </c>
      <c r="AC29" s="12">
        <v>8.4</v>
      </c>
      <c r="AD29">
        <f t="shared" si="7"/>
        <v>0.75999999999999979</v>
      </c>
      <c r="AE29" s="148">
        <f t="shared" si="8"/>
        <v>-7.8947368421052544E-2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42404</v>
      </c>
      <c r="X30" s="12">
        <v>9.5500000000000007</v>
      </c>
      <c r="Y30" s="12">
        <v>10.28</v>
      </c>
      <c r="Z30" s="12">
        <v>9.09</v>
      </c>
      <c r="AA30" s="12">
        <v>9.19</v>
      </c>
      <c r="AB30" s="105">
        <v>33500300</v>
      </c>
      <c r="AC30" s="12">
        <v>9.1199999999999992</v>
      </c>
      <c r="AD30">
        <f t="shared" si="7"/>
        <v>1.1899999999999995</v>
      </c>
      <c r="AE30" s="148">
        <f t="shared" si="8"/>
        <v>-2.4598930481283476E-2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42403</v>
      </c>
      <c r="X31" s="12">
        <v>9.02</v>
      </c>
      <c r="Y31" s="12">
        <v>9.43</v>
      </c>
      <c r="Z31" s="12">
        <v>8.44</v>
      </c>
      <c r="AA31" s="12">
        <v>9.42</v>
      </c>
      <c r="AB31" s="105">
        <v>23844300</v>
      </c>
      <c r="AC31" s="12">
        <v>9.35</v>
      </c>
      <c r="AD31">
        <f t="shared" si="7"/>
        <v>0.99000000000000021</v>
      </c>
      <c r="AE31" s="148">
        <f t="shared" si="8"/>
        <v>7.7188940092165925E-2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42402</v>
      </c>
      <c r="X32" s="12">
        <v>9.32</v>
      </c>
      <c r="Y32" s="12">
        <v>9.35</v>
      </c>
      <c r="Z32" s="12">
        <v>8.69</v>
      </c>
      <c r="AA32" s="12">
        <v>8.74</v>
      </c>
      <c r="AB32" s="105">
        <v>19959900</v>
      </c>
      <c r="AC32" s="12">
        <v>8.68</v>
      </c>
      <c r="AD32">
        <f t="shared" si="7"/>
        <v>0.66000000000000014</v>
      </c>
      <c r="AE32" s="148">
        <f t="shared" si="8"/>
        <v>-0.10237849017580147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42401</v>
      </c>
      <c r="X33" s="12">
        <v>9.3800000000000008</v>
      </c>
      <c r="Y33" s="12">
        <v>9.8000000000000007</v>
      </c>
      <c r="Z33" s="12">
        <v>9.2200000000000006</v>
      </c>
      <c r="AA33" s="12">
        <v>9.74</v>
      </c>
      <c r="AB33" s="105">
        <v>17658100</v>
      </c>
      <c r="AC33" s="12">
        <v>9.67</v>
      </c>
      <c r="AD33">
        <f t="shared" si="7"/>
        <v>0.58000000000000007</v>
      </c>
      <c r="AE33" s="148">
        <f t="shared" si="8"/>
        <v>1.0351966873705098E-3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42398</v>
      </c>
      <c r="X34" s="12">
        <v>9.2200000000000006</v>
      </c>
      <c r="Y34" s="12">
        <v>9.85</v>
      </c>
      <c r="Z34" s="12">
        <v>9.17</v>
      </c>
      <c r="AA34" s="12">
        <v>9.73</v>
      </c>
      <c r="AB34" s="105">
        <v>20678000</v>
      </c>
      <c r="AC34" s="12">
        <v>9.66</v>
      </c>
      <c r="AD34">
        <f t="shared" si="7"/>
        <v>0.67999999999999972</v>
      </c>
      <c r="AE34" s="148">
        <f t="shared" si="8"/>
        <v>6.0373216245883654E-2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42397</v>
      </c>
      <c r="X35" s="12">
        <v>9.34</v>
      </c>
      <c r="Y35" s="12">
        <v>9.5500000000000007</v>
      </c>
      <c r="Z35" s="12">
        <v>8.84</v>
      </c>
      <c r="AA35" s="12">
        <v>9.17</v>
      </c>
      <c r="AB35" s="105">
        <v>20994400</v>
      </c>
      <c r="AC35" s="12">
        <v>9.11</v>
      </c>
      <c r="AD35">
        <f t="shared" si="7"/>
        <v>0.71000000000000085</v>
      </c>
      <c r="AE35" s="148">
        <f t="shared" si="8"/>
        <v>4.833141542002295E-2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42396</v>
      </c>
      <c r="X36" s="12">
        <v>8.34</v>
      </c>
      <c r="Y36" s="12">
        <v>9.35</v>
      </c>
      <c r="Z36" s="12">
        <v>8.18</v>
      </c>
      <c r="AA36" s="12">
        <v>8.75</v>
      </c>
      <c r="AB36" s="105">
        <v>27289200</v>
      </c>
      <c r="AC36" s="12">
        <v>8.69</v>
      </c>
      <c r="AD36">
        <f t="shared" si="7"/>
        <v>1.17</v>
      </c>
      <c r="AE36" s="148">
        <f t="shared" si="8"/>
        <v>3.5756853396901045E-2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42395</v>
      </c>
      <c r="X37" s="12">
        <v>8.36</v>
      </c>
      <c r="Y37" s="12">
        <v>8.5</v>
      </c>
      <c r="Z37" s="12">
        <v>7.93</v>
      </c>
      <c r="AA37" s="12">
        <v>8.4499999999999993</v>
      </c>
      <c r="AB37" s="105">
        <v>16346000</v>
      </c>
      <c r="AC37" s="12">
        <v>8.39</v>
      </c>
      <c r="AD37">
        <f t="shared" si="7"/>
        <v>0.57000000000000028</v>
      </c>
      <c r="AE37" s="148">
        <f t="shared" si="8"/>
        <v>3.8366336633663511E-2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42394</v>
      </c>
      <c r="X38" s="12">
        <v>8.75</v>
      </c>
      <c r="Y38" s="12">
        <v>9.19</v>
      </c>
      <c r="Z38" s="12">
        <v>8.1199999999999992</v>
      </c>
      <c r="AA38" s="12">
        <v>8.14</v>
      </c>
      <c r="AB38" s="105">
        <v>19509600</v>
      </c>
      <c r="AC38" s="12">
        <v>8.08</v>
      </c>
      <c r="AD38">
        <f t="shared" si="7"/>
        <v>1.0700000000000003</v>
      </c>
      <c r="AE38" s="148">
        <f t="shared" si="8"/>
        <v>-9.8214285714285809E-2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42391</v>
      </c>
      <c r="X39" s="12">
        <v>10.19</v>
      </c>
      <c r="Y39" s="12">
        <v>10.63</v>
      </c>
      <c r="Z39" s="12">
        <v>8.64</v>
      </c>
      <c r="AA39" s="12">
        <v>9.02</v>
      </c>
      <c r="AB39" s="105">
        <v>38960100</v>
      </c>
      <c r="AC39" s="12">
        <v>8.9600000000000009</v>
      </c>
      <c r="AD39">
        <f t="shared" si="7"/>
        <v>1.9900000000000002</v>
      </c>
      <c r="AE39" s="148">
        <f t="shared" si="8"/>
        <v>2.6345933562428536E-2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42390</v>
      </c>
      <c r="X40" s="12">
        <v>7.75</v>
      </c>
      <c r="Y40" s="12">
        <v>8.89</v>
      </c>
      <c r="Z40" s="12">
        <v>7.72</v>
      </c>
      <c r="AA40" s="12">
        <v>8.7899999999999991</v>
      </c>
      <c r="AB40" s="105">
        <v>37173900</v>
      </c>
      <c r="AC40" s="12">
        <v>8.73</v>
      </c>
      <c r="AD40">
        <f t="shared" si="7"/>
        <v>1.1700000000000008</v>
      </c>
      <c r="AE40" s="148">
        <f t="shared" si="8"/>
        <v>0.11923076923076925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8" t="s">
        <v>78</v>
      </c>
      <c r="P41" s="408"/>
      <c r="W41" s="143">
        <v>42389</v>
      </c>
      <c r="X41" s="12">
        <v>7.34</v>
      </c>
      <c r="Y41" s="12">
        <v>8.0399999999999991</v>
      </c>
      <c r="Z41" s="12">
        <v>7.08</v>
      </c>
      <c r="AA41" s="12">
        <v>7.86</v>
      </c>
      <c r="AB41" s="105">
        <v>45468000</v>
      </c>
      <c r="AC41" s="12">
        <v>7.8</v>
      </c>
      <c r="AD41">
        <f t="shared" si="7"/>
        <v>0.95999999999999908</v>
      </c>
      <c r="AE41" s="148">
        <f t="shared" si="8"/>
        <v>2.2280471821756187E-2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06" t="s">
        <v>261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14.054399999999999</v>
      </c>
      <c r="W42" s="143">
        <v>42388</v>
      </c>
      <c r="X42" s="12">
        <v>8.2100000000000009</v>
      </c>
      <c r="Y42" s="12">
        <v>8.26</v>
      </c>
      <c r="Z42" s="12">
        <v>7.49</v>
      </c>
      <c r="AA42" s="12">
        <v>7.68</v>
      </c>
      <c r="AB42" s="105">
        <v>29537200</v>
      </c>
      <c r="AC42" s="12">
        <v>7.63</v>
      </c>
      <c r="AD42">
        <f t="shared" si="7"/>
        <v>0.76999999999999957</v>
      </c>
      <c r="AE42" s="148">
        <f t="shared" si="8"/>
        <v>-5.5693069306930743E-2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06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13.9392</v>
      </c>
      <c r="W43" s="143">
        <v>42384</v>
      </c>
      <c r="X43" s="12">
        <v>8.14</v>
      </c>
      <c r="Y43" s="12">
        <v>8.3699999999999992</v>
      </c>
      <c r="Z43" s="12">
        <v>7.71</v>
      </c>
      <c r="AA43" s="12">
        <v>8.14</v>
      </c>
      <c r="AB43" s="105">
        <v>39565500</v>
      </c>
      <c r="AC43" s="12">
        <v>8.08</v>
      </c>
      <c r="AD43">
        <f t="shared" si="7"/>
        <v>0.65999999999999925</v>
      </c>
      <c r="AE43" s="148">
        <f t="shared" si="8"/>
        <v>-0.10321864594894559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06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13.824</v>
      </c>
      <c r="W44" s="143">
        <v>42383</v>
      </c>
      <c r="X44" s="12">
        <v>8.6999999999999993</v>
      </c>
      <c r="Y44" s="12">
        <v>9.24</v>
      </c>
      <c r="Z44" s="12">
        <v>8.36</v>
      </c>
      <c r="AA44" s="12">
        <v>9.07</v>
      </c>
      <c r="AB44" s="105">
        <v>33825800</v>
      </c>
      <c r="AC44" s="12">
        <v>9.01</v>
      </c>
      <c r="AD44">
        <f t="shared" si="7"/>
        <v>0.88000000000000078</v>
      </c>
      <c r="AE44" s="148">
        <f t="shared" si="8"/>
        <v>6.25E-2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06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13.708799999999998</v>
      </c>
      <c r="W45" s="143">
        <v>42382</v>
      </c>
      <c r="X45" s="12">
        <v>9.4</v>
      </c>
      <c r="Y45" s="12">
        <v>9.64</v>
      </c>
      <c r="Z45" s="12">
        <v>8.44</v>
      </c>
      <c r="AA45" s="12">
        <v>8.5399999999999991</v>
      </c>
      <c r="AB45" s="105">
        <v>26857700</v>
      </c>
      <c r="AC45" s="12">
        <v>8.48</v>
      </c>
      <c r="AD45">
        <f t="shared" si="7"/>
        <v>1.2000000000000011</v>
      </c>
      <c r="AE45" s="148">
        <f t="shared" si="8"/>
        <v>-7.0175438596491113E-2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13.593599999999999</v>
      </c>
      <c r="W46" s="143">
        <v>42381</v>
      </c>
      <c r="X46" s="12">
        <v>9.6999999999999993</v>
      </c>
      <c r="Y46" s="12">
        <v>9.76</v>
      </c>
      <c r="Z46" s="12">
        <v>8.7100000000000009</v>
      </c>
      <c r="AA46" s="12">
        <v>9.19</v>
      </c>
      <c r="AB46" s="105">
        <v>25506000</v>
      </c>
      <c r="AC46" s="12">
        <v>9.1199999999999992</v>
      </c>
      <c r="AD46">
        <f t="shared" si="7"/>
        <v>1.0499999999999989</v>
      </c>
      <c r="AE46" s="148">
        <f t="shared" si="8"/>
        <v>-4.5026178010471374E-2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13.478399999999999</v>
      </c>
      <c r="W47" s="143">
        <v>42380</v>
      </c>
      <c r="X47" s="12">
        <v>10.4</v>
      </c>
      <c r="Y47" s="12">
        <v>10.41</v>
      </c>
      <c r="Z47" s="12">
        <v>9.3699999999999992</v>
      </c>
      <c r="AA47" s="12">
        <v>9.6199999999999992</v>
      </c>
      <c r="AB47" s="105">
        <v>22275300</v>
      </c>
      <c r="AC47" s="12">
        <v>9.5500000000000007</v>
      </c>
      <c r="AD47">
        <f t="shared" si="7"/>
        <v>1.0400000000000009</v>
      </c>
      <c r="AE47" s="148">
        <f t="shared" si="8"/>
        <v>-7.1011673151750832E-2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13.363199999999999</v>
      </c>
      <c r="W48" s="143">
        <v>42377</v>
      </c>
      <c r="X48" s="12">
        <v>10.78</v>
      </c>
      <c r="Y48" s="12">
        <v>10.91</v>
      </c>
      <c r="Z48" s="12">
        <v>9.86</v>
      </c>
      <c r="AA48" s="12">
        <v>10.35</v>
      </c>
      <c r="AB48" s="105">
        <v>34056400</v>
      </c>
      <c r="AC48" s="12">
        <v>10.28</v>
      </c>
      <c r="AD48">
        <f t="shared" si="7"/>
        <v>1.0500000000000007</v>
      </c>
      <c r="AE48" s="148">
        <f t="shared" si="8"/>
        <v>-2.9272898961284266E-2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13.247999999999999</v>
      </c>
      <c r="W49" s="143">
        <v>42376</v>
      </c>
      <c r="X49" s="12">
        <v>10.83</v>
      </c>
      <c r="Y49" s="12">
        <v>11.18</v>
      </c>
      <c r="Z49" s="12">
        <v>10.55</v>
      </c>
      <c r="AA49" s="12">
        <v>10.67</v>
      </c>
      <c r="AB49" s="105">
        <v>20172900</v>
      </c>
      <c r="AC49" s="12">
        <v>10.59</v>
      </c>
      <c r="AD49">
        <f t="shared" si="7"/>
        <v>0.62999999999999901</v>
      </c>
      <c r="AE49" s="148">
        <f t="shared" si="8"/>
        <v>-5.4464285714285632E-2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13.132799999999998</v>
      </c>
      <c r="T50" s="144" t="s">
        <v>94</v>
      </c>
      <c r="W50" s="143">
        <v>42375</v>
      </c>
      <c r="X50" s="12">
        <v>12.25</v>
      </c>
      <c r="Y50" s="12">
        <v>12.27</v>
      </c>
      <c r="Z50" s="12">
        <v>11.14</v>
      </c>
      <c r="AA50" s="12">
        <v>11.28</v>
      </c>
      <c r="AB50" s="105">
        <v>15837500</v>
      </c>
      <c r="AC50" s="12">
        <v>11.2</v>
      </c>
      <c r="AD50">
        <f t="shared" si="7"/>
        <v>1.129999999999999</v>
      </c>
      <c r="AE50" s="148">
        <f t="shared" si="8"/>
        <v>-0.11602209944751385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13.017599999999998</v>
      </c>
      <c r="T51" s="145" t="s">
        <v>101</v>
      </c>
      <c r="U51" s="139">
        <v>11.09</v>
      </c>
      <c r="W51" s="143">
        <v>42374</v>
      </c>
      <c r="X51" s="12">
        <v>12.79</v>
      </c>
      <c r="Y51" s="12">
        <v>12.86</v>
      </c>
      <c r="Z51" s="12">
        <v>12.33</v>
      </c>
      <c r="AA51" s="12">
        <v>12.76</v>
      </c>
      <c r="AB51" s="105">
        <v>9777000</v>
      </c>
      <c r="AC51" s="12">
        <v>12.67</v>
      </c>
      <c r="AD51">
        <f t="shared" si="7"/>
        <v>0.52999999999999936</v>
      </c>
      <c r="AE51" s="148">
        <f t="shared" si="8"/>
        <v>-4.7132757266300507E-3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12.9024</v>
      </c>
      <c r="T52" s="146" t="s">
        <v>102</v>
      </c>
      <c r="U52" s="140">
        <v>10.85</v>
      </c>
      <c r="W52" s="143">
        <v>42373</v>
      </c>
      <c r="X52" s="12">
        <v>12.56</v>
      </c>
      <c r="Y52" s="12">
        <v>13</v>
      </c>
      <c r="Z52" s="12">
        <v>12.38</v>
      </c>
      <c r="AA52" s="12">
        <v>12.82</v>
      </c>
      <c r="AB52" s="105">
        <v>12667600</v>
      </c>
      <c r="AC52" s="12">
        <v>12.73</v>
      </c>
      <c r="AD52">
        <f t="shared" si="7"/>
        <v>0.61999999999999922</v>
      </c>
      <c r="AE52" s="148">
        <f t="shared" si="8"/>
        <v>1.8399999999999972E-2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07" t="s">
        <v>267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12.7872</v>
      </c>
      <c r="T53" s="146" t="s">
        <v>103</v>
      </c>
      <c r="U53" s="140" t="s">
        <v>403</v>
      </c>
      <c r="W53" s="143">
        <v>42369</v>
      </c>
      <c r="X53" s="12">
        <v>12.33</v>
      </c>
      <c r="Y53" s="12">
        <v>12.66</v>
      </c>
      <c r="Z53" s="12">
        <v>12.22</v>
      </c>
      <c r="AA53" s="12">
        <v>12.59</v>
      </c>
      <c r="AB53" s="105">
        <v>10141000</v>
      </c>
      <c r="AC53" s="12">
        <v>12.5</v>
      </c>
      <c r="AD53">
        <f t="shared" si="7"/>
        <v>0.4399999999999995</v>
      </c>
      <c r="AE53" s="148">
        <f t="shared" si="8"/>
        <v>1.7087062652563212E-2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07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12.672000000000001</v>
      </c>
      <c r="T54" s="146" t="s">
        <v>104</v>
      </c>
      <c r="U54" s="140" t="s">
        <v>404</v>
      </c>
      <c r="W54" s="143">
        <v>42368</v>
      </c>
      <c r="X54" s="12">
        <v>12.73</v>
      </c>
      <c r="Y54" s="12">
        <v>13.07</v>
      </c>
      <c r="Z54" s="12">
        <v>12.35</v>
      </c>
      <c r="AA54" s="12">
        <v>12.38</v>
      </c>
      <c r="AB54" s="105">
        <v>9897900</v>
      </c>
      <c r="AC54" s="12">
        <v>12.29</v>
      </c>
      <c r="AD54">
        <f t="shared" si="7"/>
        <v>0.72000000000000064</v>
      </c>
      <c r="AE54" s="148">
        <f t="shared" si="8"/>
        <v>-5.0231839258114364E-2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07"/>
      <c r="H55" s="92">
        <v>500</v>
      </c>
      <c r="I55" s="89">
        <v>8.81</v>
      </c>
      <c r="J55" s="47">
        <v>0.1</v>
      </c>
      <c r="K55" s="47">
        <f>H55*I55-J55</f>
        <v>4404.8999999999996</v>
      </c>
      <c r="O55" s="93">
        <v>1.0900000000000001</v>
      </c>
      <c r="P55" s="93">
        <f t="shared" ref="P55:P74" si="15">O55*$Q$4</f>
        <v>12.556800000000001</v>
      </c>
      <c r="T55" s="146" t="s">
        <v>105</v>
      </c>
      <c r="U55" s="140">
        <v>13.58</v>
      </c>
      <c r="W55" s="143">
        <v>42367</v>
      </c>
      <c r="X55" s="12">
        <v>13.35</v>
      </c>
      <c r="Y55" s="12">
        <v>13.44</v>
      </c>
      <c r="Z55" s="12">
        <v>12.76</v>
      </c>
      <c r="AA55" s="12">
        <v>13.03</v>
      </c>
      <c r="AB55" s="105">
        <v>8141900</v>
      </c>
      <c r="AC55" s="12">
        <v>12.94</v>
      </c>
      <c r="AD55">
        <f t="shared" si="7"/>
        <v>0.67999999999999972</v>
      </c>
      <c r="AE55" s="148">
        <f t="shared" si="8"/>
        <v>3.8789759503490284E-3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>H56*I56-J56</f>
        <v>5789.87</v>
      </c>
      <c r="O56" s="93">
        <v>1.08</v>
      </c>
      <c r="P56" s="93">
        <f t="shared" si="15"/>
        <v>12.441600000000001</v>
      </c>
      <c r="T56" s="146" t="s">
        <v>106</v>
      </c>
      <c r="U56" s="140">
        <v>1.9835400000000001</v>
      </c>
      <c r="W56" s="143">
        <v>42366</v>
      </c>
      <c r="X56" s="12">
        <v>13.53</v>
      </c>
      <c r="Y56" s="12">
        <v>13.57</v>
      </c>
      <c r="Z56" s="12">
        <v>12.82</v>
      </c>
      <c r="AA56" s="12">
        <v>12.98</v>
      </c>
      <c r="AB56" s="105">
        <v>9519500</v>
      </c>
      <c r="AC56" s="12">
        <v>12.89</v>
      </c>
      <c r="AD56">
        <f t="shared" si="7"/>
        <v>0.75</v>
      </c>
      <c r="AE56" s="148">
        <f t="shared" si="8"/>
        <v>-6.7968185104844481E-2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83">
        <v>600</v>
      </c>
      <c r="I57" s="296">
        <v>10.45</v>
      </c>
      <c r="J57" s="17">
        <v>0.14000000000000001</v>
      </c>
      <c r="K57" s="17">
        <f>H57*I57-J57</f>
        <v>6269.86</v>
      </c>
      <c r="O57" s="93">
        <v>1.07</v>
      </c>
      <c r="P57" s="93">
        <f t="shared" si="15"/>
        <v>12.3264</v>
      </c>
      <c r="T57" s="146" t="s">
        <v>126</v>
      </c>
      <c r="U57" s="140" t="s">
        <v>254</v>
      </c>
      <c r="W57" s="143">
        <v>42362</v>
      </c>
      <c r="X57" s="12">
        <v>13.98</v>
      </c>
      <c r="Y57" s="12">
        <v>14.11</v>
      </c>
      <c r="Z57" s="12">
        <v>13.59</v>
      </c>
      <c r="AA57" s="12">
        <v>13.93</v>
      </c>
      <c r="AB57" s="105">
        <v>5709500</v>
      </c>
      <c r="AC57" s="12">
        <v>13.83</v>
      </c>
      <c r="AD57">
        <f t="shared" si="7"/>
        <v>0.51999999999999957</v>
      </c>
      <c r="AE57" s="148">
        <f t="shared" si="8"/>
        <v>-2.1645021645021467E-3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83">
        <v>400</v>
      </c>
      <c r="I58" s="296">
        <v>11.25</v>
      </c>
      <c r="J58" s="17">
        <v>0.1</v>
      </c>
      <c r="K58" s="17">
        <f>H58*I58-J58</f>
        <v>4499.8999999999996</v>
      </c>
      <c r="O58" s="93">
        <v>1.06</v>
      </c>
      <c r="P58" s="93">
        <f t="shared" si="15"/>
        <v>12.2112</v>
      </c>
      <c r="T58" s="146"/>
      <c r="U58" s="140"/>
      <c r="W58" s="143">
        <v>42361</v>
      </c>
      <c r="X58" s="12">
        <v>13.07</v>
      </c>
      <c r="Y58" s="12">
        <v>13.97</v>
      </c>
      <c r="Z58" s="12">
        <v>12.99</v>
      </c>
      <c r="AA58" s="12">
        <v>13.96</v>
      </c>
      <c r="AB58" s="105">
        <v>14590100</v>
      </c>
      <c r="AC58" s="12">
        <v>13.86</v>
      </c>
      <c r="AD58">
        <f t="shared" si="7"/>
        <v>0.98000000000000043</v>
      </c>
      <c r="AE58" s="148">
        <f t="shared" si="8"/>
        <v>0.10000000000000009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H59" s="81">
        <v>1100</v>
      </c>
      <c r="I59" s="90">
        <v>12.1</v>
      </c>
      <c r="J59" s="2">
        <v>0</v>
      </c>
      <c r="K59" s="2">
        <f>H59*I59-J59</f>
        <v>13310</v>
      </c>
      <c r="O59" s="93">
        <v>1.05</v>
      </c>
      <c r="P59" s="93">
        <f t="shared" si="15"/>
        <v>12.096</v>
      </c>
      <c r="T59" s="146" t="s">
        <v>108</v>
      </c>
      <c r="U59" s="140" t="s">
        <v>286</v>
      </c>
      <c r="W59" s="143">
        <v>42360</v>
      </c>
      <c r="X59" s="12">
        <v>12.54</v>
      </c>
      <c r="Y59" s="12">
        <v>12.88</v>
      </c>
      <c r="Z59" s="12">
        <v>12.45</v>
      </c>
      <c r="AA59" s="12">
        <v>12.69</v>
      </c>
      <c r="AB59" s="105">
        <v>9509700</v>
      </c>
      <c r="AC59" s="12">
        <v>12.6</v>
      </c>
      <c r="AD59">
        <f t="shared" si="7"/>
        <v>0.43000000000000149</v>
      </c>
      <c r="AE59" s="148">
        <f t="shared" si="8"/>
        <v>1.3676588897827857E-2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11.9808</v>
      </c>
      <c r="T60" s="146" t="s">
        <v>109</v>
      </c>
      <c r="U60" s="140" t="s">
        <v>240</v>
      </c>
      <c r="W60" s="143">
        <v>42359</v>
      </c>
      <c r="X60" s="12">
        <v>12.54</v>
      </c>
      <c r="Y60" s="12">
        <v>12.77</v>
      </c>
      <c r="Z60" s="12">
        <v>12.11</v>
      </c>
      <c r="AA60" s="12">
        <v>12.52</v>
      </c>
      <c r="AB60" s="105">
        <v>13683700</v>
      </c>
      <c r="AC60" s="12">
        <v>12.43</v>
      </c>
      <c r="AD60">
        <f t="shared" si="7"/>
        <v>0.66000000000000014</v>
      </c>
      <c r="AE60" s="148">
        <f t="shared" si="8"/>
        <v>4.0387722132471104E-3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11.865600000000001</v>
      </c>
      <c r="T61" s="146" t="s">
        <v>110</v>
      </c>
      <c r="U61" s="141">
        <v>23912140</v>
      </c>
      <c r="W61" s="143">
        <v>42356</v>
      </c>
      <c r="X61" s="12">
        <v>12.78</v>
      </c>
      <c r="Y61" s="12">
        <v>12.99</v>
      </c>
      <c r="Z61" s="12">
        <v>12.4</v>
      </c>
      <c r="AA61" s="12">
        <v>12.47</v>
      </c>
      <c r="AB61" s="105">
        <v>27418600</v>
      </c>
      <c r="AC61" s="12">
        <v>12.38</v>
      </c>
      <c r="AD61">
        <f t="shared" si="7"/>
        <v>0.58999999999999986</v>
      </c>
      <c r="AE61" s="148">
        <f t="shared" si="8"/>
        <v>-2.4428684003152012E-2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11.750399999999999</v>
      </c>
      <c r="T62" s="146" t="s">
        <v>113</v>
      </c>
      <c r="U62" s="141">
        <v>33178200</v>
      </c>
      <c r="W62" s="143">
        <v>42355</v>
      </c>
      <c r="X62" s="12">
        <v>13.79</v>
      </c>
      <c r="Y62" s="12">
        <v>13.97</v>
      </c>
      <c r="Z62" s="12">
        <v>12.65</v>
      </c>
      <c r="AA62" s="12">
        <v>12.78</v>
      </c>
      <c r="AB62" s="105">
        <v>18589200</v>
      </c>
      <c r="AC62" s="12">
        <v>12.69</v>
      </c>
      <c r="AD62">
        <f t="shared" si="7"/>
        <v>1.3200000000000003</v>
      </c>
      <c r="AE62" s="148">
        <f t="shared" si="8"/>
        <v>-7.2368421052631637E-2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11.635199999999999</v>
      </c>
      <c r="T63" s="146" t="s">
        <v>111</v>
      </c>
      <c r="U63" s="140" t="s">
        <v>287</v>
      </c>
      <c r="W63" s="143">
        <v>42354</v>
      </c>
      <c r="X63" s="12">
        <v>14.47</v>
      </c>
      <c r="Y63" s="12">
        <v>14.48</v>
      </c>
      <c r="Z63" s="12">
        <v>13.48</v>
      </c>
      <c r="AA63" s="12">
        <v>13.78</v>
      </c>
      <c r="AB63" s="105">
        <v>15943200</v>
      </c>
      <c r="AC63" s="12">
        <v>13.68</v>
      </c>
      <c r="AD63">
        <f t="shared" si="7"/>
        <v>1</v>
      </c>
      <c r="AE63" s="148">
        <f t="shared" si="8"/>
        <v>-4.7353760445682402E-2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11.52</v>
      </c>
      <c r="T64" s="146" t="s">
        <v>114</v>
      </c>
      <c r="U64" s="140" t="s">
        <v>134</v>
      </c>
      <c r="W64" s="143">
        <v>42353</v>
      </c>
      <c r="X64" s="12">
        <v>14.27</v>
      </c>
      <c r="Y64" s="12">
        <v>14.5</v>
      </c>
      <c r="Z64" s="12">
        <v>13.93</v>
      </c>
      <c r="AA64" s="12">
        <v>14.46</v>
      </c>
      <c r="AB64" s="105">
        <v>12914000</v>
      </c>
      <c r="AC64" s="12">
        <v>14.36</v>
      </c>
      <c r="AD64">
        <f t="shared" si="7"/>
        <v>0.57000000000000028</v>
      </c>
      <c r="AE64" s="148">
        <f t="shared" si="8"/>
        <v>3.6075036075036149E-2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11.4048</v>
      </c>
      <c r="T65" s="146" t="s">
        <v>115</v>
      </c>
      <c r="U65" s="140">
        <v>-3.26</v>
      </c>
      <c r="W65" s="143">
        <v>42352</v>
      </c>
      <c r="X65" s="12">
        <v>14.16</v>
      </c>
      <c r="Y65" s="12">
        <v>14.23</v>
      </c>
      <c r="Z65" s="12">
        <v>13.41</v>
      </c>
      <c r="AA65" s="12">
        <v>13.96</v>
      </c>
      <c r="AB65" s="105">
        <v>14612600</v>
      </c>
      <c r="AC65" s="12">
        <v>13.86</v>
      </c>
      <c r="AD65">
        <f t="shared" si="7"/>
        <v>0.82000000000000028</v>
      </c>
      <c r="AE65" s="148">
        <f t="shared" si="8"/>
        <v>-2.6685393258427004E-2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11.2896</v>
      </c>
      <c r="T66" s="146" t="s">
        <v>112</v>
      </c>
      <c r="U66" s="140" t="s">
        <v>288</v>
      </c>
      <c r="W66" s="143">
        <v>42349</v>
      </c>
      <c r="X66" s="12">
        <v>14.38</v>
      </c>
      <c r="Y66" s="12">
        <v>14.5</v>
      </c>
      <c r="Z66" s="12">
        <v>14.1</v>
      </c>
      <c r="AA66" s="12">
        <v>14.34</v>
      </c>
      <c r="AB66" s="105">
        <v>11234100</v>
      </c>
      <c r="AC66" s="12">
        <v>14.24</v>
      </c>
      <c r="AD66">
        <f t="shared" si="7"/>
        <v>0.40000000000000036</v>
      </c>
      <c r="AE66" s="148">
        <f t="shared" si="8"/>
        <v>-2.732240437158473E-2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11.174399999999999</v>
      </c>
      <c r="W67" s="143">
        <v>42348</v>
      </c>
      <c r="X67" s="12">
        <v>14.43</v>
      </c>
      <c r="Y67" s="12">
        <v>14.96</v>
      </c>
      <c r="Z67" s="12">
        <v>14.26</v>
      </c>
      <c r="AA67" s="12">
        <v>14.74</v>
      </c>
      <c r="AB67" s="105">
        <v>10257700</v>
      </c>
      <c r="AC67" s="12">
        <v>14.64</v>
      </c>
      <c r="AD67">
        <f t="shared" si="7"/>
        <v>0.70000000000000107</v>
      </c>
      <c r="AE67" s="148">
        <f t="shared" si="8"/>
        <v>1.6666666666666607E-2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11.059199999999999</v>
      </c>
      <c r="W68" s="143">
        <v>42347</v>
      </c>
      <c r="X68" s="12">
        <v>14.89</v>
      </c>
      <c r="Y68" s="12">
        <v>15.44</v>
      </c>
      <c r="Z68" s="12">
        <v>14.41</v>
      </c>
      <c r="AA68" s="12">
        <v>14.5</v>
      </c>
      <c r="AB68" s="105">
        <v>15728700</v>
      </c>
      <c r="AC68" s="12">
        <v>14.4</v>
      </c>
      <c r="AD68">
        <f t="shared" si="7"/>
        <v>1.0299999999999994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10.943999999999999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10.828799999999999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10.7136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10.5984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10.4832</v>
      </c>
    </row>
    <row r="74" spans="1:31" ht="15" customHeight="1" x14ac:dyDescent="0.25">
      <c r="B74" s="406" t="s">
        <v>252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10.368</v>
      </c>
    </row>
    <row r="75" spans="1:31" x14ac:dyDescent="0.25">
      <c r="B75" s="406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10.252800000000001</v>
      </c>
    </row>
    <row r="76" spans="1:31" x14ac:dyDescent="0.25">
      <c r="B76" s="406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10.137599999999999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10.022399999999999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9.9071999999999996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9.7919999999999998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1:13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1:13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1:13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1:13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1:13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8"/>
        <v>5328.0000000000009</v>
      </c>
    </row>
    <row r="86" spans="1:13" x14ac:dyDescent="0.25">
      <c r="B86" s="1">
        <v>42433</v>
      </c>
      <c r="C86" s="8">
        <v>600</v>
      </c>
      <c r="D86" s="296">
        <v>10.42</v>
      </c>
      <c r="E86" s="17">
        <v>0</v>
      </c>
      <c r="F86" s="17">
        <f>C86*D86+E86</f>
        <v>6252</v>
      </c>
      <c r="G86" s="4"/>
    </row>
    <row r="87" spans="1:13" x14ac:dyDescent="0.25">
      <c r="B87" s="1">
        <v>42440</v>
      </c>
      <c r="C87" s="8">
        <v>400</v>
      </c>
      <c r="D87" s="296">
        <v>11.12</v>
      </c>
      <c r="E87" s="17">
        <v>0</v>
      </c>
      <c r="F87" s="17">
        <f>C87*D87+E87</f>
        <v>4448</v>
      </c>
    </row>
    <row r="88" spans="1:13" x14ac:dyDescent="0.25">
      <c r="C88" s="4"/>
    </row>
    <row r="91" spans="1:13" x14ac:dyDescent="0.25">
      <c r="A91" s="35" t="s">
        <v>81</v>
      </c>
      <c r="B91" s="16"/>
      <c r="C91" s="82">
        <f t="shared" ref="C91" si="19">SUM(C2:C90)</f>
        <v>59286</v>
      </c>
      <c r="D91" s="21"/>
      <c r="E91" s="21"/>
      <c r="F91" s="21">
        <f>SUM(F2:F90)</f>
        <v>875576.0290000001</v>
      </c>
      <c r="G91" s="16"/>
      <c r="H91" s="82">
        <f>SUM(H2:H70)</f>
        <v>51108</v>
      </c>
      <c r="I91" s="91"/>
      <c r="J91" s="21"/>
      <c r="K91" s="21">
        <f>SUM(K2:K71)</f>
        <v>723218.13000000059</v>
      </c>
      <c r="L91" s="16"/>
      <c r="M91" s="21">
        <f>SUM(M2:M12)</f>
        <v>1334.4</v>
      </c>
    </row>
    <row r="94" spans="1:13" x14ac:dyDescent="0.25">
      <c r="B94" s="209" t="s">
        <v>117</v>
      </c>
      <c r="C94" s="209" t="s">
        <v>170</v>
      </c>
      <c r="D94" s="219" t="s">
        <v>169</v>
      </c>
      <c r="E94" s="212" t="s">
        <v>171</v>
      </c>
      <c r="F94" s="213" t="s">
        <v>65</v>
      </c>
      <c r="G94" s="253" t="s">
        <v>175</v>
      </c>
      <c r="H94" s="213" t="s">
        <v>90</v>
      </c>
      <c r="I94" s="253" t="s">
        <v>183</v>
      </c>
    </row>
    <row r="95" spans="1:13" x14ac:dyDescent="0.25">
      <c r="B95" s="211">
        <v>42305</v>
      </c>
      <c r="C95" s="12">
        <v>2000</v>
      </c>
      <c r="D95" s="275">
        <v>34.06</v>
      </c>
      <c r="E95" s="43">
        <v>17.68</v>
      </c>
      <c r="F95" s="43">
        <v>-32767.45</v>
      </c>
      <c r="G95" s="43">
        <f>IF(C95=0, 0,D95*C95)</f>
        <v>68120</v>
      </c>
      <c r="H95" s="261">
        <f>IF(C95=0, D95, (E95-D95)/D95)</f>
        <v>-0.48091603053435117</v>
      </c>
      <c r="I95" s="43"/>
    </row>
    <row r="96" spans="1:13" x14ac:dyDescent="0.25">
      <c r="B96" s="211">
        <v>42307</v>
      </c>
      <c r="C96" s="12">
        <v>0</v>
      </c>
      <c r="D96" s="275" t="s">
        <v>134</v>
      </c>
      <c r="E96" s="43">
        <v>17.55</v>
      </c>
      <c r="F96" s="43">
        <v>-30722.2</v>
      </c>
      <c r="G96" s="43">
        <f>IF(C96=0, 0,D96*C96)</f>
        <v>0</v>
      </c>
      <c r="H96" s="261" t="str">
        <f>IF(C96=0, D96, (E96-D96)/D96)</f>
        <v>N/A</v>
      </c>
      <c r="I96" s="43"/>
    </row>
    <row r="97" spans="2:9" x14ac:dyDescent="0.25">
      <c r="B97" s="211">
        <v>42310</v>
      </c>
      <c r="C97" s="12">
        <v>0</v>
      </c>
      <c r="D97" s="275" t="s">
        <v>134</v>
      </c>
      <c r="E97" s="43">
        <v>19.010000000000002</v>
      </c>
      <c r="F97" s="43">
        <v>-30693.25</v>
      </c>
      <c r="G97" s="43">
        <f>IF(C97=0, 0,D97*C97)</f>
        <v>0</v>
      </c>
      <c r="H97" s="261" t="str">
        <f>IF(C97=0, D97, (E97-D97)/D97)</f>
        <v>N/A</v>
      </c>
      <c r="I97" s="43"/>
    </row>
    <row r="98" spans="2:9" x14ac:dyDescent="0.25">
      <c r="B98" s="211">
        <v>42314</v>
      </c>
      <c r="C98" s="12">
        <v>2500</v>
      </c>
      <c r="D98" s="275">
        <v>30.24</v>
      </c>
      <c r="E98" s="43">
        <v>18.29</v>
      </c>
      <c r="F98" s="43">
        <v>-29878.25</v>
      </c>
      <c r="G98" s="43">
        <f t="shared" ref="G98:G135" si="20">IF(C98=0, 0,D98*C98)</f>
        <v>75600</v>
      </c>
      <c r="H98" s="261">
        <f t="shared" ref="H98:H135" si="21">IF(C98=0, D98, (E98-D98)/D98)</f>
        <v>-0.39517195767195767</v>
      </c>
      <c r="I98" s="43"/>
    </row>
    <row r="99" spans="2:9" x14ac:dyDescent="0.25">
      <c r="B99" s="211">
        <v>42318</v>
      </c>
      <c r="C99" s="12">
        <v>0</v>
      </c>
      <c r="D99" s="275" t="s">
        <v>134</v>
      </c>
      <c r="E99" s="43">
        <v>18.78</v>
      </c>
      <c r="F99" s="43">
        <v>-28604.09</v>
      </c>
      <c r="G99" s="43">
        <f t="shared" si="20"/>
        <v>0</v>
      </c>
      <c r="H99" s="261" t="str">
        <f t="shared" si="21"/>
        <v>N/A</v>
      </c>
      <c r="I99" s="43"/>
    </row>
    <row r="100" spans="2:9" x14ac:dyDescent="0.25">
      <c r="B100" s="211">
        <v>42328</v>
      </c>
      <c r="C100" s="12">
        <v>3078</v>
      </c>
      <c r="D100" s="275">
        <v>26.76</v>
      </c>
      <c r="E100" s="43">
        <v>17.440000000000001</v>
      </c>
      <c r="F100" s="43">
        <v>-28696.448999999906</v>
      </c>
      <c r="G100" s="43">
        <f t="shared" si="20"/>
        <v>82367.28</v>
      </c>
      <c r="H100" s="261">
        <f t="shared" si="21"/>
        <v>-0.34828101644245141</v>
      </c>
      <c r="I100" s="43"/>
    </row>
    <row r="101" spans="2:9" x14ac:dyDescent="0.25">
      <c r="B101" s="211">
        <v>42331</v>
      </c>
      <c r="C101" s="12">
        <v>0</v>
      </c>
      <c r="D101" s="275" t="s">
        <v>134</v>
      </c>
      <c r="E101" s="43">
        <v>17.53</v>
      </c>
      <c r="F101" s="43">
        <v>-28051.068999999901</v>
      </c>
      <c r="G101" s="43">
        <f t="shared" si="20"/>
        <v>0</v>
      </c>
      <c r="H101" s="261" t="str">
        <f t="shared" si="21"/>
        <v>N/A</v>
      </c>
      <c r="I101" s="43"/>
    </row>
    <row r="102" spans="2:9" x14ac:dyDescent="0.25">
      <c r="B102" s="211">
        <v>42335</v>
      </c>
      <c r="C102" s="12">
        <v>3078</v>
      </c>
      <c r="D102" s="275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0">
        <f>(E102-D102)/D102</f>
        <v>-0.33966480446927377</v>
      </c>
      <c r="I102" s="43"/>
    </row>
    <row r="103" spans="2:9" x14ac:dyDescent="0.25">
      <c r="B103" s="211">
        <v>42335</v>
      </c>
      <c r="C103" s="12">
        <v>3578</v>
      </c>
      <c r="D103" s="275">
        <v>25.55</v>
      </c>
      <c r="E103" s="43">
        <v>17.440000000000001</v>
      </c>
      <c r="F103" s="43">
        <f t="shared" ref="F103:F135" si="22">C103*(E103-D103)</f>
        <v>-29017.579999999998</v>
      </c>
      <c r="G103" s="43">
        <f t="shared" ref="G103:G133" si="23">D103*C103</f>
        <v>91417.900000000009</v>
      </c>
      <c r="H103" s="260">
        <f t="shared" ref="H103:H133" si="24">(E103-D103)/D103</f>
        <v>-0.31741682974559682</v>
      </c>
      <c r="I103" s="43"/>
    </row>
    <row r="104" spans="2:9" x14ac:dyDescent="0.25">
      <c r="B104" s="211">
        <v>42340</v>
      </c>
      <c r="C104" s="12">
        <v>4178</v>
      </c>
      <c r="D104" s="275">
        <v>24.29</v>
      </c>
      <c r="E104" s="43">
        <v>16.670000000000002</v>
      </c>
      <c r="F104" s="43">
        <f t="shared" si="22"/>
        <v>-31836.35999999999</v>
      </c>
      <c r="G104" s="43">
        <f t="shared" si="23"/>
        <v>101483.62</v>
      </c>
      <c r="H104" s="260">
        <f t="shared" si="24"/>
        <v>-0.31370934540963352</v>
      </c>
      <c r="I104" s="43"/>
    </row>
    <row r="105" spans="2:9" x14ac:dyDescent="0.25">
      <c r="B105" s="211">
        <v>42342</v>
      </c>
      <c r="C105" s="12">
        <v>4678</v>
      </c>
      <c r="D105" s="275">
        <v>23.39</v>
      </c>
      <c r="E105" s="43">
        <v>16.12</v>
      </c>
      <c r="F105" s="43">
        <f t="shared" si="22"/>
        <v>-34009.06</v>
      </c>
      <c r="G105" s="43">
        <f t="shared" si="23"/>
        <v>109418.42</v>
      </c>
      <c r="H105" s="260">
        <f t="shared" si="24"/>
        <v>-0.31081658828559211</v>
      </c>
      <c r="I105" s="43"/>
    </row>
    <row r="106" spans="2:9" x14ac:dyDescent="0.25">
      <c r="B106" s="211">
        <v>42342</v>
      </c>
      <c r="C106" s="12">
        <v>4178</v>
      </c>
      <c r="D106" s="275">
        <v>24.26</v>
      </c>
      <c r="E106" s="43">
        <v>16.12</v>
      </c>
      <c r="F106" s="43">
        <f t="shared" si="22"/>
        <v>-34008.920000000006</v>
      </c>
      <c r="G106" s="43">
        <f t="shared" si="23"/>
        <v>101358.28000000001</v>
      </c>
      <c r="H106" s="260">
        <f t="shared" si="24"/>
        <v>-0.33553173948887055</v>
      </c>
      <c r="I106" s="43"/>
    </row>
    <row r="107" spans="2:9" x14ac:dyDescent="0.25">
      <c r="B107" s="211">
        <v>42345</v>
      </c>
      <c r="C107" s="12">
        <v>4678</v>
      </c>
      <c r="D107" s="275">
        <v>23.24</v>
      </c>
      <c r="E107" s="43">
        <v>14.78</v>
      </c>
      <c r="F107" s="43">
        <f t="shared" si="22"/>
        <v>-39575.879999999997</v>
      </c>
      <c r="G107" s="43">
        <f t="shared" si="23"/>
        <v>108716.71999999999</v>
      </c>
      <c r="H107" s="260">
        <f t="shared" si="24"/>
        <v>-0.36402753872633387</v>
      </c>
      <c r="I107" s="43"/>
    </row>
    <row r="108" spans="2:9" x14ac:dyDescent="0.25">
      <c r="B108" s="211">
        <v>42347</v>
      </c>
      <c r="C108" s="12">
        <v>4778</v>
      </c>
      <c r="D108" s="275">
        <v>23.06</v>
      </c>
      <c r="E108" s="43">
        <v>14.92</v>
      </c>
      <c r="F108" s="43">
        <f t="shared" si="22"/>
        <v>-38892.919999999991</v>
      </c>
      <c r="G108" s="43">
        <f t="shared" si="23"/>
        <v>110180.68</v>
      </c>
      <c r="H108" s="260">
        <f t="shared" si="24"/>
        <v>-0.3529921942758022</v>
      </c>
      <c r="I108" s="43"/>
    </row>
    <row r="109" spans="2:9" x14ac:dyDescent="0.25">
      <c r="B109" s="211">
        <v>42348</v>
      </c>
      <c r="C109" s="12">
        <v>4178</v>
      </c>
      <c r="D109" s="275">
        <v>24.23</v>
      </c>
      <c r="E109" s="43">
        <v>14.74</v>
      </c>
      <c r="F109" s="43">
        <f t="shared" si="22"/>
        <v>-39649.22</v>
      </c>
      <c r="G109" s="43">
        <f t="shared" si="23"/>
        <v>101232.94</v>
      </c>
      <c r="H109" s="260">
        <f t="shared" si="24"/>
        <v>-0.39166322740404458</v>
      </c>
      <c r="I109" s="43"/>
    </row>
    <row r="110" spans="2:9" x14ac:dyDescent="0.25">
      <c r="B110" s="211">
        <v>42349</v>
      </c>
      <c r="C110" s="12">
        <v>3678</v>
      </c>
      <c r="D110" s="275">
        <v>25.57</v>
      </c>
      <c r="E110" s="43">
        <v>14.34</v>
      </c>
      <c r="F110" s="43">
        <f t="shared" si="22"/>
        <v>-41303.94</v>
      </c>
      <c r="G110" s="43">
        <f t="shared" si="23"/>
        <v>94046.46</v>
      </c>
      <c r="H110" s="260">
        <f t="shared" si="24"/>
        <v>-0.43918654673445445</v>
      </c>
      <c r="I110" s="43"/>
    </row>
    <row r="111" spans="2:9" x14ac:dyDescent="0.25">
      <c r="B111" s="211">
        <v>42352</v>
      </c>
      <c r="C111" s="12">
        <v>4178</v>
      </c>
      <c r="D111" s="275">
        <v>24.18</v>
      </c>
      <c r="E111" s="43">
        <v>13.96</v>
      </c>
      <c r="F111" s="43">
        <f t="shared" si="22"/>
        <v>-42699.159999999996</v>
      </c>
      <c r="G111" s="43">
        <f t="shared" si="23"/>
        <v>101024.04</v>
      </c>
      <c r="H111" s="260">
        <f t="shared" si="24"/>
        <v>-0.42266335814722905</v>
      </c>
      <c r="I111" s="43"/>
    </row>
    <row r="112" spans="2:9" x14ac:dyDescent="0.25">
      <c r="B112" s="211">
        <v>42355</v>
      </c>
      <c r="C112" s="12">
        <v>4678</v>
      </c>
      <c r="D112" s="275">
        <v>22.98</v>
      </c>
      <c r="E112" s="43">
        <v>12.78</v>
      </c>
      <c r="F112" s="43">
        <f t="shared" si="22"/>
        <v>-47715.600000000006</v>
      </c>
      <c r="G112" s="43">
        <f t="shared" si="23"/>
        <v>107500.44</v>
      </c>
      <c r="H112" s="260">
        <f t="shared" si="24"/>
        <v>-0.44386422976501311</v>
      </c>
      <c r="I112" s="43"/>
    </row>
    <row r="113" spans="2:9" x14ac:dyDescent="0.25">
      <c r="B113" s="211">
        <v>42356</v>
      </c>
      <c r="C113" s="12">
        <v>4678</v>
      </c>
      <c r="D113" s="275">
        <v>22.97</v>
      </c>
      <c r="E113" s="43">
        <v>12.78</v>
      </c>
      <c r="F113" s="43">
        <f t="shared" si="22"/>
        <v>-47668.82</v>
      </c>
      <c r="G113" s="43">
        <f t="shared" si="23"/>
        <v>107453.65999999999</v>
      </c>
      <c r="H113" s="260">
        <f t="shared" si="24"/>
        <v>-0.44362211580322158</v>
      </c>
      <c r="I113" s="43"/>
    </row>
    <row r="114" spans="2:9" x14ac:dyDescent="0.25">
      <c r="B114" s="211">
        <v>42356</v>
      </c>
      <c r="C114" s="12">
        <v>5178</v>
      </c>
      <c r="D114" s="275">
        <v>21.99</v>
      </c>
      <c r="E114" s="43">
        <v>12.95</v>
      </c>
      <c r="F114" s="43">
        <f t="shared" si="22"/>
        <v>-46809.119999999995</v>
      </c>
      <c r="G114" s="43">
        <f t="shared" si="23"/>
        <v>113864.21999999999</v>
      </c>
      <c r="H114" s="260">
        <f t="shared" si="24"/>
        <v>-0.41109595270577537</v>
      </c>
      <c r="I114" s="43"/>
    </row>
    <row r="115" spans="2:9" x14ac:dyDescent="0.25">
      <c r="B115" s="211">
        <v>42356</v>
      </c>
      <c r="C115" s="12">
        <v>6178</v>
      </c>
      <c r="D115" s="275">
        <v>20.48</v>
      </c>
      <c r="E115" s="43">
        <v>12.76</v>
      </c>
      <c r="F115" s="43">
        <f t="shared" si="22"/>
        <v>-47694.16</v>
      </c>
      <c r="G115" s="43">
        <f t="shared" si="23"/>
        <v>126525.44</v>
      </c>
      <c r="H115" s="260">
        <f t="shared" si="24"/>
        <v>-0.376953125</v>
      </c>
      <c r="I115" s="43"/>
    </row>
    <row r="116" spans="2:9" x14ac:dyDescent="0.25">
      <c r="B116" s="211">
        <v>42356</v>
      </c>
      <c r="C116" s="12">
        <v>6400</v>
      </c>
      <c r="D116" s="275">
        <v>20.2</v>
      </c>
      <c r="E116" s="43">
        <v>12.68</v>
      </c>
      <c r="F116" s="43">
        <f t="shared" si="22"/>
        <v>-48128</v>
      </c>
      <c r="G116" s="43">
        <f t="shared" si="23"/>
        <v>129280</v>
      </c>
      <c r="H116" s="260">
        <f t="shared" si="24"/>
        <v>-0.37227722772277227</v>
      </c>
      <c r="I116" s="43"/>
    </row>
    <row r="117" spans="2:9" x14ac:dyDescent="0.25">
      <c r="B117" s="211">
        <v>42359</v>
      </c>
      <c r="C117" s="12">
        <v>5178</v>
      </c>
      <c r="D117" s="275">
        <v>21.96</v>
      </c>
      <c r="E117" s="43">
        <v>12.66</v>
      </c>
      <c r="F117" s="43">
        <f t="shared" si="22"/>
        <v>-48155.4</v>
      </c>
      <c r="G117" s="43">
        <f t="shared" si="23"/>
        <v>113708.88</v>
      </c>
      <c r="H117" s="260">
        <f t="shared" si="24"/>
        <v>-0.42349726775956287</v>
      </c>
      <c r="I117" s="43"/>
    </row>
    <row r="118" spans="2:9" x14ac:dyDescent="0.25">
      <c r="B118" s="211">
        <v>42361</v>
      </c>
      <c r="C118" s="12">
        <v>4178</v>
      </c>
      <c r="D118" s="275">
        <v>24.07</v>
      </c>
      <c r="E118" s="43">
        <v>13.96</v>
      </c>
      <c r="F118" s="43">
        <f t="shared" si="22"/>
        <v>-42239.579999999994</v>
      </c>
      <c r="G118" s="43">
        <f t="shared" si="23"/>
        <v>100564.46</v>
      </c>
      <c r="H118" s="260">
        <f t="shared" si="24"/>
        <v>-0.42002492729538843</v>
      </c>
      <c r="I118" s="43"/>
    </row>
    <row r="119" spans="2:9" x14ac:dyDescent="0.25">
      <c r="B119" s="211">
        <v>42361</v>
      </c>
      <c r="C119" s="12">
        <v>4178</v>
      </c>
      <c r="D119" s="275">
        <v>24.03</v>
      </c>
      <c r="E119" s="43">
        <v>13.96</v>
      </c>
      <c r="F119" s="43">
        <f t="shared" si="22"/>
        <v>-42072.46</v>
      </c>
      <c r="G119" s="43">
        <f t="shared" si="23"/>
        <v>100397.34000000001</v>
      </c>
      <c r="H119" s="260">
        <f t="shared" si="24"/>
        <v>-0.41905950894714938</v>
      </c>
      <c r="I119" s="43"/>
    </row>
    <row r="120" spans="2:9" x14ac:dyDescent="0.25">
      <c r="B120" s="211">
        <v>42366</v>
      </c>
      <c r="C120" s="12">
        <v>6678</v>
      </c>
      <c r="D120" s="275">
        <v>19.91</v>
      </c>
      <c r="E120" s="43">
        <v>13.09</v>
      </c>
      <c r="F120" s="43">
        <f t="shared" si="22"/>
        <v>-45543.96</v>
      </c>
      <c r="G120" s="43">
        <f t="shared" si="23"/>
        <v>132958.98000000001</v>
      </c>
      <c r="H120" s="260">
        <f t="shared" si="24"/>
        <v>-0.34254143646408841</v>
      </c>
      <c r="I120" s="43"/>
    </row>
    <row r="121" spans="2:9" x14ac:dyDescent="0.25">
      <c r="B121" s="211">
        <v>42367</v>
      </c>
      <c r="C121" s="12">
        <v>8678</v>
      </c>
      <c r="D121" s="275">
        <v>18.32</v>
      </c>
      <c r="E121" s="43">
        <v>13.03</v>
      </c>
      <c r="F121" s="43">
        <f t="shared" si="22"/>
        <v>-45906.62000000001</v>
      </c>
      <c r="G121" s="43">
        <f t="shared" si="23"/>
        <v>158980.96</v>
      </c>
      <c r="H121" s="260">
        <f t="shared" si="24"/>
        <v>-0.28875545851528389</v>
      </c>
      <c r="I121" s="43"/>
    </row>
    <row r="122" spans="2:9" x14ac:dyDescent="0.25">
      <c r="B122" s="211">
        <v>42368</v>
      </c>
      <c r="C122" s="297">
        <v>9678</v>
      </c>
      <c r="D122" s="322">
        <v>17.73</v>
      </c>
      <c r="E122" s="43">
        <v>12.38</v>
      </c>
      <c r="F122" s="43">
        <f t="shared" si="22"/>
        <v>-51777.299999999996</v>
      </c>
      <c r="G122" s="43">
        <f t="shared" si="23"/>
        <v>171590.94</v>
      </c>
      <c r="H122" s="260">
        <f t="shared" si="24"/>
        <v>-0.30174844895657077</v>
      </c>
      <c r="I122" s="43"/>
    </row>
    <row r="123" spans="2:9" x14ac:dyDescent="0.25">
      <c r="B123" s="211">
        <v>42369</v>
      </c>
      <c r="C123" s="12">
        <v>8678</v>
      </c>
      <c r="D123" s="275">
        <v>18.312999999999999</v>
      </c>
      <c r="E123" s="43">
        <v>12.59</v>
      </c>
      <c r="F123" s="43">
        <f t="shared" si="22"/>
        <v>-49664.193999999989</v>
      </c>
      <c r="G123" s="43">
        <f t="shared" si="23"/>
        <v>158920.21399999998</v>
      </c>
      <c r="H123" s="260">
        <f t="shared" si="24"/>
        <v>-0.3125102386282968</v>
      </c>
      <c r="I123" s="43"/>
    </row>
    <row r="124" spans="2:9" x14ac:dyDescent="0.25">
      <c r="B124" s="211">
        <v>42374</v>
      </c>
      <c r="C124" s="12">
        <v>7678</v>
      </c>
      <c r="D124" s="275">
        <v>19.010000000000002</v>
      </c>
      <c r="E124" s="43">
        <v>12.76</v>
      </c>
      <c r="F124" s="43">
        <f t="shared" si="22"/>
        <v>-47987.500000000015</v>
      </c>
      <c r="G124" s="43">
        <f t="shared" si="23"/>
        <v>145958.78</v>
      </c>
      <c r="H124" s="260">
        <f t="shared" si="24"/>
        <v>-0.32877432930036832</v>
      </c>
      <c r="I124" s="43"/>
    </row>
    <row r="125" spans="2:9" x14ac:dyDescent="0.25">
      <c r="B125" s="211">
        <v>42375</v>
      </c>
      <c r="C125" s="12">
        <v>8678</v>
      </c>
      <c r="D125" s="275">
        <v>18.257000000000001</v>
      </c>
      <c r="E125" s="43">
        <v>12.76</v>
      </c>
      <c r="F125" s="43">
        <f t="shared" si="22"/>
        <v>-47702.966000000015</v>
      </c>
      <c r="G125" s="43">
        <f t="shared" si="23"/>
        <v>158434.24600000001</v>
      </c>
      <c r="H125" s="260">
        <f t="shared" si="24"/>
        <v>-0.30108999287944355</v>
      </c>
      <c r="I125" s="392"/>
    </row>
    <row r="126" spans="2:9" x14ac:dyDescent="0.25">
      <c r="B126" s="211">
        <v>42375</v>
      </c>
      <c r="C126" s="297">
        <v>9678</v>
      </c>
      <c r="D126" s="322">
        <v>17.579999999999998</v>
      </c>
      <c r="E126" s="43">
        <v>11.28</v>
      </c>
      <c r="F126" s="43">
        <f t="shared" si="22"/>
        <v>-60971.399999999987</v>
      </c>
      <c r="G126" s="43">
        <f t="shared" si="23"/>
        <v>170139.24</v>
      </c>
      <c r="H126" s="260">
        <f t="shared" si="24"/>
        <v>-0.35836177474402725</v>
      </c>
      <c r="I126" s="392"/>
    </row>
    <row r="127" spans="2:9" x14ac:dyDescent="0.25">
      <c r="B127" s="211">
        <v>42398</v>
      </c>
      <c r="C127" s="12">
        <v>9278</v>
      </c>
      <c r="D127" s="275">
        <v>17.93</v>
      </c>
      <c r="E127" s="43">
        <v>9.56</v>
      </c>
      <c r="F127" s="43">
        <f t="shared" si="22"/>
        <v>-77656.859999999986</v>
      </c>
      <c r="G127" s="43">
        <f t="shared" si="23"/>
        <v>166354.54</v>
      </c>
      <c r="H127" s="260">
        <f t="shared" si="24"/>
        <v>-0.46681539319576126</v>
      </c>
      <c r="I127" s="392"/>
    </row>
    <row r="128" spans="2:9" x14ac:dyDescent="0.25">
      <c r="B128" s="211">
        <v>42402</v>
      </c>
      <c r="C128" s="297">
        <v>9678</v>
      </c>
      <c r="D128" s="322">
        <v>17.559999999999999</v>
      </c>
      <c r="E128" s="43">
        <v>8.74</v>
      </c>
      <c r="F128" s="43">
        <f t="shared" si="22"/>
        <v>-85359.959999999992</v>
      </c>
      <c r="G128" s="43">
        <f t="shared" si="23"/>
        <v>169945.68</v>
      </c>
      <c r="H128" s="260">
        <f t="shared" si="24"/>
        <v>-0.50227790432801822</v>
      </c>
      <c r="I128" s="392"/>
    </row>
    <row r="129" spans="2:9" x14ac:dyDescent="0.25">
      <c r="B129" s="211">
        <v>42411</v>
      </c>
      <c r="C129" s="12">
        <v>9678</v>
      </c>
      <c r="D129" s="275">
        <v>17.553999999999998</v>
      </c>
      <c r="E129" s="43">
        <v>7.13</v>
      </c>
      <c r="F129" s="43">
        <f t="shared" si="22"/>
        <v>-100883.47199999999</v>
      </c>
      <c r="G129" s="43">
        <f t="shared" si="23"/>
        <v>169887.61199999999</v>
      </c>
      <c r="H129" s="260">
        <f t="shared" si="24"/>
        <v>-0.59382476928335426</v>
      </c>
      <c r="I129" s="392"/>
    </row>
    <row r="130" spans="2:9" x14ac:dyDescent="0.25">
      <c r="B130" s="211">
        <v>42412</v>
      </c>
      <c r="C130" s="297">
        <v>9678</v>
      </c>
      <c r="D130" s="322">
        <v>17.55</v>
      </c>
      <c r="E130" s="43">
        <v>7.46</v>
      </c>
      <c r="F130" s="43">
        <f t="shared" si="22"/>
        <v>-97651.02</v>
      </c>
      <c r="G130" s="43">
        <f t="shared" si="23"/>
        <v>169848.9</v>
      </c>
      <c r="H130" s="260">
        <f t="shared" si="24"/>
        <v>-0.57492877492877492</v>
      </c>
      <c r="I130" s="392"/>
    </row>
    <row r="131" spans="2:9" x14ac:dyDescent="0.25">
      <c r="B131" s="211">
        <v>42416</v>
      </c>
      <c r="C131" s="12">
        <v>9178</v>
      </c>
      <c r="D131" s="275">
        <v>18.084</v>
      </c>
      <c r="E131" s="43">
        <v>7.49</v>
      </c>
      <c r="F131" s="43">
        <f t="shared" si="22"/>
        <v>-97231.731999999989</v>
      </c>
      <c r="G131" s="43">
        <f t="shared" si="23"/>
        <v>165974.95199999999</v>
      </c>
      <c r="H131" s="260">
        <f t="shared" si="24"/>
        <v>-0.58582172085821715</v>
      </c>
      <c r="I131" s="392"/>
    </row>
    <row r="132" spans="2:9" x14ac:dyDescent="0.25">
      <c r="B132" s="211">
        <v>42416</v>
      </c>
      <c r="C132" s="297">
        <v>9678</v>
      </c>
      <c r="D132" s="322">
        <v>17.536999999999999</v>
      </c>
      <c r="E132" s="43">
        <v>7.49</v>
      </c>
      <c r="F132" s="43">
        <f t="shared" si="22"/>
        <v>-97234.865999999995</v>
      </c>
      <c r="G132" s="43">
        <f t="shared" si="23"/>
        <v>169723.08599999998</v>
      </c>
      <c r="H132" s="260">
        <f t="shared" si="24"/>
        <v>-0.57290300507498426</v>
      </c>
      <c r="I132" s="392"/>
    </row>
    <row r="133" spans="2:9" x14ac:dyDescent="0.25">
      <c r="B133" s="211">
        <v>42418</v>
      </c>
      <c r="C133" s="12">
        <v>13478</v>
      </c>
      <c r="D133" s="275">
        <v>14.673999999999999</v>
      </c>
      <c r="E133" s="43">
        <v>6.93</v>
      </c>
      <c r="F133" s="43">
        <f t="shared" si="22"/>
        <v>-104373.632</v>
      </c>
      <c r="G133" s="43">
        <f t="shared" si="23"/>
        <v>197776.17199999999</v>
      </c>
      <c r="H133" s="260">
        <f t="shared" si="24"/>
        <v>-0.52773613193403301</v>
      </c>
      <c r="I133" s="392"/>
    </row>
    <row r="134" spans="2:9" x14ac:dyDescent="0.25">
      <c r="B134" s="211">
        <v>42422</v>
      </c>
      <c r="C134" s="12">
        <v>10978</v>
      </c>
      <c r="D134" s="275">
        <v>16.314</v>
      </c>
      <c r="E134" s="43">
        <v>7.49</v>
      </c>
      <c r="F134" s="43">
        <f t="shared" si="22"/>
        <v>-96869.872000000003</v>
      </c>
      <c r="G134" s="43">
        <f t="shared" si="20"/>
        <v>179095.092</v>
      </c>
      <c r="H134" s="261">
        <f t="shared" si="21"/>
        <v>-0.54088512933676591</v>
      </c>
      <c r="I134" s="392"/>
    </row>
    <row r="135" spans="2:9" x14ac:dyDescent="0.25">
      <c r="B135" s="211">
        <v>42422</v>
      </c>
      <c r="C135" s="12">
        <v>9978</v>
      </c>
      <c r="D135" s="275">
        <v>17.199000000000002</v>
      </c>
      <c r="E135" s="43">
        <v>7.49</v>
      </c>
      <c r="F135" s="266">
        <f t="shared" si="22"/>
        <v>-96876.402000000016</v>
      </c>
      <c r="G135" s="43">
        <f t="shared" si="20"/>
        <v>171611.622</v>
      </c>
      <c r="H135" s="261">
        <f t="shared" si="21"/>
        <v>-0.56450956450956458</v>
      </c>
      <c r="I135" s="392"/>
    </row>
    <row r="136" spans="2:9" x14ac:dyDescent="0.25">
      <c r="B136" s="211">
        <v>42426</v>
      </c>
      <c r="C136" s="297">
        <v>9678</v>
      </c>
      <c r="D136" s="322">
        <v>17.489000000000001</v>
      </c>
      <c r="E136" s="43">
        <v>7.49</v>
      </c>
      <c r="F136" s="266">
        <f t="shared" ref="F136:F145" si="25">C136*(E136-D136)</f>
        <v>-96770.322</v>
      </c>
      <c r="G136" s="43">
        <f t="shared" ref="G136" si="26">IF(C136=0, 0,D136*C136)</f>
        <v>169258.54200000002</v>
      </c>
      <c r="H136" s="261">
        <f t="shared" ref="H136" si="27">IF(C136=0, D136, (E136-D136)/D136)</f>
        <v>-0.57173080221853734</v>
      </c>
      <c r="I136" s="392"/>
    </row>
    <row r="137" spans="2:9" x14ac:dyDescent="0.25">
      <c r="B137" s="211">
        <v>42426</v>
      </c>
      <c r="C137" s="12">
        <v>9178</v>
      </c>
      <c r="D137" s="275">
        <v>18.02</v>
      </c>
      <c r="E137" s="43">
        <v>7.76</v>
      </c>
      <c r="F137" s="266">
        <f t="shared" si="25"/>
        <v>-94166.28</v>
      </c>
      <c r="G137" s="43">
        <f t="shared" ref="G137:G145" si="28">IF(C137=0, 0,D137*C137)</f>
        <v>165387.56</v>
      </c>
      <c r="H137" s="261">
        <f t="shared" ref="H137:H145" si="29">IF(C137=0, D137, (E137-D137)/D137)</f>
        <v>-0.5693673695893452</v>
      </c>
      <c r="I137" s="392"/>
    </row>
    <row r="138" spans="2:9" x14ac:dyDescent="0.25">
      <c r="B138" s="211">
        <v>42426</v>
      </c>
      <c r="C138" s="12">
        <v>8678</v>
      </c>
      <c r="D138" s="275">
        <v>18.600000000000001</v>
      </c>
      <c r="E138" s="43">
        <v>8</v>
      </c>
      <c r="F138" s="266">
        <f t="shared" si="25"/>
        <v>-91986.800000000017</v>
      </c>
      <c r="G138" s="43">
        <f t="shared" si="28"/>
        <v>161410.80000000002</v>
      </c>
      <c r="H138" s="261">
        <f t="shared" si="29"/>
        <v>-0.56989247311827962</v>
      </c>
      <c r="I138" s="392"/>
    </row>
    <row r="139" spans="2:9" x14ac:dyDescent="0.25">
      <c r="B139" s="211">
        <v>42426</v>
      </c>
      <c r="C139" s="12">
        <v>8178</v>
      </c>
      <c r="D139" s="275">
        <v>19.245999999999999</v>
      </c>
      <c r="E139" s="43">
        <v>8</v>
      </c>
      <c r="F139" s="266">
        <f t="shared" si="25"/>
        <v>-91969.787999999986</v>
      </c>
      <c r="G139" s="43">
        <f t="shared" si="28"/>
        <v>157393.788</v>
      </c>
      <c r="H139" s="261">
        <f t="shared" si="29"/>
        <v>-0.58432921126467829</v>
      </c>
      <c r="I139" s="392"/>
    </row>
    <row r="140" spans="2:9" x14ac:dyDescent="0.25">
      <c r="B140" s="211">
        <v>42426</v>
      </c>
      <c r="C140" s="12">
        <v>6678</v>
      </c>
      <c r="D140" s="275">
        <v>21.75</v>
      </c>
      <c r="E140" s="43">
        <v>8.1</v>
      </c>
      <c r="F140" s="266">
        <f t="shared" si="25"/>
        <v>-91154.7</v>
      </c>
      <c r="G140" s="43">
        <f t="shared" si="28"/>
        <v>145246.5</v>
      </c>
      <c r="H140" s="261">
        <f t="shared" si="29"/>
        <v>-0.62758620689655176</v>
      </c>
      <c r="I140" s="392"/>
    </row>
    <row r="141" spans="2:9" x14ac:dyDescent="0.25">
      <c r="B141" s="211">
        <v>42426</v>
      </c>
      <c r="C141" s="12">
        <v>8678</v>
      </c>
      <c r="D141" s="275">
        <v>18.568999999999999</v>
      </c>
      <c r="E141" s="43">
        <v>7.94</v>
      </c>
      <c r="F141" s="266">
        <f t="shared" si="25"/>
        <v>-92238.461999999985</v>
      </c>
      <c r="G141" s="43">
        <f t="shared" si="28"/>
        <v>161141.78199999998</v>
      </c>
      <c r="H141" s="261">
        <f t="shared" si="29"/>
        <v>-0.57240562227368186</v>
      </c>
      <c r="I141" s="392"/>
    </row>
    <row r="142" spans="2:9" x14ac:dyDescent="0.25">
      <c r="B142" s="211">
        <v>42429</v>
      </c>
      <c r="C142" s="320">
        <v>7678</v>
      </c>
      <c r="D142" s="384">
        <v>19.876000000000001</v>
      </c>
      <c r="E142" s="43">
        <v>8.2100000000000009</v>
      </c>
      <c r="F142" s="266">
        <f t="shared" si="25"/>
        <v>-89571.54800000001</v>
      </c>
      <c r="G142" s="43">
        <f t="shared" si="28"/>
        <v>152607.92800000001</v>
      </c>
      <c r="H142" s="261">
        <f t="shared" si="29"/>
        <v>-0.58693902193600322</v>
      </c>
      <c r="I142" s="392"/>
    </row>
    <row r="143" spans="2:9" x14ac:dyDescent="0.25">
      <c r="B143" s="211">
        <v>42429</v>
      </c>
      <c r="C143" s="297">
        <v>9678</v>
      </c>
      <c r="D143" s="322">
        <v>17.463000000000001</v>
      </c>
      <c r="E143" s="43">
        <v>8.2100000000000009</v>
      </c>
      <c r="F143" s="266">
        <f t="shared" si="25"/>
        <v>-89550.534</v>
      </c>
      <c r="G143" s="43">
        <f t="shared" si="28"/>
        <v>169006.91400000002</v>
      </c>
      <c r="H143" s="261">
        <f t="shared" si="29"/>
        <v>-0.5298631392086125</v>
      </c>
      <c r="I143" s="392"/>
    </row>
    <row r="144" spans="2:9" x14ac:dyDescent="0.25">
      <c r="B144" s="211">
        <v>42429</v>
      </c>
      <c r="C144" s="12">
        <v>9178</v>
      </c>
      <c r="D144" s="275">
        <v>17.981000000000002</v>
      </c>
      <c r="E144" s="43">
        <v>8.2100000000000009</v>
      </c>
      <c r="F144" s="266">
        <f t="shared" si="25"/>
        <v>-89678.238000000012</v>
      </c>
      <c r="G144" s="43">
        <f t="shared" si="28"/>
        <v>165029.61800000002</v>
      </c>
      <c r="H144" s="261">
        <f t="shared" si="29"/>
        <v>-0.5434069295367332</v>
      </c>
      <c r="I144" s="392"/>
    </row>
    <row r="145" spans="2:9" x14ac:dyDescent="0.25">
      <c r="B145" s="211">
        <v>42429</v>
      </c>
      <c r="C145" s="297">
        <v>9678</v>
      </c>
      <c r="D145" s="322">
        <v>17.459</v>
      </c>
      <c r="E145" s="43">
        <v>8.2100000000000009</v>
      </c>
      <c r="F145" s="266">
        <f t="shared" si="25"/>
        <v>-89511.821999999986</v>
      </c>
      <c r="G145" s="43">
        <f t="shared" si="28"/>
        <v>168968.20199999999</v>
      </c>
      <c r="H145" s="261">
        <f t="shared" si="29"/>
        <v>-0.5297554270004009</v>
      </c>
      <c r="I145" s="392"/>
    </row>
    <row r="146" spans="2:9" x14ac:dyDescent="0.25">
      <c r="B146" s="211">
        <v>42429</v>
      </c>
      <c r="C146" s="12">
        <v>9178</v>
      </c>
      <c r="D146" s="275">
        <v>17.975999999999999</v>
      </c>
      <c r="E146" s="43">
        <v>8.2100000000000009</v>
      </c>
      <c r="F146" s="266">
        <f t="shared" ref="F146:F154" si="30">C146*(E146-D146)</f>
        <v>-89632.347999999984</v>
      </c>
      <c r="G146" s="43">
        <f t="shared" ref="G146:G154" si="31">IF(C146=0, 0,D146*C146)</f>
        <v>164983.728</v>
      </c>
      <c r="H146" s="261">
        <f t="shared" ref="H146:H154" si="32">IF(C146=0, D146, (E146-D146)/D146)</f>
        <v>-0.54327992879394738</v>
      </c>
      <c r="I146" s="392" t="s">
        <v>280</v>
      </c>
    </row>
    <row r="147" spans="2:9" x14ac:dyDescent="0.25">
      <c r="B147" s="211">
        <v>42430</v>
      </c>
      <c r="C147" s="320">
        <v>10178</v>
      </c>
      <c r="D147" s="384">
        <v>16.974</v>
      </c>
      <c r="E147" s="43">
        <v>7.8</v>
      </c>
      <c r="F147" s="266">
        <f t="shared" si="30"/>
        <v>-93372.971999999994</v>
      </c>
      <c r="G147" s="43">
        <f t="shared" si="31"/>
        <v>172761.372</v>
      </c>
      <c r="H147" s="261">
        <f t="shared" si="32"/>
        <v>-0.54047366560622123</v>
      </c>
      <c r="I147" s="392"/>
    </row>
    <row r="148" spans="2:9" x14ac:dyDescent="0.25">
      <c r="B148" s="211">
        <v>42430</v>
      </c>
      <c r="C148" s="297">
        <v>9678</v>
      </c>
      <c r="D148" s="322">
        <v>17.440000000000001</v>
      </c>
      <c r="E148" s="43">
        <v>7.96</v>
      </c>
      <c r="F148" s="266">
        <f t="shared" si="30"/>
        <v>-91747.44</v>
      </c>
      <c r="G148" s="43">
        <f t="shared" si="31"/>
        <v>168784.32</v>
      </c>
      <c r="H148" s="261">
        <f t="shared" si="32"/>
        <v>-0.54357798165137616</v>
      </c>
      <c r="I148" s="392">
        <v>17</v>
      </c>
    </row>
    <row r="149" spans="2:9" x14ac:dyDescent="0.25">
      <c r="B149" s="211">
        <v>42431</v>
      </c>
      <c r="C149" s="12">
        <v>8678</v>
      </c>
      <c r="D149" s="275">
        <v>18.405999999999999</v>
      </c>
      <c r="E149" s="43">
        <v>9.1</v>
      </c>
      <c r="F149" s="266">
        <f t="shared" si="30"/>
        <v>-80757.467999999993</v>
      </c>
      <c r="G149" s="43">
        <f t="shared" si="31"/>
        <v>159727.26799999998</v>
      </c>
      <c r="H149" s="261">
        <f t="shared" si="32"/>
        <v>-0.50559600130392257</v>
      </c>
      <c r="I149" s="392"/>
    </row>
    <row r="150" spans="2:9" x14ac:dyDescent="0.25">
      <c r="B150" s="211">
        <v>42432</v>
      </c>
      <c r="C150" s="12">
        <v>9278</v>
      </c>
      <c r="D150" s="275">
        <v>17.771999999999998</v>
      </c>
      <c r="E150" s="43">
        <v>9.9700000000000006</v>
      </c>
      <c r="F150" s="266">
        <f t="shared" si="30"/>
        <v>-72386.955999999976</v>
      </c>
      <c r="G150" s="43">
        <f t="shared" si="31"/>
        <v>164888.61599999998</v>
      </c>
      <c r="H150" s="261">
        <f t="shared" si="32"/>
        <v>-0.43900517668242173</v>
      </c>
      <c r="I150" s="392"/>
    </row>
    <row r="151" spans="2:9" x14ac:dyDescent="0.25">
      <c r="B151" s="211">
        <v>42433</v>
      </c>
      <c r="C151" s="12">
        <v>9278</v>
      </c>
      <c r="D151" s="275">
        <v>17.771999999999998</v>
      </c>
      <c r="E151" s="43">
        <v>11</v>
      </c>
      <c r="F151" s="266">
        <f t="shared" si="30"/>
        <v>-62830.615999999987</v>
      </c>
      <c r="G151" s="43">
        <f t="shared" si="31"/>
        <v>164888.61599999998</v>
      </c>
      <c r="H151" s="261">
        <f t="shared" si="32"/>
        <v>-0.38104884087328378</v>
      </c>
      <c r="I151" s="392"/>
    </row>
    <row r="152" spans="2:9" x14ac:dyDescent="0.25">
      <c r="B152" s="211">
        <v>42439</v>
      </c>
      <c r="C152" s="320">
        <v>9278</v>
      </c>
      <c r="D152" s="384">
        <v>17.718</v>
      </c>
      <c r="E152" s="385">
        <v>10.59</v>
      </c>
      <c r="F152" s="266">
        <f t="shared" si="30"/>
        <v>-66133.584000000003</v>
      </c>
      <c r="G152" s="43">
        <f t="shared" si="31"/>
        <v>164387.60399999999</v>
      </c>
      <c r="H152" s="261">
        <f t="shared" si="32"/>
        <v>-0.40230274297324753</v>
      </c>
      <c r="I152" s="392" t="s">
        <v>279</v>
      </c>
    </row>
    <row r="153" spans="2:9" x14ac:dyDescent="0.25">
      <c r="B153" s="211">
        <v>42440</v>
      </c>
      <c r="C153" s="12">
        <v>9278</v>
      </c>
      <c r="D153" s="275">
        <v>17.712</v>
      </c>
      <c r="E153" s="43">
        <v>11.12</v>
      </c>
      <c r="F153" s="266">
        <f t="shared" si="30"/>
        <v>-61160.576000000008</v>
      </c>
      <c r="G153" s="43">
        <f t="shared" si="31"/>
        <v>164331.93599999999</v>
      </c>
      <c r="H153" s="261">
        <f t="shared" si="32"/>
        <v>-0.37217705510388438</v>
      </c>
      <c r="I153" s="43"/>
    </row>
    <row r="154" spans="2:9" x14ac:dyDescent="0.25">
      <c r="B154" s="211">
        <v>42444</v>
      </c>
      <c r="C154" s="12">
        <v>9278</v>
      </c>
      <c r="D154" s="275">
        <v>17.712</v>
      </c>
      <c r="E154" s="43">
        <v>11.31</v>
      </c>
      <c r="F154" s="266">
        <f t="shared" si="30"/>
        <v>-59397.755999999994</v>
      </c>
      <c r="G154" s="43">
        <f t="shared" si="31"/>
        <v>164331.93599999999</v>
      </c>
      <c r="H154" s="261">
        <f t="shared" si="32"/>
        <v>-0.36144986449864497</v>
      </c>
      <c r="I154" s="43"/>
    </row>
    <row r="155" spans="2:9" x14ac:dyDescent="0.25">
      <c r="B155" s="211"/>
      <c r="C155" s="12"/>
      <c r="D155" s="275"/>
      <c r="E155" s="43"/>
      <c r="F155" s="266"/>
      <c r="G155" s="43"/>
      <c r="H155" s="261"/>
      <c r="I155" s="43"/>
    </row>
    <row r="156" spans="2:9" x14ac:dyDescent="0.25">
      <c r="B156" s="211"/>
      <c r="C156" s="12"/>
      <c r="D156" s="275"/>
      <c r="E156" s="43"/>
      <c r="F156" s="266"/>
      <c r="G156" s="43"/>
      <c r="H156" s="261"/>
      <c r="I156" s="43"/>
    </row>
    <row r="157" spans="2:9" x14ac:dyDescent="0.25">
      <c r="B157" s="211"/>
      <c r="C157" s="297"/>
      <c r="D157" s="322"/>
      <c r="E157" s="43"/>
      <c r="F157" s="266"/>
      <c r="G157" s="43"/>
      <c r="H157" s="261"/>
      <c r="I157" s="43"/>
    </row>
    <row r="158" spans="2:9" x14ac:dyDescent="0.25">
      <c r="B158" s="211"/>
      <c r="C158" s="12"/>
      <c r="D158" s="275"/>
      <c r="E158" s="43"/>
      <c r="F158" s="266"/>
      <c r="G158" s="43"/>
      <c r="H158" s="261"/>
      <c r="I158" s="43"/>
    </row>
  </sheetData>
  <mergeCells count="7">
    <mergeCell ref="B74:B76"/>
    <mergeCell ref="G42:G45"/>
    <mergeCell ref="G53:G55"/>
    <mergeCell ref="O41:P41"/>
    <mergeCell ref="G7:G8"/>
    <mergeCell ref="G10:G17"/>
    <mergeCell ref="B5:B9"/>
  </mergeCells>
  <conditionalFormatting sqref="Q7">
    <cfRule type="expression" dxfId="395" priority="22">
      <formula>Q7&gt;0</formula>
    </cfRule>
    <cfRule type="expression" dxfId="394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93" priority="15">
      <formula>F95&gt;0</formula>
    </cfRule>
    <cfRule type="expression" dxfId="392" priority="16">
      <formula>F95&lt;0</formula>
    </cfRule>
  </conditionalFormatting>
  <conditionalFormatting sqref="H95:H101">
    <cfRule type="expression" dxfId="391" priority="11">
      <formula>H95&gt;0</formula>
    </cfRule>
    <cfRule type="expression" dxfId="390" priority="12">
      <formula>H95&lt;0</formula>
    </cfRule>
  </conditionalFormatting>
  <conditionalFormatting sqref="H134:H158">
    <cfRule type="expression" dxfId="389" priority="5">
      <formula>H134&gt;0</formula>
    </cfRule>
    <cfRule type="expression" dxfId="388" priority="6">
      <formula>H134&lt;0</formula>
    </cfRule>
  </conditionalFormatting>
  <conditionalFormatting sqref="F102:F134">
    <cfRule type="expression" dxfId="387" priority="3">
      <formula>F102&gt;0</formula>
    </cfRule>
    <cfRule type="expression" dxfId="386" priority="4">
      <formula>F102&lt;0</formula>
    </cfRule>
  </conditionalFormatting>
  <conditionalFormatting sqref="H102:H133">
    <cfRule type="expression" dxfId="385" priority="1">
      <formula>H102&gt;0</formula>
    </cfRule>
    <cfRule type="expression" dxfId="384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11.71093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42444</v>
      </c>
      <c r="X2" s="44">
        <v>14.34</v>
      </c>
      <c r="Y2" s="44">
        <v>14.4</v>
      </c>
      <c r="Z2" s="44">
        <v>14</v>
      </c>
      <c r="AA2" s="44">
        <v>14.28</v>
      </c>
      <c r="AB2" s="114">
        <v>2064600</v>
      </c>
      <c r="AC2" s="11">
        <v>14.28</v>
      </c>
      <c r="AD2" s="2">
        <f>Y2-Z2</f>
        <v>0.40000000000000036</v>
      </c>
      <c r="AE2" s="148">
        <f>AC2/AC3-1</f>
        <v>-1.1764705882352899E-2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42443</v>
      </c>
      <c r="X3" s="44">
        <v>14.55</v>
      </c>
      <c r="Y3" s="44">
        <v>14.64</v>
      </c>
      <c r="Z3" s="44">
        <v>14.07</v>
      </c>
      <c r="AA3" s="44">
        <v>14.45</v>
      </c>
      <c r="AB3" s="114">
        <v>2221800</v>
      </c>
      <c r="AC3" s="11">
        <v>14.45</v>
      </c>
      <c r="AD3" s="2">
        <f t="shared" ref="AD3:AD66" si="2">Y3-Z3</f>
        <v>0.57000000000000028</v>
      </c>
      <c r="AE3" s="148">
        <f t="shared" ref="AE3:AE66" si="3">AC3/AC4-1</f>
        <v>-1.4324693042292003E-2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14.55</v>
      </c>
      <c r="T4" s="1">
        <v>42263</v>
      </c>
      <c r="U4" s="37" t="s">
        <v>98</v>
      </c>
      <c r="W4" s="133">
        <v>42440</v>
      </c>
      <c r="X4" s="44">
        <v>14.33</v>
      </c>
      <c r="Y4" s="44">
        <v>14.83</v>
      </c>
      <c r="Z4" s="44">
        <v>14.32</v>
      </c>
      <c r="AA4" s="44">
        <v>14.66</v>
      </c>
      <c r="AB4" s="114">
        <v>4014000</v>
      </c>
      <c r="AC4" s="11">
        <v>14.66</v>
      </c>
      <c r="AD4" s="2">
        <f t="shared" si="2"/>
        <v>0.50999999999999979</v>
      </c>
      <c r="AE4" s="148">
        <f t="shared" si="3"/>
        <v>3.3850493653032387E-2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21825</v>
      </c>
      <c r="T5" s="1">
        <v>42313</v>
      </c>
      <c r="U5" s="37" t="s">
        <v>129</v>
      </c>
      <c r="W5" s="133">
        <v>42439</v>
      </c>
      <c r="X5" s="44">
        <v>13.8</v>
      </c>
      <c r="Y5" s="44">
        <v>14.26</v>
      </c>
      <c r="Z5" s="44">
        <v>13.65</v>
      </c>
      <c r="AA5" s="44">
        <v>14.18</v>
      </c>
      <c r="AB5" s="114">
        <v>2281100</v>
      </c>
      <c r="AC5" s="11">
        <v>14.18</v>
      </c>
      <c r="AD5" s="2">
        <f t="shared" si="2"/>
        <v>0.60999999999999943</v>
      </c>
      <c r="AE5" s="148">
        <f t="shared" si="3"/>
        <v>2.8281363306744023E-2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42438</v>
      </c>
      <c r="X6" s="44">
        <v>13.62</v>
      </c>
      <c r="Y6" s="44">
        <v>14.08</v>
      </c>
      <c r="Z6" s="44">
        <v>13.39</v>
      </c>
      <c r="AA6" s="44">
        <v>13.79</v>
      </c>
      <c r="AB6" s="114">
        <v>2807200</v>
      </c>
      <c r="AC6" s="11">
        <v>13.79</v>
      </c>
      <c r="AD6" s="2">
        <f t="shared" si="2"/>
        <v>0.6899999999999995</v>
      </c>
      <c r="AE6" s="148">
        <f t="shared" si="3"/>
        <v>1.9970414201183395E-2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-23380.420000000042</v>
      </c>
      <c r="R7" s="208" t="s">
        <v>211</v>
      </c>
      <c r="W7" s="133">
        <v>42437</v>
      </c>
      <c r="X7" s="44">
        <v>14.01</v>
      </c>
      <c r="Y7" s="44">
        <v>14.01</v>
      </c>
      <c r="Z7" s="44">
        <v>13.35</v>
      </c>
      <c r="AA7" s="44">
        <v>13.52</v>
      </c>
      <c r="AB7" s="114">
        <v>5087400</v>
      </c>
      <c r="AC7" s="11">
        <v>13.52</v>
      </c>
      <c r="AD7" s="2">
        <f t="shared" si="2"/>
        <v>0.66000000000000014</v>
      </c>
      <c r="AE7" s="148">
        <f t="shared" si="3"/>
        <v>-4.721634954193088E-2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-0.51720391050453729</v>
      </c>
      <c r="R8" s="178"/>
      <c r="W8" s="133">
        <v>42436</v>
      </c>
      <c r="X8" s="44">
        <v>14.11</v>
      </c>
      <c r="Y8" s="44">
        <v>14.63</v>
      </c>
      <c r="Z8" s="44">
        <v>14.09</v>
      </c>
      <c r="AA8" s="44">
        <v>14.19</v>
      </c>
      <c r="AB8" s="114">
        <v>3971800</v>
      </c>
      <c r="AC8" s="11">
        <v>14.19</v>
      </c>
      <c r="AD8" s="2">
        <f t="shared" si="2"/>
        <v>0.54000000000000092</v>
      </c>
      <c r="AE8" s="148">
        <f t="shared" si="3"/>
        <v>3.5360678925033806E-3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42433</v>
      </c>
      <c r="X9" s="44">
        <v>13.84</v>
      </c>
      <c r="Y9" s="44">
        <v>14.42</v>
      </c>
      <c r="Z9" s="44">
        <v>13.75</v>
      </c>
      <c r="AA9" s="44">
        <v>14.14</v>
      </c>
      <c r="AB9" s="114">
        <v>5784200</v>
      </c>
      <c r="AC9" s="11">
        <v>14.14</v>
      </c>
      <c r="AD9" s="2">
        <f t="shared" si="2"/>
        <v>0.66999999999999993</v>
      </c>
      <c r="AE9" s="148">
        <f t="shared" si="3"/>
        <v>1.8731988472622474E-2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42432</v>
      </c>
      <c r="X10" s="44">
        <v>13.37</v>
      </c>
      <c r="Y10" s="44">
        <v>13.97</v>
      </c>
      <c r="Z10" s="44">
        <v>13.24</v>
      </c>
      <c r="AA10" s="44">
        <v>13.88</v>
      </c>
      <c r="AB10" s="114">
        <v>4594400</v>
      </c>
      <c r="AC10" s="11">
        <v>13.88</v>
      </c>
      <c r="AD10" s="2">
        <f t="shared" si="2"/>
        <v>0.73000000000000043</v>
      </c>
      <c r="AE10" s="148">
        <f t="shared" si="3"/>
        <v>4.3609022556390986E-2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42431</v>
      </c>
      <c r="X11" s="44">
        <v>12.79</v>
      </c>
      <c r="Y11" s="44">
        <v>13.32</v>
      </c>
      <c r="Z11" s="44">
        <v>12.51</v>
      </c>
      <c r="AA11" s="44">
        <v>13.3</v>
      </c>
      <c r="AB11" s="114">
        <v>3502900</v>
      </c>
      <c r="AC11" s="11">
        <v>13.3</v>
      </c>
      <c r="AD11" s="2">
        <f t="shared" si="2"/>
        <v>0.8100000000000005</v>
      </c>
      <c r="AE11" s="148">
        <f t="shared" si="3"/>
        <v>3.7441497659906453E-2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42430</v>
      </c>
      <c r="X12" s="44">
        <v>12.73</v>
      </c>
      <c r="Y12" s="44">
        <v>12.89</v>
      </c>
      <c r="Z12" s="44">
        <v>12.55</v>
      </c>
      <c r="AA12" s="44">
        <v>12.82</v>
      </c>
      <c r="AB12" s="114">
        <v>2350700</v>
      </c>
      <c r="AC12" s="11">
        <v>12.82</v>
      </c>
      <c r="AD12" s="2">
        <f t="shared" si="2"/>
        <v>0.33999999999999986</v>
      </c>
      <c r="AE12" s="148">
        <f t="shared" si="3"/>
        <v>2.070063694267521E-2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42429</v>
      </c>
      <c r="X13" s="44">
        <v>12.29</v>
      </c>
      <c r="Y13" s="44">
        <v>12.66</v>
      </c>
      <c r="Z13" s="44">
        <v>12.29</v>
      </c>
      <c r="AA13" s="44">
        <v>12.56</v>
      </c>
      <c r="AB13" s="114">
        <v>4042100</v>
      </c>
      <c r="AC13" s="11">
        <v>12.56</v>
      </c>
      <c r="AD13" s="2">
        <f t="shared" si="2"/>
        <v>0.37000000000000099</v>
      </c>
      <c r="AE13" s="148">
        <f t="shared" si="3"/>
        <v>1.5359741309620256E-2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11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42426</v>
      </c>
      <c r="X14" s="44">
        <v>12.63</v>
      </c>
      <c r="Y14" s="44">
        <v>12.83</v>
      </c>
      <c r="Z14" s="44">
        <v>12.36</v>
      </c>
      <c r="AA14" s="44">
        <v>12.37</v>
      </c>
      <c r="AB14" s="114">
        <v>3629900</v>
      </c>
      <c r="AC14" s="11">
        <v>12.37</v>
      </c>
      <c r="AD14" s="2">
        <f t="shared" si="2"/>
        <v>0.47000000000000064</v>
      </c>
      <c r="AE14" s="148">
        <f t="shared" si="3"/>
        <v>-1.198083067092659E-2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11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42425</v>
      </c>
      <c r="X15" s="44">
        <v>12.65</v>
      </c>
      <c r="Y15" s="44">
        <v>12.77</v>
      </c>
      <c r="Z15" s="44">
        <v>12.27</v>
      </c>
      <c r="AA15" s="44">
        <v>12.52</v>
      </c>
      <c r="AB15" s="114">
        <v>4678200</v>
      </c>
      <c r="AC15" s="11">
        <v>12.52</v>
      </c>
      <c r="AD15" s="2">
        <f t="shared" si="2"/>
        <v>0.5</v>
      </c>
      <c r="AE15" s="148">
        <f t="shared" si="3"/>
        <v>-3.1847133757962887E-3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11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42424</v>
      </c>
      <c r="X16" s="44">
        <v>12.13</v>
      </c>
      <c r="Y16" s="44">
        <v>12.63</v>
      </c>
      <c r="Z16" s="44">
        <v>11.9</v>
      </c>
      <c r="AA16" s="44">
        <v>12.56</v>
      </c>
      <c r="AB16" s="114">
        <v>3574200</v>
      </c>
      <c r="AC16" s="11">
        <v>12.56</v>
      </c>
      <c r="AD16" s="2">
        <f t="shared" si="2"/>
        <v>0.73000000000000043</v>
      </c>
      <c r="AE16" s="148">
        <f t="shared" si="3"/>
        <v>2.8665028665028736E-2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42423</v>
      </c>
      <c r="X17" s="44">
        <v>12.23</v>
      </c>
      <c r="Y17" s="44">
        <v>12.36</v>
      </c>
      <c r="Z17" s="44">
        <v>12.07</v>
      </c>
      <c r="AA17" s="44">
        <v>12.21</v>
      </c>
      <c r="AB17" s="114">
        <v>4738300</v>
      </c>
      <c r="AC17" s="11">
        <v>12.21</v>
      </c>
      <c r="AD17" s="2">
        <f t="shared" si="2"/>
        <v>0.28999999999999915</v>
      </c>
      <c r="AE17" s="148">
        <f t="shared" si="3"/>
        <v>-7.3170731707317138E-3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42422</v>
      </c>
      <c r="X18" s="44">
        <v>12.21</v>
      </c>
      <c r="Y18" s="44">
        <v>12.59</v>
      </c>
      <c r="Z18" s="44">
        <v>12.21</v>
      </c>
      <c r="AA18" s="44">
        <v>12.3</v>
      </c>
      <c r="AB18" s="114">
        <v>5903600</v>
      </c>
      <c r="AC18" s="11">
        <v>12.3</v>
      </c>
      <c r="AD18" s="2">
        <f t="shared" si="2"/>
        <v>0.37999999999999901</v>
      </c>
      <c r="AE18" s="148">
        <f t="shared" si="3"/>
        <v>7.3710073710073765E-3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42419</v>
      </c>
      <c r="X19" s="44">
        <v>12.88</v>
      </c>
      <c r="Y19" s="44">
        <v>12.89</v>
      </c>
      <c r="Z19" s="44">
        <v>12.21</v>
      </c>
      <c r="AA19" s="44">
        <v>12.21</v>
      </c>
      <c r="AB19" s="114">
        <v>4789000</v>
      </c>
      <c r="AC19" s="11">
        <v>12.21</v>
      </c>
      <c r="AD19" s="2">
        <f t="shared" si="2"/>
        <v>0.67999999999999972</v>
      </c>
      <c r="AE19" s="148">
        <f t="shared" si="3"/>
        <v>-6.0046189376443349E-2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42418</v>
      </c>
      <c r="X20" s="44">
        <v>13.05</v>
      </c>
      <c r="Y20" s="44">
        <v>13.13</v>
      </c>
      <c r="Z20" s="44">
        <v>12.64</v>
      </c>
      <c r="AA20" s="44">
        <v>12.99</v>
      </c>
      <c r="AB20" s="114">
        <v>4003600</v>
      </c>
      <c r="AC20" s="11">
        <v>12.99</v>
      </c>
      <c r="AD20" s="2">
        <f t="shared" si="2"/>
        <v>0.49000000000000021</v>
      </c>
      <c r="AE20" s="148">
        <f t="shared" si="3"/>
        <v>-7.6394194041252694E-3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4">
        <v>500</v>
      </c>
      <c r="I21" s="325">
        <v>12.65</v>
      </c>
      <c r="J21" s="326">
        <v>0.14000000000000001</v>
      </c>
      <c r="K21" s="326">
        <f t="shared" si="6"/>
        <v>6324.86</v>
      </c>
      <c r="W21" s="133">
        <v>42417</v>
      </c>
      <c r="X21" s="44">
        <v>12.99</v>
      </c>
      <c r="Y21" s="44">
        <v>13.46</v>
      </c>
      <c r="Z21" s="44">
        <v>12.88</v>
      </c>
      <c r="AA21" s="44">
        <v>13.09</v>
      </c>
      <c r="AB21" s="114">
        <v>7358600</v>
      </c>
      <c r="AC21" s="11">
        <v>13.09</v>
      </c>
      <c r="AD21" s="2">
        <f t="shared" si="2"/>
        <v>0.58000000000000007</v>
      </c>
      <c r="AE21" s="148">
        <f t="shared" si="3"/>
        <v>7.6982294072363011E-3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42416</v>
      </c>
      <c r="X22" s="44">
        <v>12.56</v>
      </c>
      <c r="Y22" s="44">
        <v>13.12</v>
      </c>
      <c r="Z22" s="44">
        <v>12.5</v>
      </c>
      <c r="AA22" s="44">
        <v>12.99</v>
      </c>
      <c r="AB22" s="114">
        <v>6316600</v>
      </c>
      <c r="AC22" s="11">
        <v>12.99</v>
      </c>
      <c r="AD22" s="2">
        <f t="shared" si="2"/>
        <v>0.61999999999999922</v>
      </c>
      <c r="AE22" s="148">
        <f t="shared" si="3"/>
        <v>5.1821862348178094E-2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42412</v>
      </c>
      <c r="X23" s="44">
        <v>13.07</v>
      </c>
      <c r="Y23" s="44">
        <v>13.45</v>
      </c>
      <c r="Z23" s="44">
        <v>11.53</v>
      </c>
      <c r="AA23" s="44">
        <v>12.35</v>
      </c>
      <c r="AB23" s="114">
        <v>12239600</v>
      </c>
      <c r="AC23" s="11">
        <v>12.35</v>
      </c>
      <c r="AD23" s="2">
        <f t="shared" si="2"/>
        <v>1.92</v>
      </c>
      <c r="AE23" s="148">
        <f t="shared" si="3"/>
        <v>-6.5102195306586008E-2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42411</v>
      </c>
      <c r="X24" s="44">
        <v>14.12</v>
      </c>
      <c r="Y24" s="44">
        <v>14.12</v>
      </c>
      <c r="Z24" s="44">
        <v>13.14</v>
      </c>
      <c r="AA24" s="44">
        <v>13.21</v>
      </c>
      <c r="AB24" s="114">
        <v>8851900</v>
      </c>
      <c r="AC24" s="11">
        <v>13.21</v>
      </c>
      <c r="AD24" s="2">
        <f t="shared" si="2"/>
        <v>0.97999999999999865</v>
      </c>
      <c r="AE24" s="148">
        <f t="shared" si="3"/>
        <v>-8.0723729993040894E-2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42410</v>
      </c>
      <c r="X25" s="44">
        <v>14.48</v>
      </c>
      <c r="Y25" s="44">
        <v>14.7</v>
      </c>
      <c r="Z25" s="44">
        <v>14.04</v>
      </c>
      <c r="AA25" s="44">
        <v>14.37</v>
      </c>
      <c r="AB25" s="114">
        <v>3225300</v>
      </c>
      <c r="AC25" s="11">
        <v>14.37</v>
      </c>
      <c r="AD25" s="2">
        <f t="shared" si="2"/>
        <v>0.66000000000000014</v>
      </c>
      <c r="AE25" s="148">
        <f t="shared" si="3"/>
        <v>-1.440329218107006E-2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42409</v>
      </c>
      <c r="X26" s="44">
        <v>14.03</v>
      </c>
      <c r="Y26" s="44">
        <v>14.78</v>
      </c>
      <c r="Z26" s="44">
        <v>13.88</v>
      </c>
      <c r="AA26" s="44">
        <v>14.58</v>
      </c>
      <c r="AB26" s="114">
        <v>4819900</v>
      </c>
      <c r="AC26" s="11">
        <v>14.58</v>
      </c>
      <c r="AD26" s="2">
        <f t="shared" si="2"/>
        <v>0.89999999999999858</v>
      </c>
      <c r="AE26" s="148">
        <f t="shared" si="3"/>
        <v>3.1117397454031082E-2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42408</v>
      </c>
      <c r="X27" s="44">
        <v>15.2</v>
      </c>
      <c r="Y27" s="44">
        <v>15.22</v>
      </c>
      <c r="Z27" s="44">
        <v>13.79</v>
      </c>
      <c r="AA27" s="44">
        <v>14.14</v>
      </c>
      <c r="AB27" s="114">
        <v>9036100</v>
      </c>
      <c r="AC27" s="11">
        <v>14.14</v>
      </c>
      <c r="AD27" s="2">
        <f t="shared" si="2"/>
        <v>1.4300000000000015</v>
      </c>
      <c r="AE27" s="148">
        <f t="shared" si="3"/>
        <v>-7.6420640104506887E-2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42405</v>
      </c>
      <c r="X28" s="44">
        <v>15.68</v>
      </c>
      <c r="Y28" s="44">
        <v>16.07</v>
      </c>
      <c r="Z28" s="44">
        <v>15.31</v>
      </c>
      <c r="AA28" s="44">
        <v>15.31</v>
      </c>
      <c r="AB28" s="114">
        <v>10245300</v>
      </c>
      <c r="AC28" s="11">
        <v>15.31</v>
      </c>
      <c r="AD28" s="2">
        <f t="shared" si="2"/>
        <v>0.75999999999999979</v>
      </c>
      <c r="AE28" s="148">
        <f t="shared" si="3"/>
        <v>-3.1625553447185317E-2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42404</v>
      </c>
      <c r="X29" s="44">
        <v>15.96</v>
      </c>
      <c r="Y29" s="44">
        <v>16.489999999999998</v>
      </c>
      <c r="Z29" s="44">
        <v>15.7</v>
      </c>
      <c r="AA29" s="44">
        <v>15.81</v>
      </c>
      <c r="AB29" s="114">
        <v>10597800</v>
      </c>
      <c r="AC29" s="11">
        <v>15.81</v>
      </c>
      <c r="AD29" s="2">
        <f t="shared" si="2"/>
        <v>0.78999999999999915</v>
      </c>
      <c r="AE29" s="148">
        <f t="shared" si="3"/>
        <v>-8.1555834378920222E-3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42403</v>
      </c>
      <c r="X30" s="44">
        <v>15.33</v>
      </c>
      <c r="Y30" s="44">
        <v>15.96</v>
      </c>
      <c r="Z30" s="44">
        <v>15.26</v>
      </c>
      <c r="AA30" s="44">
        <v>15.94</v>
      </c>
      <c r="AB30" s="114">
        <v>12289400</v>
      </c>
      <c r="AC30" s="11">
        <v>15.94</v>
      </c>
      <c r="AD30" s="2">
        <f t="shared" si="2"/>
        <v>0.70000000000000107</v>
      </c>
      <c r="AE30" s="148">
        <f t="shared" si="3"/>
        <v>5.0065876152832756E-2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42402</v>
      </c>
      <c r="X31" s="44">
        <v>15.1</v>
      </c>
      <c r="Y31" s="44">
        <v>15.25</v>
      </c>
      <c r="Z31" s="44">
        <v>14.62</v>
      </c>
      <c r="AA31" s="44">
        <v>15.18</v>
      </c>
      <c r="AB31" s="114">
        <v>2810800</v>
      </c>
      <c r="AC31" s="11">
        <v>15.18</v>
      </c>
      <c r="AD31" s="2">
        <f t="shared" si="2"/>
        <v>0.63000000000000078</v>
      </c>
      <c r="AE31" s="148">
        <f t="shared" si="3"/>
        <v>-5.2424639580602728E-3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42401</v>
      </c>
      <c r="X32" s="44">
        <v>15.25</v>
      </c>
      <c r="Y32" s="44">
        <v>15.58</v>
      </c>
      <c r="Z32" s="44">
        <v>14.92</v>
      </c>
      <c r="AA32" s="44">
        <v>15.26</v>
      </c>
      <c r="AB32" s="114">
        <v>4631100</v>
      </c>
      <c r="AC32" s="11">
        <v>15.26</v>
      </c>
      <c r="AD32" s="2">
        <f t="shared" si="2"/>
        <v>0.66000000000000014</v>
      </c>
      <c r="AE32" s="148">
        <f t="shared" si="3"/>
        <v>-3.2658393207054548E-3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42398</v>
      </c>
      <c r="X33" s="44">
        <v>14.66</v>
      </c>
      <c r="Y33" s="44">
        <v>15.38</v>
      </c>
      <c r="Z33" s="44">
        <v>14.58</v>
      </c>
      <c r="AA33" s="44">
        <v>15.31</v>
      </c>
      <c r="AB33" s="114">
        <v>4889600</v>
      </c>
      <c r="AC33" s="11">
        <v>15.31</v>
      </c>
      <c r="AD33" s="2">
        <f t="shared" si="2"/>
        <v>0.80000000000000071</v>
      </c>
      <c r="AE33" s="148">
        <f t="shared" si="3"/>
        <v>6.1719833564493731E-2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42397</v>
      </c>
      <c r="X34" s="44">
        <v>14.49</v>
      </c>
      <c r="Y34" s="44">
        <v>14.86</v>
      </c>
      <c r="Z34" s="44">
        <v>14.23</v>
      </c>
      <c r="AA34" s="44">
        <v>14.42</v>
      </c>
      <c r="AB34" s="114">
        <v>3390800</v>
      </c>
      <c r="AC34" s="11">
        <v>14.42</v>
      </c>
      <c r="AD34" s="2">
        <f t="shared" si="2"/>
        <v>0.62999999999999901</v>
      </c>
      <c r="AE34" s="148">
        <f t="shared" si="3"/>
        <v>1.1929824561403457E-2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42396</v>
      </c>
      <c r="X35" s="44">
        <v>13.72</v>
      </c>
      <c r="Y35" s="44">
        <v>14.28</v>
      </c>
      <c r="Z35" s="44">
        <v>13.42</v>
      </c>
      <c r="AA35" s="44">
        <v>14.25</v>
      </c>
      <c r="AB35" s="114">
        <v>5982600</v>
      </c>
      <c r="AC35" s="11">
        <v>14.25</v>
      </c>
      <c r="AD35" s="2">
        <f t="shared" si="2"/>
        <v>0.85999999999999943</v>
      </c>
      <c r="AE35" s="148">
        <f t="shared" si="3"/>
        <v>2.813852813852824E-2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42395</v>
      </c>
      <c r="X36" s="44">
        <v>13.48</v>
      </c>
      <c r="Y36" s="44">
        <v>14.04</v>
      </c>
      <c r="Z36" s="44">
        <v>13.2</v>
      </c>
      <c r="AA36" s="44">
        <v>13.86</v>
      </c>
      <c r="AB36" s="114">
        <v>3564200</v>
      </c>
      <c r="AC36" s="11">
        <v>13.86</v>
      </c>
      <c r="AD36" s="2">
        <f t="shared" si="2"/>
        <v>0.83999999999999986</v>
      </c>
      <c r="AE36" s="148">
        <f t="shared" si="3"/>
        <v>3.8202247191011285E-2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42394</v>
      </c>
      <c r="X37" s="44">
        <v>14.35</v>
      </c>
      <c r="Y37" s="44">
        <v>14.35</v>
      </c>
      <c r="Z37" s="44">
        <v>13.29</v>
      </c>
      <c r="AA37" s="44">
        <v>13.35</v>
      </c>
      <c r="AB37" s="114">
        <v>4504600</v>
      </c>
      <c r="AC37" s="11">
        <v>13.35</v>
      </c>
      <c r="AD37" s="2">
        <f t="shared" si="2"/>
        <v>1.0600000000000005</v>
      </c>
      <c r="AE37" s="148">
        <f t="shared" si="3"/>
        <v>-7.9944865609924198E-2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42391</v>
      </c>
      <c r="X38" s="44">
        <v>14.82</v>
      </c>
      <c r="Y38" s="44">
        <v>15.18</v>
      </c>
      <c r="Z38" s="44">
        <v>14.12</v>
      </c>
      <c r="AA38" s="44">
        <v>14.51</v>
      </c>
      <c r="AB38" s="114">
        <v>8083100</v>
      </c>
      <c r="AC38" s="11">
        <v>14.51</v>
      </c>
      <c r="AD38" s="2">
        <f t="shared" si="2"/>
        <v>1.0600000000000005</v>
      </c>
      <c r="AE38" s="148">
        <f t="shared" si="3"/>
        <v>-2.0632737276478075E-3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42390</v>
      </c>
      <c r="X39" s="44">
        <v>14.16</v>
      </c>
      <c r="Y39" s="44">
        <v>14.88</v>
      </c>
      <c r="Z39" s="44">
        <v>14.01</v>
      </c>
      <c r="AA39" s="44">
        <v>14.54</v>
      </c>
      <c r="AB39" s="114">
        <v>7137900</v>
      </c>
      <c r="AC39" s="11">
        <v>14.54</v>
      </c>
      <c r="AD39" s="2">
        <f t="shared" si="2"/>
        <v>0.87000000000000099</v>
      </c>
      <c r="AE39" s="148">
        <f t="shared" si="3"/>
        <v>2.5387870239774291E-2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42389</v>
      </c>
      <c r="X40" s="44">
        <v>13.81</v>
      </c>
      <c r="Y40" s="44">
        <v>14.38</v>
      </c>
      <c r="Z40" s="44">
        <v>12.98</v>
      </c>
      <c r="AA40" s="44">
        <v>14.18</v>
      </c>
      <c r="AB40" s="114">
        <v>6022300</v>
      </c>
      <c r="AC40" s="11">
        <v>14.18</v>
      </c>
      <c r="AD40" s="2">
        <f t="shared" si="2"/>
        <v>1.4000000000000004</v>
      </c>
      <c r="AE40" s="148">
        <f t="shared" si="3"/>
        <v>1.2134189864382527E-2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42388</v>
      </c>
      <c r="X41" s="44">
        <v>13.76</v>
      </c>
      <c r="Y41" s="44">
        <v>14.22</v>
      </c>
      <c r="Z41" s="44">
        <v>13.6</v>
      </c>
      <c r="AA41" s="44">
        <v>14.01</v>
      </c>
      <c r="AB41" s="114">
        <v>6516200</v>
      </c>
      <c r="AC41" s="11">
        <v>14.01</v>
      </c>
      <c r="AD41" s="2">
        <f t="shared" si="2"/>
        <v>0.62000000000000099</v>
      </c>
      <c r="AE41" s="148">
        <f t="shared" si="3"/>
        <v>2.7879677182685247E-2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42384</v>
      </c>
      <c r="X42" s="44">
        <v>13.98</v>
      </c>
      <c r="Y42" s="44">
        <v>14.09</v>
      </c>
      <c r="Z42" s="44">
        <v>13.15</v>
      </c>
      <c r="AA42" s="44">
        <v>13.63</v>
      </c>
      <c r="AB42" s="114">
        <v>5640500</v>
      </c>
      <c r="AC42" s="11">
        <v>13.63</v>
      </c>
      <c r="AD42" s="2">
        <f t="shared" si="2"/>
        <v>0.9399999999999995</v>
      </c>
      <c r="AE42" s="148">
        <f t="shared" si="3"/>
        <v>-4.7519217330538099E-2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42383</v>
      </c>
      <c r="X43" s="44">
        <v>13.35</v>
      </c>
      <c r="Y43" s="44">
        <v>14.39</v>
      </c>
      <c r="Z43" s="44">
        <v>13.18</v>
      </c>
      <c r="AA43" s="44">
        <v>14.31</v>
      </c>
      <c r="AB43" s="114">
        <v>3953900</v>
      </c>
      <c r="AC43" s="11">
        <v>14.31</v>
      </c>
      <c r="AD43" s="2">
        <f t="shared" si="2"/>
        <v>1.2100000000000009</v>
      </c>
      <c r="AE43" s="148">
        <f t="shared" si="3"/>
        <v>7.3518379594898819E-2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42382</v>
      </c>
      <c r="X44" s="44">
        <v>13.73</v>
      </c>
      <c r="Y44" s="44">
        <v>14.09</v>
      </c>
      <c r="Z44" s="44">
        <v>13.27</v>
      </c>
      <c r="AA44" s="44">
        <v>13.33</v>
      </c>
      <c r="AB44" s="114">
        <v>5785300</v>
      </c>
      <c r="AC44" s="11">
        <v>13.33</v>
      </c>
      <c r="AD44" s="2">
        <f t="shared" si="2"/>
        <v>0.82000000000000028</v>
      </c>
      <c r="AE44" s="148">
        <f t="shared" si="3"/>
        <v>-2.6296566837107349E-2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42381</v>
      </c>
      <c r="X45" s="44">
        <v>14.47</v>
      </c>
      <c r="Y45" s="44">
        <v>14.56</v>
      </c>
      <c r="Z45" s="44">
        <v>13.67</v>
      </c>
      <c r="AA45" s="44">
        <v>13.69</v>
      </c>
      <c r="AB45" s="114">
        <v>6493300</v>
      </c>
      <c r="AC45" s="11">
        <v>13.69</v>
      </c>
      <c r="AD45" s="2">
        <f t="shared" si="2"/>
        <v>0.89000000000000057</v>
      </c>
      <c r="AE45" s="148">
        <f t="shared" si="3"/>
        <v>-4.9965301873698853E-2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8" t="s">
        <v>78</v>
      </c>
      <c r="P46" s="408"/>
      <c r="Q46" s="2"/>
      <c r="T46" s="115" t="s">
        <v>94</v>
      </c>
      <c r="U46" s="119"/>
      <c r="W46" s="133">
        <v>42380</v>
      </c>
      <c r="X46" s="44">
        <v>14.57</v>
      </c>
      <c r="Y46" s="44">
        <v>14.63</v>
      </c>
      <c r="Z46" s="44">
        <v>14.19</v>
      </c>
      <c r="AA46" s="44">
        <v>14.41</v>
      </c>
      <c r="AB46" s="114">
        <v>5499600</v>
      </c>
      <c r="AC46" s="11">
        <v>14.41</v>
      </c>
      <c r="AD46" s="2">
        <f t="shared" si="2"/>
        <v>0.44000000000000128</v>
      </c>
      <c r="AE46" s="148">
        <f t="shared" si="3"/>
        <v>-8.2587749483825634E-3</v>
      </c>
    </row>
    <row r="47" spans="2:41" ht="15.75" thickTop="1" x14ac:dyDescent="0.25">
      <c r="B47" s="409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16.005000000000003</v>
      </c>
      <c r="Q47" s="2"/>
      <c r="T47" s="118" t="s">
        <v>101</v>
      </c>
      <c r="U47" s="116">
        <v>14.45</v>
      </c>
      <c r="W47" s="133">
        <v>42377</v>
      </c>
      <c r="X47" s="44">
        <v>14.41</v>
      </c>
      <c r="Y47" s="44">
        <v>14.67</v>
      </c>
      <c r="Z47" s="44">
        <v>14.1</v>
      </c>
      <c r="AA47" s="44">
        <v>14.53</v>
      </c>
      <c r="AB47" s="114">
        <v>9558900</v>
      </c>
      <c r="AC47" s="11">
        <v>14.53</v>
      </c>
      <c r="AD47" s="2">
        <f t="shared" si="2"/>
        <v>0.57000000000000028</v>
      </c>
      <c r="AE47" s="148">
        <f t="shared" si="3"/>
        <v>1.2543554006968716E-2</v>
      </c>
    </row>
    <row r="48" spans="2:41" x14ac:dyDescent="0.25">
      <c r="B48" s="409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15.859500000000002</v>
      </c>
      <c r="Q48" s="2"/>
      <c r="T48" s="118" t="s">
        <v>102</v>
      </c>
      <c r="U48" s="116">
        <v>14.34</v>
      </c>
      <c r="W48" s="133">
        <v>42376</v>
      </c>
      <c r="X48" s="44">
        <v>14.1</v>
      </c>
      <c r="Y48" s="44">
        <v>14.54</v>
      </c>
      <c r="Z48" s="44">
        <v>14.03</v>
      </c>
      <c r="AA48" s="44">
        <v>14.35</v>
      </c>
      <c r="AB48" s="114">
        <v>4245600</v>
      </c>
      <c r="AC48" s="11">
        <v>14.35</v>
      </c>
      <c r="AD48" s="2">
        <f t="shared" si="2"/>
        <v>0.50999999999999979</v>
      </c>
      <c r="AE48" s="148">
        <f t="shared" si="3"/>
        <v>6.9735006973492553E-4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15.714000000000002</v>
      </c>
      <c r="Q49" s="2"/>
      <c r="T49" s="118" t="s">
        <v>103</v>
      </c>
      <c r="U49" s="116" t="s">
        <v>289</v>
      </c>
      <c r="W49" s="133">
        <v>42375</v>
      </c>
      <c r="X49" s="44">
        <v>14.51</v>
      </c>
      <c r="Y49" s="44">
        <v>14.51</v>
      </c>
      <c r="Z49" s="44">
        <v>14.26</v>
      </c>
      <c r="AA49" s="44">
        <v>14.34</v>
      </c>
      <c r="AB49" s="114">
        <v>2889400</v>
      </c>
      <c r="AC49" s="11">
        <v>14.34</v>
      </c>
      <c r="AD49" s="2">
        <f t="shared" si="2"/>
        <v>0.25</v>
      </c>
      <c r="AE49" s="148">
        <f t="shared" si="3"/>
        <v>-2.3160762942779245E-2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15.568500000000002</v>
      </c>
      <c r="Q50" s="2"/>
      <c r="T50" s="118" t="s">
        <v>104</v>
      </c>
      <c r="U50" s="116" t="s">
        <v>290</v>
      </c>
      <c r="W50" s="133">
        <v>42374</v>
      </c>
      <c r="X50" s="44">
        <v>14.51</v>
      </c>
      <c r="Y50" s="44">
        <v>14.7</v>
      </c>
      <c r="Z50" s="44">
        <v>14.18</v>
      </c>
      <c r="AA50" s="44">
        <v>14.68</v>
      </c>
      <c r="AB50" s="114">
        <v>3381600</v>
      </c>
      <c r="AC50" s="11">
        <v>14.68</v>
      </c>
      <c r="AD50" s="2">
        <f t="shared" si="2"/>
        <v>0.51999999999999957</v>
      </c>
      <c r="AE50" s="148">
        <f t="shared" si="3"/>
        <v>1.591695501730106E-2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15.423000000000002</v>
      </c>
      <c r="Q51" s="2"/>
      <c r="T51" s="118" t="s">
        <v>105</v>
      </c>
      <c r="U51" s="116">
        <v>20.07</v>
      </c>
      <c r="W51" s="133">
        <v>42373</v>
      </c>
      <c r="X51" s="44">
        <v>14.41</v>
      </c>
      <c r="Y51" s="44">
        <v>14.7</v>
      </c>
      <c r="Z51" s="44">
        <v>14.22</v>
      </c>
      <c r="AA51" s="44">
        <v>14.45</v>
      </c>
      <c r="AB51" s="114">
        <v>3947500</v>
      </c>
      <c r="AC51" s="11">
        <v>14.45</v>
      </c>
      <c r="AD51" s="2">
        <f t="shared" si="2"/>
        <v>0.47999999999999865</v>
      </c>
      <c r="AE51" s="148">
        <f t="shared" si="3"/>
        <v>-1.3821700069109877E-3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15.277500000000002</v>
      </c>
      <c r="Q52" s="2"/>
      <c r="T52" s="118" t="s">
        <v>106</v>
      </c>
      <c r="U52" s="116">
        <v>0.88275000000000003</v>
      </c>
      <c r="W52" s="133">
        <v>42369</v>
      </c>
      <c r="X52" s="44">
        <v>14.21</v>
      </c>
      <c r="Y52" s="44">
        <v>14.57</v>
      </c>
      <c r="Z52" s="44">
        <v>14.11</v>
      </c>
      <c r="AA52" s="44">
        <v>14.47</v>
      </c>
      <c r="AB52" s="114">
        <v>2244100</v>
      </c>
      <c r="AC52" s="11">
        <v>14.47</v>
      </c>
      <c r="AD52" s="2">
        <f t="shared" si="2"/>
        <v>0.46000000000000085</v>
      </c>
      <c r="AE52" s="148">
        <f t="shared" si="3"/>
        <v>1.8296973961998475E-2</v>
      </c>
    </row>
    <row r="53" spans="1:42" x14ac:dyDescent="0.25">
      <c r="B53" s="1">
        <v>42426</v>
      </c>
      <c r="C53" s="327">
        <v>500</v>
      </c>
      <c r="D53" s="325">
        <v>12.52</v>
      </c>
      <c r="E53" s="326">
        <v>0</v>
      </c>
      <c r="F53" s="326">
        <f t="shared" si="8"/>
        <v>6260</v>
      </c>
      <c r="O53" s="93">
        <v>1.04</v>
      </c>
      <c r="P53" s="93">
        <f t="shared" si="9"/>
        <v>15.132000000000001</v>
      </c>
      <c r="Q53" s="2"/>
      <c r="T53" s="118" t="s">
        <v>107</v>
      </c>
      <c r="U53" s="116" t="s">
        <v>134</v>
      </c>
      <c r="W53" s="133">
        <v>42368</v>
      </c>
      <c r="X53" s="44">
        <v>14.44</v>
      </c>
      <c r="Y53" s="44">
        <v>14.61</v>
      </c>
      <c r="Z53" s="44">
        <v>14.21</v>
      </c>
      <c r="AA53" s="44">
        <v>14.21</v>
      </c>
      <c r="AB53" s="114">
        <v>2189300</v>
      </c>
      <c r="AC53" s="11">
        <v>14.21</v>
      </c>
      <c r="AD53" s="2">
        <f t="shared" si="2"/>
        <v>0.39999999999999858</v>
      </c>
      <c r="AE53" s="148">
        <f t="shared" si="3"/>
        <v>-2.5377229080932762E-2</v>
      </c>
      <c r="AL53" s="263"/>
      <c r="AO53" s="263"/>
    </row>
    <row r="54" spans="1:42" x14ac:dyDescent="0.25">
      <c r="C54" s="4"/>
      <c r="D54" s="273"/>
      <c r="E54" s="3"/>
      <c r="F54" s="3"/>
      <c r="O54" s="93">
        <v>1.03</v>
      </c>
      <c r="P54" s="93">
        <f t="shared" si="9"/>
        <v>14.986500000000001</v>
      </c>
      <c r="Q54" s="2"/>
      <c r="T54" s="118"/>
      <c r="U54" s="116"/>
      <c r="W54" s="133">
        <v>42367</v>
      </c>
      <c r="X54" s="44">
        <v>14.44</v>
      </c>
      <c r="Y54" s="44">
        <v>14.63</v>
      </c>
      <c r="Z54" s="44">
        <v>14.15</v>
      </c>
      <c r="AA54" s="44">
        <v>14.58</v>
      </c>
      <c r="AB54" s="114">
        <v>3921200</v>
      </c>
      <c r="AC54" s="11">
        <v>14.58</v>
      </c>
      <c r="AD54" s="2">
        <f t="shared" si="2"/>
        <v>0.48000000000000043</v>
      </c>
      <c r="AE54" s="148">
        <f t="shared" si="3"/>
        <v>1.6027874564459976E-2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14.841000000000001</v>
      </c>
      <c r="T55" s="118" t="s">
        <v>108</v>
      </c>
      <c r="U55" s="116" t="s">
        <v>291</v>
      </c>
      <c r="W55" s="133">
        <v>42366</v>
      </c>
      <c r="X55" s="44">
        <v>14.34</v>
      </c>
      <c r="Y55" s="44">
        <v>14.46</v>
      </c>
      <c r="Z55" s="44">
        <v>14.2</v>
      </c>
      <c r="AA55" s="44">
        <v>14.35</v>
      </c>
      <c r="AB55" s="114">
        <v>2457900</v>
      </c>
      <c r="AC55" s="11">
        <v>14.35</v>
      </c>
      <c r="AD55" s="2">
        <f t="shared" si="2"/>
        <v>0.26000000000000156</v>
      </c>
      <c r="AE55" s="148">
        <f t="shared" si="3"/>
        <v>-7.6071922544952431E-3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14.695500000000001</v>
      </c>
      <c r="T56" s="118" t="s">
        <v>109</v>
      </c>
      <c r="U56" s="116" t="s">
        <v>242</v>
      </c>
      <c r="W56" s="133">
        <v>42362</v>
      </c>
      <c r="X56" s="44">
        <v>14.24</v>
      </c>
      <c r="Y56" s="44">
        <v>14.48</v>
      </c>
      <c r="Z56" s="44">
        <v>14.18</v>
      </c>
      <c r="AA56" s="44">
        <v>14.46</v>
      </c>
      <c r="AB56" s="114">
        <v>1351800</v>
      </c>
      <c r="AC56" s="11">
        <v>14.46</v>
      </c>
      <c r="AD56" s="2">
        <f t="shared" si="2"/>
        <v>0.30000000000000071</v>
      </c>
      <c r="AE56" s="148">
        <f t="shared" si="3"/>
        <v>1.1896431070678837E-2</v>
      </c>
    </row>
    <row r="57" spans="1:42" x14ac:dyDescent="0.25">
      <c r="O57" s="93">
        <v>1</v>
      </c>
      <c r="P57" s="93">
        <f t="shared" si="9"/>
        <v>14.55</v>
      </c>
      <c r="T57" s="118" t="s">
        <v>110</v>
      </c>
      <c r="U57" s="117">
        <v>2064616</v>
      </c>
      <c r="W57" s="133">
        <v>42361</v>
      </c>
      <c r="X57" s="44">
        <v>13.58</v>
      </c>
      <c r="Y57" s="44">
        <v>14.37</v>
      </c>
      <c r="Z57" s="44">
        <v>13.58</v>
      </c>
      <c r="AA57" s="44">
        <v>14.29</v>
      </c>
      <c r="AB57" s="114">
        <v>3880500</v>
      </c>
      <c r="AC57" s="11">
        <v>14.29</v>
      </c>
      <c r="AD57" s="2">
        <f t="shared" si="2"/>
        <v>0.78999999999999915</v>
      </c>
      <c r="AE57" s="148">
        <f t="shared" si="3"/>
        <v>6.0089020771513235E-2</v>
      </c>
      <c r="AL57" s="263"/>
      <c r="AO57" s="263"/>
    </row>
    <row r="58" spans="1:42" x14ac:dyDescent="0.25">
      <c r="B58" s="209" t="s">
        <v>117</v>
      </c>
      <c r="C58" s="209" t="s">
        <v>170</v>
      </c>
      <c r="D58" s="219" t="s">
        <v>169</v>
      </c>
      <c r="E58" s="213" t="s">
        <v>171</v>
      </c>
      <c r="F58" s="213" t="s">
        <v>65</v>
      </c>
      <c r="G58" s="253" t="s">
        <v>175</v>
      </c>
      <c r="H58" s="213" t="s">
        <v>90</v>
      </c>
      <c r="I58" s="274" t="s">
        <v>175</v>
      </c>
      <c r="O58" s="93">
        <v>0.99</v>
      </c>
      <c r="P58" s="93">
        <f t="shared" si="9"/>
        <v>14.404500000000001</v>
      </c>
      <c r="T58" s="118" t="s">
        <v>113</v>
      </c>
      <c r="U58" s="117">
        <v>5098500</v>
      </c>
      <c r="W58" s="133">
        <v>42360</v>
      </c>
      <c r="X58" s="44">
        <v>13.63</v>
      </c>
      <c r="Y58" s="44">
        <v>13.88</v>
      </c>
      <c r="Z58" s="44">
        <v>13.4</v>
      </c>
      <c r="AA58" s="44">
        <v>13.48</v>
      </c>
      <c r="AB58" s="114">
        <v>4640200</v>
      </c>
      <c r="AC58" s="11">
        <v>13.48</v>
      </c>
      <c r="AD58" s="2">
        <f t="shared" si="2"/>
        <v>0.48000000000000043</v>
      </c>
      <c r="AE58" s="148">
        <f t="shared" si="3"/>
        <v>-1.1730205278592365E-2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14.259</v>
      </c>
      <c r="T59" s="118" t="s">
        <v>111</v>
      </c>
      <c r="U59" s="116" t="s">
        <v>292</v>
      </c>
      <c r="W59" s="133">
        <v>42359</v>
      </c>
      <c r="X59" s="44">
        <v>12.92</v>
      </c>
      <c r="Y59" s="44">
        <v>13.72</v>
      </c>
      <c r="Z59" s="44">
        <v>12.9</v>
      </c>
      <c r="AA59" s="44">
        <v>13.64</v>
      </c>
      <c r="AB59" s="114">
        <v>6314400</v>
      </c>
      <c r="AC59" s="11">
        <v>13.64</v>
      </c>
      <c r="AD59" s="2">
        <f t="shared" si="2"/>
        <v>0.82000000000000028</v>
      </c>
      <c r="AE59" s="148">
        <f t="shared" si="3"/>
        <v>5.9006211180124168E-2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89" si="10">C60*(E60-D60)</f>
        <v>-13659.100000000004</v>
      </c>
      <c r="G60" s="43">
        <f t="shared" ref="G60:G89" si="11">IF(C60=0, 0,D60*C60)</f>
        <v>96277.3</v>
      </c>
      <c r="H60" s="261">
        <f t="shared" ref="H60:H89" si="12">IF(C60=0, D60, (E60-D60)/D60)</f>
        <v>-0.14187248707639291</v>
      </c>
      <c r="I60" s="220"/>
      <c r="O60" s="93">
        <v>0.97</v>
      </c>
      <c r="P60" s="93">
        <f t="shared" si="9"/>
        <v>14.1135</v>
      </c>
      <c r="T60" s="118" t="s">
        <v>114</v>
      </c>
      <c r="U60" s="116">
        <v>22.31</v>
      </c>
      <c r="W60" s="133">
        <v>42356</v>
      </c>
      <c r="X60" s="44">
        <v>12.44</v>
      </c>
      <c r="Y60" s="44">
        <v>13</v>
      </c>
      <c r="Z60" s="44">
        <v>12.4</v>
      </c>
      <c r="AA60" s="44">
        <v>12.88</v>
      </c>
      <c r="AB60" s="114">
        <v>6310900</v>
      </c>
      <c r="AC60" s="11">
        <v>12.88</v>
      </c>
      <c r="AD60" s="2">
        <f t="shared" si="2"/>
        <v>0.59999999999999964</v>
      </c>
      <c r="AE60" s="148">
        <f t="shared" si="3"/>
        <v>3.0399999999999983E-2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13.968</v>
      </c>
      <c r="T61" s="118" t="s">
        <v>115</v>
      </c>
      <c r="U61" s="116">
        <v>0.64</v>
      </c>
      <c r="W61" s="133">
        <v>42355</v>
      </c>
      <c r="X61" s="44">
        <v>12.73</v>
      </c>
      <c r="Y61" s="44">
        <v>12.83</v>
      </c>
      <c r="Z61" s="44">
        <v>12.44</v>
      </c>
      <c r="AA61" s="44">
        <v>12.5</v>
      </c>
      <c r="AB61" s="114">
        <v>4882600</v>
      </c>
      <c r="AC61" s="11">
        <v>12.5</v>
      </c>
      <c r="AD61" s="2">
        <f t="shared" si="2"/>
        <v>0.39000000000000057</v>
      </c>
      <c r="AE61" s="148">
        <f t="shared" si="3"/>
        <v>-1.4972419227738287E-2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13.8225</v>
      </c>
      <c r="T62" s="118" t="s">
        <v>112</v>
      </c>
      <c r="U62" s="116" t="s">
        <v>127</v>
      </c>
      <c r="W62" s="133">
        <v>42354</v>
      </c>
      <c r="X62" s="44">
        <v>12.47</v>
      </c>
      <c r="Y62" s="44">
        <v>12.72</v>
      </c>
      <c r="Z62" s="44">
        <v>12.41</v>
      </c>
      <c r="AA62" s="44">
        <v>12.69</v>
      </c>
      <c r="AB62" s="114">
        <v>3643000</v>
      </c>
      <c r="AC62" s="11">
        <v>12.69</v>
      </c>
      <c r="AD62" s="2">
        <f t="shared" si="2"/>
        <v>0.3100000000000005</v>
      </c>
      <c r="AE62" s="148">
        <f t="shared" si="3"/>
        <v>2.0096463022508004E-2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13.677</v>
      </c>
      <c r="W63" s="133">
        <v>42353</v>
      </c>
      <c r="X63" s="44">
        <v>11.95</v>
      </c>
      <c r="Y63" s="44">
        <v>12.46</v>
      </c>
      <c r="Z63" s="44">
        <v>11.95</v>
      </c>
      <c r="AA63" s="44">
        <v>12.44</v>
      </c>
      <c r="AB63" s="114">
        <v>7626500</v>
      </c>
      <c r="AC63" s="11">
        <v>12.44</v>
      </c>
      <c r="AD63" s="2">
        <f t="shared" si="2"/>
        <v>0.51000000000000156</v>
      </c>
      <c r="AE63" s="148">
        <f t="shared" si="3"/>
        <v>5.4237288135593031E-2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13.531500000000001</v>
      </c>
      <c r="W64" s="133">
        <v>42352</v>
      </c>
      <c r="X64" s="44">
        <v>12.47</v>
      </c>
      <c r="Y64" s="44">
        <v>12.56</v>
      </c>
      <c r="Z64" s="44">
        <v>11.75</v>
      </c>
      <c r="AA64" s="44">
        <v>11.8</v>
      </c>
      <c r="AB64" s="114">
        <v>7621300</v>
      </c>
      <c r="AC64" s="11">
        <v>11.8</v>
      </c>
      <c r="AD64" s="2">
        <f t="shared" si="2"/>
        <v>0.8100000000000005</v>
      </c>
      <c r="AE64" s="148">
        <f t="shared" si="3"/>
        <v>-5.3728949478748955E-2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13.386000000000001</v>
      </c>
      <c r="W65" s="133">
        <v>42349</v>
      </c>
      <c r="X65" s="44">
        <v>12.81</v>
      </c>
      <c r="Y65" s="44">
        <v>12.85</v>
      </c>
      <c r="Z65" s="44">
        <v>12.45</v>
      </c>
      <c r="AA65" s="44">
        <v>12.47</v>
      </c>
      <c r="AB65" s="114">
        <v>3625700</v>
      </c>
      <c r="AC65" s="11">
        <v>12.47</v>
      </c>
      <c r="AD65" s="2">
        <f t="shared" si="2"/>
        <v>0.40000000000000036</v>
      </c>
      <c r="AE65" s="148">
        <f t="shared" si="3"/>
        <v>-3.482972136222906E-2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13.240500000000001</v>
      </c>
      <c r="W66" s="133">
        <v>42348</v>
      </c>
      <c r="X66" s="44">
        <v>12.92</v>
      </c>
      <c r="Y66" s="44">
        <v>13.03</v>
      </c>
      <c r="Z66" s="44">
        <v>12.75</v>
      </c>
      <c r="AA66" s="44">
        <v>12.92</v>
      </c>
      <c r="AB66" s="114">
        <v>3650900</v>
      </c>
      <c r="AC66" s="11">
        <v>12.92</v>
      </c>
      <c r="AD66" s="2">
        <f t="shared" si="2"/>
        <v>0.27999999999999936</v>
      </c>
      <c r="AE66" s="148">
        <f t="shared" si="3"/>
        <v>-7.7339520494967839E-4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13.095000000000001</v>
      </c>
      <c r="W67" s="133">
        <v>42347</v>
      </c>
      <c r="X67" s="44">
        <v>12.76</v>
      </c>
      <c r="Y67" s="44">
        <v>13.04</v>
      </c>
      <c r="Z67" s="44">
        <v>12.67</v>
      </c>
      <c r="AA67" s="44">
        <v>12.93</v>
      </c>
      <c r="AB67" s="114">
        <v>3876300</v>
      </c>
      <c r="AC67" s="11">
        <v>12.93</v>
      </c>
      <c r="AD67" s="2">
        <f>Y67-Z67</f>
        <v>0.36999999999999922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/>
      <c r="C90" s="12"/>
      <c r="D90" s="220"/>
      <c r="E90" s="43"/>
      <c r="F90" s="43"/>
      <c r="G90" s="43"/>
      <c r="H90" s="261"/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83" priority="34">
      <formula>Q12&gt;0</formula>
    </cfRule>
    <cfRule type="expression" dxfId="38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81" priority="27">
      <formula>F59&gt;0</formula>
    </cfRule>
    <cfRule type="expression" dxfId="380" priority="28">
      <formula>F59&lt;0</formula>
    </cfRule>
  </conditionalFormatting>
  <conditionalFormatting sqref="H59:H65">
    <cfRule type="expression" dxfId="379" priority="15">
      <formula>H59&gt;0</formula>
    </cfRule>
    <cfRule type="expression" dxfId="378" priority="16">
      <formula>H59&lt;0</formula>
    </cfRule>
  </conditionalFormatting>
  <conditionalFormatting sqref="H66">
    <cfRule type="expression" dxfId="377" priority="13">
      <formula>H66&gt;0</formula>
    </cfRule>
    <cfRule type="expression" dxfId="376" priority="14">
      <formula>H66&lt;0</formula>
    </cfRule>
  </conditionalFormatting>
  <conditionalFormatting sqref="H67">
    <cfRule type="expression" dxfId="375" priority="11">
      <formula>H67&gt;0</formula>
    </cfRule>
    <cfRule type="expression" dxfId="374" priority="12">
      <formula>H67&lt;0</formula>
    </cfRule>
  </conditionalFormatting>
  <conditionalFormatting sqref="H68:H70">
    <cfRule type="expression" dxfId="373" priority="9">
      <formula>H68&gt;0</formula>
    </cfRule>
    <cfRule type="expression" dxfId="372" priority="10">
      <formula>H68&lt;0</formula>
    </cfRule>
  </conditionalFormatting>
  <conditionalFormatting sqref="H71">
    <cfRule type="expression" dxfId="371" priority="5">
      <formula>H71&gt;0</formula>
    </cfRule>
    <cfRule type="expression" dxfId="370" priority="6">
      <formula>H71&lt;0</formula>
    </cfRule>
  </conditionalFormatting>
  <conditionalFormatting sqref="F80:F92">
    <cfRule type="expression" dxfId="369" priority="3">
      <formula>F80&gt;0</formula>
    </cfRule>
    <cfRule type="expression" dxfId="368" priority="4">
      <formula>F80&lt;0</formula>
    </cfRule>
  </conditionalFormatting>
  <conditionalFormatting sqref="H72:H92">
    <cfRule type="expression" dxfId="367" priority="1">
      <formula>H72&gt;0</formula>
    </cfRule>
    <cfRule type="expression" dxfId="36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2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5290</v>
      </c>
      <c r="T2" s="19"/>
      <c r="U2" s="137"/>
      <c r="V2" s="19"/>
      <c r="W2" s="151">
        <v>42444</v>
      </c>
      <c r="X2" s="152">
        <v>11.15</v>
      </c>
      <c r="Y2" s="152">
        <v>11.15</v>
      </c>
      <c r="Z2" s="12">
        <v>10.72</v>
      </c>
      <c r="AA2" s="12">
        <v>10.85</v>
      </c>
      <c r="AB2" s="105">
        <v>15151100</v>
      </c>
      <c r="AC2" s="12">
        <v>10.85</v>
      </c>
      <c r="AD2">
        <f>Y2-Z2</f>
        <v>0.42999999999999972</v>
      </c>
      <c r="AE2" s="148">
        <f>AC2/AC3-1</f>
        <v>-2.6905829596412634E-2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(F78-K78)/Q2</f>
        <v>16.258881474480173</v>
      </c>
      <c r="W3" s="143">
        <v>42443</v>
      </c>
      <c r="X3" s="12">
        <v>11.34</v>
      </c>
      <c r="Y3" s="12">
        <v>11.34</v>
      </c>
      <c r="Z3" s="12">
        <v>11.01</v>
      </c>
      <c r="AA3" s="12">
        <v>11.15</v>
      </c>
      <c r="AB3" s="105">
        <v>13520800</v>
      </c>
      <c r="AC3" s="12">
        <v>11.15</v>
      </c>
      <c r="AD3">
        <f t="shared" ref="AD3:AD66" si="2">Y3-Z3</f>
        <v>0.33000000000000007</v>
      </c>
      <c r="AE3" s="148">
        <f t="shared" ref="AE3:AE66" si="3">AC3/AC4-1</f>
        <v>-2.1071115013169495E-2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10.72</v>
      </c>
      <c r="T4" s="1"/>
      <c r="W4" s="143">
        <v>42440</v>
      </c>
      <c r="X4" s="12">
        <v>10.99</v>
      </c>
      <c r="Y4" s="12">
        <v>11.4</v>
      </c>
      <c r="Z4" s="12">
        <v>10.85</v>
      </c>
      <c r="AA4" s="12">
        <v>11.39</v>
      </c>
      <c r="AB4" s="105">
        <v>17244200</v>
      </c>
      <c r="AC4" s="12">
        <v>11.39</v>
      </c>
      <c r="AD4">
        <f t="shared" si="2"/>
        <v>0.55000000000000071</v>
      </c>
      <c r="AE4" s="148">
        <f t="shared" si="3"/>
        <v>4.6875E-2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56708.800000000003</v>
      </c>
      <c r="W5" s="143">
        <v>42439</v>
      </c>
      <c r="X5" s="12">
        <v>10.95</v>
      </c>
      <c r="Y5" s="12">
        <v>11.06</v>
      </c>
      <c r="Z5" s="12">
        <v>10.66</v>
      </c>
      <c r="AA5" s="12">
        <v>10.88</v>
      </c>
      <c r="AB5" s="105">
        <v>17739000</v>
      </c>
      <c r="AC5" s="12">
        <v>10.88</v>
      </c>
      <c r="AD5">
        <f t="shared" si="2"/>
        <v>0.40000000000000036</v>
      </c>
      <c r="AE5" s="148">
        <f t="shared" si="3"/>
        <v>6.4754856614246403E-3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86009.483000000109</v>
      </c>
      <c r="W6" s="143">
        <v>42438</v>
      </c>
      <c r="X6" s="12">
        <v>10.76</v>
      </c>
      <c r="Y6" s="12">
        <v>10.91</v>
      </c>
      <c r="Z6" s="12">
        <v>10.53</v>
      </c>
      <c r="AA6" s="12">
        <v>10.81</v>
      </c>
      <c r="AB6" s="105">
        <v>15095700</v>
      </c>
      <c r="AC6" s="12">
        <v>10.81</v>
      </c>
      <c r="AD6">
        <f t="shared" si="2"/>
        <v>0.38000000000000078</v>
      </c>
      <c r="AE6" s="148">
        <f t="shared" si="3"/>
        <v>1.4071294559099501E-2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-29300.683000000106</v>
      </c>
      <c r="R7" s="175"/>
      <c r="W7" s="143">
        <v>42437</v>
      </c>
      <c r="X7" s="12">
        <v>11.44</v>
      </c>
      <c r="Y7" s="12">
        <v>11.45</v>
      </c>
      <c r="Z7" s="12">
        <v>10.65</v>
      </c>
      <c r="AA7" s="12">
        <v>10.66</v>
      </c>
      <c r="AB7" s="105">
        <v>29521700</v>
      </c>
      <c r="AC7" s="12">
        <v>10.66</v>
      </c>
      <c r="AD7">
        <f t="shared" si="2"/>
        <v>0.79999999999999893</v>
      </c>
      <c r="AE7" s="148">
        <f t="shared" si="3"/>
        <v>-7.9447322970639056E-2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-0.34066805168448777</v>
      </c>
      <c r="W8" s="143">
        <v>42436</v>
      </c>
      <c r="X8" s="12">
        <v>11.46</v>
      </c>
      <c r="Y8" s="12">
        <v>11.78</v>
      </c>
      <c r="Z8" s="12">
        <v>11.05</v>
      </c>
      <c r="AA8" s="12">
        <v>11.58</v>
      </c>
      <c r="AB8" s="105">
        <v>27748800</v>
      </c>
      <c r="AC8" s="12">
        <v>11.58</v>
      </c>
      <c r="AD8">
        <f t="shared" si="2"/>
        <v>0.72999999999999865</v>
      </c>
      <c r="AE8" s="148">
        <f t="shared" si="3"/>
        <v>-2.5252525252525304E-2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42433</v>
      </c>
      <c r="X9" s="12">
        <v>11.8</v>
      </c>
      <c r="Y9" s="12">
        <v>12.29</v>
      </c>
      <c r="Z9" s="12">
        <v>11.6</v>
      </c>
      <c r="AA9" s="12">
        <v>11.88</v>
      </c>
      <c r="AB9" s="105">
        <v>35199500</v>
      </c>
      <c r="AC9" s="12">
        <v>11.88</v>
      </c>
      <c r="AD9">
        <f t="shared" si="2"/>
        <v>0.6899999999999995</v>
      </c>
      <c r="AE9" s="148">
        <f t="shared" si="3"/>
        <v>7.6335877862596657E-3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42432</v>
      </c>
      <c r="X10" s="12">
        <v>11.73</v>
      </c>
      <c r="Y10" s="12">
        <v>11.85</v>
      </c>
      <c r="Z10" s="12">
        <v>11.6</v>
      </c>
      <c r="AA10" s="12">
        <v>11.79</v>
      </c>
      <c r="AB10" s="105">
        <v>16183300</v>
      </c>
      <c r="AC10" s="12">
        <v>11.79</v>
      </c>
      <c r="AD10">
        <f t="shared" si="2"/>
        <v>0.25</v>
      </c>
      <c r="AE10" s="148">
        <f t="shared" si="3"/>
        <v>9.4178082191780366E-3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42431</v>
      </c>
      <c r="X11" s="12">
        <v>11.01</v>
      </c>
      <c r="Y11" s="12">
        <v>11.69</v>
      </c>
      <c r="Z11" s="12">
        <v>10.97</v>
      </c>
      <c r="AA11" s="12">
        <v>11.68</v>
      </c>
      <c r="AB11" s="105">
        <v>18175600</v>
      </c>
      <c r="AC11" s="12">
        <v>11.68</v>
      </c>
      <c r="AD11">
        <f t="shared" si="2"/>
        <v>0.71999999999999886</v>
      </c>
      <c r="AE11" s="148">
        <f t="shared" si="3"/>
        <v>5.5103884372176948E-2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42430</v>
      </c>
      <c r="X12" s="12">
        <v>10.77</v>
      </c>
      <c r="Y12" s="12">
        <v>11.1</v>
      </c>
      <c r="Z12" s="12">
        <v>10.59</v>
      </c>
      <c r="AA12" s="12">
        <v>11.07</v>
      </c>
      <c r="AB12" s="105">
        <v>15610500</v>
      </c>
      <c r="AC12" s="12">
        <v>11.07</v>
      </c>
      <c r="AD12">
        <f t="shared" si="2"/>
        <v>0.50999999999999979</v>
      </c>
      <c r="AE12" s="148">
        <f t="shared" si="3"/>
        <v>4.1392285983066657E-2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9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42429</v>
      </c>
      <c r="X13" s="12">
        <v>10.65</v>
      </c>
      <c r="Y13" s="12">
        <v>10.89</v>
      </c>
      <c r="Z13" s="12">
        <v>10.52</v>
      </c>
      <c r="AA13" s="12">
        <v>10.63</v>
      </c>
      <c r="AB13" s="105">
        <v>20658000</v>
      </c>
      <c r="AC13" s="12">
        <v>10.63</v>
      </c>
      <c r="AD13">
        <f t="shared" si="2"/>
        <v>0.37000000000000099</v>
      </c>
      <c r="AE13" s="148">
        <f t="shared" si="3"/>
        <v>-6.5420560747662115E-3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9"/>
      <c r="H14" s="7">
        <v>190</v>
      </c>
      <c r="I14" s="47">
        <v>17.55</v>
      </c>
      <c r="J14" s="47">
        <v>0</v>
      </c>
      <c r="K14" s="47">
        <f t="shared" ref="K14:K34" si="4">H14*I14-J14</f>
        <v>3334.5</v>
      </c>
      <c r="W14" s="143">
        <v>42426</v>
      </c>
      <c r="X14" s="12">
        <v>10.79</v>
      </c>
      <c r="Y14" s="12">
        <v>11</v>
      </c>
      <c r="Z14" s="12">
        <v>10.57</v>
      </c>
      <c r="AA14" s="12">
        <v>10.7</v>
      </c>
      <c r="AB14" s="105">
        <v>16412600</v>
      </c>
      <c r="AC14" s="12">
        <v>10.7</v>
      </c>
      <c r="AD14">
        <f t="shared" si="2"/>
        <v>0.42999999999999972</v>
      </c>
      <c r="AE14" s="148">
        <f t="shared" si="3"/>
        <v>-1.8656716417911889E-3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42425</v>
      </c>
      <c r="X15" s="12">
        <v>10.67</v>
      </c>
      <c r="Y15" s="12">
        <v>10.74</v>
      </c>
      <c r="Z15" s="12">
        <v>10.210000000000001</v>
      </c>
      <c r="AA15" s="12">
        <v>10.72</v>
      </c>
      <c r="AB15" s="105">
        <v>16108800</v>
      </c>
      <c r="AC15" s="12">
        <v>10.72</v>
      </c>
      <c r="AD15">
        <f t="shared" si="2"/>
        <v>0.52999999999999936</v>
      </c>
      <c r="AE15" s="148">
        <f t="shared" si="3"/>
        <v>7.5187969924812581E-3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42424</v>
      </c>
      <c r="X16" s="12">
        <v>10.25</v>
      </c>
      <c r="Y16" s="12">
        <v>10.67</v>
      </c>
      <c r="Z16" s="12">
        <v>10.06</v>
      </c>
      <c r="AA16" s="12">
        <v>10.64</v>
      </c>
      <c r="AB16" s="105">
        <v>18526700</v>
      </c>
      <c r="AC16" s="12">
        <v>10.64</v>
      </c>
      <c r="AD16">
        <f t="shared" si="2"/>
        <v>0.60999999999999943</v>
      </c>
      <c r="AE16" s="148">
        <f t="shared" si="3"/>
        <v>1.4299332697807365E-2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42423</v>
      </c>
      <c r="X17" s="12">
        <v>11</v>
      </c>
      <c r="Y17" s="12">
        <v>11.08</v>
      </c>
      <c r="Z17" s="12">
        <v>10.39</v>
      </c>
      <c r="AA17" s="12">
        <v>10.49</v>
      </c>
      <c r="AB17" s="105">
        <v>22544300</v>
      </c>
      <c r="AC17" s="12">
        <v>10.49</v>
      </c>
      <c r="AD17">
        <f t="shared" si="2"/>
        <v>0.6899999999999995</v>
      </c>
      <c r="AE17" s="148">
        <f t="shared" si="3"/>
        <v>-5.067873303167425E-2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42422</v>
      </c>
      <c r="X18" s="12">
        <v>11.37</v>
      </c>
      <c r="Y18" s="12">
        <v>11.44</v>
      </c>
      <c r="Z18" s="12">
        <v>10.9</v>
      </c>
      <c r="AA18" s="12">
        <v>11.05</v>
      </c>
      <c r="AB18" s="105">
        <v>19944600</v>
      </c>
      <c r="AC18" s="12">
        <v>11.05</v>
      </c>
      <c r="AD18">
        <f t="shared" si="2"/>
        <v>0.53999999999999915</v>
      </c>
      <c r="AE18" s="148">
        <f t="shared" si="3"/>
        <v>-9.8566308243727141E-3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42419</v>
      </c>
      <c r="X19" s="12">
        <v>11.39</v>
      </c>
      <c r="Y19" s="12">
        <v>11.39</v>
      </c>
      <c r="Z19" s="12">
        <v>10.95</v>
      </c>
      <c r="AA19" s="12">
        <v>11.16</v>
      </c>
      <c r="AB19" s="105">
        <v>17892700</v>
      </c>
      <c r="AC19" s="12">
        <v>11.16</v>
      </c>
      <c r="AD19">
        <f t="shared" si="2"/>
        <v>0.44000000000000128</v>
      </c>
      <c r="AE19" s="148">
        <f t="shared" si="3"/>
        <v>-2.8720626631853818E-2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42418</v>
      </c>
      <c r="X20" s="12">
        <v>11.57</v>
      </c>
      <c r="Y20" s="12">
        <v>11.75</v>
      </c>
      <c r="Z20" s="12">
        <v>11.32</v>
      </c>
      <c r="AA20" s="12">
        <v>11.49</v>
      </c>
      <c r="AB20" s="105">
        <v>21516100</v>
      </c>
      <c r="AC20" s="12">
        <v>11.49</v>
      </c>
      <c r="AD20">
        <f t="shared" si="2"/>
        <v>0.42999999999999972</v>
      </c>
      <c r="AE20" s="148">
        <f t="shared" si="3"/>
        <v>5.2493438320211361E-3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42417</v>
      </c>
      <c r="X21" s="12">
        <v>10.97</v>
      </c>
      <c r="Y21" s="12">
        <v>11.65</v>
      </c>
      <c r="Z21" s="12">
        <v>10.92</v>
      </c>
      <c r="AA21" s="12">
        <v>11.43</v>
      </c>
      <c r="AB21" s="105">
        <v>34275200</v>
      </c>
      <c r="AC21" s="12">
        <v>11.43</v>
      </c>
      <c r="AD21">
        <f t="shared" si="2"/>
        <v>0.73000000000000043</v>
      </c>
      <c r="AE21" s="148">
        <f t="shared" si="3"/>
        <v>5.7354301572617894E-2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42416</v>
      </c>
      <c r="X22" s="12">
        <v>10.36</v>
      </c>
      <c r="Y22" s="12">
        <v>10.87</v>
      </c>
      <c r="Z22" s="12">
        <v>10.31</v>
      </c>
      <c r="AA22" s="12">
        <v>10.81</v>
      </c>
      <c r="AB22" s="105">
        <v>27375400</v>
      </c>
      <c r="AC22" s="12">
        <v>10.81</v>
      </c>
      <c r="AD22">
        <f t="shared" si="2"/>
        <v>0.55999999999999872</v>
      </c>
      <c r="AE22" s="148">
        <f t="shared" si="3"/>
        <v>7.8842315369261673E-2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42412</v>
      </c>
      <c r="X23" s="12">
        <v>9.8800000000000008</v>
      </c>
      <c r="Y23" s="12">
        <v>10.24</v>
      </c>
      <c r="Z23" s="12">
        <v>9.48</v>
      </c>
      <c r="AA23" s="12">
        <v>10.02</v>
      </c>
      <c r="AB23" s="105">
        <v>23805100</v>
      </c>
      <c r="AC23" s="12">
        <v>10.02</v>
      </c>
      <c r="AD23">
        <f t="shared" si="2"/>
        <v>0.75999999999999979</v>
      </c>
      <c r="AE23" s="148">
        <f t="shared" si="3"/>
        <v>3.4055727554179516E-2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42411</v>
      </c>
      <c r="X24" s="12">
        <v>9.7200000000000006</v>
      </c>
      <c r="Y24" s="12">
        <v>9.9499999999999993</v>
      </c>
      <c r="Z24" s="12">
        <v>9.4499999999999993</v>
      </c>
      <c r="AA24" s="12">
        <v>9.69</v>
      </c>
      <c r="AB24" s="105">
        <v>27048500</v>
      </c>
      <c r="AC24" s="12">
        <v>9.69</v>
      </c>
      <c r="AD24">
        <f t="shared" si="2"/>
        <v>0.5</v>
      </c>
      <c r="AE24" s="148">
        <f t="shared" si="3"/>
        <v>-2.1212121212121349E-2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42410</v>
      </c>
      <c r="X25" s="12">
        <v>10.08</v>
      </c>
      <c r="Y25" s="12">
        <v>10.28</v>
      </c>
      <c r="Z25" s="12">
        <v>9.82</v>
      </c>
      <c r="AA25" s="12">
        <v>9.9</v>
      </c>
      <c r="AB25" s="105">
        <v>22017200</v>
      </c>
      <c r="AC25" s="12">
        <v>9.9</v>
      </c>
      <c r="AD25">
        <f t="shared" si="2"/>
        <v>0.45999999999999908</v>
      </c>
      <c r="AE25" s="148">
        <f t="shared" si="3"/>
        <v>-8.0160320641282645E-3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42409</v>
      </c>
      <c r="X26" s="12">
        <v>10.01</v>
      </c>
      <c r="Y26" s="12">
        <v>10.34</v>
      </c>
      <c r="Z26" s="12">
        <v>9.75</v>
      </c>
      <c r="AA26" s="12">
        <v>9.98</v>
      </c>
      <c r="AB26" s="105">
        <v>30105600</v>
      </c>
      <c r="AC26" s="12">
        <v>9.98</v>
      </c>
      <c r="AD26">
        <f t="shared" si="2"/>
        <v>0.58999999999999986</v>
      </c>
      <c r="AE26" s="148">
        <f t="shared" si="3"/>
        <v>-1.8682399213372669E-2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42408</v>
      </c>
      <c r="X27" s="12">
        <v>10.71</v>
      </c>
      <c r="Y27" s="12">
        <v>10.76</v>
      </c>
      <c r="Z27" s="12">
        <v>9.94</v>
      </c>
      <c r="AA27" s="12">
        <v>10.17</v>
      </c>
      <c r="AB27" s="105">
        <v>27337000</v>
      </c>
      <c r="AC27" s="12">
        <v>10.17</v>
      </c>
      <c r="AD27">
        <f t="shared" si="2"/>
        <v>0.82000000000000028</v>
      </c>
      <c r="AE27" s="148">
        <f t="shared" si="3"/>
        <v>-7.5454545454545441E-2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42405</v>
      </c>
      <c r="X28" s="12">
        <v>11.15</v>
      </c>
      <c r="Y28" s="12">
        <v>11.38</v>
      </c>
      <c r="Z28" s="12">
        <v>10.76</v>
      </c>
      <c r="AA28" s="12">
        <v>11</v>
      </c>
      <c r="AB28" s="105">
        <v>22470600</v>
      </c>
      <c r="AC28" s="12">
        <v>11</v>
      </c>
      <c r="AD28">
        <f t="shared" si="2"/>
        <v>0.62000000000000099</v>
      </c>
      <c r="AE28" s="148">
        <f t="shared" si="3"/>
        <v>-2.0480854853072161E-2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06" t="s">
        <v>253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42404</v>
      </c>
      <c r="X29" s="12">
        <v>10.71</v>
      </c>
      <c r="Y29" s="12">
        <v>11.55</v>
      </c>
      <c r="Z29" s="12">
        <v>10.7</v>
      </c>
      <c r="AA29" s="12">
        <v>11.23</v>
      </c>
      <c r="AB29" s="105">
        <v>26122800</v>
      </c>
      <c r="AC29" s="12">
        <v>11.23</v>
      </c>
      <c r="AD29">
        <f t="shared" si="2"/>
        <v>0.85000000000000142</v>
      </c>
      <c r="AE29" s="148">
        <f t="shared" si="3"/>
        <v>4.3680297397769685E-2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06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42403</v>
      </c>
      <c r="X30" s="12">
        <v>10.67</v>
      </c>
      <c r="Y30" s="12">
        <v>10.86</v>
      </c>
      <c r="Z30" s="12">
        <v>10.18</v>
      </c>
      <c r="AA30" s="12">
        <v>10.76</v>
      </c>
      <c r="AB30" s="105">
        <v>18058600</v>
      </c>
      <c r="AC30" s="12">
        <v>10.76</v>
      </c>
      <c r="AD30">
        <f t="shared" si="2"/>
        <v>0.67999999999999972</v>
      </c>
      <c r="AE30" s="148">
        <f t="shared" si="3"/>
        <v>1.6052880075543063E-2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06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42402</v>
      </c>
      <c r="X31" s="12">
        <v>10.8</v>
      </c>
      <c r="Y31" s="12">
        <v>11.07</v>
      </c>
      <c r="Z31" s="12">
        <v>10.48</v>
      </c>
      <c r="AA31" s="12">
        <v>10.59</v>
      </c>
      <c r="AB31" s="105">
        <v>21970000</v>
      </c>
      <c r="AC31" s="12">
        <v>10.59</v>
      </c>
      <c r="AD31">
        <f t="shared" si="2"/>
        <v>0.58999999999999986</v>
      </c>
      <c r="AE31" s="148">
        <f t="shared" si="3"/>
        <v>-3.3759124087591297E-2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06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42401</v>
      </c>
      <c r="X32" s="12">
        <v>11</v>
      </c>
      <c r="Y32" s="12">
        <v>11.1</v>
      </c>
      <c r="Z32" s="12">
        <v>10.51</v>
      </c>
      <c r="AA32" s="12">
        <v>10.96</v>
      </c>
      <c r="AB32" s="105">
        <v>25768800</v>
      </c>
      <c r="AC32" s="12">
        <v>10.96</v>
      </c>
      <c r="AD32">
        <f t="shared" si="2"/>
        <v>0.58999999999999986</v>
      </c>
      <c r="AE32" s="148">
        <f t="shared" si="3"/>
        <v>-6.3463281958294759E-3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9">
        <v>500</v>
      </c>
      <c r="I33" s="390">
        <v>11.57</v>
      </c>
      <c r="J33" s="390">
        <v>0.13</v>
      </c>
      <c r="K33" s="390">
        <f t="shared" si="4"/>
        <v>5784.87</v>
      </c>
      <c r="W33" s="143">
        <v>42398</v>
      </c>
      <c r="X33" s="12">
        <v>9.99</v>
      </c>
      <c r="Y33" s="12">
        <v>11.05</v>
      </c>
      <c r="Z33" s="12">
        <v>9.94</v>
      </c>
      <c r="AA33" s="12">
        <v>11.03</v>
      </c>
      <c r="AB33" s="105">
        <v>38349100</v>
      </c>
      <c r="AC33" s="12">
        <v>11.03</v>
      </c>
      <c r="AD33">
        <f t="shared" si="2"/>
        <v>1.1100000000000012</v>
      </c>
      <c r="AE33" s="148">
        <f t="shared" si="3"/>
        <v>0.11526794742163782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9">
        <v>520</v>
      </c>
      <c r="I34" s="390">
        <v>11.59</v>
      </c>
      <c r="J34" s="390">
        <v>0.13</v>
      </c>
      <c r="K34" s="390">
        <f t="shared" si="4"/>
        <v>6026.67</v>
      </c>
      <c r="W34" s="143">
        <v>42397</v>
      </c>
      <c r="X34" s="12">
        <v>10.48</v>
      </c>
      <c r="Y34" s="12">
        <v>10.55</v>
      </c>
      <c r="Z34" s="12">
        <v>9.7100000000000009</v>
      </c>
      <c r="AA34" s="12">
        <v>9.89</v>
      </c>
      <c r="AB34" s="105">
        <v>37327600</v>
      </c>
      <c r="AC34" s="12">
        <v>9.89</v>
      </c>
      <c r="AD34">
        <f t="shared" si="2"/>
        <v>0.83999999999999986</v>
      </c>
      <c r="AE34" s="148">
        <f t="shared" si="3"/>
        <v>-4.8123195380173289E-2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42396</v>
      </c>
      <c r="X35" s="12">
        <v>10.5</v>
      </c>
      <c r="Y35" s="12">
        <v>10.83</v>
      </c>
      <c r="Z35" s="12">
        <v>10.32</v>
      </c>
      <c r="AA35" s="12">
        <v>10.39</v>
      </c>
      <c r="AB35" s="105">
        <v>22926200</v>
      </c>
      <c r="AC35" s="12">
        <v>10.39</v>
      </c>
      <c r="AD35">
        <f t="shared" si="2"/>
        <v>0.50999999999999979</v>
      </c>
      <c r="AE35" s="148">
        <f t="shared" si="3"/>
        <v>-1.516587677725123E-2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42395</v>
      </c>
      <c r="X36" s="12">
        <v>10.55</v>
      </c>
      <c r="Y36" s="12">
        <v>10.72</v>
      </c>
      <c r="Z36" s="12">
        <v>10.36</v>
      </c>
      <c r="AA36" s="12">
        <v>10.55</v>
      </c>
      <c r="AB36" s="105">
        <v>26177000</v>
      </c>
      <c r="AC36" s="12">
        <v>10.55</v>
      </c>
      <c r="AD36">
        <f t="shared" si="2"/>
        <v>0.36000000000000121</v>
      </c>
      <c r="AE36" s="148">
        <f t="shared" si="3"/>
        <v>6.6793893129770687E-3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42394</v>
      </c>
      <c r="X37" s="12">
        <v>11.06</v>
      </c>
      <c r="Y37" s="12">
        <v>11.17</v>
      </c>
      <c r="Z37" s="12">
        <v>10.47</v>
      </c>
      <c r="AA37" s="12">
        <v>10.48</v>
      </c>
      <c r="AB37" s="105">
        <v>23807500</v>
      </c>
      <c r="AC37" s="12">
        <v>10.48</v>
      </c>
      <c r="AD37">
        <f t="shared" si="2"/>
        <v>0.69999999999999929</v>
      </c>
      <c r="AE37" s="148">
        <f t="shared" si="3"/>
        <v>-5.3297199638663084E-2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42391</v>
      </c>
      <c r="X38" s="12">
        <v>11.18</v>
      </c>
      <c r="Y38" s="12">
        <v>11.57</v>
      </c>
      <c r="Z38" s="12">
        <v>10.88</v>
      </c>
      <c r="AA38" s="12">
        <v>11.07</v>
      </c>
      <c r="AB38" s="105">
        <v>35088700</v>
      </c>
      <c r="AC38" s="12">
        <v>11.07</v>
      </c>
      <c r="AD38">
        <f t="shared" si="2"/>
        <v>0.6899999999999995</v>
      </c>
      <c r="AE38" s="148">
        <f t="shared" si="3"/>
        <v>2.0276497695852491E-2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42390</v>
      </c>
      <c r="X39" s="12">
        <v>10.45</v>
      </c>
      <c r="Y39" s="12">
        <v>10.9</v>
      </c>
      <c r="Z39" s="12">
        <v>10.130000000000001</v>
      </c>
      <c r="AA39" s="12">
        <v>10.85</v>
      </c>
      <c r="AB39" s="105">
        <v>52245600</v>
      </c>
      <c r="AC39" s="12">
        <v>10.85</v>
      </c>
      <c r="AD39">
        <f t="shared" si="2"/>
        <v>0.76999999999999957</v>
      </c>
      <c r="AE39" s="148">
        <f t="shared" si="3"/>
        <v>7.9601990049751103E-2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42389</v>
      </c>
      <c r="X40" s="12">
        <v>10.38</v>
      </c>
      <c r="Y40" s="12">
        <v>10.39</v>
      </c>
      <c r="Z40" s="12">
        <v>9.31</v>
      </c>
      <c r="AA40" s="12">
        <v>10.050000000000001</v>
      </c>
      <c r="AB40" s="105">
        <v>65025100</v>
      </c>
      <c r="AC40" s="12">
        <v>10.050000000000001</v>
      </c>
      <c r="AD40">
        <f t="shared" si="2"/>
        <v>1.08</v>
      </c>
      <c r="AE40" s="148">
        <f t="shared" si="3"/>
        <v>-6.944444444444442E-2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42388</v>
      </c>
      <c r="X41" s="12">
        <v>11.28</v>
      </c>
      <c r="Y41" s="12">
        <v>11.37</v>
      </c>
      <c r="Z41" s="12">
        <v>10.71</v>
      </c>
      <c r="AA41" s="12">
        <v>10.8</v>
      </c>
      <c r="AB41" s="105">
        <v>37146200</v>
      </c>
      <c r="AC41" s="12">
        <v>10.8</v>
      </c>
      <c r="AD41">
        <f t="shared" si="2"/>
        <v>0.65999999999999837</v>
      </c>
      <c r="AE41" s="148">
        <f t="shared" si="3"/>
        <v>-2.5270758122743597E-2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42384</v>
      </c>
      <c r="X42" s="12">
        <v>11.35</v>
      </c>
      <c r="Y42" s="12">
        <v>11.66</v>
      </c>
      <c r="Z42" s="12">
        <v>10.91</v>
      </c>
      <c r="AA42" s="12">
        <v>11.08</v>
      </c>
      <c r="AB42" s="105">
        <v>37037200</v>
      </c>
      <c r="AC42" s="12">
        <v>11.08</v>
      </c>
      <c r="AD42">
        <f t="shared" si="2"/>
        <v>0.75</v>
      </c>
      <c r="AE42" s="148">
        <f t="shared" si="3"/>
        <v>-7.8202995008319398E-2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42383</v>
      </c>
      <c r="X43" s="12">
        <v>12.08</v>
      </c>
      <c r="Y43" s="12">
        <v>12.26</v>
      </c>
      <c r="Z43" s="12">
        <v>11.53</v>
      </c>
      <c r="AA43" s="12">
        <v>12.02</v>
      </c>
      <c r="AB43" s="105">
        <v>35725400</v>
      </c>
      <c r="AC43" s="12">
        <v>12.02</v>
      </c>
      <c r="AD43">
        <f t="shared" si="2"/>
        <v>0.73000000000000043</v>
      </c>
      <c r="AE43" s="148">
        <f t="shared" si="3"/>
        <v>-3.3167495854063977E-3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8" t="s">
        <v>78</v>
      </c>
      <c r="P44" s="408"/>
      <c r="T44" s="101" t="s">
        <v>116</v>
      </c>
      <c r="W44" s="143">
        <v>42382</v>
      </c>
      <c r="X44" s="12">
        <v>12.78</v>
      </c>
      <c r="Y44" s="12">
        <v>12.97</v>
      </c>
      <c r="Z44" s="12">
        <v>11.91</v>
      </c>
      <c r="AA44" s="12">
        <v>12.06</v>
      </c>
      <c r="AB44" s="105">
        <v>34426600</v>
      </c>
      <c r="AC44" s="12">
        <v>12.06</v>
      </c>
      <c r="AD44">
        <f t="shared" si="2"/>
        <v>1.0600000000000005</v>
      </c>
      <c r="AE44" s="148">
        <f t="shared" si="3"/>
        <v>-5.1886792452830233E-2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11.792000000000002</v>
      </c>
      <c r="T45" s="138" t="s">
        <v>101</v>
      </c>
      <c r="U45" s="139">
        <v>11.15</v>
      </c>
      <c r="W45" s="143">
        <v>42381</v>
      </c>
      <c r="X45" s="12">
        <v>12.72</v>
      </c>
      <c r="Y45" s="12">
        <v>13.24</v>
      </c>
      <c r="Z45" s="12">
        <v>12.4</v>
      </c>
      <c r="AA45" s="12">
        <v>12.72</v>
      </c>
      <c r="AB45" s="105">
        <v>25635000</v>
      </c>
      <c r="AC45" s="12">
        <v>12.72</v>
      </c>
      <c r="AD45">
        <f t="shared" si="2"/>
        <v>0.83999999999999986</v>
      </c>
      <c r="AE45" s="148">
        <f t="shared" si="3"/>
        <v>1.5163607342378427E-2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11.684800000000001</v>
      </c>
      <c r="T46" s="103" t="s">
        <v>102</v>
      </c>
      <c r="U46" s="140">
        <v>11.15</v>
      </c>
      <c r="W46" s="143">
        <v>42380</v>
      </c>
      <c r="X46" s="12">
        <v>13.37</v>
      </c>
      <c r="Y46" s="12">
        <v>13.46</v>
      </c>
      <c r="Z46" s="12">
        <v>12.21</v>
      </c>
      <c r="AA46" s="12">
        <v>12.53</v>
      </c>
      <c r="AB46" s="105">
        <v>43159100</v>
      </c>
      <c r="AC46" s="12">
        <v>12.53</v>
      </c>
      <c r="AD46">
        <f t="shared" si="2"/>
        <v>1.25</v>
      </c>
      <c r="AE46" s="148">
        <f t="shared" si="3"/>
        <v>-6.0015003750937823E-2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11.577600000000002</v>
      </c>
      <c r="T47" s="103" t="s">
        <v>103</v>
      </c>
      <c r="U47" s="140" t="s">
        <v>405</v>
      </c>
      <c r="W47" s="143">
        <v>42377</v>
      </c>
      <c r="X47" s="12">
        <v>13.78</v>
      </c>
      <c r="Y47" s="12">
        <v>13.95</v>
      </c>
      <c r="Z47" s="12">
        <v>13.29</v>
      </c>
      <c r="AA47" s="12">
        <v>13.33</v>
      </c>
      <c r="AB47" s="105">
        <v>29064200</v>
      </c>
      <c r="AC47" s="12">
        <v>13.33</v>
      </c>
      <c r="AD47">
        <f t="shared" si="2"/>
        <v>0.66000000000000014</v>
      </c>
      <c r="AE47" s="148">
        <f t="shared" si="3"/>
        <v>-2.4158125915080486E-2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11.470400000000001</v>
      </c>
      <c r="T48" s="103" t="s">
        <v>104</v>
      </c>
      <c r="U48" s="140" t="s">
        <v>406</v>
      </c>
      <c r="W48" s="143">
        <v>42376</v>
      </c>
      <c r="X48" s="12">
        <v>13.86</v>
      </c>
      <c r="Y48" s="12">
        <v>14.27</v>
      </c>
      <c r="Z48" s="12">
        <v>13.63</v>
      </c>
      <c r="AA48" s="12">
        <v>13.66</v>
      </c>
      <c r="AB48" s="105">
        <v>26029200</v>
      </c>
      <c r="AC48" s="12">
        <v>13.66</v>
      </c>
      <c r="AD48">
        <f t="shared" si="2"/>
        <v>0.63999999999999879</v>
      </c>
      <c r="AE48" s="148">
        <f t="shared" si="3"/>
        <v>-3.9381153305203975E-2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11.363200000000001</v>
      </c>
      <c r="T49" s="103" t="s">
        <v>105</v>
      </c>
      <c r="U49" s="140">
        <v>15.89</v>
      </c>
      <c r="W49" s="143">
        <v>42375</v>
      </c>
      <c r="X49" s="12">
        <v>14.5</v>
      </c>
      <c r="Y49" s="12">
        <v>14.69</v>
      </c>
      <c r="Z49" s="12">
        <v>14.11</v>
      </c>
      <c r="AA49" s="12">
        <v>14.22</v>
      </c>
      <c r="AB49" s="105">
        <v>26739600</v>
      </c>
      <c r="AC49" s="12">
        <v>14.22</v>
      </c>
      <c r="AD49">
        <f t="shared" si="2"/>
        <v>0.58000000000000007</v>
      </c>
      <c r="AE49" s="148">
        <f t="shared" si="3"/>
        <v>-4.0485829959514108E-2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11.256000000000002</v>
      </c>
      <c r="T50" s="103" t="s">
        <v>106</v>
      </c>
      <c r="U50" s="140">
        <v>2.0663100000000001</v>
      </c>
      <c r="W50" s="143">
        <v>42374</v>
      </c>
      <c r="X50" s="12">
        <v>14.42</v>
      </c>
      <c r="Y50" s="12">
        <v>15.08</v>
      </c>
      <c r="Z50" s="12">
        <v>14.36</v>
      </c>
      <c r="AA50" s="12">
        <v>14.82</v>
      </c>
      <c r="AB50" s="105">
        <v>29768400</v>
      </c>
      <c r="AC50" s="12">
        <v>14.82</v>
      </c>
      <c r="AD50">
        <f t="shared" si="2"/>
        <v>0.72000000000000064</v>
      </c>
      <c r="AE50" s="148">
        <f t="shared" si="3"/>
        <v>3.4193998604326703E-2</v>
      </c>
      <c r="AL50" s="263"/>
      <c r="AO50" s="263"/>
    </row>
    <row r="51" spans="2:41" x14ac:dyDescent="0.25">
      <c r="B51" s="409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11.148800000000001</v>
      </c>
      <c r="T51" s="103" t="s">
        <v>107</v>
      </c>
      <c r="U51" s="140" t="s">
        <v>275</v>
      </c>
      <c r="W51" s="143">
        <v>42373</v>
      </c>
      <c r="X51" s="12">
        <v>13.83</v>
      </c>
      <c r="Y51" s="12">
        <v>14.36</v>
      </c>
      <c r="Z51" s="12">
        <v>13.81</v>
      </c>
      <c r="AA51" s="12">
        <v>14.33</v>
      </c>
      <c r="AB51" s="105">
        <v>22622300</v>
      </c>
      <c r="AC51" s="12">
        <v>14.33</v>
      </c>
      <c r="AD51">
        <f t="shared" si="2"/>
        <v>0.54999999999999893</v>
      </c>
      <c r="AE51" s="148">
        <f t="shared" si="3"/>
        <v>1.2005649717514055E-2</v>
      </c>
    </row>
    <row r="52" spans="2:41" x14ac:dyDescent="0.25">
      <c r="B52" s="409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11.041600000000001</v>
      </c>
      <c r="T52" s="103"/>
      <c r="U52" s="140"/>
      <c r="W52" s="143">
        <v>42369</v>
      </c>
      <c r="X52" s="12">
        <v>14.1</v>
      </c>
      <c r="Y52" s="12">
        <v>14.29</v>
      </c>
      <c r="Z52" s="12">
        <v>14.03</v>
      </c>
      <c r="AA52" s="12">
        <v>14.16</v>
      </c>
      <c r="AB52" s="105">
        <v>13211200</v>
      </c>
      <c r="AC52" s="12">
        <v>14.16</v>
      </c>
      <c r="AD52">
        <f t="shared" si="2"/>
        <v>0.25999999999999979</v>
      </c>
      <c r="AE52" s="148">
        <f t="shared" si="3"/>
        <v>0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10.9344</v>
      </c>
      <c r="T53" s="103" t="s">
        <v>108</v>
      </c>
      <c r="U53" s="140" t="s">
        <v>293</v>
      </c>
      <c r="W53" s="143">
        <v>42368</v>
      </c>
      <c r="X53" s="12">
        <v>14.27</v>
      </c>
      <c r="Y53" s="12">
        <v>14.44</v>
      </c>
      <c r="Z53" s="12">
        <v>14.1</v>
      </c>
      <c r="AA53" s="12">
        <v>14.16</v>
      </c>
      <c r="AB53" s="105">
        <v>10895100</v>
      </c>
      <c r="AC53" s="12">
        <v>14.16</v>
      </c>
      <c r="AD53">
        <f t="shared" si="2"/>
        <v>0.33999999999999986</v>
      </c>
      <c r="AE53" s="148">
        <f t="shared" si="3"/>
        <v>-1.2552301255230103E-2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10.827200000000001</v>
      </c>
      <c r="T54" s="103" t="s">
        <v>109</v>
      </c>
      <c r="U54" s="140" t="s">
        <v>268</v>
      </c>
      <c r="W54" s="143">
        <v>42367</v>
      </c>
      <c r="X54" s="12">
        <v>14.35</v>
      </c>
      <c r="Y54" s="12">
        <v>14.51</v>
      </c>
      <c r="Z54" s="12">
        <v>14.23</v>
      </c>
      <c r="AA54" s="12">
        <v>14.34</v>
      </c>
      <c r="AB54" s="105">
        <v>16104200</v>
      </c>
      <c r="AC54" s="12">
        <v>14.34</v>
      </c>
      <c r="AD54">
        <f t="shared" si="2"/>
        <v>0.27999999999999936</v>
      </c>
      <c r="AE54" s="148">
        <f t="shared" si="3"/>
        <v>1.0570824524313016E-2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10.72</v>
      </c>
      <c r="T55" s="103" t="s">
        <v>110</v>
      </c>
      <c r="U55" s="141">
        <v>15156512</v>
      </c>
      <c r="W55" s="143">
        <v>42366</v>
      </c>
      <c r="X55" s="12">
        <v>14.45</v>
      </c>
      <c r="Y55" s="12">
        <v>14.51</v>
      </c>
      <c r="Z55" s="12">
        <v>14.05</v>
      </c>
      <c r="AA55" s="12">
        <v>14.19</v>
      </c>
      <c r="AB55" s="105">
        <v>17658500</v>
      </c>
      <c r="AC55" s="12">
        <v>14.19</v>
      </c>
      <c r="AD55">
        <f t="shared" si="2"/>
        <v>0.45999999999999908</v>
      </c>
      <c r="AE55" s="148">
        <f t="shared" si="3"/>
        <v>-2.0027624309392311E-2</v>
      </c>
    </row>
    <row r="56" spans="2:41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10.6128</v>
      </c>
      <c r="T56" s="103" t="s">
        <v>113</v>
      </c>
      <c r="U56" s="141">
        <v>26302600</v>
      </c>
      <c r="W56" s="143">
        <v>42362</v>
      </c>
      <c r="X56" s="12">
        <v>14.2</v>
      </c>
      <c r="Y56" s="12">
        <v>14.59</v>
      </c>
      <c r="Z56" s="12">
        <v>14.19</v>
      </c>
      <c r="AA56" s="12">
        <v>14.48</v>
      </c>
      <c r="AB56" s="105">
        <v>14284200</v>
      </c>
      <c r="AC56" s="12">
        <v>14.48</v>
      </c>
      <c r="AD56">
        <f t="shared" si="2"/>
        <v>0.40000000000000036</v>
      </c>
      <c r="AE56" s="148">
        <f t="shared" si="3"/>
        <v>1.2587412587412583E-2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10.505600000000001</v>
      </c>
      <c r="T57" s="103" t="s">
        <v>111</v>
      </c>
      <c r="U57" s="140" t="s">
        <v>294</v>
      </c>
      <c r="W57" s="143">
        <v>42361</v>
      </c>
      <c r="X57" s="12">
        <v>13.72</v>
      </c>
      <c r="Y57" s="12">
        <v>14.3</v>
      </c>
      <c r="Z57" s="12">
        <v>13.55</v>
      </c>
      <c r="AA57" s="12">
        <v>14.3</v>
      </c>
      <c r="AB57" s="105">
        <v>59121400</v>
      </c>
      <c r="AC57" s="12">
        <v>14.3</v>
      </c>
      <c r="AD57">
        <f t="shared" si="2"/>
        <v>0.75</v>
      </c>
      <c r="AE57" s="148">
        <f t="shared" si="3"/>
        <v>-2.1218343600273748E-2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10.398400000000001</v>
      </c>
      <c r="T58" s="103" t="s">
        <v>114</v>
      </c>
      <c r="U58" s="140">
        <v>5.9</v>
      </c>
      <c r="W58" s="143">
        <v>42360</v>
      </c>
      <c r="X58" s="12">
        <v>14.8</v>
      </c>
      <c r="Y58" s="12">
        <v>14.95</v>
      </c>
      <c r="Z58" s="12">
        <v>14.52</v>
      </c>
      <c r="AA58" s="12">
        <v>14.61</v>
      </c>
      <c r="AB58" s="105">
        <v>27101100</v>
      </c>
      <c r="AC58" s="12">
        <v>14.61</v>
      </c>
      <c r="AD58">
        <f t="shared" si="2"/>
        <v>0.42999999999999972</v>
      </c>
      <c r="AE58" s="148">
        <f t="shared" si="3"/>
        <v>-1.0832769126608022E-2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10.2912</v>
      </c>
      <c r="T59" s="103" t="s">
        <v>115</v>
      </c>
      <c r="U59" s="140">
        <v>1.84</v>
      </c>
      <c r="W59" s="143">
        <v>42359</v>
      </c>
      <c r="X59" s="12">
        <v>14.44</v>
      </c>
      <c r="Y59" s="12">
        <v>14.79</v>
      </c>
      <c r="Z59" s="12">
        <v>14.33</v>
      </c>
      <c r="AA59" s="12">
        <v>14.77</v>
      </c>
      <c r="AB59" s="105">
        <v>22217300</v>
      </c>
      <c r="AC59" s="12">
        <v>14.77</v>
      </c>
      <c r="AD59">
        <f t="shared" si="2"/>
        <v>0.45999999999999908</v>
      </c>
      <c r="AE59" s="148">
        <f t="shared" si="3"/>
        <v>2.8551532033426197E-2</v>
      </c>
    </row>
    <row r="60" spans="2:41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10.183999999999999</v>
      </c>
      <c r="T60" s="103" t="s">
        <v>112</v>
      </c>
      <c r="U60" s="140" t="s">
        <v>127</v>
      </c>
      <c r="W60" s="143">
        <v>42356</v>
      </c>
      <c r="X60" s="12">
        <v>14.38</v>
      </c>
      <c r="Y60" s="12">
        <v>14.73</v>
      </c>
      <c r="Z60" s="12">
        <v>14.26</v>
      </c>
      <c r="AA60" s="12">
        <v>14.36</v>
      </c>
      <c r="AB60" s="105">
        <v>38218800</v>
      </c>
      <c r="AC60" s="12">
        <v>14.36</v>
      </c>
      <c r="AD60">
        <f t="shared" si="2"/>
        <v>0.47000000000000064</v>
      </c>
      <c r="AE60" s="148">
        <f t="shared" si="3"/>
        <v>2.7932960893854997E-3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10.0768</v>
      </c>
      <c r="W61" s="143">
        <v>42355</v>
      </c>
      <c r="X61" s="12">
        <v>14.65</v>
      </c>
      <c r="Y61" s="12">
        <v>14.77</v>
      </c>
      <c r="Z61" s="12">
        <v>14.25</v>
      </c>
      <c r="AA61" s="12">
        <v>14.32</v>
      </c>
      <c r="AB61" s="105">
        <v>29024400</v>
      </c>
      <c r="AC61" s="12">
        <v>14.32</v>
      </c>
      <c r="AD61">
        <f t="shared" si="2"/>
        <v>0.51999999999999957</v>
      </c>
      <c r="AE61" s="148">
        <f t="shared" si="3"/>
        <v>1.7768301350390869E-2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9.9696000000000016</v>
      </c>
      <c r="W62" s="143">
        <v>42354</v>
      </c>
      <c r="X62" s="12">
        <v>14.36</v>
      </c>
      <c r="Y62" s="12">
        <v>14.45</v>
      </c>
      <c r="Z62" s="12">
        <v>13.78</v>
      </c>
      <c r="AA62" s="12">
        <v>14.07</v>
      </c>
      <c r="AB62" s="105">
        <v>21511900</v>
      </c>
      <c r="AC62" s="12">
        <v>14.07</v>
      </c>
      <c r="AD62">
        <f t="shared" si="2"/>
        <v>0.66999999999999993</v>
      </c>
      <c r="AE62" s="148">
        <f t="shared" si="3"/>
        <v>-7.7574047954865888E-3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9.8624000000000009</v>
      </c>
      <c r="W63" s="143">
        <v>42353</v>
      </c>
      <c r="X63" s="12">
        <v>13.77</v>
      </c>
      <c r="Y63" s="12">
        <v>14.37</v>
      </c>
      <c r="Z63" s="12">
        <v>13.74</v>
      </c>
      <c r="AA63" s="12">
        <v>14.18</v>
      </c>
      <c r="AB63" s="105">
        <v>26395400</v>
      </c>
      <c r="AC63" s="12">
        <v>14.18</v>
      </c>
      <c r="AD63">
        <f t="shared" si="2"/>
        <v>0.62999999999999901</v>
      </c>
      <c r="AE63" s="148">
        <f t="shared" si="3"/>
        <v>3.8067349926793614E-2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9.7552000000000003</v>
      </c>
      <c r="W64" s="143">
        <v>42352</v>
      </c>
      <c r="X64" s="12">
        <v>14.43</v>
      </c>
      <c r="Y64" s="12">
        <v>14.48</v>
      </c>
      <c r="Z64" s="12">
        <v>13.51</v>
      </c>
      <c r="AA64" s="12">
        <v>13.66</v>
      </c>
      <c r="AB64" s="105">
        <v>35155800</v>
      </c>
      <c r="AC64" s="12">
        <v>13.66</v>
      </c>
      <c r="AD64">
        <f t="shared" si="2"/>
        <v>0.97000000000000064</v>
      </c>
      <c r="AE64" s="148">
        <f t="shared" si="3"/>
        <v>-2.7065527065527006E-2</v>
      </c>
    </row>
    <row r="65" spans="1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6" si="6">C65*D65+E65</f>
        <v>2802</v>
      </c>
      <c r="O65" s="93">
        <v>0.9</v>
      </c>
      <c r="P65" s="93">
        <f t="shared" si="5"/>
        <v>9.6480000000000015</v>
      </c>
      <c r="W65" s="143">
        <v>42349</v>
      </c>
      <c r="X65" s="12">
        <v>14.32</v>
      </c>
      <c r="Y65" s="12">
        <v>14.44</v>
      </c>
      <c r="Z65" s="12">
        <v>13.99</v>
      </c>
      <c r="AA65" s="12">
        <v>14.04</v>
      </c>
      <c r="AB65" s="105">
        <v>23601500</v>
      </c>
      <c r="AC65" s="12">
        <v>14.04</v>
      </c>
      <c r="AD65">
        <f t="shared" si="2"/>
        <v>0.44999999999999929</v>
      </c>
      <c r="AE65" s="148">
        <f t="shared" si="3"/>
        <v>-4.2291950886766738E-2</v>
      </c>
    </row>
    <row r="66" spans="1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42348</v>
      </c>
      <c r="X66" s="12">
        <v>14.29</v>
      </c>
      <c r="Y66" s="12">
        <v>14.8</v>
      </c>
      <c r="Z66" s="12">
        <v>14.26</v>
      </c>
      <c r="AA66" s="12">
        <v>14.66</v>
      </c>
      <c r="AB66" s="105">
        <v>14788700</v>
      </c>
      <c r="AC66" s="12">
        <v>14.66</v>
      </c>
      <c r="AD66">
        <f t="shared" si="2"/>
        <v>0.54000000000000092</v>
      </c>
      <c r="AE66" s="148">
        <f t="shared" si="3"/>
        <v>2.3743016759776525E-2</v>
      </c>
    </row>
    <row r="67" spans="1:31" x14ac:dyDescent="0.25">
      <c r="B67" s="409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42347</v>
      </c>
      <c r="X67" s="12">
        <v>14.6</v>
      </c>
      <c r="Y67" s="12">
        <v>14.67</v>
      </c>
      <c r="Z67" s="12">
        <v>14.24</v>
      </c>
      <c r="AA67" s="12">
        <v>14.32</v>
      </c>
      <c r="AB67" s="105">
        <v>20781700</v>
      </c>
      <c r="AC67" s="12">
        <v>14.32</v>
      </c>
      <c r="AD67">
        <f>Y67-Z67</f>
        <v>0.42999999999999972</v>
      </c>
      <c r="AE67" s="148" t="e">
        <f>AC67/AC68-1</f>
        <v>#DIV/0!</v>
      </c>
    </row>
    <row r="68" spans="1:31" x14ac:dyDescent="0.25">
      <c r="B68" s="409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1:31" x14ac:dyDescent="0.25">
      <c r="B69" s="409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1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1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1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1:31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</row>
    <row r="74" spans="1:31" x14ac:dyDescent="0.25">
      <c r="B74" s="1">
        <v>42436</v>
      </c>
      <c r="C74" s="391">
        <v>520</v>
      </c>
      <c r="D74" s="390">
        <v>11.1</v>
      </c>
      <c r="E74" s="390">
        <v>0.16</v>
      </c>
      <c r="F74" s="390">
        <f t="shared" si="6"/>
        <v>5772.16</v>
      </c>
      <c r="G74" s="4"/>
    </row>
    <row r="75" spans="1:31" x14ac:dyDescent="0.25">
      <c r="B75" s="412">
        <v>42436</v>
      </c>
      <c r="C75" s="391">
        <v>500</v>
      </c>
      <c r="D75" s="391">
        <v>11.35</v>
      </c>
      <c r="E75" s="390">
        <v>0</v>
      </c>
      <c r="F75" s="390">
        <f t="shared" si="6"/>
        <v>5675</v>
      </c>
    </row>
    <row r="76" spans="1:31" x14ac:dyDescent="0.25">
      <c r="B76" s="412"/>
      <c r="C76">
        <v>30</v>
      </c>
      <c r="D76">
        <v>11.35</v>
      </c>
      <c r="E76" s="3">
        <v>0</v>
      </c>
      <c r="F76" s="3">
        <f t="shared" si="6"/>
        <v>340.5</v>
      </c>
    </row>
    <row r="77" spans="1:31" x14ac:dyDescent="0.25">
      <c r="F77" s="3"/>
    </row>
    <row r="78" spans="1:31" x14ac:dyDescent="0.25">
      <c r="A78" s="25" t="s">
        <v>81</v>
      </c>
      <c r="B78" s="14"/>
      <c r="C78" s="14">
        <f>SUM(C2:C77)</f>
        <v>30055</v>
      </c>
      <c r="D78" s="14"/>
      <c r="E78" s="14"/>
      <c r="F78" s="15">
        <f>SUM(F2:F77)</f>
        <v>474922.13300000009</v>
      </c>
      <c r="G78" s="14"/>
      <c r="H78" s="14">
        <f>SUM(H2:H48)</f>
        <v>24765</v>
      </c>
      <c r="I78" s="15"/>
      <c r="J78" s="15"/>
      <c r="K78" s="15">
        <f>SUM(K2:K38)</f>
        <v>388912.64999999997</v>
      </c>
      <c r="L78" s="14"/>
      <c r="M78" s="14"/>
    </row>
    <row r="80" spans="1:31" x14ac:dyDescent="0.25">
      <c r="B80" s="209" t="s">
        <v>117</v>
      </c>
      <c r="C80" s="209" t="s">
        <v>170</v>
      </c>
      <c r="D80" s="210" t="s">
        <v>169</v>
      </c>
      <c r="E80" s="212" t="s">
        <v>171</v>
      </c>
      <c r="F80" s="213" t="s">
        <v>65</v>
      </c>
      <c r="G80" s="253" t="s">
        <v>175</v>
      </c>
      <c r="H80" s="213" t="s">
        <v>90</v>
      </c>
      <c r="I80" s="253" t="s">
        <v>183</v>
      </c>
    </row>
    <row r="81" spans="2:9" x14ac:dyDescent="0.25">
      <c r="B81" s="211">
        <v>42304</v>
      </c>
      <c r="C81" s="12">
        <v>5100</v>
      </c>
      <c r="D81" s="220">
        <v>17.29</v>
      </c>
      <c r="E81" s="43">
        <v>16.68</v>
      </c>
      <c r="F81" s="43">
        <f t="shared" ref="F81:F118" si="7">-C81*(D81-E81)</f>
        <v>-3110.9999999999973</v>
      </c>
      <c r="G81" s="43">
        <f>IF(C81=0, 0,D81*C81)</f>
        <v>88179</v>
      </c>
      <c r="H81" s="261">
        <f>IF(C81=0, D81, (E81-D81)/D81)</f>
        <v>-3.5280508964719459E-2</v>
      </c>
      <c r="I81" s="43"/>
    </row>
    <row r="82" spans="2:9" x14ac:dyDescent="0.25">
      <c r="B82" s="211">
        <v>42305</v>
      </c>
      <c r="C82" s="12">
        <v>4900</v>
      </c>
      <c r="D82" s="220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61">
        <f>IF(C82=0, D82, (E82-D82)/D82)</f>
        <v>-2.1399652978600199E-2</v>
      </c>
      <c r="I82" s="43"/>
    </row>
    <row r="83" spans="2:9" x14ac:dyDescent="0.25">
      <c r="B83" s="211">
        <v>42306</v>
      </c>
      <c r="C83" s="12">
        <v>5100</v>
      </c>
      <c r="D83" s="220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61">
        <f>IF(C83=0, D83, (E83-D83)/D83)</f>
        <v>-6.0289855072463719E-2</v>
      </c>
      <c r="I83" s="43"/>
    </row>
    <row r="84" spans="2:9" x14ac:dyDescent="0.25">
      <c r="B84" s="211">
        <v>42311</v>
      </c>
      <c r="C84" s="12">
        <v>2710</v>
      </c>
      <c r="D84" s="220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61">
        <f t="shared" ref="H84:H87" si="9">IF(C84=0, D84, (E84-D84)/D84)</f>
        <v>5.0029429075927105E-2</v>
      </c>
      <c r="I84" s="43"/>
    </row>
    <row r="85" spans="2:9" x14ac:dyDescent="0.25">
      <c r="B85" s="211">
        <v>42312</v>
      </c>
      <c r="C85" s="12">
        <v>2902</v>
      </c>
      <c r="D85" s="220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61">
        <f t="shared" si="9"/>
        <v>2.6486168334314473E-2</v>
      </c>
      <c r="I85" s="43"/>
    </row>
    <row r="86" spans="2:9" x14ac:dyDescent="0.25">
      <c r="B86" s="211">
        <v>42313</v>
      </c>
      <c r="C86" s="12">
        <v>5710</v>
      </c>
      <c r="D86" s="220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61">
        <f t="shared" si="9"/>
        <v>-2.3654642223536283E-2</v>
      </c>
      <c r="I86" s="43"/>
    </row>
    <row r="87" spans="2:9" x14ac:dyDescent="0.25">
      <c r="B87" s="211">
        <v>42314</v>
      </c>
      <c r="C87" s="12">
        <v>4710</v>
      </c>
      <c r="D87" s="220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61">
        <f t="shared" si="9"/>
        <v>-2.9498525073746312E-2</v>
      </c>
      <c r="I87" s="43"/>
    </row>
    <row r="88" spans="2:9" x14ac:dyDescent="0.25">
      <c r="B88" s="211">
        <v>42317</v>
      </c>
      <c r="C88" s="12">
        <v>5060</v>
      </c>
      <c r="D88" s="220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61">
        <f t="shared" ref="H88:H90" si="11">IF(C88=0, D88, (E88-D88)/D88)</f>
        <v>-6.1055127445169E-2</v>
      </c>
      <c r="I88" s="43"/>
    </row>
    <row r="89" spans="2:9" x14ac:dyDescent="0.25">
      <c r="B89" s="211">
        <v>42324</v>
      </c>
      <c r="C89" s="12">
        <v>6000</v>
      </c>
      <c r="D89" s="220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61">
        <f t="shared" si="11"/>
        <v>-9.9758162031438849E-2</v>
      </c>
      <c r="I89" s="43"/>
    </row>
    <row r="90" spans="2:9" x14ac:dyDescent="0.25">
      <c r="B90" s="211">
        <v>42325</v>
      </c>
      <c r="C90" s="12">
        <v>5060</v>
      </c>
      <c r="D90" s="220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61">
        <f t="shared" si="11"/>
        <v>-8.6670651524208067E-2</v>
      </c>
      <c r="I90" s="43"/>
    </row>
    <row r="91" spans="2:9" x14ac:dyDescent="0.25">
      <c r="B91" s="211">
        <v>42328</v>
      </c>
      <c r="C91" s="12">
        <v>6000</v>
      </c>
      <c r="D91" s="220">
        <v>16.52</v>
      </c>
      <c r="E91" s="43">
        <v>15.39</v>
      </c>
      <c r="F91" s="43">
        <f t="shared" si="7"/>
        <v>-6779.9999999999936</v>
      </c>
      <c r="G91" s="43">
        <f t="shared" ref="G91:G118" si="12">IF(C91=0, 0,D91*C91)</f>
        <v>99120</v>
      </c>
      <c r="H91" s="261">
        <f t="shared" ref="H91:H95" si="13">IF(C91=0, D91, (E91-D91)/D91)</f>
        <v>-6.8401937046004779E-2</v>
      </c>
      <c r="I91" s="43"/>
    </row>
    <row r="92" spans="2:9" x14ac:dyDescent="0.25">
      <c r="B92" s="211">
        <v>42331</v>
      </c>
      <c r="C92" s="12">
        <v>5060</v>
      </c>
      <c r="D92" s="220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61">
        <f t="shared" si="13"/>
        <v>-8.1534772182254162E-2</v>
      </c>
      <c r="I92" s="43"/>
    </row>
    <row r="93" spans="2:9" x14ac:dyDescent="0.25">
      <c r="B93" s="211">
        <v>42338</v>
      </c>
      <c r="C93" s="12">
        <v>4710</v>
      </c>
      <c r="D93" s="220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61">
        <f t="shared" si="13"/>
        <v>-4.7818290496114808E-2</v>
      </c>
      <c r="I93" s="43"/>
    </row>
    <row r="94" spans="2:9" x14ac:dyDescent="0.25">
      <c r="B94" s="211">
        <v>42340</v>
      </c>
      <c r="C94" s="12">
        <v>5060</v>
      </c>
      <c r="D94" s="220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61">
        <f t="shared" si="13"/>
        <v>-5.0989802039592164E-2</v>
      </c>
      <c r="I94" s="43"/>
    </row>
    <row r="95" spans="2:9" x14ac:dyDescent="0.25">
      <c r="B95" s="211">
        <v>42341</v>
      </c>
      <c r="C95" s="12">
        <v>5060</v>
      </c>
      <c r="D95" s="220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61">
        <f t="shared" si="13"/>
        <v>-6.1899038461538526E-2</v>
      </c>
      <c r="I95" s="43"/>
    </row>
    <row r="96" spans="2:9" x14ac:dyDescent="0.25">
      <c r="B96" s="211">
        <v>42347</v>
      </c>
      <c r="C96" s="297">
        <v>5260</v>
      </c>
      <c r="D96" s="298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61">
        <f t="shared" ref="H96:H118" si="14">IF(C96=0, D96, (E96-D96)/D96)</f>
        <v>-0.13526570048309169</v>
      </c>
      <c r="I96" s="43"/>
    </row>
    <row r="97" spans="2:9" x14ac:dyDescent="0.25">
      <c r="B97" s="211">
        <v>42348</v>
      </c>
      <c r="C97" s="12">
        <v>5060</v>
      </c>
      <c r="D97" s="220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61">
        <f t="shared" si="14"/>
        <v>-0.11846061334936855</v>
      </c>
      <c r="I97" s="43"/>
    </row>
    <row r="98" spans="2:9" x14ac:dyDescent="0.25">
      <c r="B98" s="211">
        <v>42349</v>
      </c>
      <c r="C98" s="12">
        <v>5060</v>
      </c>
      <c r="D98" s="220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61">
        <f t="shared" si="14"/>
        <v>-0.15523465703971129</v>
      </c>
      <c r="I98" s="43"/>
    </row>
    <row r="99" spans="2:9" x14ac:dyDescent="0.25">
      <c r="B99" s="211">
        <v>42349</v>
      </c>
      <c r="C99" s="12">
        <v>6000</v>
      </c>
      <c r="D99" s="220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61">
        <f t="shared" si="14"/>
        <v>-0.13440197287299629</v>
      </c>
      <c r="I99" s="43"/>
    </row>
    <row r="100" spans="2:9" x14ac:dyDescent="0.25">
      <c r="B100" s="211">
        <v>42349</v>
      </c>
      <c r="C100" s="12">
        <v>6200</v>
      </c>
      <c r="D100" s="220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61">
        <f t="shared" si="14"/>
        <v>-0.13011152416356886</v>
      </c>
      <c r="I100" s="43"/>
    </row>
    <row r="101" spans="2:9" x14ac:dyDescent="0.25">
      <c r="B101" s="211">
        <v>42349</v>
      </c>
      <c r="C101" s="12">
        <v>5721</v>
      </c>
      <c r="D101" s="220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61">
        <f t="shared" si="14"/>
        <v>-0.13970588235294124</v>
      </c>
      <c r="I101" s="43"/>
    </row>
    <row r="102" spans="2:9" x14ac:dyDescent="0.25">
      <c r="B102" s="211">
        <v>42349</v>
      </c>
      <c r="C102" s="12">
        <v>5060</v>
      </c>
      <c r="D102" s="220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61">
        <f t="shared" si="14"/>
        <v>-0.15494483667683867</v>
      </c>
      <c r="I102" s="43"/>
    </row>
    <row r="103" spans="2:9" x14ac:dyDescent="0.25">
      <c r="B103" s="211">
        <v>42356</v>
      </c>
      <c r="C103" s="12">
        <v>5060</v>
      </c>
      <c r="D103" s="220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61">
        <f t="shared" si="14"/>
        <v>-0.13718827009863294</v>
      </c>
      <c r="I103" s="43"/>
    </row>
    <row r="104" spans="2:9" x14ac:dyDescent="0.25">
      <c r="B104" s="211">
        <v>42356</v>
      </c>
      <c r="C104" s="12">
        <v>7000</v>
      </c>
      <c r="D104" s="220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61">
        <f t="shared" si="14"/>
        <v>-0.10206637445209772</v>
      </c>
      <c r="I104" s="43"/>
    </row>
    <row r="105" spans="2:9" x14ac:dyDescent="0.25">
      <c r="B105" s="211">
        <v>42356</v>
      </c>
      <c r="C105" s="320">
        <v>6000</v>
      </c>
      <c r="D105" s="321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61">
        <f t="shared" si="14"/>
        <v>-0.11521873074553302</v>
      </c>
      <c r="I105" s="43"/>
    </row>
    <row r="106" spans="2:9" x14ac:dyDescent="0.25">
      <c r="B106" s="211">
        <v>42357</v>
      </c>
      <c r="C106" s="12">
        <v>5500</v>
      </c>
      <c r="D106" s="220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61">
        <f t="shared" si="14"/>
        <v>-0.12430481022538781</v>
      </c>
      <c r="I106" s="43"/>
    </row>
    <row r="107" spans="2:9" x14ac:dyDescent="0.25">
      <c r="B107" s="211">
        <v>42359</v>
      </c>
      <c r="C107" s="12">
        <v>5060</v>
      </c>
      <c r="D107" s="220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61">
        <f t="shared" si="14"/>
        <v>-0.11540785498489427</v>
      </c>
      <c r="I107" s="43"/>
    </row>
    <row r="108" spans="2:9" x14ac:dyDescent="0.25">
      <c r="B108" s="211">
        <v>42361</v>
      </c>
      <c r="C108" s="12">
        <v>5060</v>
      </c>
      <c r="D108" s="220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61">
        <f t="shared" si="14"/>
        <v>-0.11698578474035398</v>
      </c>
      <c r="I108" s="43"/>
    </row>
    <row r="109" spans="2:9" x14ac:dyDescent="0.25">
      <c r="B109" s="211">
        <v>42377</v>
      </c>
      <c r="C109" s="297">
        <v>5260</v>
      </c>
      <c r="D109" s="298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61">
        <f t="shared" si="14"/>
        <v>-0.18838779598273264</v>
      </c>
      <c r="I109" s="43"/>
    </row>
    <row r="110" spans="2:9" x14ac:dyDescent="0.25">
      <c r="B110" s="211">
        <v>42398</v>
      </c>
      <c r="C110" s="12">
        <v>5000</v>
      </c>
      <c r="D110" s="220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61">
        <f t="shared" si="14"/>
        <v>-0.35765550239234445</v>
      </c>
      <c r="I110" s="43"/>
    </row>
    <row r="111" spans="2:9" x14ac:dyDescent="0.25">
      <c r="B111" s="211">
        <v>42401</v>
      </c>
      <c r="C111" s="297">
        <v>5260</v>
      </c>
      <c r="D111" s="298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61">
        <f t="shared" si="14"/>
        <v>-0.33250912014226802</v>
      </c>
      <c r="I111" s="43"/>
    </row>
    <row r="112" spans="2:9" x14ac:dyDescent="0.25">
      <c r="B112" s="211">
        <v>42416</v>
      </c>
      <c r="C112" s="12">
        <v>4760</v>
      </c>
      <c r="D112" s="220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61">
        <f t="shared" si="14"/>
        <v>-0.37426556991774379</v>
      </c>
      <c r="I112" s="43"/>
    </row>
    <row r="113" spans="2:9" x14ac:dyDescent="0.25">
      <c r="B113" s="211">
        <v>42416</v>
      </c>
      <c r="C113" s="12">
        <v>4000</v>
      </c>
      <c r="D113" s="220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61">
        <f t="shared" si="14"/>
        <v>-0.40950831744217364</v>
      </c>
      <c r="I113" s="43"/>
    </row>
    <row r="114" spans="2:9" x14ac:dyDescent="0.25">
      <c r="B114" s="211">
        <v>42418</v>
      </c>
      <c r="C114" s="12">
        <v>3600</v>
      </c>
      <c r="D114" s="220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61">
        <f t="shared" si="14"/>
        <v>-0.42900908514684127</v>
      </c>
      <c r="I114" s="43"/>
    </row>
    <row r="115" spans="2:9" x14ac:dyDescent="0.25">
      <c r="B115" s="211">
        <v>42423</v>
      </c>
      <c r="C115" s="297">
        <v>5260</v>
      </c>
      <c r="D115" s="298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61">
        <f t="shared" si="14"/>
        <v>-0.35865298785781541</v>
      </c>
      <c r="I115" s="43"/>
    </row>
    <row r="116" spans="2:9" x14ac:dyDescent="0.25">
      <c r="B116" s="211">
        <v>42431</v>
      </c>
      <c r="C116" s="12">
        <v>4760</v>
      </c>
      <c r="D116" s="220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61">
        <f t="shared" si="14"/>
        <v>-0.30719086061368173</v>
      </c>
      <c r="I116" s="43"/>
    </row>
    <row r="117" spans="2:9" x14ac:dyDescent="0.25">
      <c r="B117" s="211">
        <v>42436</v>
      </c>
      <c r="C117" s="297">
        <v>5290</v>
      </c>
      <c r="D117" s="298">
        <v>16.258900000000001</v>
      </c>
      <c r="E117" s="43">
        <v>11.58</v>
      </c>
      <c r="F117" s="43">
        <f t="shared" si="7"/>
        <v>-24751.381000000001</v>
      </c>
      <c r="G117" s="43">
        <f t="shared" si="12"/>
        <v>86009.581000000006</v>
      </c>
      <c r="H117" s="261">
        <f t="shared" si="14"/>
        <v>-0.28777469570512154</v>
      </c>
      <c r="I117" s="43">
        <v>16</v>
      </c>
    </row>
    <row r="118" spans="2:9" x14ac:dyDescent="0.25">
      <c r="B118" s="211">
        <v>42444</v>
      </c>
      <c r="C118" s="12">
        <v>5290</v>
      </c>
      <c r="D118" s="220">
        <v>16.259</v>
      </c>
      <c r="E118" s="43">
        <v>10.85</v>
      </c>
      <c r="F118" s="43">
        <f t="shared" si="7"/>
        <v>-28613.610000000004</v>
      </c>
      <c r="G118" s="43">
        <f t="shared" si="12"/>
        <v>86010.11</v>
      </c>
      <c r="H118" s="261">
        <f t="shared" si="14"/>
        <v>-0.33267728642597949</v>
      </c>
      <c r="I118" s="43"/>
    </row>
    <row r="119" spans="2:9" x14ac:dyDescent="0.25">
      <c r="B119" s="211"/>
      <c r="C119" s="12"/>
      <c r="D119" s="220"/>
      <c r="E119" s="43"/>
      <c r="F119" s="43"/>
      <c r="G119" s="43"/>
      <c r="H119" s="261"/>
      <c r="I119" s="43"/>
    </row>
    <row r="120" spans="2:9" x14ac:dyDescent="0.25">
      <c r="B120" s="211"/>
      <c r="C120" s="12"/>
      <c r="D120" s="220"/>
      <c r="E120" s="43"/>
      <c r="F120" s="43"/>
      <c r="G120" s="43"/>
      <c r="H120" s="261"/>
      <c r="I120" s="43"/>
    </row>
    <row r="121" spans="2:9" x14ac:dyDescent="0.25">
      <c r="B121" s="211"/>
      <c r="C121" s="12"/>
      <c r="D121" s="220"/>
      <c r="E121" s="43"/>
      <c r="F121" s="43"/>
      <c r="G121" s="43"/>
      <c r="H121" s="261"/>
      <c r="I121" s="43"/>
    </row>
    <row r="122" spans="2:9" x14ac:dyDescent="0.25">
      <c r="B122" s="211"/>
      <c r="C122" s="12"/>
      <c r="D122" s="220"/>
      <c r="E122" s="43"/>
      <c r="F122" s="43"/>
      <c r="G122" s="43"/>
      <c r="H122" s="261"/>
      <c r="I122" s="43"/>
    </row>
    <row r="123" spans="2:9" x14ac:dyDescent="0.25">
      <c r="B123" s="211"/>
      <c r="C123" s="12"/>
      <c r="D123" s="220"/>
      <c r="E123" s="43"/>
      <c r="F123" s="43"/>
      <c r="G123" s="43"/>
      <c r="H123" s="261"/>
      <c r="I123" s="43"/>
    </row>
    <row r="124" spans="2:9" x14ac:dyDescent="0.25">
      <c r="B124" s="211"/>
      <c r="C124" s="12"/>
      <c r="D124" s="220"/>
      <c r="E124" s="43"/>
      <c r="F124" s="43"/>
      <c r="G124" s="43"/>
      <c r="H124" s="261"/>
      <c r="I124" s="43"/>
    </row>
  </sheetData>
  <mergeCells count="6">
    <mergeCell ref="B75:B76"/>
    <mergeCell ref="O44:P44"/>
    <mergeCell ref="G13:G14"/>
    <mergeCell ref="B51:B52"/>
    <mergeCell ref="B67:B69"/>
    <mergeCell ref="G29:G32"/>
  </mergeCells>
  <conditionalFormatting sqref="Q7">
    <cfRule type="expression" dxfId="365" priority="46">
      <formula>Q7&gt;0</formula>
    </cfRule>
    <cfRule type="expression" dxfId="36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63" priority="39">
      <formula>F81&gt;0</formula>
    </cfRule>
    <cfRule type="expression" dxfId="362" priority="40">
      <formula>F81&lt;0</formula>
    </cfRule>
  </conditionalFormatting>
  <conditionalFormatting sqref="F101:F124">
    <cfRule type="expression" dxfId="361" priority="33">
      <formula>F101&gt;0</formula>
    </cfRule>
    <cfRule type="expression" dxfId="360" priority="34">
      <formula>F101&lt;0</formula>
    </cfRule>
  </conditionalFormatting>
  <conditionalFormatting sqref="H81:H92">
    <cfRule type="expression" dxfId="359" priority="31">
      <formula>H81&gt;0</formula>
    </cfRule>
    <cfRule type="expression" dxfId="358" priority="32">
      <formula>H81&lt;0</formula>
    </cfRule>
  </conditionalFormatting>
  <conditionalFormatting sqref="H93">
    <cfRule type="expression" dxfId="357" priority="21">
      <formula>H93&gt;0</formula>
    </cfRule>
    <cfRule type="expression" dxfId="356" priority="22">
      <formula>H93&lt;0</formula>
    </cfRule>
  </conditionalFormatting>
  <conditionalFormatting sqref="F101:F124">
    <cfRule type="expression" dxfId="355" priority="19">
      <formula>F101&gt;0</formula>
    </cfRule>
    <cfRule type="expression" dxfId="354" priority="20">
      <formula>F101&lt;0</formula>
    </cfRule>
  </conditionalFormatting>
  <conditionalFormatting sqref="H94">
    <cfRule type="expression" dxfId="353" priority="17">
      <formula>H94&gt;0</formula>
    </cfRule>
    <cfRule type="expression" dxfId="352" priority="18">
      <formula>H94&lt;0</formula>
    </cfRule>
  </conditionalFormatting>
  <conditionalFormatting sqref="H95:H100">
    <cfRule type="expression" dxfId="351" priority="13">
      <formula>H95&gt;0</formula>
    </cfRule>
    <cfRule type="expression" dxfId="350" priority="14">
      <formula>H95&lt;0</formula>
    </cfRule>
  </conditionalFormatting>
  <conditionalFormatting sqref="F101:F124">
    <cfRule type="expression" dxfId="349" priority="3">
      <formula>F101&gt;0</formula>
    </cfRule>
    <cfRule type="expression" dxfId="348" priority="4">
      <formula>F101&lt;0</formula>
    </cfRule>
  </conditionalFormatting>
  <conditionalFormatting sqref="H101:H124">
    <cfRule type="expression" dxfId="347" priority="1">
      <formula>H101&gt;0</formula>
    </cfRule>
    <cfRule type="expression" dxfId="34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217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42444</v>
      </c>
      <c r="W2" s="113">
        <v>39.82</v>
      </c>
      <c r="X2" s="113">
        <v>39.94</v>
      </c>
      <c r="Y2" s="113">
        <v>39.130000000000003</v>
      </c>
      <c r="Z2" s="113">
        <v>39.47</v>
      </c>
      <c r="AA2" s="111">
        <v>4896600</v>
      </c>
      <c r="AB2" s="110">
        <v>39.47</v>
      </c>
      <c r="AC2" s="2">
        <f>X2-Y2</f>
        <v>0.80999999999999517</v>
      </c>
      <c r="AD2" s="148">
        <f>AB2/AB3-1</f>
        <v>-1.3496625843539056E-2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40.39</v>
      </c>
      <c r="S3" s="125"/>
      <c r="T3" s="20"/>
      <c r="U3" s="20"/>
      <c r="V3" s="109">
        <v>42443</v>
      </c>
      <c r="W3" s="113">
        <v>39.979999999999997</v>
      </c>
      <c r="X3" s="113">
        <v>40.43</v>
      </c>
      <c r="Y3" s="113">
        <v>39.86</v>
      </c>
      <c r="Z3" s="113">
        <v>40.01</v>
      </c>
      <c r="AA3" s="111">
        <v>5546800</v>
      </c>
      <c r="AB3" s="110">
        <v>40.01</v>
      </c>
      <c r="AC3" s="2">
        <f t="shared" ref="AC3:AC66" si="0">X3-Y3</f>
        <v>0.57000000000000028</v>
      </c>
      <c r="AD3" s="148">
        <f t="shared" ref="AD3:AD66" si="1">AB3/AB4-1</f>
        <v>2.7568922305765131E-3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40.39</v>
      </c>
      <c r="V4" s="109">
        <v>42440</v>
      </c>
      <c r="W4" s="113">
        <v>39.799999999999997</v>
      </c>
      <c r="X4" s="113">
        <v>40.049999999999997</v>
      </c>
      <c r="Y4" s="113">
        <v>39.71</v>
      </c>
      <c r="Z4" s="113">
        <v>39.9</v>
      </c>
      <c r="AA4" s="111">
        <v>4144100</v>
      </c>
      <c r="AB4" s="110">
        <v>39.9</v>
      </c>
      <c r="AC4" s="2">
        <f t="shared" si="0"/>
        <v>0.33999999999999631</v>
      </c>
      <c r="AD4" s="148">
        <f t="shared" si="1"/>
        <v>1.6560509554140124E-2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42439</v>
      </c>
      <c r="W5" s="113">
        <v>38.78</v>
      </c>
      <c r="X5" s="113">
        <v>39.36</v>
      </c>
      <c r="Y5" s="113">
        <v>38.46</v>
      </c>
      <c r="Z5" s="113">
        <v>39.25</v>
      </c>
      <c r="AA5" s="111">
        <v>5242900</v>
      </c>
      <c r="AB5" s="110">
        <v>39.25</v>
      </c>
      <c r="AC5" s="2">
        <f t="shared" si="0"/>
        <v>0.89999999999999858</v>
      </c>
      <c r="AD5" s="148">
        <f t="shared" si="1"/>
        <v>1.8158236057068899E-2</v>
      </c>
    </row>
    <row r="6" spans="1:30" x14ac:dyDescent="0.25">
      <c r="O6" s="13" t="s">
        <v>64</v>
      </c>
      <c r="Q6" s="2">
        <f>Q3*Q2</f>
        <v>0</v>
      </c>
      <c r="S6" s="95"/>
      <c r="V6" s="109">
        <v>42438</v>
      </c>
      <c r="W6" s="113">
        <v>38.090000000000003</v>
      </c>
      <c r="X6" s="113">
        <v>38.619999999999997</v>
      </c>
      <c r="Y6" s="113">
        <v>37.880000000000003</v>
      </c>
      <c r="Z6" s="113">
        <v>38.549999999999997</v>
      </c>
      <c r="AA6" s="111">
        <v>3928100</v>
      </c>
      <c r="AB6" s="110">
        <v>38.549999999999997</v>
      </c>
      <c r="AC6" s="2">
        <f t="shared" si="0"/>
        <v>0.73999999999999488</v>
      </c>
      <c r="AD6" s="148">
        <f t="shared" si="1"/>
        <v>1.9032513877874635E-2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42437</v>
      </c>
      <c r="W7" s="113">
        <v>38.74</v>
      </c>
      <c r="X7" s="113">
        <v>38.9</v>
      </c>
      <c r="Y7" s="113">
        <v>37.770000000000003</v>
      </c>
      <c r="Z7" s="113">
        <v>37.83</v>
      </c>
      <c r="AA7" s="111">
        <v>3492000</v>
      </c>
      <c r="AB7" s="110">
        <v>37.83</v>
      </c>
      <c r="AC7" s="2">
        <f t="shared" si="0"/>
        <v>1.1299999999999955</v>
      </c>
      <c r="AD7" s="148">
        <f t="shared" si="1"/>
        <v>-2.800616649537524E-2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42436</v>
      </c>
      <c r="W8" s="113">
        <v>38.65</v>
      </c>
      <c r="X8" s="113">
        <v>39.090000000000003</v>
      </c>
      <c r="Y8" s="113">
        <v>38.549999999999997</v>
      </c>
      <c r="Z8" s="113">
        <v>38.92</v>
      </c>
      <c r="AA8" s="111">
        <v>2788500</v>
      </c>
      <c r="AB8" s="110">
        <v>38.92</v>
      </c>
      <c r="AC8" s="2">
        <f t="shared" si="0"/>
        <v>0.54000000000000625</v>
      </c>
      <c r="AD8" s="148">
        <f t="shared" si="1"/>
        <v>4.9057578104829691E-3</v>
      </c>
    </row>
    <row r="9" spans="1:30" x14ac:dyDescent="0.25">
      <c r="V9" s="109">
        <v>42433</v>
      </c>
      <c r="W9" s="113">
        <v>38.229999999999997</v>
      </c>
      <c r="X9" s="113">
        <v>39.17</v>
      </c>
      <c r="Y9" s="113">
        <v>38.130000000000003</v>
      </c>
      <c r="Z9" s="113">
        <v>38.729999999999997</v>
      </c>
      <c r="AA9" s="111">
        <v>4652100</v>
      </c>
      <c r="AB9" s="110">
        <v>38.729999999999997</v>
      </c>
      <c r="AC9" s="2">
        <f t="shared" si="0"/>
        <v>1.0399999999999991</v>
      </c>
      <c r="AD9" s="148">
        <f t="shared" si="1"/>
        <v>1.09631949882536E-2</v>
      </c>
    </row>
    <row r="10" spans="1:30" x14ac:dyDescent="0.25">
      <c r="V10" s="109">
        <v>42432</v>
      </c>
      <c r="W10" s="113">
        <v>36.799999999999997</v>
      </c>
      <c r="X10" s="113">
        <v>38.369999999999997</v>
      </c>
      <c r="Y10" s="113">
        <v>36.78</v>
      </c>
      <c r="Z10" s="113">
        <v>38.31</v>
      </c>
      <c r="AA10" s="111">
        <v>5129500</v>
      </c>
      <c r="AB10" s="110">
        <v>38.31</v>
      </c>
      <c r="AC10" s="2">
        <f t="shared" si="0"/>
        <v>1.5899999999999963</v>
      </c>
      <c r="AD10" s="148">
        <f t="shared" si="1"/>
        <v>4.1598694942903691E-2</v>
      </c>
    </row>
    <row r="11" spans="1:3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183</v>
      </c>
      <c r="V11" s="109">
        <v>42431</v>
      </c>
      <c r="W11" s="113">
        <v>36.450000000000003</v>
      </c>
      <c r="X11" s="113">
        <v>37.049999999999997</v>
      </c>
      <c r="Y11" s="113">
        <v>36.42</v>
      </c>
      <c r="Z11" s="113">
        <v>36.78</v>
      </c>
      <c r="AA11" s="111">
        <v>3123300</v>
      </c>
      <c r="AB11" s="110">
        <v>36.78</v>
      </c>
      <c r="AC11" s="2">
        <f t="shared" si="0"/>
        <v>0.62999999999999545</v>
      </c>
      <c r="AD11" s="148">
        <f t="shared" si="1"/>
        <v>3.8209606986898681E-3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42430</v>
      </c>
      <c r="W12" s="113">
        <v>36.020000000000003</v>
      </c>
      <c r="X12" s="113">
        <v>36.909999999999997</v>
      </c>
      <c r="Y12" s="113">
        <v>35.93</v>
      </c>
      <c r="Z12" s="113">
        <v>36.64</v>
      </c>
      <c r="AA12" s="111">
        <v>3639800</v>
      </c>
      <c r="AB12" s="110">
        <v>36.64</v>
      </c>
      <c r="AC12" s="2">
        <f t="shared" si="0"/>
        <v>0.97999999999999687</v>
      </c>
      <c r="AD12" s="148">
        <f t="shared" si="1"/>
        <v>2.6330532212885061E-2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42429</v>
      </c>
      <c r="W13" s="113">
        <v>35.200000000000003</v>
      </c>
      <c r="X13" s="113">
        <v>36.200000000000003</v>
      </c>
      <c r="Y13" s="113">
        <v>35.159999999999997</v>
      </c>
      <c r="Z13" s="113">
        <v>35.700000000000003</v>
      </c>
      <c r="AA13" s="111">
        <v>4242700</v>
      </c>
      <c r="AB13" s="110">
        <v>35.700000000000003</v>
      </c>
      <c r="AC13" s="2">
        <f t="shared" si="0"/>
        <v>1.0400000000000063</v>
      </c>
      <c r="AD13" s="148">
        <f t="shared" si="1"/>
        <v>1.3053348467650494E-2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42426</v>
      </c>
      <c r="W14" s="113">
        <v>35</v>
      </c>
      <c r="X14" s="113">
        <v>35.5</v>
      </c>
      <c r="Y14" s="113">
        <v>34.97</v>
      </c>
      <c r="Z14" s="113">
        <v>35.24</v>
      </c>
      <c r="AA14" s="111">
        <v>3335400</v>
      </c>
      <c r="AB14" s="110">
        <v>35.24</v>
      </c>
      <c r="AC14" s="2">
        <f t="shared" si="0"/>
        <v>0.53000000000000114</v>
      </c>
      <c r="AD14" s="148">
        <f t="shared" si="1"/>
        <v>1.293475136533484E-2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42425</v>
      </c>
      <c r="W15" s="113">
        <v>34.78</v>
      </c>
      <c r="X15" s="113">
        <v>34.950000000000003</v>
      </c>
      <c r="Y15" s="113">
        <v>34.31</v>
      </c>
      <c r="Z15" s="113">
        <v>34.79</v>
      </c>
      <c r="AA15" s="111">
        <v>3083900</v>
      </c>
      <c r="AB15" s="110">
        <v>34.79</v>
      </c>
      <c r="AC15" s="2">
        <f t="shared" si="0"/>
        <v>0.64000000000000057</v>
      </c>
      <c r="AD15" s="148">
        <f t="shared" si="1"/>
        <v>2.3048112935752929E-3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42424</v>
      </c>
      <c r="W16" s="113">
        <v>33.99</v>
      </c>
      <c r="X16" s="113">
        <v>34.86</v>
      </c>
      <c r="Y16" s="113">
        <v>33.799999999999997</v>
      </c>
      <c r="Z16" s="113">
        <v>34.71</v>
      </c>
      <c r="AA16" s="111">
        <v>3610800</v>
      </c>
      <c r="AB16" s="110">
        <v>34.71</v>
      </c>
      <c r="AC16" s="2">
        <f t="shared" si="0"/>
        <v>1.0600000000000023</v>
      </c>
      <c r="AD16" s="148">
        <f t="shared" si="1"/>
        <v>1.5209125475285301E-2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265</v>
      </c>
      <c r="V17" s="109">
        <v>42423</v>
      </c>
      <c r="W17" s="113">
        <v>34.18</v>
      </c>
      <c r="X17" s="113">
        <v>34.31</v>
      </c>
      <c r="Y17" s="113">
        <v>33.76</v>
      </c>
      <c r="Z17" s="113">
        <v>34.19</v>
      </c>
      <c r="AA17" s="111">
        <v>3749900</v>
      </c>
      <c r="AB17" s="110">
        <v>34.19</v>
      </c>
      <c r="AC17" s="2">
        <f t="shared" si="0"/>
        <v>0.55000000000000426</v>
      </c>
      <c r="AD17" s="148">
        <f t="shared" si="1"/>
        <v>-4.6579330422126253E-3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42422</v>
      </c>
      <c r="W18" s="113">
        <v>34.43</v>
      </c>
      <c r="X18" s="113">
        <v>34.5</v>
      </c>
      <c r="Y18" s="113">
        <v>34.08</v>
      </c>
      <c r="Z18" s="113">
        <v>34.35</v>
      </c>
      <c r="AA18" s="111">
        <v>4028100</v>
      </c>
      <c r="AB18" s="110">
        <v>34.35</v>
      </c>
      <c r="AC18" s="2">
        <f t="shared" si="0"/>
        <v>0.42000000000000171</v>
      </c>
      <c r="AD18" s="148">
        <f t="shared" si="1"/>
        <v>9.9970596883269813E-3</v>
      </c>
    </row>
    <row r="19" spans="2:30" x14ac:dyDescent="0.25">
      <c r="V19" s="109">
        <v>42419</v>
      </c>
      <c r="W19" s="113">
        <v>34.81</v>
      </c>
      <c r="X19" s="113">
        <v>34.81</v>
      </c>
      <c r="Y19" s="113">
        <v>33.43</v>
      </c>
      <c r="Z19" s="113">
        <v>34.01</v>
      </c>
      <c r="AA19" s="111">
        <v>5873900</v>
      </c>
      <c r="AB19" s="110">
        <v>34.01</v>
      </c>
      <c r="AC19" s="2">
        <f t="shared" si="0"/>
        <v>1.3800000000000026</v>
      </c>
      <c r="AD19" s="148">
        <f t="shared" si="1"/>
        <v>-3.7089467723669389E-2</v>
      </c>
    </row>
    <row r="20" spans="2:30" x14ac:dyDescent="0.25">
      <c r="V20" s="109">
        <v>42418</v>
      </c>
      <c r="W20" s="113">
        <v>35.54</v>
      </c>
      <c r="X20" s="113">
        <v>35.61</v>
      </c>
      <c r="Y20" s="113">
        <v>35.03</v>
      </c>
      <c r="Z20" s="113">
        <v>35.32</v>
      </c>
      <c r="AA20" s="111">
        <v>2970400</v>
      </c>
      <c r="AB20" s="110">
        <v>35.32</v>
      </c>
      <c r="AC20" s="2">
        <f t="shared" si="0"/>
        <v>0.57999999999999829</v>
      </c>
      <c r="AD20" s="148">
        <f t="shared" si="1"/>
        <v>-7.307476110174238E-3</v>
      </c>
    </row>
    <row r="21" spans="2:30" x14ac:dyDescent="0.25">
      <c r="V21" s="109">
        <v>42417</v>
      </c>
      <c r="W21" s="113">
        <v>35.299999999999997</v>
      </c>
      <c r="X21" s="113">
        <v>36.17</v>
      </c>
      <c r="Y21" s="113">
        <v>35.26</v>
      </c>
      <c r="Z21" s="113">
        <v>35.58</v>
      </c>
      <c r="AA21" s="111">
        <v>4466400</v>
      </c>
      <c r="AB21" s="110">
        <v>35.58</v>
      </c>
      <c r="AC21" s="2">
        <f t="shared" si="0"/>
        <v>0.91000000000000369</v>
      </c>
      <c r="AD21" s="148">
        <f t="shared" si="1"/>
        <v>1.3675213675213627E-2</v>
      </c>
    </row>
    <row r="22" spans="2:30" x14ac:dyDescent="0.25">
      <c r="V22" s="109">
        <v>42416</v>
      </c>
      <c r="W22" s="113">
        <v>34.549999999999997</v>
      </c>
      <c r="X22" s="113">
        <v>35.14</v>
      </c>
      <c r="Y22" s="113">
        <v>34.22</v>
      </c>
      <c r="Z22" s="113">
        <v>35.1</v>
      </c>
      <c r="AA22" s="111">
        <v>3380500</v>
      </c>
      <c r="AB22" s="110">
        <v>35.1</v>
      </c>
      <c r="AC22" s="2">
        <f t="shared" si="0"/>
        <v>0.92000000000000171</v>
      </c>
      <c r="AD22" s="148">
        <f t="shared" si="1"/>
        <v>2.7517564402810502E-2</v>
      </c>
    </row>
    <row r="23" spans="2:30" x14ac:dyDescent="0.25">
      <c r="V23" s="109">
        <v>42412</v>
      </c>
      <c r="W23" s="113">
        <v>33.57</v>
      </c>
      <c r="X23" s="113">
        <v>35.15</v>
      </c>
      <c r="Y23" s="113">
        <v>33.520000000000003</v>
      </c>
      <c r="Z23" s="113">
        <v>34.159999999999997</v>
      </c>
      <c r="AA23" s="111">
        <v>6366300</v>
      </c>
      <c r="AB23" s="110">
        <v>34.159999999999997</v>
      </c>
      <c r="AC23" s="2">
        <f t="shared" si="0"/>
        <v>1.6299999999999955</v>
      </c>
      <c r="AD23" s="148">
        <f t="shared" si="1"/>
        <v>3.1400966183574797E-2</v>
      </c>
    </row>
    <row r="24" spans="2:30" x14ac:dyDescent="0.25">
      <c r="V24" s="109">
        <v>42411</v>
      </c>
      <c r="W24" s="113">
        <v>33.85</v>
      </c>
      <c r="X24" s="113">
        <v>34.130000000000003</v>
      </c>
      <c r="Y24" s="113">
        <v>32.86</v>
      </c>
      <c r="Z24" s="113">
        <v>33.119999999999997</v>
      </c>
      <c r="AA24" s="111">
        <v>5885500</v>
      </c>
      <c r="AB24" s="110">
        <v>33.119999999999997</v>
      </c>
      <c r="AC24" s="2">
        <f t="shared" si="0"/>
        <v>1.2700000000000031</v>
      </c>
      <c r="AD24" s="148" t="e">
        <f t="shared" si="1"/>
        <v>#DIV/0!</v>
      </c>
    </row>
    <row r="25" spans="2:30" x14ac:dyDescent="0.25">
      <c r="V25" s="109">
        <v>42411</v>
      </c>
      <c r="W25" s="113" t="s">
        <v>214</v>
      </c>
      <c r="X25" s="113"/>
      <c r="Y25" s="113"/>
      <c r="Z25" s="113"/>
      <c r="AA25" s="111"/>
      <c r="AB25" s="110"/>
      <c r="AC25" s="2">
        <f t="shared" si="0"/>
        <v>0</v>
      </c>
      <c r="AD25" s="148">
        <f t="shared" si="1"/>
        <v>-1</v>
      </c>
    </row>
    <row r="26" spans="2:30" x14ac:dyDescent="0.25">
      <c r="V26" s="109">
        <v>42410</v>
      </c>
      <c r="W26" s="113">
        <v>35.270000000000003</v>
      </c>
      <c r="X26" s="113">
        <v>36.119999999999997</v>
      </c>
      <c r="Y26" s="113">
        <v>34.700000000000003</v>
      </c>
      <c r="Z26" s="113">
        <v>34.78</v>
      </c>
      <c r="AA26" s="111">
        <v>7779000</v>
      </c>
      <c r="AB26" s="110">
        <v>34.340000000000003</v>
      </c>
      <c r="AC26" s="2">
        <f t="shared" si="0"/>
        <v>1.4199999999999946</v>
      </c>
      <c r="AD26" s="148">
        <f t="shared" si="1"/>
        <v>-1.0089362928797807E-2</v>
      </c>
    </row>
    <row r="27" spans="2:30" x14ac:dyDescent="0.25">
      <c r="V27" s="109">
        <v>42409</v>
      </c>
      <c r="W27" s="113">
        <v>34.01</v>
      </c>
      <c r="X27" s="113">
        <v>35.200000000000003</v>
      </c>
      <c r="Y27" s="113">
        <v>33.75</v>
      </c>
      <c r="Z27" s="113">
        <v>35.130000000000003</v>
      </c>
      <c r="AA27" s="111">
        <v>6144000</v>
      </c>
      <c r="AB27" s="110">
        <v>34.69</v>
      </c>
      <c r="AC27" s="2">
        <f t="shared" si="0"/>
        <v>1.4500000000000028</v>
      </c>
      <c r="AD27" s="148">
        <f t="shared" si="1"/>
        <v>2.2399056881815538E-2</v>
      </c>
    </row>
    <row r="28" spans="2:30" x14ac:dyDescent="0.25">
      <c r="V28" s="109">
        <v>42408</v>
      </c>
      <c r="W28" s="113">
        <v>34.5</v>
      </c>
      <c r="X28" s="113">
        <v>34.61</v>
      </c>
      <c r="Y28" s="113">
        <v>33.72</v>
      </c>
      <c r="Z28" s="113">
        <v>34.36</v>
      </c>
      <c r="AA28" s="111">
        <v>4257100</v>
      </c>
      <c r="AB28" s="110">
        <v>33.93</v>
      </c>
      <c r="AC28" s="2">
        <f t="shared" si="0"/>
        <v>0.89000000000000057</v>
      </c>
      <c r="AD28" s="148">
        <f t="shared" si="1"/>
        <v>-1.7376194613379692E-2</v>
      </c>
    </row>
    <row r="29" spans="2:30" x14ac:dyDescent="0.25">
      <c r="V29" s="109">
        <v>42405</v>
      </c>
      <c r="W29" s="113">
        <v>35.06</v>
      </c>
      <c r="X29" s="113">
        <v>35.36</v>
      </c>
      <c r="Y29" s="113">
        <v>34.81</v>
      </c>
      <c r="Z29" s="113">
        <v>34.97</v>
      </c>
      <c r="AA29" s="111">
        <v>6531400</v>
      </c>
      <c r="AB29" s="110">
        <v>34.53</v>
      </c>
      <c r="AC29" s="2">
        <f t="shared" si="0"/>
        <v>0.54999999999999716</v>
      </c>
      <c r="AD29" s="148">
        <f t="shared" si="1"/>
        <v>-2.8876696505920618E-3</v>
      </c>
    </row>
    <row r="30" spans="2:30" x14ac:dyDescent="0.25">
      <c r="V30" s="109">
        <v>42404</v>
      </c>
      <c r="W30" s="113">
        <v>34.229999999999997</v>
      </c>
      <c r="X30" s="113">
        <v>35.39</v>
      </c>
      <c r="Y30" s="113">
        <v>33.9</v>
      </c>
      <c r="Z30" s="113">
        <v>35.07</v>
      </c>
      <c r="AA30" s="111">
        <v>6493900</v>
      </c>
      <c r="AB30" s="110">
        <v>34.630000000000003</v>
      </c>
      <c r="AC30" s="2">
        <f t="shared" si="0"/>
        <v>1.490000000000002</v>
      </c>
      <c r="AD30" s="148">
        <f t="shared" si="1"/>
        <v>2.637818612922338E-2</v>
      </c>
    </row>
    <row r="31" spans="2:30" x14ac:dyDescent="0.25">
      <c r="V31" s="109">
        <v>42403</v>
      </c>
      <c r="W31" s="113">
        <v>34.700000000000003</v>
      </c>
      <c r="X31" s="113">
        <v>35.479999999999997</v>
      </c>
      <c r="Y31" s="113">
        <v>33.06</v>
      </c>
      <c r="Z31" s="113">
        <v>34.17</v>
      </c>
      <c r="AA31" s="111">
        <v>8870700</v>
      </c>
      <c r="AB31" s="110">
        <v>33.74</v>
      </c>
      <c r="AC31" s="2">
        <f t="shared" si="0"/>
        <v>2.4199999999999946</v>
      </c>
      <c r="AD31" s="148">
        <f t="shared" si="1"/>
        <v>9.2731079868382249E-3</v>
      </c>
    </row>
    <row r="32" spans="2:30" x14ac:dyDescent="0.25">
      <c r="V32" s="109">
        <v>42402</v>
      </c>
      <c r="W32" s="113">
        <v>34.08</v>
      </c>
      <c r="X32" s="113">
        <v>34.090000000000003</v>
      </c>
      <c r="Y32" s="113">
        <v>33.479999999999997</v>
      </c>
      <c r="Z32" s="113">
        <v>33.86</v>
      </c>
      <c r="AA32" s="111">
        <v>5374200</v>
      </c>
      <c r="AB32" s="110">
        <v>33.43</v>
      </c>
      <c r="AC32" s="2">
        <f t="shared" si="0"/>
        <v>0.61000000000000654</v>
      </c>
      <c r="AD32" s="148">
        <f t="shared" si="1"/>
        <v>-6.8330362448008053E-3</v>
      </c>
    </row>
    <row r="33" spans="15:30" x14ac:dyDescent="0.25">
      <c r="V33" s="109">
        <v>42401</v>
      </c>
      <c r="W33" s="113">
        <v>34.03</v>
      </c>
      <c r="X33" s="113">
        <v>34.33</v>
      </c>
      <c r="Y33" s="113">
        <v>33.51</v>
      </c>
      <c r="Z33" s="113">
        <v>34.090000000000003</v>
      </c>
      <c r="AA33" s="111">
        <v>5573900</v>
      </c>
      <c r="AB33" s="110">
        <v>33.659999999999997</v>
      </c>
      <c r="AC33" s="2">
        <f t="shared" si="0"/>
        <v>0.82000000000000028</v>
      </c>
      <c r="AD33" s="148">
        <f t="shared" si="1"/>
        <v>-3.5523978685614299E-3</v>
      </c>
    </row>
    <row r="34" spans="15:30" x14ac:dyDescent="0.25">
      <c r="V34" s="109">
        <v>42398</v>
      </c>
      <c r="W34" s="113">
        <v>32.880000000000003</v>
      </c>
      <c r="X34" s="113">
        <v>34.22</v>
      </c>
      <c r="Y34" s="113">
        <v>32.83</v>
      </c>
      <c r="Z34" s="113">
        <v>34.21</v>
      </c>
      <c r="AA34" s="111">
        <v>6266000</v>
      </c>
      <c r="AB34" s="110">
        <v>33.78</v>
      </c>
      <c r="AC34" s="2">
        <f t="shared" si="0"/>
        <v>1.3900000000000006</v>
      </c>
      <c r="AD34" s="148">
        <f t="shared" si="1"/>
        <v>4.7766749379652529E-2</v>
      </c>
    </row>
    <row r="35" spans="15:30" x14ac:dyDescent="0.25">
      <c r="V35" s="109">
        <v>42397</v>
      </c>
      <c r="W35" s="113">
        <v>33.1</v>
      </c>
      <c r="X35" s="113">
        <v>33.24</v>
      </c>
      <c r="Y35" s="113">
        <v>32.56</v>
      </c>
      <c r="Z35" s="113">
        <v>32.65</v>
      </c>
      <c r="AA35" s="111">
        <v>4276100</v>
      </c>
      <c r="AB35" s="110">
        <v>32.24</v>
      </c>
      <c r="AC35" s="2">
        <f t="shared" si="0"/>
        <v>0.67999999999999972</v>
      </c>
      <c r="AD35" s="148">
        <f t="shared" si="1"/>
        <v>-7.6946752847030231E-3</v>
      </c>
    </row>
    <row r="36" spans="15:30" x14ac:dyDescent="0.25">
      <c r="V36" s="109">
        <v>42396</v>
      </c>
      <c r="W36" s="113">
        <v>32.770000000000003</v>
      </c>
      <c r="X36" s="113">
        <v>33.67</v>
      </c>
      <c r="Y36" s="113">
        <v>32.53</v>
      </c>
      <c r="Z36" s="113">
        <v>32.909999999999997</v>
      </c>
      <c r="AA36" s="111">
        <v>6765000</v>
      </c>
      <c r="AB36" s="110">
        <v>32.49</v>
      </c>
      <c r="AC36" s="2">
        <f t="shared" si="0"/>
        <v>1.1400000000000006</v>
      </c>
      <c r="AD36" s="148">
        <f t="shared" si="1"/>
        <v>1.2326656394452407E-3</v>
      </c>
    </row>
    <row r="37" spans="15:30" x14ac:dyDescent="0.25">
      <c r="V37" s="109">
        <v>42395</v>
      </c>
      <c r="W37" s="113">
        <v>32.81</v>
      </c>
      <c r="X37" s="113">
        <v>33.29</v>
      </c>
      <c r="Y37" s="113">
        <v>32.58</v>
      </c>
      <c r="Z37" s="113">
        <v>32.869999999999997</v>
      </c>
      <c r="AA37" s="111">
        <v>8396000</v>
      </c>
      <c r="AB37" s="110">
        <v>32.450000000000003</v>
      </c>
      <c r="AC37" s="2">
        <f t="shared" si="0"/>
        <v>0.71000000000000085</v>
      </c>
      <c r="AD37" s="148">
        <f t="shared" si="1"/>
        <v>8.7037612682623333E-3</v>
      </c>
    </row>
    <row r="38" spans="15:30" x14ac:dyDescent="0.25">
      <c r="V38" s="109">
        <v>42394</v>
      </c>
      <c r="W38" s="113">
        <v>34.979999999999997</v>
      </c>
      <c r="X38" s="113">
        <v>35.01</v>
      </c>
      <c r="Y38" s="113">
        <v>32.5</v>
      </c>
      <c r="Z38" s="113">
        <v>32.58</v>
      </c>
      <c r="AA38" s="111">
        <v>14645200</v>
      </c>
      <c r="AB38" s="110">
        <v>32.17</v>
      </c>
      <c r="AC38" s="2">
        <f t="shared" si="0"/>
        <v>2.509999999999998</v>
      </c>
      <c r="AD38" s="148">
        <f t="shared" si="1"/>
        <v>-0.10614059460961378</v>
      </c>
    </row>
    <row r="39" spans="15:30" x14ac:dyDescent="0.25">
      <c r="V39" s="109">
        <v>42391</v>
      </c>
      <c r="W39" s="113">
        <v>36.03</v>
      </c>
      <c r="X39" s="113">
        <v>36.799999999999997</v>
      </c>
      <c r="Y39" s="113">
        <v>36.03</v>
      </c>
      <c r="Z39" s="113">
        <v>36.450000000000003</v>
      </c>
      <c r="AA39" s="111">
        <v>3713800</v>
      </c>
      <c r="AB39" s="110">
        <v>35.99</v>
      </c>
      <c r="AC39" s="2">
        <f t="shared" si="0"/>
        <v>0.76999999999999602</v>
      </c>
      <c r="AD39" s="148">
        <f t="shared" si="1"/>
        <v>2.799200228506149E-2</v>
      </c>
    </row>
    <row r="40" spans="15:30" ht="20.25" thickBot="1" x14ac:dyDescent="0.35">
      <c r="O40" s="408" t="s">
        <v>78</v>
      </c>
      <c r="P40" s="408"/>
      <c r="S40" s="101" t="s">
        <v>116</v>
      </c>
      <c r="V40" s="109">
        <v>42390</v>
      </c>
      <c r="W40" s="113">
        <v>35.450000000000003</v>
      </c>
      <c r="X40" s="113">
        <v>35.99</v>
      </c>
      <c r="Y40" s="113">
        <v>34.94</v>
      </c>
      <c r="Z40" s="113">
        <v>35.46</v>
      </c>
      <c r="AA40" s="111">
        <v>3355600</v>
      </c>
      <c r="AB40" s="110">
        <v>35.01</v>
      </c>
      <c r="AC40" s="2">
        <f t="shared" si="0"/>
        <v>1.0500000000000043</v>
      </c>
      <c r="AD40" s="148">
        <f t="shared" si="1"/>
        <v>4.8794489092995885E-3</v>
      </c>
    </row>
    <row r="41" spans="15:30" ht="15.75" thickTop="1" x14ac:dyDescent="0.25">
      <c r="O41" s="93">
        <v>1.1000000000000001</v>
      </c>
      <c r="P41" s="93">
        <f>O41*$Q$4</f>
        <v>44.429000000000002</v>
      </c>
      <c r="Q41" s="2"/>
      <c r="S41" s="107" t="s">
        <v>101</v>
      </c>
      <c r="T41" s="108">
        <v>40.01</v>
      </c>
      <c r="V41" s="109">
        <v>42389</v>
      </c>
      <c r="W41" s="113">
        <v>35.07</v>
      </c>
      <c r="X41" s="113">
        <v>35.61</v>
      </c>
      <c r="Y41" s="113">
        <v>34.03</v>
      </c>
      <c r="Z41" s="113">
        <v>35.29</v>
      </c>
      <c r="AA41" s="111">
        <v>4650400</v>
      </c>
      <c r="AB41" s="110">
        <v>34.840000000000003</v>
      </c>
      <c r="AC41" s="2">
        <f t="shared" si="0"/>
        <v>1.5799999999999983</v>
      </c>
      <c r="AD41" s="148">
        <f t="shared" si="1"/>
        <v>-9.9460073884625189E-3</v>
      </c>
    </row>
    <row r="42" spans="15:30" x14ac:dyDescent="0.25">
      <c r="O42" s="93">
        <v>1.0900000000000001</v>
      </c>
      <c r="P42" s="93">
        <f t="shared" ref="P42:P61" si="2">O42*$Q$4</f>
        <v>44.025100000000002</v>
      </c>
      <c r="Q42" s="2"/>
      <c r="S42" s="97" t="s">
        <v>102</v>
      </c>
      <c r="T42" s="98">
        <v>39.85</v>
      </c>
      <c r="V42" s="109">
        <v>42388</v>
      </c>
      <c r="W42" s="113">
        <v>36.76</v>
      </c>
      <c r="X42" s="113">
        <v>36.83</v>
      </c>
      <c r="Y42" s="113">
        <v>35.020000000000003</v>
      </c>
      <c r="Z42" s="113">
        <v>35.64</v>
      </c>
      <c r="AA42" s="111">
        <v>4418100</v>
      </c>
      <c r="AB42" s="110">
        <v>35.19</v>
      </c>
      <c r="AC42" s="2">
        <f t="shared" si="0"/>
        <v>1.8099999999999952</v>
      </c>
      <c r="AD42" s="148">
        <f t="shared" si="1"/>
        <v>-2.141268075639613E-2</v>
      </c>
    </row>
    <row r="43" spans="15:30" x14ac:dyDescent="0.25">
      <c r="O43" s="93">
        <v>1.08</v>
      </c>
      <c r="P43" s="93">
        <f t="shared" si="2"/>
        <v>43.621200000000002</v>
      </c>
      <c r="Q43" s="2"/>
      <c r="S43" s="97" t="s">
        <v>103</v>
      </c>
      <c r="T43" s="98" t="s">
        <v>295</v>
      </c>
      <c r="V43" s="109">
        <v>42384</v>
      </c>
      <c r="W43" s="113">
        <v>35.49</v>
      </c>
      <c r="X43" s="113">
        <v>36.799999999999997</v>
      </c>
      <c r="Y43" s="113">
        <v>35.49</v>
      </c>
      <c r="Z43" s="113">
        <v>36.42</v>
      </c>
      <c r="AA43" s="111">
        <v>5079700</v>
      </c>
      <c r="AB43" s="110">
        <v>35.96</v>
      </c>
      <c r="AC43" s="2">
        <f t="shared" si="0"/>
        <v>1.3099999999999952</v>
      </c>
      <c r="AD43" s="148">
        <f t="shared" si="1"/>
        <v>-3.3259423503325669E-3</v>
      </c>
    </row>
    <row r="44" spans="15:30" x14ac:dyDescent="0.25">
      <c r="O44" s="93">
        <v>1.07</v>
      </c>
      <c r="P44" s="93">
        <f t="shared" si="2"/>
        <v>43.217300000000002</v>
      </c>
      <c r="Q44" s="2"/>
      <c r="S44" s="97" t="s">
        <v>104</v>
      </c>
      <c r="T44" s="98" t="s">
        <v>296</v>
      </c>
      <c r="V44" s="109">
        <v>42383</v>
      </c>
      <c r="W44" s="113">
        <v>36.17</v>
      </c>
      <c r="X44" s="113">
        <v>36.79</v>
      </c>
      <c r="Y44" s="113">
        <v>35.69</v>
      </c>
      <c r="Z44" s="113">
        <v>36.54</v>
      </c>
      <c r="AA44" s="111">
        <v>4106100</v>
      </c>
      <c r="AB44" s="110">
        <v>36.08</v>
      </c>
      <c r="AC44" s="2">
        <f t="shared" si="0"/>
        <v>1.1000000000000014</v>
      </c>
      <c r="AD44" s="148">
        <f t="shared" si="1"/>
        <v>1.376791233492547E-2</v>
      </c>
    </row>
    <row r="45" spans="15:30" x14ac:dyDescent="0.25">
      <c r="O45" s="93">
        <v>1.06</v>
      </c>
      <c r="P45" s="93">
        <f t="shared" si="2"/>
        <v>42.813400000000001</v>
      </c>
      <c r="Q45" s="2"/>
      <c r="S45" s="97" t="s">
        <v>105</v>
      </c>
      <c r="T45" s="98">
        <v>42.38</v>
      </c>
      <c r="V45" s="109">
        <v>42382</v>
      </c>
      <c r="W45" s="113">
        <v>36.549999999999997</v>
      </c>
      <c r="X45" s="113">
        <v>37.049999999999997</v>
      </c>
      <c r="Y45" s="113">
        <v>35.979999999999997</v>
      </c>
      <c r="Z45" s="113">
        <v>36.049999999999997</v>
      </c>
      <c r="AA45" s="111">
        <v>3962300</v>
      </c>
      <c r="AB45" s="110">
        <v>35.590000000000003</v>
      </c>
      <c r="AC45" s="2">
        <f t="shared" si="0"/>
        <v>1.0700000000000003</v>
      </c>
      <c r="AD45" s="148">
        <f t="shared" si="1"/>
        <v>-8.3588743382556618E-3</v>
      </c>
    </row>
    <row r="46" spans="15:30" x14ac:dyDescent="0.25">
      <c r="O46" s="93">
        <v>1.05</v>
      </c>
      <c r="P46" s="93">
        <f t="shared" si="2"/>
        <v>42.409500000000001</v>
      </c>
      <c r="Q46" s="2"/>
      <c r="S46" s="97" t="s">
        <v>106</v>
      </c>
      <c r="T46" s="98">
        <v>1.4377800000000001</v>
      </c>
      <c r="V46" s="109">
        <v>42381</v>
      </c>
      <c r="W46" s="113">
        <v>36.72</v>
      </c>
      <c r="X46" s="113">
        <v>36.880000000000003</v>
      </c>
      <c r="Y46" s="113">
        <v>35.950000000000003</v>
      </c>
      <c r="Z46" s="113">
        <v>36.35</v>
      </c>
      <c r="AA46" s="111">
        <v>3960200</v>
      </c>
      <c r="AB46" s="110">
        <v>35.89</v>
      </c>
      <c r="AC46" s="2">
        <f t="shared" si="0"/>
        <v>0.92999999999999972</v>
      </c>
      <c r="AD46" s="148">
        <f t="shared" si="1"/>
        <v>-1.3912075681691283E-3</v>
      </c>
    </row>
    <row r="47" spans="15:30" x14ac:dyDescent="0.25">
      <c r="O47" s="93">
        <v>1.04</v>
      </c>
      <c r="P47" s="93">
        <f t="shared" si="2"/>
        <v>42.005600000000001</v>
      </c>
      <c r="Q47" s="2"/>
      <c r="S47" s="97" t="s">
        <v>107</v>
      </c>
      <c r="T47" s="99" t="s">
        <v>237</v>
      </c>
      <c r="V47" s="109">
        <v>42380</v>
      </c>
      <c r="W47" s="113">
        <v>36.18</v>
      </c>
      <c r="X47" s="113">
        <v>36.54</v>
      </c>
      <c r="Y47" s="113">
        <v>35.950000000000003</v>
      </c>
      <c r="Z47" s="113">
        <v>36.4</v>
      </c>
      <c r="AA47" s="111">
        <v>5870700</v>
      </c>
      <c r="AB47" s="110">
        <v>35.94</v>
      </c>
      <c r="AC47" s="2">
        <f t="shared" si="0"/>
        <v>0.58999999999999631</v>
      </c>
      <c r="AD47" s="148">
        <f t="shared" si="1"/>
        <v>1.3822284908321381E-2</v>
      </c>
    </row>
    <row r="48" spans="15:30" x14ac:dyDescent="0.25">
      <c r="O48" s="93">
        <v>1.03</v>
      </c>
      <c r="P48" s="93">
        <f t="shared" si="2"/>
        <v>41.601700000000001</v>
      </c>
      <c r="Q48" s="2"/>
      <c r="S48" s="97"/>
      <c r="T48" s="98"/>
      <c r="V48" s="109">
        <v>42377</v>
      </c>
      <c r="W48" s="113">
        <v>36.299999999999997</v>
      </c>
      <c r="X48" s="113">
        <v>36.78</v>
      </c>
      <c r="Y48" s="113">
        <v>35.78</v>
      </c>
      <c r="Z48" s="113">
        <v>35.9</v>
      </c>
      <c r="AA48" s="111">
        <v>4781000</v>
      </c>
      <c r="AB48" s="110">
        <v>35.450000000000003</v>
      </c>
      <c r="AC48" s="2">
        <f t="shared" si="0"/>
        <v>1</v>
      </c>
      <c r="AD48" s="148">
        <f t="shared" si="1"/>
        <v>-1.0605637733742568E-2</v>
      </c>
    </row>
    <row r="49" spans="15:30" x14ac:dyDescent="0.25">
      <c r="O49" s="93">
        <v>1.02</v>
      </c>
      <c r="P49" s="93">
        <f t="shared" si="2"/>
        <v>41.197800000000001</v>
      </c>
      <c r="Q49" s="2"/>
      <c r="S49" s="97" t="s">
        <v>108</v>
      </c>
      <c r="T49" s="98" t="s">
        <v>297</v>
      </c>
      <c r="V49" s="109">
        <v>42376</v>
      </c>
      <c r="W49" s="113">
        <v>36.79</v>
      </c>
      <c r="X49" s="113">
        <v>37.22</v>
      </c>
      <c r="Y49" s="113">
        <v>36.18</v>
      </c>
      <c r="Z49" s="113">
        <v>36.29</v>
      </c>
      <c r="AA49" s="111">
        <v>4851900</v>
      </c>
      <c r="AB49" s="110">
        <v>35.83</v>
      </c>
      <c r="AC49" s="2">
        <f t="shared" si="0"/>
        <v>1.0399999999999991</v>
      </c>
      <c r="AD49" s="148">
        <f t="shared" si="1"/>
        <v>-2.9523293607800705E-2</v>
      </c>
    </row>
    <row r="50" spans="15:30" x14ac:dyDescent="0.25">
      <c r="O50" s="93">
        <v>1.01</v>
      </c>
      <c r="P50" s="93">
        <f t="shared" si="2"/>
        <v>40.793900000000001</v>
      </c>
      <c r="Q50" s="2"/>
      <c r="S50" s="97" t="s">
        <v>109</v>
      </c>
      <c r="T50" s="98" t="s">
        <v>269</v>
      </c>
      <c r="V50" s="109">
        <v>42375</v>
      </c>
      <c r="W50" s="113">
        <v>37.47</v>
      </c>
      <c r="X50" s="113">
        <v>37.58</v>
      </c>
      <c r="Y50" s="113">
        <v>37.119999999999997</v>
      </c>
      <c r="Z50" s="113">
        <v>37.39</v>
      </c>
      <c r="AA50" s="111">
        <v>3536800</v>
      </c>
      <c r="AB50" s="110">
        <v>36.92</v>
      </c>
      <c r="AC50" s="2">
        <f t="shared" si="0"/>
        <v>0.46000000000000085</v>
      </c>
      <c r="AD50" s="148">
        <f t="shared" si="1"/>
        <v>-1.5729138896294237E-2</v>
      </c>
    </row>
    <row r="51" spans="15:30" x14ac:dyDescent="0.25">
      <c r="O51" s="93">
        <v>1</v>
      </c>
      <c r="P51" s="93">
        <f t="shared" si="2"/>
        <v>40.39</v>
      </c>
      <c r="Q51" s="2"/>
      <c r="S51" s="97" t="s">
        <v>110</v>
      </c>
      <c r="T51" s="100">
        <v>4936959</v>
      </c>
      <c r="V51" s="109">
        <v>42374</v>
      </c>
      <c r="W51" s="113">
        <v>37.79</v>
      </c>
      <c r="X51" s="113">
        <v>38</v>
      </c>
      <c r="Y51" s="113">
        <v>37.42</v>
      </c>
      <c r="Z51" s="113">
        <v>37.99</v>
      </c>
      <c r="AA51" s="111">
        <v>3313900</v>
      </c>
      <c r="AB51" s="110">
        <v>37.51</v>
      </c>
      <c r="AC51" s="2">
        <f t="shared" si="0"/>
        <v>0.57999999999999829</v>
      </c>
      <c r="AD51" s="148">
        <f t="shared" si="1"/>
        <v>8.6044635654745072E-3</v>
      </c>
    </row>
    <row r="52" spans="15:30" x14ac:dyDescent="0.25">
      <c r="O52" s="93">
        <v>0.99</v>
      </c>
      <c r="P52" s="93">
        <f t="shared" si="2"/>
        <v>39.9861</v>
      </c>
      <c r="Q52" s="2"/>
      <c r="S52" s="97" t="s">
        <v>113</v>
      </c>
      <c r="T52" s="100">
        <v>4646370</v>
      </c>
      <c r="V52" s="109">
        <v>42373</v>
      </c>
      <c r="W52" s="113">
        <v>37.159999999999997</v>
      </c>
      <c r="X52" s="113">
        <v>37.67</v>
      </c>
      <c r="Y52" s="113">
        <v>36.86</v>
      </c>
      <c r="Z52" s="113">
        <v>37.67</v>
      </c>
      <c r="AA52" s="111">
        <v>4115100</v>
      </c>
      <c r="AB52" s="110">
        <v>37.19</v>
      </c>
      <c r="AC52" s="2">
        <f t="shared" si="0"/>
        <v>0.81000000000000227</v>
      </c>
      <c r="AD52" s="148">
        <f t="shared" si="1"/>
        <v>-8.0601826974746604E-4</v>
      </c>
    </row>
    <row r="53" spans="15:30" x14ac:dyDescent="0.25">
      <c r="O53" s="93">
        <v>0.98</v>
      </c>
      <c r="P53" s="93">
        <f t="shared" si="2"/>
        <v>39.5822</v>
      </c>
      <c r="Q53" s="2"/>
      <c r="S53" s="97" t="s">
        <v>111</v>
      </c>
      <c r="T53" s="98" t="s">
        <v>298</v>
      </c>
      <c r="V53" s="109">
        <v>42369</v>
      </c>
      <c r="W53" s="113">
        <v>38.08</v>
      </c>
      <c r="X53" s="113">
        <v>38.200000000000003</v>
      </c>
      <c r="Y53" s="113">
        <v>37.69</v>
      </c>
      <c r="Z53" s="113">
        <v>37.700000000000003</v>
      </c>
      <c r="AA53" s="111">
        <v>2572500</v>
      </c>
      <c r="AB53" s="110">
        <v>37.22</v>
      </c>
      <c r="AC53" s="2">
        <f t="shared" si="0"/>
        <v>0.51000000000000512</v>
      </c>
      <c r="AD53" s="148">
        <f t="shared" si="1"/>
        <v>-1.3255567338282037E-2</v>
      </c>
    </row>
    <row r="54" spans="15:30" x14ac:dyDescent="0.25">
      <c r="O54" s="93">
        <v>0.97</v>
      </c>
      <c r="P54" s="93">
        <f t="shared" si="2"/>
        <v>39.1783</v>
      </c>
      <c r="S54" s="97" t="s">
        <v>114</v>
      </c>
      <c r="T54" s="98">
        <v>17.7</v>
      </c>
      <c r="V54" s="109">
        <v>42368</v>
      </c>
      <c r="W54" s="113">
        <v>38.520000000000003</v>
      </c>
      <c r="X54" s="113">
        <v>38.79</v>
      </c>
      <c r="Y54" s="113">
        <v>38.159999999999997</v>
      </c>
      <c r="Z54" s="113">
        <v>38.200000000000003</v>
      </c>
      <c r="AA54" s="111">
        <v>2425200</v>
      </c>
      <c r="AB54" s="110">
        <v>37.72</v>
      </c>
      <c r="AC54" s="2">
        <f t="shared" si="0"/>
        <v>0.63000000000000256</v>
      </c>
      <c r="AD54" s="148">
        <f t="shared" si="1"/>
        <v>-1.1530398322851076E-2</v>
      </c>
    </row>
    <row r="55" spans="15:30" x14ac:dyDescent="0.25">
      <c r="O55" s="93">
        <v>0.96</v>
      </c>
      <c r="P55" s="93">
        <f t="shared" si="2"/>
        <v>38.7744</v>
      </c>
      <c r="S55" s="97" t="s">
        <v>115</v>
      </c>
      <c r="T55" s="98">
        <v>2.23</v>
      </c>
      <c r="V55" s="109">
        <v>42367</v>
      </c>
      <c r="W55" s="113">
        <v>38.36</v>
      </c>
      <c r="X55" s="113">
        <v>38.75</v>
      </c>
      <c r="Y55" s="113">
        <v>38.21</v>
      </c>
      <c r="Z55" s="113">
        <v>38.65</v>
      </c>
      <c r="AA55" s="111">
        <v>2885200</v>
      </c>
      <c r="AB55" s="110">
        <v>38.159999999999997</v>
      </c>
      <c r="AC55" s="2">
        <f t="shared" si="0"/>
        <v>0.53999999999999915</v>
      </c>
      <c r="AD55" s="148">
        <f t="shared" si="1"/>
        <v>1.381509032943673E-2</v>
      </c>
    </row>
    <row r="56" spans="15:30" x14ac:dyDescent="0.25">
      <c r="O56" s="93">
        <v>0.95</v>
      </c>
      <c r="P56" s="93">
        <f t="shared" si="2"/>
        <v>38.3705</v>
      </c>
      <c r="S56" s="97" t="s">
        <v>112</v>
      </c>
      <c r="T56" s="98" t="s">
        <v>299</v>
      </c>
      <c r="V56" s="109">
        <v>42366</v>
      </c>
      <c r="W56" s="113">
        <v>38.35</v>
      </c>
      <c r="X56" s="113">
        <v>38.44</v>
      </c>
      <c r="Y56" s="113">
        <v>37.96</v>
      </c>
      <c r="Z56" s="113">
        <v>38.119999999999997</v>
      </c>
      <c r="AA56" s="111">
        <v>2243600</v>
      </c>
      <c r="AB56" s="110">
        <v>37.64</v>
      </c>
      <c r="AC56" s="2">
        <f t="shared" si="0"/>
        <v>0.47999999999999687</v>
      </c>
      <c r="AD56" s="148">
        <f t="shared" si="1"/>
        <v>-1.025506179332103E-2</v>
      </c>
    </row>
    <row r="57" spans="15:30" x14ac:dyDescent="0.25">
      <c r="O57" s="93">
        <v>0.94</v>
      </c>
      <c r="P57" s="93">
        <f t="shared" si="2"/>
        <v>37.9666</v>
      </c>
      <c r="V57" s="109">
        <v>42362</v>
      </c>
      <c r="W57" s="113">
        <v>38.380000000000003</v>
      </c>
      <c r="X57" s="113">
        <v>38.72</v>
      </c>
      <c r="Y57" s="113">
        <v>38.270000000000003</v>
      </c>
      <c r="Z57" s="113">
        <v>38.520000000000003</v>
      </c>
      <c r="AA57" s="111">
        <v>1147700</v>
      </c>
      <c r="AB57" s="110">
        <v>38.03</v>
      </c>
      <c r="AC57" s="2">
        <f t="shared" si="0"/>
        <v>0.44999999999999574</v>
      </c>
      <c r="AD57" s="148">
        <f t="shared" si="1"/>
        <v>4.7556142668427892E-3</v>
      </c>
    </row>
    <row r="58" spans="15:30" x14ac:dyDescent="0.25">
      <c r="O58" s="93">
        <v>0.93</v>
      </c>
      <c r="P58" s="93">
        <f t="shared" si="2"/>
        <v>37.5627</v>
      </c>
      <c r="V58" s="109">
        <v>42361</v>
      </c>
      <c r="W58" s="113">
        <v>37.94</v>
      </c>
      <c r="X58" s="113">
        <v>38.35</v>
      </c>
      <c r="Y58" s="113">
        <v>37.729999999999997</v>
      </c>
      <c r="Z58" s="113">
        <v>38.33</v>
      </c>
      <c r="AA58" s="111">
        <v>2512000</v>
      </c>
      <c r="AB58" s="110">
        <v>37.85</v>
      </c>
      <c r="AC58" s="2">
        <f t="shared" si="0"/>
        <v>0.62000000000000455</v>
      </c>
      <c r="AD58" s="148">
        <f t="shared" si="1"/>
        <v>1.8294323379069111E-2</v>
      </c>
    </row>
    <row r="59" spans="15:30" x14ac:dyDescent="0.25">
      <c r="O59" s="93">
        <v>0.92</v>
      </c>
      <c r="P59" s="93">
        <f t="shared" si="2"/>
        <v>37.158799999999999</v>
      </c>
      <c r="V59" s="109">
        <v>42360</v>
      </c>
      <c r="W59" s="113">
        <v>37.39</v>
      </c>
      <c r="X59" s="113">
        <v>37.869999999999997</v>
      </c>
      <c r="Y59" s="113">
        <v>37.1</v>
      </c>
      <c r="Z59" s="113">
        <v>37.65</v>
      </c>
      <c r="AA59" s="111">
        <v>3716100</v>
      </c>
      <c r="AB59" s="110">
        <v>37.17</v>
      </c>
      <c r="AC59" s="2">
        <f t="shared" si="0"/>
        <v>0.76999999999999602</v>
      </c>
      <c r="AD59" s="148">
        <f t="shared" si="1"/>
        <v>9.2316046701059751E-3</v>
      </c>
    </row>
    <row r="60" spans="15:30" x14ac:dyDescent="0.25">
      <c r="O60" s="93">
        <v>0.91</v>
      </c>
      <c r="P60" s="93">
        <f t="shared" si="2"/>
        <v>36.754899999999999</v>
      </c>
      <c r="V60" s="109">
        <v>42359</v>
      </c>
      <c r="W60" s="113">
        <v>37.200000000000003</v>
      </c>
      <c r="X60" s="113">
        <v>37.61</v>
      </c>
      <c r="Y60" s="113">
        <v>36.950000000000003</v>
      </c>
      <c r="Z60" s="113">
        <v>37.299999999999997</v>
      </c>
      <c r="AA60" s="111">
        <v>2973600</v>
      </c>
      <c r="AB60" s="110">
        <v>36.83</v>
      </c>
      <c r="AC60" s="2">
        <f t="shared" si="0"/>
        <v>0.65999999999999659</v>
      </c>
      <c r="AD60" s="148">
        <f t="shared" si="1"/>
        <v>1.37627305257364E-2</v>
      </c>
    </row>
    <row r="61" spans="15:30" x14ac:dyDescent="0.25">
      <c r="O61" s="93">
        <v>0.9</v>
      </c>
      <c r="P61" s="93">
        <f t="shared" si="2"/>
        <v>36.350999999999999</v>
      </c>
      <c r="V61" s="109">
        <v>42356</v>
      </c>
      <c r="W61" s="113">
        <v>37.54</v>
      </c>
      <c r="X61" s="113">
        <v>37.58</v>
      </c>
      <c r="Y61" s="113">
        <v>36.76</v>
      </c>
      <c r="Z61" s="113">
        <v>36.799999999999997</v>
      </c>
      <c r="AA61" s="111">
        <v>6255600</v>
      </c>
      <c r="AB61" s="110">
        <v>36.33</v>
      </c>
      <c r="AC61" s="2">
        <f t="shared" si="0"/>
        <v>0.82000000000000028</v>
      </c>
      <c r="AD61" s="148">
        <f t="shared" si="1"/>
        <v>-2.4436090225564033E-2</v>
      </c>
    </row>
    <row r="62" spans="15:30" x14ac:dyDescent="0.25">
      <c r="V62" s="109">
        <v>42355</v>
      </c>
      <c r="W62" s="113">
        <v>38.69</v>
      </c>
      <c r="X62" s="113">
        <v>38.75</v>
      </c>
      <c r="Y62" s="113">
        <v>37.72</v>
      </c>
      <c r="Z62" s="113">
        <v>37.72</v>
      </c>
      <c r="AA62" s="111">
        <v>3402100</v>
      </c>
      <c r="AB62" s="110">
        <v>37.24</v>
      </c>
      <c r="AC62" s="2">
        <f t="shared" si="0"/>
        <v>1.0300000000000011</v>
      </c>
      <c r="AD62" s="148">
        <f t="shared" si="1"/>
        <v>-2.2315568390653739E-2</v>
      </c>
    </row>
    <row r="63" spans="15:30" x14ac:dyDescent="0.25">
      <c r="V63" s="109">
        <v>42354</v>
      </c>
      <c r="W63" s="113">
        <v>38.380000000000003</v>
      </c>
      <c r="X63" s="113">
        <v>38.659999999999997</v>
      </c>
      <c r="Y63" s="113">
        <v>37.76</v>
      </c>
      <c r="Z63" s="113">
        <v>38.58</v>
      </c>
      <c r="AA63" s="111">
        <v>3488900</v>
      </c>
      <c r="AB63" s="110">
        <v>38.090000000000003</v>
      </c>
      <c r="AC63" s="2">
        <f t="shared" si="0"/>
        <v>0.89999999999999858</v>
      </c>
      <c r="AD63" s="148">
        <f t="shared" si="1"/>
        <v>1.0881104033970468E-2</v>
      </c>
    </row>
    <row r="64" spans="15:30" x14ac:dyDescent="0.25">
      <c r="V64" s="109">
        <v>42353</v>
      </c>
      <c r="W64" s="113">
        <v>37.97</v>
      </c>
      <c r="X64" s="113">
        <v>38.450000000000003</v>
      </c>
      <c r="Y64" s="113">
        <v>37.82</v>
      </c>
      <c r="Z64" s="113">
        <v>38.159999999999997</v>
      </c>
      <c r="AA64" s="111">
        <v>4033000</v>
      </c>
      <c r="AB64" s="110">
        <v>37.68</v>
      </c>
      <c r="AC64" s="2">
        <f t="shared" si="0"/>
        <v>0.63000000000000256</v>
      </c>
      <c r="AD64" s="148">
        <f t="shared" si="1"/>
        <v>1.5907252628740709E-2</v>
      </c>
    </row>
    <row r="65" spans="22:30" x14ac:dyDescent="0.25">
      <c r="V65" s="109">
        <v>42352</v>
      </c>
      <c r="W65" s="113">
        <v>38.07</v>
      </c>
      <c r="X65" s="113">
        <v>38.18</v>
      </c>
      <c r="Y65" s="113">
        <v>37.29</v>
      </c>
      <c r="Z65" s="113">
        <v>37.57</v>
      </c>
      <c r="AA65" s="111">
        <v>3312800</v>
      </c>
      <c r="AB65" s="110">
        <v>37.090000000000003</v>
      </c>
      <c r="AC65" s="2">
        <f t="shared" si="0"/>
        <v>0.89000000000000057</v>
      </c>
      <c r="AD65" s="148">
        <f t="shared" si="1"/>
        <v>-1.4873837981407623E-2</v>
      </c>
    </row>
    <row r="66" spans="22:30" x14ac:dyDescent="0.25">
      <c r="V66" s="109">
        <v>42349</v>
      </c>
      <c r="W66" s="113">
        <v>38.5</v>
      </c>
      <c r="X66" s="113">
        <v>38.6</v>
      </c>
      <c r="Y66" s="113">
        <v>38.020000000000003</v>
      </c>
      <c r="Z66" s="113">
        <v>38.130000000000003</v>
      </c>
      <c r="AA66" s="111">
        <v>2541600</v>
      </c>
      <c r="AB66" s="110">
        <v>37.65</v>
      </c>
      <c r="AC66" s="2">
        <f t="shared" si="0"/>
        <v>0.57999999999999829</v>
      </c>
      <c r="AD66" s="148">
        <f t="shared" si="1"/>
        <v>-1.6200679383329142E-2</v>
      </c>
    </row>
    <row r="67" spans="22:30" x14ac:dyDescent="0.25">
      <c r="V67" s="109">
        <v>42348</v>
      </c>
      <c r="W67" s="113">
        <v>39.340000000000003</v>
      </c>
      <c r="X67" s="113">
        <v>39.51</v>
      </c>
      <c r="Y67" s="113">
        <v>38.72</v>
      </c>
      <c r="Z67" s="113">
        <v>38.76</v>
      </c>
      <c r="AA67" s="111">
        <v>2326000</v>
      </c>
      <c r="AB67" s="110">
        <v>38.270000000000003</v>
      </c>
      <c r="AC67" s="2">
        <f>X67-Y67</f>
        <v>0.78999999999999915</v>
      </c>
      <c r="AD67" s="148">
        <f>AB67/AB68-1</f>
        <v>-1.6195372750642534E-2</v>
      </c>
    </row>
    <row r="68" spans="22:30" x14ac:dyDescent="0.25">
      <c r="V68" s="109">
        <v>42347</v>
      </c>
      <c r="W68" s="113">
        <v>39.11</v>
      </c>
      <c r="X68" s="113">
        <v>39.93</v>
      </c>
      <c r="Y68" s="113">
        <v>39.090000000000003</v>
      </c>
      <c r="Z68" s="113">
        <v>39.4</v>
      </c>
      <c r="AA68" s="111">
        <v>2796400</v>
      </c>
      <c r="AB68" s="110">
        <v>38.9</v>
      </c>
      <c r="AC68" s="2">
        <f>X68-Y68</f>
        <v>0.83999999999999631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3" priority="7">
      <formula>F16&gt;0</formula>
    </cfRule>
    <cfRule type="expression" dxfId="342" priority="8">
      <formula>F16&lt;0</formula>
    </cfRule>
  </conditionalFormatting>
  <conditionalFormatting sqref="H16:H18">
    <cfRule type="expression" dxfId="341" priority="5">
      <formula>H16&gt;0</formula>
    </cfRule>
    <cfRule type="expression" dxfId="340" priority="6">
      <formula>H16&lt;0</formula>
    </cfRule>
  </conditionalFormatting>
  <conditionalFormatting sqref="F12:F15">
    <cfRule type="expression" dxfId="339" priority="3">
      <formula>F12&gt;0</formula>
    </cfRule>
    <cfRule type="expression" dxfId="338" priority="4">
      <formula>F12&lt;0</formula>
    </cfRule>
  </conditionalFormatting>
  <conditionalFormatting sqref="H12:H15">
    <cfRule type="expression" dxfId="337" priority="1">
      <formula>H12&gt;0</formula>
    </cfRule>
    <cfRule type="expression" dxfId="33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42444</v>
      </c>
      <c r="W2" s="113">
        <v>31.34</v>
      </c>
      <c r="X2" s="113">
        <v>31.65</v>
      </c>
      <c r="Y2" s="113">
        <v>31.06</v>
      </c>
      <c r="Z2" s="113">
        <v>31.65</v>
      </c>
      <c r="AA2" s="111">
        <v>16893700</v>
      </c>
      <c r="AB2" s="110">
        <v>31.65</v>
      </c>
      <c r="AC2" s="2">
        <f>X2-Y2</f>
        <v>0.58999999999999986</v>
      </c>
      <c r="AD2" s="148">
        <f>AB2/AB3-1</f>
        <v>6.9996818326438781E-3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31.69</v>
      </c>
      <c r="S3" s="125"/>
      <c r="T3" s="20"/>
      <c r="U3" s="20"/>
      <c r="V3" s="109">
        <v>42443</v>
      </c>
      <c r="W3" s="113">
        <v>31.66</v>
      </c>
      <c r="X3" s="113">
        <v>31.69</v>
      </c>
      <c r="Y3" s="113">
        <v>31.3</v>
      </c>
      <c r="Z3" s="113">
        <v>31.43</v>
      </c>
      <c r="AA3" s="111">
        <v>17391300</v>
      </c>
      <c r="AB3" s="110">
        <v>31.43</v>
      </c>
      <c r="AC3" s="2">
        <f t="shared" ref="AC3:AC66" si="2">X3-Y3</f>
        <v>0.39000000000000057</v>
      </c>
      <c r="AD3" s="148">
        <f t="shared" ref="AD3:AD66" si="3">AB3/AB4-1</f>
        <v>-1.0390428211586977E-2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31.69</v>
      </c>
      <c r="V4" s="109">
        <v>42440</v>
      </c>
      <c r="W4" s="113">
        <v>31.67</v>
      </c>
      <c r="X4" s="113">
        <v>31.79</v>
      </c>
      <c r="Y4" s="113">
        <v>31.53</v>
      </c>
      <c r="Z4" s="113">
        <v>31.76</v>
      </c>
      <c r="AA4" s="111">
        <v>22394500</v>
      </c>
      <c r="AB4" s="110">
        <v>31.76</v>
      </c>
      <c r="AC4" s="2">
        <f t="shared" si="2"/>
        <v>0.25999999999999801</v>
      </c>
      <c r="AD4" s="148">
        <f t="shared" si="3"/>
        <v>1.6320000000000112E-2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42439</v>
      </c>
      <c r="W5" s="113">
        <v>31.14</v>
      </c>
      <c r="X5" s="113">
        <v>31.4</v>
      </c>
      <c r="Y5" s="113">
        <v>30.38</v>
      </c>
      <c r="Z5" s="113">
        <v>31.25</v>
      </c>
      <c r="AA5" s="111">
        <v>29434600</v>
      </c>
      <c r="AB5" s="110">
        <v>31.25</v>
      </c>
      <c r="AC5" s="2">
        <f t="shared" si="2"/>
        <v>1.0199999999999996</v>
      </c>
      <c r="AD5" s="148">
        <f t="shared" si="3"/>
        <v>1.2309685779073432E-2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42438</v>
      </c>
      <c r="W6" s="113">
        <v>30.83</v>
      </c>
      <c r="X6" s="113">
        <v>31.04</v>
      </c>
      <c r="Y6" s="113">
        <v>30.67</v>
      </c>
      <c r="Z6" s="113">
        <v>30.87</v>
      </c>
      <c r="AA6" s="111">
        <v>14572800</v>
      </c>
      <c r="AB6" s="110">
        <v>30.87</v>
      </c>
      <c r="AC6" s="2">
        <f t="shared" si="2"/>
        <v>0.36999999999999744</v>
      </c>
      <c r="AD6" s="148">
        <f t="shared" si="3"/>
        <v>1.0143979057591679E-2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42437</v>
      </c>
      <c r="W7" s="113">
        <v>30.83</v>
      </c>
      <c r="X7" s="113">
        <v>30.88</v>
      </c>
      <c r="Y7" s="113">
        <v>30.38</v>
      </c>
      <c r="Z7" s="113">
        <v>30.56</v>
      </c>
      <c r="AA7" s="111">
        <v>18850600</v>
      </c>
      <c r="AB7" s="110">
        <v>30.56</v>
      </c>
      <c r="AC7" s="2">
        <f t="shared" si="2"/>
        <v>0.5</v>
      </c>
      <c r="AD7" s="148">
        <f t="shared" si="3"/>
        <v>-1.2281835811247643E-2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42436</v>
      </c>
      <c r="W8" s="113">
        <v>30.59</v>
      </c>
      <c r="X8" s="113">
        <v>31.12</v>
      </c>
      <c r="Y8" s="113">
        <v>30.5</v>
      </c>
      <c r="Z8" s="113">
        <v>30.94</v>
      </c>
      <c r="AA8" s="111">
        <v>18858200</v>
      </c>
      <c r="AB8" s="110">
        <v>30.94</v>
      </c>
      <c r="AC8" s="2">
        <f t="shared" si="2"/>
        <v>0.62000000000000099</v>
      </c>
      <c r="AD8" s="148">
        <f t="shared" si="3"/>
        <v>1.0120796604636162E-2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42433</v>
      </c>
      <c r="W9" s="113">
        <v>30.5</v>
      </c>
      <c r="X9" s="113">
        <v>30.86</v>
      </c>
      <c r="Y9" s="113">
        <v>30.05</v>
      </c>
      <c r="Z9" s="113">
        <v>30.63</v>
      </c>
      <c r="AA9" s="111">
        <v>20169900</v>
      </c>
      <c r="AB9" s="110">
        <v>30.63</v>
      </c>
      <c r="AC9" s="2">
        <f t="shared" si="2"/>
        <v>0.80999999999999872</v>
      </c>
      <c r="AD9" s="148">
        <f t="shared" si="3"/>
        <v>1.6350555918902554E-3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42432</v>
      </c>
      <c r="W10" s="113">
        <v>31.13</v>
      </c>
      <c r="X10" s="113">
        <v>31.35</v>
      </c>
      <c r="Y10" s="113">
        <v>30.54</v>
      </c>
      <c r="Z10" s="113">
        <v>30.58</v>
      </c>
      <c r="AA10" s="111">
        <v>25608800</v>
      </c>
      <c r="AB10" s="110">
        <v>30.58</v>
      </c>
      <c r="AC10" s="2">
        <f t="shared" si="2"/>
        <v>0.81000000000000227</v>
      </c>
      <c r="AD10" s="148">
        <f t="shared" si="3"/>
        <v>1.3097576948264411E-3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42431</v>
      </c>
      <c r="W11" s="113">
        <v>30.3</v>
      </c>
      <c r="X11" s="113">
        <v>30.87</v>
      </c>
      <c r="Y11" s="113">
        <v>30.12</v>
      </c>
      <c r="Z11" s="113">
        <v>30.54</v>
      </c>
      <c r="AA11" s="111">
        <v>23418500</v>
      </c>
      <c r="AB11" s="110">
        <v>30.54</v>
      </c>
      <c r="AC11" s="2">
        <f t="shared" si="2"/>
        <v>0.75</v>
      </c>
      <c r="AD11" s="148">
        <f t="shared" si="3"/>
        <v>5.5976292393808968E-3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42430</v>
      </c>
      <c r="W12" s="113">
        <v>29.93</v>
      </c>
      <c r="X12" s="113">
        <v>30.53</v>
      </c>
      <c r="Y12" s="113">
        <v>29.75</v>
      </c>
      <c r="Z12" s="113">
        <v>30.37</v>
      </c>
      <c r="AA12" s="111">
        <v>25355600</v>
      </c>
      <c r="AB12" s="110">
        <v>30.37</v>
      </c>
      <c r="AC12" s="2">
        <f t="shared" si="2"/>
        <v>0.78000000000000114</v>
      </c>
      <c r="AD12" s="148">
        <f t="shared" si="3"/>
        <v>2.6360256843528163E-2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42429</v>
      </c>
      <c r="W13" s="113">
        <v>29.72</v>
      </c>
      <c r="X13" s="113">
        <v>30.14</v>
      </c>
      <c r="Y13" s="113">
        <v>29.58</v>
      </c>
      <c r="Z13" s="113">
        <v>29.59</v>
      </c>
      <c r="AA13" s="111">
        <v>21616500</v>
      </c>
      <c r="AB13" s="110">
        <v>29.59</v>
      </c>
      <c r="AC13" s="2">
        <f t="shared" si="2"/>
        <v>0.56000000000000227</v>
      </c>
      <c r="AD13" s="148">
        <f t="shared" si="3"/>
        <v>-7.0469798657718519E-3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42426</v>
      </c>
      <c r="W14" s="113">
        <v>29.88</v>
      </c>
      <c r="X14" s="113">
        <v>30.08</v>
      </c>
      <c r="Y14" s="113">
        <v>29.7</v>
      </c>
      <c r="Z14" s="113">
        <v>29.8</v>
      </c>
      <c r="AA14" s="111">
        <v>19878200</v>
      </c>
      <c r="AB14" s="110">
        <v>29.8</v>
      </c>
      <c r="AC14" s="2">
        <f t="shared" si="2"/>
        <v>0.37999999999999901</v>
      </c>
      <c r="AD14" s="148">
        <f t="shared" si="3"/>
        <v>6.076975016880537E-3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42425</v>
      </c>
      <c r="W15" s="113">
        <v>29.32</v>
      </c>
      <c r="X15" s="113">
        <v>29.62</v>
      </c>
      <c r="Y15" s="113">
        <v>28.95</v>
      </c>
      <c r="Z15" s="113">
        <v>29.62</v>
      </c>
      <c r="AA15" s="111">
        <v>17311000</v>
      </c>
      <c r="AB15" s="110">
        <v>29.62</v>
      </c>
      <c r="AC15" s="2">
        <f t="shared" si="2"/>
        <v>0.67000000000000171</v>
      </c>
      <c r="AD15" s="148">
        <f t="shared" si="3"/>
        <v>1.4731072285029123E-2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42424</v>
      </c>
      <c r="W16" s="113">
        <v>28.52</v>
      </c>
      <c r="X16" s="113">
        <v>29.3</v>
      </c>
      <c r="Y16" s="113">
        <v>28.38</v>
      </c>
      <c r="Z16" s="113">
        <v>29.19</v>
      </c>
      <c r="AA16" s="111">
        <v>21444600</v>
      </c>
      <c r="AB16" s="110">
        <v>29.19</v>
      </c>
      <c r="AC16" s="2">
        <f t="shared" si="2"/>
        <v>0.92000000000000171</v>
      </c>
      <c r="AD16" s="148">
        <f t="shared" si="3"/>
        <v>1.3541666666666785E-2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42423</v>
      </c>
      <c r="W17" s="113">
        <v>29.3</v>
      </c>
      <c r="X17" s="113">
        <v>29.35</v>
      </c>
      <c r="Y17" s="113">
        <v>28.6</v>
      </c>
      <c r="Z17" s="113">
        <v>28.8</v>
      </c>
      <c r="AA17" s="111">
        <v>26432900</v>
      </c>
      <c r="AB17" s="110">
        <v>28.8</v>
      </c>
      <c r="AC17" s="2">
        <f t="shared" si="2"/>
        <v>0.75</v>
      </c>
      <c r="AD17" s="148">
        <f t="shared" si="3"/>
        <v>-1.8739352640545159E-2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42422</v>
      </c>
      <c r="W18" s="113">
        <v>29.11</v>
      </c>
      <c r="X18" s="113">
        <v>29.54</v>
      </c>
      <c r="Y18" s="113">
        <v>29</v>
      </c>
      <c r="Z18" s="113">
        <v>29.35</v>
      </c>
      <c r="AA18" s="111">
        <v>23750400</v>
      </c>
      <c r="AB18" s="110">
        <v>29.35</v>
      </c>
      <c r="AC18" s="2">
        <f t="shared" si="2"/>
        <v>0.53999999999999915</v>
      </c>
      <c r="AD18" s="148">
        <f t="shared" si="3"/>
        <v>2.2291884360849945E-2</v>
      </c>
    </row>
    <row r="19" spans="1:30" x14ac:dyDescent="0.25">
      <c r="E19" s="2"/>
      <c r="G19" s="2"/>
      <c r="I19" s="2"/>
      <c r="K19" s="2"/>
      <c r="V19" s="109">
        <v>42419</v>
      </c>
      <c r="W19" s="113">
        <v>29.2</v>
      </c>
      <c r="X19" s="113">
        <v>29.33</v>
      </c>
      <c r="Y19" s="113">
        <v>28.71</v>
      </c>
      <c r="Z19" s="113">
        <v>28.71</v>
      </c>
      <c r="AA19" s="111">
        <v>41618800</v>
      </c>
      <c r="AB19" s="110">
        <v>28.71</v>
      </c>
      <c r="AC19" s="2">
        <f t="shared" si="2"/>
        <v>0.61999999999999744</v>
      </c>
      <c r="AD19" s="148">
        <f t="shared" si="3"/>
        <v>-2.4133242692046308E-2</v>
      </c>
    </row>
    <row r="20" spans="1:30" x14ac:dyDescent="0.25">
      <c r="V20" s="109">
        <v>42418</v>
      </c>
      <c r="W20" s="113">
        <v>29.53</v>
      </c>
      <c r="X20" s="113">
        <v>29.76</v>
      </c>
      <c r="Y20" s="113">
        <v>29.38</v>
      </c>
      <c r="Z20" s="113">
        <v>29.42</v>
      </c>
      <c r="AA20" s="111">
        <v>20261500</v>
      </c>
      <c r="AB20" s="110">
        <v>29.42</v>
      </c>
      <c r="AC20" s="2">
        <f t="shared" si="2"/>
        <v>0.38000000000000256</v>
      </c>
      <c r="AD20" s="148">
        <f t="shared" si="3"/>
        <v>-1.6966406515098731E-3</v>
      </c>
    </row>
    <row r="21" spans="1:30" x14ac:dyDescent="0.25">
      <c r="V21" s="109">
        <v>42417</v>
      </c>
      <c r="W21" s="113">
        <v>28.86</v>
      </c>
      <c r="X21" s="113">
        <v>29.62</v>
      </c>
      <c r="Y21" s="113">
        <v>28.73</v>
      </c>
      <c r="Z21" s="113">
        <v>29.47</v>
      </c>
      <c r="AA21" s="111">
        <v>27295100</v>
      </c>
      <c r="AB21" s="110">
        <v>29.47</v>
      </c>
      <c r="AC21" s="2">
        <f t="shared" si="2"/>
        <v>0.89000000000000057</v>
      </c>
      <c r="AD21" s="148">
        <f t="shared" si="3"/>
        <v>2.3974982626824071E-2</v>
      </c>
    </row>
    <row r="22" spans="1:30" x14ac:dyDescent="0.25">
      <c r="V22" s="109">
        <v>42416</v>
      </c>
      <c r="W22" s="113">
        <v>28.75</v>
      </c>
      <c r="X22" s="113">
        <v>28.95</v>
      </c>
      <c r="Y22" s="113">
        <v>28.36</v>
      </c>
      <c r="Z22" s="113">
        <v>28.78</v>
      </c>
      <c r="AA22" s="111">
        <v>30354200</v>
      </c>
      <c r="AB22" s="110">
        <v>28.78</v>
      </c>
      <c r="AC22" s="2">
        <f t="shared" si="2"/>
        <v>0.58999999999999986</v>
      </c>
      <c r="AD22" s="148">
        <f t="shared" si="3"/>
        <v>4.8882681564246244E-3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42412</v>
      </c>
      <c r="W23" s="113">
        <v>28.57</v>
      </c>
      <c r="X23" s="113">
        <v>28.7</v>
      </c>
      <c r="Y23" s="113">
        <v>28.14</v>
      </c>
      <c r="Z23" s="113">
        <v>28.64</v>
      </c>
      <c r="AA23" s="111">
        <v>19507900</v>
      </c>
      <c r="AB23" s="110">
        <v>28.64</v>
      </c>
      <c r="AC23" s="2">
        <f t="shared" si="2"/>
        <v>0.55999999999999872</v>
      </c>
      <c r="AD23" s="148">
        <f t="shared" si="3"/>
        <v>1.4883061658398367E-2</v>
      </c>
    </row>
    <row r="24" spans="1:30" x14ac:dyDescent="0.25">
      <c r="V24" s="109">
        <v>42411</v>
      </c>
      <c r="W24" s="113">
        <v>27.83</v>
      </c>
      <c r="X24" s="113">
        <v>28.41</v>
      </c>
      <c r="Y24" s="113">
        <v>27.68</v>
      </c>
      <c r="Z24" s="113">
        <v>28.22</v>
      </c>
      <c r="AA24" s="111">
        <v>28142600</v>
      </c>
      <c r="AB24" s="110">
        <v>28.22</v>
      </c>
      <c r="AC24" s="2">
        <f t="shared" si="2"/>
        <v>0.73000000000000043</v>
      </c>
      <c r="AD24" s="148">
        <f t="shared" si="3"/>
        <v>-3.5423308537019249E-4</v>
      </c>
    </row>
    <row r="25" spans="1:30" x14ac:dyDescent="0.25">
      <c r="B25" s="209" t="s">
        <v>117</v>
      </c>
      <c r="C25" s="209" t="s">
        <v>170</v>
      </c>
      <c r="D25" s="210" t="s">
        <v>169</v>
      </c>
      <c r="E25" s="212" t="s">
        <v>171</v>
      </c>
      <c r="F25" s="213" t="s">
        <v>65</v>
      </c>
      <c r="G25" s="253" t="s">
        <v>175</v>
      </c>
      <c r="V25" s="109">
        <v>42410</v>
      </c>
      <c r="W25" s="113">
        <v>28.88</v>
      </c>
      <c r="X25" s="113">
        <v>29</v>
      </c>
      <c r="Y25" s="113">
        <v>28.19</v>
      </c>
      <c r="Z25" s="113">
        <v>28.23</v>
      </c>
      <c r="AA25" s="111">
        <v>26850900</v>
      </c>
      <c r="AB25" s="110">
        <v>28.23</v>
      </c>
      <c r="AC25" s="2">
        <f t="shared" si="2"/>
        <v>0.80999999999999872</v>
      </c>
      <c r="AD25" s="148">
        <f t="shared" si="3"/>
        <v>-2.013189864630327E-2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42409</v>
      </c>
      <c r="W26" s="113">
        <v>28.49</v>
      </c>
      <c r="X26" s="113">
        <v>29.15</v>
      </c>
      <c r="Y26" s="113">
        <v>28.41</v>
      </c>
      <c r="Z26" s="113">
        <v>28.81</v>
      </c>
      <c r="AA26" s="111">
        <v>22710600</v>
      </c>
      <c r="AB26" s="110">
        <v>28.81</v>
      </c>
      <c r="AC26" s="2">
        <f t="shared" si="2"/>
        <v>0.73999999999999844</v>
      </c>
      <c r="AD26" s="148">
        <f t="shared" si="3"/>
        <v>-3.4698126301180299E-4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42408</v>
      </c>
      <c r="W27" s="113">
        <v>28.74</v>
      </c>
      <c r="X27" s="113">
        <v>28.98</v>
      </c>
      <c r="Y27" s="113">
        <v>28.3</v>
      </c>
      <c r="Z27" s="113">
        <v>28.82</v>
      </c>
      <c r="AA27" s="111">
        <v>28623800</v>
      </c>
      <c r="AB27" s="110">
        <v>28.82</v>
      </c>
      <c r="AC27" s="2">
        <f t="shared" si="2"/>
        <v>0.67999999999999972</v>
      </c>
      <c r="AD27" s="148">
        <f t="shared" si="3"/>
        <v>-7.575757575757569E-3</v>
      </c>
    </row>
    <row r="28" spans="1:30" x14ac:dyDescent="0.25">
      <c r="B28" s="12"/>
      <c r="C28" s="12"/>
      <c r="D28" s="43"/>
      <c r="E28" s="43"/>
      <c r="F28" s="43"/>
      <c r="G28" s="43"/>
      <c r="V28" s="109">
        <v>42405</v>
      </c>
      <c r="W28" s="113">
        <v>29.58</v>
      </c>
      <c r="X28" s="113">
        <v>29.76</v>
      </c>
      <c r="Y28" s="113">
        <v>28.91</v>
      </c>
      <c r="Z28" s="113">
        <v>29.04</v>
      </c>
      <c r="AA28" s="111">
        <v>27429400</v>
      </c>
      <c r="AB28" s="110">
        <v>29.04</v>
      </c>
      <c r="AC28" s="2">
        <f t="shared" si="2"/>
        <v>0.85000000000000142</v>
      </c>
      <c r="AD28" s="148">
        <f t="shared" si="3"/>
        <v>-2.4521330198186142E-2</v>
      </c>
    </row>
    <row r="29" spans="1:30" x14ac:dyDescent="0.25">
      <c r="B29" s="12"/>
      <c r="C29" s="12"/>
      <c r="D29" s="43"/>
      <c r="E29" s="43"/>
      <c r="F29" s="43"/>
      <c r="G29" s="43"/>
      <c r="V29" s="109">
        <v>42404</v>
      </c>
      <c r="W29" s="113">
        <v>29.14</v>
      </c>
      <c r="X29" s="113">
        <v>29.88</v>
      </c>
      <c r="Y29" s="113">
        <v>29.11</v>
      </c>
      <c r="Z29" s="113">
        <v>29.77</v>
      </c>
      <c r="AA29" s="111">
        <v>29109700</v>
      </c>
      <c r="AB29" s="110">
        <v>29.77</v>
      </c>
      <c r="AC29" s="2">
        <f t="shared" si="2"/>
        <v>0.76999999999999957</v>
      </c>
      <c r="AD29" s="148">
        <f t="shared" si="3"/>
        <v>1.4655760054532951E-2</v>
      </c>
    </row>
    <row r="30" spans="1:30" x14ac:dyDescent="0.25">
      <c r="B30" s="12"/>
      <c r="C30" s="12"/>
      <c r="D30" s="43"/>
      <c r="E30" s="43"/>
      <c r="F30" s="43"/>
      <c r="G30" s="43"/>
      <c r="V30" s="109">
        <v>42403</v>
      </c>
      <c r="W30" s="113">
        <v>29.72</v>
      </c>
      <c r="X30" s="113">
        <v>29.72</v>
      </c>
      <c r="Y30" s="113">
        <v>28.52</v>
      </c>
      <c r="Z30" s="113">
        <v>29.34</v>
      </c>
      <c r="AA30" s="111">
        <v>44632000</v>
      </c>
      <c r="AB30" s="110">
        <v>29.34</v>
      </c>
      <c r="AC30" s="2">
        <f t="shared" si="2"/>
        <v>1.1999999999999993</v>
      </c>
      <c r="AD30" s="148" t="e">
        <f t="shared" si="3"/>
        <v>#DIV/0!</v>
      </c>
    </row>
    <row r="31" spans="1:30" x14ac:dyDescent="0.25">
      <c r="B31" s="12"/>
      <c r="C31" s="12"/>
      <c r="D31" s="43"/>
      <c r="E31" s="43"/>
      <c r="F31" s="43"/>
      <c r="G31" s="43"/>
      <c r="V31" s="109">
        <v>42403</v>
      </c>
      <c r="W31" s="113" t="s">
        <v>146</v>
      </c>
      <c r="X31" s="113"/>
      <c r="Y31" s="113"/>
      <c r="Z31" s="113"/>
      <c r="AA31" s="111"/>
      <c r="AB31" s="110"/>
      <c r="AC31" s="2">
        <f t="shared" si="2"/>
        <v>0</v>
      </c>
      <c r="AD31" s="148">
        <f t="shared" si="3"/>
        <v>-1</v>
      </c>
    </row>
    <row r="32" spans="1:30" x14ac:dyDescent="0.25">
      <c r="B32" s="12"/>
      <c r="C32" s="12"/>
      <c r="D32" s="43"/>
      <c r="E32" s="43"/>
      <c r="F32" s="43"/>
      <c r="G32" s="43"/>
      <c r="V32" s="109">
        <v>42402</v>
      </c>
      <c r="W32" s="113">
        <v>30.45</v>
      </c>
      <c r="X32" s="113">
        <v>30.49</v>
      </c>
      <c r="Y32" s="113">
        <v>29.63</v>
      </c>
      <c r="Z32" s="113">
        <v>29.8</v>
      </c>
      <c r="AA32" s="111">
        <v>24994300</v>
      </c>
      <c r="AB32" s="110">
        <v>29.54</v>
      </c>
      <c r="AC32" s="2">
        <f t="shared" si="2"/>
        <v>0.85999999999999943</v>
      </c>
      <c r="AD32" s="148">
        <f t="shared" si="3"/>
        <v>-3.3060556464811874E-2</v>
      </c>
    </row>
    <row r="33" spans="2:30" x14ac:dyDescent="0.25">
      <c r="B33" s="12"/>
      <c r="C33" s="12"/>
      <c r="D33" s="43"/>
      <c r="E33" s="43"/>
      <c r="F33" s="43"/>
      <c r="G33" s="43"/>
      <c r="V33" s="109">
        <v>42401</v>
      </c>
      <c r="W33" s="113">
        <v>30.72</v>
      </c>
      <c r="X33" s="113">
        <v>31.12</v>
      </c>
      <c r="Y33" s="113">
        <v>30.64</v>
      </c>
      <c r="Z33" s="113">
        <v>30.82</v>
      </c>
      <c r="AA33" s="111">
        <v>19015100</v>
      </c>
      <c r="AB33" s="110">
        <v>30.55</v>
      </c>
      <c r="AC33" s="2">
        <f t="shared" si="2"/>
        <v>0.48000000000000043</v>
      </c>
      <c r="AD33" s="148">
        <f t="shared" si="3"/>
        <v>-6.5040650406503753E-3</v>
      </c>
    </row>
    <row r="34" spans="2:30" x14ac:dyDescent="0.25">
      <c r="B34" s="12"/>
      <c r="C34" s="12"/>
      <c r="D34" s="43"/>
      <c r="E34" s="43"/>
      <c r="F34" s="43"/>
      <c r="G34" s="43"/>
      <c r="V34" s="109">
        <v>42398</v>
      </c>
      <c r="W34" s="113">
        <v>30.21</v>
      </c>
      <c r="X34" s="113">
        <v>31.03</v>
      </c>
      <c r="Y34" s="113">
        <v>30.1</v>
      </c>
      <c r="Z34" s="113">
        <v>31.02</v>
      </c>
      <c r="AA34" s="111">
        <v>38311400</v>
      </c>
      <c r="AB34" s="110">
        <v>30.75</v>
      </c>
      <c r="AC34" s="2">
        <f t="shared" si="2"/>
        <v>0.92999999999999972</v>
      </c>
      <c r="AD34" s="148">
        <f t="shared" si="3"/>
        <v>3.5005048805116123E-2</v>
      </c>
    </row>
    <row r="35" spans="2:30" x14ac:dyDescent="0.25">
      <c r="B35" s="12"/>
      <c r="C35" s="12"/>
      <c r="D35" s="43"/>
      <c r="E35" s="43"/>
      <c r="F35" s="43"/>
      <c r="G35" s="43"/>
      <c r="V35" s="109">
        <v>42397</v>
      </c>
      <c r="W35" s="113">
        <v>30.02</v>
      </c>
      <c r="X35" s="113">
        <v>30.18</v>
      </c>
      <c r="Y35" s="113">
        <v>29.75</v>
      </c>
      <c r="Z35" s="113">
        <v>29.97</v>
      </c>
      <c r="AA35" s="111">
        <v>22028100</v>
      </c>
      <c r="AB35" s="110">
        <v>29.71</v>
      </c>
      <c r="AC35" s="2">
        <f t="shared" si="2"/>
        <v>0.42999999999999972</v>
      </c>
      <c r="AD35" s="148">
        <f t="shared" si="3"/>
        <v>5.4145516074450839E-3</v>
      </c>
    </row>
    <row r="36" spans="2:30" x14ac:dyDescent="0.25">
      <c r="V36" s="109">
        <v>42396</v>
      </c>
      <c r="W36" s="113">
        <v>29.88</v>
      </c>
      <c r="X36" s="113">
        <v>30.22</v>
      </c>
      <c r="Y36" s="113">
        <v>29.64</v>
      </c>
      <c r="Z36" s="113">
        <v>29.81</v>
      </c>
      <c r="AA36" s="111">
        <v>26384100</v>
      </c>
      <c r="AB36" s="110">
        <v>29.55</v>
      </c>
      <c r="AC36" s="2">
        <f t="shared" si="2"/>
        <v>0.57999999999999829</v>
      </c>
      <c r="AD36" s="148">
        <f t="shared" si="3"/>
        <v>-4.3800539083557188E-3</v>
      </c>
    </row>
    <row r="37" spans="2:30" x14ac:dyDescent="0.25">
      <c r="V37" s="109">
        <v>42395</v>
      </c>
      <c r="W37" s="113">
        <v>29.61</v>
      </c>
      <c r="X37" s="113">
        <v>30.05</v>
      </c>
      <c r="Y37" s="113">
        <v>29.61</v>
      </c>
      <c r="Z37" s="113">
        <v>29.94</v>
      </c>
      <c r="AA37" s="111">
        <v>24754900</v>
      </c>
      <c r="AB37" s="110">
        <v>29.68</v>
      </c>
      <c r="AC37" s="2">
        <f t="shared" si="2"/>
        <v>0.44000000000000128</v>
      </c>
      <c r="AD37" s="148">
        <f t="shared" si="3"/>
        <v>1.1588275391956282E-2</v>
      </c>
    </row>
    <row r="38" spans="2:30" x14ac:dyDescent="0.25">
      <c r="V38" s="109">
        <v>42394</v>
      </c>
      <c r="W38" s="113">
        <v>29.99</v>
      </c>
      <c r="X38" s="113">
        <v>30.22</v>
      </c>
      <c r="Y38" s="113">
        <v>29.57</v>
      </c>
      <c r="Z38" s="113">
        <v>29.6</v>
      </c>
      <c r="AA38" s="111">
        <v>26441000</v>
      </c>
      <c r="AB38" s="110">
        <v>29.34</v>
      </c>
      <c r="AC38" s="2">
        <f t="shared" si="2"/>
        <v>0.64999999999999858</v>
      </c>
      <c r="AD38" s="148">
        <f t="shared" si="3"/>
        <v>-1.1122345803842304E-2</v>
      </c>
    </row>
    <row r="39" spans="2:30" x14ac:dyDescent="0.25">
      <c r="V39" s="109">
        <v>42391</v>
      </c>
      <c r="W39" s="113">
        <v>30.12</v>
      </c>
      <c r="X39" s="113">
        <v>30.24</v>
      </c>
      <c r="Y39" s="113">
        <v>29.51</v>
      </c>
      <c r="Z39" s="113">
        <v>29.93</v>
      </c>
      <c r="AA39" s="111">
        <v>25326500</v>
      </c>
      <c r="AB39" s="110">
        <v>29.67</v>
      </c>
      <c r="AC39" s="2">
        <f t="shared" si="2"/>
        <v>0.72999999999999687</v>
      </c>
      <c r="AD39" s="148">
        <f t="shared" si="3"/>
        <v>9.1836734693877542E-3</v>
      </c>
    </row>
    <row r="40" spans="2:30" ht="20.25" thickBot="1" x14ac:dyDescent="0.35">
      <c r="O40" s="408" t="s">
        <v>78</v>
      </c>
      <c r="P40" s="408"/>
      <c r="S40" s="101" t="s">
        <v>116</v>
      </c>
      <c r="V40" s="109">
        <v>42390</v>
      </c>
      <c r="W40" s="113">
        <v>29.65</v>
      </c>
      <c r="X40" s="113">
        <v>30.03</v>
      </c>
      <c r="Y40" s="113">
        <v>29.24</v>
      </c>
      <c r="Z40" s="113">
        <v>29.66</v>
      </c>
      <c r="AA40" s="111">
        <v>30157400</v>
      </c>
      <c r="AB40" s="110">
        <v>29.4</v>
      </c>
      <c r="AC40" s="2">
        <f t="shared" si="2"/>
        <v>0.7900000000000027</v>
      </c>
      <c r="AD40" s="148">
        <f t="shared" si="3"/>
        <v>2.3866348448686736E-3</v>
      </c>
    </row>
    <row r="41" spans="2:30" ht="15.75" thickTop="1" x14ac:dyDescent="0.25">
      <c r="O41" s="93">
        <v>1.1000000000000001</v>
      </c>
      <c r="P41" s="93">
        <f>O41*$Q$4</f>
        <v>34.859000000000002</v>
      </c>
      <c r="Q41" s="2"/>
      <c r="S41" s="107" t="s">
        <v>101</v>
      </c>
      <c r="T41" s="108">
        <v>31.43</v>
      </c>
      <c r="V41" s="109">
        <v>42389</v>
      </c>
      <c r="W41" s="113">
        <v>29.35</v>
      </c>
      <c r="X41" s="113">
        <v>29.87</v>
      </c>
      <c r="Y41" s="113">
        <v>29.21</v>
      </c>
      <c r="Z41" s="113">
        <v>29.59</v>
      </c>
      <c r="AA41" s="111">
        <v>39598200</v>
      </c>
      <c r="AB41" s="110">
        <v>29.33</v>
      </c>
      <c r="AC41" s="2">
        <f t="shared" si="2"/>
        <v>0.66000000000000014</v>
      </c>
      <c r="AD41" s="148">
        <f t="shared" si="3"/>
        <v>-7.1090047393365108E-3</v>
      </c>
    </row>
    <row r="42" spans="2:30" x14ac:dyDescent="0.25">
      <c r="O42" s="93">
        <v>1.0900000000000001</v>
      </c>
      <c r="P42" s="93">
        <f t="shared" ref="P42:P61" si="4">O42*$Q$4</f>
        <v>34.542100000000005</v>
      </c>
      <c r="Q42" s="2"/>
      <c r="S42" s="97" t="s">
        <v>102</v>
      </c>
      <c r="T42" s="98">
        <v>31.34</v>
      </c>
      <c r="V42" s="109">
        <v>42388</v>
      </c>
      <c r="W42" s="113">
        <v>29.98</v>
      </c>
      <c r="X42" s="113">
        <v>30.06</v>
      </c>
      <c r="Y42" s="113">
        <v>29.48</v>
      </c>
      <c r="Z42" s="113">
        <v>29.8</v>
      </c>
      <c r="AA42" s="111">
        <v>28878100</v>
      </c>
      <c r="AB42" s="110">
        <v>29.54</v>
      </c>
      <c r="AC42" s="2">
        <f t="shared" si="2"/>
        <v>0.57999999999999829</v>
      </c>
      <c r="AD42" s="148">
        <f t="shared" si="3"/>
        <v>1.3559322033898091E-3</v>
      </c>
    </row>
    <row r="43" spans="2:30" x14ac:dyDescent="0.25">
      <c r="O43" s="93">
        <v>1.08</v>
      </c>
      <c r="P43" s="93">
        <f t="shared" si="4"/>
        <v>34.225200000000001</v>
      </c>
      <c r="Q43" s="2"/>
      <c r="S43" s="97" t="s">
        <v>103</v>
      </c>
      <c r="T43" s="98" t="s">
        <v>407</v>
      </c>
      <c r="V43" s="109">
        <v>42384</v>
      </c>
      <c r="W43" s="113">
        <v>29.73</v>
      </c>
      <c r="X43" s="113">
        <v>30.5</v>
      </c>
      <c r="Y43" s="113">
        <v>29.45</v>
      </c>
      <c r="Z43" s="113">
        <v>29.76</v>
      </c>
      <c r="AA43" s="111">
        <v>76373900</v>
      </c>
      <c r="AB43" s="110">
        <v>29.5</v>
      </c>
      <c r="AC43" s="2">
        <f t="shared" si="2"/>
        <v>1.0500000000000007</v>
      </c>
      <c r="AD43" s="148">
        <f t="shared" si="3"/>
        <v>-9.0909090909090939E-2</v>
      </c>
    </row>
    <row r="44" spans="2:30" x14ac:dyDescent="0.25">
      <c r="O44" s="93">
        <v>1.07</v>
      </c>
      <c r="P44" s="93">
        <f t="shared" si="4"/>
        <v>33.908300000000004</v>
      </c>
      <c r="Q44" s="2"/>
      <c r="S44" s="97" t="s">
        <v>104</v>
      </c>
      <c r="T44" s="98" t="s">
        <v>408</v>
      </c>
      <c r="V44" s="109">
        <v>42383</v>
      </c>
      <c r="W44" s="113">
        <v>31.97</v>
      </c>
      <c r="X44" s="113">
        <v>32.869999999999997</v>
      </c>
      <c r="Y44" s="113">
        <v>31.8</v>
      </c>
      <c r="Z44" s="113">
        <v>32.74</v>
      </c>
      <c r="AA44" s="111">
        <v>48728200</v>
      </c>
      <c r="AB44" s="110">
        <v>32.450000000000003</v>
      </c>
      <c r="AC44" s="2">
        <f t="shared" si="2"/>
        <v>1.0699999999999967</v>
      </c>
      <c r="AD44" s="148">
        <f t="shared" si="3"/>
        <v>2.5924754979449904E-2</v>
      </c>
    </row>
    <row r="45" spans="2:30" x14ac:dyDescent="0.25">
      <c r="O45" s="93">
        <v>1.06</v>
      </c>
      <c r="P45" s="93">
        <f t="shared" si="4"/>
        <v>33.5914</v>
      </c>
      <c r="Q45" s="2"/>
      <c r="S45" s="97" t="s">
        <v>105</v>
      </c>
      <c r="T45" s="98">
        <v>36.049999999999997</v>
      </c>
      <c r="V45" s="109">
        <v>42382</v>
      </c>
      <c r="W45" s="113">
        <v>32.76</v>
      </c>
      <c r="X45" s="113">
        <v>32.93</v>
      </c>
      <c r="Y45" s="113">
        <v>31.83</v>
      </c>
      <c r="Z45" s="113">
        <v>31.91</v>
      </c>
      <c r="AA45" s="111">
        <v>34445700</v>
      </c>
      <c r="AB45" s="110">
        <v>31.63</v>
      </c>
      <c r="AC45" s="2">
        <f t="shared" si="2"/>
        <v>1.1000000000000014</v>
      </c>
      <c r="AD45" s="148">
        <f t="shared" si="3"/>
        <v>-2.3464032108675537E-2</v>
      </c>
    </row>
    <row r="46" spans="2:30" x14ac:dyDescent="0.25">
      <c r="O46" s="93">
        <v>1.05</v>
      </c>
      <c r="P46" s="93">
        <f t="shared" si="4"/>
        <v>33.274500000000003</v>
      </c>
      <c r="Q46" s="2"/>
      <c r="S46" s="97" t="s">
        <v>106</v>
      </c>
      <c r="T46" s="98">
        <v>1.0309299999999999</v>
      </c>
      <c r="V46" s="109">
        <v>42381</v>
      </c>
      <c r="W46" s="113">
        <v>32.76</v>
      </c>
      <c r="X46" s="113">
        <v>32.89</v>
      </c>
      <c r="Y46" s="113">
        <v>32.270000000000003</v>
      </c>
      <c r="Z46" s="113">
        <v>32.68</v>
      </c>
      <c r="AA46" s="111">
        <v>28587700</v>
      </c>
      <c r="AB46" s="110">
        <v>32.39</v>
      </c>
      <c r="AC46" s="2">
        <f t="shared" si="2"/>
        <v>0.61999999999999744</v>
      </c>
      <c r="AD46" s="148">
        <f t="shared" si="3"/>
        <v>1.919446192573937E-2</v>
      </c>
    </row>
    <row r="47" spans="2:30" x14ac:dyDescent="0.25">
      <c r="O47" s="93">
        <v>1.04</v>
      </c>
      <c r="P47" s="93">
        <f t="shared" si="4"/>
        <v>32.957599999999999</v>
      </c>
      <c r="Q47" s="2"/>
      <c r="S47" s="97" t="s">
        <v>107</v>
      </c>
      <c r="T47" s="99" t="s">
        <v>221</v>
      </c>
      <c r="V47" s="109">
        <v>42380</v>
      </c>
      <c r="W47" s="113">
        <v>31.81</v>
      </c>
      <c r="X47" s="113">
        <v>32.22</v>
      </c>
      <c r="Y47" s="113">
        <v>31.68</v>
      </c>
      <c r="Z47" s="113">
        <v>32.06</v>
      </c>
      <c r="AA47" s="111">
        <v>27732400</v>
      </c>
      <c r="AB47" s="110">
        <v>31.78</v>
      </c>
      <c r="AC47" s="2">
        <f t="shared" si="2"/>
        <v>0.53999999999999915</v>
      </c>
      <c r="AD47" s="148">
        <f t="shared" si="3"/>
        <v>1.7285531370038409E-2</v>
      </c>
    </row>
    <row r="48" spans="2:30" x14ac:dyDescent="0.25">
      <c r="O48" s="93">
        <v>1.03</v>
      </c>
      <c r="P48" s="93">
        <f t="shared" si="4"/>
        <v>32.640700000000002</v>
      </c>
      <c r="Q48" s="2"/>
      <c r="S48" s="97"/>
      <c r="T48" s="98"/>
      <c r="V48" s="109">
        <v>42377</v>
      </c>
      <c r="W48" s="113">
        <v>32.090000000000003</v>
      </c>
      <c r="X48" s="113">
        <v>32.22</v>
      </c>
      <c r="Y48" s="113">
        <v>31.43</v>
      </c>
      <c r="Z48" s="113">
        <v>31.51</v>
      </c>
      <c r="AA48" s="111">
        <v>29953800</v>
      </c>
      <c r="AB48" s="110">
        <v>31.24</v>
      </c>
      <c r="AC48" s="2">
        <f t="shared" si="2"/>
        <v>0.78999999999999915</v>
      </c>
      <c r="AD48" s="148">
        <f t="shared" si="3"/>
        <v>-1.0139416983523497E-2</v>
      </c>
    </row>
    <row r="49" spans="15:30" x14ac:dyDescent="0.25">
      <c r="O49" s="93">
        <v>1.02</v>
      </c>
      <c r="P49" s="93">
        <f t="shared" si="4"/>
        <v>32.323799999999999</v>
      </c>
      <c r="Q49" s="2"/>
      <c r="S49" s="97" t="s">
        <v>108</v>
      </c>
      <c r="T49" s="98" t="s">
        <v>300</v>
      </c>
      <c r="V49" s="109">
        <v>42376</v>
      </c>
      <c r="W49" s="113">
        <v>32.28</v>
      </c>
      <c r="X49" s="113">
        <v>33.01</v>
      </c>
      <c r="Y49" s="113">
        <v>31.84</v>
      </c>
      <c r="Z49" s="113">
        <v>31.84</v>
      </c>
      <c r="AA49" s="111">
        <v>37680500</v>
      </c>
      <c r="AB49" s="110">
        <v>31.56</v>
      </c>
      <c r="AC49" s="2">
        <f t="shared" si="2"/>
        <v>1.1699999999999982</v>
      </c>
      <c r="AD49" s="148">
        <f t="shared" si="3"/>
        <v>-3.7511436413540711E-2</v>
      </c>
    </row>
    <row r="50" spans="15:30" x14ac:dyDescent="0.25">
      <c r="O50" s="93">
        <v>1.01</v>
      </c>
      <c r="P50" s="93">
        <f t="shared" si="4"/>
        <v>32.006900000000002</v>
      </c>
      <c r="Q50" s="2"/>
      <c r="S50" s="97" t="s">
        <v>109</v>
      </c>
      <c r="T50" s="98" t="s">
        <v>222</v>
      </c>
      <c r="V50" s="109">
        <v>42375</v>
      </c>
      <c r="W50" s="113">
        <v>33.25</v>
      </c>
      <c r="X50" s="113">
        <v>33.520000000000003</v>
      </c>
      <c r="Y50" s="113">
        <v>32.799999999999997</v>
      </c>
      <c r="Z50" s="113">
        <v>33.08</v>
      </c>
      <c r="AA50" s="111">
        <v>25491300</v>
      </c>
      <c r="AB50" s="110">
        <v>32.79</v>
      </c>
      <c r="AC50" s="2">
        <f t="shared" si="2"/>
        <v>0.72000000000000597</v>
      </c>
      <c r="AD50" s="148">
        <f t="shared" si="3"/>
        <v>-2.2069788249329036E-2</v>
      </c>
    </row>
    <row r="51" spans="15:30" x14ac:dyDescent="0.25">
      <c r="O51" s="93">
        <v>1</v>
      </c>
      <c r="P51" s="93">
        <f t="shared" si="4"/>
        <v>31.69</v>
      </c>
      <c r="Q51" s="2"/>
      <c r="S51" s="97" t="s">
        <v>110</v>
      </c>
      <c r="T51" s="100">
        <v>16927746</v>
      </c>
      <c r="V51" s="109">
        <v>42374</v>
      </c>
      <c r="W51" s="113">
        <v>33.96</v>
      </c>
      <c r="X51" s="113">
        <v>34</v>
      </c>
      <c r="Y51" s="113">
        <v>33.53</v>
      </c>
      <c r="Z51" s="113">
        <v>33.83</v>
      </c>
      <c r="AA51" s="111">
        <v>16709500</v>
      </c>
      <c r="AB51" s="110">
        <v>33.53</v>
      </c>
      <c r="AC51" s="2">
        <f t="shared" si="2"/>
        <v>0.46999999999999886</v>
      </c>
      <c r="AD51" s="148">
        <f t="shared" si="3"/>
        <v>-4.7491837340456478E-3</v>
      </c>
    </row>
    <row r="52" spans="15:30" x14ac:dyDescent="0.25">
      <c r="O52" s="93">
        <v>0.99</v>
      </c>
      <c r="P52" s="93">
        <f t="shared" si="4"/>
        <v>31.373100000000001</v>
      </c>
      <c r="Q52" s="2"/>
      <c r="S52" s="97" t="s">
        <v>113</v>
      </c>
      <c r="T52" s="100">
        <v>25753900</v>
      </c>
      <c r="V52" s="109">
        <v>42373</v>
      </c>
      <c r="W52" s="113">
        <v>33.880000000000003</v>
      </c>
      <c r="X52" s="113">
        <v>34.01</v>
      </c>
      <c r="Y52" s="113">
        <v>33.46</v>
      </c>
      <c r="Z52" s="113">
        <v>33.99</v>
      </c>
      <c r="AA52" s="111">
        <v>27882200</v>
      </c>
      <c r="AB52" s="110">
        <v>33.69</v>
      </c>
      <c r="AC52" s="2">
        <f t="shared" si="2"/>
        <v>0.54999999999999716</v>
      </c>
      <c r="AD52" s="148">
        <f t="shared" si="3"/>
        <v>-1.3469985358711578E-2</v>
      </c>
    </row>
    <row r="53" spans="15:30" x14ac:dyDescent="0.25">
      <c r="O53" s="93">
        <v>0.98</v>
      </c>
      <c r="P53" s="93">
        <f t="shared" si="4"/>
        <v>31.0562</v>
      </c>
      <c r="Q53" s="2"/>
      <c r="S53" s="97" t="s">
        <v>111</v>
      </c>
      <c r="T53" s="98" t="s">
        <v>301</v>
      </c>
      <c r="V53" s="109">
        <v>42369</v>
      </c>
      <c r="W53" s="113">
        <v>34.82</v>
      </c>
      <c r="X53" s="113">
        <v>34.96</v>
      </c>
      <c r="Y53" s="113">
        <v>34.44</v>
      </c>
      <c r="Z53" s="113">
        <v>34.450000000000003</v>
      </c>
      <c r="AA53" s="111">
        <v>14736700</v>
      </c>
      <c r="AB53" s="110">
        <v>34.15</v>
      </c>
      <c r="AC53" s="2">
        <f t="shared" si="2"/>
        <v>0.52000000000000313</v>
      </c>
      <c r="AD53" s="148">
        <f t="shared" si="3"/>
        <v>-1.5282583621683998E-2</v>
      </c>
    </row>
    <row r="54" spans="15:30" x14ac:dyDescent="0.25">
      <c r="O54" s="93">
        <v>0.97</v>
      </c>
      <c r="P54" s="93">
        <f t="shared" si="4"/>
        <v>30.7393</v>
      </c>
      <c r="S54" s="97" t="s">
        <v>114</v>
      </c>
      <c r="T54" s="98">
        <v>13.58</v>
      </c>
      <c r="V54" s="109">
        <v>42368</v>
      </c>
      <c r="W54" s="113">
        <v>35.380000000000003</v>
      </c>
      <c r="X54" s="113">
        <v>35.450000000000003</v>
      </c>
      <c r="Y54" s="113">
        <v>34.950000000000003</v>
      </c>
      <c r="Z54" s="113">
        <v>34.99</v>
      </c>
      <c r="AA54" s="111">
        <v>11566800</v>
      </c>
      <c r="AB54" s="110">
        <v>34.68</v>
      </c>
      <c r="AC54" s="2">
        <f t="shared" si="2"/>
        <v>0.5</v>
      </c>
      <c r="AD54" s="148">
        <f t="shared" si="3"/>
        <v>-1.2809564474807966E-2</v>
      </c>
    </row>
    <row r="55" spans="15:30" x14ac:dyDescent="0.25">
      <c r="O55" s="93">
        <v>0.96</v>
      </c>
      <c r="P55" s="93">
        <f t="shared" si="4"/>
        <v>30.4224</v>
      </c>
      <c r="S55" s="97" t="s">
        <v>115</v>
      </c>
      <c r="T55" s="98">
        <v>2.33</v>
      </c>
      <c r="V55" s="109">
        <v>42367</v>
      </c>
      <c r="W55" s="113">
        <v>35.01</v>
      </c>
      <c r="X55" s="113">
        <v>35.590000000000003</v>
      </c>
      <c r="Y55" s="113">
        <v>35.01</v>
      </c>
      <c r="Z55" s="113">
        <v>35.44</v>
      </c>
      <c r="AA55" s="111">
        <v>14188600</v>
      </c>
      <c r="AB55" s="110">
        <v>35.130000000000003</v>
      </c>
      <c r="AC55" s="2">
        <f t="shared" si="2"/>
        <v>0.5800000000000054</v>
      </c>
      <c r="AD55" s="148">
        <f t="shared" si="3"/>
        <v>1.4438348252959754E-2</v>
      </c>
    </row>
    <row r="56" spans="15:30" x14ac:dyDescent="0.25">
      <c r="O56" s="93">
        <v>0.95</v>
      </c>
      <c r="P56" s="93">
        <f t="shared" si="4"/>
        <v>30.105499999999999</v>
      </c>
      <c r="S56" s="97" t="s">
        <v>112</v>
      </c>
      <c r="T56" s="98" t="s">
        <v>302</v>
      </c>
      <c r="V56" s="109">
        <v>42366</v>
      </c>
      <c r="W56" s="113">
        <v>34.950000000000003</v>
      </c>
      <c r="X56" s="113">
        <v>35</v>
      </c>
      <c r="Y56" s="113">
        <v>34.57</v>
      </c>
      <c r="Z56" s="113">
        <v>34.93</v>
      </c>
      <c r="AA56" s="111">
        <v>9449400</v>
      </c>
      <c r="AB56" s="110">
        <v>34.630000000000003</v>
      </c>
      <c r="AC56" s="2">
        <f t="shared" si="2"/>
        <v>0.42999999999999972</v>
      </c>
      <c r="AD56" s="148">
        <f t="shared" si="3"/>
        <v>-1.1537352177675153E-3</v>
      </c>
    </row>
    <row r="57" spans="15:30" x14ac:dyDescent="0.25">
      <c r="O57" s="93">
        <v>0.94</v>
      </c>
      <c r="P57" s="93">
        <f t="shared" si="4"/>
        <v>29.788599999999999</v>
      </c>
      <c r="V57" s="109">
        <v>42362</v>
      </c>
      <c r="W57" s="113">
        <v>35.07</v>
      </c>
      <c r="X57" s="113">
        <v>35.26</v>
      </c>
      <c r="Y57" s="113">
        <v>34.96</v>
      </c>
      <c r="Z57" s="113">
        <v>34.979999999999997</v>
      </c>
      <c r="AA57" s="111">
        <v>5893800</v>
      </c>
      <c r="AB57" s="110">
        <v>34.67</v>
      </c>
      <c r="AC57" s="2">
        <f t="shared" si="2"/>
        <v>0.29999999999999716</v>
      </c>
      <c r="AD57" s="148">
        <f t="shared" si="3"/>
        <v>-5.7653502450261129E-4</v>
      </c>
    </row>
    <row r="58" spans="15:30" x14ac:dyDescent="0.25">
      <c r="O58" s="93">
        <v>0.93</v>
      </c>
      <c r="P58" s="93">
        <f t="shared" si="4"/>
        <v>29.471700000000002</v>
      </c>
      <c r="V58" s="109">
        <v>42361</v>
      </c>
      <c r="W58" s="113">
        <v>34.950000000000003</v>
      </c>
      <c r="X58" s="113">
        <v>35.049999999999997</v>
      </c>
      <c r="Y58" s="113">
        <v>34.78</v>
      </c>
      <c r="Z58" s="113">
        <v>35</v>
      </c>
      <c r="AA58" s="111">
        <v>12526500</v>
      </c>
      <c r="AB58" s="110">
        <v>34.69</v>
      </c>
      <c r="AC58" s="2">
        <f t="shared" si="2"/>
        <v>0.26999999999999602</v>
      </c>
      <c r="AD58" s="148">
        <f t="shared" si="3"/>
        <v>7.5515538774324487E-3</v>
      </c>
    </row>
    <row r="59" spans="15:30" x14ac:dyDescent="0.25">
      <c r="O59" s="93">
        <v>0.92</v>
      </c>
      <c r="P59" s="93">
        <f t="shared" si="4"/>
        <v>29.154800000000002</v>
      </c>
      <c r="V59" s="109">
        <v>42360</v>
      </c>
      <c r="W59" s="113">
        <v>34.36</v>
      </c>
      <c r="X59" s="113">
        <v>34.78</v>
      </c>
      <c r="Y59" s="113">
        <v>34.270000000000003</v>
      </c>
      <c r="Z59" s="113">
        <v>34.729999999999997</v>
      </c>
      <c r="AA59" s="111">
        <v>18422000</v>
      </c>
      <c r="AB59" s="110">
        <v>34.43</v>
      </c>
      <c r="AC59" s="2">
        <f t="shared" si="2"/>
        <v>0.50999999999999801</v>
      </c>
      <c r="AD59" s="148">
        <f t="shared" si="3"/>
        <v>1.4437242192103739E-2</v>
      </c>
    </row>
    <row r="60" spans="15:30" x14ac:dyDescent="0.25">
      <c r="O60" s="93">
        <v>0.91</v>
      </c>
      <c r="P60" s="93">
        <f t="shared" si="4"/>
        <v>28.837900000000001</v>
      </c>
      <c r="V60" s="109">
        <v>42359</v>
      </c>
      <c r="W60" s="113">
        <v>34.11</v>
      </c>
      <c r="X60" s="113">
        <v>34.299999999999997</v>
      </c>
      <c r="Y60" s="113">
        <v>33.82</v>
      </c>
      <c r="Z60" s="113">
        <v>34.24</v>
      </c>
      <c r="AA60" s="111">
        <v>18006800</v>
      </c>
      <c r="AB60" s="110">
        <v>33.94</v>
      </c>
      <c r="AC60" s="2">
        <f t="shared" si="2"/>
        <v>0.47999999999999687</v>
      </c>
      <c r="AD60" s="148">
        <f t="shared" si="3"/>
        <v>1.1021745606195843E-2</v>
      </c>
    </row>
    <row r="61" spans="15:30" x14ac:dyDescent="0.25">
      <c r="O61" s="93">
        <v>0.9</v>
      </c>
      <c r="P61" s="93">
        <f t="shared" si="4"/>
        <v>28.521000000000001</v>
      </c>
      <c r="V61" s="109">
        <v>42356</v>
      </c>
      <c r="W61" s="113">
        <v>34.729999999999997</v>
      </c>
      <c r="X61" s="113">
        <v>34.75</v>
      </c>
      <c r="Y61" s="113">
        <v>33.86</v>
      </c>
      <c r="Z61" s="113">
        <v>33.869999999999997</v>
      </c>
      <c r="AA61" s="111">
        <v>41336600</v>
      </c>
      <c r="AB61" s="110">
        <v>33.57</v>
      </c>
      <c r="AC61" s="2">
        <f t="shared" si="2"/>
        <v>0.89000000000000057</v>
      </c>
      <c r="AD61" s="148">
        <f t="shared" si="3"/>
        <v>-3.0049118751805826E-2</v>
      </c>
    </row>
    <row r="62" spans="15:30" x14ac:dyDescent="0.25">
      <c r="V62" s="109">
        <v>42355</v>
      </c>
      <c r="W62" s="113">
        <v>35.32</v>
      </c>
      <c r="X62" s="113">
        <v>35.369999999999997</v>
      </c>
      <c r="Y62" s="113">
        <v>34.76</v>
      </c>
      <c r="Z62" s="113">
        <v>34.909999999999997</v>
      </c>
      <c r="AA62" s="111">
        <v>24963600</v>
      </c>
      <c r="AB62" s="110">
        <v>34.61</v>
      </c>
      <c r="AC62" s="2">
        <f t="shared" si="2"/>
        <v>0.60999999999999943</v>
      </c>
      <c r="AD62" s="148">
        <f t="shared" si="3"/>
        <v>-1.0860245784509948E-2</v>
      </c>
    </row>
    <row r="63" spans="15:30" x14ac:dyDescent="0.25">
      <c r="V63" s="109">
        <v>42354</v>
      </c>
      <c r="W63" s="113">
        <v>35.36</v>
      </c>
      <c r="X63" s="113">
        <v>35.47</v>
      </c>
      <c r="Y63" s="113">
        <v>34.770000000000003</v>
      </c>
      <c r="Z63" s="113">
        <v>35.299999999999997</v>
      </c>
      <c r="AA63" s="111">
        <v>23257900</v>
      </c>
      <c r="AB63" s="110">
        <v>34.99</v>
      </c>
      <c r="AC63" s="2">
        <f t="shared" si="2"/>
        <v>0.69999999999999574</v>
      </c>
      <c r="AD63" s="148">
        <f t="shared" si="3"/>
        <v>3.4413535990824862E-3</v>
      </c>
    </row>
    <row r="64" spans="15:30" x14ac:dyDescent="0.25">
      <c r="V64" s="109">
        <v>42353</v>
      </c>
      <c r="W64" s="113">
        <v>34.65</v>
      </c>
      <c r="X64" s="113">
        <v>35.35</v>
      </c>
      <c r="Y64" s="113">
        <v>34.64</v>
      </c>
      <c r="Z64" s="113">
        <v>35.18</v>
      </c>
      <c r="AA64" s="111">
        <v>24051300</v>
      </c>
      <c r="AB64" s="110">
        <v>34.869999999999997</v>
      </c>
      <c r="AC64" s="2">
        <f t="shared" si="2"/>
        <v>0.71000000000000085</v>
      </c>
      <c r="AD64" s="148">
        <f t="shared" si="3"/>
        <v>2.0485806262803496E-2</v>
      </c>
    </row>
    <row r="65" spans="22:30" x14ac:dyDescent="0.25">
      <c r="V65" s="109">
        <v>42352</v>
      </c>
      <c r="W65" s="113">
        <v>34.380000000000003</v>
      </c>
      <c r="X65" s="113">
        <v>34.479999999999997</v>
      </c>
      <c r="Y65" s="113">
        <v>33.880000000000003</v>
      </c>
      <c r="Z65" s="113">
        <v>34.47</v>
      </c>
      <c r="AA65" s="111">
        <v>19357100</v>
      </c>
      <c r="AB65" s="110">
        <v>34.17</v>
      </c>
      <c r="AC65" s="2">
        <f t="shared" si="2"/>
        <v>0.59999999999999432</v>
      </c>
      <c r="AD65" s="148">
        <f t="shared" si="3"/>
        <v>5.887547836326279E-3</v>
      </c>
    </row>
    <row r="66" spans="22:30" x14ac:dyDescent="0.25">
      <c r="V66" s="109">
        <v>42349</v>
      </c>
      <c r="W66" s="113">
        <v>34.31</v>
      </c>
      <c r="X66" s="113">
        <v>34.65</v>
      </c>
      <c r="Y66" s="113">
        <v>34.200000000000003</v>
      </c>
      <c r="Z66" s="113">
        <v>34.270000000000003</v>
      </c>
      <c r="AA66" s="111">
        <v>21251400</v>
      </c>
      <c r="AB66" s="110">
        <v>33.97</v>
      </c>
      <c r="AC66" s="2">
        <f t="shared" si="2"/>
        <v>0.44999999999999574</v>
      </c>
      <c r="AD66" s="148">
        <f t="shared" si="3"/>
        <v>-1.4505366985784751E-2</v>
      </c>
    </row>
    <row r="67" spans="22:30" x14ac:dyDescent="0.25">
      <c r="V67" s="109">
        <v>42348</v>
      </c>
      <c r="W67" s="113">
        <v>34.85</v>
      </c>
      <c r="X67" s="113">
        <v>35.07</v>
      </c>
      <c r="Y67" s="113">
        <v>34.659999999999997</v>
      </c>
      <c r="Z67" s="113">
        <v>34.770000000000003</v>
      </c>
      <c r="AA67" s="111">
        <v>17400700</v>
      </c>
      <c r="AB67" s="110">
        <v>34.47</v>
      </c>
      <c r="AC67" s="2">
        <f>X67-Y67</f>
        <v>0.41000000000000369</v>
      </c>
      <c r="AD67" s="148">
        <f>AB67/AB68-1</f>
        <v>-1.1590843233845183E-3</v>
      </c>
    </row>
    <row r="68" spans="22:30" x14ac:dyDescent="0.25">
      <c r="V68" s="109">
        <v>42347</v>
      </c>
      <c r="W68" s="113">
        <v>34.880000000000003</v>
      </c>
      <c r="X68" s="113">
        <v>35.22</v>
      </c>
      <c r="Y68" s="113">
        <v>34.51</v>
      </c>
      <c r="Z68" s="113">
        <v>34.81</v>
      </c>
      <c r="AA68" s="111">
        <v>22548300</v>
      </c>
      <c r="AB68" s="110">
        <v>34.51</v>
      </c>
      <c r="AC68" s="2">
        <f>X68-Y68</f>
        <v>0.71000000000000085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35" priority="12">
      <formula>Q7&gt;0</formula>
    </cfRule>
    <cfRule type="expression" dxfId="33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3" priority="3">
      <formula>F26&gt;0</formula>
    </cfRule>
    <cfRule type="expression" dxfId="332" priority="4">
      <formula>F26&lt;0</formula>
    </cfRule>
  </conditionalFormatting>
  <conditionalFormatting sqref="F27">
    <cfRule type="expression" dxfId="331" priority="1">
      <formula>F27&gt;0</formula>
    </cfRule>
    <cfRule type="expression" dxfId="33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1" si="1">H2*I2-J2</f>
        <v>1501.22</v>
      </c>
      <c r="L2" s="1">
        <v>42185</v>
      </c>
      <c r="M2" s="2">
        <v>5</v>
      </c>
      <c r="O2" s="13" t="s">
        <v>57</v>
      </c>
      <c r="Q2">
        <f>C53-H53</f>
        <v>130</v>
      </c>
      <c r="W2" s="120">
        <v>42444</v>
      </c>
      <c r="X2" s="44">
        <v>48.82</v>
      </c>
      <c r="Y2" s="44">
        <v>50.28</v>
      </c>
      <c r="Z2" s="44">
        <v>48.17</v>
      </c>
      <c r="AA2" s="44">
        <v>50.17</v>
      </c>
      <c r="AB2" s="114">
        <v>3494400</v>
      </c>
      <c r="AC2" s="44">
        <v>50.17</v>
      </c>
      <c r="AD2" s="2">
        <f>Y2-Z2</f>
        <v>2.1099999999999994</v>
      </c>
      <c r="AE2" s="148" t="e">
        <f>AC2/AC3-1</f>
        <v>#DIV/0!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32.701153846153581</v>
      </c>
      <c r="W3" s="120">
        <v>42444</v>
      </c>
      <c r="X3" s="44" t="s">
        <v>130</v>
      </c>
      <c r="Y3" s="44"/>
      <c r="Z3" s="44"/>
      <c r="AA3" s="44"/>
      <c r="AB3" s="114"/>
      <c r="AC3" s="44"/>
      <c r="AD3" s="2">
        <f t="shared" ref="AD3:AD66" si="2">Y3-Z3</f>
        <v>0</v>
      </c>
      <c r="AE3" s="148">
        <f t="shared" ref="AE3:AE66" si="3">AC3/AC4-1</f>
        <v>-1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51.83</v>
      </c>
      <c r="T4" s="134"/>
      <c r="U4" s="33"/>
      <c r="V4" s="38"/>
      <c r="W4" s="120">
        <v>42443</v>
      </c>
      <c r="X4" s="44">
        <v>50</v>
      </c>
      <c r="Y4" s="44">
        <v>50.65</v>
      </c>
      <c r="Z4" s="44">
        <v>49.08</v>
      </c>
      <c r="AA4" s="44">
        <v>50.2</v>
      </c>
      <c r="AB4" s="114">
        <v>4332600</v>
      </c>
      <c r="AC4" s="44">
        <v>49.95</v>
      </c>
      <c r="AD4" s="2">
        <f t="shared" si="2"/>
        <v>1.5700000000000003</v>
      </c>
      <c r="AE4" s="148">
        <f t="shared" si="3"/>
        <v>-2.0588235294117574E-2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6737.9</v>
      </c>
      <c r="W5" s="120">
        <v>42440</v>
      </c>
      <c r="X5" s="44">
        <v>49.32</v>
      </c>
      <c r="Y5" s="44">
        <v>51.95</v>
      </c>
      <c r="Z5" s="44">
        <v>49.28</v>
      </c>
      <c r="AA5" s="44">
        <v>51.26</v>
      </c>
      <c r="AB5" s="114">
        <v>7686200</v>
      </c>
      <c r="AC5" s="44">
        <v>51</v>
      </c>
      <c r="AD5" s="2">
        <f t="shared" si="2"/>
        <v>2.6700000000000017</v>
      </c>
      <c r="AE5" s="148">
        <f t="shared" si="3"/>
        <v>6.1836352279825091E-2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4251.1499999999651</v>
      </c>
      <c r="W6" s="120">
        <v>42439</v>
      </c>
      <c r="X6" s="44">
        <v>47.15</v>
      </c>
      <c r="Y6" s="44">
        <v>48.36</v>
      </c>
      <c r="Z6" s="44">
        <v>45.99</v>
      </c>
      <c r="AA6" s="44">
        <v>48.27</v>
      </c>
      <c r="AB6" s="114">
        <v>5524200</v>
      </c>
      <c r="AC6" s="44">
        <v>48.03</v>
      </c>
      <c r="AD6" s="2">
        <f t="shared" si="2"/>
        <v>2.3699999999999974</v>
      </c>
      <c r="AE6" s="148">
        <f t="shared" si="3"/>
        <v>2.5186766275346884E-2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2486.7500000000346</v>
      </c>
      <c r="R7" s="207"/>
      <c r="W7" s="120">
        <v>42438</v>
      </c>
      <c r="X7" s="44">
        <v>47.68</v>
      </c>
      <c r="Y7" s="44">
        <v>48.21</v>
      </c>
      <c r="Z7" s="44">
        <v>46.23</v>
      </c>
      <c r="AA7" s="44">
        <v>47.08</v>
      </c>
      <c r="AB7" s="114">
        <v>4652700</v>
      </c>
      <c r="AC7" s="44">
        <v>46.85</v>
      </c>
      <c r="AD7" s="2">
        <f t="shared" si="2"/>
        <v>1.980000000000004</v>
      </c>
      <c r="AE7" s="148">
        <f t="shared" si="3"/>
        <v>6.877283473028184E-3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0.5849593639368299</v>
      </c>
      <c r="W8" s="120">
        <v>42437</v>
      </c>
      <c r="X8" s="44">
        <v>48.84</v>
      </c>
      <c r="Y8" s="44">
        <v>48.96</v>
      </c>
      <c r="Z8" s="44">
        <v>46.53</v>
      </c>
      <c r="AA8" s="44">
        <v>46.76</v>
      </c>
      <c r="AB8" s="114">
        <v>5907300</v>
      </c>
      <c r="AC8" s="44">
        <v>46.53</v>
      </c>
      <c r="AD8" s="2">
        <f t="shared" si="2"/>
        <v>2.4299999999999997</v>
      </c>
      <c r="AE8" s="148">
        <f t="shared" si="3"/>
        <v>-5.098919029165816E-2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42436</v>
      </c>
      <c r="X9" s="44">
        <v>48.51</v>
      </c>
      <c r="Y9" s="44">
        <v>49.88</v>
      </c>
      <c r="Z9" s="44">
        <v>47.96</v>
      </c>
      <c r="AA9" s="44">
        <v>49.28</v>
      </c>
      <c r="AB9" s="114">
        <v>8473500</v>
      </c>
      <c r="AC9" s="44">
        <v>49.03</v>
      </c>
      <c r="AD9" s="2">
        <f t="shared" si="2"/>
        <v>1.9200000000000017</v>
      </c>
      <c r="AE9" s="148">
        <f t="shared" si="3"/>
        <v>1.8276220145378996E-2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42433</v>
      </c>
      <c r="X10" s="44">
        <v>49.17</v>
      </c>
      <c r="Y10" s="44">
        <v>50.54</v>
      </c>
      <c r="Z10" s="44">
        <v>47.61</v>
      </c>
      <c r="AA10" s="44">
        <v>48.39</v>
      </c>
      <c r="AB10" s="114">
        <v>7051900</v>
      </c>
      <c r="AC10" s="44">
        <v>48.15</v>
      </c>
      <c r="AD10" s="2">
        <f t="shared" si="2"/>
        <v>2.9299999999999997</v>
      </c>
      <c r="AE10" s="148">
        <f t="shared" si="3"/>
        <v>8.1658291457287202E-3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42432</v>
      </c>
      <c r="X11" s="44">
        <v>46.6</v>
      </c>
      <c r="Y11" s="44">
        <v>48.24</v>
      </c>
      <c r="Z11" s="44">
        <v>46.25</v>
      </c>
      <c r="AA11" s="44">
        <v>48</v>
      </c>
      <c r="AB11" s="114">
        <v>5752600</v>
      </c>
      <c r="AC11" s="44">
        <v>47.76</v>
      </c>
      <c r="AD11" s="2">
        <f t="shared" si="2"/>
        <v>1.990000000000002</v>
      </c>
      <c r="AE11" s="148">
        <f t="shared" si="3"/>
        <v>2.291711287213527E-2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42431</v>
      </c>
      <c r="X12" s="44">
        <v>44.09</v>
      </c>
      <c r="Y12" s="44">
        <v>46.94</v>
      </c>
      <c r="Z12" s="44">
        <v>43.86</v>
      </c>
      <c r="AA12" s="44">
        <v>46.92</v>
      </c>
      <c r="AB12" s="114">
        <v>5048300</v>
      </c>
      <c r="AC12" s="44">
        <v>46.69</v>
      </c>
      <c r="AD12" s="2">
        <f t="shared" si="2"/>
        <v>3.0799999999999983</v>
      </c>
      <c r="AE12" s="148">
        <f t="shared" si="3"/>
        <v>5.8970288047176078E-2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42430</v>
      </c>
      <c r="X13" s="44">
        <v>43.79</v>
      </c>
      <c r="Y13" s="44">
        <v>44.71</v>
      </c>
      <c r="Z13" s="44">
        <v>42.56</v>
      </c>
      <c r="AA13" s="44">
        <v>44.31</v>
      </c>
      <c r="AB13" s="114">
        <v>5232300</v>
      </c>
      <c r="AC13" s="44">
        <v>44.09</v>
      </c>
      <c r="AD13" s="2">
        <f t="shared" si="2"/>
        <v>2.1499999999999986</v>
      </c>
      <c r="AE13" s="148">
        <f t="shared" si="3"/>
        <v>1.6366989396034981E-2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42429</v>
      </c>
      <c r="X14" s="44">
        <v>43.05</v>
      </c>
      <c r="Y14" s="44">
        <v>44.01</v>
      </c>
      <c r="Z14" s="44">
        <v>42.62</v>
      </c>
      <c r="AA14" s="44">
        <v>43.6</v>
      </c>
      <c r="AB14" s="114">
        <v>6697300</v>
      </c>
      <c r="AC14" s="44">
        <v>43.38</v>
      </c>
      <c r="AD14" s="2">
        <f t="shared" si="2"/>
        <v>1.3900000000000006</v>
      </c>
      <c r="AE14" s="148">
        <f t="shared" si="3"/>
        <v>1.213252449836677E-2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42426</v>
      </c>
      <c r="X15" s="44">
        <v>42.69</v>
      </c>
      <c r="Y15" s="44">
        <v>43.62</v>
      </c>
      <c r="Z15" s="44">
        <v>42.48</v>
      </c>
      <c r="AA15" s="44">
        <v>43.07</v>
      </c>
      <c r="AB15" s="114">
        <v>5549300</v>
      </c>
      <c r="AC15" s="44">
        <v>42.86</v>
      </c>
      <c r="AD15" s="2">
        <f t="shared" si="2"/>
        <v>1.1400000000000006</v>
      </c>
      <c r="AE15" s="148">
        <f t="shared" si="3"/>
        <v>3.6016437031665571E-2</v>
      </c>
    </row>
    <row r="16" spans="1:40" x14ac:dyDescent="0.25">
      <c r="B16" s="413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42425</v>
      </c>
      <c r="X16" s="44">
        <v>41.66</v>
      </c>
      <c r="Y16" s="44">
        <v>42.37</v>
      </c>
      <c r="Z16" s="44">
        <v>39.950000000000003</v>
      </c>
      <c r="AA16" s="44">
        <v>41.58</v>
      </c>
      <c r="AB16" s="114">
        <v>4257300</v>
      </c>
      <c r="AC16" s="44">
        <v>41.37</v>
      </c>
      <c r="AD16" s="2">
        <f t="shared" si="2"/>
        <v>2.4199999999999946</v>
      </c>
      <c r="AE16" s="148">
        <f t="shared" si="3"/>
        <v>-2.8922631959509282E-3</v>
      </c>
    </row>
    <row r="17" spans="2:31" x14ac:dyDescent="0.25">
      <c r="B17" s="413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42424</v>
      </c>
      <c r="X17" s="44">
        <v>40.65</v>
      </c>
      <c r="Y17" s="44">
        <v>42.04</v>
      </c>
      <c r="Z17" s="44">
        <v>39.979999999999997</v>
      </c>
      <c r="AA17" s="44">
        <v>41.7</v>
      </c>
      <c r="AB17" s="114">
        <v>4909000</v>
      </c>
      <c r="AC17" s="44">
        <v>41.49</v>
      </c>
      <c r="AD17" s="2">
        <f t="shared" si="2"/>
        <v>2.0600000000000023</v>
      </c>
      <c r="AE17" s="148">
        <f t="shared" si="3"/>
        <v>-5.2745145049148956E-3</v>
      </c>
    </row>
    <row r="18" spans="2:31" x14ac:dyDescent="0.25">
      <c r="B18" s="409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42423</v>
      </c>
      <c r="X18" s="44">
        <v>43.66</v>
      </c>
      <c r="Y18" s="44">
        <v>44.71</v>
      </c>
      <c r="Z18" s="44">
        <v>41.61</v>
      </c>
      <c r="AA18" s="44">
        <v>41.92</v>
      </c>
      <c r="AB18" s="114">
        <v>5151400</v>
      </c>
      <c r="AC18" s="44">
        <v>41.71</v>
      </c>
      <c r="AD18" s="2">
        <f t="shared" si="2"/>
        <v>3.1000000000000014</v>
      </c>
      <c r="AE18" s="148">
        <f t="shared" si="3"/>
        <v>-5.9738503155996381E-2</v>
      </c>
    </row>
    <row r="19" spans="2:31" x14ac:dyDescent="0.25">
      <c r="B19" s="409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42422</v>
      </c>
      <c r="X19" s="44">
        <v>43.47</v>
      </c>
      <c r="Y19" s="44">
        <v>44.59</v>
      </c>
      <c r="Z19" s="44">
        <v>43.04</v>
      </c>
      <c r="AA19" s="44">
        <v>44.58</v>
      </c>
      <c r="AB19" s="114">
        <v>5400700</v>
      </c>
      <c r="AC19" s="44">
        <v>44.36</v>
      </c>
      <c r="AD19" s="2">
        <f t="shared" si="2"/>
        <v>1.5500000000000043</v>
      </c>
      <c r="AE19" s="148">
        <f t="shared" si="3"/>
        <v>5.3681710213776768E-2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42419</v>
      </c>
      <c r="X20" s="44">
        <v>41.54</v>
      </c>
      <c r="Y20" s="44">
        <v>42.34</v>
      </c>
      <c r="Z20" s="44">
        <v>40.25</v>
      </c>
      <c r="AA20" s="44">
        <v>42.31</v>
      </c>
      <c r="AB20" s="114">
        <v>6160300</v>
      </c>
      <c r="AC20" s="44">
        <v>42.1</v>
      </c>
      <c r="AD20" s="2">
        <f t="shared" si="2"/>
        <v>2.0900000000000034</v>
      </c>
      <c r="AE20" s="148">
        <f t="shared" si="3"/>
        <v>5.7333970377448917E-3</v>
      </c>
    </row>
    <row r="21" spans="2:31" x14ac:dyDescent="0.25">
      <c r="B21" s="409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42418</v>
      </c>
      <c r="X21" s="44">
        <v>44</v>
      </c>
      <c r="Y21" s="44">
        <v>44.2</v>
      </c>
      <c r="Z21" s="44">
        <v>41.49</v>
      </c>
      <c r="AA21" s="44">
        <v>42.07</v>
      </c>
      <c r="AB21" s="114">
        <v>7996700</v>
      </c>
      <c r="AC21" s="44">
        <v>41.86</v>
      </c>
      <c r="AD21" s="2">
        <f t="shared" si="2"/>
        <v>2.7100000000000009</v>
      </c>
      <c r="AE21" s="148">
        <f t="shared" si="3"/>
        <v>-3.2138728323699461E-2</v>
      </c>
    </row>
    <row r="22" spans="2:31" x14ac:dyDescent="0.25">
      <c r="B22" s="409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42417</v>
      </c>
      <c r="X22" s="44">
        <v>41.57</v>
      </c>
      <c r="Y22" s="44">
        <v>44.14</v>
      </c>
      <c r="Z22" s="44">
        <v>41.43</v>
      </c>
      <c r="AA22" s="44">
        <v>43.47</v>
      </c>
      <c r="AB22" s="114">
        <v>7811600</v>
      </c>
      <c r="AC22" s="44">
        <v>43.25</v>
      </c>
      <c r="AD22" s="2">
        <f t="shared" si="2"/>
        <v>2.7100000000000009</v>
      </c>
      <c r="AE22" s="148">
        <f t="shared" si="3"/>
        <v>6.4222440944881942E-2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42416</v>
      </c>
      <c r="X23" s="44">
        <v>41</v>
      </c>
      <c r="Y23" s="44">
        <v>41.25</v>
      </c>
      <c r="Z23" s="44">
        <v>39.96</v>
      </c>
      <c r="AA23" s="44">
        <v>40.840000000000003</v>
      </c>
      <c r="AB23" s="114">
        <v>6583500</v>
      </c>
      <c r="AC23" s="44">
        <v>40.64</v>
      </c>
      <c r="AD23" s="2">
        <f t="shared" si="2"/>
        <v>1.2899999999999991</v>
      </c>
      <c r="AE23" s="148">
        <f t="shared" si="3"/>
        <v>1.8291155098972833E-2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42412</v>
      </c>
      <c r="X24" s="44">
        <v>39.28</v>
      </c>
      <c r="Y24" s="44">
        <v>40.15</v>
      </c>
      <c r="Z24" s="44">
        <v>38.5</v>
      </c>
      <c r="AA24" s="44">
        <v>40.11</v>
      </c>
      <c r="AB24" s="114">
        <v>12408000</v>
      </c>
      <c r="AC24" s="44">
        <v>39.909999999999997</v>
      </c>
      <c r="AD24" s="2">
        <f t="shared" si="2"/>
        <v>1.6499999999999986</v>
      </c>
      <c r="AE24" s="148">
        <f t="shared" si="3"/>
        <v>3.0201342281878985E-2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42411</v>
      </c>
      <c r="X25" s="44">
        <v>38.44</v>
      </c>
      <c r="Y25" s="44">
        <v>39.409999999999997</v>
      </c>
      <c r="Z25" s="44">
        <v>36.950000000000003</v>
      </c>
      <c r="AA25" s="44">
        <v>38.93</v>
      </c>
      <c r="AB25" s="114">
        <v>9707200</v>
      </c>
      <c r="AC25" s="44">
        <v>38.74</v>
      </c>
      <c r="AD25" s="2">
        <f t="shared" si="2"/>
        <v>2.4599999999999937</v>
      </c>
      <c r="AE25" s="148">
        <f t="shared" si="3"/>
        <v>-8.9536965975953731E-3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42410</v>
      </c>
      <c r="X26" s="44">
        <v>39.22</v>
      </c>
      <c r="Y26" s="44">
        <v>40.15</v>
      </c>
      <c r="Z26" s="44">
        <v>38.75</v>
      </c>
      <c r="AA26" s="44">
        <v>39.29</v>
      </c>
      <c r="AB26" s="114">
        <v>9993900</v>
      </c>
      <c r="AC26" s="44">
        <v>39.090000000000003</v>
      </c>
      <c r="AD26" s="2">
        <f t="shared" si="2"/>
        <v>1.3999999999999986</v>
      </c>
      <c r="AE26" s="148">
        <f t="shared" si="3"/>
        <v>1.5061023110880534E-2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42409</v>
      </c>
      <c r="X27" s="44">
        <v>38.28</v>
      </c>
      <c r="Y27" s="44">
        <v>39.369999999999997</v>
      </c>
      <c r="Z27" s="44">
        <v>37.35</v>
      </c>
      <c r="AA27" s="44">
        <v>38.700000000000003</v>
      </c>
      <c r="AB27" s="114">
        <v>8910000</v>
      </c>
      <c r="AC27" s="44">
        <v>38.51</v>
      </c>
      <c r="AD27" s="2">
        <f t="shared" si="2"/>
        <v>2.019999999999996</v>
      </c>
      <c r="AE27" s="148">
        <f t="shared" si="3"/>
        <v>-7.4742268041236848E-3</v>
      </c>
    </row>
    <row r="28" spans="2:31" x14ac:dyDescent="0.25">
      <c r="B28" s="406" t="s">
        <v>212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42408</v>
      </c>
      <c r="X28" s="44">
        <v>37.229999999999997</v>
      </c>
      <c r="Y28" s="44">
        <v>39.119999999999997</v>
      </c>
      <c r="Z28" s="44">
        <v>37</v>
      </c>
      <c r="AA28" s="44">
        <v>38.99</v>
      </c>
      <c r="AB28" s="114">
        <v>14543500</v>
      </c>
      <c r="AC28" s="44">
        <v>38.799999999999997</v>
      </c>
      <c r="AD28" s="2">
        <f t="shared" si="2"/>
        <v>2.1199999999999974</v>
      </c>
      <c r="AE28" s="148">
        <f t="shared" si="3"/>
        <v>2.564102564102555E-2</v>
      </c>
    </row>
    <row r="29" spans="2:31" x14ac:dyDescent="0.25">
      <c r="B29" s="406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42405</v>
      </c>
      <c r="X29" s="44">
        <v>38.700000000000003</v>
      </c>
      <c r="Y29" s="44">
        <v>39.299999999999997</v>
      </c>
      <c r="Z29" s="44">
        <v>38</v>
      </c>
      <c r="AA29" s="44">
        <v>38.020000000000003</v>
      </c>
      <c r="AB29" s="114">
        <v>40193500</v>
      </c>
      <c r="AC29" s="44">
        <v>37.83</v>
      </c>
      <c r="AD29" s="2">
        <f t="shared" si="2"/>
        <v>1.2999999999999972</v>
      </c>
      <c r="AE29" s="148">
        <f t="shared" si="3"/>
        <v>-0.12531791907514456</v>
      </c>
    </row>
    <row r="30" spans="2:31" x14ac:dyDescent="0.25">
      <c r="B30" s="406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42404</v>
      </c>
      <c r="X30" s="44">
        <v>43.38</v>
      </c>
      <c r="Y30" s="44">
        <v>45.16</v>
      </c>
      <c r="Z30" s="44">
        <v>42.53</v>
      </c>
      <c r="AA30" s="44">
        <v>43.47</v>
      </c>
      <c r="AB30" s="114">
        <v>10121600</v>
      </c>
      <c r="AC30" s="44">
        <v>43.25</v>
      </c>
      <c r="AD30" s="2">
        <f t="shared" si="2"/>
        <v>2.6299999999999955</v>
      </c>
      <c r="AE30" s="148">
        <f t="shared" si="3"/>
        <v>1.0986442262739482E-2</v>
      </c>
    </row>
    <row r="31" spans="2:31" x14ac:dyDescent="0.25">
      <c r="B31" s="406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42403</v>
      </c>
      <c r="X31" s="217">
        <v>40.270000000000003</v>
      </c>
      <c r="Y31" s="44">
        <v>43.02</v>
      </c>
      <c r="Z31" s="44">
        <v>38.97</v>
      </c>
      <c r="AA31" s="44">
        <v>42.99</v>
      </c>
      <c r="AB31" s="114">
        <v>10059700</v>
      </c>
      <c r="AC31" s="44">
        <v>42.78</v>
      </c>
      <c r="AD31" s="2">
        <f t="shared" si="2"/>
        <v>4.0500000000000043</v>
      </c>
      <c r="AE31" s="148">
        <f t="shared" si="3"/>
        <v>9.2441266598570104E-2</v>
      </c>
    </row>
    <row r="32" spans="2:31" x14ac:dyDescent="0.25">
      <c r="B32" s="406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42402</v>
      </c>
      <c r="X32" s="44">
        <v>40.57</v>
      </c>
      <c r="Y32" s="44">
        <v>40.57</v>
      </c>
      <c r="Z32" s="44">
        <v>38.770000000000003</v>
      </c>
      <c r="AA32" s="44">
        <v>39.36</v>
      </c>
      <c r="AB32" s="114">
        <v>7280400</v>
      </c>
      <c r="AC32" s="44">
        <v>39.159999999999997</v>
      </c>
      <c r="AD32" s="2">
        <f t="shared" si="2"/>
        <v>1.7999999999999972</v>
      </c>
      <c r="AE32" s="148">
        <f t="shared" si="3"/>
        <v>-5.752105896510229E-2</v>
      </c>
    </row>
    <row r="33" spans="2:31" x14ac:dyDescent="0.25">
      <c r="B33" s="406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42401</v>
      </c>
      <c r="X33" s="44">
        <v>41.38</v>
      </c>
      <c r="Y33" s="44">
        <v>42.26</v>
      </c>
      <c r="Z33" s="44">
        <v>40.799999999999997</v>
      </c>
      <c r="AA33" s="44">
        <v>41.76</v>
      </c>
      <c r="AB33" s="114">
        <v>6180900</v>
      </c>
      <c r="AC33" s="44">
        <v>41.55</v>
      </c>
      <c r="AD33" s="2">
        <f t="shared" si="2"/>
        <v>1.4600000000000009</v>
      </c>
      <c r="AE33" s="148">
        <f t="shared" si="3"/>
        <v>-1.7498226531094896E-2</v>
      </c>
    </row>
    <row r="34" spans="2:31" x14ac:dyDescent="0.25">
      <c r="B34" s="406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42398</v>
      </c>
      <c r="X34" s="44">
        <v>40.83</v>
      </c>
      <c r="Y34" s="44">
        <v>42.66</v>
      </c>
      <c r="Z34" s="44">
        <v>40.520000000000003</v>
      </c>
      <c r="AA34" s="44">
        <v>42.5</v>
      </c>
      <c r="AB34" s="114">
        <v>8134500</v>
      </c>
      <c r="AC34" s="44">
        <v>42.29</v>
      </c>
      <c r="AD34" s="2">
        <f t="shared" si="2"/>
        <v>2.1399999999999935</v>
      </c>
      <c r="AE34" s="148">
        <f t="shared" si="3"/>
        <v>5.3562531141006398E-2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42397</v>
      </c>
      <c r="X35" s="44">
        <v>40.590000000000003</v>
      </c>
      <c r="Y35" s="44">
        <v>41.99</v>
      </c>
      <c r="Z35" s="44">
        <v>39.049999999999997</v>
      </c>
      <c r="AA35" s="44">
        <v>40.340000000000003</v>
      </c>
      <c r="AB35" s="114">
        <v>9889000</v>
      </c>
      <c r="AC35" s="44">
        <v>40.14</v>
      </c>
      <c r="AD35" s="2">
        <f t="shared" si="2"/>
        <v>2.9400000000000048</v>
      </c>
      <c r="AE35" s="148">
        <f t="shared" si="3"/>
        <v>9.4627761112626052E-2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42396</v>
      </c>
      <c r="X36" s="44">
        <v>34.97</v>
      </c>
      <c r="Y36" s="44">
        <v>39.659999999999997</v>
      </c>
      <c r="Z36" s="44">
        <v>34.020000000000003</v>
      </c>
      <c r="AA36" s="44">
        <v>36.85</v>
      </c>
      <c r="AB36" s="114">
        <v>11428700</v>
      </c>
      <c r="AC36" s="44">
        <v>36.67</v>
      </c>
      <c r="AD36" s="2">
        <f t="shared" si="2"/>
        <v>5.6399999999999935</v>
      </c>
      <c r="AE36" s="148">
        <f t="shared" si="3"/>
        <v>5.8602771362586736E-2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42395</v>
      </c>
      <c r="X37" s="44">
        <v>35.119999999999997</v>
      </c>
      <c r="Y37" s="44">
        <v>35.979999999999997</v>
      </c>
      <c r="Z37" s="44">
        <v>34.549999999999997</v>
      </c>
      <c r="AA37" s="44">
        <v>34.81</v>
      </c>
      <c r="AB37" s="114">
        <v>8791100</v>
      </c>
      <c r="AC37" s="44">
        <v>34.64</v>
      </c>
      <c r="AD37" s="2">
        <f t="shared" si="2"/>
        <v>1.4299999999999997</v>
      </c>
      <c r="AE37" s="148">
        <f t="shared" si="3"/>
        <v>1.2569424144986741E-2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42394</v>
      </c>
      <c r="X38" s="44">
        <v>37.159999999999997</v>
      </c>
      <c r="Y38" s="44">
        <v>37.840000000000003</v>
      </c>
      <c r="Z38" s="44">
        <v>34.28</v>
      </c>
      <c r="AA38" s="44">
        <v>34.380000000000003</v>
      </c>
      <c r="AB38" s="114">
        <v>10090500</v>
      </c>
      <c r="AC38" s="44">
        <v>34.21</v>
      </c>
      <c r="AD38" s="2">
        <f t="shared" si="2"/>
        <v>3.5600000000000023</v>
      </c>
      <c r="AE38" s="148">
        <f t="shared" si="3"/>
        <v>-0.10304142632406921</v>
      </c>
    </row>
    <row r="39" spans="2:31" x14ac:dyDescent="0.25">
      <c r="B39" s="409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42391</v>
      </c>
      <c r="X39" s="44">
        <v>39.409999999999997</v>
      </c>
      <c r="Y39" s="44">
        <v>39.950000000000003</v>
      </c>
      <c r="Z39" s="44">
        <v>36.799999999999997</v>
      </c>
      <c r="AA39" s="44">
        <v>38.33</v>
      </c>
      <c r="AB39" s="114">
        <v>7601000</v>
      </c>
      <c r="AC39" s="44">
        <v>38.14</v>
      </c>
      <c r="AD39" s="2">
        <f t="shared" si="2"/>
        <v>3.1500000000000057</v>
      </c>
      <c r="AE39" s="148">
        <f t="shared" si="3"/>
        <v>1.8968741651081977E-2</v>
      </c>
    </row>
    <row r="40" spans="2:31" x14ac:dyDescent="0.25">
      <c r="B40" s="409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42390</v>
      </c>
      <c r="X40" s="44">
        <v>35.07</v>
      </c>
      <c r="Y40" s="44">
        <v>37.950000000000003</v>
      </c>
      <c r="Z40" s="44">
        <v>35</v>
      </c>
      <c r="AA40" s="44">
        <v>37.619999999999997</v>
      </c>
      <c r="AB40" s="114">
        <v>7468600</v>
      </c>
      <c r="AC40" s="44">
        <v>37.43</v>
      </c>
      <c r="AD40" s="2">
        <f t="shared" si="2"/>
        <v>2.9500000000000028</v>
      </c>
      <c r="AE40" s="148">
        <f t="shared" si="3"/>
        <v>6.8512703397088259E-2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8" si="5">D41*C41+E41</f>
        <v>5917.5</v>
      </c>
      <c r="W41" s="120">
        <v>42389</v>
      </c>
      <c r="X41" s="44">
        <v>35.770000000000003</v>
      </c>
      <c r="Y41" s="44">
        <v>35.770000000000003</v>
      </c>
      <c r="Z41" s="44">
        <v>32.409999999999997</v>
      </c>
      <c r="AA41" s="44">
        <v>35.21</v>
      </c>
      <c r="AB41" s="114">
        <v>10518900</v>
      </c>
      <c r="AC41" s="44">
        <v>35.03</v>
      </c>
      <c r="AD41" s="2">
        <f t="shared" si="2"/>
        <v>3.3600000000000065</v>
      </c>
      <c r="AE41" s="148">
        <f t="shared" si="3"/>
        <v>-3.6313617606602455E-2</v>
      </c>
    </row>
    <row r="42" spans="2:31" x14ac:dyDescent="0.25">
      <c r="B42" s="22">
        <v>42405</v>
      </c>
      <c r="C42" s="4">
        <v>100</v>
      </c>
      <c r="D42" s="273">
        <v>38.385100000000001</v>
      </c>
      <c r="E42" s="3">
        <v>0</v>
      </c>
      <c r="F42" s="3">
        <f t="shared" si="5"/>
        <v>3838.51</v>
      </c>
      <c r="W42" s="120">
        <v>42388</v>
      </c>
      <c r="X42" s="44">
        <v>38.97</v>
      </c>
      <c r="Y42" s="44">
        <v>39.26</v>
      </c>
      <c r="Z42" s="44">
        <v>35.72</v>
      </c>
      <c r="AA42" s="44">
        <v>36.53</v>
      </c>
      <c r="AB42" s="114">
        <v>6149500</v>
      </c>
      <c r="AC42" s="44">
        <v>36.35</v>
      </c>
      <c r="AD42" s="2">
        <f t="shared" si="2"/>
        <v>3.5399999999999991</v>
      </c>
      <c r="AE42" s="148">
        <f t="shared" si="3"/>
        <v>-5.6579288865818866E-2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42384</v>
      </c>
      <c r="X43" s="44">
        <v>38</v>
      </c>
      <c r="Y43" s="44">
        <v>39.21</v>
      </c>
      <c r="Z43" s="44">
        <v>37.71</v>
      </c>
      <c r="AA43" s="44">
        <v>38.72</v>
      </c>
      <c r="AB43" s="114">
        <v>6923600</v>
      </c>
      <c r="AC43" s="44">
        <v>38.53</v>
      </c>
      <c r="AD43" s="2">
        <f t="shared" si="2"/>
        <v>1.5</v>
      </c>
      <c r="AE43" s="148">
        <f t="shared" si="3"/>
        <v>-3.0935613682092522E-2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08" t="s">
        <v>78</v>
      </c>
      <c r="P44" s="408"/>
      <c r="T44" s="115" t="s">
        <v>94</v>
      </c>
      <c r="U44" s="37"/>
      <c r="W44" s="120">
        <v>42383</v>
      </c>
      <c r="X44" s="44">
        <v>38.880000000000003</v>
      </c>
      <c r="Y44" s="44">
        <v>40.54</v>
      </c>
      <c r="Z44" s="44">
        <v>38.47</v>
      </c>
      <c r="AA44" s="44">
        <v>39.96</v>
      </c>
      <c r="AB44" s="114">
        <v>7968400</v>
      </c>
      <c r="AC44" s="44">
        <v>39.76</v>
      </c>
      <c r="AD44" s="2">
        <f t="shared" si="2"/>
        <v>2.0700000000000003</v>
      </c>
      <c r="AE44" s="148">
        <f t="shared" si="3"/>
        <v>3.5416666666666652E-2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57.013000000000005</v>
      </c>
      <c r="R45" s="37"/>
      <c r="T45" s="118" t="s">
        <v>101</v>
      </c>
      <c r="U45" s="116">
        <v>49.95</v>
      </c>
      <c r="W45" s="120">
        <v>42382</v>
      </c>
      <c r="X45" s="44">
        <v>40.19</v>
      </c>
      <c r="Y45" s="44">
        <v>41.05</v>
      </c>
      <c r="Z45" s="44">
        <v>38.22</v>
      </c>
      <c r="AA45" s="44">
        <v>38.590000000000003</v>
      </c>
      <c r="AB45" s="114">
        <v>7043000</v>
      </c>
      <c r="AC45" s="44">
        <v>38.4</v>
      </c>
      <c r="AD45" s="2">
        <f t="shared" si="2"/>
        <v>2.8299999999999983</v>
      </c>
      <c r="AE45" s="148">
        <f t="shared" si="3"/>
        <v>-2.5380710659898442E-2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56.494700000000002</v>
      </c>
      <c r="Q46" s="2"/>
      <c r="R46" s="37"/>
      <c r="T46" s="118" t="s">
        <v>102</v>
      </c>
      <c r="U46" s="116">
        <v>48.82</v>
      </c>
      <c r="W46" s="120">
        <v>42381</v>
      </c>
      <c r="X46" s="44">
        <v>42.49</v>
      </c>
      <c r="Y46" s="44">
        <v>42.82</v>
      </c>
      <c r="Z46" s="44">
        <v>38.799999999999997</v>
      </c>
      <c r="AA46" s="44">
        <v>39.6</v>
      </c>
      <c r="AB46" s="114">
        <v>6291100</v>
      </c>
      <c r="AC46" s="44">
        <v>39.4</v>
      </c>
      <c r="AD46" s="2">
        <f t="shared" si="2"/>
        <v>4.0200000000000031</v>
      </c>
      <c r="AE46" s="148">
        <f t="shared" si="3"/>
        <v>-5.0144648023143668E-2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55.976400000000005</v>
      </c>
      <c r="Q47" s="2"/>
      <c r="R47" s="37"/>
      <c r="T47" s="118" t="s">
        <v>103</v>
      </c>
      <c r="U47" s="116" t="s">
        <v>303</v>
      </c>
      <c r="W47" s="120">
        <v>42380</v>
      </c>
      <c r="X47" s="44">
        <v>43.55</v>
      </c>
      <c r="Y47" s="44">
        <v>43.77</v>
      </c>
      <c r="Z47" s="44">
        <v>41.3</v>
      </c>
      <c r="AA47" s="44">
        <v>41.69</v>
      </c>
      <c r="AB47" s="114">
        <v>6021500</v>
      </c>
      <c r="AC47" s="44">
        <v>41.48</v>
      </c>
      <c r="AD47" s="2">
        <f t="shared" si="2"/>
        <v>2.470000000000006</v>
      </c>
      <c r="AE47" s="148">
        <f t="shared" si="3"/>
        <v>-4.3357933579335817E-2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55.458100000000002</v>
      </c>
      <c r="Q48" s="2"/>
      <c r="R48" s="37"/>
      <c r="T48" s="118" t="s">
        <v>104</v>
      </c>
      <c r="U48" s="116" t="s">
        <v>304</v>
      </c>
      <c r="W48" s="120">
        <v>42377</v>
      </c>
      <c r="X48" s="44">
        <v>43.93</v>
      </c>
      <c r="Y48" s="44">
        <v>44.42</v>
      </c>
      <c r="Z48" s="44">
        <v>42.86</v>
      </c>
      <c r="AA48" s="44">
        <v>43.58</v>
      </c>
      <c r="AB48" s="114">
        <v>3851900</v>
      </c>
      <c r="AC48" s="44">
        <v>43.36</v>
      </c>
      <c r="AD48" s="2">
        <f t="shared" si="2"/>
        <v>1.5600000000000023</v>
      </c>
      <c r="AE48" s="148">
        <f t="shared" si="3"/>
        <v>-9.2165898617513342E-4</v>
      </c>
    </row>
    <row r="49" spans="1:31" x14ac:dyDescent="0.25">
      <c r="O49" s="93">
        <v>1.06</v>
      </c>
      <c r="P49" s="93">
        <f t="shared" si="6"/>
        <v>54.939799999999998</v>
      </c>
      <c r="Q49" s="2"/>
      <c r="R49" s="37"/>
      <c r="T49" s="118" t="s">
        <v>105</v>
      </c>
      <c r="U49" s="116">
        <v>54.78</v>
      </c>
      <c r="W49" s="120">
        <v>42376</v>
      </c>
      <c r="X49" s="44">
        <v>44</v>
      </c>
      <c r="Y49" s="44">
        <v>45.51</v>
      </c>
      <c r="Z49" s="44">
        <v>43.49</v>
      </c>
      <c r="AA49" s="44">
        <v>43.62</v>
      </c>
      <c r="AB49" s="114">
        <v>4562900</v>
      </c>
      <c r="AC49" s="44">
        <v>43.4</v>
      </c>
      <c r="AD49" s="2">
        <f t="shared" si="2"/>
        <v>2.019999999999996</v>
      </c>
      <c r="AE49" s="148">
        <f t="shared" si="3"/>
        <v>-3.2329988851727998E-2</v>
      </c>
    </row>
    <row r="50" spans="1:31" x14ac:dyDescent="0.25">
      <c r="O50" s="93">
        <v>1.05</v>
      </c>
      <c r="P50" s="93">
        <f t="shared" si="6"/>
        <v>54.421500000000002</v>
      </c>
      <c r="Q50" s="2"/>
      <c r="R50" s="37"/>
      <c r="T50" s="118" t="s">
        <v>106</v>
      </c>
      <c r="U50" s="116">
        <v>1.4104399999999999</v>
      </c>
      <c r="W50" s="120">
        <v>42375</v>
      </c>
      <c r="X50" s="44">
        <v>46.68</v>
      </c>
      <c r="Y50" s="44">
        <v>46.77</v>
      </c>
      <c r="Z50" s="44">
        <v>44.86</v>
      </c>
      <c r="AA50" s="44">
        <v>45.07</v>
      </c>
      <c r="AB50" s="114">
        <v>7968400</v>
      </c>
      <c r="AC50" s="44">
        <v>44.85</v>
      </c>
      <c r="AD50" s="2">
        <f t="shared" si="2"/>
        <v>1.9100000000000037</v>
      </c>
      <c r="AE50" s="148">
        <f t="shared" si="3"/>
        <v>-6.2303993309638206E-2</v>
      </c>
    </row>
    <row r="51" spans="1:31" x14ac:dyDescent="0.25">
      <c r="O51" s="93">
        <v>1.04</v>
      </c>
      <c r="P51" s="93">
        <f t="shared" si="6"/>
        <v>53.903199999999998</v>
      </c>
      <c r="Q51" s="2"/>
      <c r="R51" s="37"/>
      <c r="T51" s="118" t="s">
        <v>126</v>
      </c>
      <c r="U51" s="116" t="s">
        <v>224</v>
      </c>
      <c r="W51" s="120">
        <v>42374</v>
      </c>
      <c r="X51" s="44">
        <v>47.68</v>
      </c>
      <c r="Y51" s="44">
        <v>48.12</v>
      </c>
      <c r="Z51" s="44">
        <v>46.63</v>
      </c>
      <c r="AA51" s="44">
        <v>48.07</v>
      </c>
      <c r="AB51" s="114">
        <v>3143500</v>
      </c>
      <c r="AC51" s="44">
        <v>47.83</v>
      </c>
      <c r="AD51" s="2">
        <f t="shared" si="2"/>
        <v>1.4899999999999949</v>
      </c>
      <c r="AE51" s="148">
        <f t="shared" si="3"/>
        <v>-2.2945348352106931E-3</v>
      </c>
    </row>
    <row r="52" spans="1:31" x14ac:dyDescent="0.25">
      <c r="O52" s="93">
        <v>1.03</v>
      </c>
      <c r="P52" s="93">
        <f t="shared" si="6"/>
        <v>53.384900000000002</v>
      </c>
      <c r="Q52" s="2"/>
      <c r="R52" s="37"/>
      <c r="T52" s="118"/>
      <c r="U52" s="116"/>
      <c r="W52" s="120">
        <v>42373</v>
      </c>
      <c r="X52" s="44">
        <v>48.4</v>
      </c>
      <c r="Y52" s="44">
        <v>49.85</v>
      </c>
      <c r="Z52" s="44">
        <v>47.57</v>
      </c>
      <c r="AA52" s="44">
        <v>48.18</v>
      </c>
      <c r="AB52" s="114">
        <v>3273600</v>
      </c>
      <c r="AC52" s="44">
        <v>47.94</v>
      </c>
      <c r="AD52" s="2">
        <f t="shared" si="2"/>
        <v>2.2800000000000011</v>
      </c>
      <c r="AE52" s="148">
        <f t="shared" si="3"/>
        <v>-6.2189054726369264E-3</v>
      </c>
    </row>
    <row r="53" spans="1:31" x14ac:dyDescent="0.25">
      <c r="A53" s="35" t="s">
        <v>81</v>
      </c>
      <c r="B53" s="128"/>
      <c r="C53" s="16">
        <f>SUM(C2:C48)</f>
        <v>3380</v>
      </c>
      <c r="D53" s="91"/>
      <c r="E53" s="16"/>
      <c r="F53" s="21">
        <f>SUM(F2:F48)</f>
        <v>166646.38</v>
      </c>
      <c r="G53" s="16"/>
      <c r="H53" s="82">
        <f>SUM(H2:H52)</f>
        <v>3250</v>
      </c>
      <c r="I53" s="16"/>
      <c r="J53" s="16"/>
      <c r="K53" s="21">
        <f>SUM(K2:K52)</f>
        <v>162252.73000000004</v>
      </c>
      <c r="L53" s="16"/>
      <c r="M53" s="21">
        <f>SUM(M2:M25)</f>
        <v>142.5</v>
      </c>
      <c r="O53" s="93">
        <v>1.02</v>
      </c>
      <c r="P53" s="93">
        <f t="shared" si="6"/>
        <v>52.866599999999998</v>
      </c>
      <c r="Q53" s="2"/>
      <c r="R53" s="37"/>
      <c r="T53" s="118" t="s">
        <v>108</v>
      </c>
      <c r="U53" s="116" t="s">
        <v>305</v>
      </c>
      <c r="W53" s="120">
        <v>42369</v>
      </c>
      <c r="X53" s="44">
        <v>47.74</v>
      </c>
      <c r="Y53" s="44">
        <v>48.9</v>
      </c>
      <c r="Z53" s="44">
        <v>47.71</v>
      </c>
      <c r="AA53" s="44">
        <v>48.48</v>
      </c>
      <c r="AB53" s="114">
        <v>2394700</v>
      </c>
      <c r="AC53" s="44">
        <v>48.24</v>
      </c>
      <c r="AD53" s="2">
        <f t="shared" si="2"/>
        <v>1.1899999999999977</v>
      </c>
      <c r="AE53" s="148">
        <f t="shared" si="3"/>
        <v>6.4677654913416482E-3</v>
      </c>
    </row>
    <row r="54" spans="1:31" x14ac:dyDescent="0.25">
      <c r="O54" s="93">
        <v>1.01</v>
      </c>
      <c r="P54" s="93">
        <f t="shared" si="6"/>
        <v>52.348300000000002</v>
      </c>
      <c r="Q54" s="2"/>
      <c r="R54" s="37"/>
      <c r="T54" s="118" t="s">
        <v>109</v>
      </c>
      <c r="U54" s="116" t="s">
        <v>223</v>
      </c>
      <c r="W54" s="120">
        <v>42368</v>
      </c>
      <c r="X54" s="44">
        <v>48.49</v>
      </c>
      <c r="Y54" s="44">
        <v>49.61</v>
      </c>
      <c r="Z54" s="44">
        <v>48.1</v>
      </c>
      <c r="AA54" s="44">
        <v>48.17</v>
      </c>
      <c r="AB54" s="114">
        <v>1932300</v>
      </c>
      <c r="AC54" s="44">
        <v>47.93</v>
      </c>
      <c r="AD54" s="2">
        <f t="shared" si="2"/>
        <v>1.509999999999998</v>
      </c>
      <c r="AE54" s="148">
        <f t="shared" si="3"/>
        <v>-2.4027692934229239E-2</v>
      </c>
    </row>
    <row r="55" spans="1:31" x14ac:dyDescent="0.25">
      <c r="B55" s="209" t="s">
        <v>117</v>
      </c>
      <c r="C55" s="209" t="s">
        <v>170</v>
      </c>
      <c r="D55" s="219" t="s">
        <v>169</v>
      </c>
      <c r="E55" s="212" t="s">
        <v>171</v>
      </c>
      <c r="F55" s="213" t="s">
        <v>65</v>
      </c>
      <c r="G55" s="253" t="s">
        <v>175</v>
      </c>
      <c r="H55" s="213" t="s">
        <v>90</v>
      </c>
      <c r="I55" s="213" t="s">
        <v>183</v>
      </c>
      <c r="J55" s="2" t="s">
        <v>128</v>
      </c>
      <c r="O55" s="93">
        <v>1</v>
      </c>
      <c r="P55" s="93">
        <f t="shared" si="6"/>
        <v>51.83</v>
      </c>
      <c r="Q55" s="2"/>
      <c r="R55" s="37"/>
      <c r="T55" s="118" t="s">
        <v>110</v>
      </c>
      <c r="U55" s="117">
        <v>3496373</v>
      </c>
      <c r="W55" s="120">
        <v>42367</v>
      </c>
      <c r="X55" s="44">
        <v>49.8</v>
      </c>
      <c r="Y55" s="44">
        <v>49.99</v>
      </c>
      <c r="Z55" s="44">
        <v>48.79</v>
      </c>
      <c r="AA55" s="44">
        <v>49.36</v>
      </c>
      <c r="AB55" s="114">
        <v>1893500</v>
      </c>
      <c r="AC55" s="44">
        <v>49.11</v>
      </c>
      <c r="AD55" s="2">
        <f t="shared" si="2"/>
        <v>1.2000000000000028</v>
      </c>
      <c r="AE55" s="148">
        <f t="shared" si="3"/>
        <v>7.3846153846153229E-3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51.311699999999995</v>
      </c>
      <c r="Q56" s="2"/>
      <c r="R56" s="37"/>
      <c r="T56" s="118" t="s">
        <v>113</v>
      </c>
      <c r="U56" s="117">
        <v>6999140</v>
      </c>
      <c r="W56" s="120">
        <v>42366</v>
      </c>
      <c r="X56" s="44">
        <v>49.43</v>
      </c>
      <c r="Y56" s="44">
        <v>49.9</v>
      </c>
      <c r="Z56" s="44">
        <v>48.74</v>
      </c>
      <c r="AA56" s="44">
        <v>48.99</v>
      </c>
      <c r="AB56" s="114">
        <v>2298600</v>
      </c>
      <c r="AC56" s="44">
        <v>48.75</v>
      </c>
      <c r="AD56" s="2">
        <f t="shared" si="2"/>
        <v>1.1599999999999966</v>
      </c>
      <c r="AE56" s="148">
        <f t="shared" si="3"/>
        <v>-3.1200317965023872E-2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50.793399999999998</v>
      </c>
      <c r="Q57" s="2"/>
      <c r="R57" s="37"/>
      <c r="T57" s="118" t="s">
        <v>111</v>
      </c>
      <c r="U57" s="116" t="s">
        <v>306</v>
      </c>
      <c r="W57" s="120">
        <v>42362</v>
      </c>
      <c r="X57" s="44">
        <v>51.11</v>
      </c>
      <c r="Y57" s="44">
        <v>51.26</v>
      </c>
      <c r="Z57" s="44">
        <v>49.83</v>
      </c>
      <c r="AA57" s="44">
        <v>50.57</v>
      </c>
      <c r="AB57" s="114">
        <v>1147100</v>
      </c>
      <c r="AC57" s="44">
        <v>50.32</v>
      </c>
      <c r="AD57" s="2">
        <f t="shared" si="2"/>
        <v>1.4299999999999997</v>
      </c>
      <c r="AE57" s="148">
        <f t="shared" si="3"/>
        <v>-1.352675945892956E-2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50.275099999999995</v>
      </c>
      <c r="Q58" s="2"/>
      <c r="R58" s="37"/>
      <c r="T58" s="118" t="s">
        <v>114</v>
      </c>
      <c r="U58" s="116" t="s">
        <v>134</v>
      </c>
      <c r="W58" s="120">
        <v>42361</v>
      </c>
      <c r="X58" s="44">
        <v>49.77</v>
      </c>
      <c r="Y58" s="44">
        <v>51.32</v>
      </c>
      <c r="Z58" s="44">
        <v>49.55</v>
      </c>
      <c r="AA58" s="44">
        <v>51.27</v>
      </c>
      <c r="AB58" s="114">
        <v>3910500</v>
      </c>
      <c r="AC58" s="44">
        <v>51.01</v>
      </c>
      <c r="AD58" s="2">
        <f t="shared" si="2"/>
        <v>1.7700000000000031</v>
      </c>
      <c r="AE58" s="148">
        <f t="shared" si="3"/>
        <v>5.7421227197346436E-2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49.756799999999998</v>
      </c>
      <c r="T59" s="118" t="s">
        <v>115</v>
      </c>
      <c r="U59" s="116">
        <v>-10.78</v>
      </c>
      <c r="W59" s="120">
        <v>42360</v>
      </c>
      <c r="X59" s="44">
        <v>47.72</v>
      </c>
      <c r="Y59" s="44">
        <v>48.76</v>
      </c>
      <c r="Z59" s="44">
        <v>47.37</v>
      </c>
      <c r="AA59" s="44">
        <v>48.48</v>
      </c>
      <c r="AB59" s="114">
        <v>3320200</v>
      </c>
      <c r="AC59" s="44">
        <v>48.24</v>
      </c>
      <c r="AD59" s="2">
        <f t="shared" si="2"/>
        <v>1.3900000000000006</v>
      </c>
      <c r="AE59" s="148">
        <f t="shared" si="3"/>
        <v>2.2033898305084731E-2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49.238499999999995</v>
      </c>
      <c r="T60" s="118" t="s">
        <v>112</v>
      </c>
      <c r="U60" s="116" t="s">
        <v>307</v>
      </c>
      <c r="W60" s="120">
        <v>42359</v>
      </c>
      <c r="X60" s="44">
        <v>48.87</v>
      </c>
      <c r="Y60" s="44">
        <v>49.24</v>
      </c>
      <c r="Z60" s="44">
        <v>47.04</v>
      </c>
      <c r="AA60" s="44">
        <v>47.44</v>
      </c>
      <c r="AB60" s="114">
        <v>5436300</v>
      </c>
      <c r="AC60" s="44">
        <v>47.2</v>
      </c>
      <c r="AD60" s="2">
        <f t="shared" si="2"/>
        <v>2.2000000000000028</v>
      </c>
      <c r="AE60" s="148">
        <f t="shared" si="3"/>
        <v>-2.1964359718192994E-2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89" si="10">C61*(E61-D61)</f>
        <v>943.60000000000014</v>
      </c>
      <c r="G61" s="43">
        <f t="shared" ref="G61:G89" si="11">D61*C61</f>
        <v>3448.3999999999996</v>
      </c>
      <c r="H61" s="260">
        <f t="shared" ref="H61:H89" si="12">(E61-D61)/D61</f>
        <v>0.27363414917062989</v>
      </c>
      <c r="I61" s="213"/>
      <c r="O61" s="93">
        <v>0.94</v>
      </c>
      <c r="P61" s="93">
        <f t="shared" si="6"/>
        <v>48.720199999999998</v>
      </c>
      <c r="W61" s="120">
        <v>42356</v>
      </c>
      <c r="X61" s="44">
        <v>49.2</v>
      </c>
      <c r="Y61" s="44">
        <v>50.84</v>
      </c>
      <c r="Z61" s="44">
        <v>48.47</v>
      </c>
      <c r="AA61" s="44">
        <v>48.5</v>
      </c>
      <c r="AB61" s="114">
        <v>5523600</v>
      </c>
      <c r="AC61" s="44">
        <v>48.26</v>
      </c>
      <c r="AD61" s="2">
        <f t="shared" si="2"/>
        <v>2.3700000000000045</v>
      </c>
      <c r="AE61" s="148">
        <f t="shared" si="3"/>
        <v>-1.4096016343207451E-2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48.201900000000002</v>
      </c>
      <c r="W62" s="120">
        <v>42355</v>
      </c>
      <c r="X62" s="44">
        <v>51.04</v>
      </c>
      <c r="Y62" s="44">
        <v>51.18</v>
      </c>
      <c r="Z62" s="44">
        <v>48.47</v>
      </c>
      <c r="AA62" s="44">
        <v>49.2</v>
      </c>
      <c r="AB62" s="114">
        <v>4490000</v>
      </c>
      <c r="AC62" s="44">
        <v>48.95</v>
      </c>
      <c r="AD62" s="2">
        <f t="shared" si="2"/>
        <v>2.7100000000000009</v>
      </c>
      <c r="AE62" s="148">
        <f t="shared" si="3"/>
        <v>-3.3945135188474418E-2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47.683599999999998</v>
      </c>
      <c r="W63" s="120">
        <v>42354</v>
      </c>
      <c r="X63" s="44">
        <v>51.37</v>
      </c>
      <c r="Y63" s="44">
        <v>52.52</v>
      </c>
      <c r="Z63" s="44">
        <v>50.4</v>
      </c>
      <c r="AA63" s="44">
        <v>50.92</v>
      </c>
      <c r="AB63" s="114">
        <v>4409000</v>
      </c>
      <c r="AC63" s="44">
        <v>50.67</v>
      </c>
      <c r="AD63" s="2">
        <f t="shared" si="2"/>
        <v>2.1200000000000045</v>
      </c>
      <c r="AE63" s="148">
        <f t="shared" si="3"/>
        <v>-1.5543034777540266E-2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47.165300000000002</v>
      </c>
      <c r="W64" s="120">
        <v>42353</v>
      </c>
      <c r="X64" s="44">
        <v>51.12</v>
      </c>
      <c r="Y64" s="44">
        <v>51.94</v>
      </c>
      <c r="Z64" s="44">
        <v>50.79</v>
      </c>
      <c r="AA64" s="44">
        <v>51.73</v>
      </c>
      <c r="AB64" s="114">
        <v>4095000</v>
      </c>
      <c r="AC64" s="44">
        <v>51.47</v>
      </c>
      <c r="AD64" s="2">
        <f t="shared" si="2"/>
        <v>1.1499999999999986</v>
      </c>
      <c r="AE64" s="148" t="e">
        <f t="shared" si="3"/>
        <v>#DIV/0!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46.646999999999998</v>
      </c>
      <c r="W65" s="120">
        <v>42353</v>
      </c>
      <c r="X65" s="44" t="s">
        <v>130</v>
      </c>
      <c r="Y65" s="44"/>
      <c r="Z65" s="44"/>
      <c r="AA65" s="44"/>
      <c r="AB65" s="114"/>
      <c r="AC65" s="44"/>
      <c r="AD65" s="2">
        <f t="shared" si="2"/>
        <v>0</v>
      </c>
      <c r="AE65" s="148">
        <f t="shared" si="3"/>
        <v>-1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42352</v>
      </c>
      <c r="X66" s="44">
        <v>49.85</v>
      </c>
      <c r="Y66" s="44">
        <v>50.72</v>
      </c>
      <c r="Z66" s="44">
        <v>48.89</v>
      </c>
      <c r="AA66" s="44">
        <v>50.12</v>
      </c>
      <c r="AB66" s="114">
        <v>4079200</v>
      </c>
      <c r="AC66" s="44">
        <v>49.62</v>
      </c>
      <c r="AD66" s="2">
        <f t="shared" si="2"/>
        <v>1.8299999999999983</v>
      </c>
      <c r="AE66" s="148">
        <f t="shared" si="3"/>
        <v>-6.2086921690367447E-3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42349</v>
      </c>
      <c r="X67" s="44">
        <v>51.73</v>
      </c>
      <c r="Y67" s="44">
        <v>51.75</v>
      </c>
      <c r="Z67" s="44">
        <v>49.5</v>
      </c>
      <c r="AA67" s="44">
        <v>50.43</v>
      </c>
      <c r="AB67" s="114">
        <v>4142200</v>
      </c>
      <c r="AC67" s="44">
        <v>49.93</v>
      </c>
      <c r="AD67" s="2">
        <f>Y67-Z67</f>
        <v>2.25</v>
      </c>
      <c r="AE67" s="148">
        <f>AC67/AC68-1</f>
        <v>-3.9068514241724417E-2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42348</v>
      </c>
      <c r="X68" s="44">
        <v>51.62</v>
      </c>
      <c r="Y68" s="44">
        <v>53.11</v>
      </c>
      <c r="Z68" s="44">
        <v>51.1</v>
      </c>
      <c r="AA68" s="44">
        <v>52.48</v>
      </c>
      <c r="AB68" s="114">
        <v>3718700</v>
      </c>
      <c r="AC68" s="44">
        <v>51.96</v>
      </c>
      <c r="AD68" s="2">
        <f>Y68-Z68</f>
        <v>2.009999999999998</v>
      </c>
      <c r="AE68" s="148" t="e">
        <f>AC68/AC70-1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>
        <v>42347</v>
      </c>
      <c r="X69" s="44">
        <v>52.4</v>
      </c>
      <c r="Y69" s="44">
        <v>54.12</v>
      </c>
      <c r="Z69" s="44">
        <v>51.43</v>
      </c>
      <c r="AA69" s="44">
        <v>51.97</v>
      </c>
      <c r="AB69" s="114">
        <v>3336000</v>
      </c>
      <c r="AC69" s="44">
        <v>51.45</v>
      </c>
      <c r="AD69" s="2">
        <f>Y70-Z70</f>
        <v>0</v>
      </c>
      <c r="AE69" s="148" t="e">
        <f>AC70/AC71-1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  <c r="W70" s="120" t="s">
        <v>125</v>
      </c>
      <c r="X70" s="44"/>
      <c r="Y70" s="44"/>
      <c r="Z70" s="44"/>
      <c r="AA70" s="44"/>
      <c r="AB70" s="114"/>
      <c r="AC70" s="44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12">
        <v>750</v>
      </c>
      <c r="D82" s="220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297">
        <v>450</v>
      </c>
      <c r="D83" s="29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12">
        <v>400</v>
      </c>
      <c r="D84" s="220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297">
        <v>450</v>
      </c>
      <c r="D85" s="29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/>
      <c r="C90" s="12"/>
      <c r="D90" s="220"/>
      <c r="E90" s="43"/>
      <c r="F90" s="43"/>
      <c r="G90" s="43"/>
      <c r="H90" s="261"/>
      <c r="I90" s="213"/>
    </row>
    <row r="91" spans="2:9" x14ac:dyDescent="0.25">
      <c r="B91" s="211"/>
      <c r="C91" s="12"/>
      <c r="D91" s="220"/>
      <c r="E91" s="43"/>
      <c r="F91" s="43"/>
      <c r="G91" s="43"/>
      <c r="H91" s="261"/>
      <c r="I91" s="213"/>
    </row>
    <row r="92" spans="2:9" x14ac:dyDescent="0.25">
      <c r="B92" s="211"/>
      <c r="C92" s="12"/>
      <c r="D92" s="220"/>
      <c r="E92" s="43"/>
      <c r="F92" s="43"/>
      <c r="G92" s="43"/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29" priority="20">
      <formula>Q7&gt;0</formula>
    </cfRule>
    <cfRule type="expression" dxfId="32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27" priority="13">
      <formula>F73&gt;0</formula>
    </cfRule>
    <cfRule type="expression" dxfId="326" priority="14">
      <formula>F73&lt;0</formula>
    </cfRule>
  </conditionalFormatting>
  <conditionalFormatting sqref="H73:H97">
    <cfRule type="expression" dxfId="325" priority="5">
      <formula>H73&gt;0</formula>
    </cfRule>
    <cfRule type="expression" dxfId="324" priority="6">
      <formula>H73&lt;0</formula>
    </cfRule>
  </conditionalFormatting>
  <conditionalFormatting sqref="F56:F72">
    <cfRule type="expression" dxfId="323" priority="3">
      <formula>F56&gt;0</formula>
    </cfRule>
    <cfRule type="expression" dxfId="322" priority="4">
      <formula>F56&lt;0</formula>
    </cfRule>
  </conditionalFormatting>
  <conditionalFormatting sqref="H56:H72">
    <cfRule type="expression" dxfId="321" priority="1">
      <formula>H56&gt;0</formula>
    </cfRule>
    <cfRule type="expression" dxfId="32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42444</v>
      </c>
      <c r="X2" s="12">
        <v>79.62</v>
      </c>
      <c r="Y2" s="12">
        <v>80.150000000000006</v>
      </c>
      <c r="Z2" s="12">
        <v>78.63</v>
      </c>
      <c r="AA2" s="12">
        <v>80.150000000000006</v>
      </c>
      <c r="AB2" s="105">
        <v>4675300</v>
      </c>
      <c r="AC2" s="12">
        <v>80.150000000000006</v>
      </c>
      <c r="AD2" s="2">
        <f>Y2-Z2</f>
        <v>1.5200000000000102</v>
      </c>
      <c r="AE2" s="148">
        <f>AC2/AC3-1</f>
        <v>-2.4891101431236962E-3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80.31</v>
      </c>
      <c r="W3" s="143">
        <v>42443</v>
      </c>
      <c r="X3" s="12">
        <v>80.7</v>
      </c>
      <c r="Y3" s="12">
        <v>81.47</v>
      </c>
      <c r="Z3" s="12">
        <v>80.150000000000006</v>
      </c>
      <c r="AA3" s="12">
        <v>80.349999999999994</v>
      </c>
      <c r="AB3" s="105">
        <v>4362300</v>
      </c>
      <c r="AC3" s="12">
        <v>80.349999999999994</v>
      </c>
      <c r="AD3" s="2">
        <f t="shared" ref="AD3:AD66" si="1">Y3-Z3</f>
        <v>1.3199999999999932</v>
      </c>
      <c r="AE3" s="148">
        <f t="shared" ref="AE3:AE66" si="2">AC3/AC4-1</f>
        <v>-1.11986217080976E-2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80.31</v>
      </c>
      <c r="W4" s="143">
        <v>42440</v>
      </c>
      <c r="X4" s="12">
        <v>80.180000000000007</v>
      </c>
      <c r="Y4" s="12">
        <v>81.38</v>
      </c>
      <c r="Z4" s="12">
        <v>79.91</v>
      </c>
      <c r="AA4" s="12">
        <v>81.260000000000005</v>
      </c>
      <c r="AB4" s="105">
        <v>3728700</v>
      </c>
      <c r="AC4" s="12">
        <v>81.260000000000005</v>
      </c>
      <c r="AD4" s="2">
        <f t="shared" si="1"/>
        <v>1.4699999999999989</v>
      </c>
      <c r="AE4" s="148">
        <f t="shared" si="2"/>
        <v>2.3683547493071444E-2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42439</v>
      </c>
      <c r="X5" s="12">
        <v>80.59</v>
      </c>
      <c r="Y5" s="12">
        <v>80.680000000000007</v>
      </c>
      <c r="Z5" s="12">
        <v>78.56</v>
      </c>
      <c r="AA5" s="12">
        <v>79.38</v>
      </c>
      <c r="AB5" s="105">
        <v>3949600</v>
      </c>
      <c r="AC5" s="12">
        <v>79.38</v>
      </c>
      <c r="AD5" s="2">
        <f t="shared" si="1"/>
        <v>2.1200000000000045</v>
      </c>
      <c r="AE5" s="148">
        <f t="shared" si="2"/>
        <v>-9.4834040429249145E-3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42438</v>
      </c>
      <c r="X6" s="12">
        <v>78.900000000000006</v>
      </c>
      <c r="Y6" s="12">
        <v>80.2</v>
      </c>
      <c r="Z6" s="12">
        <v>78.67</v>
      </c>
      <c r="AA6" s="12">
        <v>80.14</v>
      </c>
      <c r="AB6" s="105">
        <v>6028500</v>
      </c>
      <c r="AC6" s="12">
        <v>80.14</v>
      </c>
      <c r="AD6" s="2">
        <f t="shared" si="1"/>
        <v>1.5300000000000011</v>
      </c>
      <c r="AE6" s="148">
        <f t="shared" si="2"/>
        <v>2.4153354632587831E-2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42437</v>
      </c>
      <c r="X7" s="12">
        <v>80.64</v>
      </c>
      <c r="Y7" s="12">
        <v>81.06</v>
      </c>
      <c r="Z7" s="12">
        <v>78.150000000000006</v>
      </c>
      <c r="AA7" s="12">
        <v>78.25</v>
      </c>
      <c r="AB7" s="105">
        <v>5912100</v>
      </c>
      <c r="AC7" s="12">
        <v>78.25</v>
      </c>
      <c r="AD7" s="2">
        <f t="shared" si="1"/>
        <v>2.9099999999999966</v>
      </c>
      <c r="AE7" s="148">
        <f t="shared" si="2"/>
        <v>-3.9287906691221619E-2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42436</v>
      </c>
      <c r="X8" s="12">
        <v>80.03</v>
      </c>
      <c r="Y8" s="12">
        <v>81.569999999999993</v>
      </c>
      <c r="Z8" s="12">
        <v>79.75</v>
      </c>
      <c r="AA8" s="12">
        <v>81.45</v>
      </c>
      <c r="AB8" s="105">
        <v>6534300</v>
      </c>
      <c r="AC8" s="12">
        <v>81.45</v>
      </c>
      <c r="AD8" s="2">
        <f t="shared" si="1"/>
        <v>1.8199999999999932</v>
      </c>
      <c r="AE8" s="148">
        <f t="shared" si="2"/>
        <v>1.1801242236024967E-2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42433</v>
      </c>
      <c r="X9" s="12">
        <v>80.22</v>
      </c>
      <c r="Y9" s="12">
        <v>81.45</v>
      </c>
      <c r="Z9" s="12">
        <v>79.989999999999995</v>
      </c>
      <c r="AA9" s="12">
        <v>80.5</v>
      </c>
      <c r="AB9" s="105">
        <v>6411500</v>
      </c>
      <c r="AC9" s="12">
        <v>80.5</v>
      </c>
      <c r="AD9" s="2">
        <f t="shared" si="1"/>
        <v>1.460000000000008</v>
      </c>
      <c r="AE9" s="148">
        <f t="shared" si="2"/>
        <v>6.1242344706911034E-3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42432</v>
      </c>
      <c r="X10" s="12">
        <v>79.86</v>
      </c>
      <c r="Y10" s="12">
        <v>80.55</v>
      </c>
      <c r="Z10" s="12">
        <v>79.08</v>
      </c>
      <c r="AA10" s="12">
        <v>80.010000000000005</v>
      </c>
      <c r="AB10" s="105">
        <v>5167400</v>
      </c>
      <c r="AC10" s="12">
        <v>80.010000000000005</v>
      </c>
      <c r="AD10" s="2">
        <f t="shared" si="1"/>
        <v>1.4699999999999989</v>
      </c>
      <c r="AE10" s="148">
        <f t="shared" si="2"/>
        <v>6.4150943396226179E-3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42431</v>
      </c>
      <c r="X11" s="12">
        <v>80.239999999999995</v>
      </c>
      <c r="Y11" s="12">
        <v>80.83</v>
      </c>
      <c r="Z11" s="12">
        <v>79.25</v>
      </c>
      <c r="AA11" s="12">
        <v>79.5</v>
      </c>
      <c r="AB11" s="105">
        <v>5610200</v>
      </c>
      <c r="AC11" s="12">
        <v>79.5</v>
      </c>
      <c r="AD11" s="2">
        <f t="shared" si="1"/>
        <v>1.5799999999999983</v>
      </c>
      <c r="AE11" s="148">
        <f t="shared" si="2"/>
        <v>-7.7383924113829661E-3</v>
      </c>
    </row>
    <row r="12" spans="1:31" x14ac:dyDescent="0.25">
      <c r="U12" s="147"/>
      <c r="W12" s="143">
        <v>42430</v>
      </c>
      <c r="X12" s="12">
        <v>79.7</v>
      </c>
      <c r="Y12" s="12">
        <v>80.92</v>
      </c>
      <c r="Z12" s="12">
        <v>79.14</v>
      </c>
      <c r="AA12" s="12">
        <v>80.12</v>
      </c>
      <c r="AB12" s="105">
        <v>5909800</v>
      </c>
      <c r="AC12" s="12">
        <v>80.12</v>
      </c>
      <c r="AD12" s="2">
        <f t="shared" si="1"/>
        <v>1.7800000000000011</v>
      </c>
      <c r="AE12" s="148">
        <f t="shared" si="2"/>
        <v>1.597768196804461E-2</v>
      </c>
    </row>
    <row r="13" spans="1:31" x14ac:dyDescent="0.25">
      <c r="T13" s="75"/>
      <c r="W13" s="143">
        <v>42429</v>
      </c>
      <c r="X13" s="12">
        <v>79.81</v>
      </c>
      <c r="Y13" s="12">
        <v>79.98</v>
      </c>
      <c r="Z13" s="12">
        <v>78.75</v>
      </c>
      <c r="AA13" s="12">
        <v>78.86</v>
      </c>
      <c r="AB13" s="105">
        <v>5358600</v>
      </c>
      <c r="AC13" s="12">
        <v>78.86</v>
      </c>
      <c r="AD13" s="2">
        <f t="shared" si="1"/>
        <v>1.230000000000004</v>
      </c>
      <c r="AE13" s="148">
        <f t="shared" si="2"/>
        <v>-1.4249999999999985E-2</v>
      </c>
    </row>
    <row r="14" spans="1:31" x14ac:dyDescent="0.25">
      <c r="W14" s="143">
        <v>42426</v>
      </c>
      <c r="X14" s="12">
        <v>80.09</v>
      </c>
      <c r="Y14" s="12">
        <v>81.260000000000005</v>
      </c>
      <c r="Z14" s="12">
        <v>79.790000000000006</v>
      </c>
      <c r="AA14" s="12">
        <v>80</v>
      </c>
      <c r="AB14" s="105">
        <v>3836900</v>
      </c>
      <c r="AC14" s="12">
        <v>80</v>
      </c>
      <c r="AD14" s="2">
        <f t="shared" si="1"/>
        <v>1.4699999999999989</v>
      </c>
      <c r="AE14" s="148">
        <f t="shared" si="2"/>
        <v>8.5728693898134978E-3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42425</v>
      </c>
      <c r="X15" s="12">
        <v>79.5</v>
      </c>
      <c r="Y15" s="12">
        <v>80.349999999999994</v>
      </c>
      <c r="Z15" s="12">
        <v>78.53</v>
      </c>
      <c r="AA15" s="12">
        <v>79.319999999999993</v>
      </c>
      <c r="AB15" s="105">
        <v>3243000</v>
      </c>
      <c r="AC15" s="12">
        <v>79.319999999999993</v>
      </c>
      <c r="AD15" s="2">
        <f t="shared" si="1"/>
        <v>1.8199999999999932</v>
      </c>
      <c r="AE15" s="148" t="e">
        <f t="shared" si="2"/>
        <v>#DIV/0!</v>
      </c>
    </row>
    <row r="16" spans="1:31" x14ac:dyDescent="0.25">
      <c r="W16" s="143">
        <v>42425</v>
      </c>
      <c r="X16" s="12" t="s">
        <v>135</v>
      </c>
      <c r="Y16" s="12"/>
      <c r="Z16" s="12"/>
      <c r="AA16" s="12"/>
      <c r="AB16" s="105"/>
      <c r="AC16" s="12"/>
      <c r="AD16" s="2">
        <f t="shared" si="1"/>
        <v>0</v>
      </c>
      <c r="AE16" s="148">
        <f t="shared" si="2"/>
        <v>-1</v>
      </c>
    </row>
    <row r="17" spans="2:31" x14ac:dyDescent="0.25">
      <c r="W17" s="143">
        <v>42424</v>
      </c>
      <c r="X17" s="12">
        <v>78.02</v>
      </c>
      <c r="Y17" s="12">
        <v>80.290000000000006</v>
      </c>
      <c r="Z17" s="12">
        <v>77.069999999999993</v>
      </c>
      <c r="AA17" s="12">
        <v>80.09</v>
      </c>
      <c r="AB17" s="105">
        <v>4800500</v>
      </c>
      <c r="AC17" s="12">
        <v>79.540000000000006</v>
      </c>
      <c r="AD17" s="2">
        <f t="shared" si="1"/>
        <v>3.2200000000000131</v>
      </c>
      <c r="AE17" s="148">
        <f t="shared" si="2"/>
        <v>1.4411427113888653E-2</v>
      </c>
    </row>
    <row r="18" spans="2:31" x14ac:dyDescent="0.25">
      <c r="W18" s="143">
        <v>42423</v>
      </c>
      <c r="X18" s="12">
        <v>80.5</v>
      </c>
      <c r="Y18" s="12">
        <v>81.05</v>
      </c>
      <c r="Z18" s="12">
        <v>78.790000000000006</v>
      </c>
      <c r="AA18" s="12">
        <v>78.95</v>
      </c>
      <c r="AB18" s="105">
        <v>4966300</v>
      </c>
      <c r="AC18" s="12">
        <v>78.41</v>
      </c>
      <c r="AD18" s="2">
        <f t="shared" si="1"/>
        <v>2.2599999999999909</v>
      </c>
      <c r="AE18" s="148">
        <f t="shared" si="2"/>
        <v>-3.2572486119679223E-2</v>
      </c>
    </row>
    <row r="19" spans="2:31" x14ac:dyDescent="0.25">
      <c r="W19" s="143">
        <v>42422</v>
      </c>
      <c r="X19" s="12">
        <v>79.900000000000006</v>
      </c>
      <c r="Y19" s="12">
        <v>82.26</v>
      </c>
      <c r="Z19" s="12">
        <v>79.900000000000006</v>
      </c>
      <c r="AA19" s="12">
        <v>81.61</v>
      </c>
      <c r="AB19" s="105">
        <v>5448300</v>
      </c>
      <c r="AC19" s="12">
        <v>81.05</v>
      </c>
      <c r="AD19" s="2">
        <f t="shared" si="1"/>
        <v>2.3599999999999994</v>
      </c>
      <c r="AE19" s="148">
        <f t="shared" si="2"/>
        <v>2.1424070573409004E-2</v>
      </c>
    </row>
    <row r="20" spans="2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2" t="s">
        <v>65</v>
      </c>
      <c r="G20" s="253" t="s">
        <v>175</v>
      </c>
      <c r="H20" s="253" t="s">
        <v>90</v>
      </c>
      <c r="I20" s="253" t="s">
        <v>183</v>
      </c>
      <c r="W20" s="143">
        <v>42419</v>
      </c>
      <c r="X20" s="12">
        <v>78.52</v>
      </c>
      <c r="Y20" s="12">
        <v>80</v>
      </c>
      <c r="Z20" s="12">
        <v>78</v>
      </c>
      <c r="AA20" s="12">
        <v>79.900000000000006</v>
      </c>
      <c r="AB20" s="105">
        <v>4793200</v>
      </c>
      <c r="AC20" s="12">
        <v>79.349999999999994</v>
      </c>
      <c r="AD20" s="2">
        <f t="shared" si="1"/>
        <v>2</v>
      </c>
      <c r="AE20" s="148">
        <f t="shared" si="2"/>
        <v>1.5745007680491474E-2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42418</v>
      </c>
      <c r="X21" s="12">
        <v>79.760000000000005</v>
      </c>
      <c r="Y21" s="12">
        <v>80.13</v>
      </c>
      <c r="Z21" s="12">
        <v>78.180000000000007</v>
      </c>
      <c r="AA21" s="12">
        <v>78.66</v>
      </c>
      <c r="AB21" s="105">
        <v>5578000</v>
      </c>
      <c r="AC21" s="12">
        <v>78.12</v>
      </c>
      <c r="AD21" s="2">
        <f t="shared" si="1"/>
        <v>1.9499999999999886</v>
      </c>
      <c r="AE21" s="148">
        <f t="shared" si="2"/>
        <v>-1.6244805440120746E-2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42417</v>
      </c>
      <c r="X22" s="12">
        <v>78.72</v>
      </c>
      <c r="Y22" s="12">
        <v>80.5</v>
      </c>
      <c r="Z22" s="12">
        <v>78.47</v>
      </c>
      <c r="AA22" s="12">
        <v>79.959999999999994</v>
      </c>
      <c r="AB22" s="105">
        <v>6308000</v>
      </c>
      <c r="AC22" s="12">
        <v>79.41</v>
      </c>
      <c r="AD22" s="2">
        <f t="shared" si="1"/>
        <v>2.0300000000000011</v>
      </c>
      <c r="AE22" s="148">
        <f t="shared" si="2"/>
        <v>7.4854097944685449E-3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42416</v>
      </c>
      <c r="X23" s="12">
        <v>78</v>
      </c>
      <c r="Y23" s="12">
        <v>80.27</v>
      </c>
      <c r="Z23" s="12">
        <v>76.900000000000006</v>
      </c>
      <c r="AA23" s="12">
        <v>79.37</v>
      </c>
      <c r="AB23" s="105">
        <v>6640000</v>
      </c>
      <c r="AC23" s="12">
        <v>78.819999999999993</v>
      </c>
      <c r="AD23" s="2">
        <f t="shared" si="1"/>
        <v>3.3699999999999903</v>
      </c>
      <c r="AE23" s="148">
        <f t="shared" si="2"/>
        <v>2.8042259032215799E-2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42412</v>
      </c>
      <c r="X24" s="12">
        <v>77.33</v>
      </c>
      <c r="Y24" s="12">
        <v>78.34</v>
      </c>
      <c r="Z24" s="12">
        <v>76.25</v>
      </c>
      <c r="AA24" s="12">
        <v>77.2</v>
      </c>
      <c r="AB24" s="105">
        <v>5716400</v>
      </c>
      <c r="AC24" s="12">
        <v>76.67</v>
      </c>
      <c r="AD24" s="2">
        <f t="shared" si="1"/>
        <v>2.0900000000000034</v>
      </c>
      <c r="AE24" s="148">
        <f t="shared" si="2"/>
        <v>2.1994134897360684E-2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42411</v>
      </c>
      <c r="X25" s="12">
        <v>75.73</v>
      </c>
      <c r="Y25" s="12">
        <v>76.31</v>
      </c>
      <c r="Z25" s="12">
        <v>73.59</v>
      </c>
      <c r="AA25" s="12">
        <v>75.540000000000006</v>
      </c>
      <c r="AB25" s="105">
        <v>6715200</v>
      </c>
      <c r="AC25" s="12">
        <v>75.02</v>
      </c>
      <c r="AD25" s="2">
        <f t="shared" si="1"/>
        <v>2.7199999999999989</v>
      </c>
      <c r="AE25" s="148">
        <f t="shared" si="2"/>
        <v>-1.8191336212537657E-2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42410</v>
      </c>
      <c r="X26" s="12">
        <v>78.02</v>
      </c>
      <c r="Y26" s="12">
        <v>78.62</v>
      </c>
      <c r="Z26" s="12">
        <v>76.34</v>
      </c>
      <c r="AA26" s="12">
        <v>76.94</v>
      </c>
      <c r="AB26" s="105">
        <v>6259900</v>
      </c>
      <c r="AC26" s="12">
        <v>76.41</v>
      </c>
      <c r="AD26" s="2">
        <f t="shared" si="1"/>
        <v>2.2800000000000011</v>
      </c>
      <c r="AE26" s="148">
        <f t="shared" si="2"/>
        <v>-2.3501762632198719E-3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42409</v>
      </c>
      <c r="X27" s="12">
        <v>75.099999999999994</v>
      </c>
      <c r="Y27" s="12">
        <v>77.849999999999994</v>
      </c>
      <c r="Z27" s="12">
        <v>75</v>
      </c>
      <c r="AA27" s="12">
        <v>77.12</v>
      </c>
      <c r="AB27" s="105">
        <v>7406300</v>
      </c>
      <c r="AC27" s="12">
        <v>76.59</v>
      </c>
      <c r="AD27" s="2">
        <f t="shared" si="1"/>
        <v>2.8499999999999943</v>
      </c>
      <c r="AE27" s="148">
        <f t="shared" si="2"/>
        <v>1.4302741358760418E-2</v>
      </c>
    </row>
    <row r="28" spans="2:31" x14ac:dyDescent="0.25">
      <c r="W28" s="143">
        <v>42408</v>
      </c>
      <c r="X28" s="12">
        <v>74.48</v>
      </c>
      <c r="Y28" s="12">
        <v>76.56</v>
      </c>
      <c r="Z28" s="12">
        <v>73.459999999999994</v>
      </c>
      <c r="AA28" s="12">
        <v>76.03</v>
      </c>
      <c r="AB28" s="105">
        <v>7602400</v>
      </c>
      <c r="AC28" s="12">
        <v>75.510000000000005</v>
      </c>
      <c r="AD28" s="2">
        <f t="shared" si="1"/>
        <v>3.1000000000000085</v>
      </c>
      <c r="AE28" s="148">
        <f t="shared" si="2"/>
        <v>1.3421017313112404E-2</v>
      </c>
    </row>
    <row r="29" spans="2:31" x14ac:dyDescent="0.25">
      <c r="W29" s="143">
        <v>42405</v>
      </c>
      <c r="X29" s="12">
        <v>75.209999999999994</v>
      </c>
      <c r="Y29" s="12">
        <v>76.010000000000005</v>
      </c>
      <c r="Z29" s="12">
        <v>74.2</v>
      </c>
      <c r="AA29" s="12">
        <v>75.03</v>
      </c>
      <c r="AB29" s="105">
        <v>5768200</v>
      </c>
      <c r="AC29" s="12">
        <v>74.510000000000005</v>
      </c>
      <c r="AD29" s="2">
        <f t="shared" si="1"/>
        <v>1.8100000000000023</v>
      </c>
      <c r="AE29" s="148">
        <f t="shared" si="2"/>
        <v>-6.5333333333332799E-3</v>
      </c>
    </row>
    <row r="30" spans="2:31" x14ac:dyDescent="0.25">
      <c r="W30" s="143">
        <v>42404</v>
      </c>
      <c r="X30" s="12">
        <v>72.02</v>
      </c>
      <c r="Y30" s="12">
        <v>76.42</v>
      </c>
      <c r="Z30" s="12">
        <v>72.02</v>
      </c>
      <c r="AA30" s="12">
        <v>75.52</v>
      </c>
      <c r="AB30" s="105">
        <v>7297000</v>
      </c>
      <c r="AC30" s="12">
        <v>75</v>
      </c>
      <c r="AD30" s="2">
        <f t="shared" si="1"/>
        <v>4.4000000000000057</v>
      </c>
      <c r="AE30" s="148">
        <f t="shared" si="2"/>
        <v>4.5150501672240662E-2</v>
      </c>
    </row>
    <row r="31" spans="2:31" x14ac:dyDescent="0.25">
      <c r="W31" s="143">
        <v>42403</v>
      </c>
      <c r="X31" s="12">
        <v>71.989999999999995</v>
      </c>
      <c r="Y31" s="12">
        <v>72.39</v>
      </c>
      <c r="Z31" s="12">
        <v>70.540000000000006</v>
      </c>
      <c r="AA31" s="12">
        <v>72.260000000000005</v>
      </c>
      <c r="AB31" s="105">
        <v>6501200</v>
      </c>
      <c r="AC31" s="12">
        <v>71.760000000000005</v>
      </c>
      <c r="AD31" s="2">
        <f t="shared" si="1"/>
        <v>1.8499999999999943</v>
      </c>
      <c r="AE31" s="148">
        <f t="shared" si="2"/>
        <v>7.5821398483573166E-3</v>
      </c>
    </row>
    <row r="32" spans="2:31" x14ac:dyDescent="0.25">
      <c r="W32" s="143">
        <v>42402</v>
      </c>
      <c r="X32" s="12">
        <v>73.260000000000005</v>
      </c>
      <c r="Y32" s="12">
        <v>73.36</v>
      </c>
      <c r="Z32" s="12">
        <v>71.17</v>
      </c>
      <c r="AA32" s="12">
        <v>71.709999999999994</v>
      </c>
      <c r="AB32" s="105">
        <v>8607400</v>
      </c>
      <c r="AC32" s="12">
        <v>71.22</v>
      </c>
      <c r="AD32" s="2">
        <f t="shared" si="1"/>
        <v>2.1899999999999977</v>
      </c>
      <c r="AE32" s="148">
        <f t="shared" si="2"/>
        <v>-1.8873123019699789E-2</v>
      </c>
    </row>
    <row r="33" spans="4:31" x14ac:dyDescent="0.25">
      <c r="W33" s="143">
        <v>42401</v>
      </c>
      <c r="X33" s="12">
        <v>70.900000000000006</v>
      </c>
      <c r="Y33" s="12">
        <v>73.56</v>
      </c>
      <c r="Z33" s="12">
        <v>70.349999999999994</v>
      </c>
      <c r="AA33" s="12">
        <v>73.09</v>
      </c>
      <c r="AB33" s="105">
        <v>8402900</v>
      </c>
      <c r="AC33" s="12">
        <v>72.59</v>
      </c>
      <c r="AD33" s="2">
        <f t="shared" si="1"/>
        <v>3.210000000000008</v>
      </c>
      <c r="AE33" s="148">
        <f t="shared" si="2"/>
        <v>1.5102782827576489E-2</v>
      </c>
    </row>
    <row r="34" spans="4:31" x14ac:dyDescent="0.25">
      <c r="W34" s="143">
        <v>42398</v>
      </c>
      <c r="X34" s="12">
        <v>70.5</v>
      </c>
      <c r="Y34" s="12">
        <v>72.03</v>
      </c>
      <c r="Z34" s="12">
        <v>70.17</v>
      </c>
      <c r="AA34" s="12">
        <v>72</v>
      </c>
      <c r="AB34" s="105">
        <v>6920500</v>
      </c>
      <c r="AC34" s="12">
        <v>71.510000000000005</v>
      </c>
      <c r="AD34" s="2">
        <f t="shared" si="1"/>
        <v>1.8599999999999994</v>
      </c>
      <c r="AE34" s="148">
        <f t="shared" si="2"/>
        <v>2.6262916188289243E-2</v>
      </c>
    </row>
    <row r="35" spans="4:31" x14ac:dyDescent="0.25">
      <c r="W35" s="143">
        <v>42397</v>
      </c>
      <c r="X35" s="12">
        <v>69.849999999999994</v>
      </c>
      <c r="Y35" s="12">
        <v>70.31</v>
      </c>
      <c r="Z35" s="12">
        <v>68.72</v>
      </c>
      <c r="AA35" s="12">
        <v>70.16</v>
      </c>
      <c r="AB35" s="105">
        <v>6741300</v>
      </c>
      <c r="AC35" s="12">
        <v>69.680000000000007</v>
      </c>
      <c r="AD35" s="2">
        <f t="shared" si="1"/>
        <v>1.5900000000000034</v>
      </c>
      <c r="AE35" s="148">
        <f t="shared" si="2"/>
        <v>1.5891529377460412E-2</v>
      </c>
    </row>
    <row r="36" spans="4:31" x14ac:dyDescent="0.25">
      <c r="W36" s="143">
        <v>42396</v>
      </c>
      <c r="X36" s="12">
        <v>70</v>
      </c>
      <c r="Y36" s="12">
        <v>70.97</v>
      </c>
      <c r="Z36" s="12">
        <v>68.72</v>
      </c>
      <c r="AA36" s="12">
        <v>69.06</v>
      </c>
      <c r="AB36" s="105">
        <v>6202400</v>
      </c>
      <c r="AC36" s="12">
        <v>68.59</v>
      </c>
      <c r="AD36" s="2">
        <f t="shared" si="1"/>
        <v>2.25</v>
      </c>
      <c r="AE36" s="148">
        <f t="shared" si="2"/>
        <v>-1.3944795859689441E-2</v>
      </c>
    </row>
    <row r="37" spans="4:31" x14ac:dyDescent="0.25">
      <c r="W37" s="143">
        <v>42395</v>
      </c>
      <c r="X37" s="12">
        <v>69.34</v>
      </c>
      <c r="Y37" s="12">
        <v>70.47</v>
      </c>
      <c r="Z37" s="12">
        <v>69.11</v>
      </c>
      <c r="AA37" s="12">
        <v>70.040000000000006</v>
      </c>
      <c r="AB37" s="105">
        <v>6741200</v>
      </c>
      <c r="AC37" s="12">
        <v>69.56</v>
      </c>
      <c r="AD37" s="2">
        <f t="shared" si="1"/>
        <v>1.3599999999999994</v>
      </c>
      <c r="AE37" s="148">
        <f t="shared" si="2"/>
        <v>1.8149882903981451E-2</v>
      </c>
    </row>
    <row r="38" spans="4:31" x14ac:dyDescent="0.25">
      <c r="D38" s="76"/>
      <c r="W38" s="143">
        <v>42394</v>
      </c>
      <c r="X38" s="12">
        <v>69.66</v>
      </c>
      <c r="Y38" s="12">
        <v>69.77</v>
      </c>
      <c r="Z38" s="12">
        <v>68.66</v>
      </c>
      <c r="AA38" s="12">
        <v>68.790000000000006</v>
      </c>
      <c r="AB38" s="105">
        <v>7171400</v>
      </c>
      <c r="AC38" s="12">
        <v>68.319999999999993</v>
      </c>
      <c r="AD38" s="2">
        <f t="shared" si="1"/>
        <v>1.1099999999999994</v>
      </c>
      <c r="AE38" s="148">
        <f t="shared" si="2"/>
        <v>-1.7119838872104887E-2</v>
      </c>
    </row>
    <row r="39" spans="4:31" x14ac:dyDescent="0.25">
      <c r="W39" s="143">
        <v>42391</v>
      </c>
      <c r="X39" s="12">
        <v>71.34</v>
      </c>
      <c r="Y39" s="12">
        <v>72.349999999999994</v>
      </c>
      <c r="Z39" s="12">
        <v>68.430000000000007</v>
      </c>
      <c r="AA39" s="12">
        <v>69.989999999999995</v>
      </c>
      <c r="AB39" s="105">
        <v>15358600</v>
      </c>
      <c r="AC39" s="12">
        <v>69.510000000000005</v>
      </c>
      <c r="AD39" s="2">
        <f t="shared" si="1"/>
        <v>3.9199999999999875</v>
      </c>
      <c r="AE39" s="148">
        <f t="shared" si="2"/>
        <v>-1.4182385477237269E-2</v>
      </c>
    </row>
    <row r="40" spans="4:31" x14ac:dyDescent="0.25">
      <c r="W40" s="143">
        <v>42390</v>
      </c>
      <c r="X40" s="12">
        <v>69.5</v>
      </c>
      <c r="Y40" s="12">
        <v>71.73</v>
      </c>
      <c r="Z40" s="12">
        <v>67.06</v>
      </c>
      <c r="AA40" s="12">
        <v>71</v>
      </c>
      <c r="AB40" s="105">
        <v>19539900</v>
      </c>
      <c r="AC40" s="12">
        <v>70.510000000000005</v>
      </c>
      <c r="AD40" s="2">
        <f t="shared" si="1"/>
        <v>4.6700000000000017</v>
      </c>
      <c r="AE40" s="148">
        <f t="shared" si="2"/>
        <v>-3.5430916552667391E-2</v>
      </c>
    </row>
    <row r="41" spans="4:31" x14ac:dyDescent="0.25">
      <c r="W41" s="143">
        <v>42389</v>
      </c>
      <c r="X41" s="12">
        <v>72.680000000000007</v>
      </c>
      <c r="Y41" s="12">
        <v>74.150000000000006</v>
      </c>
      <c r="Z41" s="12">
        <v>71.569999999999993</v>
      </c>
      <c r="AA41" s="12">
        <v>73.61</v>
      </c>
      <c r="AB41" s="105">
        <v>10549900</v>
      </c>
      <c r="AC41" s="12">
        <v>73.099999999999994</v>
      </c>
      <c r="AD41" s="2">
        <f t="shared" si="1"/>
        <v>2.5800000000000125</v>
      </c>
      <c r="AE41" s="148">
        <f t="shared" si="2"/>
        <v>-6.658513384970921E-3</v>
      </c>
    </row>
    <row r="42" spans="4:31" x14ac:dyDescent="0.25">
      <c r="W42" s="143">
        <v>42388</v>
      </c>
      <c r="X42" s="12">
        <v>74.989999999999995</v>
      </c>
      <c r="Y42" s="12">
        <v>75.16</v>
      </c>
      <c r="Z42" s="12">
        <v>73.27</v>
      </c>
      <c r="AA42" s="12">
        <v>74.099999999999994</v>
      </c>
      <c r="AB42" s="105">
        <v>7470100</v>
      </c>
      <c r="AC42" s="12">
        <v>73.59</v>
      </c>
      <c r="AD42" s="2">
        <f t="shared" si="1"/>
        <v>1.8900000000000006</v>
      </c>
      <c r="AE42" s="148">
        <f t="shared" si="2"/>
        <v>-1.3586956521727256E-4</v>
      </c>
    </row>
    <row r="43" spans="4:31" x14ac:dyDescent="0.25">
      <c r="W43" s="143">
        <v>42384</v>
      </c>
      <c r="X43" s="12">
        <v>72.84</v>
      </c>
      <c r="Y43" s="12">
        <v>74.27</v>
      </c>
      <c r="Z43" s="12">
        <v>72.63</v>
      </c>
      <c r="AA43" s="12">
        <v>74.11</v>
      </c>
      <c r="AB43" s="105">
        <v>7460000</v>
      </c>
      <c r="AC43" s="12">
        <v>73.599999999999994</v>
      </c>
      <c r="AD43" s="2">
        <f t="shared" si="1"/>
        <v>1.6400000000000006</v>
      </c>
      <c r="AE43" s="148">
        <f t="shared" si="2"/>
        <v>-1.7356475300400631E-2</v>
      </c>
    </row>
    <row r="44" spans="4:31" x14ac:dyDescent="0.25">
      <c r="W44" s="143">
        <v>42383</v>
      </c>
      <c r="X44" s="12">
        <v>73.86</v>
      </c>
      <c r="Y44" s="12">
        <v>76.599999999999994</v>
      </c>
      <c r="Z44" s="12">
        <v>73.7</v>
      </c>
      <c r="AA44" s="12">
        <v>75.42</v>
      </c>
      <c r="AB44" s="105">
        <v>7457600</v>
      </c>
      <c r="AC44" s="12">
        <v>74.900000000000006</v>
      </c>
      <c r="AD44" s="2">
        <f t="shared" si="1"/>
        <v>2.8999999999999915</v>
      </c>
      <c r="AE44" s="148">
        <f t="shared" si="2"/>
        <v>2.1270793564221568E-2</v>
      </c>
    </row>
    <row r="45" spans="4:31" x14ac:dyDescent="0.25">
      <c r="W45" s="143">
        <v>42382</v>
      </c>
      <c r="X45" s="12">
        <v>76.2</v>
      </c>
      <c r="Y45" s="12">
        <v>76.84</v>
      </c>
      <c r="Z45" s="12">
        <v>73.209999999999994</v>
      </c>
      <c r="AA45" s="12">
        <v>73.849999999999994</v>
      </c>
      <c r="AB45" s="105">
        <v>8618400</v>
      </c>
      <c r="AC45" s="12">
        <v>73.34</v>
      </c>
      <c r="AD45" s="2">
        <f t="shared" si="1"/>
        <v>3.6300000000000097</v>
      </c>
      <c r="AE45" s="148">
        <f t="shared" si="2"/>
        <v>-3.1815181518151769E-2</v>
      </c>
    </row>
    <row r="46" spans="4:31" ht="20.25" thickBot="1" x14ac:dyDescent="0.35">
      <c r="O46" s="408" t="s">
        <v>78</v>
      </c>
      <c r="P46" s="408"/>
      <c r="Q46" s="37"/>
      <c r="R46"/>
      <c r="T46" s="101" t="s">
        <v>116</v>
      </c>
      <c r="W46" s="143">
        <v>42381</v>
      </c>
      <c r="X46" s="12">
        <v>75.510000000000005</v>
      </c>
      <c r="Y46" s="12">
        <v>76.459999999999994</v>
      </c>
      <c r="Z46" s="12">
        <v>74.38</v>
      </c>
      <c r="AA46" s="12">
        <v>76.27</v>
      </c>
      <c r="AB46" s="105">
        <v>6985600</v>
      </c>
      <c r="AC46" s="12">
        <v>75.75</v>
      </c>
      <c r="AD46" s="2">
        <f t="shared" si="1"/>
        <v>2.0799999999999983</v>
      </c>
      <c r="AE46" s="148">
        <f t="shared" si="2"/>
        <v>1.9515477792732216E-2</v>
      </c>
    </row>
    <row r="47" spans="4:31" ht="15.75" thickTop="1" x14ac:dyDescent="0.25">
      <c r="O47" s="93">
        <v>1.1000000000000001</v>
      </c>
      <c r="P47" s="93">
        <f>O47*$Q$4</f>
        <v>88.341000000000008</v>
      </c>
      <c r="Q47" s="37"/>
      <c r="R47"/>
      <c r="T47" s="107" t="s">
        <v>101</v>
      </c>
      <c r="U47" s="139">
        <v>78.97</v>
      </c>
      <c r="W47" s="143">
        <v>42380</v>
      </c>
      <c r="X47" s="12">
        <v>74.36</v>
      </c>
      <c r="Y47" s="12">
        <v>75.05</v>
      </c>
      <c r="Z47" s="12">
        <v>73.63</v>
      </c>
      <c r="AA47" s="12">
        <v>74.81</v>
      </c>
      <c r="AB47" s="105">
        <v>7763500</v>
      </c>
      <c r="AC47" s="12">
        <v>74.3</v>
      </c>
      <c r="AD47" s="2">
        <f t="shared" si="1"/>
        <v>1.4200000000000017</v>
      </c>
      <c r="AE47" s="148">
        <f t="shared" si="2"/>
        <v>1.2951601908657073E-2</v>
      </c>
    </row>
    <row r="48" spans="4:31" x14ac:dyDescent="0.25">
      <c r="O48" s="93">
        <v>1.0900000000000001</v>
      </c>
      <c r="P48" s="93">
        <f t="shared" ref="P48:P67" si="8">O48*$Q$4</f>
        <v>87.537900000000008</v>
      </c>
      <c r="Q48" s="37"/>
      <c r="R48"/>
      <c r="T48" s="97" t="s">
        <v>102</v>
      </c>
      <c r="U48" s="140">
        <v>78.27</v>
      </c>
      <c r="W48" s="143">
        <v>42377</v>
      </c>
      <c r="X48" s="12">
        <v>73.56</v>
      </c>
      <c r="Y48" s="12">
        <v>74.38</v>
      </c>
      <c r="Z48" s="12">
        <v>73.2</v>
      </c>
      <c r="AA48" s="12">
        <v>73.86</v>
      </c>
      <c r="AB48" s="105">
        <v>7567700</v>
      </c>
      <c r="AC48" s="12">
        <v>73.349999999999994</v>
      </c>
      <c r="AD48" s="2">
        <f t="shared" si="1"/>
        <v>1.1799999999999926</v>
      </c>
      <c r="AE48" s="148">
        <f t="shared" si="2"/>
        <v>1.0608983190961707E-2</v>
      </c>
    </row>
    <row r="49" spans="15:31" x14ac:dyDescent="0.25">
      <c r="O49" s="93">
        <v>1.08</v>
      </c>
      <c r="P49" s="93">
        <f t="shared" si="8"/>
        <v>86.734800000000007</v>
      </c>
      <c r="Q49" s="37"/>
      <c r="R49"/>
      <c r="T49" s="97" t="s">
        <v>103</v>
      </c>
      <c r="U49" s="140" t="s">
        <v>308</v>
      </c>
      <c r="W49" s="143">
        <v>42376</v>
      </c>
      <c r="X49" s="12">
        <v>73.39</v>
      </c>
      <c r="Y49" s="12">
        <v>74.19</v>
      </c>
      <c r="Z49" s="12">
        <v>72.42</v>
      </c>
      <c r="AA49" s="12">
        <v>73.08</v>
      </c>
      <c r="AB49" s="105">
        <v>9077600</v>
      </c>
      <c r="AC49" s="12">
        <v>72.58</v>
      </c>
      <c r="AD49" s="2">
        <f t="shared" si="1"/>
        <v>1.769999999999996</v>
      </c>
      <c r="AE49" s="148">
        <f t="shared" si="2"/>
        <v>-2.3412271259418693E-2</v>
      </c>
    </row>
    <row r="50" spans="15:31" x14ac:dyDescent="0.25">
      <c r="O50" s="93">
        <v>1.07</v>
      </c>
      <c r="P50" s="93">
        <f t="shared" si="8"/>
        <v>85.931700000000006</v>
      </c>
      <c r="Q50" s="93"/>
      <c r="R50"/>
      <c r="T50" s="97" t="s">
        <v>104</v>
      </c>
      <c r="U50" s="140" t="s">
        <v>309</v>
      </c>
      <c r="W50" s="143">
        <v>42375</v>
      </c>
      <c r="X50" s="12">
        <v>76.75</v>
      </c>
      <c r="Y50" s="12">
        <v>77.19</v>
      </c>
      <c r="Z50" s="12">
        <v>74.239999999999995</v>
      </c>
      <c r="AA50" s="12">
        <v>74.83</v>
      </c>
      <c r="AB50" s="105">
        <v>8125200</v>
      </c>
      <c r="AC50" s="12">
        <v>74.319999999999993</v>
      </c>
      <c r="AD50" s="2">
        <f t="shared" si="1"/>
        <v>2.9500000000000028</v>
      </c>
      <c r="AE50" s="148">
        <f t="shared" si="2"/>
        <v>-4.3131196086005019E-2</v>
      </c>
    </row>
    <row r="51" spans="15:31" x14ac:dyDescent="0.25">
      <c r="O51" s="93">
        <v>1.06</v>
      </c>
      <c r="P51" s="93">
        <f t="shared" si="8"/>
        <v>85.128600000000006</v>
      </c>
      <c r="Q51" s="93"/>
      <c r="R51"/>
      <c r="T51" s="97" t="s">
        <v>105</v>
      </c>
      <c r="U51" s="140">
        <v>82.95</v>
      </c>
      <c r="W51" s="143">
        <v>42374</v>
      </c>
      <c r="X51" s="12">
        <v>79.010000000000005</v>
      </c>
      <c r="Y51" s="12">
        <v>79.34</v>
      </c>
      <c r="Z51" s="12">
        <v>77.3</v>
      </c>
      <c r="AA51" s="12">
        <v>78.209999999999994</v>
      </c>
      <c r="AB51" s="105">
        <v>6117300</v>
      </c>
      <c r="AC51" s="12">
        <v>77.67</v>
      </c>
      <c r="AD51" s="2">
        <f t="shared" si="1"/>
        <v>2.0400000000000063</v>
      </c>
      <c r="AE51" s="148">
        <f t="shared" si="2"/>
        <v>-9.6901695779676444E-3</v>
      </c>
    </row>
    <row r="52" spans="15:31" x14ac:dyDescent="0.25">
      <c r="O52" s="93">
        <v>1.05</v>
      </c>
      <c r="P52" s="93">
        <f t="shared" si="8"/>
        <v>84.325500000000005</v>
      </c>
      <c r="Q52" s="93"/>
      <c r="R52"/>
      <c r="T52" s="97" t="s">
        <v>106</v>
      </c>
      <c r="U52" s="140">
        <v>1.1974100000000001</v>
      </c>
      <c r="W52" s="143">
        <v>42373</v>
      </c>
      <c r="X52" s="12">
        <v>76.87</v>
      </c>
      <c r="Y52" s="12">
        <v>79.040000000000006</v>
      </c>
      <c r="Z52" s="12">
        <v>76.13</v>
      </c>
      <c r="AA52" s="12">
        <v>78.97</v>
      </c>
      <c r="AB52" s="105">
        <v>6902600</v>
      </c>
      <c r="AC52" s="12">
        <v>78.430000000000007</v>
      </c>
      <c r="AD52" s="2">
        <f t="shared" si="1"/>
        <v>2.9100000000000108</v>
      </c>
      <c r="AE52" s="148">
        <f t="shared" si="2"/>
        <v>9.9150141643060685E-3</v>
      </c>
    </row>
    <row r="53" spans="15:31" x14ac:dyDescent="0.25">
      <c r="O53" s="93">
        <v>1.04</v>
      </c>
      <c r="P53" s="93">
        <f t="shared" si="8"/>
        <v>83.522400000000005</v>
      </c>
      <c r="Q53" s="93"/>
      <c r="R53"/>
      <c r="T53" s="97" t="s">
        <v>126</v>
      </c>
      <c r="U53" s="104" t="s">
        <v>224</v>
      </c>
      <c r="W53" s="143">
        <v>42369</v>
      </c>
      <c r="X53" s="12">
        <v>77.73</v>
      </c>
      <c r="Y53" s="12">
        <v>79.150000000000006</v>
      </c>
      <c r="Z53" s="12">
        <v>77.569999999999993</v>
      </c>
      <c r="AA53" s="12">
        <v>78.2</v>
      </c>
      <c r="AB53" s="105">
        <v>3754600</v>
      </c>
      <c r="AC53" s="12">
        <v>77.66</v>
      </c>
      <c r="AD53" s="2">
        <f t="shared" si="1"/>
        <v>1.5800000000000125</v>
      </c>
      <c r="AE53" s="148">
        <f t="shared" si="2"/>
        <v>-3.9758881621136943E-3</v>
      </c>
    </row>
    <row r="54" spans="15:31" x14ac:dyDescent="0.25">
      <c r="O54" s="93">
        <v>1.03</v>
      </c>
      <c r="P54" s="93">
        <f t="shared" si="8"/>
        <v>82.719300000000004</v>
      </c>
      <c r="Q54" s="93"/>
      <c r="R54"/>
      <c r="T54" s="97"/>
      <c r="U54" s="140"/>
      <c r="W54" s="143">
        <v>42368</v>
      </c>
      <c r="X54" s="12">
        <v>78.66</v>
      </c>
      <c r="Y54" s="12">
        <v>78.78</v>
      </c>
      <c r="Z54" s="12">
        <v>78.16</v>
      </c>
      <c r="AA54" s="12">
        <v>78.510000000000005</v>
      </c>
      <c r="AB54" s="105">
        <v>3685500</v>
      </c>
      <c r="AC54" s="12">
        <v>77.97</v>
      </c>
      <c r="AD54" s="2">
        <f t="shared" si="1"/>
        <v>0.62000000000000455</v>
      </c>
      <c r="AE54" s="148">
        <f t="shared" si="2"/>
        <v>-5.8651026392962935E-3</v>
      </c>
    </row>
    <row r="55" spans="15:31" x14ac:dyDescent="0.25">
      <c r="O55" s="93">
        <v>1.02</v>
      </c>
      <c r="P55" s="93">
        <f t="shared" si="8"/>
        <v>81.916200000000003</v>
      </c>
      <c r="Q55" s="93"/>
      <c r="R55"/>
      <c r="T55" s="97" t="s">
        <v>108</v>
      </c>
      <c r="U55" s="140" t="s">
        <v>310</v>
      </c>
      <c r="W55" s="143">
        <v>42367</v>
      </c>
      <c r="X55" s="12">
        <v>78.599999999999994</v>
      </c>
      <c r="Y55" s="12">
        <v>79.05</v>
      </c>
      <c r="Z55" s="12">
        <v>78.11</v>
      </c>
      <c r="AA55" s="12">
        <v>78.97</v>
      </c>
      <c r="AB55" s="105">
        <v>3505600</v>
      </c>
      <c r="AC55" s="12">
        <v>78.430000000000007</v>
      </c>
      <c r="AD55" s="2">
        <f t="shared" si="1"/>
        <v>0.93999999999999773</v>
      </c>
      <c r="AE55" s="148">
        <f t="shared" si="2"/>
        <v>8.0976863753214889E-3</v>
      </c>
    </row>
    <row r="56" spans="15:31" x14ac:dyDescent="0.25">
      <c r="O56" s="93">
        <v>1.01</v>
      </c>
      <c r="P56" s="93">
        <f t="shared" si="8"/>
        <v>81.113100000000003</v>
      </c>
      <c r="Q56" s="93"/>
      <c r="R56"/>
      <c r="T56" s="97" t="s">
        <v>109</v>
      </c>
      <c r="U56" s="140" t="s">
        <v>255</v>
      </c>
      <c r="W56" s="143">
        <v>42366</v>
      </c>
      <c r="X56" s="12">
        <v>78.489999999999995</v>
      </c>
      <c r="Y56" s="12">
        <v>78.73</v>
      </c>
      <c r="Z56" s="12">
        <v>77.94</v>
      </c>
      <c r="AA56" s="12">
        <v>78.34</v>
      </c>
      <c r="AB56" s="105">
        <v>3958400</v>
      </c>
      <c r="AC56" s="12">
        <v>77.8</v>
      </c>
      <c r="AD56" s="2">
        <f t="shared" si="1"/>
        <v>0.79000000000000625</v>
      </c>
      <c r="AE56" s="148">
        <f t="shared" si="2"/>
        <v>-5.8778430871455623E-3</v>
      </c>
    </row>
    <row r="57" spans="15:31" x14ac:dyDescent="0.25">
      <c r="O57" s="93">
        <v>1</v>
      </c>
      <c r="P57" s="93">
        <f t="shared" si="8"/>
        <v>80.31</v>
      </c>
      <c r="Q57" s="93"/>
      <c r="R57"/>
      <c r="T57" s="97" t="s">
        <v>110</v>
      </c>
      <c r="U57" s="141">
        <v>987391</v>
      </c>
      <c r="W57" s="143">
        <v>42362</v>
      </c>
      <c r="X57" s="12">
        <v>78.790000000000006</v>
      </c>
      <c r="Y57" s="12">
        <v>79.099999999999994</v>
      </c>
      <c r="Z57" s="12">
        <v>78.5</v>
      </c>
      <c r="AA57" s="12">
        <v>78.8</v>
      </c>
      <c r="AB57" s="105">
        <v>2327500</v>
      </c>
      <c r="AC57" s="12">
        <v>78.260000000000005</v>
      </c>
      <c r="AD57" s="2">
        <f t="shared" si="1"/>
        <v>0.59999999999999432</v>
      </c>
      <c r="AE57" s="148">
        <f t="shared" si="2"/>
        <v>3.8348459670212165E-4</v>
      </c>
    </row>
    <row r="58" spans="15:31" x14ac:dyDescent="0.25">
      <c r="O58" s="93">
        <v>0.99</v>
      </c>
      <c r="P58" s="93">
        <f t="shared" si="8"/>
        <v>79.506900000000002</v>
      </c>
      <c r="Q58" s="93"/>
      <c r="R58"/>
      <c r="T58" s="97" t="s">
        <v>113</v>
      </c>
      <c r="U58" s="141">
        <v>1790500</v>
      </c>
      <c r="W58" s="143">
        <v>42361</v>
      </c>
      <c r="X58" s="12">
        <v>77.84</v>
      </c>
      <c r="Y58" s="12">
        <v>79.13</v>
      </c>
      <c r="Z58" s="12">
        <v>77.569999999999993</v>
      </c>
      <c r="AA58" s="12">
        <v>78.77</v>
      </c>
      <c r="AB58" s="105">
        <v>6148700</v>
      </c>
      <c r="AC58" s="12">
        <v>78.23</v>
      </c>
      <c r="AD58" s="2">
        <f t="shared" si="1"/>
        <v>1.5600000000000023</v>
      </c>
      <c r="AE58" s="148">
        <f t="shared" si="2"/>
        <v>2.2213511041421663E-2</v>
      </c>
    </row>
    <row r="59" spans="15:31" x14ac:dyDescent="0.25">
      <c r="O59" s="93">
        <v>0.98</v>
      </c>
      <c r="P59" s="93">
        <f t="shared" si="8"/>
        <v>78.703800000000001</v>
      </c>
      <c r="Q59" s="93"/>
      <c r="R59"/>
      <c r="T59" s="97" t="s">
        <v>111</v>
      </c>
      <c r="U59" s="140" t="s">
        <v>281</v>
      </c>
      <c r="W59" s="143">
        <v>42360</v>
      </c>
      <c r="X59" s="12">
        <v>76.06</v>
      </c>
      <c r="Y59" s="12">
        <v>77.59</v>
      </c>
      <c r="Z59" s="12">
        <v>75.87</v>
      </c>
      <c r="AA59" s="12">
        <v>77.06</v>
      </c>
      <c r="AB59" s="105">
        <v>5706500</v>
      </c>
      <c r="AC59" s="12">
        <v>76.53</v>
      </c>
      <c r="AD59" s="2">
        <f t="shared" si="1"/>
        <v>1.7199999999999989</v>
      </c>
      <c r="AE59" s="148">
        <f t="shared" si="2"/>
        <v>2.080832332933169E-2</v>
      </c>
    </row>
    <row r="60" spans="15:31" x14ac:dyDescent="0.25">
      <c r="O60" s="93">
        <v>0.97</v>
      </c>
      <c r="P60" s="93">
        <f t="shared" si="8"/>
        <v>77.900700000000001</v>
      </c>
      <c r="Q60" s="93"/>
      <c r="R60"/>
      <c r="T60" s="97" t="s">
        <v>114</v>
      </c>
      <c r="U60" s="140">
        <v>15.51</v>
      </c>
      <c r="W60" s="143">
        <v>42359</v>
      </c>
      <c r="X60" s="12">
        <v>75.989999999999995</v>
      </c>
      <c r="Y60" s="12">
        <v>76.430000000000007</v>
      </c>
      <c r="Z60" s="12">
        <v>75.02</v>
      </c>
      <c r="AA60" s="12">
        <v>75.489999999999995</v>
      </c>
      <c r="AB60" s="105">
        <v>5247900</v>
      </c>
      <c r="AC60" s="12">
        <v>74.97</v>
      </c>
      <c r="AD60" s="2">
        <f t="shared" si="1"/>
        <v>1.4100000000000108</v>
      </c>
      <c r="AE60" s="148">
        <f t="shared" si="2"/>
        <v>8.0096115338412766E-4</v>
      </c>
    </row>
    <row r="61" spans="15:31" x14ac:dyDescent="0.25">
      <c r="O61" s="93">
        <v>0.96</v>
      </c>
      <c r="P61" s="93">
        <f t="shared" si="8"/>
        <v>77.0976</v>
      </c>
      <c r="Q61" s="93"/>
      <c r="R61"/>
      <c r="T61" s="97" t="s">
        <v>115</v>
      </c>
      <c r="U61" s="140">
        <v>5.0999999999999996</v>
      </c>
      <c r="W61" s="143">
        <v>42356</v>
      </c>
      <c r="X61" s="12">
        <v>76.819999999999993</v>
      </c>
      <c r="Y61" s="12">
        <v>76.83</v>
      </c>
      <c r="Z61" s="12">
        <v>75.28</v>
      </c>
      <c r="AA61" s="12">
        <v>75.430000000000007</v>
      </c>
      <c r="AB61" s="105">
        <v>10160000</v>
      </c>
      <c r="AC61" s="12">
        <v>74.91</v>
      </c>
      <c r="AD61" s="2">
        <f t="shared" si="1"/>
        <v>1.5499999999999972</v>
      </c>
      <c r="AE61" s="148">
        <f t="shared" si="2"/>
        <v>-2.4609375000000044E-2</v>
      </c>
    </row>
    <row r="62" spans="15:31" x14ac:dyDescent="0.25">
      <c r="O62" s="93">
        <v>0.95</v>
      </c>
      <c r="P62" s="93">
        <f t="shared" si="8"/>
        <v>76.294499999999999</v>
      </c>
      <c r="Q62" s="93"/>
      <c r="R62"/>
      <c r="T62" s="97" t="s">
        <v>112</v>
      </c>
      <c r="U62" s="140" t="s">
        <v>311</v>
      </c>
      <c r="W62" s="143">
        <v>42355</v>
      </c>
      <c r="X62" s="12">
        <v>78.72</v>
      </c>
      <c r="Y62" s="12">
        <v>79.489999999999995</v>
      </c>
      <c r="Z62" s="12">
        <v>77.3</v>
      </c>
      <c r="AA62" s="12">
        <v>77.33</v>
      </c>
      <c r="AB62" s="105">
        <v>5890900</v>
      </c>
      <c r="AC62" s="12">
        <v>76.8</v>
      </c>
      <c r="AD62" s="2">
        <f t="shared" si="1"/>
        <v>2.1899999999999977</v>
      </c>
      <c r="AE62" s="148">
        <f t="shared" si="2"/>
        <v>-2.0033175960188943E-2</v>
      </c>
    </row>
    <row r="63" spans="15:31" x14ac:dyDescent="0.25">
      <c r="O63" s="93">
        <v>0.94</v>
      </c>
      <c r="P63" s="93">
        <f t="shared" si="8"/>
        <v>75.491399999999999</v>
      </c>
      <c r="Q63" s="93"/>
      <c r="R63"/>
      <c r="T63" s="96"/>
      <c r="W63" s="143">
        <v>42354</v>
      </c>
      <c r="X63" s="12">
        <v>77.099999999999994</v>
      </c>
      <c r="Y63" s="12">
        <v>79.02</v>
      </c>
      <c r="Z63" s="12">
        <v>76.84</v>
      </c>
      <c r="AA63" s="12">
        <v>78.91</v>
      </c>
      <c r="AB63" s="105">
        <v>5763800</v>
      </c>
      <c r="AC63" s="12">
        <v>78.37</v>
      </c>
      <c r="AD63" s="2">
        <f t="shared" si="1"/>
        <v>2.1799999999999926</v>
      </c>
      <c r="AE63" s="148">
        <f t="shared" si="2"/>
        <v>3.2678877322440458E-2</v>
      </c>
    </row>
    <row r="64" spans="15:31" x14ac:dyDescent="0.25">
      <c r="O64" s="93">
        <v>0.93</v>
      </c>
      <c r="P64" s="93">
        <f t="shared" si="8"/>
        <v>74.688300000000012</v>
      </c>
      <c r="Q64" s="93"/>
      <c r="R64"/>
      <c r="S64" s="96"/>
      <c r="T64"/>
      <c r="W64" s="143">
        <v>42353</v>
      </c>
      <c r="X64" s="12">
        <v>77.569999999999993</v>
      </c>
      <c r="Y64" s="12">
        <v>77.739999999999995</v>
      </c>
      <c r="Z64" s="12">
        <v>76.12</v>
      </c>
      <c r="AA64" s="12">
        <v>76.41</v>
      </c>
      <c r="AB64" s="105">
        <v>7786800</v>
      </c>
      <c r="AC64" s="12">
        <v>75.89</v>
      </c>
      <c r="AD64" s="2">
        <f t="shared" si="1"/>
        <v>1.6199999999999903</v>
      </c>
      <c r="AE64" s="148">
        <f t="shared" si="2"/>
        <v>-6.0248853962016069E-3</v>
      </c>
    </row>
    <row r="65" spans="15:31" x14ac:dyDescent="0.25">
      <c r="O65" s="93">
        <v>0.92</v>
      </c>
      <c r="P65" s="93">
        <f t="shared" si="8"/>
        <v>73.885200000000012</v>
      </c>
      <c r="Q65" s="93"/>
      <c r="R65"/>
      <c r="S65" s="96"/>
      <c r="T65"/>
      <c r="W65" s="143">
        <v>42352</v>
      </c>
      <c r="X65" s="12">
        <v>77.5</v>
      </c>
      <c r="Y65" s="12">
        <v>77.97</v>
      </c>
      <c r="Z65" s="12">
        <v>76.42</v>
      </c>
      <c r="AA65" s="12">
        <v>76.88</v>
      </c>
      <c r="AB65" s="105">
        <v>7517400</v>
      </c>
      <c r="AC65" s="12">
        <v>76.349999999999994</v>
      </c>
      <c r="AD65" s="2">
        <f t="shared" si="1"/>
        <v>1.5499999999999972</v>
      </c>
      <c r="AE65" s="148">
        <f t="shared" si="2"/>
        <v>-5.2117263843648454E-3</v>
      </c>
    </row>
    <row r="66" spans="15:31" x14ac:dyDescent="0.25">
      <c r="O66" s="93">
        <v>0.91</v>
      </c>
      <c r="P66" s="93">
        <f t="shared" si="8"/>
        <v>73.082100000000011</v>
      </c>
      <c r="Q66" s="93"/>
      <c r="R66"/>
      <c r="S66" s="96"/>
      <c r="T66"/>
      <c r="W66" s="143">
        <v>42349</v>
      </c>
      <c r="X66" s="12">
        <v>77.45</v>
      </c>
      <c r="Y66" s="12">
        <v>77.95</v>
      </c>
      <c r="Z66" s="12">
        <v>76.38</v>
      </c>
      <c r="AA66" s="12">
        <v>77.28</v>
      </c>
      <c r="AB66" s="105">
        <v>6100400</v>
      </c>
      <c r="AC66" s="12">
        <v>76.75</v>
      </c>
      <c r="AD66" s="2">
        <f t="shared" si="1"/>
        <v>1.5700000000000074</v>
      </c>
      <c r="AE66" s="148">
        <f t="shared" si="2"/>
        <v>-2.2100884035362034E-3</v>
      </c>
    </row>
    <row r="67" spans="15:31" x14ac:dyDescent="0.25">
      <c r="O67" s="93">
        <v>0.9</v>
      </c>
      <c r="P67" s="93">
        <f t="shared" si="8"/>
        <v>72.279000000000011</v>
      </c>
      <c r="Q67" s="93"/>
      <c r="R67"/>
      <c r="S67" s="96"/>
      <c r="T67"/>
      <c r="W67" s="143">
        <v>42348</v>
      </c>
      <c r="X67" s="12">
        <v>77.540000000000006</v>
      </c>
      <c r="Y67" s="12">
        <v>78.62</v>
      </c>
      <c r="Z67" s="12">
        <v>77.31</v>
      </c>
      <c r="AA67" s="12">
        <v>77.45</v>
      </c>
      <c r="AB67" s="105">
        <v>6341000</v>
      </c>
      <c r="AC67" s="12">
        <v>76.92</v>
      </c>
      <c r="AD67" s="2">
        <f>Y67-Z67</f>
        <v>1.3100000000000023</v>
      </c>
      <c r="AE67" s="148">
        <f>AC67/AC68-1</f>
        <v>-1.1686793922867089E-3</v>
      </c>
    </row>
    <row r="68" spans="15:31" x14ac:dyDescent="0.25">
      <c r="W68" s="143">
        <v>42347</v>
      </c>
      <c r="X68" s="12">
        <v>75.03</v>
      </c>
      <c r="Y68" s="12">
        <v>77.8</v>
      </c>
      <c r="Z68" s="12">
        <v>74.94</v>
      </c>
      <c r="AA68" s="12">
        <v>77.540000000000006</v>
      </c>
      <c r="AB68" s="105">
        <v>9972300</v>
      </c>
      <c r="AC68" s="12">
        <v>77.010000000000005</v>
      </c>
      <c r="AD68" s="2">
        <f>Y68-Z68</f>
        <v>2.8599999999999994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19" priority="15">
      <formula>Q7&gt;0</formula>
    </cfRule>
    <cfRule type="expression" dxfId="31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17" priority="7">
      <formula>F21&gt;0</formula>
    </cfRule>
    <cfRule type="expression" dxfId="316" priority="8">
      <formula>F21&lt;0</formula>
    </cfRule>
  </conditionalFormatting>
  <conditionalFormatting sqref="H24:H27">
    <cfRule type="expression" dxfId="315" priority="5">
      <formula>H24&gt;0</formula>
    </cfRule>
    <cfRule type="expression" dxfId="314" priority="6">
      <formula>H24&lt;0</formula>
    </cfRule>
  </conditionalFormatting>
  <conditionalFormatting sqref="F22">
    <cfRule type="expression" dxfId="313" priority="3">
      <formula>F22&gt;0</formula>
    </cfRule>
    <cfRule type="expression" dxfId="312" priority="4">
      <formula>F22&lt;0</formula>
    </cfRule>
  </conditionalFormatting>
  <conditionalFormatting sqref="H21:H23">
    <cfRule type="expression" dxfId="311" priority="1">
      <formula>H21&gt;0</formula>
    </cfRule>
    <cfRule type="expression" dxfId="31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220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203.34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203.34</v>
      </c>
      <c r="T4" s="131">
        <v>42293</v>
      </c>
      <c r="U4" t="s">
        <v>164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183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8" t="s">
        <v>78</v>
      </c>
      <c r="Q39" s="408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223.67400000000004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221.64060000000001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219.60720000000001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217.57380000000001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215.54040000000001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213.50700000000001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211.4736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209.4402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207.4068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205.3734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203.34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201.3066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199.2732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197.2398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195.2064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193.173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191.1396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189.1062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187.0728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185.0394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183.006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09" priority="15">
      <formula>F7&gt;0</formula>
    </cfRule>
    <cfRule type="expression" dxfId="30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07" priority="7">
      <formula>F19&gt;0</formula>
    </cfRule>
    <cfRule type="expression" dxfId="306" priority="8">
      <formula>F19&lt;0</formula>
    </cfRule>
  </conditionalFormatting>
  <conditionalFormatting sqref="F19:F26">
    <cfRule type="expression" dxfId="305" priority="9">
      <formula>F19&gt;0</formula>
    </cfRule>
    <cfRule type="expression" dxfId="304" priority="10">
      <formula>F19&lt;0</formula>
    </cfRule>
  </conditionalFormatting>
  <conditionalFormatting sqref="H16:H26">
    <cfRule type="expression" dxfId="303" priority="5">
      <formula>H16&gt;0</formula>
    </cfRule>
    <cfRule type="expression" dxfId="302" priority="6">
      <formula>H16&lt;0</formula>
    </cfRule>
  </conditionalFormatting>
  <conditionalFormatting sqref="F12:F15">
    <cfRule type="expression" dxfId="301" priority="3">
      <formula>F12&gt;0</formula>
    </cfRule>
    <cfRule type="expression" dxfId="300" priority="4">
      <formula>F12&lt;0</formula>
    </cfRule>
  </conditionalFormatting>
  <conditionalFormatting sqref="H12:H15">
    <cfRule type="expression" dxfId="299" priority="1">
      <formula>H12&gt;0</formula>
    </cfRule>
    <cfRule type="expression" dxfId="29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215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42444</v>
      </c>
      <c r="X2" s="12">
        <v>73.52</v>
      </c>
      <c r="Y2" s="43">
        <v>74.400000000000006</v>
      </c>
      <c r="Z2" s="43">
        <v>72.349999999999994</v>
      </c>
      <c r="AA2" s="12">
        <v>73.61</v>
      </c>
      <c r="AB2" s="105">
        <v>3815400</v>
      </c>
      <c r="AC2" s="277">
        <v>73.61</v>
      </c>
      <c r="AD2" s="2">
        <f>Y2-Z2</f>
        <v>2.0500000000000114</v>
      </c>
      <c r="AE2" s="148">
        <f>AC2/AC3-1</f>
        <v>1.1265283692814876E-2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75</v>
      </c>
      <c r="T3" s="131"/>
      <c r="W3" s="104">
        <v>42443</v>
      </c>
      <c r="X3" s="12">
        <v>72.17</v>
      </c>
      <c r="Y3" s="43">
        <v>73.209999999999994</v>
      </c>
      <c r="Z3" s="43">
        <v>71.52</v>
      </c>
      <c r="AA3" s="12">
        <v>72.790000000000006</v>
      </c>
      <c r="AB3" s="105">
        <v>3010400</v>
      </c>
      <c r="AC3" s="277">
        <v>72.790000000000006</v>
      </c>
      <c r="AD3" s="2">
        <f>Y3-Z3</f>
        <v>1.6899999999999977</v>
      </c>
      <c r="AE3" s="148">
        <f>AC3/AC4-1</f>
        <v>2.7483853236232036E-4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75</v>
      </c>
      <c r="T4" s="131"/>
      <c r="W4" s="104">
        <v>42440</v>
      </c>
      <c r="X4" s="12">
        <v>70.83</v>
      </c>
      <c r="Y4" s="43">
        <v>72.8</v>
      </c>
      <c r="Z4" s="43">
        <v>70.62</v>
      </c>
      <c r="AA4" s="12">
        <v>72.77</v>
      </c>
      <c r="AB4" s="105">
        <v>3352900</v>
      </c>
      <c r="AC4" s="277">
        <v>72.77</v>
      </c>
      <c r="AD4" s="2">
        <f t="shared" ref="AD4:AD67" si="2">Y4-Z4</f>
        <v>2.1799999999999926</v>
      </c>
      <c r="AE4" s="148">
        <f t="shared" ref="AE4:AE67" si="3">AC4/AC5-1</f>
        <v>4.0017150207231733E-2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42439</v>
      </c>
      <c r="X5" s="12">
        <v>71.5</v>
      </c>
      <c r="Y5" s="43">
        <v>72.36</v>
      </c>
      <c r="Z5" s="43">
        <v>68.58</v>
      </c>
      <c r="AA5" s="12">
        <v>69.97</v>
      </c>
      <c r="AB5" s="105">
        <v>3634000</v>
      </c>
      <c r="AC5" s="277">
        <v>69.97</v>
      </c>
      <c r="AD5" s="2">
        <f t="shared" si="2"/>
        <v>3.7800000000000011</v>
      </c>
      <c r="AE5" s="148">
        <f t="shared" si="3"/>
        <v>-1.4784567727400666E-2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42438</v>
      </c>
      <c r="X6" s="12">
        <v>70.319999999999993</v>
      </c>
      <c r="Y6" s="43">
        <v>71.91</v>
      </c>
      <c r="Z6" s="43">
        <v>69.959999999999994</v>
      </c>
      <c r="AA6" s="12">
        <v>71.02</v>
      </c>
      <c r="AB6" s="105">
        <v>2999300</v>
      </c>
      <c r="AC6" s="277">
        <v>71.02</v>
      </c>
      <c r="AD6" s="2">
        <f t="shared" si="2"/>
        <v>1.9500000000000028</v>
      </c>
      <c r="AE6" s="148">
        <f t="shared" si="3"/>
        <v>1.5877556858818531E-2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42437</v>
      </c>
      <c r="X7" s="12">
        <v>72</v>
      </c>
      <c r="Y7" s="43">
        <v>72.099999999999994</v>
      </c>
      <c r="Z7" s="43">
        <v>69.25</v>
      </c>
      <c r="AA7" s="12">
        <v>69.91</v>
      </c>
      <c r="AB7" s="105">
        <v>4678100</v>
      </c>
      <c r="AC7" s="277">
        <v>69.91</v>
      </c>
      <c r="AD7" s="2">
        <f t="shared" si="2"/>
        <v>2.8499999999999943</v>
      </c>
      <c r="AE7" s="148">
        <f t="shared" si="3"/>
        <v>-4.1278113000548622E-2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42436</v>
      </c>
      <c r="X8" s="12">
        <v>72.16</v>
      </c>
      <c r="Y8" s="43">
        <v>74.73</v>
      </c>
      <c r="Z8" s="43">
        <v>71.81</v>
      </c>
      <c r="AA8" s="12">
        <v>72.92</v>
      </c>
      <c r="AB8" s="105">
        <v>4220400</v>
      </c>
      <c r="AC8" s="277">
        <v>72.92</v>
      </c>
      <c r="AD8" s="2">
        <f t="shared" si="2"/>
        <v>2.9200000000000017</v>
      </c>
      <c r="AE8" s="148">
        <f t="shared" si="3"/>
        <v>-1.2327078482400333E-3</v>
      </c>
    </row>
    <row r="9" spans="1:40" x14ac:dyDescent="0.25">
      <c r="W9" s="104">
        <v>42433</v>
      </c>
      <c r="X9" s="12">
        <v>71.180000000000007</v>
      </c>
      <c r="Y9" s="43">
        <v>75.11</v>
      </c>
      <c r="Z9" s="43">
        <v>70.33</v>
      </c>
      <c r="AA9" s="12">
        <v>73.010000000000005</v>
      </c>
      <c r="AB9" s="105">
        <v>7321900</v>
      </c>
      <c r="AC9" s="277">
        <v>73.010000000000005</v>
      </c>
      <c r="AD9" s="2">
        <f t="shared" si="2"/>
        <v>4.7800000000000011</v>
      </c>
      <c r="AE9" s="148">
        <f t="shared" si="3"/>
        <v>4.1512125534950206E-2</v>
      </c>
      <c r="AK9" s="263"/>
      <c r="AN9" s="263"/>
    </row>
    <row r="10" spans="1:40" ht="12.75" customHeight="1" x14ac:dyDescent="0.25">
      <c r="W10" s="104">
        <v>42432</v>
      </c>
      <c r="X10" s="12">
        <v>68.42</v>
      </c>
      <c r="Y10" s="43">
        <v>70.489999999999995</v>
      </c>
      <c r="Z10" s="43">
        <v>68.3</v>
      </c>
      <c r="AA10" s="12">
        <v>70.099999999999994</v>
      </c>
      <c r="AB10" s="105">
        <v>4093800</v>
      </c>
      <c r="AC10" s="277">
        <v>70.099999999999994</v>
      </c>
      <c r="AD10" s="2">
        <f t="shared" si="2"/>
        <v>2.1899999999999977</v>
      </c>
      <c r="AE10" s="148">
        <f t="shared" si="3"/>
        <v>1.6236590316033528E-2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42431</v>
      </c>
      <c r="X11" s="12">
        <v>69.94</v>
      </c>
      <c r="Y11" s="43">
        <v>70.849999999999994</v>
      </c>
      <c r="Z11" s="43">
        <v>68.45</v>
      </c>
      <c r="AA11" s="12">
        <v>68.98</v>
      </c>
      <c r="AB11" s="105">
        <v>3962600</v>
      </c>
      <c r="AC11" s="277">
        <v>68.98</v>
      </c>
      <c r="AD11" s="2">
        <f t="shared" si="2"/>
        <v>2.3999999999999915</v>
      </c>
      <c r="AE11" s="148">
        <f t="shared" si="3"/>
        <v>-2.0170454545454519E-2</v>
      </c>
      <c r="AK11" s="263"/>
      <c r="AN11" s="263"/>
    </row>
    <row r="12" spans="1:40" x14ac:dyDescent="0.25">
      <c r="W12" s="104">
        <v>42430</v>
      </c>
      <c r="X12" s="12">
        <v>67.62</v>
      </c>
      <c r="Y12" s="43">
        <v>70.42</v>
      </c>
      <c r="Z12" s="43">
        <v>67.040000000000006</v>
      </c>
      <c r="AA12" s="12">
        <v>70.400000000000006</v>
      </c>
      <c r="AB12" s="105">
        <v>4630300</v>
      </c>
      <c r="AC12" s="277">
        <v>70.400000000000006</v>
      </c>
      <c r="AD12" s="2">
        <f t="shared" si="2"/>
        <v>3.3799999999999955</v>
      </c>
      <c r="AE12" s="148">
        <f t="shared" si="3"/>
        <v>5.9443190368698273E-2</v>
      </c>
    </row>
    <row r="13" spans="1:40" x14ac:dyDescent="0.25">
      <c r="W13" s="104">
        <v>42429</v>
      </c>
      <c r="X13" s="12">
        <v>65.88</v>
      </c>
      <c r="Y13" s="43">
        <v>68.790000000000006</v>
      </c>
      <c r="Z13" s="43">
        <v>65.540000000000006</v>
      </c>
      <c r="AA13" s="12">
        <v>66.45</v>
      </c>
      <c r="AB13" s="105">
        <v>4985800</v>
      </c>
      <c r="AC13" s="277">
        <v>66.45</v>
      </c>
      <c r="AD13" s="2">
        <f t="shared" si="2"/>
        <v>3.25</v>
      </c>
      <c r="AE13" s="148">
        <f t="shared" si="3"/>
        <v>2.3882896764252592E-2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183</v>
      </c>
      <c r="T14" s="94"/>
      <c r="U14" s="13"/>
      <c r="W14" s="104">
        <v>42426</v>
      </c>
      <c r="X14" s="12">
        <v>65.08</v>
      </c>
      <c r="Y14" s="43">
        <v>65.400000000000006</v>
      </c>
      <c r="Z14" s="43">
        <v>64.430000000000007</v>
      </c>
      <c r="AA14" s="12">
        <v>64.900000000000006</v>
      </c>
      <c r="AB14" s="105">
        <v>2226600</v>
      </c>
      <c r="AC14" s="277">
        <v>64.900000000000006</v>
      </c>
      <c r="AD14" s="2">
        <f t="shared" si="2"/>
        <v>0.96999999999999886</v>
      </c>
      <c r="AE14" s="148">
        <f t="shared" si="3"/>
        <v>5.422153369481153E-3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42425</v>
      </c>
      <c r="X15" s="12">
        <v>63.53</v>
      </c>
      <c r="Y15" s="43">
        <v>64.56</v>
      </c>
      <c r="Z15" s="43">
        <v>62.59</v>
      </c>
      <c r="AA15" s="12">
        <v>64.55</v>
      </c>
      <c r="AB15" s="105">
        <v>2539200</v>
      </c>
      <c r="AC15" s="277">
        <v>64.55</v>
      </c>
      <c r="AD15" s="2">
        <f t="shared" si="2"/>
        <v>1.9699999999999989</v>
      </c>
      <c r="AE15" s="148">
        <f t="shared" si="3"/>
        <v>1.3184743368388041E-2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5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42424</v>
      </c>
      <c r="X16" s="12">
        <v>61.58</v>
      </c>
      <c r="Y16" s="43">
        <v>63.86</v>
      </c>
      <c r="Z16" s="43">
        <v>61.11</v>
      </c>
      <c r="AA16" s="12">
        <v>63.71</v>
      </c>
      <c r="AB16" s="105">
        <v>2669800</v>
      </c>
      <c r="AC16" s="277">
        <v>63.71</v>
      </c>
      <c r="AD16" s="2">
        <f t="shared" si="2"/>
        <v>2.75</v>
      </c>
      <c r="AE16" s="148">
        <f t="shared" si="3"/>
        <v>1.7406579367614139E-2</v>
      </c>
    </row>
    <row r="17" spans="2:40" x14ac:dyDescent="0.25">
      <c r="B17" s="211">
        <v>42380</v>
      </c>
      <c r="C17" s="320">
        <v>90</v>
      </c>
      <c r="D17" s="385">
        <v>69.5</v>
      </c>
      <c r="E17" s="385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42423</v>
      </c>
      <c r="X17" s="12">
        <v>63.74</v>
      </c>
      <c r="Y17" s="43">
        <v>63.76</v>
      </c>
      <c r="Z17" s="43">
        <v>62.07</v>
      </c>
      <c r="AA17" s="12">
        <v>62.62</v>
      </c>
      <c r="AB17" s="105">
        <v>2445400</v>
      </c>
      <c r="AC17" s="277">
        <v>62.62</v>
      </c>
      <c r="AD17" s="2">
        <f t="shared" si="2"/>
        <v>1.6899999999999977</v>
      </c>
      <c r="AE17" s="148">
        <f t="shared" si="3"/>
        <v>-2.5976046041375156E-2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5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42422</v>
      </c>
      <c r="X18" s="12">
        <v>63.6</v>
      </c>
      <c r="Y18" s="43">
        <v>65.19</v>
      </c>
      <c r="Z18" s="43">
        <v>63.29</v>
      </c>
      <c r="AA18" s="12">
        <v>64.290000000000006</v>
      </c>
      <c r="AB18" s="105">
        <v>3200900</v>
      </c>
      <c r="AC18" s="277">
        <v>64.290000000000006</v>
      </c>
      <c r="AD18" s="2">
        <f t="shared" si="2"/>
        <v>1.8999999999999986</v>
      </c>
      <c r="AE18" s="148">
        <f t="shared" si="3"/>
        <v>1.9990480723464987E-2</v>
      </c>
    </row>
    <row r="19" spans="2:40" x14ac:dyDescent="0.25">
      <c r="B19" s="211">
        <v>42402</v>
      </c>
      <c r="C19" s="320">
        <v>90</v>
      </c>
      <c r="D19" s="385">
        <v>68.97</v>
      </c>
      <c r="E19" s="385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42419</v>
      </c>
      <c r="X19" s="12">
        <v>61.51</v>
      </c>
      <c r="Y19" s="43">
        <v>63.5</v>
      </c>
      <c r="Z19" s="43">
        <v>61.29</v>
      </c>
      <c r="AA19" s="12">
        <v>63.03</v>
      </c>
      <c r="AB19" s="105">
        <v>3371800</v>
      </c>
      <c r="AC19" s="277">
        <v>63.03</v>
      </c>
      <c r="AD19" s="2">
        <f t="shared" si="2"/>
        <v>2.2100000000000009</v>
      </c>
      <c r="AE19" s="148">
        <f t="shared" si="3"/>
        <v>1.5466408893185069E-2</v>
      </c>
      <c r="AK19" s="263"/>
      <c r="AN19" s="263"/>
    </row>
    <row r="20" spans="2:40" x14ac:dyDescent="0.25">
      <c r="B20" s="211">
        <v>42405</v>
      </c>
      <c r="C20" s="320">
        <v>120</v>
      </c>
      <c r="D20" s="385">
        <v>67.412800000000004</v>
      </c>
      <c r="E20" s="385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42418</v>
      </c>
      <c r="X20" s="12">
        <v>64.430000000000007</v>
      </c>
      <c r="Y20" s="43">
        <v>64.489999999999995</v>
      </c>
      <c r="Z20" s="43">
        <v>61.1</v>
      </c>
      <c r="AA20" s="12">
        <v>62.07</v>
      </c>
      <c r="AB20" s="105">
        <v>2984000</v>
      </c>
      <c r="AC20" s="277">
        <v>62.07</v>
      </c>
      <c r="AD20" s="2">
        <f t="shared" si="2"/>
        <v>3.3899999999999935</v>
      </c>
      <c r="AE20" s="148">
        <f t="shared" si="3"/>
        <v>-2.5741641814471805E-2</v>
      </c>
    </row>
    <row r="21" spans="2:40" x14ac:dyDescent="0.25">
      <c r="B21" s="211">
        <v>42415</v>
      </c>
      <c r="C21" s="320">
        <v>120</v>
      </c>
      <c r="D21" s="385">
        <v>67.412800000000004</v>
      </c>
      <c r="E21" s="385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42417</v>
      </c>
      <c r="X21" s="12">
        <v>61.82</v>
      </c>
      <c r="Y21" s="43">
        <v>64.88</v>
      </c>
      <c r="Z21" s="43">
        <v>61.57</v>
      </c>
      <c r="AA21" s="12">
        <v>63.71</v>
      </c>
      <c r="AB21" s="105">
        <v>4488700</v>
      </c>
      <c r="AC21" s="277">
        <v>63.71</v>
      </c>
      <c r="AD21" s="2">
        <f t="shared" si="2"/>
        <v>3.3099999999999952</v>
      </c>
      <c r="AE21" s="148">
        <f t="shared" si="3"/>
        <v>3.6946614583333481E-2</v>
      </c>
      <c r="AK21" s="263"/>
      <c r="AN21" s="263"/>
    </row>
    <row r="22" spans="2:40" x14ac:dyDescent="0.25">
      <c r="B22" s="211">
        <v>42416</v>
      </c>
      <c r="C22" s="320">
        <v>90</v>
      </c>
      <c r="D22" s="385">
        <v>69.45</v>
      </c>
      <c r="E22" s="385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42416</v>
      </c>
      <c r="X22" s="12">
        <v>59.27</v>
      </c>
      <c r="Y22" s="43">
        <v>62.44</v>
      </c>
      <c r="Z22" s="43">
        <v>59.14</v>
      </c>
      <c r="AA22" s="12">
        <v>61.44</v>
      </c>
      <c r="AB22" s="105">
        <v>4831800</v>
      </c>
      <c r="AC22" s="277">
        <v>61.44</v>
      </c>
      <c r="AD22" s="2">
        <f t="shared" si="2"/>
        <v>3.2999999999999972</v>
      </c>
      <c r="AE22" s="148">
        <f t="shared" si="3"/>
        <v>6.611140031233731E-2</v>
      </c>
    </row>
    <row r="23" spans="2:40" x14ac:dyDescent="0.25">
      <c r="B23" s="211">
        <v>42429</v>
      </c>
      <c r="C23" s="320">
        <v>90</v>
      </c>
      <c r="D23" s="385">
        <v>69.201300000000003</v>
      </c>
      <c r="E23" s="385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42412</v>
      </c>
      <c r="X23" s="12">
        <v>57.06</v>
      </c>
      <c r="Y23" s="43">
        <v>57.96</v>
      </c>
      <c r="Z23" s="43">
        <v>56.01</v>
      </c>
      <c r="AA23" s="12">
        <v>57.63</v>
      </c>
      <c r="AB23" s="105">
        <v>3885100</v>
      </c>
      <c r="AC23" s="277">
        <v>57.63</v>
      </c>
      <c r="AD23" s="2">
        <f t="shared" si="2"/>
        <v>1.9500000000000028</v>
      </c>
      <c r="AE23" s="148">
        <f t="shared" si="3"/>
        <v>3.1871083258728783E-2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42411</v>
      </c>
      <c r="X24" s="12">
        <v>56.1</v>
      </c>
      <c r="Y24" s="43">
        <v>56.97</v>
      </c>
      <c r="Z24" s="43">
        <v>54.5</v>
      </c>
      <c r="AA24" s="12">
        <v>55.85</v>
      </c>
      <c r="AB24" s="105">
        <v>6569200</v>
      </c>
      <c r="AC24" s="277">
        <v>55.85</v>
      </c>
      <c r="AD24" s="2">
        <f t="shared" si="2"/>
        <v>2.4699999999999989</v>
      </c>
      <c r="AE24" s="148">
        <f t="shared" si="3"/>
        <v>-2.3601398601398649E-2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42410</v>
      </c>
      <c r="X25" s="12">
        <v>58.68</v>
      </c>
      <c r="Y25" s="43">
        <v>59.76</v>
      </c>
      <c r="Z25" s="43">
        <v>57.01</v>
      </c>
      <c r="AA25" s="12">
        <v>57.2</v>
      </c>
      <c r="AB25" s="105">
        <v>3429700</v>
      </c>
      <c r="AC25" s="277">
        <v>57.2</v>
      </c>
      <c r="AD25" s="2">
        <f t="shared" si="2"/>
        <v>2.75</v>
      </c>
      <c r="AE25" s="148">
        <f t="shared" si="3"/>
        <v>-8.6655112651646826E-3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265</v>
      </c>
      <c r="W26" s="104">
        <v>42409</v>
      </c>
      <c r="X26" s="12">
        <v>58.24</v>
      </c>
      <c r="Y26" s="43">
        <v>60.08</v>
      </c>
      <c r="Z26" s="43">
        <v>57.46</v>
      </c>
      <c r="AA26" s="12">
        <v>57.7</v>
      </c>
      <c r="AB26" s="105">
        <v>4610800</v>
      </c>
      <c r="AC26" s="277">
        <v>57.7</v>
      </c>
      <c r="AD26" s="2">
        <f t="shared" si="2"/>
        <v>2.6199999999999974</v>
      </c>
      <c r="AE26" s="148" t="e">
        <f t="shared" si="3"/>
        <v>#DIV/0!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42409</v>
      </c>
      <c r="X27" s="12" t="s">
        <v>146</v>
      </c>
      <c r="Y27" s="43"/>
      <c r="Z27" s="43"/>
      <c r="AA27" s="12"/>
      <c r="AB27" s="105"/>
      <c r="AC27" s="277"/>
      <c r="AD27" s="2">
        <f t="shared" si="2"/>
        <v>0</v>
      </c>
      <c r="AE27" s="148">
        <f t="shared" si="3"/>
        <v>-1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42408</v>
      </c>
      <c r="X28" s="12">
        <v>60.81</v>
      </c>
      <c r="Y28" s="43">
        <v>61.19</v>
      </c>
      <c r="Z28" s="43">
        <v>58.23</v>
      </c>
      <c r="AA28" s="12">
        <v>59.3</v>
      </c>
      <c r="AB28" s="105">
        <v>5708700</v>
      </c>
      <c r="AC28" s="277">
        <v>59.04</v>
      </c>
      <c r="AD28" s="2">
        <f t="shared" si="2"/>
        <v>2.9600000000000009</v>
      </c>
      <c r="AE28" s="148">
        <f t="shared" si="3"/>
        <v>-4.6049442559379594E-2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42405</v>
      </c>
      <c r="X29" s="12">
        <v>64.87</v>
      </c>
      <c r="Y29" s="43">
        <v>65.849999999999994</v>
      </c>
      <c r="Z29" s="43">
        <v>61</v>
      </c>
      <c r="AA29" s="12">
        <v>62.16</v>
      </c>
      <c r="AB29" s="105">
        <v>6333700</v>
      </c>
      <c r="AC29" s="277">
        <v>61.89</v>
      </c>
      <c r="AD29" s="2">
        <f t="shared" si="2"/>
        <v>4.8499999999999943</v>
      </c>
      <c r="AE29" s="148">
        <f t="shared" si="3"/>
        <v>-5.8134226145183265E-2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42404</v>
      </c>
      <c r="X30" s="12">
        <v>66.58</v>
      </c>
      <c r="Y30" s="43">
        <v>66.790000000000006</v>
      </c>
      <c r="Z30" s="43">
        <v>65.12</v>
      </c>
      <c r="AA30" s="12">
        <v>66</v>
      </c>
      <c r="AB30" s="105">
        <v>4337300</v>
      </c>
      <c r="AC30" s="277">
        <v>65.709999999999994</v>
      </c>
      <c r="AD30" s="2">
        <f t="shared" si="2"/>
        <v>1.6700000000000017</v>
      </c>
      <c r="AE30" s="148">
        <f t="shared" si="3"/>
        <v>-2.8831562974205305E-3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42403</v>
      </c>
      <c r="X31" s="12">
        <v>67.8</v>
      </c>
      <c r="Y31" s="43">
        <v>68.790000000000006</v>
      </c>
      <c r="Z31" s="43">
        <v>64.88</v>
      </c>
      <c r="AA31" s="12">
        <v>66.19</v>
      </c>
      <c r="AB31" s="105">
        <v>4893800</v>
      </c>
      <c r="AC31" s="277">
        <v>65.900000000000006</v>
      </c>
      <c r="AD31" s="2">
        <f t="shared" si="2"/>
        <v>3.9100000000000108</v>
      </c>
      <c r="AE31" s="148">
        <f t="shared" si="3"/>
        <v>-4.3813264843630684E-3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42402</v>
      </c>
      <c r="X32" s="12">
        <v>69.069999999999993</v>
      </c>
      <c r="Y32" s="43">
        <v>69.2</v>
      </c>
      <c r="Z32" s="43">
        <v>66.38</v>
      </c>
      <c r="AA32" s="12">
        <v>66.48</v>
      </c>
      <c r="AB32" s="105">
        <v>3834900</v>
      </c>
      <c r="AC32" s="277">
        <v>66.19</v>
      </c>
      <c r="AD32" s="2">
        <f t="shared" si="2"/>
        <v>2.8200000000000074</v>
      </c>
      <c r="AE32" s="148">
        <f t="shared" si="3"/>
        <v>-4.5015149329101223E-2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42401</v>
      </c>
      <c r="X33" s="12">
        <v>68.180000000000007</v>
      </c>
      <c r="Y33" s="43">
        <v>70.39</v>
      </c>
      <c r="Z33" s="43">
        <v>67.52</v>
      </c>
      <c r="AA33" s="12">
        <v>69.62</v>
      </c>
      <c r="AB33" s="105">
        <v>4726300</v>
      </c>
      <c r="AC33" s="277">
        <v>69.31</v>
      </c>
      <c r="AD33" s="2">
        <f t="shared" si="2"/>
        <v>2.8700000000000045</v>
      </c>
      <c r="AE33" s="148">
        <f t="shared" si="3"/>
        <v>1.0055377440979285E-2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42398</v>
      </c>
      <c r="X34" s="12">
        <v>68.819999999999993</v>
      </c>
      <c r="Y34" s="43">
        <v>69.77</v>
      </c>
      <c r="Z34" s="43">
        <v>66.22</v>
      </c>
      <c r="AA34" s="12">
        <v>68.92</v>
      </c>
      <c r="AB34" s="105">
        <v>8200700</v>
      </c>
      <c r="AC34" s="277">
        <v>68.62</v>
      </c>
      <c r="AD34" s="2">
        <f t="shared" si="2"/>
        <v>3.5499999999999972</v>
      </c>
      <c r="AE34" s="148">
        <f t="shared" si="3"/>
        <v>6.3711052549992209E-2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42397</v>
      </c>
      <c r="X35" s="12">
        <v>62.77</v>
      </c>
      <c r="Y35" s="43">
        <v>64.900000000000006</v>
      </c>
      <c r="Z35" s="43">
        <v>62.61</v>
      </c>
      <c r="AA35" s="12">
        <v>64.790000000000006</v>
      </c>
      <c r="AB35" s="105">
        <v>7098900</v>
      </c>
      <c r="AC35" s="277">
        <v>64.510000000000005</v>
      </c>
      <c r="AD35" s="2">
        <f t="shared" si="2"/>
        <v>2.2900000000000063</v>
      </c>
      <c r="AE35" s="148">
        <f t="shared" si="3"/>
        <v>4.267011475674809E-2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42396</v>
      </c>
      <c r="X36" s="12">
        <v>65.680000000000007</v>
      </c>
      <c r="Y36" s="43">
        <v>66.459999999999994</v>
      </c>
      <c r="Z36" s="43">
        <v>61.71</v>
      </c>
      <c r="AA36" s="12">
        <v>62.14</v>
      </c>
      <c r="AB36" s="105">
        <v>5848300</v>
      </c>
      <c r="AC36" s="277">
        <v>61.87</v>
      </c>
      <c r="AD36" s="2">
        <f t="shared" si="2"/>
        <v>4.7499999999999929</v>
      </c>
      <c r="AE36" s="148">
        <f t="shared" si="3"/>
        <v>-5.5564036025034458E-2</v>
      </c>
    </row>
    <row r="37" spans="2:31" ht="15.75" thickTop="1" x14ac:dyDescent="0.25">
      <c r="O37" s="2"/>
      <c r="P37" s="93">
        <v>1.1000000000000001</v>
      </c>
      <c r="Q37" s="93">
        <f>P37*$Q$4</f>
        <v>82.5</v>
      </c>
      <c r="R37" s="37"/>
      <c r="T37" s="107" t="s">
        <v>101</v>
      </c>
      <c r="U37" s="139">
        <v>72.790000000000006</v>
      </c>
      <c r="W37" s="104">
        <v>42395</v>
      </c>
      <c r="X37" s="12">
        <v>65.75</v>
      </c>
      <c r="Y37" s="43">
        <v>67.040000000000006</v>
      </c>
      <c r="Z37" s="43">
        <v>64.989999999999995</v>
      </c>
      <c r="AA37" s="12">
        <v>65.8</v>
      </c>
      <c r="AB37" s="105">
        <v>2789400</v>
      </c>
      <c r="AC37" s="277">
        <v>65.510000000000005</v>
      </c>
      <c r="AD37" s="2">
        <f t="shared" si="2"/>
        <v>2.0500000000000114</v>
      </c>
      <c r="AE37" s="148">
        <f t="shared" si="3"/>
        <v>3.2159264931088671E-3</v>
      </c>
    </row>
    <row r="38" spans="2:31" x14ac:dyDescent="0.25">
      <c r="O38" s="2"/>
      <c r="P38" s="93">
        <v>1.0900000000000001</v>
      </c>
      <c r="Q38" s="93">
        <f t="shared" ref="Q38:Q57" si="10">P38*$Q$4</f>
        <v>81.75</v>
      </c>
      <c r="R38" s="37"/>
      <c r="T38" s="97" t="s">
        <v>102</v>
      </c>
      <c r="U38" s="140">
        <v>73.52</v>
      </c>
      <c r="W38" s="104">
        <v>42394</v>
      </c>
      <c r="X38" s="12">
        <v>66.849999999999994</v>
      </c>
      <c r="Y38" s="43">
        <v>66.92</v>
      </c>
      <c r="Z38" s="43">
        <v>65.489999999999995</v>
      </c>
      <c r="AA38" s="12">
        <v>65.59</v>
      </c>
      <c r="AB38" s="105">
        <v>3069000</v>
      </c>
      <c r="AC38" s="277">
        <v>65.3</v>
      </c>
      <c r="AD38" s="2">
        <f t="shared" si="2"/>
        <v>1.4300000000000068</v>
      </c>
      <c r="AE38" s="148">
        <f t="shared" si="3"/>
        <v>-2.1576266107281916E-2</v>
      </c>
    </row>
    <row r="39" spans="2:31" x14ac:dyDescent="0.25">
      <c r="O39" s="2"/>
      <c r="P39" s="93">
        <v>1.08</v>
      </c>
      <c r="Q39" s="93">
        <f t="shared" si="10"/>
        <v>81</v>
      </c>
      <c r="R39" s="37"/>
      <c r="T39" s="97" t="s">
        <v>103</v>
      </c>
      <c r="U39" s="140" t="s">
        <v>409</v>
      </c>
      <c r="W39" s="104">
        <v>42391</v>
      </c>
      <c r="X39" s="12">
        <v>65</v>
      </c>
      <c r="Y39" s="43">
        <v>67.42</v>
      </c>
      <c r="Z39" s="43">
        <v>64.97</v>
      </c>
      <c r="AA39" s="12">
        <v>67.03</v>
      </c>
      <c r="AB39" s="105">
        <v>5714300</v>
      </c>
      <c r="AC39" s="277">
        <v>66.739999999999995</v>
      </c>
      <c r="AD39" s="2">
        <f t="shared" si="2"/>
        <v>2.4500000000000028</v>
      </c>
      <c r="AE39" s="148">
        <f t="shared" si="3"/>
        <v>5.9196952864624564E-2</v>
      </c>
    </row>
    <row r="40" spans="2:31" x14ac:dyDescent="0.25">
      <c r="O40" s="2"/>
      <c r="P40" s="93">
        <v>1.07</v>
      </c>
      <c r="Q40" s="93">
        <f t="shared" si="10"/>
        <v>80.25</v>
      </c>
      <c r="R40" s="93"/>
      <c r="T40" s="97" t="s">
        <v>104</v>
      </c>
      <c r="U40" s="140" t="s">
        <v>410</v>
      </c>
      <c r="W40" s="104">
        <v>42390</v>
      </c>
      <c r="X40" s="12">
        <v>62.23</v>
      </c>
      <c r="Y40" s="43">
        <v>64.73</v>
      </c>
      <c r="Z40" s="43">
        <v>61.52</v>
      </c>
      <c r="AA40" s="12">
        <v>63.29</v>
      </c>
      <c r="AB40" s="105">
        <v>4252400</v>
      </c>
      <c r="AC40" s="277">
        <v>63.01</v>
      </c>
      <c r="AD40" s="2">
        <f t="shared" si="2"/>
        <v>3.2100000000000009</v>
      </c>
      <c r="AE40" s="148">
        <f t="shared" si="3"/>
        <v>2.7057864710676283E-2</v>
      </c>
    </row>
    <row r="41" spans="2:31" x14ac:dyDescent="0.25">
      <c r="O41" s="2"/>
      <c r="P41" s="93">
        <v>1.06</v>
      </c>
      <c r="Q41" s="93">
        <f t="shared" si="10"/>
        <v>79.5</v>
      </c>
      <c r="R41" s="93"/>
      <c r="T41" s="97" t="s">
        <v>105</v>
      </c>
      <c r="U41" s="140">
        <v>90.74</v>
      </c>
      <c r="W41" s="104">
        <v>42389</v>
      </c>
      <c r="X41" s="12">
        <v>59.37</v>
      </c>
      <c r="Y41" s="43">
        <v>62.31</v>
      </c>
      <c r="Z41" s="43">
        <v>58.5</v>
      </c>
      <c r="AA41" s="12">
        <v>61.62</v>
      </c>
      <c r="AB41" s="105">
        <v>5997300</v>
      </c>
      <c r="AC41" s="277">
        <v>61.35</v>
      </c>
      <c r="AD41" s="2">
        <f t="shared" si="2"/>
        <v>3.8100000000000023</v>
      </c>
      <c r="AE41" s="148">
        <f t="shared" si="3"/>
        <v>2.0459081836327497E-2</v>
      </c>
    </row>
    <row r="42" spans="2:31" x14ac:dyDescent="0.25">
      <c r="O42" s="2"/>
      <c r="P42" s="93">
        <v>1.05</v>
      </c>
      <c r="Q42" s="93">
        <f t="shared" si="10"/>
        <v>78.75</v>
      </c>
      <c r="R42" s="93"/>
      <c r="T42" s="97" t="s">
        <v>106</v>
      </c>
      <c r="U42" s="140">
        <v>0.60286600000000001</v>
      </c>
      <c r="W42" s="104">
        <v>42388</v>
      </c>
      <c r="X42" s="12">
        <v>62.38</v>
      </c>
      <c r="Y42" s="43">
        <v>63.34</v>
      </c>
      <c r="Z42" s="43">
        <v>59.87</v>
      </c>
      <c r="AA42" s="12">
        <v>60.38</v>
      </c>
      <c r="AB42" s="105">
        <v>4928400</v>
      </c>
      <c r="AC42" s="277">
        <v>60.12</v>
      </c>
      <c r="AD42" s="2">
        <f t="shared" si="2"/>
        <v>3.470000000000006</v>
      </c>
      <c r="AE42" s="148">
        <f t="shared" si="3"/>
        <v>-4.6357615894040416E-3</v>
      </c>
    </row>
    <row r="43" spans="2:31" x14ac:dyDescent="0.25">
      <c r="O43" s="2"/>
      <c r="P43" s="93">
        <v>1.04</v>
      </c>
      <c r="Q43" s="93">
        <f t="shared" si="10"/>
        <v>78</v>
      </c>
      <c r="R43" s="93"/>
      <c r="T43" s="97" t="s">
        <v>126</v>
      </c>
      <c r="U43" s="104" t="s">
        <v>228</v>
      </c>
      <c r="W43" s="104">
        <v>42384</v>
      </c>
      <c r="X43" s="12">
        <v>61.1</v>
      </c>
      <c r="Y43" s="43">
        <v>62.45</v>
      </c>
      <c r="Z43" s="43">
        <v>59.92</v>
      </c>
      <c r="AA43" s="12">
        <v>60.67</v>
      </c>
      <c r="AB43" s="105">
        <v>6045100</v>
      </c>
      <c r="AC43" s="277">
        <v>60.4</v>
      </c>
      <c r="AD43" s="2">
        <f t="shared" si="2"/>
        <v>2.5300000000000011</v>
      </c>
      <c r="AE43" s="148">
        <f t="shared" si="3"/>
        <v>-6.0068471833177761E-2</v>
      </c>
    </row>
    <row r="44" spans="2:31" x14ac:dyDescent="0.25">
      <c r="O44" s="2"/>
      <c r="P44" s="93">
        <v>1.03</v>
      </c>
      <c r="Q44" s="93">
        <f t="shared" si="10"/>
        <v>77.25</v>
      </c>
      <c r="R44" s="93"/>
      <c r="T44" s="97"/>
      <c r="U44" s="140"/>
      <c r="W44" s="104">
        <v>42383</v>
      </c>
      <c r="X44" s="12">
        <v>62.01</v>
      </c>
      <c r="Y44" s="43">
        <v>65.14</v>
      </c>
      <c r="Z44" s="43">
        <v>60.07</v>
      </c>
      <c r="AA44" s="12">
        <v>64.540000000000006</v>
      </c>
      <c r="AB44" s="105">
        <v>5674200</v>
      </c>
      <c r="AC44" s="277">
        <v>64.260000000000005</v>
      </c>
      <c r="AD44" s="2">
        <f t="shared" si="2"/>
        <v>5.07</v>
      </c>
      <c r="AE44" s="148">
        <f t="shared" si="3"/>
        <v>3.8293746970431419E-2</v>
      </c>
    </row>
    <row r="45" spans="2:31" x14ac:dyDescent="0.25">
      <c r="O45" s="2"/>
      <c r="P45" s="93">
        <v>1.02</v>
      </c>
      <c r="Q45" s="93">
        <f t="shared" si="10"/>
        <v>76.5</v>
      </c>
      <c r="R45" s="93"/>
      <c r="T45" s="97" t="s">
        <v>108</v>
      </c>
      <c r="U45" s="140" t="s">
        <v>312</v>
      </c>
      <c r="W45" s="104">
        <v>42382</v>
      </c>
      <c r="X45" s="12">
        <v>64.2</v>
      </c>
      <c r="Y45" s="43">
        <v>65.66</v>
      </c>
      <c r="Z45" s="43">
        <v>61.9</v>
      </c>
      <c r="AA45" s="12">
        <v>62.16</v>
      </c>
      <c r="AB45" s="105">
        <v>7247200</v>
      </c>
      <c r="AC45" s="277">
        <v>61.89</v>
      </c>
      <c r="AD45" s="2">
        <f t="shared" si="2"/>
        <v>3.759999999999998</v>
      </c>
      <c r="AE45" s="148">
        <f t="shared" si="3"/>
        <v>-6.7078685559240347E-2</v>
      </c>
    </row>
    <row r="46" spans="2:31" x14ac:dyDescent="0.25">
      <c r="O46" s="2"/>
      <c r="P46" s="93">
        <v>1.01</v>
      </c>
      <c r="Q46" s="93">
        <f t="shared" si="10"/>
        <v>75.75</v>
      </c>
      <c r="R46" s="93"/>
      <c r="T46" s="97" t="s">
        <v>109</v>
      </c>
      <c r="U46" s="140" t="s">
        <v>248</v>
      </c>
      <c r="W46" s="104">
        <v>42381</v>
      </c>
      <c r="X46" s="12">
        <v>66.72</v>
      </c>
      <c r="Y46" s="43">
        <v>67.81</v>
      </c>
      <c r="Z46" s="43">
        <v>65.06</v>
      </c>
      <c r="AA46" s="12">
        <v>66.63</v>
      </c>
      <c r="AB46" s="105">
        <v>3352400</v>
      </c>
      <c r="AC46" s="277">
        <v>66.34</v>
      </c>
      <c r="AD46" s="2">
        <f t="shared" si="2"/>
        <v>2.75</v>
      </c>
      <c r="AE46" s="148">
        <f t="shared" si="3"/>
        <v>8.819951338199461E-3</v>
      </c>
    </row>
    <row r="47" spans="2:31" x14ac:dyDescent="0.25">
      <c r="O47" s="2"/>
      <c r="P47" s="93">
        <v>1</v>
      </c>
      <c r="Q47" s="93">
        <f t="shared" si="10"/>
        <v>75</v>
      </c>
      <c r="R47" s="93"/>
      <c r="T47" s="97" t="s">
        <v>110</v>
      </c>
      <c r="U47" s="141">
        <v>3822398</v>
      </c>
      <c r="W47" s="104">
        <v>42380</v>
      </c>
      <c r="X47" s="12">
        <v>67.180000000000007</v>
      </c>
      <c r="Y47" s="43">
        <v>68</v>
      </c>
      <c r="Z47" s="43">
        <v>64.930000000000007</v>
      </c>
      <c r="AA47" s="12">
        <v>66.05</v>
      </c>
      <c r="AB47" s="105">
        <v>5140200</v>
      </c>
      <c r="AC47" s="277">
        <v>65.760000000000005</v>
      </c>
      <c r="AD47" s="2">
        <f t="shared" si="2"/>
        <v>3.0699999999999932</v>
      </c>
      <c r="AE47" s="148">
        <f t="shared" si="3"/>
        <v>-1.2612612612612484E-2</v>
      </c>
    </row>
    <row r="48" spans="2:31" x14ac:dyDescent="0.25">
      <c r="O48" s="2"/>
      <c r="P48" s="93">
        <v>0.99</v>
      </c>
      <c r="Q48" s="93">
        <f t="shared" si="10"/>
        <v>74.25</v>
      </c>
      <c r="R48" s="93"/>
      <c r="T48" s="97" t="s">
        <v>113</v>
      </c>
      <c r="U48" s="141">
        <v>4304210</v>
      </c>
      <c r="W48" s="104">
        <v>42377</v>
      </c>
      <c r="X48" s="12">
        <v>68.56</v>
      </c>
      <c r="Y48" s="43">
        <v>69.12</v>
      </c>
      <c r="Z48" s="43">
        <v>66.55</v>
      </c>
      <c r="AA48" s="12">
        <v>66.89</v>
      </c>
      <c r="AB48" s="105">
        <v>7171000</v>
      </c>
      <c r="AC48" s="277">
        <v>66.599999999999994</v>
      </c>
      <c r="AD48" s="2">
        <f t="shared" si="2"/>
        <v>2.5700000000000074</v>
      </c>
      <c r="AE48" s="148">
        <f t="shared" si="3"/>
        <v>-4.0376850605654546E-3</v>
      </c>
    </row>
    <row r="49" spans="15:31" x14ac:dyDescent="0.25">
      <c r="O49" s="2"/>
      <c r="P49" s="93">
        <v>0.98</v>
      </c>
      <c r="Q49" s="93">
        <f t="shared" si="10"/>
        <v>73.5</v>
      </c>
      <c r="R49" s="93"/>
      <c r="T49" s="97" t="s">
        <v>111</v>
      </c>
      <c r="U49" s="140" t="s">
        <v>313</v>
      </c>
      <c r="W49" s="104">
        <v>42376</v>
      </c>
      <c r="X49" s="12">
        <v>66.599999999999994</v>
      </c>
      <c r="Y49" s="43">
        <v>70.28</v>
      </c>
      <c r="Z49" s="43">
        <v>66.099999999999994</v>
      </c>
      <c r="AA49" s="12">
        <v>67.16</v>
      </c>
      <c r="AB49" s="105">
        <v>7120100</v>
      </c>
      <c r="AC49" s="277">
        <v>66.87</v>
      </c>
      <c r="AD49" s="2">
        <f t="shared" si="2"/>
        <v>4.1800000000000068</v>
      </c>
      <c r="AE49" s="148">
        <f t="shared" si="3"/>
        <v>-2.8758169934640421E-2</v>
      </c>
    </row>
    <row r="50" spans="15:31" x14ac:dyDescent="0.25">
      <c r="O50" s="2"/>
      <c r="P50" s="93">
        <v>0.97</v>
      </c>
      <c r="Q50" s="93">
        <f t="shared" si="10"/>
        <v>72.75</v>
      </c>
      <c r="R50" s="93"/>
      <c r="T50" s="97" t="s">
        <v>114</v>
      </c>
      <c r="U50" s="140">
        <v>14.99</v>
      </c>
      <c r="W50" s="104">
        <v>42375</v>
      </c>
      <c r="X50" s="12">
        <v>71.55</v>
      </c>
      <c r="Y50" s="43">
        <v>72.06</v>
      </c>
      <c r="Z50" s="43">
        <v>68.33</v>
      </c>
      <c r="AA50" s="12">
        <v>69.150000000000006</v>
      </c>
      <c r="AB50" s="105">
        <v>8047300</v>
      </c>
      <c r="AC50" s="277">
        <v>68.849999999999994</v>
      </c>
      <c r="AD50" s="2">
        <f t="shared" si="2"/>
        <v>3.730000000000004</v>
      </c>
      <c r="AE50" s="148">
        <f t="shared" si="3"/>
        <v>-5.6461559545018525E-2</v>
      </c>
    </row>
    <row r="51" spans="15:31" x14ac:dyDescent="0.25">
      <c r="O51" s="2"/>
      <c r="P51" s="93">
        <v>0.96</v>
      </c>
      <c r="Q51" s="93">
        <f t="shared" si="10"/>
        <v>72</v>
      </c>
      <c r="R51" s="93"/>
      <c r="T51" s="97" t="s">
        <v>115</v>
      </c>
      <c r="U51" s="140">
        <v>4.91</v>
      </c>
      <c r="W51" s="104">
        <v>42374</v>
      </c>
      <c r="X51" s="12">
        <v>78.040000000000006</v>
      </c>
      <c r="Y51" s="43">
        <v>78.12</v>
      </c>
      <c r="Z51" s="43">
        <v>72.78</v>
      </c>
      <c r="AA51" s="12">
        <v>73.290000000000006</v>
      </c>
      <c r="AB51" s="105">
        <v>6011000</v>
      </c>
      <c r="AC51" s="277">
        <v>72.97</v>
      </c>
      <c r="AD51" s="2">
        <f t="shared" si="2"/>
        <v>5.3400000000000034</v>
      </c>
      <c r="AE51" s="148">
        <f t="shared" si="3"/>
        <v>-5.9543755638613249E-2</v>
      </c>
    </row>
    <row r="52" spans="15:31" x14ac:dyDescent="0.25">
      <c r="O52" s="2"/>
      <c r="P52" s="93">
        <v>0.95</v>
      </c>
      <c r="Q52" s="93">
        <f t="shared" si="10"/>
        <v>71.25</v>
      </c>
      <c r="R52" s="93"/>
      <c r="T52" s="97" t="s">
        <v>112</v>
      </c>
      <c r="U52" s="140" t="s">
        <v>314</v>
      </c>
      <c r="W52" s="104">
        <v>42373</v>
      </c>
      <c r="X52" s="12">
        <v>75.010000000000005</v>
      </c>
      <c r="Y52" s="43">
        <v>78</v>
      </c>
      <c r="Z52" s="43">
        <v>74.91</v>
      </c>
      <c r="AA52" s="12">
        <v>77.930000000000007</v>
      </c>
      <c r="AB52" s="105">
        <v>3848000</v>
      </c>
      <c r="AC52" s="277">
        <v>77.59</v>
      </c>
      <c r="AD52" s="2">
        <f t="shared" si="2"/>
        <v>3.0900000000000034</v>
      </c>
      <c r="AE52" s="148">
        <f t="shared" si="3"/>
        <v>1.438096483200435E-2</v>
      </c>
    </row>
    <row r="53" spans="15:31" x14ac:dyDescent="0.25">
      <c r="O53" s="2"/>
      <c r="P53" s="93">
        <v>0.94</v>
      </c>
      <c r="Q53" s="93">
        <f t="shared" si="10"/>
        <v>70.5</v>
      </c>
      <c r="R53" s="93"/>
      <c r="W53" s="104">
        <v>42369</v>
      </c>
      <c r="X53" s="12">
        <v>78.91</v>
      </c>
      <c r="Y53" s="43">
        <v>79.25</v>
      </c>
      <c r="Z53" s="43">
        <v>76.8</v>
      </c>
      <c r="AA53" s="12">
        <v>76.83</v>
      </c>
      <c r="AB53" s="105">
        <v>2341300</v>
      </c>
      <c r="AC53" s="277">
        <v>76.489999999999995</v>
      </c>
      <c r="AD53" s="2">
        <f t="shared" si="2"/>
        <v>2.4500000000000028</v>
      </c>
      <c r="AE53" s="148">
        <f t="shared" si="3"/>
        <v>-2.9807204464738835E-2</v>
      </c>
    </row>
    <row r="54" spans="15:31" x14ac:dyDescent="0.25">
      <c r="O54" s="2"/>
      <c r="P54" s="93">
        <v>0.93</v>
      </c>
      <c r="Q54" s="93">
        <f t="shared" si="10"/>
        <v>69.75</v>
      </c>
      <c r="R54" s="93"/>
      <c r="W54" s="104">
        <v>42368</v>
      </c>
      <c r="X54" s="12">
        <v>80.180000000000007</v>
      </c>
      <c r="Y54" s="43">
        <v>80.930000000000007</v>
      </c>
      <c r="Z54" s="43">
        <v>79.150000000000006</v>
      </c>
      <c r="AA54" s="12">
        <v>79.19</v>
      </c>
      <c r="AB54" s="105">
        <v>1368800</v>
      </c>
      <c r="AC54" s="277">
        <v>78.84</v>
      </c>
      <c r="AD54" s="2">
        <f t="shared" si="2"/>
        <v>1.7800000000000011</v>
      </c>
      <c r="AE54" s="148">
        <f t="shared" si="3"/>
        <v>-1.548451548451546E-2</v>
      </c>
    </row>
    <row r="55" spans="15:31" x14ac:dyDescent="0.25">
      <c r="O55" s="2"/>
      <c r="P55" s="93">
        <v>0.92</v>
      </c>
      <c r="Q55" s="93">
        <f t="shared" si="10"/>
        <v>69</v>
      </c>
      <c r="R55" s="93"/>
      <c r="W55" s="104">
        <v>42367</v>
      </c>
      <c r="X55" s="12">
        <v>79.430000000000007</v>
      </c>
      <c r="Y55" s="43">
        <v>81.349999999999994</v>
      </c>
      <c r="Z55" s="43">
        <v>79.08</v>
      </c>
      <c r="AA55" s="12">
        <v>80.430000000000007</v>
      </c>
      <c r="AB55" s="105">
        <v>2437300</v>
      </c>
      <c r="AC55" s="277">
        <v>80.08</v>
      </c>
      <c r="AD55" s="2">
        <f t="shared" si="2"/>
        <v>2.269999999999996</v>
      </c>
      <c r="AE55" s="148">
        <f t="shared" si="3"/>
        <v>1.4184397163120588E-2</v>
      </c>
    </row>
    <row r="56" spans="15:31" x14ac:dyDescent="0.25">
      <c r="O56" s="2"/>
      <c r="P56" s="93">
        <v>0.91</v>
      </c>
      <c r="Q56" s="93">
        <f t="shared" si="10"/>
        <v>68.25</v>
      </c>
      <c r="R56" s="93"/>
      <c r="W56" s="104">
        <v>42366</v>
      </c>
      <c r="X56" s="12">
        <v>78.81</v>
      </c>
      <c r="Y56" s="43">
        <v>79.900000000000006</v>
      </c>
      <c r="Z56" s="43">
        <v>77.569999999999993</v>
      </c>
      <c r="AA56" s="12">
        <v>79.31</v>
      </c>
      <c r="AB56" s="105">
        <v>3210300</v>
      </c>
      <c r="AC56" s="277">
        <v>78.959999999999994</v>
      </c>
      <c r="AD56" s="2">
        <f t="shared" si="2"/>
        <v>2.3300000000000125</v>
      </c>
      <c r="AE56" s="148">
        <f t="shared" si="3"/>
        <v>-1.2663036596183286E-4</v>
      </c>
    </row>
    <row r="57" spans="15:31" x14ac:dyDescent="0.25">
      <c r="O57" s="2"/>
      <c r="P57" s="93">
        <v>0.9</v>
      </c>
      <c r="Q57" s="93">
        <f t="shared" si="10"/>
        <v>67.5</v>
      </c>
      <c r="R57" s="93"/>
      <c r="W57" s="104">
        <v>42362</v>
      </c>
      <c r="X57" s="12">
        <v>79.17</v>
      </c>
      <c r="Y57" s="43">
        <v>80.48</v>
      </c>
      <c r="Z57" s="43">
        <v>79</v>
      </c>
      <c r="AA57" s="12">
        <v>79.319999999999993</v>
      </c>
      <c r="AB57" s="105">
        <v>1022700</v>
      </c>
      <c r="AC57" s="277">
        <v>78.97</v>
      </c>
      <c r="AD57" s="2">
        <f t="shared" si="2"/>
        <v>1.480000000000004</v>
      </c>
      <c r="AE57" s="148">
        <f t="shared" si="3"/>
        <v>1.9030702867293137E-3</v>
      </c>
    </row>
    <row r="58" spans="15:31" x14ac:dyDescent="0.25">
      <c r="W58" s="104">
        <v>42361</v>
      </c>
      <c r="X58" s="12">
        <v>78.86</v>
      </c>
      <c r="Y58" s="43">
        <v>79.86</v>
      </c>
      <c r="Z58" s="43">
        <v>77.66</v>
      </c>
      <c r="AA58" s="12">
        <v>79.17</v>
      </c>
      <c r="AB58" s="105">
        <v>1919700</v>
      </c>
      <c r="AC58" s="277">
        <v>78.819999999999993</v>
      </c>
      <c r="AD58" s="2">
        <f t="shared" si="2"/>
        <v>2.2000000000000028</v>
      </c>
      <c r="AE58" s="148">
        <f t="shared" si="3"/>
        <v>9.6067631612655191E-3</v>
      </c>
    </row>
    <row r="59" spans="15:31" x14ac:dyDescent="0.25">
      <c r="W59" s="104">
        <v>42360</v>
      </c>
      <c r="X59" s="12">
        <v>78.81</v>
      </c>
      <c r="Y59" s="43">
        <v>79.11</v>
      </c>
      <c r="Z59" s="43">
        <v>76.709999999999994</v>
      </c>
      <c r="AA59" s="12">
        <v>78.41</v>
      </c>
      <c r="AB59" s="105">
        <v>2586200</v>
      </c>
      <c r="AC59" s="277">
        <v>78.069999999999993</v>
      </c>
      <c r="AD59" s="2">
        <f t="shared" si="2"/>
        <v>2.4000000000000057</v>
      </c>
      <c r="AE59" s="148">
        <f t="shared" si="3"/>
        <v>-1.2807377049184332E-4</v>
      </c>
    </row>
    <row r="60" spans="15:31" x14ac:dyDescent="0.25">
      <c r="W60" s="104">
        <v>42359</v>
      </c>
      <c r="X60" s="12">
        <v>77.5</v>
      </c>
      <c r="Y60" s="43">
        <v>78.42</v>
      </c>
      <c r="Z60" s="43">
        <v>76.400000000000006</v>
      </c>
      <c r="AA60" s="12">
        <v>78.42</v>
      </c>
      <c r="AB60" s="105">
        <v>2287400</v>
      </c>
      <c r="AC60" s="277">
        <v>78.08</v>
      </c>
      <c r="AD60" s="2">
        <f t="shared" si="2"/>
        <v>2.019999999999996</v>
      </c>
      <c r="AE60" s="148">
        <f t="shared" si="3"/>
        <v>2.669296515450359E-2</v>
      </c>
    </row>
    <row r="61" spans="15:31" x14ac:dyDescent="0.25">
      <c r="W61" s="104">
        <v>42356</v>
      </c>
      <c r="X61" s="12">
        <v>77.23</v>
      </c>
      <c r="Y61" s="43">
        <v>78.44</v>
      </c>
      <c r="Z61" s="43">
        <v>76.150000000000006</v>
      </c>
      <c r="AA61" s="12">
        <v>76.38</v>
      </c>
      <c r="AB61" s="105">
        <v>3788200</v>
      </c>
      <c r="AC61" s="277">
        <v>76.05</v>
      </c>
      <c r="AD61" s="2">
        <f t="shared" si="2"/>
        <v>2.289999999999992</v>
      </c>
      <c r="AE61" s="148">
        <f t="shared" si="3"/>
        <v>-1.8202943454686205E-2</v>
      </c>
    </row>
    <row r="62" spans="15:31" x14ac:dyDescent="0.25">
      <c r="W62" s="104">
        <v>42355</v>
      </c>
      <c r="X62" s="12">
        <v>79.819999999999993</v>
      </c>
      <c r="Y62" s="43">
        <v>80.63</v>
      </c>
      <c r="Z62" s="43">
        <v>77.760000000000005</v>
      </c>
      <c r="AA62" s="12">
        <v>77.8</v>
      </c>
      <c r="AB62" s="105">
        <v>2298600</v>
      </c>
      <c r="AC62" s="277">
        <v>77.459999999999994</v>
      </c>
      <c r="AD62" s="2">
        <f t="shared" si="2"/>
        <v>2.8699999999999903</v>
      </c>
      <c r="AE62" s="148">
        <f t="shared" si="3"/>
        <v>-1.4754515390486E-2</v>
      </c>
    </row>
    <row r="63" spans="15:31" x14ac:dyDescent="0.25">
      <c r="W63" s="104">
        <v>42354</v>
      </c>
      <c r="X63" s="12">
        <v>78.25</v>
      </c>
      <c r="Y63" s="43">
        <v>79.459999999999994</v>
      </c>
      <c r="Z63" s="43">
        <v>77.13</v>
      </c>
      <c r="AA63" s="12">
        <v>78.97</v>
      </c>
      <c r="AB63" s="105">
        <v>3020700</v>
      </c>
      <c r="AC63" s="277">
        <v>78.62</v>
      </c>
      <c r="AD63" s="2">
        <f t="shared" si="2"/>
        <v>2.3299999999999983</v>
      </c>
      <c r="AE63" s="148">
        <f t="shared" si="3"/>
        <v>1.5237603305785274E-2</v>
      </c>
    </row>
    <row r="64" spans="15:31" x14ac:dyDescent="0.25">
      <c r="W64" s="104">
        <v>42353</v>
      </c>
      <c r="X64" s="12">
        <v>78.180000000000007</v>
      </c>
      <c r="Y64" s="43">
        <v>78.78</v>
      </c>
      <c r="Z64" s="43">
        <v>76.849999999999994</v>
      </c>
      <c r="AA64" s="12">
        <v>77.78</v>
      </c>
      <c r="AB64" s="105">
        <v>4556100</v>
      </c>
      <c r="AC64" s="277">
        <v>77.44</v>
      </c>
      <c r="AD64" s="2">
        <f t="shared" si="2"/>
        <v>1.9300000000000068</v>
      </c>
      <c r="AE64" s="148">
        <f t="shared" si="3"/>
        <v>-9.3386209543303567E-3</v>
      </c>
    </row>
    <row r="65" spans="23:31" x14ac:dyDescent="0.25">
      <c r="W65" s="104">
        <v>42352</v>
      </c>
      <c r="X65" s="12">
        <v>79.64</v>
      </c>
      <c r="Y65" s="43">
        <v>79.989999999999995</v>
      </c>
      <c r="Z65" s="43">
        <v>76.45</v>
      </c>
      <c r="AA65" s="12">
        <v>78.510000000000005</v>
      </c>
      <c r="AB65" s="105">
        <v>6032200</v>
      </c>
      <c r="AC65" s="277">
        <v>78.17</v>
      </c>
      <c r="AD65" s="2">
        <f t="shared" si="2"/>
        <v>3.539999999999992</v>
      </c>
      <c r="AE65" s="148">
        <f t="shared" si="3"/>
        <v>-3.5771555445910819E-2</v>
      </c>
    </row>
    <row r="66" spans="23:31" x14ac:dyDescent="0.25">
      <c r="W66" s="104">
        <v>42349</v>
      </c>
      <c r="X66" s="12">
        <v>83.07</v>
      </c>
      <c r="Y66" s="43">
        <v>83.56</v>
      </c>
      <c r="Z66" s="43">
        <v>80.81</v>
      </c>
      <c r="AA66" s="12">
        <v>81.430000000000007</v>
      </c>
      <c r="AB66" s="105">
        <v>4162700</v>
      </c>
      <c r="AC66" s="277">
        <v>81.069999999999993</v>
      </c>
      <c r="AD66" s="2">
        <f t="shared" si="2"/>
        <v>2.75</v>
      </c>
      <c r="AE66" s="148">
        <f t="shared" si="3"/>
        <v>-4.0818741126360636E-2</v>
      </c>
    </row>
    <row r="67" spans="23:31" x14ac:dyDescent="0.25">
      <c r="W67" s="104">
        <v>42348</v>
      </c>
      <c r="X67" s="12">
        <v>84.51</v>
      </c>
      <c r="Y67" s="43">
        <v>86.18</v>
      </c>
      <c r="Z67" s="43">
        <v>84.17</v>
      </c>
      <c r="AA67" s="12">
        <v>84.89</v>
      </c>
      <c r="AB67" s="105">
        <v>2573700</v>
      </c>
      <c r="AC67" s="277">
        <v>84.52</v>
      </c>
      <c r="AD67" s="2">
        <f t="shared" si="2"/>
        <v>2.0100000000000051</v>
      </c>
      <c r="AE67" s="148">
        <f t="shared" si="3"/>
        <v>2.4908077333649636E-3</v>
      </c>
    </row>
    <row r="68" spans="23:31" x14ac:dyDescent="0.25">
      <c r="W68" s="104">
        <v>42347</v>
      </c>
      <c r="X68" s="12">
        <v>86.53</v>
      </c>
      <c r="Y68" s="43">
        <v>86.74</v>
      </c>
      <c r="Z68" s="43">
        <v>83.92</v>
      </c>
      <c r="AA68" s="12">
        <v>84.68</v>
      </c>
      <c r="AB68" s="105">
        <v>4055100</v>
      </c>
      <c r="AC68" s="277">
        <v>84.31</v>
      </c>
      <c r="AD68" s="2">
        <f>Y68-Z68</f>
        <v>2.8199999999999932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97" priority="27">
      <formula>F7&gt;0</formula>
    </cfRule>
    <cfRule type="expression" dxfId="29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95" priority="19">
      <formula>F22&gt;0</formula>
    </cfRule>
    <cfRule type="expression" dxfId="294" priority="20">
      <formula>F22&lt;0</formula>
    </cfRule>
  </conditionalFormatting>
  <conditionalFormatting sqref="F22:F35">
    <cfRule type="expression" dxfId="293" priority="21">
      <formula>F22&gt;0</formula>
    </cfRule>
    <cfRule type="expression" dxfId="292" priority="22">
      <formula>F22&lt;0</formula>
    </cfRule>
  </conditionalFormatting>
  <conditionalFormatting sqref="H20:H35">
    <cfRule type="expression" dxfId="291" priority="17">
      <formula>H20&gt;0</formula>
    </cfRule>
    <cfRule type="expression" dxfId="290" priority="18">
      <formula>H20&lt;0</formula>
    </cfRule>
  </conditionalFormatting>
  <conditionalFormatting sqref="F15:F19">
    <cfRule type="expression" dxfId="289" priority="3">
      <formula>F15&gt;0</formula>
    </cfRule>
    <cfRule type="expression" dxfId="288" priority="4">
      <formula>F15&lt;0</formula>
    </cfRule>
  </conditionalFormatting>
  <conditionalFormatting sqref="H15:H19">
    <cfRule type="expression" dxfId="287" priority="1">
      <formula>H15&gt;0</formula>
    </cfRule>
    <cfRule type="expression" dxfId="2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42444</v>
      </c>
      <c r="X2" s="44">
        <v>59.61</v>
      </c>
      <c r="Y2" s="44">
        <v>60.53</v>
      </c>
      <c r="Z2" s="44">
        <v>59.41</v>
      </c>
      <c r="AA2" s="44">
        <v>60.51</v>
      </c>
      <c r="AB2" s="114">
        <v>1093500</v>
      </c>
      <c r="AC2" s="11">
        <v>60.51</v>
      </c>
      <c r="AD2" s="2">
        <f>Y2-Z2</f>
        <v>1.1200000000000045</v>
      </c>
      <c r="AE2" s="148">
        <f>AC2/AC3-1</f>
        <v>5.1495016611295963E-3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60.96</v>
      </c>
      <c r="W3" s="133">
        <v>42443</v>
      </c>
      <c r="X3" s="44">
        <v>59.93</v>
      </c>
      <c r="Y3" s="44">
        <v>60.66</v>
      </c>
      <c r="Z3" s="44">
        <v>59.85</v>
      </c>
      <c r="AA3" s="44">
        <v>60.2</v>
      </c>
      <c r="AB3" s="114">
        <v>745700</v>
      </c>
      <c r="AC3" s="11">
        <v>60.2</v>
      </c>
      <c r="AD3" s="2">
        <f t="shared" ref="AD3:AD66" si="0">Y3-Z3</f>
        <v>0.80999999999999517</v>
      </c>
      <c r="AE3" s="148">
        <f t="shared" ref="AE3:AE66" si="1">AC3/AC4-1</f>
        <v>-2.8159681961238414E-3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60.96</v>
      </c>
      <c r="T4" s="1"/>
      <c r="W4" s="133">
        <v>42440</v>
      </c>
      <c r="X4" s="44">
        <v>59.7</v>
      </c>
      <c r="Y4" s="44">
        <v>60.8</v>
      </c>
      <c r="Z4" s="44">
        <v>59.57</v>
      </c>
      <c r="AA4" s="44">
        <v>60.37</v>
      </c>
      <c r="AB4" s="114">
        <v>781000</v>
      </c>
      <c r="AC4" s="11">
        <v>60.37</v>
      </c>
      <c r="AD4" s="2">
        <f t="shared" si="0"/>
        <v>1.2299999999999969</v>
      </c>
      <c r="AE4" s="148">
        <f t="shared" si="1"/>
        <v>2.3914518317503353E-2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42439</v>
      </c>
      <c r="X5" s="44">
        <v>60.58</v>
      </c>
      <c r="Y5" s="44">
        <v>60.9</v>
      </c>
      <c r="Z5" s="44">
        <v>58.56</v>
      </c>
      <c r="AA5" s="44">
        <v>58.96</v>
      </c>
      <c r="AB5" s="114">
        <v>1166100</v>
      </c>
      <c r="AC5" s="11">
        <v>58.96</v>
      </c>
      <c r="AD5" s="2">
        <f t="shared" si="0"/>
        <v>2.3399999999999963</v>
      </c>
      <c r="AE5" s="148">
        <f t="shared" si="1"/>
        <v>-2.3355971509027573E-2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42438</v>
      </c>
      <c r="X6" s="44">
        <v>59.79</v>
      </c>
      <c r="Y6" s="44">
        <v>60.74</v>
      </c>
      <c r="Z6" s="44">
        <v>59.49</v>
      </c>
      <c r="AA6" s="44">
        <v>60.37</v>
      </c>
      <c r="AB6" s="114">
        <v>1138800</v>
      </c>
      <c r="AC6" s="11">
        <v>60.37</v>
      </c>
      <c r="AD6" s="2">
        <f t="shared" si="0"/>
        <v>1.25</v>
      </c>
      <c r="AE6" s="148">
        <f t="shared" si="1"/>
        <v>1.445135271382969E-2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42437</v>
      </c>
      <c r="X7" s="44">
        <v>59.58</v>
      </c>
      <c r="Y7" s="44">
        <v>59.94</v>
      </c>
      <c r="Z7" s="44">
        <v>59.24</v>
      </c>
      <c r="AA7" s="44">
        <v>59.51</v>
      </c>
      <c r="AB7" s="114">
        <v>1057900</v>
      </c>
      <c r="AC7" s="11">
        <v>59.51</v>
      </c>
      <c r="AD7" s="2">
        <f t="shared" si="0"/>
        <v>0.69999999999999574</v>
      </c>
      <c r="AE7" s="148" t="e">
        <f t="shared" si="1"/>
        <v>#DIV/0!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42437</v>
      </c>
      <c r="X8" s="44" t="s">
        <v>276</v>
      </c>
      <c r="Y8" s="44"/>
      <c r="Z8" s="44"/>
      <c r="AA8" s="44"/>
      <c r="AB8" s="114"/>
      <c r="AC8" s="11"/>
      <c r="AD8" s="2">
        <f t="shared" si="0"/>
        <v>0</v>
      </c>
      <c r="AE8" s="148">
        <f t="shared" si="1"/>
        <v>-1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230</v>
      </c>
      <c r="Q9" s="148">
        <f>VALUE(TRIM(CLEAN(MID(U62, FIND("(", U62)+1, 5))))</f>
        <v>1.8800000000000001E-2</v>
      </c>
      <c r="W9" s="133">
        <v>42436</v>
      </c>
      <c r="X9" s="44">
        <v>58.66</v>
      </c>
      <c r="Y9" s="44">
        <v>60.42</v>
      </c>
      <c r="Z9" s="44">
        <v>58.63</v>
      </c>
      <c r="AA9" s="44">
        <v>60.09</v>
      </c>
      <c r="AB9" s="114">
        <v>1151100</v>
      </c>
      <c r="AC9" s="11">
        <v>59.81</v>
      </c>
      <c r="AD9" s="2">
        <f t="shared" si="0"/>
        <v>1.7899999999999991</v>
      </c>
      <c r="AE9" s="148">
        <f t="shared" si="1"/>
        <v>1.5622346748174643E-2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42433</v>
      </c>
      <c r="X10" s="44">
        <v>57.81</v>
      </c>
      <c r="Y10" s="44">
        <v>59.34</v>
      </c>
      <c r="Z10" s="44">
        <v>57.81</v>
      </c>
      <c r="AA10" s="44">
        <v>59.17</v>
      </c>
      <c r="AB10" s="114">
        <v>830500</v>
      </c>
      <c r="AC10" s="11">
        <v>58.89</v>
      </c>
      <c r="AD10" s="2">
        <f t="shared" si="0"/>
        <v>1.5300000000000011</v>
      </c>
      <c r="AE10" s="148">
        <f t="shared" si="1"/>
        <v>2.1686328938237409E-2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42432</v>
      </c>
      <c r="X11" s="44">
        <v>58.03</v>
      </c>
      <c r="Y11" s="44">
        <v>58.29</v>
      </c>
      <c r="Z11" s="44">
        <v>57.57</v>
      </c>
      <c r="AA11" s="44">
        <v>57.91</v>
      </c>
      <c r="AB11" s="114">
        <v>904800</v>
      </c>
      <c r="AC11" s="11">
        <v>57.64</v>
      </c>
      <c r="AD11" s="2">
        <f t="shared" si="0"/>
        <v>0.71999999999999886</v>
      </c>
      <c r="AE11" s="148">
        <f t="shared" si="1"/>
        <v>1.5638575152041589E-3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42431</v>
      </c>
      <c r="X12" s="44">
        <v>58.57</v>
      </c>
      <c r="Y12" s="44">
        <v>59.08</v>
      </c>
      <c r="Z12" s="44">
        <v>57.51</v>
      </c>
      <c r="AA12" s="44">
        <v>57.82</v>
      </c>
      <c r="AB12" s="114">
        <v>1134500</v>
      </c>
      <c r="AC12" s="11">
        <v>57.55</v>
      </c>
      <c r="AD12" s="2">
        <f t="shared" si="0"/>
        <v>1.5700000000000003</v>
      </c>
      <c r="AE12" s="148">
        <f t="shared" si="1"/>
        <v>-2.0258767449778725E-2</v>
      </c>
      <c r="AL12" s="263"/>
      <c r="AO12" s="263"/>
    </row>
    <row r="13" spans="1:42" x14ac:dyDescent="0.25">
      <c r="B13" s="209" t="s">
        <v>117</v>
      </c>
      <c r="C13" s="209" t="s">
        <v>170</v>
      </c>
      <c r="D13" s="219" t="s">
        <v>169</v>
      </c>
      <c r="E13" s="213" t="s">
        <v>171</v>
      </c>
      <c r="F13" s="213" t="s">
        <v>65</v>
      </c>
      <c r="G13" s="253" t="s">
        <v>175</v>
      </c>
      <c r="H13" s="213" t="s">
        <v>90</v>
      </c>
      <c r="I13" s="274" t="s">
        <v>183</v>
      </c>
      <c r="J13" s="3"/>
      <c r="K13" s="3"/>
      <c r="L13" s="4"/>
      <c r="W13" s="133">
        <v>42430</v>
      </c>
      <c r="X13" s="44">
        <v>58.5</v>
      </c>
      <c r="Y13" s="44">
        <v>59.46</v>
      </c>
      <c r="Z13" s="44">
        <v>58.48</v>
      </c>
      <c r="AA13" s="44">
        <v>59.02</v>
      </c>
      <c r="AB13" s="114">
        <v>1364900</v>
      </c>
      <c r="AC13" s="11">
        <v>58.74</v>
      </c>
      <c r="AD13" s="2">
        <f t="shared" si="0"/>
        <v>0.98000000000000398</v>
      </c>
      <c r="AE13" s="148">
        <f t="shared" si="1"/>
        <v>1.9260801665799132E-2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42429</v>
      </c>
      <c r="X14" s="44">
        <v>58.35</v>
      </c>
      <c r="Y14" s="44">
        <v>58.8</v>
      </c>
      <c r="Z14" s="44">
        <v>57.76</v>
      </c>
      <c r="AA14" s="44">
        <v>57.9</v>
      </c>
      <c r="AB14" s="114">
        <v>1279300</v>
      </c>
      <c r="AC14" s="11">
        <v>57.63</v>
      </c>
      <c r="AD14" s="2">
        <f t="shared" si="0"/>
        <v>1.0399999999999991</v>
      </c>
      <c r="AE14" s="148">
        <f t="shared" si="1"/>
        <v>-8.9423903697334328E-3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42426</v>
      </c>
      <c r="X15" s="44">
        <v>58.4</v>
      </c>
      <c r="Y15" s="44">
        <v>59.06</v>
      </c>
      <c r="Z15" s="44">
        <v>58.33</v>
      </c>
      <c r="AA15" s="44">
        <v>58.42</v>
      </c>
      <c r="AB15" s="114">
        <v>1068200</v>
      </c>
      <c r="AC15" s="11">
        <v>58.15</v>
      </c>
      <c r="AD15" s="2">
        <f t="shared" si="0"/>
        <v>0.73000000000000398</v>
      </c>
      <c r="AE15" s="148">
        <f t="shared" si="1"/>
        <v>4.14436194094292E-3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42425</v>
      </c>
      <c r="X16" s="44">
        <v>57.9</v>
      </c>
      <c r="Y16" s="44">
        <v>58.4</v>
      </c>
      <c r="Z16" s="44">
        <v>57.35</v>
      </c>
      <c r="AA16" s="44">
        <v>58.18</v>
      </c>
      <c r="AB16" s="114">
        <v>1611800</v>
      </c>
      <c r="AC16" s="11">
        <v>57.91</v>
      </c>
      <c r="AD16" s="2">
        <f t="shared" si="0"/>
        <v>1.0499999999999972</v>
      </c>
      <c r="AE16" s="148">
        <f t="shared" si="1"/>
        <v>9.7646033129903387E-3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42424</v>
      </c>
      <c r="X17" s="44">
        <v>56.2</v>
      </c>
      <c r="Y17" s="44">
        <v>57.85</v>
      </c>
      <c r="Z17" s="44">
        <v>55.27</v>
      </c>
      <c r="AA17" s="44">
        <v>57.62</v>
      </c>
      <c r="AB17" s="114">
        <v>1451700</v>
      </c>
      <c r="AC17" s="11">
        <v>57.35</v>
      </c>
      <c r="AD17" s="2">
        <f t="shared" si="0"/>
        <v>2.5799999999999983</v>
      </c>
      <c r="AE17" s="148">
        <f t="shared" si="1"/>
        <v>1.1285487568330144E-2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42423</v>
      </c>
      <c r="X18" s="44">
        <v>57.77</v>
      </c>
      <c r="Y18" s="44">
        <v>57.89</v>
      </c>
      <c r="Z18" s="44">
        <v>56.7</v>
      </c>
      <c r="AA18" s="44">
        <v>56.98</v>
      </c>
      <c r="AB18" s="114">
        <v>1173000</v>
      </c>
      <c r="AC18" s="11">
        <v>56.71</v>
      </c>
      <c r="AD18" s="2">
        <f t="shared" si="0"/>
        <v>1.1899999999999977</v>
      </c>
      <c r="AE18" s="148">
        <f t="shared" si="1"/>
        <v>-1.0642009769713856E-2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42422</v>
      </c>
      <c r="X19" s="44">
        <v>57.62</v>
      </c>
      <c r="Y19" s="44">
        <v>58.32</v>
      </c>
      <c r="Z19" s="44">
        <v>57.33</v>
      </c>
      <c r="AA19" s="44">
        <v>57.59</v>
      </c>
      <c r="AB19" s="114">
        <v>1153700</v>
      </c>
      <c r="AC19" s="11">
        <v>57.32</v>
      </c>
      <c r="AD19" s="2">
        <f t="shared" si="0"/>
        <v>0.99000000000000199</v>
      </c>
      <c r="AE19" s="148">
        <f t="shared" si="1"/>
        <v>1.0044052863436237E-2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42419</v>
      </c>
      <c r="X20" s="44">
        <v>56.42</v>
      </c>
      <c r="Y20" s="44">
        <v>57.13</v>
      </c>
      <c r="Z20" s="44">
        <v>56.22</v>
      </c>
      <c r="AA20" s="44">
        <v>57.02</v>
      </c>
      <c r="AB20" s="114">
        <v>1340500</v>
      </c>
      <c r="AC20" s="11">
        <v>56.75</v>
      </c>
      <c r="AD20" s="2">
        <f t="shared" si="0"/>
        <v>0.91000000000000369</v>
      </c>
      <c r="AE20" s="148">
        <f t="shared" si="1"/>
        <v>-1.7590149516271136E-3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42418</v>
      </c>
      <c r="X21" s="44">
        <v>57.31</v>
      </c>
      <c r="Y21" s="44">
        <v>57.47</v>
      </c>
      <c r="Z21" s="44">
        <v>56.48</v>
      </c>
      <c r="AA21" s="44">
        <v>57.12</v>
      </c>
      <c r="AB21" s="114">
        <v>1107100</v>
      </c>
      <c r="AC21" s="11">
        <v>56.85</v>
      </c>
      <c r="AD21" s="2">
        <f t="shared" si="0"/>
        <v>0.99000000000000199</v>
      </c>
      <c r="AE21" s="148">
        <f t="shared" si="1"/>
        <v>5.2798310454060804E-4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42417</v>
      </c>
      <c r="X22" s="44">
        <v>55.93</v>
      </c>
      <c r="Y22" s="44">
        <v>57.32</v>
      </c>
      <c r="Z22" s="44">
        <v>55.7</v>
      </c>
      <c r="AA22" s="44">
        <v>57.09</v>
      </c>
      <c r="AB22" s="114">
        <v>1404400</v>
      </c>
      <c r="AC22" s="11">
        <v>56.82</v>
      </c>
      <c r="AD22" s="2">
        <f t="shared" si="0"/>
        <v>1.6199999999999974</v>
      </c>
      <c r="AE22" s="148">
        <f t="shared" si="1"/>
        <v>2.7300668956788954E-2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42416</v>
      </c>
      <c r="X23" s="44">
        <v>55.9</v>
      </c>
      <c r="Y23" s="44">
        <v>55.95</v>
      </c>
      <c r="Z23" s="44">
        <v>54.6</v>
      </c>
      <c r="AA23" s="44">
        <v>55.57</v>
      </c>
      <c r="AB23" s="114">
        <v>1296100</v>
      </c>
      <c r="AC23" s="11">
        <v>55.31</v>
      </c>
      <c r="AD23" s="2">
        <f t="shared" si="0"/>
        <v>1.3500000000000014</v>
      </c>
      <c r="AE23" s="148">
        <f t="shared" si="1"/>
        <v>6.3682678311498542E-3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42412</v>
      </c>
      <c r="X24" s="44">
        <v>54.7</v>
      </c>
      <c r="Y24" s="44">
        <v>55.49</v>
      </c>
      <c r="Z24" s="44">
        <v>54.61</v>
      </c>
      <c r="AA24" s="44">
        <v>55.22</v>
      </c>
      <c r="AB24" s="114">
        <v>1141700</v>
      </c>
      <c r="AC24" s="11">
        <v>54.96</v>
      </c>
      <c r="AD24" s="2">
        <f t="shared" si="0"/>
        <v>0.88000000000000256</v>
      </c>
      <c r="AE24" s="148">
        <f t="shared" si="1"/>
        <v>9.7372772368180538E-3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42411</v>
      </c>
      <c r="X25" s="44">
        <v>52.84</v>
      </c>
      <c r="Y25" s="44">
        <v>54.81</v>
      </c>
      <c r="Z25" s="44">
        <v>52.53</v>
      </c>
      <c r="AA25" s="44">
        <v>54.69</v>
      </c>
      <c r="AB25" s="114">
        <v>1694800</v>
      </c>
      <c r="AC25" s="11">
        <v>54.43</v>
      </c>
      <c r="AD25" s="2">
        <f t="shared" si="0"/>
        <v>2.2800000000000011</v>
      </c>
      <c r="AE25" s="148">
        <f t="shared" si="1"/>
        <v>6.4718934911243142E-3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42410</v>
      </c>
      <c r="X26" s="44">
        <v>55.03</v>
      </c>
      <c r="Y26" s="44">
        <v>55.61</v>
      </c>
      <c r="Z26" s="44">
        <v>54.17</v>
      </c>
      <c r="AA26" s="44">
        <v>54.34</v>
      </c>
      <c r="AB26" s="114">
        <v>1370400</v>
      </c>
      <c r="AC26" s="11">
        <v>54.08</v>
      </c>
      <c r="AD26" s="2">
        <f t="shared" si="0"/>
        <v>1.4399999999999977</v>
      </c>
      <c r="AE26" s="148">
        <f t="shared" si="1"/>
        <v>-1.4218009478673022E-2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42409</v>
      </c>
      <c r="X27" s="44">
        <v>53.37</v>
      </c>
      <c r="Y27" s="44">
        <v>55.28</v>
      </c>
      <c r="Z27" s="44">
        <v>53.35</v>
      </c>
      <c r="AA27" s="44">
        <v>55.12</v>
      </c>
      <c r="AB27" s="114">
        <v>1920900</v>
      </c>
      <c r="AC27" s="11">
        <v>54.86</v>
      </c>
      <c r="AD27" s="2">
        <f t="shared" si="0"/>
        <v>1.9299999999999997</v>
      </c>
      <c r="AE27" s="148">
        <f t="shared" si="1"/>
        <v>2.1791767554479424E-2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42408</v>
      </c>
      <c r="X28" s="44">
        <v>52.7</v>
      </c>
      <c r="Y28" s="44">
        <v>54.14</v>
      </c>
      <c r="Z28" s="44">
        <v>52.38</v>
      </c>
      <c r="AA28" s="44">
        <v>53.94</v>
      </c>
      <c r="AB28" s="114">
        <v>1525000</v>
      </c>
      <c r="AC28" s="11">
        <v>53.69</v>
      </c>
      <c r="AD28" s="2">
        <f t="shared" si="0"/>
        <v>1.759999999999998</v>
      </c>
      <c r="AE28" s="148">
        <f t="shared" si="1"/>
        <v>1.1111111111111072E-2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42405</v>
      </c>
      <c r="X29" s="44">
        <v>54.97</v>
      </c>
      <c r="Y29" s="44">
        <v>55.02</v>
      </c>
      <c r="Z29" s="44">
        <v>53.04</v>
      </c>
      <c r="AA29" s="44">
        <v>53.35</v>
      </c>
      <c r="AB29" s="114">
        <v>1474700</v>
      </c>
      <c r="AC29" s="11">
        <v>53.1</v>
      </c>
      <c r="AD29" s="2">
        <f t="shared" si="0"/>
        <v>1.980000000000004</v>
      </c>
      <c r="AE29" s="148">
        <f t="shared" si="1"/>
        <v>-3.1552070034652546E-2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42404</v>
      </c>
      <c r="X30" s="44">
        <v>53.51</v>
      </c>
      <c r="Y30" s="44">
        <v>55.63</v>
      </c>
      <c r="Z30" s="44">
        <v>53.5</v>
      </c>
      <c r="AA30" s="44">
        <v>55.09</v>
      </c>
      <c r="AB30" s="114">
        <v>1935700</v>
      </c>
      <c r="AC30" s="11">
        <v>54.83</v>
      </c>
      <c r="AD30" s="2">
        <f t="shared" si="0"/>
        <v>2.1300000000000026</v>
      </c>
      <c r="AE30" s="148">
        <f t="shared" si="1"/>
        <v>3.3358462118356469E-2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42403</v>
      </c>
      <c r="X31" s="44">
        <v>52.99</v>
      </c>
      <c r="Y31" s="44">
        <v>53.54</v>
      </c>
      <c r="Z31" s="44">
        <v>51.78</v>
      </c>
      <c r="AA31" s="44">
        <v>53.31</v>
      </c>
      <c r="AB31" s="114">
        <v>1606300</v>
      </c>
      <c r="AC31" s="11">
        <v>53.06</v>
      </c>
      <c r="AD31" s="2">
        <f t="shared" si="0"/>
        <v>1.759999999999998</v>
      </c>
      <c r="AE31" s="148">
        <f t="shared" si="1"/>
        <v>2.5115919629057348E-2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42402</v>
      </c>
      <c r="X32" s="44">
        <v>52.29</v>
      </c>
      <c r="Y32" s="44">
        <v>52.91</v>
      </c>
      <c r="Z32" s="44">
        <v>51.75</v>
      </c>
      <c r="AA32" s="44">
        <v>52</v>
      </c>
      <c r="AB32" s="114">
        <v>1658700</v>
      </c>
      <c r="AC32" s="11">
        <v>51.76</v>
      </c>
      <c r="AD32" s="2">
        <f t="shared" si="0"/>
        <v>1.1599999999999966</v>
      </c>
      <c r="AE32" s="148">
        <f t="shared" si="1"/>
        <v>-2.7250516820146675E-2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42401</v>
      </c>
      <c r="X33" s="44">
        <v>52.65</v>
      </c>
      <c r="Y33" s="44">
        <v>53.67</v>
      </c>
      <c r="Z33" s="44">
        <v>52.11</v>
      </c>
      <c r="AA33" s="44">
        <v>53.46</v>
      </c>
      <c r="AB33" s="114">
        <v>1780900</v>
      </c>
      <c r="AC33" s="11">
        <v>53.21</v>
      </c>
      <c r="AD33" s="2">
        <f t="shared" si="0"/>
        <v>1.5600000000000023</v>
      </c>
      <c r="AE33" s="148">
        <f t="shared" si="1"/>
        <v>-5.6348610067624705E-4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42398</v>
      </c>
      <c r="X34" s="44">
        <v>53.28</v>
      </c>
      <c r="Y34" s="44">
        <v>53.65</v>
      </c>
      <c r="Z34" s="44">
        <v>52.73</v>
      </c>
      <c r="AA34" s="44">
        <v>53.49</v>
      </c>
      <c r="AB34" s="114">
        <v>1605900</v>
      </c>
      <c r="AC34" s="11">
        <v>53.24</v>
      </c>
      <c r="AD34" s="2">
        <f t="shared" si="0"/>
        <v>0.92000000000000171</v>
      </c>
      <c r="AE34" s="148">
        <f t="shared" si="1"/>
        <v>1.351608604606902E-2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42397</v>
      </c>
      <c r="X35" s="44">
        <v>51.56</v>
      </c>
      <c r="Y35" s="44">
        <v>52.99</v>
      </c>
      <c r="Z35" s="44">
        <v>51.13</v>
      </c>
      <c r="AA35" s="44">
        <v>52.78</v>
      </c>
      <c r="AB35" s="114">
        <v>2245500</v>
      </c>
      <c r="AC35" s="11">
        <v>52.53</v>
      </c>
      <c r="AD35" s="2">
        <f t="shared" si="0"/>
        <v>1.8599999999999994</v>
      </c>
      <c r="AE35" s="148">
        <f t="shared" si="1"/>
        <v>3.8963607594936667E-2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42396</v>
      </c>
      <c r="X36" s="44">
        <v>51.87</v>
      </c>
      <c r="Y36" s="44">
        <v>52.06</v>
      </c>
      <c r="Z36" s="44">
        <v>50.2</v>
      </c>
      <c r="AA36" s="44">
        <v>50.8</v>
      </c>
      <c r="AB36" s="114">
        <v>2087600</v>
      </c>
      <c r="AC36" s="11">
        <v>50.56</v>
      </c>
      <c r="AD36" s="2">
        <f t="shared" si="0"/>
        <v>1.8599999999999994</v>
      </c>
      <c r="AE36" s="148">
        <f t="shared" si="1"/>
        <v>4.5698390621895513E-3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42395</v>
      </c>
      <c r="X37" s="44">
        <v>49.52</v>
      </c>
      <c r="Y37" s="44">
        <v>50.83</v>
      </c>
      <c r="Z37" s="44">
        <v>49.39</v>
      </c>
      <c r="AA37" s="44">
        <v>50.57</v>
      </c>
      <c r="AB37" s="114">
        <v>1874400</v>
      </c>
      <c r="AC37" s="11">
        <v>50.33</v>
      </c>
      <c r="AD37" s="2">
        <f t="shared" si="0"/>
        <v>1.4399999999999977</v>
      </c>
      <c r="AE37" s="148">
        <f t="shared" si="1"/>
        <v>2.9243353783231063E-2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42394</v>
      </c>
      <c r="X38" s="44">
        <v>49.56</v>
      </c>
      <c r="Y38" s="44">
        <v>49.9</v>
      </c>
      <c r="Z38" s="44">
        <v>48.89</v>
      </c>
      <c r="AA38" s="44">
        <v>49.13</v>
      </c>
      <c r="AB38" s="114">
        <v>1970300</v>
      </c>
      <c r="AC38" s="11">
        <v>48.9</v>
      </c>
      <c r="AD38" s="2">
        <f t="shared" si="0"/>
        <v>1.009999999999998</v>
      </c>
      <c r="AE38" s="148">
        <f t="shared" si="1"/>
        <v>-1.2719563900666309E-2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42391</v>
      </c>
      <c r="X39" s="44">
        <v>49.64</v>
      </c>
      <c r="Y39" s="44">
        <v>50.56</v>
      </c>
      <c r="Z39" s="44">
        <v>49.44</v>
      </c>
      <c r="AA39" s="44">
        <v>49.76</v>
      </c>
      <c r="AB39" s="114">
        <v>2428900</v>
      </c>
      <c r="AC39" s="11">
        <v>49.53</v>
      </c>
      <c r="AD39" s="2">
        <f t="shared" si="0"/>
        <v>1.1200000000000045</v>
      </c>
      <c r="AE39" s="148">
        <f t="shared" si="1"/>
        <v>2.7380211574362212E-2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42390</v>
      </c>
      <c r="X40" s="44">
        <v>47.56</v>
      </c>
      <c r="Y40" s="44">
        <v>48.58</v>
      </c>
      <c r="Z40" s="44">
        <v>46.23</v>
      </c>
      <c r="AA40" s="44">
        <v>48.44</v>
      </c>
      <c r="AB40" s="114">
        <v>2912900</v>
      </c>
      <c r="AC40" s="11">
        <v>48.21</v>
      </c>
      <c r="AD40" s="2">
        <f t="shared" si="0"/>
        <v>2.3500000000000014</v>
      </c>
      <c r="AE40" s="148">
        <f t="shared" si="1"/>
        <v>1.70886075949368E-2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42389</v>
      </c>
      <c r="X41" s="44">
        <v>48.26</v>
      </c>
      <c r="Y41" s="44">
        <v>48.41</v>
      </c>
      <c r="Z41" s="44">
        <v>46.49</v>
      </c>
      <c r="AA41" s="44">
        <v>47.62</v>
      </c>
      <c r="AB41" s="114">
        <v>2750900</v>
      </c>
      <c r="AC41" s="11">
        <v>47.4</v>
      </c>
      <c r="AD41" s="2">
        <f t="shared" si="0"/>
        <v>1.9199999999999946</v>
      </c>
      <c r="AE41" s="148">
        <f t="shared" si="1"/>
        <v>-3.2455603184323389E-2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42388</v>
      </c>
      <c r="X42" s="44">
        <v>50.58</v>
      </c>
      <c r="Y42" s="44">
        <v>50.86</v>
      </c>
      <c r="Z42" s="44">
        <v>48.89</v>
      </c>
      <c r="AA42" s="44">
        <v>49.22</v>
      </c>
      <c r="AB42" s="114">
        <v>1915300</v>
      </c>
      <c r="AC42" s="11">
        <v>48.99</v>
      </c>
      <c r="AD42" s="2">
        <f t="shared" si="0"/>
        <v>1.9699999999999989</v>
      </c>
      <c r="AE42" s="148">
        <f t="shared" si="1"/>
        <v>-1.2298387096774221E-2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42384</v>
      </c>
      <c r="X43" s="44">
        <v>49.88</v>
      </c>
      <c r="Y43" s="44">
        <v>50.71</v>
      </c>
      <c r="Z43" s="44">
        <v>49.25</v>
      </c>
      <c r="AA43" s="44">
        <v>49.83</v>
      </c>
      <c r="AB43" s="114">
        <v>1618500</v>
      </c>
      <c r="AC43" s="11">
        <v>49.6</v>
      </c>
      <c r="AD43" s="2">
        <f t="shared" si="0"/>
        <v>1.4600000000000009</v>
      </c>
      <c r="AE43" s="148">
        <f t="shared" si="1"/>
        <v>-3.4267912772585674E-2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42383</v>
      </c>
      <c r="X44" s="44">
        <v>50.9</v>
      </c>
      <c r="Y44" s="44">
        <v>51.96</v>
      </c>
      <c r="Z44" s="44">
        <v>50.45</v>
      </c>
      <c r="AA44" s="44">
        <v>51.6</v>
      </c>
      <c r="AB44" s="114">
        <v>1733500</v>
      </c>
      <c r="AC44" s="11">
        <v>51.36</v>
      </c>
      <c r="AD44" s="2">
        <f t="shared" si="0"/>
        <v>1.509999999999998</v>
      </c>
      <c r="AE44" s="148">
        <f t="shared" si="1"/>
        <v>1.6425885612507463E-2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42382</v>
      </c>
      <c r="X45" s="44">
        <v>53.4</v>
      </c>
      <c r="Y45" s="44">
        <v>53.4</v>
      </c>
      <c r="Z45" s="44">
        <v>50.2</v>
      </c>
      <c r="AA45" s="44">
        <v>50.77</v>
      </c>
      <c r="AB45" s="114">
        <v>2287200</v>
      </c>
      <c r="AC45" s="11">
        <v>50.53</v>
      </c>
      <c r="AD45" s="2">
        <f t="shared" si="0"/>
        <v>3.1999999999999957</v>
      </c>
      <c r="AE45" s="148">
        <f t="shared" si="1"/>
        <v>-3.273353751914243E-2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08" t="s">
        <v>78</v>
      </c>
      <c r="P46" s="408"/>
      <c r="Q46" s="2"/>
      <c r="T46" s="115" t="s">
        <v>94</v>
      </c>
      <c r="U46" s="119"/>
      <c r="W46" s="133">
        <v>42381</v>
      </c>
      <c r="X46" s="44">
        <v>51.84</v>
      </c>
      <c r="Y46" s="44">
        <v>52.57</v>
      </c>
      <c r="Z46" s="44">
        <v>51.32</v>
      </c>
      <c r="AA46" s="44">
        <v>52.49</v>
      </c>
      <c r="AB46" s="114">
        <v>1707400</v>
      </c>
      <c r="AC46" s="11">
        <v>52.24</v>
      </c>
      <c r="AD46" s="2">
        <f t="shared" si="0"/>
        <v>1.25</v>
      </c>
      <c r="AE46" s="148">
        <f t="shared" si="1"/>
        <v>1.6935954837453915E-2</v>
      </c>
    </row>
    <row r="47" spans="2:41" ht="15.75" thickTop="1" x14ac:dyDescent="0.25">
      <c r="B47" s="410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67.056000000000012</v>
      </c>
      <c r="Q47" s="2"/>
      <c r="T47" s="149" t="s">
        <v>101</v>
      </c>
      <c r="U47" s="150">
        <v>60.2</v>
      </c>
      <c r="W47" s="133">
        <v>42380</v>
      </c>
      <c r="X47" s="44">
        <v>51.69</v>
      </c>
      <c r="Y47" s="44">
        <v>52.1</v>
      </c>
      <c r="Z47" s="44">
        <v>51.09</v>
      </c>
      <c r="AA47" s="44">
        <v>51.61</v>
      </c>
      <c r="AB47" s="114">
        <v>1919100</v>
      </c>
      <c r="AC47" s="11">
        <v>51.37</v>
      </c>
      <c r="AD47" s="2">
        <f t="shared" si="0"/>
        <v>1.009999999999998</v>
      </c>
      <c r="AE47" s="148">
        <f t="shared" si="1"/>
        <v>5.4805245644939937E-3</v>
      </c>
    </row>
    <row r="48" spans="2:41" x14ac:dyDescent="0.25">
      <c r="B48" s="410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66.446400000000011</v>
      </c>
      <c r="Q48" s="2"/>
      <c r="T48" s="118" t="s">
        <v>102</v>
      </c>
      <c r="U48" s="116">
        <v>59.61</v>
      </c>
      <c r="W48" s="133">
        <v>42377</v>
      </c>
      <c r="X48" s="44">
        <v>51.34</v>
      </c>
      <c r="Y48" s="44">
        <v>51.86</v>
      </c>
      <c r="Z48" s="44">
        <v>50.98</v>
      </c>
      <c r="AA48" s="44">
        <v>51.33</v>
      </c>
      <c r="AB48" s="114">
        <v>1717200</v>
      </c>
      <c r="AC48" s="11">
        <v>51.09</v>
      </c>
      <c r="AD48" s="2">
        <f t="shared" si="0"/>
        <v>0.88000000000000256</v>
      </c>
      <c r="AE48" s="148">
        <f t="shared" si="1"/>
        <v>5.9066745422327038E-3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65.836800000000011</v>
      </c>
      <c r="Q49" s="2"/>
      <c r="T49" s="118" t="s">
        <v>103</v>
      </c>
      <c r="U49" s="116" t="s">
        <v>315</v>
      </c>
      <c r="W49" s="133">
        <v>42376</v>
      </c>
      <c r="X49" s="44">
        <v>51.08</v>
      </c>
      <c r="Y49" s="44">
        <v>51.44</v>
      </c>
      <c r="Z49" s="44">
        <v>50.4</v>
      </c>
      <c r="AA49" s="44">
        <v>51.03</v>
      </c>
      <c r="AB49" s="114">
        <v>1673200</v>
      </c>
      <c r="AC49" s="11">
        <v>50.79</v>
      </c>
      <c r="AD49" s="2">
        <f t="shared" si="0"/>
        <v>1.0399999999999991</v>
      </c>
      <c r="AE49" s="148">
        <f t="shared" si="1"/>
        <v>-2.1952628538417063E-2</v>
      </c>
    </row>
    <row r="50" spans="2:42" x14ac:dyDescent="0.25">
      <c r="O50" s="93">
        <v>1.07</v>
      </c>
      <c r="P50" s="93">
        <f t="shared" si="4"/>
        <v>65.227200000000011</v>
      </c>
      <c r="Q50" s="2"/>
      <c r="T50" s="118" t="s">
        <v>104</v>
      </c>
      <c r="U50" s="116" t="s">
        <v>316</v>
      </c>
      <c r="W50" s="133">
        <v>42375</v>
      </c>
      <c r="X50" s="44">
        <v>52.94</v>
      </c>
      <c r="Y50" s="44">
        <v>53.53</v>
      </c>
      <c r="Z50" s="44">
        <v>51.98</v>
      </c>
      <c r="AA50" s="44">
        <v>52.17</v>
      </c>
      <c r="AB50" s="114">
        <v>1272100</v>
      </c>
      <c r="AC50" s="11">
        <v>51.93</v>
      </c>
      <c r="AD50" s="2">
        <f t="shared" si="0"/>
        <v>1.5500000000000043</v>
      </c>
      <c r="AE50" s="148">
        <f t="shared" si="1"/>
        <v>-3.3140942096443915E-2</v>
      </c>
    </row>
    <row r="51" spans="2:42" x14ac:dyDescent="0.25">
      <c r="O51" s="93">
        <v>1.06</v>
      </c>
      <c r="P51" s="93">
        <f t="shared" si="4"/>
        <v>64.61760000000001</v>
      </c>
      <c r="Q51" s="2"/>
      <c r="T51" s="118" t="s">
        <v>105</v>
      </c>
      <c r="U51" s="116">
        <v>60.06</v>
      </c>
      <c r="W51" s="133">
        <v>42374</v>
      </c>
      <c r="X51" s="44">
        <v>54.67</v>
      </c>
      <c r="Y51" s="44">
        <v>54.84</v>
      </c>
      <c r="Z51" s="44">
        <v>53.53</v>
      </c>
      <c r="AA51" s="44">
        <v>53.96</v>
      </c>
      <c r="AB51" s="114">
        <v>1322500</v>
      </c>
      <c r="AC51" s="11">
        <v>53.71</v>
      </c>
      <c r="AD51" s="2">
        <f t="shared" si="0"/>
        <v>1.3100000000000023</v>
      </c>
      <c r="AE51" s="148">
        <f>AC51/AC52-1</f>
        <v>-1.6300366300366353E-2</v>
      </c>
    </row>
    <row r="52" spans="2:42" x14ac:dyDescent="0.25">
      <c r="O52" s="93">
        <v>1.05</v>
      </c>
      <c r="P52" s="93">
        <f t="shared" si="4"/>
        <v>64.00800000000001</v>
      </c>
      <c r="Q52" s="2"/>
      <c r="T52" s="118" t="s">
        <v>106</v>
      </c>
      <c r="U52" s="116">
        <v>1.1555800000000001</v>
      </c>
      <c r="W52" s="133">
        <v>42373</v>
      </c>
      <c r="X52" s="44">
        <v>54.75</v>
      </c>
      <c r="Y52" s="44">
        <v>54.89</v>
      </c>
      <c r="Z52" s="44">
        <v>53.41</v>
      </c>
      <c r="AA52" s="44">
        <v>54.86</v>
      </c>
      <c r="AB52" s="114">
        <v>1349200</v>
      </c>
      <c r="AC52" s="11">
        <v>54.6</v>
      </c>
      <c r="AD52" s="2">
        <f t="shared" si="0"/>
        <v>1.480000000000004</v>
      </c>
      <c r="AE52" s="148">
        <f t="shared" si="1"/>
        <v>-1.8338727076591121E-2</v>
      </c>
    </row>
    <row r="53" spans="2:42" x14ac:dyDescent="0.25">
      <c r="O53" s="93">
        <v>1.04</v>
      </c>
      <c r="P53" s="93">
        <f t="shared" si="4"/>
        <v>63.398400000000002</v>
      </c>
      <c r="Q53" s="2"/>
      <c r="T53" s="118" t="s">
        <v>107</v>
      </c>
      <c r="U53" s="116" t="s">
        <v>134</v>
      </c>
      <c r="W53" s="133">
        <v>42369</v>
      </c>
      <c r="X53" s="44">
        <v>55.54</v>
      </c>
      <c r="Y53" s="44">
        <v>56.24</v>
      </c>
      <c r="Z53" s="44">
        <v>55.31</v>
      </c>
      <c r="AA53" s="44">
        <v>55.88</v>
      </c>
      <c r="AB53" s="114">
        <v>1294200</v>
      </c>
      <c r="AC53" s="11">
        <v>55.62</v>
      </c>
      <c r="AD53" s="2">
        <f t="shared" si="0"/>
        <v>0.92999999999999972</v>
      </c>
      <c r="AE53" s="148">
        <f t="shared" si="1"/>
        <v>-1.0144153764015007E-2</v>
      </c>
      <c r="AL53" s="263"/>
      <c r="AO53" s="263"/>
    </row>
    <row r="54" spans="2:42" x14ac:dyDescent="0.25">
      <c r="O54" s="93">
        <v>1.03</v>
      </c>
      <c r="P54" s="93">
        <f t="shared" si="4"/>
        <v>62.788800000000002</v>
      </c>
      <c r="Q54" s="2"/>
      <c r="T54" s="118"/>
      <c r="U54" s="116"/>
      <c r="W54" s="133">
        <v>42368</v>
      </c>
      <c r="X54" s="44">
        <v>56.41</v>
      </c>
      <c r="Y54" s="44">
        <v>56.76</v>
      </c>
      <c r="Z54" s="44">
        <v>56.25</v>
      </c>
      <c r="AA54" s="44">
        <v>56.45</v>
      </c>
      <c r="AB54" s="114">
        <v>1128200</v>
      </c>
      <c r="AC54" s="11">
        <v>56.19</v>
      </c>
      <c r="AD54" s="2">
        <f t="shared" si="0"/>
        <v>0.50999999999999801</v>
      </c>
      <c r="AE54" s="148">
        <f t="shared" si="1"/>
        <v>-4.0765685926976714E-3</v>
      </c>
    </row>
    <row r="55" spans="2:42" x14ac:dyDescent="0.25">
      <c r="O55" s="93">
        <v>1.02</v>
      </c>
      <c r="P55" s="93">
        <f t="shared" si="4"/>
        <v>62.179200000000002</v>
      </c>
      <c r="T55" s="118" t="s">
        <v>108</v>
      </c>
      <c r="U55" s="116" t="s">
        <v>317</v>
      </c>
      <c r="W55" s="133">
        <v>42367</v>
      </c>
      <c r="X55" s="44">
        <v>56.73</v>
      </c>
      <c r="Y55" s="44">
        <v>57.09</v>
      </c>
      <c r="Z55" s="44">
        <v>56.41</v>
      </c>
      <c r="AA55" s="44">
        <v>56.69</v>
      </c>
      <c r="AB55" s="114">
        <v>1568800</v>
      </c>
      <c r="AC55" s="11">
        <v>56.42</v>
      </c>
      <c r="AD55" s="2">
        <f t="shared" si="0"/>
        <v>0.68000000000000682</v>
      </c>
      <c r="AE55" s="148">
        <f t="shared" si="1"/>
        <v>4.9875311720697368E-3</v>
      </c>
    </row>
    <row r="56" spans="2:42" x14ac:dyDescent="0.25">
      <c r="O56" s="93">
        <v>1.01</v>
      </c>
      <c r="P56" s="93">
        <f t="shared" si="4"/>
        <v>61.569600000000001</v>
      </c>
      <c r="T56" s="118" t="s">
        <v>109</v>
      </c>
      <c r="U56" s="116" t="s">
        <v>262</v>
      </c>
      <c r="W56" s="133">
        <v>42366</v>
      </c>
      <c r="X56" s="44">
        <v>56.67</v>
      </c>
      <c r="Y56" s="44">
        <v>56.68</v>
      </c>
      <c r="Z56" s="44">
        <v>56.18</v>
      </c>
      <c r="AA56" s="44">
        <v>56.4</v>
      </c>
      <c r="AB56" s="114">
        <v>503100</v>
      </c>
      <c r="AC56" s="11">
        <v>56.14</v>
      </c>
      <c r="AD56" s="2">
        <f t="shared" si="0"/>
        <v>0.5</v>
      </c>
      <c r="AE56" s="148">
        <f t="shared" si="1"/>
        <v>-8.1272084805653622E-3</v>
      </c>
    </row>
    <row r="57" spans="2:42" x14ac:dyDescent="0.25">
      <c r="O57" s="93">
        <v>1</v>
      </c>
      <c r="P57" s="93">
        <f t="shared" si="4"/>
        <v>60.96</v>
      </c>
      <c r="T57" s="118" t="s">
        <v>110</v>
      </c>
      <c r="U57" s="117">
        <v>1103984</v>
      </c>
      <c r="W57" s="133">
        <v>42362</v>
      </c>
      <c r="X57" s="44">
        <v>56.86</v>
      </c>
      <c r="Y57" s="44">
        <v>57.4</v>
      </c>
      <c r="Z57" s="44">
        <v>56.8</v>
      </c>
      <c r="AA57" s="44">
        <v>56.87</v>
      </c>
      <c r="AB57" s="114">
        <v>376600</v>
      </c>
      <c r="AC57" s="11">
        <v>56.6</v>
      </c>
      <c r="AD57" s="2">
        <f t="shared" si="0"/>
        <v>0.60000000000000142</v>
      </c>
      <c r="AE57" s="148">
        <f t="shared" si="1"/>
        <v>1.4154281670204494E-3</v>
      </c>
      <c r="AL57" s="263"/>
      <c r="AO57" s="263"/>
    </row>
    <row r="58" spans="2:42" x14ac:dyDescent="0.25">
      <c r="O58" s="93">
        <v>0.99</v>
      </c>
      <c r="P58" s="93">
        <f t="shared" si="4"/>
        <v>60.3504</v>
      </c>
      <c r="T58" s="118" t="s">
        <v>113</v>
      </c>
      <c r="U58" s="117">
        <v>1505510</v>
      </c>
      <c r="W58" s="133">
        <v>42361</v>
      </c>
      <c r="X58" s="44">
        <v>57.18</v>
      </c>
      <c r="Y58" s="44">
        <v>57.3</v>
      </c>
      <c r="Z58" s="44">
        <v>56.66</v>
      </c>
      <c r="AA58" s="44">
        <v>56.79</v>
      </c>
      <c r="AB58" s="114">
        <v>1013300</v>
      </c>
      <c r="AC58" s="11">
        <v>56.52</v>
      </c>
      <c r="AD58" s="2">
        <f t="shared" si="0"/>
        <v>0.64000000000000057</v>
      </c>
      <c r="AE58" s="148">
        <f t="shared" si="1"/>
        <v>2.3053732931370696E-3</v>
      </c>
    </row>
    <row r="59" spans="2:42" x14ac:dyDescent="0.25">
      <c r="O59" s="93">
        <v>0.98</v>
      </c>
      <c r="P59" s="93">
        <f t="shared" si="4"/>
        <v>59.7408</v>
      </c>
      <c r="T59" s="118" t="s">
        <v>111</v>
      </c>
      <c r="U59" s="116" t="s">
        <v>318</v>
      </c>
      <c r="W59" s="133">
        <v>42360</v>
      </c>
      <c r="X59" s="44">
        <v>56.42</v>
      </c>
      <c r="Y59" s="44">
        <v>57.06</v>
      </c>
      <c r="Z59" s="44">
        <v>55.76</v>
      </c>
      <c r="AA59" s="44">
        <v>56.66</v>
      </c>
      <c r="AB59" s="114">
        <v>1203100</v>
      </c>
      <c r="AC59" s="11">
        <v>56.39</v>
      </c>
      <c r="AD59" s="2">
        <f t="shared" si="0"/>
        <v>1.3000000000000043</v>
      </c>
      <c r="AE59" s="148">
        <f t="shared" si="1"/>
        <v>3.3807829181493609E-3</v>
      </c>
      <c r="AL59" s="263"/>
    </row>
    <row r="60" spans="2:42" x14ac:dyDescent="0.25">
      <c r="O60" s="93">
        <v>0.97</v>
      </c>
      <c r="P60" s="93">
        <f t="shared" si="4"/>
        <v>59.1312</v>
      </c>
      <c r="T60" s="118" t="s">
        <v>114</v>
      </c>
      <c r="U60" s="116">
        <v>18.940000000000001</v>
      </c>
      <c r="W60" s="133">
        <v>42359</v>
      </c>
      <c r="X60" s="44">
        <v>56.34</v>
      </c>
      <c r="Y60" s="44">
        <v>56.93</v>
      </c>
      <c r="Z60" s="44">
        <v>55.72</v>
      </c>
      <c r="AA60" s="44">
        <v>56.46</v>
      </c>
      <c r="AB60" s="114">
        <v>1701800</v>
      </c>
      <c r="AC60" s="11">
        <v>56.2</v>
      </c>
      <c r="AD60" s="2">
        <f t="shared" si="0"/>
        <v>1.2100000000000009</v>
      </c>
      <c r="AE60" s="148">
        <f t="shared" si="1"/>
        <v>1.0973196618096814E-2</v>
      </c>
    </row>
    <row r="61" spans="2:42" x14ac:dyDescent="0.25">
      <c r="O61" s="93">
        <v>0.96</v>
      </c>
      <c r="P61" s="93">
        <f t="shared" si="4"/>
        <v>58.521599999999999</v>
      </c>
      <c r="T61" s="118" t="s">
        <v>115</v>
      </c>
      <c r="U61" s="116">
        <v>3.2</v>
      </c>
      <c r="W61" s="133">
        <v>42356</v>
      </c>
      <c r="X61" s="44">
        <v>55.18</v>
      </c>
      <c r="Y61" s="44">
        <v>56.14</v>
      </c>
      <c r="Z61" s="44">
        <v>54.98</v>
      </c>
      <c r="AA61" s="44">
        <v>55.85</v>
      </c>
      <c r="AB61" s="114">
        <v>2544800</v>
      </c>
      <c r="AC61" s="11">
        <v>55.59</v>
      </c>
      <c r="AD61" s="2">
        <f t="shared" si="0"/>
        <v>1.1600000000000037</v>
      </c>
      <c r="AE61" s="148">
        <f t="shared" si="1"/>
        <v>4.3360433604335835E-3</v>
      </c>
      <c r="AL61" s="263"/>
      <c r="AO61" s="263"/>
    </row>
    <row r="62" spans="2:42" x14ac:dyDescent="0.25">
      <c r="O62" s="93">
        <v>0.95</v>
      </c>
      <c r="P62" s="93">
        <f t="shared" si="4"/>
        <v>57.911999999999999</v>
      </c>
      <c r="T62" s="118" t="s">
        <v>112</v>
      </c>
      <c r="U62" s="116" t="s">
        <v>319</v>
      </c>
      <c r="W62" s="133">
        <v>42355</v>
      </c>
      <c r="X62" s="44">
        <v>55.62</v>
      </c>
      <c r="Y62" s="44">
        <v>56.13</v>
      </c>
      <c r="Z62" s="44">
        <v>55.07</v>
      </c>
      <c r="AA62" s="44">
        <v>55.61</v>
      </c>
      <c r="AB62" s="114">
        <v>2461700</v>
      </c>
      <c r="AC62" s="11">
        <v>55.35</v>
      </c>
      <c r="AD62" s="2">
        <f t="shared" si="0"/>
        <v>1.0600000000000023</v>
      </c>
      <c r="AE62" s="148">
        <f t="shared" si="1"/>
        <v>-1.0828370330264736E-3</v>
      </c>
    </row>
    <row r="63" spans="2:42" x14ac:dyDescent="0.25">
      <c r="O63" s="93">
        <v>0.94</v>
      </c>
      <c r="P63" s="93">
        <f t="shared" si="4"/>
        <v>57.302399999999999</v>
      </c>
      <c r="W63" s="133">
        <v>42354</v>
      </c>
      <c r="X63" s="44">
        <v>54.48</v>
      </c>
      <c r="Y63" s="44">
        <v>55.93</v>
      </c>
      <c r="Z63" s="44">
        <v>54.22</v>
      </c>
      <c r="AA63" s="44">
        <v>55.67</v>
      </c>
      <c r="AB63" s="114">
        <v>1284200</v>
      </c>
      <c r="AC63" s="11">
        <v>55.41</v>
      </c>
      <c r="AD63" s="2">
        <f t="shared" si="0"/>
        <v>1.7100000000000009</v>
      </c>
      <c r="AE63" s="148">
        <f t="shared" si="1"/>
        <v>2.1570796460176789E-2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56.692800000000005</v>
      </c>
      <c r="W64" s="133">
        <v>42353</v>
      </c>
      <c r="X64" s="44">
        <v>54.58</v>
      </c>
      <c r="Y64" s="44">
        <v>55.01</v>
      </c>
      <c r="Z64" s="44">
        <v>54.17</v>
      </c>
      <c r="AA64" s="44">
        <v>54.5</v>
      </c>
      <c r="AB64" s="114">
        <v>1388900</v>
      </c>
      <c r="AC64" s="11">
        <v>54.24</v>
      </c>
      <c r="AD64" s="2">
        <f t="shared" si="0"/>
        <v>0.83999999999999631</v>
      </c>
      <c r="AE64" s="148">
        <f t="shared" si="1"/>
        <v>1.0243993294840825E-2</v>
      </c>
    </row>
    <row r="65" spans="15:41" x14ac:dyDescent="0.25">
      <c r="O65" s="93">
        <v>0.92</v>
      </c>
      <c r="P65" s="93">
        <f t="shared" si="4"/>
        <v>56.083200000000005</v>
      </c>
      <c r="W65" s="133">
        <v>42352</v>
      </c>
      <c r="X65" s="44">
        <v>52.87</v>
      </c>
      <c r="Y65" s="44">
        <v>53.98</v>
      </c>
      <c r="Z65" s="44">
        <v>52.5</v>
      </c>
      <c r="AA65" s="44">
        <v>53.94</v>
      </c>
      <c r="AB65" s="114">
        <v>1976400</v>
      </c>
      <c r="AC65" s="11">
        <v>53.69</v>
      </c>
      <c r="AD65" s="2">
        <f t="shared" si="0"/>
        <v>1.4799999999999969</v>
      </c>
      <c r="AE65" s="148">
        <f t="shared" si="1"/>
        <v>2.3056402439024515E-2</v>
      </c>
      <c r="AL65" s="263"/>
      <c r="AO65" s="263"/>
    </row>
    <row r="66" spans="15:41" x14ac:dyDescent="0.25">
      <c r="O66" s="93">
        <v>0.91</v>
      </c>
      <c r="P66" s="93">
        <f t="shared" si="4"/>
        <v>55.473600000000005</v>
      </c>
      <c r="W66" s="133">
        <v>42349</v>
      </c>
      <c r="X66" s="44">
        <v>53.44</v>
      </c>
      <c r="Y66" s="44">
        <v>53.98</v>
      </c>
      <c r="Z66" s="44">
        <v>52.58</v>
      </c>
      <c r="AA66" s="44">
        <v>52.73</v>
      </c>
      <c r="AB66" s="114">
        <v>1422500</v>
      </c>
      <c r="AC66" s="11">
        <v>52.48</v>
      </c>
      <c r="AD66" s="2">
        <f t="shared" si="0"/>
        <v>1.3999999999999986</v>
      </c>
      <c r="AE66" s="148">
        <f t="shared" si="1"/>
        <v>-2.162565249813575E-2</v>
      </c>
    </row>
    <row r="67" spans="15:41" x14ac:dyDescent="0.25">
      <c r="O67" s="93">
        <v>0.9</v>
      </c>
      <c r="P67" s="93">
        <f t="shared" si="4"/>
        <v>54.864000000000004</v>
      </c>
      <c r="W67" s="133">
        <v>42348</v>
      </c>
      <c r="X67" s="44">
        <v>54.27</v>
      </c>
      <c r="Y67" s="44">
        <v>54.63</v>
      </c>
      <c r="Z67" s="44">
        <v>53.75</v>
      </c>
      <c r="AA67" s="44">
        <v>53.89</v>
      </c>
      <c r="AB67" s="114">
        <v>949500</v>
      </c>
      <c r="AC67" s="11">
        <v>53.64</v>
      </c>
      <c r="AD67" s="2">
        <f>Y67-Z67</f>
        <v>0.88000000000000256</v>
      </c>
      <c r="AE67" s="148">
        <f>AC67/AC68-1</f>
        <v>-9.052281544430163E-3</v>
      </c>
      <c r="AL67" s="263"/>
    </row>
    <row r="68" spans="15:41" x14ac:dyDescent="0.25">
      <c r="W68" s="133">
        <v>42347</v>
      </c>
      <c r="X68" s="44">
        <v>53.67</v>
      </c>
      <c r="Y68" s="44">
        <v>54.9</v>
      </c>
      <c r="Z68" s="44">
        <v>53.48</v>
      </c>
      <c r="AA68" s="44">
        <v>54.39</v>
      </c>
      <c r="AB68" s="114">
        <v>1308200</v>
      </c>
      <c r="AC68" s="11">
        <v>54.13</v>
      </c>
      <c r="AD68" s="2">
        <f>Y68-Z68</f>
        <v>1.4200000000000017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85" priority="35">
      <formula>Q12&gt;0</formula>
    </cfRule>
    <cfRule type="expression" dxfId="28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3" priority="29">
      <formula>F16&gt;0</formula>
    </cfRule>
    <cfRule type="expression" dxfId="282" priority="30">
      <formula>F16&lt;0</formula>
    </cfRule>
  </conditionalFormatting>
  <conditionalFormatting sqref="F21">
    <cfRule type="expression" dxfId="281" priority="27">
      <formula>F21&gt;0</formula>
    </cfRule>
    <cfRule type="expression" dxfId="280" priority="28">
      <formula>F21&lt;0</formula>
    </cfRule>
  </conditionalFormatting>
  <conditionalFormatting sqref="F22">
    <cfRule type="expression" dxfId="279" priority="25">
      <formula>F22&gt;0</formula>
    </cfRule>
    <cfRule type="expression" dxfId="278" priority="26">
      <formula>F22&lt;0</formula>
    </cfRule>
  </conditionalFormatting>
  <conditionalFormatting sqref="F23:F25">
    <cfRule type="expression" dxfId="277" priority="23">
      <formula>F23&gt;0</formula>
    </cfRule>
    <cfRule type="expression" dxfId="276" priority="24">
      <formula>F23&lt;0</formula>
    </cfRule>
  </conditionalFormatting>
  <conditionalFormatting sqref="H16:H20">
    <cfRule type="expression" dxfId="275" priority="21">
      <formula>H16&gt;0</formula>
    </cfRule>
    <cfRule type="expression" dxfId="274" priority="22">
      <formula>H16&lt;0</formula>
    </cfRule>
  </conditionalFormatting>
  <conditionalFormatting sqref="H21">
    <cfRule type="expression" dxfId="273" priority="19">
      <formula>H21&gt;0</formula>
    </cfRule>
    <cfRule type="expression" dxfId="272" priority="20">
      <formula>H21&lt;0</formula>
    </cfRule>
  </conditionalFormatting>
  <conditionalFormatting sqref="H22">
    <cfRule type="expression" dxfId="271" priority="17">
      <formula>H22&gt;0</formula>
    </cfRule>
    <cfRule type="expression" dxfId="270" priority="18">
      <formula>H22&lt;0</formula>
    </cfRule>
  </conditionalFormatting>
  <conditionalFormatting sqref="H23:H25">
    <cfRule type="expression" dxfId="269" priority="15">
      <formula>H23&gt;0</formula>
    </cfRule>
    <cfRule type="expression" dxfId="268" priority="16">
      <formula>H23&lt;0</formula>
    </cfRule>
  </conditionalFormatting>
  <conditionalFormatting sqref="F26">
    <cfRule type="expression" dxfId="267" priority="13">
      <formula>F26&gt;0</formula>
    </cfRule>
    <cfRule type="expression" dxfId="266" priority="14">
      <formula>F26&lt;0</formula>
    </cfRule>
  </conditionalFormatting>
  <conditionalFormatting sqref="H26">
    <cfRule type="expression" dxfId="265" priority="11">
      <formula>H26&gt;0</formula>
    </cfRule>
    <cfRule type="expression" dxfId="264" priority="12">
      <formula>H26&lt;0</formula>
    </cfRule>
  </conditionalFormatting>
  <conditionalFormatting sqref="F27:F36">
    <cfRule type="expression" dxfId="263" priority="9">
      <formula>F27&gt;0</formula>
    </cfRule>
    <cfRule type="expression" dxfId="262" priority="10">
      <formula>F27&lt;0</formula>
    </cfRule>
  </conditionalFormatting>
  <conditionalFormatting sqref="H27:H36">
    <cfRule type="expression" dxfId="261" priority="7">
      <formula>H27&gt;0</formula>
    </cfRule>
    <cfRule type="expression" dxfId="260" priority="8">
      <formula>H27&lt;0</formula>
    </cfRule>
  </conditionalFormatting>
  <conditionalFormatting sqref="Q7">
    <cfRule type="expression" dxfId="259" priority="5">
      <formula>Q7&gt;0</formula>
    </cfRule>
    <cfRule type="expression" dxfId="258" priority="6">
      <formula>Q7&lt;0</formula>
    </cfRule>
  </conditionalFormatting>
  <conditionalFormatting sqref="F14:F15">
    <cfRule type="expression" dxfId="257" priority="3">
      <formula>F14&gt;0</formula>
    </cfRule>
    <cfRule type="expression" dxfId="256" priority="4">
      <formula>F14&lt;0</formula>
    </cfRule>
  </conditionalFormatting>
  <conditionalFormatting sqref="H14:H15">
    <cfRule type="expression" dxfId="255" priority="1">
      <formula>H14&gt;0</formula>
    </cfRule>
    <cfRule type="expression" dxfId="2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218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42444</v>
      </c>
      <c r="X2" s="12">
        <v>49.3</v>
      </c>
      <c r="Y2" s="12">
        <v>49.99</v>
      </c>
      <c r="Z2" s="12">
        <v>49.2</v>
      </c>
      <c r="AA2" s="12">
        <v>49.98</v>
      </c>
      <c r="AB2" s="105">
        <v>12882200</v>
      </c>
      <c r="AC2" s="12">
        <v>49.98</v>
      </c>
      <c r="AD2" s="2">
        <f>Y2-Z2</f>
        <v>0.78999999999999915</v>
      </c>
      <c r="AE2" s="148">
        <f>AC2/AC3-1</f>
        <v>2.0048115477144801E-3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42443</v>
      </c>
      <c r="X3" s="12">
        <v>49.97</v>
      </c>
      <c r="Y3" s="12">
        <v>50.07</v>
      </c>
      <c r="Z3" s="12">
        <v>49.44</v>
      </c>
      <c r="AA3" s="12">
        <v>49.88</v>
      </c>
      <c r="AB3" s="105">
        <v>12750800</v>
      </c>
      <c r="AC3" s="12">
        <v>49.88</v>
      </c>
      <c r="AD3" s="2">
        <f>Y3-Z3</f>
        <v>0.63000000000000256</v>
      </c>
      <c r="AE3" s="148">
        <f>AC3/AC4-1</f>
        <v>-3.794687437587374E-3</v>
      </c>
      <c r="AN3" s="263"/>
    </row>
    <row r="4" spans="1:40" x14ac:dyDescent="0.25">
      <c r="O4" s="13" t="s">
        <v>66</v>
      </c>
      <c r="Q4" s="59">
        <v>49.54</v>
      </c>
      <c r="T4" s="131"/>
      <c r="W4" s="104">
        <v>42440</v>
      </c>
      <c r="X4" s="12">
        <v>49.12</v>
      </c>
      <c r="Y4" s="12">
        <v>50.13</v>
      </c>
      <c r="Z4" s="12">
        <v>48.88</v>
      </c>
      <c r="AA4" s="12">
        <v>50.07</v>
      </c>
      <c r="AB4" s="105">
        <v>18213100</v>
      </c>
      <c r="AC4" s="12">
        <v>50.07</v>
      </c>
      <c r="AD4" s="2">
        <f t="shared" ref="AD4:AD67" si="0">Y4-Z4</f>
        <v>1.25</v>
      </c>
      <c r="AE4" s="148">
        <f t="shared" ref="AE4:AE67" si="1">AC4/AC5-1</f>
        <v>3.2158317872603703E-2</v>
      </c>
      <c r="AK4" s="263"/>
      <c r="AN4" s="263"/>
    </row>
    <row r="5" spans="1:40" x14ac:dyDescent="0.25">
      <c r="O5" s="13" t="s">
        <v>67</v>
      </c>
      <c r="Q5" s="3">
        <f>Q4*Q2</f>
        <v>1981.6</v>
      </c>
      <c r="W5" s="104">
        <v>42439</v>
      </c>
      <c r="X5" s="12">
        <v>48.94</v>
      </c>
      <c r="Y5" s="12">
        <v>49.13</v>
      </c>
      <c r="Z5" s="12">
        <v>47.96</v>
      </c>
      <c r="AA5" s="12">
        <v>48.51</v>
      </c>
      <c r="AB5" s="105">
        <v>18525300</v>
      </c>
      <c r="AC5" s="12">
        <v>48.51</v>
      </c>
      <c r="AD5" s="2">
        <f t="shared" si="0"/>
        <v>1.1700000000000017</v>
      </c>
      <c r="AE5" s="148">
        <f t="shared" si="1"/>
        <v>-5.7388809182209455E-3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42438</v>
      </c>
      <c r="X6" s="12">
        <v>49.38</v>
      </c>
      <c r="Y6" s="12">
        <v>49.5</v>
      </c>
      <c r="Z6" s="12">
        <v>48.51</v>
      </c>
      <c r="AA6" s="12">
        <v>48.79</v>
      </c>
      <c r="AB6" s="105">
        <v>17888700</v>
      </c>
      <c r="AC6" s="12">
        <v>48.79</v>
      </c>
      <c r="AD6" s="2">
        <f t="shared" si="0"/>
        <v>0.99000000000000199</v>
      </c>
      <c r="AE6" s="148">
        <f t="shared" si="1"/>
        <v>-5.3007135575942055E-3</v>
      </c>
    </row>
    <row r="7" spans="1:40" ht="15.75" x14ac:dyDescent="0.25">
      <c r="O7" s="13" t="s">
        <v>65</v>
      </c>
      <c r="Q7" s="2">
        <f>IF(Q2=0, K11+M11-F11,Q5-Q6)</f>
        <v>-23.400000000000091</v>
      </c>
      <c r="R7" s="207"/>
      <c r="T7" s="95"/>
      <c r="W7" s="104">
        <v>42437</v>
      </c>
      <c r="X7" s="12">
        <v>49.61</v>
      </c>
      <c r="Y7" s="12">
        <v>49.66</v>
      </c>
      <c r="Z7" s="12">
        <v>48.92</v>
      </c>
      <c r="AA7" s="12">
        <v>49.05</v>
      </c>
      <c r="AB7" s="105">
        <v>17968000</v>
      </c>
      <c r="AC7" s="12">
        <v>49.05</v>
      </c>
      <c r="AD7" s="2">
        <f t="shared" si="0"/>
        <v>0.73999999999999488</v>
      </c>
      <c r="AE7" s="148">
        <f t="shared" si="1"/>
        <v>-2.0371479928100733E-2</v>
      </c>
      <c r="AK7" s="263"/>
      <c r="AN7" s="263"/>
    </row>
    <row r="8" spans="1:40" x14ac:dyDescent="0.25">
      <c r="O8" s="13" t="s">
        <v>90</v>
      </c>
      <c r="P8"/>
      <c r="Q8" s="148">
        <f>(Q4-Q3)/Q3</f>
        <v>-1.1670822942643409E-2</v>
      </c>
      <c r="W8" s="104">
        <v>42436</v>
      </c>
      <c r="X8" s="12">
        <v>49.77</v>
      </c>
      <c r="Y8" s="12">
        <v>50.16</v>
      </c>
      <c r="Z8" s="12">
        <v>49.44</v>
      </c>
      <c r="AA8" s="12">
        <v>50.07</v>
      </c>
      <c r="AB8" s="105">
        <v>14289200</v>
      </c>
      <c r="AC8" s="12">
        <v>50.07</v>
      </c>
      <c r="AD8" s="2">
        <f t="shared" si="0"/>
        <v>0.71999999999999886</v>
      </c>
      <c r="AE8" s="148">
        <f t="shared" si="1"/>
        <v>-7.9824386350024756E-4</v>
      </c>
    </row>
    <row r="9" spans="1:40" x14ac:dyDescent="0.25">
      <c r="W9" s="104">
        <v>42433</v>
      </c>
      <c r="X9" s="12">
        <v>50.01</v>
      </c>
      <c r="Y9" s="12">
        <v>50.49</v>
      </c>
      <c r="Z9" s="12">
        <v>49.68</v>
      </c>
      <c r="AA9" s="12">
        <v>50.11</v>
      </c>
      <c r="AB9" s="105">
        <v>18554200</v>
      </c>
      <c r="AC9" s="12">
        <v>50.11</v>
      </c>
      <c r="AD9" s="2">
        <f t="shared" si="0"/>
        <v>0.81000000000000227</v>
      </c>
      <c r="AE9" s="148">
        <f t="shared" si="1"/>
        <v>6.8314245529434992E-3</v>
      </c>
      <c r="AK9" s="263"/>
      <c r="AN9" s="263"/>
    </row>
    <row r="10" spans="1:40" x14ac:dyDescent="0.25">
      <c r="W10" s="104">
        <v>42432</v>
      </c>
      <c r="X10" s="12">
        <v>49.63</v>
      </c>
      <c r="Y10" s="12">
        <v>49.79</v>
      </c>
      <c r="Z10" s="12">
        <v>49.07</v>
      </c>
      <c r="AA10" s="12">
        <v>49.77</v>
      </c>
      <c r="AB10" s="105">
        <v>14207600</v>
      </c>
      <c r="AC10" s="12">
        <v>49.77</v>
      </c>
      <c r="AD10" s="2">
        <f t="shared" si="0"/>
        <v>0.71999999999999886</v>
      </c>
      <c r="AE10" s="148">
        <f t="shared" si="1"/>
        <v>4.0346984062942237E-3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42431</v>
      </c>
      <c r="X11" s="12">
        <v>48.84</v>
      </c>
      <c r="Y11" s="12">
        <v>49.57</v>
      </c>
      <c r="Z11" s="12">
        <v>48.61</v>
      </c>
      <c r="AA11" s="12">
        <v>49.57</v>
      </c>
      <c r="AB11" s="105">
        <v>18519000</v>
      </c>
      <c r="AC11" s="12">
        <v>49.57</v>
      </c>
      <c r="AD11" s="2">
        <f t="shared" si="0"/>
        <v>0.96000000000000085</v>
      </c>
      <c r="AE11" s="148">
        <f t="shared" si="1"/>
        <v>1.7446633825944247E-2</v>
      </c>
      <c r="AK11" s="263"/>
      <c r="AN11" s="263"/>
    </row>
    <row r="12" spans="1:40" x14ac:dyDescent="0.25">
      <c r="W12" s="104">
        <v>42430</v>
      </c>
      <c r="X12" s="12">
        <v>47.14</v>
      </c>
      <c r="Y12" s="12">
        <v>48.72</v>
      </c>
      <c r="Z12" s="12">
        <v>47.14</v>
      </c>
      <c r="AA12" s="12">
        <v>48.72</v>
      </c>
      <c r="AB12" s="105">
        <v>24559200</v>
      </c>
      <c r="AC12" s="12">
        <v>48.72</v>
      </c>
      <c r="AD12" s="2">
        <f t="shared" si="0"/>
        <v>1.5799999999999983</v>
      </c>
      <c r="AE12" s="148">
        <f t="shared" si="1"/>
        <v>3.8363171355498604E-2</v>
      </c>
    </row>
    <row r="13" spans="1:40" x14ac:dyDescent="0.25">
      <c r="W13" s="104">
        <v>42429</v>
      </c>
      <c r="X13" s="12">
        <v>48.03</v>
      </c>
      <c r="Y13" s="12">
        <v>48.03</v>
      </c>
      <c r="Z13" s="12">
        <v>46.91</v>
      </c>
      <c r="AA13" s="12">
        <v>46.92</v>
      </c>
      <c r="AB13" s="105">
        <v>23284500</v>
      </c>
      <c r="AC13" s="12">
        <v>46.92</v>
      </c>
      <c r="AD13" s="2">
        <f t="shared" si="0"/>
        <v>1.1200000000000045</v>
      </c>
      <c r="AE13" s="148">
        <f t="shared" si="1"/>
        <v>-2.3923444976076569E-2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183</v>
      </c>
      <c r="T14" s="94"/>
      <c r="U14" s="13"/>
      <c r="W14" s="104">
        <v>42426</v>
      </c>
      <c r="X14" s="12">
        <v>48.13</v>
      </c>
      <c r="Y14" s="12">
        <v>48.54</v>
      </c>
      <c r="Z14" s="12">
        <v>47.83</v>
      </c>
      <c r="AA14" s="12">
        <v>48.07</v>
      </c>
      <c r="AB14" s="105">
        <v>20238800</v>
      </c>
      <c r="AC14" s="12">
        <v>48.07</v>
      </c>
      <c r="AD14" s="2">
        <f t="shared" si="0"/>
        <v>0.71000000000000085</v>
      </c>
      <c r="AE14" s="148">
        <f t="shared" si="1"/>
        <v>6.701570680628377E-3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42425</v>
      </c>
      <c r="X15" s="12">
        <v>47.71</v>
      </c>
      <c r="Y15" s="12">
        <v>48.16</v>
      </c>
      <c r="Z15" s="12">
        <v>47.71</v>
      </c>
      <c r="AA15" s="12">
        <v>47.75</v>
      </c>
      <c r="AB15" s="105">
        <v>16620200</v>
      </c>
      <c r="AC15" s="12">
        <v>47.75</v>
      </c>
      <c r="AD15" s="2">
        <f t="shared" si="0"/>
        <v>0.44999999999999574</v>
      </c>
      <c r="AE15" s="148">
        <f t="shared" si="1"/>
        <v>2.9405587061541727E-3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42424</v>
      </c>
      <c r="X16" s="12">
        <v>47.34</v>
      </c>
      <c r="Y16" s="12">
        <v>47.68</v>
      </c>
      <c r="Z16" s="12">
        <v>46.56</v>
      </c>
      <c r="AA16" s="12">
        <v>47.61</v>
      </c>
      <c r="AB16" s="105">
        <v>18459500</v>
      </c>
      <c r="AC16" s="12">
        <v>47.61</v>
      </c>
      <c r="AD16" s="2">
        <f t="shared" si="0"/>
        <v>1.1199999999999974</v>
      </c>
      <c r="AE16" s="148">
        <f t="shared" si="1"/>
        <v>-1.0187110187110271E-2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265</v>
      </c>
      <c r="W17" s="104">
        <v>42423</v>
      </c>
      <c r="X17" s="12">
        <v>48.87</v>
      </c>
      <c r="Y17" s="12">
        <v>48.92</v>
      </c>
      <c r="Z17" s="12">
        <v>47.98</v>
      </c>
      <c r="AA17" s="12">
        <v>48.1</v>
      </c>
      <c r="AB17" s="105">
        <v>14970500</v>
      </c>
      <c r="AC17" s="12">
        <v>48.1</v>
      </c>
      <c r="AD17" s="2">
        <f t="shared" si="0"/>
        <v>0.94000000000000483</v>
      </c>
      <c r="AE17" s="148">
        <f t="shared" si="1"/>
        <v>-2.2158975401504244E-2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42422</v>
      </c>
      <c r="X18" s="12">
        <v>48.09</v>
      </c>
      <c r="Y18" s="12">
        <v>49.34</v>
      </c>
      <c r="Z18" s="12">
        <v>48.09</v>
      </c>
      <c r="AA18" s="12">
        <v>49.19</v>
      </c>
      <c r="AB18" s="105">
        <v>17549100</v>
      </c>
      <c r="AC18" s="12">
        <v>49.19</v>
      </c>
      <c r="AD18" s="2">
        <f t="shared" si="0"/>
        <v>1.25</v>
      </c>
      <c r="AE18" s="148">
        <f t="shared" si="1"/>
        <v>2.2873778332293426E-2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42419</v>
      </c>
      <c r="X19" s="12">
        <v>47.4</v>
      </c>
      <c r="Y19" s="12">
        <v>48.17</v>
      </c>
      <c r="Z19" s="12">
        <v>47.34</v>
      </c>
      <c r="AA19" s="12">
        <v>48.09</v>
      </c>
      <c r="AB19" s="105">
        <v>18098100</v>
      </c>
      <c r="AC19" s="12">
        <v>48.09</v>
      </c>
      <c r="AD19" s="2">
        <f t="shared" si="0"/>
        <v>0.82999999999999829</v>
      </c>
      <c r="AE19" s="148">
        <f t="shared" si="1"/>
        <v>7.5424261470773413E-3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42418</v>
      </c>
      <c r="X20" s="12">
        <v>48.09</v>
      </c>
      <c r="Y20" s="12">
        <v>48.14</v>
      </c>
      <c r="Z20" s="12">
        <v>47.48</v>
      </c>
      <c r="AA20" s="12">
        <v>47.73</v>
      </c>
      <c r="AB20" s="105">
        <v>17026300</v>
      </c>
      <c r="AC20" s="12">
        <v>47.73</v>
      </c>
      <c r="AD20" s="2">
        <f t="shared" si="0"/>
        <v>0.66000000000000369</v>
      </c>
      <c r="AE20" s="148">
        <f t="shared" si="1"/>
        <v>-8.310824849366405E-3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42417</v>
      </c>
      <c r="X21" s="12">
        <v>48.65</v>
      </c>
      <c r="Y21" s="12">
        <v>48.96</v>
      </c>
      <c r="Z21" s="12">
        <v>47.99</v>
      </c>
      <c r="AA21" s="12">
        <v>48.13</v>
      </c>
      <c r="AB21" s="105">
        <v>17997500</v>
      </c>
      <c r="AC21" s="12">
        <v>48.13</v>
      </c>
      <c r="AD21" s="2">
        <f t="shared" si="0"/>
        <v>0.96999999999999886</v>
      </c>
      <c r="AE21" s="148">
        <f t="shared" si="1"/>
        <v>-2.280265339966836E-3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42416</v>
      </c>
      <c r="X22" s="12">
        <v>48.05</v>
      </c>
      <c r="Y22" s="12">
        <v>48.41</v>
      </c>
      <c r="Z22" s="12">
        <v>47.57</v>
      </c>
      <c r="AA22" s="12">
        <v>48.24</v>
      </c>
      <c r="AB22" s="105">
        <v>20110400</v>
      </c>
      <c r="AC22" s="12">
        <v>48.24</v>
      </c>
      <c r="AD22" s="2">
        <f t="shared" si="0"/>
        <v>0.83999999999999631</v>
      </c>
      <c r="AE22" s="148">
        <f t="shared" si="1"/>
        <v>1.9657577679137672E-2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42412</v>
      </c>
      <c r="X23" s="12">
        <v>45.96</v>
      </c>
      <c r="Y23" s="12">
        <v>47.39</v>
      </c>
      <c r="Z23" s="12">
        <v>45.93</v>
      </c>
      <c r="AA23" s="12">
        <v>47.31</v>
      </c>
      <c r="AB23" s="105">
        <v>28442100</v>
      </c>
      <c r="AC23" s="12">
        <v>47.31</v>
      </c>
      <c r="AD23" s="2">
        <f t="shared" si="0"/>
        <v>1.4600000000000009</v>
      </c>
      <c r="AE23" s="148">
        <f t="shared" si="1"/>
        <v>4.7608503100088795E-2</v>
      </c>
      <c r="AK23" s="263"/>
    </row>
    <row r="24" spans="2:40" x14ac:dyDescent="0.25">
      <c r="W24" s="104">
        <v>42411</v>
      </c>
      <c r="X24" s="12">
        <v>44.93</v>
      </c>
      <c r="Y24" s="12">
        <v>45.53</v>
      </c>
      <c r="Z24" s="12">
        <v>44.5</v>
      </c>
      <c r="AA24" s="12">
        <v>45.16</v>
      </c>
      <c r="AB24" s="105">
        <v>32356700</v>
      </c>
      <c r="AC24" s="12">
        <v>45.16</v>
      </c>
      <c r="AD24" s="2">
        <f t="shared" si="0"/>
        <v>1.0300000000000011</v>
      </c>
      <c r="AE24" s="148">
        <f t="shared" si="1"/>
        <v>-2.1875676846437209E-2</v>
      </c>
    </row>
    <row r="25" spans="2:40" x14ac:dyDescent="0.25">
      <c r="W25" s="104">
        <v>42410</v>
      </c>
      <c r="X25" s="12">
        <v>46.88</v>
      </c>
      <c r="Y25" s="12">
        <v>47.22</v>
      </c>
      <c r="Z25" s="12">
        <v>46.11</v>
      </c>
      <c r="AA25" s="12">
        <v>46.17</v>
      </c>
      <c r="AB25" s="105">
        <v>19865200</v>
      </c>
      <c r="AC25" s="12">
        <v>46.17</v>
      </c>
      <c r="AD25" s="2">
        <f t="shared" si="0"/>
        <v>1.1099999999999994</v>
      </c>
      <c r="AE25" s="148">
        <f t="shared" si="1"/>
        <v>-6.0279870828848781E-3</v>
      </c>
    </row>
    <row r="26" spans="2:40" x14ac:dyDescent="0.25">
      <c r="W26" s="104">
        <v>42409</v>
      </c>
      <c r="X26" s="12">
        <v>45.61</v>
      </c>
      <c r="Y26" s="12">
        <v>46.76</v>
      </c>
      <c r="Z26" s="12">
        <v>45.36</v>
      </c>
      <c r="AA26" s="12">
        <v>46.45</v>
      </c>
      <c r="AB26" s="105">
        <v>29580100</v>
      </c>
      <c r="AC26" s="12">
        <v>46.45</v>
      </c>
      <c r="AD26" s="2">
        <f t="shared" si="0"/>
        <v>1.3999999999999986</v>
      </c>
      <c r="AE26" s="148">
        <f t="shared" si="1"/>
        <v>-1.0752688172042113E-3</v>
      </c>
    </row>
    <row r="27" spans="2:40" x14ac:dyDescent="0.25">
      <c r="W27" s="104">
        <v>42408</v>
      </c>
      <c r="X27" s="12">
        <v>47.11</v>
      </c>
      <c r="Y27" s="12">
        <v>47.34</v>
      </c>
      <c r="Z27" s="12">
        <v>46.06</v>
      </c>
      <c r="AA27" s="12">
        <v>46.5</v>
      </c>
      <c r="AB27" s="105">
        <v>30727900</v>
      </c>
      <c r="AC27" s="12">
        <v>46.5</v>
      </c>
      <c r="AD27" s="2">
        <f t="shared" si="0"/>
        <v>1.2800000000000011</v>
      </c>
      <c r="AE27" s="148">
        <f t="shared" si="1"/>
        <v>-2.8416213957375702E-2</v>
      </c>
    </row>
    <row r="28" spans="2:40" x14ac:dyDescent="0.25">
      <c r="W28" s="104">
        <v>42405</v>
      </c>
      <c r="X28" s="12">
        <v>48.35</v>
      </c>
      <c r="Y28" s="12">
        <v>48.66</v>
      </c>
      <c r="Z28" s="12">
        <v>47.6</v>
      </c>
      <c r="AA28" s="12">
        <v>47.86</v>
      </c>
      <c r="AB28" s="105">
        <v>23613300</v>
      </c>
      <c r="AC28" s="12">
        <v>47.86</v>
      </c>
      <c r="AD28" s="2">
        <f t="shared" si="0"/>
        <v>1.0599999999999952</v>
      </c>
      <c r="AE28" s="148">
        <f t="shared" si="1"/>
        <v>-8.0829015544041649E-3</v>
      </c>
    </row>
    <row r="29" spans="2:40" x14ac:dyDescent="0.25">
      <c r="W29" s="104">
        <v>42404</v>
      </c>
      <c r="X29" s="12">
        <v>47.4</v>
      </c>
      <c r="Y29" s="12">
        <v>48.61</v>
      </c>
      <c r="Z29" s="12">
        <v>47.37</v>
      </c>
      <c r="AA29" s="12">
        <v>48.25</v>
      </c>
      <c r="AB29" s="105">
        <v>30603700</v>
      </c>
      <c r="AC29" s="12">
        <v>48.25</v>
      </c>
      <c r="AD29" s="2">
        <f t="shared" si="0"/>
        <v>1.240000000000002</v>
      </c>
      <c r="AE29" s="148">
        <f t="shared" si="1"/>
        <v>1.3655462184873901E-2</v>
      </c>
    </row>
    <row r="30" spans="2:40" x14ac:dyDescent="0.25">
      <c r="W30" s="104">
        <v>42403</v>
      </c>
      <c r="X30" s="12">
        <v>48.45</v>
      </c>
      <c r="Y30" s="12">
        <v>48.51</v>
      </c>
      <c r="Z30" s="12">
        <v>46.51</v>
      </c>
      <c r="AA30" s="12">
        <v>47.6</v>
      </c>
      <c r="AB30" s="105">
        <v>47107800</v>
      </c>
      <c r="AC30" s="12">
        <v>47.6</v>
      </c>
      <c r="AD30" s="2">
        <f t="shared" si="0"/>
        <v>2</v>
      </c>
      <c r="AE30" s="148" t="e">
        <f t="shared" si="1"/>
        <v>#DIV/0!</v>
      </c>
    </row>
    <row r="31" spans="2:40" x14ac:dyDescent="0.25">
      <c r="W31" s="104">
        <v>42403</v>
      </c>
      <c r="X31" s="12" t="s">
        <v>249</v>
      </c>
      <c r="Y31" s="12"/>
      <c r="Z31" s="12"/>
      <c r="AA31" s="12"/>
      <c r="AB31" s="105"/>
      <c r="AC31" s="12"/>
      <c r="AD31" s="2">
        <f t="shared" si="0"/>
        <v>0</v>
      </c>
      <c r="AE31" s="148">
        <f t="shared" si="1"/>
        <v>-1</v>
      </c>
    </row>
    <row r="32" spans="2:40" x14ac:dyDescent="0.25">
      <c r="W32" s="104">
        <v>42402</v>
      </c>
      <c r="X32" s="12">
        <v>49.26</v>
      </c>
      <c r="Y32" s="12">
        <v>49.32</v>
      </c>
      <c r="Z32" s="12">
        <v>48.78</v>
      </c>
      <c r="AA32" s="12">
        <v>48.83</v>
      </c>
      <c r="AB32" s="105">
        <v>25593200</v>
      </c>
      <c r="AC32" s="12">
        <v>48.46</v>
      </c>
      <c r="AD32" s="2">
        <f t="shared" si="0"/>
        <v>0.53999999999999915</v>
      </c>
      <c r="AE32" s="148">
        <f t="shared" si="1"/>
        <v>-2.2195318805488307E-2</v>
      </c>
    </row>
    <row r="33" spans="15:31" x14ac:dyDescent="0.25">
      <c r="W33" s="104">
        <v>42401</v>
      </c>
      <c r="X33" s="12">
        <v>50.12</v>
      </c>
      <c r="Y33" s="12">
        <v>50.18</v>
      </c>
      <c r="Z33" s="12">
        <v>49.56</v>
      </c>
      <c r="AA33" s="12">
        <v>49.94</v>
      </c>
      <c r="AB33" s="105">
        <v>17385400</v>
      </c>
      <c r="AC33" s="12">
        <v>49.56</v>
      </c>
      <c r="AD33" s="2">
        <f t="shared" si="0"/>
        <v>0.61999999999999744</v>
      </c>
      <c r="AE33" s="148">
        <f t="shared" si="1"/>
        <v>-5.6179775280899014E-3</v>
      </c>
    </row>
    <row r="34" spans="15:31" x14ac:dyDescent="0.25">
      <c r="W34" s="104">
        <v>42398</v>
      </c>
      <c r="X34" s="12">
        <v>49.29</v>
      </c>
      <c r="Y34" s="12">
        <v>50.25</v>
      </c>
      <c r="Z34" s="12">
        <v>49.17</v>
      </c>
      <c r="AA34" s="12">
        <v>50.23</v>
      </c>
      <c r="AB34" s="105">
        <v>25358300</v>
      </c>
      <c r="AC34" s="12">
        <v>49.84</v>
      </c>
      <c r="AD34" s="2">
        <f t="shared" si="0"/>
        <v>1.0799999999999983</v>
      </c>
      <c r="AE34" s="148">
        <f t="shared" si="1"/>
        <v>2.6782035434693041E-2</v>
      </c>
    </row>
    <row r="35" spans="15:31" x14ac:dyDescent="0.25">
      <c r="W35" s="104">
        <v>42397</v>
      </c>
      <c r="X35" s="12">
        <v>49.1</v>
      </c>
      <c r="Y35" s="12">
        <v>49.4</v>
      </c>
      <c r="Z35" s="12">
        <v>48.6</v>
      </c>
      <c r="AA35" s="12">
        <v>48.92</v>
      </c>
      <c r="AB35" s="105">
        <v>21306600</v>
      </c>
      <c r="AC35" s="12">
        <v>48.54</v>
      </c>
      <c r="AD35" s="2">
        <f t="shared" si="0"/>
        <v>0.79999999999999716</v>
      </c>
      <c r="AE35" s="148">
        <f t="shared" si="1"/>
        <v>7.0539419087136679E-3</v>
      </c>
    </row>
    <row r="36" spans="15:31" x14ac:dyDescent="0.25">
      <c r="W36" s="104">
        <v>42396</v>
      </c>
      <c r="X36" s="12">
        <v>48.3</v>
      </c>
      <c r="Y36" s="12">
        <v>49.3</v>
      </c>
      <c r="Z36" s="12">
        <v>48.13</v>
      </c>
      <c r="AA36" s="12">
        <v>48.57</v>
      </c>
      <c r="AB36" s="105">
        <v>20441500</v>
      </c>
      <c r="AC36" s="12">
        <v>48.2</v>
      </c>
      <c r="AD36" s="2">
        <f t="shared" si="0"/>
        <v>1.1699999999999946</v>
      </c>
      <c r="AE36" s="148">
        <f t="shared" si="1"/>
        <v>6.4731676759239853E-3</v>
      </c>
    </row>
    <row r="37" spans="15:31" x14ac:dyDescent="0.25">
      <c r="W37" s="104">
        <v>42395</v>
      </c>
      <c r="X37" s="12">
        <v>47.75</v>
      </c>
      <c r="Y37" s="12">
        <v>48.56</v>
      </c>
      <c r="Z37" s="12">
        <v>47.66</v>
      </c>
      <c r="AA37" s="12">
        <v>48.26</v>
      </c>
      <c r="AB37" s="105">
        <v>18895100</v>
      </c>
      <c r="AC37" s="12">
        <v>47.89</v>
      </c>
      <c r="AD37" s="2">
        <f t="shared" si="0"/>
        <v>0.90000000000000568</v>
      </c>
      <c r="AE37" s="148">
        <f t="shared" si="1"/>
        <v>1.2687671812222412E-2</v>
      </c>
    </row>
    <row r="38" spans="15:31" x14ac:dyDescent="0.25">
      <c r="W38" s="104">
        <v>42394</v>
      </c>
      <c r="X38" s="12">
        <v>48.91</v>
      </c>
      <c r="Y38" s="12">
        <v>48.98</v>
      </c>
      <c r="Z38" s="12">
        <v>47.62</v>
      </c>
      <c r="AA38" s="12">
        <v>47.66</v>
      </c>
      <c r="AB38" s="105">
        <v>23440800</v>
      </c>
      <c r="AC38" s="12">
        <v>47.29</v>
      </c>
      <c r="AD38" s="2">
        <f t="shared" si="0"/>
        <v>1.3599999999999994</v>
      </c>
      <c r="AE38" s="148">
        <f t="shared" si="1"/>
        <v>-2.7754934210526327E-2</v>
      </c>
    </row>
    <row r="39" spans="15:31" ht="20.25" thickBot="1" x14ac:dyDescent="0.35">
      <c r="O39" s="13"/>
      <c r="P39" s="408" t="s">
        <v>78</v>
      </c>
      <c r="Q39" s="408"/>
      <c r="R39" s="37"/>
      <c r="T39" s="101" t="s">
        <v>116</v>
      </c>
      <c r="W39" s="104">
        <v>42391</v>
      </c>
      <c r="X39" s="12">
        <v>49.03</v>
      </c>
      <c r="Y39" s="12">
        <v>49.27</v>
      </c>
      <c r="Z39" s="12">
        <v>48.56</v>
      </c>
      <c r="AA39" s="12">
        <v>49.02</v>
      </c>
      <c r="AB39" s="105">
        <v>18298700</v>
      </c>
      <c r="AC39" s="12">
        <v>48.64</v>
      </c>
      <c r="AD39" s="2">
        <f t="shared" si="0"/>
        <v>0.71000000000000085</v>
      </c>
      <c r="AE39" s="148">
        <f t="shared" si="1"/>
        <v>2.099076406381184E-2</v>
      </c>
    </row>
    <row r="40" spans="15:31" ht="15.75" thickTop="1" x14ac:dyDescent="0.25">
      <c r="O40" s="2"/>
      <c r="P40" s="93">
        <v>1.1000000000000001</v>
      </c>
      <c r="Q40" s="93">
        <f>P40*$Q$4</f>
        <v>54.494000000000007</v>
      </c>
      <c r="R40" s="37"/>
      <c r="T40" s="107" t="s">
        <v>101</v>
      </c>
      <c r="U40" s="108">
        <v>49.88</v>
      </c>
      <c r="W40" s="104">
        <v>42390</v>
      </c>
      <c r="X40" s="12">
        <v>48.03</v>
      </c>
      <c r="Y40" s="12">
        <v>49.05</v>
      </c>
      <c r="Z40" s="12">
        <v>47.91</v>
      </c>
      <c r="AA40" s="12">
        <v>48.01</v>
      </c>
      <c r="AB40" s="105">
        <v>24272900</v>
      </c>
      <c r="AC40" s="12">
        <v>47.64</v>
      </c>
      <c r="AD40" s="2">
        <f t="shared" si="0"/>
        <v>1.1400000000000006</v>
      </c>
      <c r="AE40" s="148">
        <f t="shared" si="1"/>
        <v>2.9473684210525875E-3</v>
      </c>
    </row>
    <row r="41" spans="15:31" x14ac:dyDescent="0.25">
      <c r="O41" s="2"/>
      <c r="P41" s="93">
        <v>1.0900000000000001</v>
      </c>
      <c r="Q41" s="93">
        <f t="shared" ref="Q41:Q60" si="5">P41*$Q$4</f>
        <v>53.998600000000003</v>
      </c>
      <c r="R41" s="37"/>
      <c r="T41" s="97" t="s">
        <v>102</v>
      </c>
      <c r="U41" s="98">
        <v>49.3</v>
      </c>
      <c r="W41" s="104">
        <v>42389</v>
      </c>
      <c r="X41" s="12">
        <v>47.28</v>
      </c>
      <c r="Y41" s="12">
        <v>48.25</v>
      </c>
      <c r="Z41" s="12">
        <v>46.88</v>
      </c>
      <c r="AA41" s="12">
        <v>47.87</v>
      </c>
      <c r="AB41" s="105">
        <v>40241100</v>
      </c>
      <c r="AC41" s="12">
        <v>47.5</v>
      </c>
      <c r="AD41" s="2">
        <f t="shared" si="0"/>
        <v>1.3699999999999974</v>
      </c>
      <c r="AE41" s="148">
        <f t="shared" si="1"/>
        <v>-7.1070234113712605E-3</v>
      </c>
    </row>
    <row r="42" spans="15:31" x14ac:dyDescent="0.25">
      <c r="O42" s="2"/>
      <c r="P42" s="93">
        <v>1.08</v>
      </c>
      <c r="Q42" s="93">
        <f t="shared" si="5"/>
        <v>53.5032</v>
      </c>
      <c r="R42" s="37"/>
      <c r="T42" s="97" t="s">
        <v>103</v>
      </c>
      <c r="U42" s="98" t="s">
        <v>398</v>
      </c>
      <c r="W42" s="104">
        <v>42388</v>
      </c>
      <c r="X42" s="12">
        <v>49.25</v>
      </c>
      <c r="Y42" s="12">
        <v>49.54</v>
      </c>
      <c r="Z42" s="12">
        <v>47.99</v>
      </c>
      <c r="AA42" s="12">
        <v>48.21</v>
      </c>
      <c r="AB42" s="105">
        <v>29918500</v>
      </c>
      <c r="AC42" s="12">
        <v>47.84</v>
      </c>
      <c r="AD42" s="2">
        <f t="shared" si="0"/>
        <v>1.5499999999999972</v>
      </c>
      <c r="AE42" s="148">
        <f t="shared" si="1"/>
        <v>-1.2590299277605799E-2</v>
      </c>
    </row>
    <row r="43" spans="15:31" x14ac:dyDescent="0.25">
      <c r="O43" s="2"/>
      <c r="P43" s="93">
        <v>1.07</v>
      </c>
      <c r="Q43" s="93">
        <f t="shared" si="5"/>
        <v>53.007800000000003</v>
      </c>
      <c r="R43" s="93"/>
      <c r="T43" s="97" t="s">
        <v>104</v>
      </c>
      <c r="U43" s="98" t="s">
        <v>399</v>
      </c>
      <c r="W43" s="104">
        <v>42384</v>
      </c>
      <c r="X43" s="12">
        <v>48.59</v>
      </c>
      <c r="Y43" s="12">
        <v>49.64</v>
      </c>
      <c r="Z43" s="12">
        <v>48.13</v>
      </c>
      <c r="AA43" s="12">
        <v>48.82</v>
      </c>
      <c r="AB43" s="105">
        <v>41090400</v>
      </c>
      <c r="AC43" s="12">
        <v>48.45</v>
      </c>
      <c r="AD43" s="2">
        <f t="shared" si="0"/>
        <v>1.509999999999998</v>
      </c>
      <c r="AE43" s="148">
        <f t="shared" si="1"/>
        <v>-3.5820895522387985E-2</v>
      </c>
    </row>
    <row r="44" spans="15:31" x14ac:dyDescent="0.25">
      <c r="O44" s="2"/>
      <c r="P44" s="93">
        <v>1.06</v>
      </c>
      <c r="Q44" s="93">
        <f t="shared" si="5"/>
        <v>52.5124</v>
      </c>
      <c r="R44" s="93"/>
      <c r="T44" s="97" t="s">
        <v>105</v>
      </c>
      <c r="U44" s="98">
        <v>57.02</v>
      </c>
      <c r="W44" s="104">
        <v>42383</v>
      </c>
      <c r="X44" s="12">
        <v>50.08</v>
      </c>
      <c r="Y44" s="12">
        <v>51</v>
      </c>
      <c r="Z44" s="12">
        <v>49.6</v>
      </c>
      <c r="AA44" s="12">
        <v>50.64</v>
      </c>
      <c r="AB44" s="105">
        <v>24569800</v>
      </c>
      <c r="AC44" s="12">
        <v>50.25</v>
      </c>
      <c r="AD44" s="2">
        <f t="shared" si="0"/>
        <v>1.3999999999999986</v>
      </c>
      <c r="AE44" s="148">
        <f t="shared" si="1"/>
        <v>1.8237082066869359E-2</v>
      </c>
    </row>
    <row r="45" spans="15:31" x14ac:dyDescent="0.25">
      <c r="O45" s="2"/>
      <c r="P45" s="93">
        <v>1.05</v>
      </c>
      <c r="Q45" s="93">
        <f t="shared" si="5"/>
        <v>52.017000000000003</v>
      </c>
      <c r="R45" s="93"/>
      <c r="T45" s="97" t="s">
        <v>106</v>
      </c>
      <c r="U45" s="98">
        <v>0.98563900000000004</v>
      </c>
      <c r="W45" s="104">
        <v>42382</v>
      </c>
      <c r="X45" s="12">
        <v>51.73</v>
      </c>
      <c r="Y45" s="12">
        <v>51.8</v>
      </c>
      <c r="Z45" s="12">
        <v>49.5</v>
      </c>
      <c r="AA45" s="12">
        <v>49.73</v>
      </c>
      <c r="AB45" s="105">
        <v>22013500</v>
      </c>
      <c r="AC45" s="12">
        <v>49.35</v>
      </c>
      <c r="AD45" s="2">
        <f t="shared" si="0"/>
        <v>2.2999999999999972</v>
      </c>
      <c r="AE45" s="148">
        <f t="shared" si="1"/>
        <v>-3.178340200117713E-2</v>
      </c>
    </row>
    <row r="46" spans="15:31" x14ac:dyDescent="0.25">
      <c r="O46" s="2"/>
      <c r="P46" s="93">
        <v>1.04</v>
      </c>
      <c r="Q46" s="93">
        <f t="shared" si="5"/>
        <v>51.521599999999999</v>
      </c>
      <c r="R46" s="93"/>
      <c r="T46" s="97" t="s">
        <v>107</v>
      </c>
      <c r="U46" s="99" t="s">
        <v>257</v>
      </c>
      <c r="W46" s="104">
        <v>42381</v>
      </c>
      <c r="X46" s="12">
        <v>50.88</v>
      </c>
      <c r="Y46" s="12">
        <v>51.52</v>
      </c>
      <c r="Z46" s="12">
        <v>50.45</v>
      </c>
      <c r="AA46" s="12">
        <v>51.36</v>
      </c>
      <c r="AB46" s="105">
        <v>28961500</v>
      </c>
      <c r="AC46" s="12">
        <v>50.97</v>
      </c>
      <c r="AD46" s="2">
        <f t="shared" si="0"/>
        <v>1.0700000000000003</v>
      </c>
      <c r="AE46" s="148">
        <f t="shared" si="1"/>
        <v>2.5347012673506253E-2</v>
      </c>
    </row>
    <row r="47" spans="15:31" x14ac:dyDescent="0.25">
      <c r="O47" s="2"/>
      <c r="P47" s="93">
        <v>1.03</v>
      </c>
      <c r="Q47" s="93">
        <f t="shared" si="5"/>
        <v>51.026200000000003</v>
      </c>
      <c r="R47" s="93"/>
      <c r="T47" s="97"/>
      <c r="U47" s="98"/>
      <c r="W47" s="104">
        <v>42380</v>
      </c>
      <c r="X47" s="12">
        <v>50.18</v>
      </c>
      <c r="Y47" s="12">
        <v>50.33</v>
      </c>
      <c r="Z47" s="12">
        <v>49.64</v>
      </c>
      <c r="AA47" s="12">
        <v>50.09</v>
      </c>
      <c r="AB47" s="105">
        <v>19046400</v>
      </c>
      <c r="AC47" s="12">
        <v>49.71</v>
      </c>
      <c r="AD47" s="2">
        <f t="shared" si="0"/>
        <v>0.68999999999999773</v>
      </c>
      <c r="AE47" s="148">
        <f t="shared" si="1"/>
        <v>1.0776738511590001E-2</v>
      </c>
    </row>
    <row r="48" spans="15:31" x14ac:dyDescent="0.25">
      <c r="O48" s="2"/>
      <c r="P48" s="93">
        <v>1.02</v>
      </c>
      <c r="Q48" s="93">
        <f t="shared" si="5"/>
        <v>50.530799999999999</v>
      </c>
      <c r="R48" s="93"/>
      <c r="T48" s="97" t="s">
        <v>108</v>
      </c>
      <c r="U48" s="98" t="s">
        <v>400</v>
      </c>
      <c r="W48" s="104">
        <v>42377</v>
      </c>
      <c r="X48" s="12">
        <v>50.8</v>
      </c>
      <c r="Y48" s="12">
        <v>50.86</v>
      </c>
      <c r="Z48" s="12">
        <v>49.46</v>
      </c>
      <c r="AA48" s="12">
        <v>49.56</v>
      </c>
      <c r="AB48" s="105">
        <v>22981400</v>
      </c>
      <c r="AC48" s="12">
        <v>49.18</v>
      </c>
      <c r="AD48" s="2">
        <f t="shared" si="0"/>
        <v>1.3999999999999986</v>
      </c>
      <c r="AE48" s="148">
        <f t="shared" si="1"/>
        <v>-1.6596680663867214E-2</v>
      </c>
    </row>
    <row r="49" spans="15:31" x14ac:dyDescent="0.25">
      <c r="O49" s="2"/>
      <c r="P49" s="93">
        <v>1.01</v>
      </c>
      <c r="Q49" s="93">
        <f t="shared" si="5"/>
        <v>50.035400000000003</v>
      </c>
      <c r="R49" s="93"/>
      <c r="T49" s="97" t="s">
        <v>109</v>
      </c>
      <c r="U49" s="98" t="s">
        <v>250</v>
      </c>
      <c r="W49" s="104">
        <v>42376</v>
      </c>
      <c r="X49" s="12">
        <v>51.01</v>
      </c>
      <c r="Y49" s="12">
        <v>51.19</v>
      </c>
      <c r="Z49" s="12">
        <v>50.15</v>
      </c>
      <c r="AA49" s="12">
        <v>50.4</v>
      </c>
      <c r="AB49" s="105">
        <v>30425600</v>
      </c>
      <c r="AC49" s="12">
        <v>50.01</v>
      </c>
      <c r="AD49" s="2">
        <f t="shared" si="0"/>
        <v>1.0399999999999991</v>
      </c>
      <c r="AE49" s="148">
        <f t="shared" si="1"/>
        <v>-2.8554778554778504E-2</v>
      </c>
    </row>
    <row r="50" spans="15:31" x14ac:dyDescent="0.25">
      <c r="O50" s="2"/>
      <c r="P50" s="93">
        <v>1</v>
      </c>
      <c r="Q50" s="93">
        <f t="shared" si="5"/>
        <v>49.54</v>
      </c>
      <c r="R50" s="93"/>
      <c r="T50" s="97" t="s">
        <v>110</v>
      </c>
      <c r="U50" s="100">
        <v>12945605</v>
      </c>
      <c r="W50" s="104">
        <v>42375</v>
      </c>
      <c r="X50" s="12">
        <v>52.12</v>
      </c>
      <c r="Y50" s="12">
        <v>52.62</v>
      </c>
      <c r="Z50" s="12">
        <v>51.83</v>
      </c>
      <c r="AA50" s="12">
        <v>51.88</v>
      </c>
      <c r="AB50" s="105">
        <v>20026400</v>
      </c>
      <c r="AC50" s="12">
        <v>51.48</v>
      </c>
      <c r="AD50" s="2">
        <f t="shared" si="0"/>
        <v>0.78999999999999915</v>
      </c>
      <c r="AE50" s="148">
        <f t="shared" si="1"/>
        <v>-1.9054878048780477E-2</v>
      </c>
    </row>
    <row r="51" spans="15:31" x14ac:dyDescent="0.25">
      <c r="O51" s="2"/>
      <c r="P51" s="93">
        <v>0.99</v>
      </c>
      <c r="Q51" s="93">
        <f t="shared" si="5"/>
        <v>49.044599999999996</v>
      </c>
      <c r="R51" s="93"/>
      <c r="T51" s="97" t="s">
        <v>113</v>
      </c>
      <c r="U51" s="100">
        <v>21020000</v>
      </c>
      <c r="W51" s="104">
        <v>42374</v>
      </c>
      <c r="X51" s="12">
        <v>52.93</v>
      </c>
      <c r="Y51" s="12">
        <v>53.27</v>
      </c>
      <c r="Z51" s="12">
        <v>52.55</v>
      </c>
      <c r="AA51" s="12">
        <v>52.89</v>
      </c>
      <c r="AB51" s="105">
        <v>14759600</v>
      </c>
      <c r="AC51" s="12">
        <v>52.48</v>
      </c>
      <c r="AD51" s="2">
        <f t="shared" si="0"/>
        <v>0.72000000000000597</v>
      </c>
      <c r="AE51" s="148">
        <f t="shared" si="1"/>
        <v>-3.8095238095248174E-4</v>
      </c>
    </row>
    <row r="52" spans="15:31" x14ac:dyDescent="0.25">
      <c r="O52" s="2"/>
      <c r="P52" s="93">
        <v>0.98</v>
      </c>
      <c r="Q52" s="93">
        <f t="shared" si="5"/>
        <v>48.549199999999999</v>
      </c>
      <c r="R52" s="93"/>
      <c r="T52" s="97" t="s">
        <v>111</v>
      </c>
      <c r="U52" s="98" t="s">
        <v>401</v>
      </c>
      <c r="W52" s="104">
        <v>42373</v>
      </c>
      <c r="X52" s="12">
        <v>53.09</v>
      </c>
      <c r="Y52" s="12">
        <v>53.27</v>
      </c>
      <c r="Z52" s="12">
        <v>52.3</v>
      </c>
      <c r="AA52" s="12">
        <v>52.91</v>
      </c>
      <c r="AB52" s="105">
        <v>25985400</v>
      </c>
      <c r="AC52" s="12">
        <v>52.5</v>
      </c>
      <c r="AD52" s="2">
        <f t="shared" si="0"/>
        <v>0.97000000000000597</v>
      </c>
      <c r="AE52" s="148">
        <f t="shared" si="1"/>
        <v>-2.6696329254727424E-2</v>
      </c>
    </row>
    <row r="53" spans="15:31" x14ac:dyDescent="0.25">
      <c r="O53" s="2"/>
      <c r="P53" s="93">
        <v>0.97</v>
      </c>
      <c r="Q53" s="93">
        <f t="shared" si="5"/>
        <v>48.053799999999995</v>
      </c>
      <c r="R53" s="93"/>
      <c r="T53" s="97" t="s">
        <v>114</v>
      </c>
      <c r="U53" s="98">
        <v>12.13</v>
      </c>
      <c r="W53" s="104">
        <v>42369</v>
      </c>
      <c r="X53" s="12">
        <v>54.51</v>
      </c>
      <c r="Y53" s="12">
        <v>54.95</v>
      </c>
      <c r="Z53" s="12">
        <v>54.22</v>
      </c>
      <c r="AA53" s="12">
        <v>54.36</v>
      </c>
      <c r="AB53" s="105">
        <v>10929800</v>
      </c>
      <c r="AC53" s="12">
        <v>53.94</v>
      </c>
      <c r="AD53" s="2">
        <f t="shared" si="0"/>
        <v>0.73000000000000398</v>
      </c>
      <c r="AE53" s="148">
        <f t="shared" si="1"/>
        <v>-9.7301266752340965E-3</v>
      </c>
    </row>
    <row r="54" spans="15:31" x14ac:dyDescent="0.25">
      <c r="O54" s="2"/>
      <c r="P54" s="93">
        <v>0.96</v>
      </c>
      <c r="Q54" s="93">
        <f t="shared" si="5"/>
        <v>47.558399999999999</v>
      </c>
      <c r="R54" s="93"/>
      <c r="T54" s="97" t="s">
        <v>115</v>
      </c>
      <c r="U54" s="98">
        <v>4.12</v>
      </c>
      <c r="W54" s="104">
        <v>42368</v>
      </c>
      <c r="X54" s="12">
        <v>55.27</v>
      </c>
      <c r="Y54" s="12">
        <v>55.31</v>
      </c>
      <c r="Z54" s="12">
        <v>54.79</v>
      </c>
      <c r="AA54" s="12">
        <v>54.89</v>
      </c>
      <c r="AB54" s="105">
        <v>8016900</v>
      </c>
      <c r="AC54" s="12">
        <v>54.47</v>
      </c>
      <c r="AD54" s="2">
        <f t="shared" si="0"/>
        <v>0.52000000000000313</v>
      </c>
      <c r="AE54" s="148">
        <f t="shared" si="1"/>
        <v>-7.2899580827410215E-3</v>
      </c>
    </row>
    <row r="55" spans="15:31" x14ac:dyDescent="0.25">
      <c r="O55" s="2"/>
      <c r="P55" s="93">
        <v>0.95</v>
      </c>
      <c r="Q55" s="93">
        <f t="shared" si="5"/>
        <v>47.062999999999995</v>
      </c>
      <c r="R55" s="93"/>
      <c r="T55" s="97" t="s">
        <v>112</v>
      </c>
      <c r="U55" s="98" t="s">
        <v>402</v>
      </c>
      <c r="W55" s="104">
        <v>42367</v>
      </c>
      <c r="X55" s="12">
        <v>55.11</v>
      </c>
      <c r="Y55" s="12">
        <v>55.35</v>
      </c>
      <c r="Z55" s="12">
        <v>54.99</v>
      </c>
      <c r="AA55" s="12">
        <v>55.29</v>
      </c>
      <c r="AB55" s="105">
        <v>7894900</v>
      </c>
      <c r="AC55" s="12">
        <v>54.87</v>
      </c>
      <c r="AD55" s="2">
        <f t="shared" si="0"/>
        <v>0.35999999999999943</v>
      </c>
      <c r="AE55" s="148">
        <f>AC55/AC56-1</f>
        <v>1.1242167342425446E-2</v>
      </c>
    </row>
    <row r="56" spans="15:31" x14ac:dyDescent="0.25">
      <c r="O56" s="2"/>
      <c r="P56" s="93">
        <v>0.94</v>
      </c>
      <c r="Q56" s="93">
        <f t="shared" si="5"/>
        <v>46.567599999999999</v>
      </c>
      <c r="R56" s="93"/>
      <c r="W56" s="104">
        <v>42366</v>
      </c>
      <c r="X56" s="12">
        <v>54.55</v>
      </c>
      <c r="Y56" s="12">
        <v>54.78</v>
      </c>
      <c r="Z56" s="12">
        <v>54.17</v>
      </c>
      <c r="AA56" s="12">
        <v>54.68</v>
      </c>
      <c r="AB56" s="105">
        <v>8288800</v>
      </c>
      <c r="AC56" s="12">
        <v>54.26</v>
      </c>
      <c r="AD56" s="2">
        <f t="shared" si="0"/>
        <v>0.60999999999999943</v>
      </c>
      <c r="AE56" s="148">
        <f t="shared" si="1"/>
        <v>-2.5735294117646967E-3</v>
      </c>
    </row>
    <row r="57" spans="15:31" x14ac:dyDescent="0.25">
      <c r="O57" s="2"/>
      <c r="P57" s="93">
        <v>0.93</v>
      </c>
      <c r="Q57" s="93">
        <f t="shared" si="5"/>
        <v>46.072200000000002</v>
      </c>
      <c r="R57" s="93"/>
      <c r="W57" s="104">
        <v>42362</v>
      </c>
      <c r="X57" s="12">
        <v>54.97</v>
      </c>
      <c r="Y57" s="12">
        <v>55.09</v>
      </c>
      <c r="Z57" s="12">
        <v>54.71</v>
      </c>
      <c r="AA57" s="12">
        <v>54.82</v>
      </c>
      <c r="AB57" s="105">
        <v>4999400</v>
      </c>
      <c r="AC57" s="12">
        <v>54.4</v>
      </c>
      <c r="AD57" s="2">
        <f t="shared" si="0"/>
        <v>0.38000000000000256</v>
      </c>
      <c r="AE57" s="148">
        <f t="shared" si="1"/>
        <v>-4.0278286341999259E-3</v>
      </c>
    </row>
    <row r="58" spans="15:31" x14ac:dyDescent="0.25">
      <c r="O58" s="2"/>
      <c r="P58" s="93">
        <v>0.92</v>
      </c>
      <c r="Q58" s="93">
        <f t="shared" si="5"/>
        <v>45.576799999999999</v>
      </c>
      <c r="R58" s="93"/>
      <c r="W58" s="104">
        <v>42361</v>
      </c>
      <c r="X58" s="12">
        <v>54.6</v>
      </c>
      <c r="Y58" s="12">
        <v>55.06</v>
      </c>
      <c r="Z58" s="12">
        <v>54.46</v>
      </c>
      <c r="AA58" s="12">
        <v>55.04</v>
      </c>
      <c r="AB58" s="105">
        <v>13033600</v>
      </c>
      <c r="AC58" s="12">
        <v>54.62</v>
      </c>
      <c r="AD58" s="2">
        <f t="shared" si="0"/>
        <v>0.60000000000000142</v>
      </c>
      <c r="AE58" s="148">
        <f t="shared" si="1"/>
        <v>1.2982195845697264E-2</v>
      </c>
    </row>
    <row r="59" spans="15:31" x14ac:dyDescent="0.25">
      <c r="O59" s="2"/>
      <c r="P59" s="93">
        <v>0.91</v>
      </c>
      <c r="Q59" s="93">
        <f t="shared" si="5"/>
        <v>45.081400000000002</v>
      </c>
      <c r="R59" s="93"/>
      <c r="W59" s="104">
        <v>42360</v>
      </c>
      <c r="X59" s="12">
        <v>54.36</v>
      </c>
      <c r="Y59" s="12">
        <v>54.5</v>
      </c>
      <c r="Z59" s="12">
        <v>53.7</v>
      </c>
      <c r="AA59" s="12">
        <v>54.34</v>
      </c>
      <c r="AB59" s="105">
        <v>10318100</v>
      </c>
      <c r="AC59" s="12">
        <v>53.92</v>
      </c>
      <c r="AD59" s="2">
        <f t="shared" si="0"/>
        <v>0.79999999999999716</v>
      </c>
      <c r="AE59" s="148">
        <f t="shared" si="1"/>
        <v>5.7825032643163965E-3</v>
      </c>
    </row>
    <row r="60" spans="15:31" x14ac:dyDescent="0.25">
      <c r="O60" s="2"/>
      <c r="P60" s="93">
        <v>0.9</v>
      </c>
      <c r="Q60" s="93">
        <f t="shared" si="5"/>
        <v>44.585999999999999</v>
      </c>
      <c r="R60" s="93"/>
      <c r="W60" s="104">
        <v>42359</v>
      </c>
      <c r="X60" s="12">
        <v>54.3</v>
      </c>
      <c r="Y60" s="12">
        <v>54.54</v>
      </c>
      <c r="Z60" s="12">
        <v>53.55</v>
      </c>
      <c r="AA60" s="12">
        <v>54.02</v>
      </c>
      <c r="AB60" s="105">
        <v>12993400</v>
      </c>
      <c r="AC60" s="12">
        <v>53.61</v>
      </c>
      <c r="AD60" s="2">
        <f t="shared" si="0"/>
        <v>0.99000000000000199</v>
      </c>
      <c r="AE60" s="148">
        <f t="shared" si="1"/>
        <v>4.3087298613713187E-3</v>
      </c>
    </row>
    <row r="61" spans="15:31" x14ac:dyDescent="0.25">
      <c r="W61" s="104">
        <v>42356</v>
      </c>
      <c r="X61" s="12">
        <v>55</v>
      </c>
      <c r="Y61" s="12">
        <v>55.15</v>
      </c>
      <c r="Z61" s="12">
        <v>53.79</v>
      </c>
      <c r="AA61" s="12">
        <v>53.79</v>
      </c>
      <c r="AB61" s="105">
        <v>31468600</v>
      </c>
      <c r="AC61" s="12">
        <v>53.38</v>
      </c>
      <c r="AD61" s="2">
        <f t="shared" si="0"/>
        <v>1.3599999999999994</v>
      </c>
      <c r="AE61" s="148">
        <f t="shared" si="1"/>
        <v>-3.0159883720930147E-2</v>
      </c>
    </row>
    <row r="62" spans="15:31" x14ac:dyDescent="0.25">
      <c r="W62" s="104">
        <v>42355</v>
      </c>
      <c r="X62" s="12">
        <v>56.11</v>
      </c>
      <c r="Y62" s="12">
        <v>56.24</v>
      </c>
      <c r="Z62" s="12">
        <v>55.47</v>
      </c>
      <c r="AA62" s="12">
        <v>55.47</v>
      </c>
      <c r="AB62" s="105">
        <v>18800500</v>
      </c>
      <c r="AC62" s="12">
        <v>55.04</v>
      </c>
      <c r="AD62" s="2">
        <f t="shared" si="0"/>
        <v>0.77000000000000313</v>
      </c>
      <c r="AE62" s="148">
        <f t="shared" si="1"/>
        <v>-6.8567304222303394E-3</v>
      </c>
    </row>
    <row r="63" spans="15:31" x14ac:dyDescent="0.25">
      <c r="W63" s="104">
        <v>42354</v>
      </c>
      <c r="X63" s="12">
        <v>55.21</v>
      </c>
      <c r="Y63" s="12">
        <v>56.04</v>
      </c>
      <c r="Z63" s="12">
        <v>54.82</v>
      </c>
      <c r="AA63" s="12">
        <v>55.85</v>
      </c>
      <c r="AB63" s="105">
        <v>21086800</v>
      </c>
      <c r="AC63" s="12">
        <v>55.42</v>
      </c>
      <c r="AD63" s="2">
        <f t="shared" si="0"/>
        <v>1.2199999999999989</v>
      </c>
      <c r="AE63" s="148">
        <f t="shared" si="1"/>
        <v>1.7067351807671161E-2</v>
      </c>
    </row>
    <row r="64" spans="15:31" x14ac:dyDescent="0.25">
      <c r="W64" s="104">
        <v>42353</v>
      </c>
      <c r="X64" s="12">
        <v>53.83</v>
      </c>
      <c r="Y64" s="12">
        <v>55.12</v>
      </c>
      <c r="Z64" s="12">
        <v>53.81</v>
      </c>
      <c r="AA64" s="12">
        <v>54.91</v>
      </c>
      <c r="AB64" s="105">
        <v>18917600</v>
      </c>
      <c r="AC64" s="12">
        <v>54.49</v>
      </c>
      <c r="AD64" s="2">
        <f t="shared" si="0"/>
        <v>1.3099999999999952</v>
      </c>
      <c r="AE64" s="148">
        <f t="shared" si="1"/>
        <v>3.2203068763023257E-2</v>
      </c>
    </row>
    <row r="65" spans="23:31" x14ac:dyDescent="0.25">
      <c r="W65" s="104">
        <v>42352</v>
      </c>
      <c r="X65" s="12">
        <v>53.32</v>
      </c>
      <c r="Y65" s="12">
        <v>53.57</v>
      </c>
      <c r="Z65" s="12">
        <v>52.75</v>
      </c>
      <c r="AA65" s="12">
        <v>53.2</v>
      </c>
      <c r="AB65" s="105">
        <v>22055100</v>
      </c>
      <c r="AC65" s="12">
        <v>52.79</v>
      </c>
      <c r="AD65" s="2">
        <f t="shared" si="0"/>
        <v>0.82000000000000028</v>
      </c>
      <c r="AE65" s="148">
        <f t="shared" si="1"/>
        <v>-2.0793950850661602E-3</v>
      </c>
    </row>
    <row r="66" spans="23:31" x14ac:dyDescent="0.25">
      <c r="W66" s="104">
        <v>42349</v>
      </c>
      <c r="X66" s="12">
        <v>53.45</v>
      </c>
      <c r="Y66" s="12">
        <v>53.94</v>
      </c>
      <c r="Z66" s="12">
        <v>52.99</v>
      </c>
      <c r="AA66" s="12">
        <v>53.31</v>
      </c>
      <c r="AB66" s="105">
        <v>17815700</v>
      </c>
      <c r="AC66" s="12">
        <v>52.9</v>
      </c>
      <c r="AD66" s="2">
        <f t="shared" si="0"/>
        <v>0.94999999999999574</v>
      </c>
      <c r="AE66" s="148">
        <f t="shared" si="1"/>
        <v>-1.8916913946587566E-2</v>
      </c>
    </row>
    <row r="67" spans="23:31" x14ac:dyDescent="0.25">
      <c r="W67" s="104">
        <v>42348</v>
      </c>
      <c r="X67" s="12">
        <v>54.25</v>
      </c>
      <c r="Y67" s="12">
        <v>54.99</v>
      </c>
      <c r="Z67" s="12">
        <v>53.88</v>
      </c>
      <c r="AA67" s="12">
        <v>54.34</v>
      </c>
      <c r="AB67" s="105">
        <v>14075300</v>
      </c>
      <c r="AC67" s="12">
        <v>53.92</v>
      </c>
      <c r="AD67" s="2">
        <f t="shared" si="0"/>
        <v>1.1099999999999994</v>
      </c>
      <c r="AE67" s="148">
        <f t="shared" si="1"/>
        <v>4.096834264432081E-3</v>
      </c>
    </row>
    <row r="68" spans="23:31" x14ac:dyDescent="0.25">
      <c r="W68" s="104">
        <v>42347</v>
      </c>
      <c r="X68" s="12">
        <v>54.12</v>
      </c>
      <c r="Y68" s="12">
        <v>54.94</v>
      </c>
      <c r="Z68" s="12">
        <v>53.71</v>
      </c>
      <c r="AA68" s="12">
        <v>54.12</v>
      </c>
      <c r="AB68" s="105">
        <v>18499600</v>
      </c>
      <c r="AC68" s="12">
        <v>53.7</v>
      </c>
      <c r="AD68" s="2">
        <f>Y68-Z68</f>
        <v>1.2299999999999969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3" priority="27">
      <formula>F7&gt;0</formula>
    </cfRule>
    <cfRule type="expression" dxfId="25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51" priority="19">
      <formula>F22&gt;0</formula>
    </cfRule>
    <cfRule type="expression" dxfId="250" priority="20">
      <formula>F22&lt;0</formula>
    </cfRule>
  </conditionalFormatting>
  <conditionalFormatting sqref="F22:F23">
    <cfRule type="expression" dxfId="249" priority="21">
      <formula>F22&gt;0</formula>
    </cfRule>
    <cfRule type="expression" dxfId="248" priority="22">
      <formula>F22&lt;0</formula>
    </cfRule>
  </conditionalFormatting>
  <conditionalFormatting sqref="H19:H23">
    <cfRule type="expression" dxfId="247" priority="17">
      <formula>H19&gt;0</formula>
    </cfRule>
    <cfRule type="expression" dxfId="246" priority="18">
      <formula>H19&lt;0</formula>
    </cfRule>
  </conditionalFormatting>
  <conditionalFormatting sqref="F15:F18">
    <cfRule type="expression" dxfId="245" priority="3">
      <formula>F15&gt;0</formula>
    </cfRule>
    <cfRule type="expression" dxfId="244" priority="4">
      <formula>F15&lt;0</formula>
    </cfRule>
  </conditionalFormatting>
  <conditionalFormatting sqref="H15:H18">
    <cfRule type="expression" dxfId="243" priority="1">
      <formula>H15&gt;0</formula>
    </cfRule>
    <cfRule type="expression" dxfId="24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42444</v>
      </c>
      <c r="X2" s="12">
        <v>9.5</v>
      </c>
      <c r="Y2" s="12">
        <v>9.52</v>
      </c>
      <c r="Z2" s="12">
        <v>9.11</v>
      </c>
      <c r="AA2" s="12">
        <v>9.16</v>
      </c>
      <c r="AB2" s="105">
        <v>31413700</v>
      </c>
      <c r="AC2" s="12">
        <v>9.16</v>
      </c>
      <c r="AD2" s="2">
        <f>Y2-Z2</f>
        <v>0.41000000000000014</v>
      </c>
      <c r="AE2" s="148">
        <f>AC2/AC3-1</f>
        <v>-5.2740434332988584E-2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9.74</v>
      </c>
      <c r="T3" s="131"/>
      <c r="W3" s="104">
        <v>42443</v>
      </c>
      <c r="X3" s="12">
        <v>9.41</v>
      </c>
      <c r="Y3" s="12">
        <v>9.8000000000000007</v>
      </c>
      <c r="Z3" s="12">
        <v>9.36</v>
      </c>
      <c r="AA3" s="12">
        <v>9.67</v>
      </c>
      <c r="AB3" s="105">
        <v>21664200</v>
      </c>
      <c r="AC3" s="12">
        <v>9.67</v>
      </c>
      <c r="AD3" s="2">
        <f>Y3-Z3</f>
        <v>0.44000000000000128</v>
      </c>
      <c r="AE3" s="148">
        <f>AC3/AC4-1</f>
        <v>1.5756302521008347E-2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9.74</v>
      </c>
      <c r="T4" s="131"/>
      <c r="W4" s="104">
        <v>42440</v>
      </c>
      <c r="X4" s="12">
        <v>9.7100000000000009</v>
      </c>
      <c r="Y4" s="12">
        <v>9.85</v>
      </c>
      <c r="Z4" s="12">
        <v>9.4499999999999993</v>
      </c>
      <c r="AA4" s="12">
        <v>9.52</v>
      </c>
      <c r="AB4" s="105">
        <v>23346400</v>
      </c>
      <c r="AC4" s="12">
        <v>9.52</v>
      </c>
      <c r="AD4" s="2">
        <f t="shared" ref="AD4:AD67" si="0">Y4-Z4</f>
        <v>0.40000000000000036</v>
      </c>
      <c r="AE4" s="148">
        <f t="shared" ref="AE4:AE67" si="1">AC4/AC5-1</f>
        <v>-7.2992700729926918E-3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42439</v>
      </c>
      <c r="X5" s="12">
        <v>9.3800000000000008</v>
      </c>
      <c r="Y5" s="12">
        <v>9.6300000000000008</v>
      </c>
      <c r="Z5" s="12">
        <v>9.2200000000000006</v>
      </c>
      <c r="AA5" s="12">
        <v>9.59</v>
      </c>
      <c r="AB5" s="105">
        <v>24924300</v>
      </c>
      <c r="AC5" s="12">
        <v>9.59</v>
      </c>
      <c r="AD5" s="2">
        <f t="shared" si="0"/>
        <v>0.41000000000000014</v>
      </c>
      <c r="AE5" s="148">
        <f t="shared" si="1"/>
        <v>1.8046709129511562E-2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42438</v>
      </c>
      <c r="X6" s="12">
        <v>9.43</v>
      </c>
      <c r="Y6" s="12">
        <v>9.52</v>
      </c>
      <c r="Z6" s="12">
        <v>9.1199999999999992</v>
      </c>
      <c r="AA6" s="12">
        <v>9.42</v>
      </c>
      <c r="AB6" s="105">
        <v>21765900</v>
      </c>
      <c r="AC6" s="12">
        <v>9.42</v>
      </c>
      <c r="AD6" s="2">
        <f t="shared" si="0"/>
        <v>0.40000000000000036</v>
      </c>
      <c r="AE6" s="148">
        <f t="shared" si="1"/>
        <v>9.6463022508037621E-3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251</v>
      </c>
      <c r="Q7" s="2">
        <f>IF(Q2=0, K10+M10-F10,Q5-Q6)+M21</f>
        <v>816.43000000000143</v>
      </c>
      <c r="R7" s="207"/>
      <c r="T7" s="95"/>
      <c r="W7" s="104">
        <v>42437</v>
      </c>
      <c r="X7" s="12">
        <v>9.77</v>
      </c>
      <c r="Y7" s="12">
        <v>9.9</v>
      </c>
      <c r="Z7" s="12">
        <v>9.2899999999999991</v>
      </c>
      <c r="AA7" s="12">
        <v>9.33</v>
      </c>
      <c r="AB7" s="105">
        <v>37791000</v>
      </c>
      <c r="AC7" s="12">
        <v>9.33</v>
      </c>
      <c r="AD7" s="2">
        <f t="shared" si="0"/>
        <v>0.61000000000000121</v>
      </c>
      <c r="AE7" s="148">
        <f t="shared" si="1"/>
        <v>-7.0717131474103523E-2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42436</v>
      </c>
      <c r="X8" s="12">
        <v>9.66</v>
      </c>
      <c r="Y8" s="12">
        <v>10.07</v>
      </c>
      <c r="Z8" s="12">
        <v>9.61</v>
      </c>
      <c r="AA8" s="12">
        <v>10.039999999999999</v>
      </c>
      <c r="AB8" s="105">
        <v>41542400</v>
      </c>
      <c r="AC8" s="12">
        <v>10.039999999999999</v>
      </c>
      <c r="AD8" s="2">
        <f t="shared" si="0"/>
        <v>0.46000000000000085</v>
      </c>
      <c r="AE8" s="148">
        <f t="shared" si="1"/>
        <v>4.9111807732497237E-2</v>
      </c>
    </row>
    <row r="9" spans="1:40" x14ac:dyDescent="0.25">
      <c r="O9" s="13" t="s">
        <v>230</v>
      </c>
      <c r="Q9" s="148">
        <f>VALUE(TRIM(CLEAN(MID(U55, FIND("(", U55)+1, 5))))</f>
        <v>1.26E-2</v>
      </c>
      <c r="W9" s="104">
        <v>42433</v>
      </c>
      <c r="X9" s="12">
        <v>9.59</v>
      </c>
      <c r="Y9" s="12">
        <v>10.039999999999999</v>
      </c>
      <c r="Z9" s="12">
        <v>9.42</v>
      </c>
      <c r="AA9" s="12">
        <v>9.57</v>
      </c>
      <c r="AB9" s="105">
        <v>40736700</v>
      </c>
      <c r="AC9" s="12">
        <v>9.57</v>
      </c>
      <c r="AD9" s="2">
        <f t="shared" si="0"/>
        <v>0.61999999999999922</v>
      </c>
      <c r="AE9" s="148">
        <f t="shared" si="1"/>
        <v>1.0559662090813049E-2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42432</v>
      </c>
      <c r="X10" s="12">
        <v>9.4</v>
      </c>
      <c r="Y10" s="12">
        <v>9.6999999999999993</v>
      </c>
      <c r="Z10" s="12">
        <v>9.17</v>
      </c>
      <c r="AA10" s="12">
        <v>9.4700000000000006</v>
      </c>
      <c r="AB10" s="105">
        <v>35492900</v>
      </c>
      <c r="AC10" s="12">
        <v>9.4700000000000006</v>
      </c>
      <c r="AD10" s="2">
        <f t="shared" si="0"/>
        <v>0.52999999999999936</v>
      </c>
      <c r="AE10" s="148">
        <f t="shared" si="1"/>
        <v>-1.5592515592515399E-2</v>
      </c>
    </row>
    <row r="11" spans="1:40" x14ac:dyDescent="0.25">
      <c r="O11" s="13" t="s">
        <v>260</v>
      </c>
      <c r="Q11" s="2">
        <f>K10+M10-F10</f>
        <v>7.9600000000002638</v>
      </c>
      <c r="W11" s="104">
        <v>42431</v>
      </c>
      <c r="X11" s="12">
        <v>9.15</v>
      </c>
      <c r="Y11" s="12">
        <v>9.6999999999999993</v>
      </c>
      <c r="Z11" s="12">
        <v>9.1</v>
      </c>
      <c r="AA11" s="12">
        <v>9.6199999999999992</v>
      </c>
      <c r="AB11" s="105">
        <v>48764600</v>
      </c>
      <c r="AC11" s="12">
        <v>9.6199999999999992</v>
      </c>
      <c r="AD11" s="2">
        <f t="shared" si="0"/>
        <v>0.59999999999999964</v>
      </c>
      <c r="AE11" s="148">
        <f t="shared" si="1"/>
        <v>5.598243688254656E-2</v>
      </c>
      <c r="AK11" s="263"/>
      <c r="AN11" s="263"/>
    </row>
    <row r="12" spans="1:40" x14ac:dyDescent="0.25">
      <c r="W12" s="104">
        <v>42430</v>
      </c>
      <c r="X12" s="12">
        <v>9.1199999999999992</v>
      </c>
      <c r="Y12" s="12">
        <v>9.1999999999999993</v>
      </c>
      <c r="Z12" s="12">
        <v>8.92</v>
      </c>
      <c r="AA12" s="12">
        <v>9.11</v>
      </c>
      <c r="AB12" s="105">
        <v>16203300</v>
      </c>
      <c r="AC12" s="12">
        <v>9.11</v>
      </c>
      <c r="AD12" s="2">
        <f t="shared" si="0"/>
        <v>0.27999999999999936</v>
      </c>
      <c r="AE12" s="148">
        <f t="shared" si="1"/>
        <v>2.015677491601342E-2</v>
      </c>
    </row>
    <row r="13" spans="1:40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2" t="s">
        <v>65</v>
      </c>
      <c r="G13" s="253" t="s">
        <v>175</v>
      </c>
      <c r="H13" s="253" t="s">
        <v>90</v>
      </c>
      <c r="I13" s="253" t="s">
        <v>183</v>
      </c>
      <c r="W13" s="104">
        <v>42429</v>
      </c>
      <c r="X13" s="12">
        <v>8.9499999999999993</v>
      </c>
      <c r="Y13" s="12">
        <v>9.11</v>
      </c>
      <c r="Z13" s="12">
        <v>8.85</v>
      </c>
      <c r="AA13" s="12">
        <v>8.93</v>
      </c>
      <c r="AB13" s="105">
        <v>20952100</v>
      </c>
      <c r="AC13" s="12">
        <v>8.93</v>
      </c>
      <c r="AD13" s="2">
        <f t="shared" si="0"/>
        <v>0.25999999999999979</v>
      </c>
      <c r="AE13" s="148">
        <f t="shared" si="1"/>
        <v>6.7643742953777952E-3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42426</v>
      </c>
      <c r="X14" s="12">
        <v>9.1199999999999992</v>
      </c>
      <c r="Y14" s="12">
        <v>9.2100000000000009</v>
      </c>
      <c r="Z14" s="12">
        <v>8.82</v>
      </c>
      <c r="AA14" s="12">
        <v>8.8699999999999992</v>
      </c>
      <c r="AB14" s="105">
        <v>22360200</v>
      </c>
      <c r="AC14" s="12">
        <v>8.8699999999999992</v>
      </c>
      <c r="AD14" s="2">
        <f t="shared" si="0"/>
        <v>0.39000000000000057</v>
      </c>
      <c r="AE14" s="148">
        <f t="shared" si="1"/>
        <v>0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42425</v>
      </c>
      <c r="X15" s="12">
        <v>8.7899999999999991</v>
      </c>
      <c r="Y15" s="12">
        <v>8.92</v>
      </c>
      <c r="Z15" s="12">
        <v>8.5500000000000007</v>
      </c>
      <c r="AA15" s="12">
        <v>8.8699999999999992</v>
      </c>
      <c r="AB15" s="105">
        <v>27645400</v>
      </c>
      <c r="AC15" s="12">
        <v>8.8699999999999992</v>
      </c>
      <c r="AD15" s="2">
        <f t="shared" si="0"/>
        <v>0.36999999999999922</v>
      </c>
      <c r="AE15" s="148">
        <f t="shared" si="1"/>
        <v>1.2557077625570789E-2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42424</v>
      </c>
      <c r="X16" s="12">
        <v>8.26</v>
      </c>
      <c r="Y16" s="12">
        <v>8.7899999999999991</v>
      </c>
      <c r="Z16" s="12">
        <v>8.25</v>
      </c>
      <c r="AA16" s="12">
        <v>8.76</v>
      </c>
      <c r="AB16" s="105">
        <v>30995200</v>
      </c>
      <c r="AC16" s="12">
        <v>8.76</v>
      </c>
      <c r="AD16" s="2">
        <f t="shared" si="0"/>
        <v>0.53999999999999915</v>
      </c>
      <c r="AE16" s="148">
        <f t="shared" si="1"/>
        <v>2.6963657678780839E-2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42423</v>
      </c>
      <c r="X17" s="12">
        <v>8.75</v>
      </c>
      <c r="Y17" s="12">
        <v>8.77</v>
      </c>
      <c r="Z17" s="12">
        <v>8.51</v>
      </c>
      <c r="AA17" s="12">
        <v>8.5299999999999994</v>
      </c>
      <c r="AB17" s="105">
        <v>26334700</v>
      </c>
      <c r="AC17" s="12">
        <v>8.5299999999999994</v>
      </c>
      <c r="AD17" s="2">
        <f t="shared" si="0"/>
        <v>0.25999999999999979</v>
      </c>
      <c r="AE17" s="148">
        <f t="shared" si="1"/>
        <v>-4.2648709315376121E-2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42422</v>
      </c>
      <c r="X18" s="12">
        <v>8.0399999999999991</v>
      </c>
      <c r="Y18" s="12">
        <v>8.93</v>
      </c>
      <c r="Z18" s="12">
        <v>8.0399999999999991</v>
      </c>
      <c r="AA18" s="12">
        <v>8.91</v>
      </c>
      <c r="AB18" s="105">
        <v>54926400</v>
      </c>
      <c r="AC18" s="12">
        <v>8.91</v>
      </c>
      <c r="AD18" s="2">
        <f t="shared" si="0"/>
        <v>0.89000000000000057</v>
      </c>
      <c r="AE18" s="148">
        <f t="shared" si="1"/>
        <v>0.13214739517153751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42419</v>
      </c>
      <c r="X19" s="12">
        <v>8.0299999999999994</v>
      </c>
      <c r="Y19" s="12">
        <v>8.09</v>
      </c>
      <c r="Z19" s="12">
        <v>7.84</v>
      </c>
      <c r="AA19" s="12">
        <v>7.87</v>
      </c>
      <c r="AB19" s="105">
        <v>30882200</v>
      </c>
      <c r="AC19" s="12">
        <v>7.87</v>
      </c>
      <c r="AD19" s="2">
        <f t="shared" si="0"/>
        <v>0.25</v>
      </c>
      <c r="AE19" s="148">
        <f t="shared" si="1"/>
        <v>-3.0788177339901357E-2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42418</v>
      </c>
      <c r="X20" s="12">
        <v>8.5399999999999991</v>
      </c>
      <c r="Y20" s="12">
        <v>8.56</v>
      </c>
      <c r="Z20" s="12">
        <v>8.08</v>
      </c>
      <c r="AA20" s="12">
        <v>8.1199999999999992</v>
      </c>
      <c r="AB20" s="105">
        <v>29248700</v>
      </c>
      <c r="AC20" s="12">
        <v>8.1199999999999992</v>
      </c>
      <c r="AD20" s="2">
        <f t="shared" si="0"/>
        <v>0.48000000000000043</v>
      </c>
      <c r="AE20" s="148">
        <f t="shared" si="1"/>
        <v>-4.6948356807511749E-2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42417</v>
      </c>
      <c r="X21" s="12">
        <v>8.23</v>
      </c>
      <c r="Y21" s="12">
        <v>8.6</v>
      </c>
      <c r="Z21" s="12">
        <v>8.1999999999999993</v>
      </c>
      <c r="AA21" s="12">
        <v>8.52</v>
      </c>
      <c r="AB21" s="105">
        <v>29017100</v>
      </c>
      <c r="AC21" s="12">
        <v>8.52</v>
      </c>
      <c r="AD21" s="2">
        <f t="shared" si="0"/>
        <v>0.40000000000000036</v>
      </c>
      <c r="AE21" s="148">
        <f t="shared" si="1"/>
        <v>4.9261083743842304E-2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42416</v>
      </c>
      <c r="X22" s="12">
        <v>7.8</v>
      </c>
      <c r="Y22" s="12">
        <v>8.1300000000000008</v>
      </c>
      <c r="Z22" s="12">
        <v>7.68</v>
      </c>
      <c r="AA22" s="12">
        <v>8.1199999999999992</v>
      </c>
      <c r="AB22" s="105">
        <v>21811000</v>
      </c>
      <c r="AC22" s="12">
        <v>8.1199999999999992</v>
      </c>
      <c r="AD22" s="2">
        <f t="shared" si="0"/>
        <v>0.45000000000000107</v>
      </c>
      <c r="AE22" s="148">
        <f t="shared" si="1"/>
        <v>5.591677503250958E-2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42412</v>
      </c>
      <c r="X23" s="12">
        <v>7.53</v>
      </c>
      <c r="Y23" s="12">
        <v>7.78</v>
      </c>
      <c r="Z23" s="12">
        <v>7.36</v>
      </c>
      <c r="AA23" s="12">
        <v>7.69</v>
      </c>
      <c r="AB23" s="105">
        <v>25980400</v>
      </c>
      <c r="AC23" s="12">
        <v>7.69</v>
      </c>
      <c r="AD23" s="2">
        <f t="shared" si="0"/>
        <v>0.41999999999999993</v>
      </c>
      <c r="AE23" s="148">
        <f t="shared" si="1"/>
        <v>4.9113233287858105E-2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42411</v>
      </c>
      <c r="X24" s="12">
        <v>7.36</v>
      </c>
      <c r="Y24" s="12">
        <v>7.55</v>
      </c>
      <c r="Z24" s="12">
        <v>7.11</v>
      </c>
      <c r="AA24" s="12">
        <v>7.33</v>
      </c>
      <c r="AB24" s="105">
        <v>31846300</v>
      </c>
      <c r="AC24" s="12">
        <v>7.33</v>
      </c>
      <c r="AD24" s="2">
        <f t="shared" si="0"/>
        <v>0.4399999999999995</v>
      </c>
      <c r="AE24" s="148">
        <f t="shared" si="1"/>
        <v>-2.7851458885941649E-2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42410</v>
      </c>
      <c r="X25" s="12">
        <v>7.9</v>
      </c>
      <c r="Y25" s="12">
        <v>7.91</v>
      </c>
      <c r="Z25" s="12">
        <v>7.45</v>
      </c>
      <c r="AA25" s="12">
        <v>7.54</v>
      </c>
      <c r="AB25" s="105">
        <v>27036000</v>
      </c>
      <c r="AC25" s="12">
        <v>7.54</v>
      </c>
      <c r="AD25" s="2">
        <f t="shared" si="0"/>
        <v>0.45999999999999996</v>
      </c>
      <c r="AE25" s="148">
        <f t="shared" si="1"/>
        <v>-3.4571062740076819E-2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42409</v>
      </c>
      <c r="X26" s="12">
        <v>7.72</v>
      </c>
      <c r="Y26" s="12">
        <v>7.95</v>
      </c>
      <c r="Z26" s="12">
        <v>7.58</v>
      </c>
      <c r="AA26" s="12">
        <v>7.81</v>
      </c>
      <c r="AB26" s="105">
        <v>26451500</v>
      </c>
      <c r="AC26" s="12">
        <v>7.81</v>
      </c>
      <c r="AD26" s="2">
        <f t="shared" si="0"/>
        <v>0.37000000000000011</v>
      </c>
      <c r="AE26" s="148">
        <f t="shared" si="1"/>
        <v>-1.13924050632912E-2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42408</v>
      </c>
      <c r="X27" s="12">
        <v>7.73</v>
      </c>
      <c r="Y27" s="12">
        <v>8.42</v>
      </c>
      <c r="Z27" s="12">
        <v>7.71</v>
      </c>
      <c r="AA27" s="12">
        <v>7.9</v>
      </c>
      <c r="AB27" s="105">
        <v>39502400</v>
      </c>
      <c r="AC27" s="12">
        <v>7.9</v>
      </c>
      <c r="AD27" s="2">
        <f t="shared" si="0"/>
        <v>0.71</v>
      </c>
      <c r="AE27" s="148">
        <f t="shared" si="1"/>
        <v>-2.7093596059113212E-2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42405</v>
      </c>
      <c r="X28" s="12">
        <v>8.14</v>
      </c>
      <c r="Y28" s="12">
        <v>8.5</v>
      </c>
      <c r="Z28" s="12">
        <v>7.88</v>
      </c>
      <c r="AA28" s="12">
        <v>8.1199999999999992</v>
      </c>
      <c r="AB28" s="105">
        <v>42783400</v>
      </c>
      <c r="AC28" s="12">
        <v>8.1199999999999992</v>
      </c>
      <c r="AD28" s="2">
        <f t="shared" si="0"/>
        <v>0.62000000000000011</v>
      </c>
      <c r="AE28" s="148">
        <f t="shared" si="1"/>
        <v>-2.2864019253911128E-2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42404</v>
      </c>
      <c r="X29" s="12">
        <v>7.64</v>
      </c>
      <c r="Y29" s="12">
        <v>8.4499999999999993</v>
      </c>
      <c r="Z29" s="12">
        <v>7.63</v>
      </c>
      <c r="AA29" s="12">
        <v>8.31</v>
      </c>
      <c r="AB29" s="105">
        <v>53494500</v>
      </c>
      <c r="AC29" s="12">
        <v>8.31</v>
      </c>
      <c r="AD29" s="2">
        <f t="shared" si="0"/>
        <v>0.8199999999999994</v>
      </c>
      <c r="AE29" s="148">
        <f t="shared" si="1"/>
        <v>0.10066225165562925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42403</v>
      </c>
      <c r="X30" s="12">
        <v>7.06</v>
      </c>
      <c r="Y30" s="12">
        <v>7.57</v>
      </c>
      <c r="Z30" s="12">
        <v>6.85</v>
      </c>
      <c r="AA30" s="12">
        <v>7.55</v>
      </c>
      <c r="AB30" s="105">
        <v>33790000</v>
      </c>
      <c r="AC30" s="12">
        <v>7.55</v>
      </c>
      <c r="AD30" s="2">
        <f t="shared" si="0"/>
        <v>0.72000000000000064</v>
      </c>
      <c r="AE30" s="148" t="e">
        <f t="shared" si="1"/>
        <v>#DIV/0!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42403</v>
      </c>
      <c r="X31" s="12" t="s">
        <v>124</v>
      </c>
      <c r="Y31" s="12"/>
      <c r="Z31" s="12"/>
      <c r="AA31" s="12"/>
      <c r="AB31" s="105"/>
      <c r="AC31" s="12"/>
      <c r="AD31" s="2">
        <f t="shared" si="0"/>
        <v>0</v>
      </c>
      <c r="AE31" s="148">
        <f t="shared" si="1"/>
        <v>-1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42402</v>
      </c>
      <c r="X32" s="12">
        <v>7.02</v>
      </c>
      <c r="Y32" s="12">
        <v>7.07</v>
      </c>
      <c r="Z32" s="12">
        <v>6.91</v>
      </c>
      <c r="AA32" s="12">
        <v>6.97</v>
      </c>
      <c r="AB32" s="105">
        <v>22162900</v>
      </c>
      <c r="AC32" s="12">
        <v>6.94</v>
      </c>
      <c r="AD32" s="2">
        <f t="shared" si="0"/>
        <v>0.16000000000000014</v>
      </c>
      <c r="AE32" s="148">
        <f t="shared" si="1"/>
        <v>-3.3426183844011081E-2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42401</v>
      </c>
      <c r="X33" s="12">
        <v>7.38</v>
      </c>
      <c r="Y33" s="12">
        <v>7.38</v>
      </c>
      <c r="Z33" s="12">
        <v>7.11</v>
      </c>
      <c r="AA33" s="12">
        <v>7.21</v>
      </c>
      <c r="AB33" s="105">
        <v>26539500</v>
      </c>
      <c r="AC33" s="12">
        <v>7.18</v>
      </c>
      <c r="AD33" s="2">
        <f t="shared" si="0"/>
        <v>0.26999999999999957</v>
      </c>
      <c r="AE33" s="148">
        <f t="shared" si="1"/>
        <v>-1.1019283746556474E-2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42398</v>
      </c>
      <c r="X34" s="12">
        <v>6.98</v>
      </c>
      <c r="Y34" s="12">
        <v>7.29</v>
      </c>
      <c r="Z34" s="12">
        <v>6.98</v>
      </c>
      <c r="AA34" s="12">
        <v>7.29</v>
      </c>
      <c r="AB34" s="105">
        <v>35772400</v>
      </c>
      <c r="AC34" s="12">
        <v>7.26</v>
      </c>
      <c r="AD34" s="2">
        <f t="shared" si="0"/>
        <v>0.30999999999999961</v>
      </c>
      <c r="AE34" s="148">
        <f t="shared" si="1"/>
        <v>4.1606886657101771E-2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42397</v>
      </c>
      <c r="X35" s="12">
        <v>7.17</v>
      </c>
      <c r="Y35" s="12">
        <v>7.19</v>
      </c>
      <c r="Z35" s="12">
        <v>6.82</v>
      </c>
      <c r="AA35" s="12">
        <v>7</v>
      </c>
      <c r="AB35" s="105">
        <v>26887400</v>
      </c>
      <c r="AC35" s="12">
        <v>6.97</v>
      </c>
      <c r="AD35" s="2">
        <f t="shared" si="0"/>
        <v>0.37000000000000011</v>
      </c>
      <c r="AE35" s="148">
        <f t="shared" si="1"/>
        <v>5.7720057720058726E-3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42396</v>
      </c>
      <c r="X36" s="12">
        <v>7.06</v>
      </c>
      <c r="Y36" s="12">
        <v>7.28</v>
      </c>
      <c r="Z36" s="12">
        <v>6.92</v>
      </c>
      <c r="AA36" s="12">
        <v>6.96</v>
      </c>
      <c r="AB36" s="105">
        <v>34547400</v>
      </c>
      <c r="AC36" s="12">
        <v>6.93</v>
      </c>
      <c r="AD36" s="2">
        <f t="shared" si="0"/>
        <v>0.36000000000000032</v>
      </c>
      <c r="AE36" s="148">
        <f t="shared" si="1"/>
        <v>-2.5316455696202667E-2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42395</v>
      </c>
      <c r="X37" s="12">
        <v>6.89</v>
      </c>
      <c r="Y37" s="12">
        <v>7.18</v>
      </c>
      <c r="Z37" s="12">
        <v>6.77</v>
      </c>
      <c r="AA37" s="12">
        <v>7.14</v>
      </c>
      <c r="AB37" s="105">
        <v>36559900</v>
      </c>
      <c r="AC37" s="12">
        <v>7.11</v>
      </c>
      <c r="AD37" s="2">
        <f t="shared" si="0"/>
        <v>0.41000000000000014</v>
      </c>
      <c r="AE37" s="148">
        <f t="shared" si="1"/>
        <v>5.0221565731167095E-2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42394</v>
      </c>
      <c r="X38" s="12">
        <v>6.81</v>
      </c>
      <c r="Y38" s="12">
        <v>7</v>
      </c>
      <c r="Z38" s="12">
        <v>6.76</v>
      </c>
      <c r="AA38" s="12">
        <v>6.8</v>
      </c>
      <c r="AB38" s="105">
        <v>34030400</v>
      </c>
      <c r="AC38" s="12">
        <v>6.77</v>
      </c>
      <c r="AD38" s="2">
        <f t="shared" si="0"/>
        <v>0.24000000000000021</v>
      </c>
      <c r="AE38" s="148">
        <f t="shared" si="1"/>
        <v>-1.023391812865504E-2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08" t="s">
        <v>78</v>
      </c>
      <c r="Q39" s="408"/>
      <c r="R39" s="37"/>
      <c r="T39" s="101" t="s">
        <v>116</v>
      </c>
      <c r="W39" s="104">
        <v>42391</v>
      </c>
      <c r="X39" s="12">
        <v>7.29</v>
      </c>
      <c r="Y39" s="12">
        <v>7.42</v>
      </c>
      <c r="Z39" s="12">
        <v>6.83</v>
      </c>
      <c r="AA39" s="12">
        <v>6.87</v>
      </c>
      <c r="AB39" s="105">
        <v>34384300</v>
      </c>
      <c r="AC39" s="12">
        <v>6.84</v>
      </c>
      <c r="AD39" s="2">
        <f t="shared" si="0"/>
        <v>0.58999999999999986</v>
      </c>
      <c r="AE39" s="148">
        <f t="shared" si="1"/>
        <v>-3.1161473087818692E-2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10.714</v>
      </c>
      <c r="R40" s="37"/>
      <c r="T40" s="97" t="s">
        <v>101</v>
      </c>
      <c r="U40" s="98">
        <v>9.67</v>
      </c>
      <c r="W40" s="104">
        <v>42390</v>
      </c>
      <c r="X40" s="12">
        <v>6.74</v>
      </c>
      <c r="Y40" s="12">
        <v>7.26</v>
      </c>
      <c r="Z40" s="12">
        <v>6.71</v>
      </c>
      <c r="AA40" s="12">
        <v>7.09</v>
      </c>
      <c r="AB40" s="105">
        <v>47630200</v>
      </c>
      <c r="AC40" s="12">
        <v>7.06</v>
      </c>
      <c r="AD40" s="2">
        <f t="shared" si="0"/>
        <v>0.54999999999999982</v>
      </c>
      <c r="AE40" s="148">
        <f t="shared" si="1"/>
        <v>5.216095380029806E-2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10.616600000000002</v>
      </c>
      <c r="R41" s="37"/>
      <c r="T41" s="97" t="s">
        <v>102</v>
      </c>
      <c r="U41" s="98">
        <v>9.5</v>
      </c>
      <c r="W41" s="104">
        <v>42389</v>
      </c>
      <c r="X41" s="12">
        <v>6.51</v>
      </c>
      <c r="Y41" s="12">
        <v>6.81</v>
      </c>
      <c r="Z41" s="12">
        <v>6.14</v>
      </c>
      <c r="AA41" s="12">
        <v>6.74</v>
      </c>
      <c r="AB41" s="105">
        <v>67550000</v>
      </c>
      <c r="AC41" s="12">
        <v>6.71</v>
      </c>
      <c r="AD41" s="2">
        <f t="shared" si="0"/>
        <v>0.66999999999999993</v>
      </c>
      <c r="AE41" s="148">
        <f t="shared" si="1"/>
        <v>0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10.519200000000001</v>
      </c>
      <c r="R42" s="37"/>
      <c r="T42" s="97" t="s">
        <v>103</v>
      </c>
      <c r="U42" s="98" t="s">
        <v>411</v>
      </c>
      <c r="W42" s="104">
        <v>42388</v>
      </c>
      <c r="X42" s="12">
        <v>6.98</v>
      </c>
      <c r="Y42" s="12">
        <v>7.02</v>
      </c>
      <c r="Z42" s="12">
        <v>6.56</v>
      </c>
      <c r="AA42" s="12">
        <v>6.74</v>
      </c>
      <c r="AB42" s="105">
        <v>51940800</v>
      </c>
      <c r="AC42" s="12">
        <v>6.71</v>
      </c>
      <c r="AD42" s="2">
        <f t="shared" si="0"/>
        <v>0.45999999999999996</v>
      </c>
      <c r="AE42" s="148">
        <f t="shared" si="1"/>
        <v>-2.3289665211062571E-2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10.421800000000001</v>
      </c>
      <c r="R43" s="93"/>
      <c r="T43" s="97" t="s">
        <v>104</v>
      </c>
      <c r="U43" s="98" t="s">
        <v>412</v>
      </c>
      <c r="W43" s="104">
        <v>42384</v>
      </c>
      <c r="X43" s="12">
        <v>6.94</v>
      </c>
      <c r="Y43" s="12">
        <v>7.02</v>
      </c>
      <c r="Z43" s="12">
        <v>6.77</v>
      </c>
      <c r="AA43" s="12">
        <v>6.9</v>
      </c>
      <c r="AB43" s="105">
        <v>52299000</v>
      </c>
      <c r="AC43" s="12">
        <v>6.87</v>
      </c>
      <c r="AD43" s="2">
        <f t="shared" si="0"/>
        <v>0.25</v>
      </c>
      <c r="AE43" s="148">
        <f t="shared" si="1"/>
        <v>-4.7156726768377233E-2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10.324400000000001</v>
      </c>
      <c r="R44" s="93"/>
      <c r="T44" s="97" t="s">
        <v>105</v>
      </c>
      <c r="U44" s="98">
        <v>10.33</v>
      </c>
      <c r="W44" s="104">
        <v>42383</v>
      </c>
      <c r="X44" s="12">
        <v>7.09</v>
      </c>
      <c r="Y44" s="12">
        <v>7.37</v>
      </c>
      <c r="Z44" s="12">
        <v>6.85</v>
      </c>
      <c r="AA44" s="12">
        <v>7.24</v>
      </c>
      <c r="AB44" s="105">
        <v>44292600</v>
      </c>
      <c r="AC44" s="12">
        <v>7.21</v>
      </c>
      <c r="AD44" s="2">
        <f t="shared" si="0"/>
        <v>0.52000000000000046</v>
      </c>
      <c r="AE44" s="148">
        <f t="shared" si="1"/>
        <v>1.5492957746478853E-2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10.227</v>
      </c>
      <c r="R45" s="93"/>
      <c r="T45" s="97" t="s">
        <v>106</v>
      </c>
      <c r="U45" s="98">
        <v>0.62682499999999997</v>
      </c>
      <c r="W45" s="104">
        <v>42382</v>
      </c>
      <c r="X45" s="12">
        <v>7.32</v>
      </c>
      <c r="Y45" s="12">
        <v>7.44</v>
      </c>
      <c r="Z45" s="12">
        <v>7.08</v>
      </c>
      <c r="AA45" s="12">
        <v>7.13</v>
      </c>
      <c r="AB45" s="105">
        <v>45704300</v>
      </c>
      <c r="AC45" s="12">
        <v>7.1</v>
      </c>
      <c r="AD45" s="2">
        <f t="shared" si="0"/>
        <v>0.36000000000000032</v>
      </c>
      <c r="AE45" s="148">
        <f t="shared" si="1"/>
        <v>-2.0689655172413834E-2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10.1296</v>
      </c>
      <c r="R46" s="93"/>
      <c r="T46" s="97" t="s">
        <v>107</v>
      </c>
      <c r="U46" s="99" t="s">
        <v>134</v>
      </c>
      <c r="W46" s="104">
        <v>42381</v>
      </c>
      <c r="X46" s="12">
        <v>8.01</v>
      </c>
      <c r="Y46" s="12">
        <v>8.02</v>
      </c>
      <c r="Z46" s="12">
        <v>7.1</v>
      </c>
      <c r="AA46" s="12">
        <v>7.28</v>
      </c>
      <c r="AB46" s="105">
        <v>91384000</v>
      </c>
      <c r="AC46" s="12">
        <v>7.25</v>
      </c>
      <c r="AD46" s="2">
        <f t="shared" si="0"/>
        <v>0.91999999999999993</v>
      </c>
      <c r="AE46" s="148">
        <f t="shared" si="1"/>
        <v>-9.0338770388958545E-2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10.032200000000001</v>
      </c>
      <c r="R47" s="93"/>
      <c r="T47" s="97"/>
      <c r="U47" s="98"/>
      <c r="W47" s="104">
        <v>42380</v>
      </c>
      <c r="X47" s="12">
        <v>8.2899999999999991</v>
      </c>
      <c r="Y47" s="12">
        <v>8.2899999999999991</v>
      </c>
      <c r="Z47" s="12">
        <v>7.9</v>
      </c>
      <c r="AA47" s="12">
        <v>8</v>
      </c>
      <c r="AB47" s="105">
        <v>47942500</v>
      </c>
      <c r="AC47" s="12">
        <v>7.97</v>
      </c>
      <c r="AD47" s="2">
        <f t="shared" si="0"/>
        <v>0.38999999999999879</v>
      </c>
      <c r="AE47" s="148">
        <f t="shared" si="1"/>
        <v>-8.7064676616914749E-3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9.934800000000001</v>
      </c>
      <c r="R48" s="93"/>
      <c r="T48" s="97" t="s">
        <v>108</v>
      </c>
      <c r="U48" s="98" t="s">
        <v>320</v>
      </c>
      <c r="W48" s="104">
        <v>42377</v>
      </c>
      <c r="X48" s="12">
        <v>8.52</v>
      </c>
      <c r="Y48" s="12">
        <v>8.56</v>
      </c>
      <c r="Z48" s="12">
        <v>8.02</v>
      </c>
      <c r="AA48" s="12">
        <v>8.07</v>
      </c>
      <c r="AB48" s="105">
        <v>41731900</v>
      </c>
      <c r="AC48" s="12">
        <v>8.0399999999999991</v>
      </c>
      <c r="AD48" s="2">
        <f t="shared" si="0"/>
        <v>0.54000000000000092</v>
      </c>
      <c r="AE48" s="148">
        <f t="shared" si="1"/>
        <v>-2.3086269744836074E-2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9.8374000000000006</v>
      </c>
      <c r="R49" s="93"/>
      <c r="T49" s="97" t="s">
        <v>109</v>
      </c>
      <c r="U49" s="98" t="s">
        <v>273</v>
      </c>
      <c r="W49" s="104">
        <v>42376</v>
      </c>
      <c r="X49" s="12">
        <v>8.39</v>
      </c>
      <c r="Y49" s="12">
        <v>8.51</v>
      </c>
      <c r="Z49" s="12">
        <v>8.23</v>
      </c>
      <c r="AA49" s="12">
        <v>8.27</v>
      </c>
      <c r="AB49" s="105">
        <v>34080800</v>
      </c>
      <c r="AC49" s="12">
        <v>8.23</v>
      </c>
      <c r="AD49" s="2">
        <f t="shared" si="0"/>
        <v>0.27999999999999936</v>
      </c>
      <c r="AE49" s="148">
        <f t="shared" si="1"/>
        <v>-3.9673278879813312E-2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9.74</v>
      </c>
      <c r="R50" s="93"/>
      <c r="T50" s="97" t="s">
        <v>110</v>
      </c>
      <c r="U50" s="100">
        <v>31471172</v>
      </c>
      <c r="W50" s="104">
        <v>42375</v>
      </c>
      <c r="X50" s="12">
        <v>9</v>
      </c>
      <c r="Y50" s="12">
        <v>9.02</v>
      </c>
      <c r="Z50" s="12">
        <v>8.5500000000000007</v>
      </c>
      <c r="AA50" s="12">
        <v>8.61</v>
      </c>
      <c r="AB50" s="105">
        <v>55199300</v>
      </c>
      <c r="AC50" s="12">
        <v>8.57</v>
      </c>
      <c r="AD50" s="2">
        <f t="shared" si="0"/>
        <v>0.46999999999999886</v>
      </c>
      <c r="AE50" s="148">
        <f t="shared" si="1"/>
        <v>-7.1505958829902516E-2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9.6425999999999998</v>
      </c>
      <c r="R51" s="93"/>
      <c r="T51" s="97" t="s">
        <v>113</v>
      </c>
      <c r="U51" s="100">
        <v>33970800</v>
      </c>
      <c r="W51" s="104">
        <v>42374</v>
      </c>
      <c r="X51" s="12">
        <v>9.7200000000000006</v>
      </c>
      <c r="Y51" s="12">
        <v>9.77</v>
      </c>
      <c r="Z51" s="12">
        <v>9.16</v>
      </c>
      <c r="AA51" s="12">
        <v>9.27</v>
      </c>
      <c r="AB51" s="105">
        <v>39322700</v>
      </c>
      <c r="AC51" s="12">
        <v>9.23</v>
      </c>
      <c r="AD51" s="2">
        <f t="shared" si="0"/>
        <v>0.60999999999999943</v>
      </c>
      <c r="AE51" s="148">
        <f t="shared" si="1"/>
        <v>-4.5501551189245037E-2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9.5451999999999995</v>
      </c>
      <c r="R52" s="93"/>
      <c r="T52" s="97" t="s">
        <v>111</v>
      </c>
      <c r="U52" s="98" t="s">
        <v>321</v>
      </c>
      <c r="W52" s="104">
        <v>42373</v>
      </c>
      <c r="X52" s="12">
        <v>9.52</v>
      </c>
      <c r="Y52" s="12">
        <v>9.8000000000000007</v>
      </c>
      <c r="Z52" s="12">
        <v>9.4499999999999993</v>
      </c>
      <c r="AA52" s="12">
        <v>9.7100000000000009</v>
      </c>
      <c r="AB52" s="105">
        <v>37919300</v>
      </c>
      <c r="AC52" s="12">
        <v>9.67</v>
      </c>
      <c r="AD52" s="2">
        <f t="shared" si="0"/>
        <v>0.35000000000000142</v>
      </c>
      <c r="AE52" s="148">
        <f t="shared" si="1"/>
        <v>-1.6276703967446626E-2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9.4477999999999991</v>
      </c>
      <c r="R53" s="93"/>
      <c r="T53" s="97" t="s">
        <v>114</v>
      </c>
      <c r="U53" s="98" t="s">
        <v>134</v>
      </c>
      <c r="W53" s="104">
        <v>42369</v>
      </c>
      <c r="X53" s="12">
        <v>9.8699999999999992</v>
      </c>
      <c r="Y53" s="12">
        <v>9.98</v>
      </c>
      <c r="Z53" s="12">
        <v>9.81</v>
      </c>
      <c r="AA53" s="12">
        <v>9.8699999999999992</v>
      </c>
      <c r="AB53" s="105">
        <v>13362400</v>
      </c>
      <c r="AC53" s="12">
        <v>9.83</v>
      </c>
      <c r="AD53" s="2">
        <f t="shared" si="0"/>
        <v>0.16999999999999993</v>
      </c>
      <c r="AE53" s="148">
        <f t="shared" si="1"/>
        <v>-9.0725806451612545E-3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9.3504000000000005</v>
      </c>
      <c r="R54" s="93"/>
      <c r="T54" s="97" t="s">
        <v>115</v>
      </c>
      <c r="U54" s="98">
        <v>-0.31</v>
      </c>
      <c r="W54" s="104">
        <v>42368</v>
      </c>
      <c r="X54" s="12">
        <v>9.94</v>
      </c>
      <c r="Y54" s="12">
        <v>10.029999999999999</v>
      </c>
      <c r="Z54" s="12">
        <v>9.85</v>
      </c>
      <c r="AA54" s="12">
        <v>9.9600000000000009</v>
      </c>
      <c r="AB54" s="105">
        <v>23528300</v>
      </c>
      <c r="AC54" s="12">
        <v>9.92</v>
      </c>
      <c r="AD54" s="2">
        <f t="shared" si="0"/>
        <v>0.17999999999999972</v>
      </c>
      <c r="AE54" s="148">
        <f t="shared" si="1"/>
        <v>-1.6848364717542141E-2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9.2530000000000001</v>
      </c>
      <c r="R55" s="93"/>
      <c r="T55" s="97" t="s">
        <v>112</v>
      </c>
      <c r="U55" s="98" t="s">
        <v>322</v>
      </c>
      <c r="W55" s="104">
        <v>42367</v>
      </c>
      <c r="X55" s="12">
        <v>10.11</v>
      </c>
      <c r="Y55" s="12">
        <v>10.27</v>
      </c>
      <c r="Z55" s="12">
        <v>10</v>
      </c>
      <c r="AA55" s="12">
        <v>10.130000000000001</v>
      </c>
      <c r="AB55" s="105">
        <v>13436800</v>
      </c>
      <c r="AC55" s="12">
        <v>10.09</v>
      </c>
      <c r="AD55" s="2">
        <f t="shared" si="0"/>
        <v>0.26999999999999957</v>
      </c>
      <c r="AE55" s="148">
        <f t="shared" si="1"/>
        <v>1.5090543259557387E-2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9.1555999999999997</v>
      </c>
      <c r="R56" s="93"/>
      <c r="W56" s="104">
        <v>42366</v>
      </c>
      <c r="X56" s="12">
        <v>10</v>
      </c>
      <c r="Y56" s="12">
        <v>10.01</v>
      </c>
      <c r="Z56" s="12">
        <v>9.81</v>
      </c>
      <c r="AA56" s="12">
        <v>9.98</v>
      </c>
      <c r="AB56" s="105">
        <v>15608600</v>
      </c>
      <c r="AC56" s="12">
        <v>9.94</v>
      </c>
      <c r="AD56" s="2">
        <f t="shared" si="0"/>
        <v>0.19999999999999929</v>
      </c>
      <c r="AE56" s="148">
        <f t="shared" si="1"/>
        <v>-1.3888888888888951E-2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9.0582000000000011</v>
      </c>
      <c r="R57" s="93"/>
      <c r="W57" s="104">
        <v>42362</v>
      </c>
      <c r="X57" s="12">
        <v>10.16</v>
      </c>
      <c r="Y57" s="12">
        <v>10.23</v>
      </c>
      <c r="Z57" s="12">
        <v>10.08</v>
      </c>
      <c r="AA57" s="12">
        <v>10.119999999999999</v>
      </c>
      <c r="AB57" s="105">
        <v>11794700</v>
      </c>
      <c r="AC57" s="12">
        <v>10.08</v>
      </c>
      <c r="AD57" s="2">
        <f t="shared" si="0"/>
        <v>0.15000000000000036</v>
      </c>
      <c r="AE57" s="148">
        <f t="shared" si="1"/>
        <v>-6.8965517241379448E-3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8.9608000000000008</v>
      </c>
      <c r="R58" s="93"/>
      <c r="W58" s="104">
        <v>42361</v>
      </c>
      <c r="X58" s="12">
        <v>9.6999999999999993</v>
      </c>
      <c r="Y58" s="12">
        <v>10.220000000000001</v>
      </c>
      <c r="Z58" s="12">
        <v>9.68</v>
      </c>
      <c r="AA58" s="12">
        <v>10.19</v>
      </c>
      <c r="AB58" s="105">
        <v>39077900</v>
      </c>
      <c r="AC58" s="12">
        <v>10.15</v>
      </c>
      <c r="AD58" s="2">
        <f t="shared" si="0"/>
        <v>0.54000000000000092</v>
      </c>
      <c r="AE58" s="148">
        <f t="shared" si="1"/>
        <v>6.6176470588235281E-2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8.8634000000000004</v>
      </c>
      <c r="R59" s="93"/>
      <c r="W59" s="104">
        <v>42360</v>
      </c>
      <c r="X59" s="12">
        <v>9.35</v>
      </c>
      <c r="Y59" s="12">
        <v>9.57</v>
      </c>
      <c r="Z59" s="12">
        <v>9.26</v>
      </c>
      <c r="AA59" s="12">
        <v>9.56</v>
      </c>
      <c r="AB59" s="105">
        <v>19475000</v>
      </c>
      <c r="AC59" s="12">
        <v>9.52</v>
      </c>
      <c r="AD59" s="2">
        <f t="shared" si="0"/>
        <v>0.3100000000000005</v>
      </c>
      <c r="AE59" s="148">
        <f t="shared" si="1"/>
        <v>2.5862068965517349E-2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8.766</v>
      </c>
      <c r="R60" s="93"/>
      <c r="W60" s="104">
        <v>42359</v>
      </c>
      <c r="X60" s="12">
        <v>9.35</v>
      </c>
      <c r="Y60" s="12">
        <v>9.43</v>
      </c>
      <c r="Z60" s="12">
        <v>9.23</v>
      </c>
      <c r="AA60" s="12">
        <v>9.32</v>
      </c>
      <c r="AB60" s="105">
        <v>24995300</v>
      </c>
      <c r="AC60" s="12">
        <v>9.2799999999999994</v>
      </c>
      <c r="AD60" s="2">
        <f t="shared" si="0"/>
        <v>0.19999999999999929</v>
      </c>
      <c r="AE60" s="148">
        <f t="shared" si="1"/>
        <v>9.7932535364526618E-3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42356</v>
      </c>
      <c r="X61" s="12">
        <v>9.16</v>
      </c>
      <c r="Y61" s="12">
        <v>9.41</v>
      </c>
      <c r="Z61" s="12">
        <v>9.1300000000000008</v>
      </c>
      <c r="AA61" s="12">
        <v>9.23</v>
      </c>
      <c r="AB61" s="105">
        <v>32459700</v>
      </c>
      <c r="AC61" s="12">
        <v>9.19</v>
      </c>
      <c r="AD61" s="2">
        <f t="shared" si="0"/>
        <v>0.27999999999999936</v>
      </c>
      <c r="AE61" s="148">
        <f t="shared" si="1"/>
        <v>8.7815587266739659E-3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42355</v>
      </c>
      <c r="X62" s="12">
        <v>9.1999999999999993</v>
      </c>
      <c r="Y62" s="12">
        <v>9.24</v>
      </c>
      <c r="Z62" s="12">
        <v>9.0399999999999991</v>
      </c>
      <c r="AA62" s="12">
        <v>9.15</v>
      </c>
      <c r="AB62" s="105">
        <v>21607600</v>
      </c>
      <c r="AC62" s="12">
        <v>9.11</v>
      </c>
      <c r="AD62" s="2">
        <f t="shared" si="0"/>
        <v>0.20000000000000107</v>
      </c>
      <c r="AE62" s="148">
        <f t="shared" si="1"/>
        <v>-9.7826086956521729E-3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42354</v>
      </c>
      <c r="X63" s="12">
        <v>9.23</v>
      </c>
      <c r="Y63" s="12">
        <v>9.27</v>
      </c>
      <c r="Z63" s="12">
        <v>9.07</v>
      </c>
      <c r="AA63" s="12">
        <v>9.24</v>
      </c>
      <c r="AB63" s="105">
        <v>25597200</v>
      </c>
      <c r="AC63" s="12">
        <v>9.1999999999999993</v>
      </c>
      <c r="AD63" s="2">
        <f t="shared" si="0"/>
        <v>0.19999999999999929</v>
      </c>
      <c r="AE63" s="148">
        <f t="shared" si="1"/>
        <v>1.3215859030836885E-2</v>
      </c>
    </row>
    <row r="64" spans="1:31" x14ac:dyDescent="0.25">
      <c r="A64" s="299"/>
      <c r="B64" s="307" t="s">
        <v>117</v>
      </c>
      <c r="C64" s="307" t="s">
        <v>170</v>
      </c>
      <c r="D64" s="308" t="s">
        <v>169</v>
      </c>
      <c r="E64" s="309" t="s">
        <v>171</v>
      </c>
      <c r="F64" s="309" t="s">
        <v>65</v>
      </c>
      <c r="G64" s="311" t="s">
        <v>175</v>
      </c>
      <c r="H64" s="311" t="s">
        <v>90</v>
      </c>
      <c r="I64" s="311" t="s">
        <v>183</v>
      </c>
      <c r="J64" s="300"/>
      <c r="K64" s="300"/>
      <c r="L64" s="299"/>
      <c r="M64" s="299"/>
      <c r="N64" s="299"/>
      <c r="W64" s="104">
        <v>42353</v>
      </c>
      <c r="X64" s="12">
        <v>9.1</v>
      </c>
      <c r="Y64" s="12">
        <v>9.34</v>
      </c>
      <c r="Z64" s="12">
        <v>9.08</v>
      </c>
      <c r="AA64" s="12">
        <v>9.1199999999999992</v>
      </c>
      <c r="AB64" s="105">
        <v>27928900</v>
      </c>
      <c r="AC64" s="12">
        <v>9.08</v>
      </c>
      <c r="AD64" s="2">
        <f t="shared" si="0"/>
        <v>0.25999999999999979</v>
      </c>
      <c r="AE64" s="148">
        <f t="shared" si="1"/>
        <v>1.3392857142856984E-2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42352</v>
      </c>
      <c r="X65" s="12">
        <v>8.84</v>
      </c>
      <c r="Y65" s="12">
        <v>9.0500000000000007</v>
      </c>
      <c r="Z65" s="12">
        <v>8.68</v>
      </c>
      <c r="AA65" s="12">
        <v>9</v>
      </c>
      <c r="AB65" s="105">
        <v>36698700</v>
      </c>
      <c r="AC65" s="12">
        <v>8.9600000000000009</v>
      </c>
      <c r="AD65" s="2">
        <f t="shared" si="0"/>
        <v>0.37000000000000099</v>
      </c>
      <c r="AE65" s="148">
        <f t="shared" si="1"/>
        <v>1.5873015873016039E-2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42349</v>
      </c>
      <c r="X66" s="12">
        <v>8.98</v>
      </c>
      <c r="Y66" s="12">
        <v>9.02</v>
      </c>
      <c r="Z66" s="12">
        <v>8.75</v>
      </c>
      <c r="AA66" s="12">
        <v>8.86</v>
      </c>
      <c r="AB66" s="105">
        <v>31180200</v>
      </c>
      <c r="AC66" s="12">
        <v>8.82</v>
      </c>
      <c r="AD66" s="2">
        <f t="shared" si="0"/>
        <v>0.26999999999999957</v>
      </c>
      <c r="AE66" s="148">
        <f t="shared" si="1"/>
        <v>-3.3953997809419545E-2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42348</v>
      </c>
      <c r="X67" s="12">
        <v>8.7899999999999991</v>
      </c>
      <c r="Y67" s="12">
        <v>9.34</v>
      </c>
      <c r="Z67" s="12">
        <v>8.74</v>
      </c>
      <c r="AA67" s="12">
        <v>9.17</v>
      </c>
      <c r="AB67" s="105">
        <v>36478500</v>
      </c>
      <c r="AC67" s="12">
        <v>9.1300000000000008</v>
      </c>
      <c r="AD67" s="2">
        <f t="shared" si="0"/>
        <v>0.59999999999999964</v>
      </c>
      <c r="AE67" s="148">
        <f t="shared" si="1"/>
        <v>4.9425287356322123E-2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42347</v>
      </c>
      <c r="X68" s="12">
        <v>8.6300000000000008</v>
      </c>
      <c r="Y68" s="12">
        <v>8.7899999999999991</v>
      </c>
      <c r="Z68" s="12">
        <v>8.5</v>
      </c>
      <c r="AA68" s="12">
        <v>8.74</v>
      </c>
      <c r="AB68" s="105">
        <v>28194200</v>
      </c>
      <c r="AC68" s="12">
        <v>8.6999999999999993</v>
      </c>
      <c r="AD68" s="2">
        <f>Y68-Z68</f>
        <v>0.28999999999999915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41" priority="56">
      <formula>F7&gt;0</formula>
    </cfRule>
    <cfRule type="expression" dxfId="24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39" priority="43">
      <formula>F20&gt;0</formula>
    </cfRule>
    <cfRule type="expression" dxfId="238" priority="44">
      <formula>F20&lt;0</formula>
    </cfRule>
  </conditionalFormatting>
  <conditionalFormatting sqref="F20">
    <cfRule type="expression" dxfId="237" priority="47">
      <formula>F20&gt;0</formula>
    </cfRule>
    <cfRule type="expression" dxfId="236" priority="48">
      <formula>F20&lt;0</formula>
    </cfRule>
  </conditionalFormatting>
  <conditionalFormatting sqref="H20">
    <cfRule type="expression" dxfId="235" priority="25">
      <formula>H20&gt;0</formula>
    </cfRule>
    <cfRule type="expression" dxfId="234" priority="26">
      <formula>H20&lt;0</formula>
    </cfRule>
  </conditionalFormatting>
  <conditionalFormatting sqref="F65:F71">
    <cfRule type="expression" dxfId="233" priority="19">
      <formula>F65&gt;0</formula>
    </cfRule>
    <cfRule type="expression" dxfId="232" priority="20">
      <formula>F65&lt;0</formula>
    </cfRule>
  </conditionalFormatting>
  <conditionalFormatting sqref="F72:F86">
    <cfRule type="expression" dxfId="231" priority="15">
      <formula>F72&gt;0</formula>
    </cfRule>
    <cfRule type="expression" dxfId="230" priority="16">
      <formula>F72&lt;0</formula>
    </cfRule>
  </conditionalFormatting>
  <conditionalFormatting sqref="F72:F86">
    <cfRule type="expression" dxfId="229" priority="17">
      <formula>F72&gt;0</formula>
    </cfRule>
    <cfRule type="expression" dxfId="228" priority="18">
      <formula>F72&lt;0</formula>
    </cfRule>
  </conditionalFormatting>
  <conditionalFormatting sqref="H65:H76">
    <cfRule type="expression" dxfId="227" priority="13">
      <formula>H65&gt;0</formula>
    </cfRule>
    <cfRule type="expression" dxfId="226" priority="14">
      <formula>H65&lt;0</formula>
    </cfRule>
  </conditionalFormatting>
  <conditionalFormatting sqref="H77">
    <cfRule type="expression" dxfId="225" priority="11">
      <formula>H77&gt;0</formula>
    </cfRule>
    <cfRule type="expression" dxfId="224" priority="12">
      <formula>H77&lt;0</formula>
    </cfRule>
  </conditionalFormatting>
  <conditionalFormatting sqref="F87:F92">
    <cfRule type="expression" dxfId="223" priority="9">
      <formula>F87&gt;0</formula>
    </cfRule>
    <cfRule type="expression" dxfId="222" priority="10">
      <formula>F87&lt;0</formula>
    </cfRule>
  </conditionalFormatting>
  <conditionalFormatting sqref="H79:H92">
    <cfRule type="expression" dxfId="221" priority="7">
      <formula>H79&gt;0</formula>
    </cfRule>
    <cfRule type="expression" dxfId="220" priority="8">
      <formula>H79&lt;0</formula>
    </cfRule>
  </conditionalFormatting>
  <conditionalFormatting sqref="H78">
    <cfRule type="expression" dxfId="219" priority="5">
      <formula>H78&gt;0</formula>
    </cfRule>
    <cfRule type="expression" dxfId="218" priority="6">
      <formula>H78&lt;0</formula>
    </cfRule>
  </conditionalFormatting>
  <conditionalFormatting sqref="M21">
    <cfRule type="expression" dxfId="217" priority="3">
      <formula>M21&gt;0</formula>
    </cfRule>
    <cfRule type="expression" dxfId="216" priority="4">
      <formula>M21&lt;0</formula>
    </cfRule>
  </conditionalFormatting>
  <conditionalFormatting sqref="Q11">
    <cfRule type="expression" dxfId="215" priority="1">
      <formula>Q11&gt;0</formula>
    </cfRule>
    <cfRule type="expression" dxfId="21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42444</v>
      </c>
      <c r="X2" s="12">
        <v>23.97</v>
      </c>
      <c r="Y2" s="12">
        <v>24.27</v>
      </c>
      <c r="Z2" s="12">
        <v>23.78</v>
      </c>
      <c r="AA2" s="12">
        <v>24.2</v>
      </c>
      <c r="AB2" s="105">
        <v>2376000</v>
      </c>
      <c r="AC2" s="12">
        <v>24.2</v>
      </c>
      <c r="AD2" s="2">
        <f>Y2-Z2</f>
        <v>0.48999999999999844</v>
      </c>
      <c r="AE2" s="148">
        <f>AC2/AC3-1</f>
        <v>5.4009140008308698E-3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24.15</v>
      </c>
      <c r="W3" s="143">
        <v>42443</v>
      </c>
      <c r="X3" s="12">
        <v>23.9</v>
      </c>
      <c r="Y3" s="12">
        <v>24.12</v>
      </c>
      <c r="Z3" s="12">
        <v>23.68</v>
      </c>
      <c r="AA3" s="12">
        <v>24.07</v>
      </c>
      <c r="AB3" s="105">
        <v>1602600</v>
      </c>
      <c r="AC3" s="12">
        <v>24.07</v>
      </c>
      <c r="AD3" s="2">
        <f t="shared" ref="AD3:AD66" si="2">Y3-Z3</f>
        <v>0.44000000000000128</v>
      </c>
      <c r="AE3" s="148">
        <f t="shared" ref="AE3:AE66" si="3">AC3/AC4-1</f>
        <v>1.6645859342487856E-3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24.15</v>
      </c>
      <c r="W4" s="143">
        <v>42440</v>
      </c>
      <c r="X4" s="12">
        <v>23.29</v>
      </c>
      <c r="Y4" s="12">
        <v>24.18</v>
      </c>
      <c r="Z4" s="12">
        <v>23.16</v>
      </c>
      <c r="AA4" s="12">
        <v>24.03</v>
      </c>
      <c r="AB4" s="105">
        <v>1800700</v>
      </c>
      <c r="AC4" s="12">
        <v>24.03</v>
      </c>
      <c r="AD4" s="2">
        <f t="shared" si="2"/>
        <v>1.0199999999999996</v>
      </c>
      <c r="AE4" s="148">
        <f t="shared" si="3"/>
        <v>3.8461538461538547E-2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42439</v>
      </c>
      <c r="X5" s="12">
        <v>23.43</v>
      </c>
      <c r="Y5" s="12">
        <v>23.7</v>
      </c>
      <c r="Z5" s="12">
        <v>22.83</v>
      </c>
      <c r="AA5" s="12">
        <v>23.14</v>
      </c>
      <c r="AB5" s="105">
        <v>1983700</v>
      </c>
      <c r="AC5" s="12">
        <v>23.14</v>
      </c>
      <c r="AD5" s="2">
        <f t="shared" si="2"/>
        <v>0.87000000000000099</v>
      </c>
      <c r="AE5" s="148">
        <f t="shared" si="3"/>
        <v>-6.8669527896996208E-3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42438</v>
      </c>
      <c r="X6" s="12">
        <v>23.46</v>
      </c>
      <c r="Y6" s="12">
        <v>23.54</v>
      </c>
      <c r="Z6" s="12">
        <v>22.89</v>
      </c>
      <c r="AA6" s="12">
        <v>23.3</v>
      </c>
      <c r="AB6" s="105">
        <v>1949100</v>
      </c>
      <c r="AC6" s="12">
        <v>23.3</v>
      </c>
      <c r="AD6" s="2">
        <f t="shared" si="2"/>
        <v>0.64999999999999858</v>
      </c>
      <c r="AE6" s="148">
        <f t="shared" si="3"/>
        <v>1.7196904557179593E-3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42437</v>
      </c>
      <c r="X7" s="12">
        <v>23.38</v>
      </c>
      <c r="Y7" s="12">
        <v>23.65</v>
      </c>
      <c r="Z7" s="12">
        <v>23.09</v>
      </c>
      <c r="AA7" s="12">
        <v>23.26</v>
      </c>
      <c r="AB7" s="105">
        <v>1359100</v>
      </c>
      <c r="AC7" s="12">
        <v>23.26</v>
      </c>
      <c r="AD7" s="2">
        <f t="shared" si="2"/>
        <v>0.55999999999999872</v>
      </c>
      <c r="AE7" s="148">
        <f t="shared" si="3"/>
        <v>-1.2733446519524461E-2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42436</v>
      </c>
      <c r="X8" s="12">
        <v>23.21</v>
      </c>
      <c r="Y8" s="12">
        <v>23.67</v>
      </c>
      <c r="Z8" s="12">
        <v>23.13</v>
      </c>
      <c r="AA8" s="12">
        <v>23.56</v>
      </c>
      <c r="AB8" s="105">
        <v>1784200</v>
      </c>
      <c r="AC8" s="12">
        <v>23.56</v>
      </c>
      <c r="AD8" s="2">
        <f t="shared" si="2"/>
        <v>0.5400000000000027</v>
      </c>
      <c r="AE8" s="148">
        <f t="shared" si="3"/>
        <v>1.2027491408934665E-2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42433</v>
      </c>
      <c r="X9" s="12">
        <v>23.03</v>
      </c>
      <c r="Y9" s="12">
        <v>23.91</v>
      </c>
      <c r="Z9" s="12">
        <v>22.86</v>
      </c>
      <c r="AA9" s="12">
        <v>23.28</v>
      </c>
      <c r="AB9" s="105">
        <v>3518500</v>
      </c>
      <c r="AC9" s="12">
        <v>23.28</v>
      </c>
      <c r="AD9" s="2">
        <f t="shared" si="2"/>
        <v>1.0500000000000007</v>
      </c>
      <c r="AE9" s="148">
        <f t="shared" si="3"/>
        <v>9.1027308192457301E-3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42432</v>
      </c>
      <c r="X10" s="12">
        <v>22.57</v>
      </c>
      <c r="Y10" s="12">
        <v>23.22</v>
      </c>
      <c r="Z10" s="12">
        <v>22.48</v>
      </c>
      <c r="AA10" s="12">
        <v>23.07</v>
      </c>
      <c r="AB10" s="105">
        <v>4064100</v>
      </c>
      <c r="AC10" s="12">
        <v>23.07</v>
      </c>
      <c r="AD10" s="2">
        <f t="shared" si="2"/>
        <v>0.73999999999999844</v>
      </c>
      <c r="AE10" s="148">
        <f t="shared" si="3"/>
        <v>2.2606382978723527E-2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42431</v>
      </c>
      <c r="X11" s="12">
        <v>22.03</v>
      </c>
      <c r="Y11" s="12">
        <v>22.68</v>
      </c>
      <c r="Z11" s="12">
        <v>21.68</v>
      </c>
      <c r="AA11" s="12">
        <v>22.56</v>
      </c>
      <c r="AB11" s="105">
        <v>6998000</v>
      </c>
      <c r="AC11" s="12">
        <v>22.56</v>
      </c>
      <c r="AD11" s="2">
        <f t="shared" si="2"/>
        <v>1</v>
      </c>
      <c r="AE11" s="148">
        <f t="shared" si="3"/>
        <v>2.592087312414737E-2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42430</v>
      </c>
      <c r="X12" s="12">
        <v>20.92</v>
      </c>
      <c r="Y12" s="12">
        <v>22.25</v>
      </c>
      <c r="Z12" s="12">
        <v>20.36</v>
      </c>
      <c r="AA12" s="12">
        <v>21.99</v>
      </c>
      <c r="AB12" s="105">
        <v>13156500</v>
      </c>
      <c r="AC12" s="12">
        <v>21.99</v>
      </c>
      <c r="AD12" s="2">
        <f t="shared" si="2"/>
        <v>1.8900000000000006</v>
      </c>
      <c r="AE12" s="148">
        <f t="shared" si="3"/>
        <v>0.10948536831483335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42429</v>
      </c>
      <c r="X13" s="12">
        <v>19.59</v>
      </c>
      <c r="Y13" s="12">
        <v>20.36</v>
      </c>
      <c r="Z13" s="12">
        <v>19.329999999999998</v>
      </c>
      <c r="AA13" s="12">
        <v>19.82</v>
      </c>
      <c r="AB13" s="105">
        <v>5853100</v>
      </c>
      <c r="AC13" s="12">
        <v>19.82</v>
      </c>
      <c r="AD13" s="2">
        <f t="shared" si="2"/>
        <v>1.0300000000000011</v>
      </c>
      <c r="AE13" s="148">
        <f t="shared" si="3"/>
        <v>1.3292433537832382E-2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42426</v>
      </c>
      <c r="X14" s="12">
        <v>19.61</v>
      </c>
      <c r="Y14" s="12">
        <v>19.75</v>
      </c>
      <c r="Z14" s="12">
        <v>19.239999999999998</v>
      </c>
      <c r="AA14" s="12">
        <v>19.559999999999999</v>
      </c>
      <c r="AB14" s="105">
        <v>2594400</v>
      </c>
      <c r="AC14" s="12">
        <v>19.559999999999999</v>
      </c>
      <c r="AD14" s="2">
        <f t="shared" si="2"/>
        <v>0.51000000000000156</v>
      </c>
      <c r="AE14" s="148">
        <f t="shared" si="3"/>
        <v>4.6224961479197635E-3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42425</v>
      </c>
      <c r="X15" s="12">
        <v>18.98</v>
      </c>
      <c r="Y15" s="12">
        <v>19.52</v>
      </c>
      <c r="Z15" s="12">
        <v>18.600000000000001</v>
      </c>
      <c r="AA15" s="12">
        <v>19.47</v>
      </c>
      <c r="AB15" s="105">
        <v>1938600</v>
      </c>
      <c r="AC15" s="12">
        <v>19.47</v>
      </c>
      <c r="AD15" s="2">
        <f t="shared" si="2"/>
        <v>0.91999999999999815</v>
      </c>
      <c r="AE15" s="148">
        <f t="shared" si="3"/>
        <v>2.4736842105263168E-2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42424</v>
      </c>
      <c r="X16" s="12">
        <v>18</v>
      </c>
      <c r="Y16" s="12">
        <v>19.149999999999999</v>
      </c>
      <c r="Z16" s="12">
        <v>17.829999999999998</v>
      </c>
      <c r="AA16" s="12">
        <v>19</v>
      </c>
      <c r="AB16" s="105">
        <v>3358900</v>
      </c>
      <c r="AC16" s="12">
        <v>19</v>
      </c>
      <c r="AD16" s="2">
        <f t="shared" si="2"/>
        <v>1.3200000000000003</v>
      </c>
      <c r="AE16" s="148">
        <f t="shared" si="3"/>
        <v>4.1095890410958846E-2</v>
      </c>
    </row>
    <row r="17" spans="1:31" x14ac:dyDescent="0.25">
      <c r="W17" s="143">
        <v>42423</v>
      </c>
      <c r="X17" s="12">
        <v>17.8</v>
      </c>
      <c r="Y17" s="12">
        <v>18.73</v>
      </c>
      <c r="Z17" s="12">
        <v>17.600000000000001</v>
      </c>
      <c r="AA17" s="12">
        <v>18.25</v>
      </c>
      <c r="AB17" s="105">
        <v>3344200</v>
      </c>
      <c r="AC17" s="12">
        <v>18.25</v>
      </c>
      <c r="AD17" s="2">
        <f t="shared" si="2"/>
        <v>1.129999999999999</v>
      </c>
      <c r="AE17" s="148">
        <f t="shared" si="3"/>
        <v>3.1656302996042829E-2</v>
      </c>
    </row>
    <row r="18" spans="1:31" x14ac:dyDescent="0.25">
      <c r="W18" s="143">
        <v>42422</v>
      </c>
      <c r="X18" s="12">
        <v>17.190000000000001</v>
      </c>
      <c r="Y18" s="12">
        <v>17.899999999999999</v>
      </c>
      <c r="Z18" s="12">
        <v>17.190000000000001</v>
      </c>
      <c r="AA18" s="12">
        <v>17.690000000000001</v>
      </c>
      <c r="AB18" s="105">
        <v>2137500</v>
      </c>
      <c r="AC18" s="12">
        <v>17.690000000000001</v>
      </c>
      <c r="AD18" s="2">
        <f t="shared" si="2"/>
        <v>0.7099999999999973</v>
      </c>
      <c r="AE18" s="148">
        <f t="shared" si="3"/>
        <v>3.9976484420928937E-2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42419</v>
      </c>
      <c r="X19" s="12">
        <v>16.79</v>
      </c>
      <c r="Y19" s="12">
        <v>17.04</v>
      </c>
      <c r="Z19" s="12">
        <v>16.41</v>
      </c>
      <c r="AA19" s="12">
        <v>17.010000000000002</v>
      </c>
      <c r="AB19" s="105">
        <v>1766600</v>
      </c>
      <c r="AC19" s="12">
        <v>17.010000000000002</v>
      </c>
      <c r="AD19" s="2">
        <f t="shared" si="2"/>
        <v>0.62999999999999901</v>
      </c>
      <c r="AE19" s="148">
        <f t="shared" si="3"/>
        <v>-5.8754406580485696E-4</v>
      </c>
    </row>
    <row r="20" spans="1:31" x14ac:dyDescent="0.25">
      <c r="W20" s="143">
        <v>42418</v>
      </c>
      <c r="X20" s="12">
        <v>17.260000000000002</v>
      </c>
      <c r="Y20" s="12">
        <v>17.329999999999998</v>
      </c>
      <c r="Z20" s="12">
        <v>16.809999999999999</v>
      </c>
      <c r="AA20" s="12">
        <v>17.02</v>
      </c>
      <c r="AB20" s="105">
        <v>1577000</v>
      </c>
      <c r="AC20" s="12">
        <v>17.02</v>
      </c>
      <c r="AD20" s="2">
        <f t="shared" si="2"/>
        <v>0.51999999999999957</v>
      </c>
      <c r="AE20" s="148">
        <f t="shared" si="3"/>
        <v>-2.5200458190148933E-2</v>
      </c>
    </row>
    <row r="21" spans="1:31" x14ac:dyDescent="0.25">
      <c r="B21" s="209" t="s">
        <v>117</v>
      </c>
      <c r="C21" s="209" t="s">
        <v>170</v>
      </c>
      <c r="D21" s="210" t="s">
        <v>169</v>
      </c>
      <c r="E21" s="212" t="s">
        <v>171</v>
      </c>
      <c r="F21" s="212" t="s">
        <v>65</v>
      </c>
      <c r="G21" s="253" t="s">
        <v>175</v>
      </c>
      <c r="H21" s="253" t="s">
        <v>90</v>
      </c>
      <c r="I21" s="253" t="s">
        <v>183</v>
      </c>
      <c r="W21" s="143">
        <v>42417</v>
      </c>
      <c r="X21" s="12">
        <v>16.98</v>
      </c>
      <c r="Y21" s="12">
        <v>17.46</v>
      </c>
      <c r="Z21" s="12">
        <v>16.87</v>
      </c>
      <c r="AA21" s="12">
        <v>17.46</v>
      </c>
      <c r="AB21" s="105">
        <v>2373000</v>
      </c>
      <c r="AC21" s="12">
        <v>17.46</v>
      </c>
      <c r="AD21" s="2">
        <f t="shared" si="2"/>
        <v>0.58999999999999986</v>
      </c>
      <c r="AE21" s="148">
        <f t="shared" si="3"/>
        <v>4.3634190077704638E-2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42416</v>
      </c>
      <c r="X22" s="12">
        <v>16.39</v>
      </c>
      <c r="Y22" s="12">
        <v>16.84</v>
      </c>
      <c r="Z22" s="12">
        <v>16.149999999999999</v>
      </c>
      <c r="AA22" s="12">
        <v>16.73</v>
      </c>
      <c r="AB22" s="105">
        <v>1301100</v>
      </c>
      <c r="AC22" s="12">
        <v>16.73</v>
      </c>
      <c r="AD22" s="2">
        <f t="shared" si="2"/>
        <v>0.69000000000000128</v>
      </c>
      <c r="AE22" s="148">
        <f t="shared" si="3"/>
        <v>4.0422885572139355E-2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42412</v>
      </c>
      <c r="X23" s="12">
        <v>15.73</v>
      </c>
      <c r="Y23" s="12">
        <v>16.16</v>
      </c>
      <c r="Z23" s="12">
        <v>15.41</v>
      </c>
      <c r="AA23" s="12">
        <v>16.079999999999998</v>
      </c>
      <c r="AB23" s="105">
        <v>1019400</v>
      </c>
      <c r="AC23" s="12">
        <v>16.079999999999998</v>
      </c>
      <c r="AD23" s="2">
        <f t="shared" si="2"/>
        <v>0.75</v>
      </c>
      <c r="AE23" s="148">
        <f t="shared" si="3"/>
        <v>3.7419354838709618E-2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42411</v>
      </c>
      <c r="X24" s="12">
        <v>15.77</v>
      </c>
      <c r="Y24" s="12">
        <v>15.99</v>
      </c>
      <c r="Z24" s="12">
        <v>15.21</v>
      </c>
      <c r="AA24" s="12">
        <v>15.5</v>
      </c>
      <c r="AB24" s="105">
        <v>1553300</v>
      </c>
      <c r="AC24" s="12">
        <v>15.5</v>
      </c>
      <c r="AD24" s="2">
        <f t="shared" si="2"/>
        <v>0.77999999999999936</v>
      </c>
      <c r="AE24" s="148">
        <f t="shared" si="3"/>
        <v>-2.3929471032745675E-2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42410</v>
      </c>
      <c r="X25" s="12">
        <v>15.66</v>
      </c>
      <c r="Y25" s="12">
        <v>16.760000000000002</v>
      </c>
      <c r="Z25" s="12">
        <v>15.51</v>
      </c>
      <c r="AA25" s="12">
        <v>15.88</v>
      </c>
      <c r="AB25" s="105">
        <v>2688100</v>
      </c>
      <c r="AC25" s="12">
        <v>15.88</v>
      </c>
      <c r="AD25" s="2">
        <f t="shared" si="2"/>
        <v>1.2500000000000018</v>
      </c>
      <c r="AE25" s="148">
        <f t="shared" si="3"/>
        <v>1.5345268542199531E-2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42409</v>
      </c>
      <c r="X26" s="12">
        <v>16.04</v>
      </c>
      <c r="Y26" s="12">
        <v>16.36</v>
      </c>
      <c r="Z26" s="12">
        <v>15.26</v>
      </c>
      <c r="AA26" s="12">
        <v>15.64</v>
      </c>
      <c r="AB26" s="105">
        <v>2569200</v>
      </c>
      <c r="AC26" s="12">
        <v>15.64</v>
      </c>
      <c r="AD26" s="2">
        <f t="shared" si="2"/>
        <v>1.0999999999999996</v>
      </c>
      <c r="AE26" s="148">
        <f t="shared" si="3"/>
        <v>-3.5163479333744641E-2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42408</v>
      </c>
      <c r="X27" s="12">
        <v>17.170000000000002</v>
      </c>
      <c r="Y27" s="12">
        <v>17.25</v>
      </c>
      <c r="Z27" s="12">
        <v>15.75</v>
      </c>
      <c r="AA27" s="12">
        <v>16.21</v>
      </c>
      <c r="AB27" s="105">
        <v>3227500</v>
      </c>
      <c r="AC27" s="12">
        <v>16.21</v>
      </c>
      <c r="AD27" s="2">
        <f t="shared" si="2"/>
        <v>1.5</v>
      </c>
      <c r="AE27" s="148">
        <f t="shared" si="3"/>
        <v>-6.9460390355912782E-2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42405</v>
      </c>
      <c r="X28" s="12">
        <v>18.36</v>
      </c>
      <c r="Y28" s="12">
        <v>18.36</v>
      </c>
      <c r="Z28" s="12">
        <v>17.41</v>
      </c>
      <c r="AA28" s="12">
        <v>17.420000000000002</v>
      </c>
      <c r="AB28" s="105">
        <v>2180200</v>
      </c>
      <c r="AC28" s="12">
        <v>17.420000000000002</v>
      </c>
      <c r="AD28" s="2">
        <f t="shared" si="2"/>
        <v>0.94999999999999929</v>
      </c>
      <c r="AE28" s="148">
        <f t="shared" si="3"/>
        <v>-5.8887088060507797E-2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42404</v>
      </c>
      <c r="X29" s="12">
        <v>18.25</v>
      </c>
      <c r="Y29" s="12">
        <v>19.170000000000002</v>
      </c>
      <c r="Z29" s="12">
        <v>18.079999999999998</v>
      </c>
      <c r="AA29" s="12">
        <v>18.510000000000002</v>
      </c>
      <c r="AB29" s="105">
        <v>1483600</v>
      </c>
      <c r="AC29" s="12">
        <v>18.510000000000002</v>
      </c>
      <c r="AD29" s="2">
        <f t="shared" si="2"/>
        <v>1.0900000000000034</v>
      </c>
      <c r="AE29" s="148">
        <f t="shared" si="3"/>
        <v>-3.2310177705976439E-3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42403</v>
      </c>
      <c r="X30" s="12">
        <v>18.399999999999999</v>
      </c>
      <c r="Y30" s="12">
        <v>18.75</v>
      </c>
      <c r="Z30" s="12">
        <v>17.760000000000002</v>
      </c>
      <c r="AA30" s="12">
        <v>18.57</v>
      </c>
      <c r="AB30" s="105">
        <v>2737700</v>
      </c>
      <c r="AC30" s="12">
        <v>18.57</v>
      </c>
      <c r="AD30" s="2">
        <f t="shared" si="2"/>
        <v>0.98999999999999844</v>
      </c>
      <c r="AE30" s="148">
        <f t="shared" si="3"/>
        <v>1.1437908496731986E-2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42402</v>
      </c>
      <c r="X31" s="12">
        <v>18.649999999999999</v>
      </c>
      <c r="Y31" s="12">
        <v>18.95</v>
      </c>
      <c r="Z31" s="12">
        <v>18</v>
      </c>
      <c r="AA31" s="12">
        <v>18.36</v>
      </c>
      <c r="AB31" s="105">
        <v>4078900</v>
      </c>
      <c r="AC31" s="12">
        <v>18.36</v>
      </c>
      <c r="AD31" s="2">
        <f t="shared" si="2"/>
        <v>0.94999999999999929</v>
      </c>
      <c r="AE31" s="148">
        <f t="shared" si="3"/>
        <v>2.857142857142847E-2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42401</v>
      </c>
      <c r="X32" s="12">
        <v>17.63</v>
      </c>
      <c r="Y32" s="12">
        <v>18.04</v>
      </c>
      <c r="Z32" s="12">
        <v>17.350000000000001</v>
      </c>
      <c r="AA32" s="12">
        <v>17.850000000000001</v>
      </c>
      <c r="AB32" s="105">
        <v>2516800</v>
      </c>
      <c r="AC32" s="12">
        <v>17.850000000000001</v>
      </c>
      <c r="AD32" s="2">
        <f t="shared" si="2"/>
        <v>0.68999999999999773</v>
      </c>
      <c r="AE32" s="148">
        <f t="shared" si="3"/>
        <v>2.2459292532286401E-3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42398</v>
      </c>
      <c r="X33" s="12">
        <v>17.13</v>
      </c>
      <c r="Y33" s="12">
        <v>17.82</v>
      </c>
      <c r="Z33" s="12">
        <v>17.09</v>
      </c>
      <c r="AA33" s="12">
        <v>17.809999999999999</v>
      </c>
      <c r="AB33" s="105">
        <v>2127400</v>
      </c>
      <c r="AC33" s="12">
        <v>17.809999999999999</v>
      </c>
      <c r="AD33" s="2">
        <f t="shared" si="2"/>
        <v>0.73000000000000043</v>
      </c>
      <c r="AE33" s="148">
        <f t="shared" si="3"/>
        <v>4.2129900526623798E-2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42397</v>
      </c>
      <c r="X34" s="12">
        <v>17.239999999999998</v>
      </c>
      <c r="Y34" s="12">
        <v>17.29</v>
      </c>
      <c r="Z34" s="12">
        <v>16.84</v>
      </c>
      <c r="AA34" s="12">
        <v>17.09</v>
      </c>
      <c r="AB34" s="105">
        <v>1283600</v>
      </c>
      <c r="AC34" s="12">
        <v>17.09</v>
      </c>
      <c r="AD34" s="2">
        <f t="shared" si="2"/>
        <v>0.44999999999999929</v>
      </c>
      <c r="AE34" s="148">
        <f t="shared" si="3"/>
        <v>5.2941176470588935E-3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42396</v>
      </c>
      <c r="X35" s="12">
        <v>16.850000000000001</v>
      </c>
      <c r="Y35" s="12">
        <v>17.559999999999999</v>
      </c>
      <c r="Z35" s="12">
        <v>16.61</v>
      </c>
      <c r="AA35" s="12">
        <v>17</v>
      </c>
      <c r="AB35" s="105">
        <v>1625400</v>
      </c>
      <c r="AC35" s="12">
        <v>17</v>
      </c>
      <c r="AD35" s="2">
        <f t="shared" si="2"/>
        <v>0.94999999999999929</v>
      </c>
      <c r="AE35" s="148">
        <f t="shared" si="3"/>
        <v>-2.3474178403755097E-3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42395</v>
      </c>
      <c r="X36" s="12">
        <v>16.84</v>
      </c>
      <c r="Y36" s="12">
        <v>17.239999999999998</v>
      </c>
      <c r="Z36" s="12">
        <v>16.37</v>
      </c>
      <c r="AA36" s="12">
        <v>17.04</v>
      </c>
      <c r="AB36" s="105">
        <v>2470900</v>
      </c>
      <c r="AC36" s="12">
        <v>17.04</v>
      </c>
      <c r="AD36" s="2">
        <f t="shared" si="2"/>
        <v>0.86999999999999744</v>
      </c>
      <c r="AE36" s="148">
        <f t="shared" si="3"/>
        <v>2.5270758122743597E-2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42394</v>
      </c>
      <c r="X37" s="12">
        <v>16.2</v>
      </c>
      <c r="Y37" s="12">
        <v>16.93</v>
      </c>
      <c r="Z37" s="12">
        <v>15.97</v>
      </c>
      <c r="AA37" s="12">
        <v>16.62</v>
      </c>
      <c r="AB37" s="105">
        <v>3229800</v>
      </c>
      <c r="AC37" s="12">
        <v>16.62</v>
      </c>
      <c r="AD37" s="2">
        <f t="shared" si="2"/>
        <v>0.95999999999999908</v>
      </c>
      <c r="AE37" s="148">
        <f t="shared" si="3"/>
        <v>3.7453183520599342E-2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42391</v>
      </c>
      <c r="X38" s="12">
        <v>16.239999999999998</v>
      </c>
      <c r="Y38" s="12">
        <v>16.48</v>
      </c>
      <c r="Z38" s="12">
        <v>15.78</v>
      </c>
      <c r="AA38" s="12">
        <v>16.02</v>
      </c>
      <c r="AB38" s="105">
        <v>2178400</v>
      </c>
      <c r="AC38" s="12">
        <v>16.02</v>
      </c>
      <c r="AD38" s="2">
        <f t="shared" si="2"/>
        <v>0.70000000000000107</v>
      </c>
      <c r="AE38" s="148">
        <f t="shared" si="3"/>
        <v>8.8161209068009505E-3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42390</v>
      </c>
      <c r="X39" s="12">
        <v>15.73</v>
      </c>
      <c r="Y39" s="12">
        <v>16.350000000000001</v>
      </c>
      <c r="Z39" s="12">
        <v>15.55</v>
      </c>
      <c r="AA39" s="12">
        <v>15.88</v>
      </c>
      <c r="AB39" s="105">
        <v>3821300</v>
      </c>
      <c r="AC39" s="12">
        <v>15.88</v>
      </c>
      <c r="AD39" s="2">
        <f t="shared" si="2"/>
        <v>0.80000000000000071</v>
      </c>
      <c r="AE39" s="148">
        <f t="shared" si="3"/>
        <v>6.3371356147021718E-3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42389</v>
      </c>
      <c r="X40" s="12">
        <v>15.43</v>
      </c>
      <c r="Y40" s="12">
        <v>16.079999999999998</v>
      </c>
      <c r="Z40" s="12">
        <v>15.1</v>
      </c>
      <c r="AA40" s="12">
        <v>15.78</v>
      </c>
      <c r="AB40" s="105">
        <v>3859700</v>
      </c>
      <c r="AC40" s="12">
        <v>15.78</v>
      </c>
      <c r="AD40" s="2">
        <f t="shared" si="2"/>
        <v>0.97999999999999865</v>
      </c>
      <c r="AE40" s="148">
        <f t="shared" si="3"/>
        <v>5.0955414012738842E-3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42388</v>
      </c>
      <c r="X41" s="12">
        <v>16.260000000000002</v>
      </c>
      <c r="Y41" s="12">
        <v>16.37</v>
      </c>
      <c r="Z41" s="12">
        <v>15.52</v>
      </c>
      <c r="AA41" s="12">
        <v>15.7</v>
      </c>
      <c r="AB41" s="105">
        <v>3086200</v>
      </c>
      <c r="AC41" s="12">
        <v>15.7</v>
      </c>
      <c r="AD41" s="2">
        <f t="shared" si="2"/>
        <v>0.85000000000000142</v>
      </c>
      <c r="AE41" s="148">
        <f t="shared" si="3"/>
        <v>-2.4844720496894568E-2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42384</v>
      </c>
      <c r="X42" s="12">
        <v>15.99</v>
      </c>
      <c r="Y42" s="12">
        <v>16.37</v>
      </c>
      <c r="Z42" s="12">
        <v>15.67</v>
      </c>
      <c r="AA42" s="12">
        <v>16.100000000000001</v>
      </c>
      <c r="AB42" s="105">
        <v>2542700</v>
      </c>
      <c r="AC42" s="12">
        <v>16.100000000000001</v>
      </c>
      <c r="AD42" s="2">
        <f t="shared" si="2"/>
        <v>0.70000000000000107</v>
      </c>
      <c r="AE42" s="148">
        <f t="shared" si="3"/>
        <v>-1.8890920170627545E-2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42383</v>
      </c>
      <c r="X43" s="12">
        <v>16.27</v>
      </c>
      <c r="Y43" s="12">
        <v>16.71</v>
      </c>
      <c r="Z43" s="12">
        <v>15.68</v>
      </c>
      <c r="AA43" s="12">
        <v>16.41</v>
      </c>
      <c r="AB43" s="105">
        <v>1552800</v>
      </c>
      <c r="AC43" s="12">
        <v>16.41</v>
      </c>
      <c r="AD43" s="2">
        <f t="shared" si="2"/>
        <v>1.0300000000000011</v>
      </c>
      <c r="AE43" s="148">
        <f t="shared" si="3"/>
        <v>1.0467980295566504E-2</v>
      </c>
    </row>
    <row r="44" spans="2:31" ht="20.25" thickBot="1" x14ac:dyDescent="0.35">
      <c r="O44" s="408" t="s">
        <v>78</v>
      </c>
      <c r="P44" s="408"/>
      <c r="T44" s="101" t="s">
        <v>116</v>
      </c>
      <c r="W44" s="143">
        <v>42382</v>
      </c>
      <c r="X44" s="12">
        <v>16.79</v>
      </c>
      <c r="Y44" s="12">
        <v>17.07</v>
      </c>
      <c r="Z44" s="12">
        <v>16.13</v>
      </c>
      <c r="AA44" s="12">
        <v>16.239999999999998</v>
      </c>
      <c r="AB44" s="105">
        <v>1967700</v>
      </c>
      <c r="AC44" s="12">
        <v>16.239999999999998</v>
      </c>
      <c r="AD44" s="2">
        <f t="shared" si="2"/>
        <v>0.94000000000000128</v>
      </c>
      <c r="AE44" s="148">
        <f t="shared" si="3"/>
        <v>-2.9288702928870425E-2</v>
      </c>
    </row>
    <row r="45" spans="2:31" ht="15.75" thickTop="1" x14ac:dyDescent="0.25">
      <c r="O45" s="93">
        <v>1.1000000000000001</v>
      </c>
      <c r="P45" s="93">
        <f>O45*$Q$4</f>
        <v>26.565000000000001</v>
      </c>
      <c r="Q45" s="2"/>
      <c r="T45" s="138" t="s">
        <v>101</v>
      </c>
      <c r="U45" s="108">
        <v>24.07</v>
      </c>
      <c r="W45" s="143">
        <v>42381</v>
      </c>
      <c r="X45" s="12">
        <v>16.489999999999998</v>
      </c>
      <c r="Y45" s="12">
        <v>16.91</v>
      </c>
      <c r="Z45" s="12">
        <v>16.399999999999999</v>
      </c>
      <c r="AA45" s="12">
        <v>16.73</v>
      </c>
      <c r="AB45" s="105">
        <v>3128900</v>
      </c>
      <c r="AC45" s="12">
        <v>16.73</v>
      </c>
      <c r="AD45" s="2">
        <f t="shared" si="2"/>
        <v>0.51000000000000156</v>
      </c>
      <c r="AE45" s="148">
        <f t="shared" si="3"/>
        <v>3.2078963602714339E-2</v>
      </c>
    </row>
    <row r="46" spans="2:31" x14ac:dyDescent="0.25">
      <c r="O46" s="93">
        <v>1.0900000000000001</v>
      </c>
      <c r="P46" s="93">
        <f t="shared" ref="P46:P65" si="7">O46*$Q$4</f>
        <v>26.323499999999999</v>
      </c>
      <c r="Q46" s="2"/>
      <c r="T46" s="103" t="s">
        <v>102</v>
      </c>
      <c r="U46" s="98">
        <v>23.97</v>
      </c>
      <c r="W46" s="143">
        <v>42380</v>
      </c>
      <c r="X46" s="12">
        <v>16.66</v>
      </c>
      <c r="Y46" s="12">
        <v>16.760000000000002</v>
      </c>
      <c r="Z46" s="12">
        <v>16.010000000000002</v>
      </c>
      <c r="AA46" s="12">
        <v>16.21</v>
      </c>
      <c r="AB46" s="105">
        <v>1863500</v>
      </c>
      <c r="AC46" s="12">
        <v>16.21</v>
      </c>
      <c r="AD46" s="2">
        <f t="shared" si="2"/>
        <v>0.75</v>
      </c>
      <c r="AE46" s="148">
        <f t="shared" si="3"/>
        <v>-2.0543806646525664E-2</v>
      </c>
    </row>
    <row r="47" spans="2:31" x14ac:dyDescent="0.25">
      <c r="O47" s="93">
        <v>1.08</v>
      </c>
      <c r="P47" s="93">
        <f t="shared" si="7"/>
        <v>26.082000000000001</v>
      </c>
      <c r="Q47" s="2"/>
      <c r="T47" s="103" t="s">
        <v>103</v>
      </c>
      <c r="U47" s="98" t="s">
        <v>323</v>
      </c>
      <c r="W47" s="143">
        <v>42377</v>
      </c>
      <c r="X47" s="12">
        <v>17.28</v>
      </c>
      <c r="Y47" s="12">
        <v>17.32</v>
      </c>
      <c r="Z47" s="12">
        <v>16.440000000000001</v>
      </c>
      <c r="AA47" s="12">
        <v>16.55</v>
      </c>
      <c r="AB47" s="105">
        <v>3105300</v>
      </c>
      <c r="AC47" s="12">
        <v>16.55</v>
      </c>
      <c r="AD47" s="2">
        <f t="shared" si="2"/>
        <v>0.87999999999999901</v>
      </c>
      <c r="AE47" s="148">
        <f t="shared" si="3"/>
        <v>-3.7230948225712601E-2</v>
      </c>
    </row>
    <row r="48" spans="2:31" x14ac:dyDescent="0.25">
      <c r="O48" s="93">
        <v>1.07</v>
      </c>
      <c r="P48" s="93">
        <f t="shared" si="7"/>
        <v>25.840499999999999</v>
      </c>
      <c r="Q48" s="2"/>
      <c r="T48" s="103" t="s">
        <v>104</v>
      </c>
      <c r="U48" s="98" t="s">
        <v>324</v>
      </c>
      <c r="W48" s="143">
        <v>42376</v>
      </c>
      <c r="X48" s="12">
        <v>17.100000000000001</v>
      </c>
      <c r="Y48" s="12">
        <v>17.66</v>
      </c>
      <c r="Z48" s="12">
        <v>17.03</v>
      </c>
      <c r="AA48" s="12">
        <v>17.190000000000001</v>
      </c>
      <c r="AB48" s="105">
        <v>3502700</v>
      </c>
      <c r="AC48" s="12">
        <v>17.190000000000001</v>
      </c>
      <c r="AD48" s="2">
        <f t="shared" si="2"/>
        <v>0.62999999999999901</v>
      </c>
      <c r="AE48" s="148">
        <f t="shared" si="3"/>
        <v>-1.4334862385321112E-2</v>
      </c>
    </row>
    <row r="49" spans="15:31" x14ac:dyDescent="0.25">
      <c r="O49" s="93">
        <v>1.06</v>
      </c>
      <c r="P49" s="93">
        <f t="shared" si="7"/>
        <v>25.599</v>
      </c>
      <c r="Q49" s="2"/>
      <c r="T49" s="103" t="s">
        <v>105</v>
      </c>
      <c r="U49" s="98">
        <v>26.27</v>
      </c>
      <c r="W49" s="143">
        <v>42375</v>
      </c>
      <c r="X49" s="12">
        <v>17.53</v>
      </c>
      <c r="Y49" s="12">
        <v>17.87</v>
      </c>
      <c r="Z49" s="12">
        <v>17.25</v>
      </c>
      <c r="AA49" s="12">
        <v>17.440000000000001</v>
      </c>
      <c r="AB49" s="105">
        <v>2034200</v>
      </c>
      <c r="AC49" s="12">
        <v>17.440000000000001</v>
      </c>
      <c r="AD49" s="2">
        <f t="shared" si="2"/>
        <v>0.62000000000000099</v>
      </c>
      <c r="AE49" s="148">
        <f t="shared" si="3"/>
        <v>-2.187324733595053E-2</v>
      </c>
    </row>
    <row r="50" spans="15:31" x14ac:dyDescent="0.25">
      <c r="O50" s="93">
        <v>1.05</v>
      </c>
      <c r="P50" s="93">
        <f t="shared" si="7"/>
        <v>25.357499999999998</v>
      </c>
      <c r="Q50" s="2"/>
      <c r="T50" s="103" t="s">
        <v>106</v>
      </c>
      <c r="U50" s="98">
        <v>1.0510600000000001</v>
      </c>
      <c r="W50" s="143">
        <v>42374</v>
      </c>
      <c r="X50" s="12">
        <v>17.920000000000002</v>
      </c>
      <c r="Y50" s="12">
        <v>18</v>
      </c>
      <c r="Z50" s="12">
        <v>17.260000000000002</v>
      </c>
      <c r="AA50" s="12">
        <v>17.829999999999998</v>
      </c>
      <c r="AB50" s="105">
        <v>2730100</v>
      </c>
      <c r="AC50" s="12">
        <v>17.829999999999998</v>
      </c>
      <c r="AD50" s="2">
        <f t="shared" si="2"/>
        <v>0.73999999999999844</v>
      </c>
      <c r="AE50" s="148">
        <f t="shared" si="3"/>
        <v>-5.0223214285716189E-3</v>
      </c>
    </row>
    <row r="51" spans="15:31" x14ac:dyDescent="0.25">
      <c r="O51" s="93">
        <v>1.04</v>
      </c>
      <c r="P51" s="93">
        <f t="shared" si="7"/>
        <v>25.116</v>
      </c>
      <c r="Q51" s="2"/>
      <c r="T51" s="103" t="s">
        <v>126</v>
      </c>
      <c r="U51" s="98" t="s">
        <v>270</v>
      </c>
      <c r="W51" s="143">
        <v>42373</v>
      </c>
      <c r="X51" s="12">
        <v>17.309999999999999</v>
      </c>
      <c r="Y51" s="12">
        <v>17.96</v>
      </c>
      <c r="Z51" s="12">
        <v>17.16</v>
      </c>
      <c r="AA51" s="12">
        <v>17.920000000000002</v>
      </c>
      <c r="AB51" s="105">
        <v>2687600</v>
      </c>
      <c r="AC51" s="12">
        <v>17.920000000000002</v>
      </c>
      <c r="AD51" s="2">
        <f t="shared" si="2"/>
        <v>0.80000000000000071</v>
      </c>
      <c r="AE51" s="148">
        <f t="shared" si="3"/>
        <v>8.4411930219472353E-3</v>
      </c>
    </row>
    <row r="52" spans="15:31" x14ac:dyDescent="0.25">
      <c r="O52" s="93">
        <v>1.03</v>
      </c>
      <c r="P52" s="93">
        <f t="shared" si="7"/>
        <v>24.874499999999998</v>
      </c>
      <c r="Q52" s="2"/>
      <c r="T52" s="103"/>
      <c r="U52" s="98"/>
      <c r="W52" s="143">
        <v>42369</v>
      </c>
      <c r="X52" s="12">
        <v>17.37</v>
      </c>
      <c r="Y52" s="12">
        <v>17.93</v>
      </c>
      <c r="Z52" s="12">
        <v>17.3</v>
      </c>
      <c r="AA52" s="12">
        <v>17.77</v>
      </c>
      <c r="AB52" s="105">
        <v>1934800</v>
      </c>
      <c r="AC52" s="12">
        <v>17.77</v>
      </c>
      <c r="AD52" s="2">
        <f t="shared" si="2"/>
        <v>0.62999999999999901</v>
      </c>
      <c r="AE52" s="148">
        <f t="shared" si="3"/>
        <v>1.8338108882521409E-2</v>
      </c>
    </row>
    <row r="53" spans="15:31" x14ac:dyDescent="0.25">
      <c r="O53" s="93">
        <v>1.02</v>
      </c>
      <c r="P53" s="93">
        <f t="shared" si="7"/>
        <v>24.632999999999999</v>
      </c>
      <c r="Q53" s="2"/>
      <c r="T53" s="103" t="s">
        <v>108</v>
      </c>
      <c r="U53" s="98" t="s">
        <v>325</v>
      </c>
      <c r="W53" s="143">
        <v>42368</v>
      </c>
      <c r="X53" s="12">
        <v>17.63</v>
      </c>
      <c r="Y53" s="12">
        <v>17.739999999999998</v>
      </c>
      <c r="Z53" s="12">
        <v>17.38</v>
      </c>
      <c r="AA53" s="12">
        <v>17.45</v>
      </c>
      <c r="AB53" s="105">
        <v>1190100</v>
      </c>
      <c r="AC53" s="12">
        <v>17.45</v>
      </c>
      <c r="AD53" s="2">
        <f t="shared" si="2"/>
        <v>0.35999999999999943</v>
      </c>
      <c r="AE53" s="148">
        <f t="shared" si="3"/>
        <v>-1.5792442188381384E-2</v>
      </c>
    </row>
    <row r="54" spans="15:31" x14ac:dyDescent="0.25">
      <c r="O54" s="93">
        <v>1.01</v>
      </c>
      <c r="P54" s="93">
        <f t="shared" si="7"/>
        <v>24.391499999999997</v>
      </c>
      <c r="Q54" s="2"/>
      <c r="T54" s="103" t="s">
        <v>109</v>
      </c>
      <c r="U54" s="98" t="s">
        <v>271</v>
      </c>
      <c r="W54" s="143">
        <v>42367</v>
      </c>
      <c r="X54" s="12">
        <v>17.29</v>
      </c>
      <c r="Y54" s="12">
        <v>17.79</v>
      </c>
      <c r="Z54" s="12">
        <v>17.29</v>
      </c>
      <c r="AA54" s="12">
        <v>17.73</v>
      </c>
      <c r="AB54" s="105">
        <v>1701200</v>
      </c>
      <c r="AC54" s="12">
        <v>17.73</v>
      </c>
      <c r="AD54" s="2">
        <f t="shared" si="2"/>
        <v>0.5</v>
      </c>
      <c r="AE54" s="148">
        <f t="shared" si="3"/>
        <v>3.3216783216783341E-2</v>
      </c>
    </row>
    <row r="55" spans="15:31" x14ac:dyDescent="0.25">
      <c r="O55" s="93">
        <v>1</v>
      </c>
      <c r="P55" s="93">
        <f t="shared" si="7"/>
        <v>24.15</v>
      </c>
      <c r="Q55" s="2"/>
      <c r="T55" s="103" t="s">
        <v>110</v>
      </c>
      <c r="U55" s="100">
        <v>2375987</v>
      </c>
      <c r="W55" s="143">
        <v>42366</v>
      </c>
      <c r="X55" s="12">
        <v>17.57</v>
      </c>
      <c r="Y55" s="12">
        <v>17.649999999999999</v>
      </c>
      <c r="Z55" s="12">
        <v>17.059999999999999</v>
      </c>
      <c r="AA55" s="12">
        <v>17.16</v>
      </c>
      <c r="AB55" s="105">
        <v>1387600</v>
      </c>
      <c r="AC55" s="12">
        <v>17.16</v>
      </c>
      <c r="AD55" s="2">
        <f t="shared" si="2"/>
        <v>0.58999999999999986</v>
      </c>
      <c r="AE55" s="148">
        <f t="shared" si="3"/>
        <v>-2.5000000000000022E-2</v>
      </c>
    </row>
    <row r="56" spans="15:31" x14ac:dyDescent="0.25">
      <c r="O56" s="93">
        <v>0.99</v>
      </c>
      <c r="P56" s="93">
        <f t="shared" si="7"/>
        <v>23.9085</v>
      </c>
      <c r="Q56" s="2"/>
      <c r="T56" s="103" t="s">
        <v>113</v>
      </c>
      <c r="U56" s="100">
        <v>2767760</v>
      </c>
      <c r="W56" s="143">
        <v>42362</v>
      </c>
      <c r="X56" s="12">
        <v>17.64</v>
      </c>
      <c r="Y56" s="12">
        <v>17.77</v>
      </c>
      <c r="Z56" s="12">
        <v>17.420000000000002</v>
      </c>
      <c r="AA56" s="12">
        <v>17.600000000000001</v>
      </c>
      <c r="AB56" s="105">
        <v>595300</v>
      </c>
      <c r="AC56" s="12">
        <v>17.600000000000001</v>
      </c>
      <c r="AD56" s="2">
        <f t="shared" si="2"/>
        <v>0.34999999999999787</v>
      </c>
      <c r="AE56" s="148">
        <f t="shared" si="3"/>
        <v>-4.5248868778279272E-3</v>
      </c>
    </row>
    <row r="57" spans="15:31" x14ac:dyDescent="0.25">
      <c r="O57" s="93">
        <v>0.98</v>
      </c>
      <c r="P57" s="93">
        <f t="shared" si="7"/>
        <v>23.666999999999998</v>
      </c>
      <c r="Q57" s="2"/>
      <c r="T57" s="103" t="s">
        <v>111</v>
      </c>
      <c r="U57" s="98" t="s">
        <v>326</v>
      </c>
      <c r="W57" s="143">
        <v>42361</v>
      </c>
      <c r="X57" s="12">
        <v>17.45</v>
      </c>
      <c r="Y57" s="12">
        <v>17.71</v>
      </c>
      <c r="Z57" s="12">
        <v>17.28</v>
      </c>
      <c r="AA57" s="12">
        <v>17.68</v>
      </c>
      <c r="AB57" s="105">
        <v>3723900</v>
      </c>
      <c r="AC57" s="12">
        <v>17.68</v>
      </c>
      <c r="AD57" s="2">
        <f t="shared" si="2"/>
        <v>0.42999999999999972</v>
      </c>
      <c r="AE57" s="148">
        <f t="shared" si="3"/>
        <v>2.1374927787406239E-2</v>
      </c>
    </row>
    <row r="58" spans="15:31" x14ac:dyDescent="0.25">
      <c r="O58" s="93">
        <v>0.97</v>
      </c>
      <c r="P58" s="93">
        <f t="shared" si="7"/>
        <v>23.4255</v>
      </c>
      <c r="T58" s="103" t="s">
        <v>114</v>
      </c>
      <c r="U58" s="98">
        <v>37.64</v>
      </c>
      <c r="W58" s="143">
        <v>42360</v>
      </c>
      <c r="X58" s="12">
        <v>17.3</v>
      </c>
      <c r="Y58" s="12">
        <v>17.559999999999999</v>
      </c>
      <c r="Z58" s="12">
        <v>16.86</v>
      </c>
      <c r="AA58" s="12">
        <v>17.309999999999999</v>
      </c>
      <c r="AB58" s="105">
        <v>3159200</v>
      </c>
      <c r="AC58" s="12">
        <v>17.309999999999999</v>
      </c>
      <c r="AD58" s="2">
        <f t="shared" si="2"/>
        <v>0.69999999999999929</v>
      </c>
      <c r="AE58" s="148">
        <f t="shared" si="3"/>
        <v>6.9808027923210503E-3</v>
      </c>
    </row>
    <row r="59" spans="15:31" x14ac:dyDescent="0.25">
      <c r="O59" s="93">
        <v>0.96</v>
      </c>
      <c r="P59" s="93">
        <f t="shared" si="7"/>
        <v>23.183999999999997</v>
      </c>
      <c r="T59" s="103" t="s">
        <v>115</v>
      </c>
      <c r="U59" s="98">
        <v>0.64</v>
      </c>
      <c r="W59" s="143">
        <v>42359</v>
      </c>
      <c r="X59" s="12">
        <v>17.93</v>
      </c>
      <c r="Y59" s="12">
        <v>18</v>
      </c>
      <c r="Z59" s="12">
        <v>17.04</v>
      </c>
      <c r="AA59" s="12">
        <v>17.190000000000001</v>
      </c>
      <c r="AB59" s="105">
        <v>4071700</v>
      </c>
      <c r="AC59" s="12">
        <v>17.190000000000001</v>
      </c>
      <c r="AD59" s="2">
        <f t="shared" si="2"/>
        <v>0.96000000000000085</v>
      </c>
      <c r="AE59" s="148">
        <f t="shared" si="3"/>
        <v>-3.6434977578475247E-2</v>
      </c>
    </row>
    <row r="60" spans="15:31" x14ac:dyDescent="0.25">
      <c r="O60" s="93">
        <v>0.95</v>
      </c>
      <c r="P60" s="93">
        <f t="shared" si="7"/>
        <v>22.942499999999999</v>
      </c>
      <c r="T60" s="103" t="s">
        <v>112</v>
      </c>
      <c r="U60" s="98" t="s">
        <v>127</v>
      </c>
      <c r="W60" s="143">
        <v>42356</v>
      </c>
      <c r="X60" s="12">
        <v>17.940000000000001</v>
      </c>
      <c r="Y60" s="12">
        <v>18.190000000000001</v>
      </c>
      <c r="Z60" s="12">
        <v>17.690000000000001</v>
      </c>
      <c r="AA60" s="12">
        <v>17.84</v>
      </c>
      <c r="AB60" s="105">
        <v>4492300</v>
      </c>
      <c r="AC60" s="12">
        <v>17.84</v>
      </c>
      <c r="AD60" s="2">
        <f t="shared" si="2"/>
        <v>0.5</v>
      </c>
      <c r="AE60" s="148">
        <f t="shared" si="3"/>
        <v>-1.0537992235163718E-2</v>
      </c>
    </row>
    <row r="61" spans="15:31" x14ac:dyDescent="0.25">
      <c r="O61" s="93">
        <v>0.94</v>
      </c>
      <c r="P61" s="93">
        <f t="shared" si="7"/>
        <v>22.700999999999997</v>
      </c>
      <c r="W61" s="143">
        <v>42355</v>
      </c>
      <c r="X61" s="12">
        <v>18.34</v>
      </c>
      <c r="Y61" s="12">
        <v>18.62</v>
      </c>
      <c r="Z61" s="12">
        <v>17.760000000000002</v>
      </c>
      <c r="AA61" s="12">
        <v>18.03</v>
      </c>
      <c r="AB61" s="105">
        <v>3811900</v>
      </c>
      <c r="AC61" s="12">
        <v>18.03</v>
      </c>
      <c r="AD61" s="2">
        <f t="shared" si="2"/>
        <v>0.85999999999999943</v>
      </c>
      <c r="AE61" s="148">
        <f t="shared" si="3"/>
        <v>-2.6457883369330415E-2</v>
      </c>
    </row>
    <row r="62" spans="15:31" x14ac:dyDescent="0.25">
      <c r="O62" s="93">
        <v>0.93</v>
      </c>
      <c r="P62" s="93">
        <f t="shared" si="7"/>
        <v>22.459499999999998</v>
      </c>
      <c r="W62" s="143">
        <v>42354</v>
      </c>
      <c r="X62" s="12">
        <v>17.95</v>
      </c>
      <c r="Y62" s="12">
        <v>18.63</v>
      </c>
      <c r="Z62" s="12">
        <v>17.84</v>
      </c>
      <c r="AA62" s="12">
        <v>18.52</v>
      </c>
      <c r="AB62" s="105">
        <v>2760300</v>
      </c>
      <c r="AC62" s="12">
        <v>18.52</v>
      </c>
      <c r="AD62" s="2">
        <f t="shared" si="2"/>
        <v>0.78999999999999915</v>
      </c>
      <c r="AE62" s="148">
        <f t="shared" si="3"/>
        <v>3.9281705948372547E-2</v>
      </c>
    </row>
    <row r="63" spans="15:31" x14ac:dyDescent="0.25">
      <c r="O63" s="93">
        <v>0.92</v>
      </c>
      <c r="P63" s="93">
        <f t="shared" si="7"/>
        <v>22.218</v>
      </c>
      <c r="W63" s="143">
        <v>42353</v>
      </c>
      <c r="X63" s="12">
        <v>17.88</v>
      </c>
      <c r="Y63" s="12">
        <v>18.25</v>
      </c>
      <c r="Z63" s="12">
        <v>17.73</v>
      </c>
      <c r="AA63" s="12">
        <v>17.82</v>
      </c>
      <c r="AB63" s="105">
        <v>2886200</v>
      </c>
      <c r="AC63" s="12">
        <v>17.82</v>
      </c>
      <c r="AD63" s="2">
        <f t="shared" si="2"/>
        <v>0.51999999999999957</v>
      </c>
      <c r="AE63" s="148">
        <f t="shared" si="3"/>
        <v>6.2111801242235032E-3</v>
      </c>
    </row>
    <row r="64" spans="15:31" x14ac:dyDescent="0.25">
      <c r="O64" s="93">
        <v>0.91</v>
      </c>
      <c r="P64" s="93">
        <f t="shared" si="7"/>
        <v>21.976499999999998</v>
      </c>
      <c r="W64" s="143">
        <v>42352</v>
      </c>
      <c r="X64" s="12">
        <v>18.13</v>
      </c>
      <c r="Y64" s="12">
        <v>18.239999999999998</v>
      </c>
      <c r="Z64" s="12">
        <v>17.46</v>
      </c>
      <c r="AA64" s="12">
        <v>17.71</v>
      </c>
      <c r="AB64" s="105">
        <v>2701500</v>
      </c>
      <c r="AC64" s="12">
        <v>17.71</v>
      </c>
      <c r="AD64" s="2">
        <f t="shared" si="2"/>
        <v>0.77999999999999758</v>
      </c>
      <c r="AE64" s="148">
        <f t="shared" si="3"/>
        <v>-1.8292682926829174E-2</v>
      </c>
    </row>
    <row r="65" spans="15:31" x14ac:dyDescent="0.25">
      <c r="O65" s="93">
        <v>0.9</v>
      </c>
      <c r="P65" s="93">
        <f t="shared" si="7"/>
        <v>21.734999999999999</v>
      </c>
      <c r="W65" s="143">
        <v>42349</v>
      </c>
      <c r="X65" s="12">
        <v>18.73</v>
      </c>
      <c r="Y65" s="12">
        <v>18.78</v>
      </c>
      <c r="Z65" s="12">
        <v>17.84</v>
      </c>
      <c r="AA65" s="12">
        <v>18.04</v>
      </c>
      <c r="AB65" s="105">
        <v>2933300</v>
      </c>
      <c r="AC65" s="12">
        <v>18.04</v>
      </c>
      <c r="AD65" s="2">
        <f t="shared" si="2"/>
        <v>0.94000000000000128</v>
      </c>
      <c r="AE65" s="148">
        <f t="shared" si="3"/>
        <v>-4.6511627906976827E-2</v>
      </c>
    </row>
    <row r="66" spans="15:31" x14ac:dyDescent="0.25">
      <c r="O66" s="37"/>
      <c r="W66" s="143">
        <v>42348</v>
      </c>
      <c r="X66" s="12">
        <v>18.88</v>
      </c>
      <c r="Y66" s="12">
        <v>19.25</v>
      </c>
      <c r="Z66" s="12">
        <v>18.72</v>
      </c>
      <c r="AA66" s="12">
        <v>18.920000000000002</v>
      </c>
      <c r="AB66" s="105">
        <v>1128200</v>
      </c>
      <c r="AC66" s="12">
        <v>18.920000000000002</v>
      </c>
      <c r="AD66" s="2">
        <f t="shared" si="2"/>
        <v>0.53000000000000114</v>
      </c>
      <c r="AE66" s="148">
        <f t="shared" si="3"/>
        <v>1.5881418740075759E-3</v>
      </c>
    </row>
    <row r="67" spans="15:31" x14ac:dyDescent="0.25">
      <c r="W67" s="143">
        <v>42347</v>
      </c>
      <c r="X67" s="12">
        <v>18.84</v>
      </c>
      <c r="Y67" s="12">
        <v>19.61</v>
      </c>
      <c r="Z67" s="12">
        <v>18.7</v>
      </c>
      <c r="AA67" s="12">
        <v>18.89</v>
      </c>
      <c r="AB67" s="105">
        <v>3443900</v>
      </c>
      <c r="AC67" s="12">
        <v>18.89</v>
      </c>
      <c r="AD67" s="2">
        <f t="shared" ref="AD67:AD68" si="8">Y67-Z67</f>
        <v>0.91000000000000014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3" priority="30">
      <formula>Q7&gt;0</formula>
    </cfRule>
    <cfRule type="expression" dxfId="21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1" priority="23">
      <formula>F27&gt;0</formula>
    </cfRule>
    <cfRule type="expression" dxfId="210" priority="24">
      <formula>F27&lt;0</formula>
    </cfRule>
  </conditionalFormatting>
  <conditionalFormatting sqref="F29:F33">
    <cfRule type="expression" dxfId="209" priority="19">
      <formula>F29&gt;0</formula>
    </cfRule>
    <cfRule type="expression" dxfId="208" priority="20">
      <formula>F29&lt;0</formula>
    </cfRule>
  </conditionalFormatting>
  <conditionalFormatting sqref="F29:F32">
    <cfRule type="expression" dxfId="207" priority="21">
      <formula>F29&gt;0</formula>
    </cfRule>
    <cfRule type="expression" dxfId="206" priority="22">
      <formula>F29&lt;0</formula>
    </cfRule>
  </conditionalFormatting>
  <conditionalFormatting sqref="H27:H33">
    <cfRule type="expression" dxfId="205" priority="17">
      <formula>H27&gt;0</formula>
    </cfRule>
    <cfRule type="expression" dxfId="204" priority="18">
      <formula>H27&lt;0</formula>
    </cfRule>
  </conditionalFormatting>
  <conditionalFormatting sqref="F34">
    <cfRule type="expression" dxfId="203" priority="15">
      <formula>F34&gt;0</formula>
    </cfRule>
    <cfRule type="expression" dxfId="202" priority="16">
      <formula>F34&lt;0</formula>
    </cfRule>
  </conditionalFormatting>
  <conditionalFormatting sqref="H34">
    <cfRule type="expression" dxfId="201" priority="13">
      <formula>H34&gt;0</formula>
    </cfRule>
    <cfRule type="expression" dxfId="200" priority="14">
      <formula>H34&lt;0</formula>
    </cfRule>
  </conditionalFormatting>
  <conditionalFormatting sqref="F36:F43">
    <cfRule type="expression" dxfId="199" priority="11">
      <formula>F36&gt;0</formula>
    </cfRule>
    <cfRule type="expression" dxfId="198" priority="12">
      <formula>F36&lt;0</formula>
    </cfRule>
  </conditionalFormatting>
  <conditionalFormatting sqref="H36:H43">
    <cfRule type="expression" dxfId="197" priority="9">
      <formula>H36&gt;0</formula>
    </cfRule>
    <cfRule type="expression" dxfId="196" priority="10">
      <formula>H36&lt;0</formula>
    </cfRule>
  </conditionalFormatting>
  <conditionalFormatting sqref="F35">
    <cfRule type="expression" dxfId="195" priority="7">
      <formula>F35&gt;0</formula>
    </cfRule>
    <cfRule type="expression" dxfId="194" priority="8">
      <formula>F35&lt;0</formula>
    </cfRule>
  </conditionalFormatting>
  <conditionalFormatting sqref="H35">
    <cfRule type="expression" dxfId="193" priority="5">
      <formula>H35&gt;0</formula>
    </cfRule>
    <cfRule type="expression" dxfId="192" priority="6">
      <formula>H35&lt;0</formula>
    </cfRule>
  </conditionalFormatting>
  <conditionalFormatting sqref="F22:F26">
    <cfRule type="expression" dxfId="191" priority="3">
      <formula>F22&gt;0</formula>
    </cfRule>
    <cfRule type="expression" dxfId="190" priority="4">
      <formula>F22&lt;0</formula>
    </cfRule>
  </conditionalFormatting>
  <conditionalFormatting sqref="H22:H26">
    <cfRule type="expression" dxfId="189" priority="1">
      <formula>H22&gt;0</formula>
    </cfRule>
    <cfRule type="expression" dxfId="18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219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24">
        <v>20</v>
      </c>
      <c r="I2" s="326">
        <v>38.450000000000003</v>
      </c>
      <c r="J2" s="326">
        <v>0.02</v>
      </c>
      <c r="K2" s="326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30</v>
      </c>
      <c r="T2" t="s">
        <v>83</v>
      </c>
      <c r="U2" t="s">
        <v>84</v>
      </c>
      <c r="W2" s="143">
        <v>42444</v>
      </c>
      <c r="X2" s="12">
        <v>40.97</v>
      </c>
      <c r="Y2" s="12">
        <v>41.54</v>
      </c>
      <c r="Z2" s="12">
        <v>40.700000000000003</v>
      </c>
      <c r="AA2" s="12">
        <v>41.37</v>
      </c>
      <c r="AB2" s="105">
        <v>3050800</v>
      </c>
      <c r="AC2" s="12">
        <v>41.37</v>
      </c>
      <c r="AD2" s="2">
        <f>Y2-Z2</f>
        <v>0.83999999999999631</v>
      </c>
      <c r="AE2" s="148">
        <f>AC2/AC3-1</f>
        <v>2.4230676035859045E-3</v>
      </c>
    </row>
    <row r="3" spans="1:41" x14ac:dyDescent="0.25">
      <c r="A3" s="26" t="s">
        <v>71</v>
      </c>
      <c r="B3" s="84">
        <v>42403</v>
      </c>
      <c r="C3" s="327">
        <v>20</v>
      </c>
      <c r="D3" s="326">
        <v>35.5</v>
      </c>
      <c r="E3" s="326">
        <v>0</v>
      </c>
      <c r="F3" s="326">
        <f>C3*D3</f>
        <v>710</v>
      </c>
      <c r="G3" s="84">
        <v>42426</v>
      </c>
      <c r="H3" s="198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55">
        <f>IF(Q2=0, Q4, (F14-K14-M14)/Q2)</f>
        <v>40.798333333333325</v>
      </c>
      <c r="T3" s="1">
        <v>42312</v>
      </c>
      <c r="U3" t="s">
        <v>172</v>
      </c>
      <c r="W3" s="143">
        <v>42443</v>
      </c>
      <c r="X3" s="12">
        <v>40.97</v>
      </c>
      <c r="Y3" s="12">
        <v>41.33</v>
      </c>
      <c r="Z3" s="12">
        <v>40.700000000000003</v>
      </c>
      <c r="AA3" s="12">
        <v>41.27</v>
      </c>
      <c r="AB3" s="105">
        <v>3257100</v>
      </c>
      <c r="AC3" s="12">
        <v>41.27</v>
      </c>
      <c r="AD3" s="2">
        <f t="shared" ref="AD3:AD66" si="0">Y3-Z3</f>
        <v>0.62999999999999545</v>
      </c>
      <c r="AE3" s="148">
        <f t="shared" ref="AE3:AE66" si="1">AC3/AC4-1</f>
        <v>2.6724975704568443E-3</v>
      </c>
      <c r="AL3" s="263"/>
      <c r="AO3" s="263"/>
    </row>
    <row r="4" spans="1:41" x14ac:dyDescent="0.25">
      <c r="B4" s="4"/>
      <c r="C4" s="4"/>
      <c r="D4" s="3"/>
      <c r="E4" s="3"/>
      <c r="F4" s="3"/>
      <c r="G4" s="4"/>
      <c r="H4" s="198"/>
      <c r="I4" s="3"/>
      <c r="J4" s="3"/>
      <c r="K4" s="3"/>
      <c r="L4" s="4"/>
      <c r="O4" t="s">
        <v>66</v>
      </c>
      <c r="Q4" s="221">
        <v>42.16</v>
      </c>
      <c r="W4" s="143">
        <v>42440</v>
      </c>
      <c r="X4" s="12">
        <v>40.25</v>
      </c>
      <c r="Y4" s="12">
        <v>41.21</v>
      </c>
      <c r="Z4" s="12">
        <v>40.06</v>
      </c>
      <c r="AA4" s="12">
        <v>41.16</v>
      </c>
      <c r="AB4" s="105">
        <v>6646900</v>
      </c>
      <c r="AC4" s="12">
        <v>41.16</v>
      </c>
      <c r="AD4" s="2">
        <f t="shared" si="0"/>
        <v>1.1499999999999986</v>
      </c>
      <c r="AE4" s="148">
        <f t="shared" si="1"/>
        <v>3.4170854271356799E-2</v>
      </c>
    </row>
    <row r="5" spans="1:41" x14ac:dyDescent="0.25">
      <c r="O5" t="s">
        <v>67</v>
      </c>
      <c r="Q5" s="3">
        <f>Q4*Q2</f>
        <v>1264.8</v>
      </c>
      <c r="W5" s="143">
        <v>42439</v>
      </c>
      <c r="X5" s="12">
        <v>40.159999999999997</v>
      </c>
      <c r="Y5" s="12">
        <v>40.159999999999997</v>
      </c>
      <c r="Z5" s="12">
        <v>39.049999999999997</v>
      </c>
      <c r="AA5" s="12">
        <v>39.799999999999997</v>
      </c>
      <c r="AB5" s="105">
        <v>4870900</v>
      </c>
      <c r="AC5" s="12">
        <v>39.799999999999997</v>
      </c>
      <c r="AD5" s="2">
        <f t="shared" si="0"/>
        <v>1.1099999999999994</v>
      </c>
      <c r="AE5" s="148">
        <f t="shared" si="1"/>
        <v>-1.2547051442911572E-3</v>
      </c>
    </row>
    <row r="6" spans="1:41" x14ac:dyDescent="0.25">
      <c r="O6" t="s">
        <v>64</v>
      </c>
      <c r="Q6" s="2">
        <f>Q3*Q2</f>
        <v>1223.9499999999998</v>
      </c>
      <c r="W6" s="143">
        <v>42438</v>
      </c>
      <c r="X6" s="12">
        <v>38.979999999999997</v>
      </c>
      <c r="Y6" s="12">
        <v>39.869999999999997</v>
      </c>
      <c r="Z6" s="12">
        <v>38.82</v>
      </c>
      <c r="AA6" s="12">
        <v>39.85</v>
      </c>
      <c r="AB6" s="105">
        <v>6918600</v>
      </c>
      <c r="AC6" s="12">
        <v>39.85</v>
      </c>
      <c r="AD6" s="2">
        <f t="shared" si="0"/>
        <v>1.0499999999999972</v>
      </c>
      <c r="AE6" s="148">
        <f t="shared" si="1"/>
        <v>2.9715762273901714E-2</v>
      </c>
    </row>
    <row r="7" spans="1:41" ht="15.75" x14ac:dyDescent="0.25">
      <c r="O7" t="s">
        <v>65</v>
      </c>
      <c r="Q7" s="2">
        <f>IF(Q2=0, K14+M14-F14,Q5-Q6)</f>
        <v>40.850000000000136</v>
      </c>
      <c r="R7" s="207"/>
      <c r="W7" s="143">
        <v>42437</v>
      </c>
      <c r="X7" s="12">
        <v>39.229999999999997</v>
      </c>
      <c r="Y7" s="12">
        <v>39.229999999999997</v>
      </c>
      <c r="Z7" s="12">
        <v>38.14</v>
      </c>
      <c r="AA7" s="12">
        <v>38.700000000000003</v>
      </c>
      <c r="AB7" s="105">
        <v>4893300</v>
      </c>
      <c r="AC7" s="12">
        <v>38.700000000000003</v>
      </c>
      <c r="AD7" s="2">
        <f t="shared" si="0"/>
        <v>1.0899999999999963</v>
      </c>
      <c r="AE7" s="148">
        <f t="shared" si="1"/>
        <v>-2.2480424349583195E-2</v>
      </c>
    </row>
    <row r="8" spans="1:41" x14ac:dyDescent="0.25">
      <c r="O8" s="13" t="s">
        <v>90</v>
      </c>
      <c r="Q8" s="148">
        <f>(Q4-Q3)/Q3</f>
        <v>3.3375546386698936E-2</v>
      </c>
      <c r="W8" s="143">
        <v>42436</v>
      </c>
      <c r="X8" s="12">
        <v>40.909999999999997</v>
      </c>
      <c r="Y8" s="12">
        <v>40.909999999999997</v>
      </c>
      <c r="Z8" s="12">
        <v>39.39</v>
      </c>
      <c r="AA8" s="12">
        <v>39.590000000000003</v>
      </c>
      <c r="AB8" s="105">
        <v>5208600</v>
      </c>
      <c r="AC8" s="12">
        <v>39.590000000000003</v>
      </c>
      <c r="AD8" s="2">
        <f t="shared" si="0"/>
        <v>1.519999999999996</v>
      </c>
      <c r="AE8" s="148">
        <f t="shared" si="1"/>
        <v>-3.3918984870668467E-2</v>
      </c>
    </row>
    <row r="9" spans="1:41" x14ac:dyDescent="0.25">
      <c r="Q9" s="148"/>
      <c r="W9" s="143">
        <v>42433</v>
      </c>
      <c r="X9" s="12">
        <v>41.3</v>
      </c>
      <c r="Y9" s="12">
        <v>42.09</v>
      </c>
      <c r="Z9" s="12">
        <v>40.799999999999997</v>
      </c>
      <c r="AA9" s="12">
        <v>40.98</v>
      </c>
      <c r="AB9" s="105">
        <v>5515800</v>
      </c>
      <c r="AC9" s="12">
        <v>40.98</v>
      </c>
      <c r="AD9" s="2">
        <f t="shared" si="0"/>
        <v>1.2900000000000063</v>
      </c>
      <c r="AE9" s="148">
        <f t="shared" si="1"/>
        <v>-7.2674418604652402E-3</v>
      </c>
    </row>
    <row r="10" spans="1:41" x14ac:dyDescent="0.25">
      <c r="W10" s="143">
        <v>42432</v>
      </c>
      <c r="X10" s="12">
        <v>40.369999999999997</v>
      </c>
      <c r="Y10" s="12">
        <v>41.3</v>
      </c>
      <c r="Z10" s="12">
        <v>40.06</v>
      </c>
      <c r="AA10" s="12">
        <v>41.28</v>
      </c>
      <c r="AB10" s="105">
        <v>5540900</v>
      </c>
      <c r="AC10" s="12">
        <v>41.28</v>
      </c>
      <c r="AD10" s="2">
        <f t="shared" si="0"/>
        <v>1.2399999999999949</v>
      </c>
      <c r="AE10" s="148">
        <f t="shared" si="1"/>
        <v>2.4063507814438001E-2</v>
      </c>
    </row>
    <row r="11" spans="1:41" x14ac:dyDescent="0.25">
      <c r="W11" s="143">
        <v>42431</v>
      </c>
      <c r="X11" s="12">
        <v>39.42</v>
      </c>
      <c r="Y11" s="12">
        <v>40.4</v>
      </c>
      <c r="Z11" s="12">
        <v>39.159999999999997</v>
      </c>
      <c r="AA11" s="12">
        <v>40.31</v>
      </c>
      <c r="AB11" s="105">
        <v>4569800</v>
      </c>
      <c r="AC11" s="12">
        <v>40.31</v>
      </c>
      <c r="AD11" s="2">
        <f t="shared" si="0"/>
        <v>1.240000000000002</v>
      </c>
      <c r="AE11" s="148">
        <f t="shared" si="1"/>
        <v>2.02480384712731E-2</v>
      </c>
    </row>
    <row r="12" spans="1:41" x14ac:dyDescent="0.25">
      <c r="W12" s="143">
        <v>42430</v>
      </c>
      <c r="X12" s="12">
        <v>38.33</v>
      </c>
      <c r="Y12" s="12">
        <v>39.68</v>
      </c>
      <c r="Z12" s="12">
        <v>37.96</v>
      </c>
      <c r="AA12" s="12">
        <v>39.51</v>
      </c>
      <c r="AB12" s="105">
        <v>4079100</v>
      </c>
      <c r="AC12" s="12">
        <v>39.51</v>
      </c>
      <c r="AD12" s="2">
        <f t="shared" si="0"/>
        <v>1.7199999999999989</v>
      </c>
      <c r="AE12" s="148">
        <f t="shared" si="1"/>
        <v>3.946329913180735E-2</v>
      </c>
    </row>
    <row r="13" spans="1:41" x14ac:dyDescent="0.25">
      <c r="W13" s="143">
        <v>42429</v>
      </c>
      <c r="X13" s="12">
        <v>38.520000000000003</v>
      </c>
      <c r="Y13" s="12">
        <v>38.92</v>
      </c>
      <c r="Z13" s="12">
        <v>37.83</v>
      </c>
      <c r="AA13" s="12">
        <v>38.01</v>
      </c>
      <c r="AB13" s="105">
        <v>4834000</v>
      </c>
      <c r="AC13" s="12">
        <v>38.01</v>
      </c>
      <c r="AD13" s="2">
        <f t="shared" si="0"/>
        <v>1.0900000000000034</v>
      </c>
      <c r="AE13" s="148">
        <f t="shared" si="1"/>
        <v>-1.7067494181536191E-2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15.2</v>
      </c>
      <c r="W14" s="143">
        <v>42426</v>
      </c>
      <c r="X14" s="12">
        <v>37.93</v>
      </c>
      <c r="Y14" s="12">
        <v>39.18</v>
      </c>
      <c r="Z14" s="12">
        <v>37.9</v>
      </c>
      <c r="AA14" s="12">
        <v>38.67</v>
      </c>
      <c r="AB14" s="105">
        <v>6248200</v>
      </c>
      <c r="AC14" s="12">
        <v>38.67</v>
      </c>
      <c r="AD14" s="2">
        <f t="shared" si="0"/>
        <v>1.2800000000000011</v>
      </c>
      <c r="AE14" s="148">
        <f t="shared" si="1"/>
        <v>2.1124900977026684E-2</v>
      </c>
    </row>
    <row r="15" spans="1:41" x14ac:dyDescent="0.25">
      <c r="G15" s="2"/>
      <c r="W15" s="143">
        <v>42425</v>
      </c>
      <c r="X15" s="12">
        <v>37.53</v>
      </c>
      <c r="Y15" s="12">
        <v>38.04</v>
      </c>
      <c r="Z15" s="12">
        <v>36.72</v>
      </c>
      <c r="AA15" s="12">
        <v>37.869999999999997</v>
      </c>
      <c r="AB15" s="105">
        <v>5487100</v>
      </c>
      <c r="AC15" s="12">
        <v>37.869999999999997</v>
      </c>
      <c r="AD15" s="2">
        <f t="shared" si="0"/>
        <v>1.3200000000000003</v>
      </c>
      <c r="AE15" s="148" t="e">
        <f t="shared" si="1"/>
        <v>#DIV/0!</v>
      </c>
    </row>
    <row r="16" spans="1:4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I16" s="213" t="s">
        <v>183</v>
      </c>
      <c r="W16" s="143">
        <v>42425</v>
      </c>
      <c r="X16" s="12" t="s">
        <v>246</v>
      </c>
      <c r="Y16" s="12"/>
      <c r="Z16" s="12"/>
      <c r="AA16" s="12"/>
      <c r="AB16" s="105"/>
      <c r="AC16" s="12"/>
      <c r="AD16" s="2">
        <f t="shared" si="0"/>
        <v>0</v>
      </c>
      <c r="AE16" s="148">
        <f t="shared" si="1"/>
        <v>-1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42424</v>
      </c>
      <c r="X17" s="12">
        <v>37.5</v>
      </c>
      <c r="Y17" s="12">
        <v>37.86</v>
      </c>
      <c r="Z17" s="12">
        <v>37.08</v>
      </c>
      <c r="AA17" s="12">
        <v>37.74</v>
      </c>
      <c r="AB17" s="105">
        <v>2755300</v>
      </c>
      <c r="AC17" s="12">
        <v>37.549999999999997</v>
      </c>
      <c r="AD17" s="2">
        <f t="shared" si="0"/>
        <v>0.78000000000000114</v>
      </c>
      <c r="AE17" s="148">
        <f t="shared" si="1"/>
        <v>-3.450106157112609E-3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42423</v>
      </c>
      <c r="X18" s="12">
        <v>37.82</v>
      </c>
      <c r="Y18" s="12">
        <v>38.1</v>
      </c>
      <c r="Z18" s="12">
        <v>37.520000000000003</v>
      </c>
      <c r="AA18" s="12">
        <v>37.869999999999997</v>
      </c>
      <c r="AB18" s="105">
        <v>3719900</v>
      </c>
      <c r="AC18" s="12">
        <v>37.68</v>
      </c>
      <c r="AD18" s="2">
        <f t="shared" si="0"/>
        <v>0.57999999999999829</v>
      </c>
      <c r="AE18" s="148">
        <f t="shared" si="1"/>
        <v>-6.3291139240506666E-3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42422</v>
      </c>
      <c r="X19" s="12">
        <v>37.97</v>
      </c>
      <c r="Y19" s="12">
        <v>38.799999999999997</v>
      </c>
      <c r="Z19" s="12">
        <v>37.89</v>
      </c>
      <c r="AA19" s="12">
        <v>38.11</v>
      </c>
      <c r="AB19" s="105">
        <v>3529700</v>
      </c>
      <c r="AC19" s="12">
        <v>37.92</v>
      </c>
      <c r="AD19" s="2">
        <f t="shared" si="0"/>
        <v>0.90999999999999659</v>
      </c>
      <c r="AE19" s="148">
        <f t="shared" si="1"/>
        <v>1.7440300509793394E-2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42419</v>
      </c>
      <c r="X20" s="12">
        <v>37.44</v>
      </c>
      <c r="Y20" s="12">
        <v>37.58</v>
      </c>
      <c r="Z20" s="12">
        <v>36.85</v>
      </c>
      <c r="AA20" s="12">
        <v>37.46</v>
      </c>
      <c r="AB20" s="105">
        <v>3507900</v>
      </c>
      <c r="AC20" s="12">
        <v>37.270000000000003</v>
      </c>
      <c r="AD20" s="2">
        <f t="shared" si="0"/>
        <v>0.72999999999999687</v>
      </c>
      <c r="AE20" s="148">
        <f t="shared" si="1"/>
        <v>-1.0720986330742255E-3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42418</v>
      </c>
      <c r="X21" s="12">
        <v>37.299999999999997</v>
      </c>
      <c r="Y21" s="12">
        <v>37.549999999999997</v>
      </c>
      <c r="Z21" s="12">
        <v>36.89</v>
      </c>
      <c r="AA21" s="12">
        <v>37.5</v>
      </c>
      <c r="AB21" s="105">
        <v>4634700</v>
      </c>
      <c r="AC21" s="12">
        <v>37.31</v>
      </c>
      <c r="AD21" s="2">
        <f t="shared" si="0"/>
        <v>0.65999999999999659</v>
      </c>
      <c r="AE21" s="148">
        <f t="shared" si="1"/>
        <v>1.879699248120259E-3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42417</v>
      </c>
      <c r="X22" s="12">
        <v>36.130000000000003</v>
      </c>
      <c r="Y22" s="12">
        <v>37.799999999999997</v>
      </c>
      <c r="Z22" s="12">
        <v>36.03</v>
      </c>
      <c r="AA22" s="12">
        <v>37.43</v>
      </c>
      <c r="AB22" s="105">
        <v>6600900</v>
      </c>
      <c r="AC22" s="12">
        <v>37.24</v>
      </c>
      <c r="AD22" s="2">
        <f t="shared" si="0"/>
        <v>1.769999999999996</v>
      </c>
      <c r="AE22" s="148">
        <f t="shared" si="1"/>
        <v>3.9642657733109932E-2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42416</v>
      </c>
      <c r="X23" s="12">
        <v>35.270000000000003</v>
      </c>
      <c r="Y23" s="12">
        <v>36.1</v>
      </c>
      <c r="Z23" s="12">
        <v>34.840000000000003</v>
      </c>
      <c r="AA23" s="12">
        <v>36</v>
      </c>
      <c r="AB23" s="105">
        <v>4754300</v>
      </c>
      <c r="AC23" s="12">
        <v>35.82</v>
      </c>
      <c r="AD23" s="2">
        <f t="shared" si="0"/>
        <v>1.259999999999998</v>
      </c>
      <c r="AE23" s="148">
        <f t="shared" si="1"/>
        <v>3.4960993932389606E-2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42412</v>
      </c>
      <c r="X24" s="12">
        <v>33.76</v>
      </c>
      <c r="Y24" s="12">
        <v>34.81</v>
      </c>
      <c r="Z24" s="12">
        <v>33.42</v>
      </c>
      <c r="AA24" s="12">
        <v>34.79</v>
      </c>
      <c r="AB24" s="105">
        <v>4006900</v>
      </c>
      <c r="AC24" s="12">
        <v>34.61</v>
      </c>
      <c r="AD24" s="2">
        <f t="shared" si="0"/>
        <v>1.3900000000000006</v>
      </c>
      <c r="AE24" s="148">
        <f t="shared" si="1"/>
        <v>3.0366180410836385E-2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42411</v>
      </c>
      <c r="X25" s="12">
        <v>34.020000000000003</v>
      </c>
      <c r="Y25" s="12">
        <v>34.520000000000003</v>
      </c>
      <c r="Z25" s="12">
        <v>33.26</v>
      </c>
      <c r="AA25" s="12">
        <v>33.76</v>
      </c>
      <c r="AB25" s="105">
        <v>4834700</v>
      </c>
      <c r="AC25" s="12">
        <v>33.590000000000003</v>
      </c>
      <c r="AD25" s="2">
        <f t="shared" si="0"/>
        <v>1.2600000000000051</v>
      </c>
      <c r="AE25" s="148">
        <f t="shared" si="1"/>
        <v>-3.1709426347650504E-2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42410</v>
      </c>
      <c r="X26" s="12">
        <v>34.549999999999997</v>
      </c>
      <c r="Y26" s="12">
        <v>35.24</v>
      </c>
      <c r="Z26" s="12">
        <v>34.299999999999997</v>
      </c>
      <c r="AA26" s="12">
        <v>34.869999999999997</v>
      </c>
      <c r="AB26" s="105">
        <v>3657400</v>
      </c>
      <c r="AC26" s="12">
        <v>34.69</v>
      </c>
      <c r="AD26" s="2">
        <f t="shared" si="0"/>
        <v>0.94000000000000483</v>
      </c>
      <c r="AE26" s="148">
        <f t="shared" si="1"/>
        <v>1.7302052785923561E-2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265</v>
      </c>
      <c r="W27" s="143">
        <v>42409</v>
      </c>
      <c r="X27" s="12">
        <v>33.92</v>
      </c>
      <c r="Y27" s="12">
        <v>34.700000000000003</v>
      </c>
      <c r="Z27" s="12">
        <v>33.43</v>
      </c>
      <c r="AA27" s="12">
        <v>34.270000000000003</v>
      </c>
      <c r="AB27" s="105">
        <v>8404600</v>
      </c>
      <c r="AC27" s="12">
        <v>34.1</v>
      </c>
      <c r="AD27" s="2">
        <f t="shared" si="0"/>
        <v>1.2700000000000031</v>
      </c>
      <c r="AE27" s="148">
        <f t="shared" si="1"/>
        <v>2.9334115576418185E-4</v>
      </c>
    </row>
    <row r="28" spans="2:31" x14ac:dyDescent="0.25">
      <c r="B28" s="12"/>
      <c r="C28" s="12"/>
      <c r="D28" s="43"/>
      <c r="E28" s="43"/>
      <c r="F28" s="43"/>
      <c r="G28" s="43"/>
      <c r="H28" s="261"/>
      <c r="I28" s="261"/>
      <c r="W28" s="143">
        <v>42408</v>
      </c>
      <c r="X28" s="12">
        <v>36.049999999999997</v>
      </c>
      <c r="Y28" s="12">
        <v>36.119999999999997</v>
      </c>
      <c r="Z28" s="12">
        <v>33.770000000000003</v>
      </c>
      <c r="AA28" s="12">
        <v>34.26</v>
      </c>
      <c r="AB28" s="105">
        <v>9930400</v>
      </c>
      <c r="AC28" s="12">
        <v>34.090000000000003</v>
      </c>
      <c r="AD28" s="2">
        <f t="shared" si="0"/>
        <v>2.3499999999999943</v>
      </c>
      <c r="AE28" s="148">
        <f t="shared" si="1"/>
        <v>-5.9586206896551586E-2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42405</v>
      </c>
      <c r="X29" s="12">
        <v>37.31</v>
      </c>
      <c r="Y29" s="12">
        <v>37.61</v>
      </c>
      <c r="Z29" s="12">
        <v>36.39</v>
      </c>
      <c r="AA29" s="12">
        <v>36.43</v>
      </c>
      <c r="AB29" s="105">
        <v>7357000</v>
      </c>
      <c r="AC29" s="12">
        <v>36.25</v>
      </c>
      <c r="AD29" s="2">
        <f t="shared" si="0"/>
        <v>1.2199999999999989</v>
      </c>
      <c r="AE29" s="148">
        <f t="shared" si="1"/>
        <v>-2.8931154567372053E-2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42404</v>
      </c>
      <c r="X30" s="12">
        <v>36.21</v>
      </c>
      <c r="Y30" s="12">
        <v>37.57</v>
      </c>
      <c r="Z30" s="12">
        <v>36.049999999999997</v>
      </c>
      <c r="AA30" s="12">
        <v>37.520000000000003</v>
      </c>
      <c r="AB30" s="105">
        <v>6034400</v>
      </c>
      <c r="AC30" s="12">
        <v>37.33</v>
      </c>
      <c r="AD30" s="2">
        <f t="shared" si="0"/>
        <v>1.5200000000000031</v>
      </c>
      <c r="AE30" s="148">
        <f t="shared" si="1"/>
        <v>3.5506241331484167E-2</v>
      </c>
    </row>
    <row r="31" spans="2:31" x14ac:dyDescent="0.25">
      <c r="W31" s="143">
        <v>42403</v>
      </c>
      <c r="X31" s="12">
        <v>37.65</v>
      </c>
      <c r="Y31" s="12">
        <v>37.71</v>
      </c>
      <c r="Z31" s="12">
        <v>35.47</v>
      </c>
      <c r="AA31" s="12">
        <v>36.229999999999997</v>
      </c>
      <c r="AB31" s="105">
        <v>6553900</v>
      </c>
      <c r="AC31" s="12">
        <v>36.049999999999997</v>
      </c>
      <c r="AD31" s="2">
        <f t="shared" si="0"/>
        <v>2.240000000000002</v>
      </c>
      <c r="AE31" s="148">
        <f t="shared" si="1"/>
        <v>-2.7253103076092966E-2</v>
      </c>
    </row>
    <row r="32" spans="2:31" x14ac:dyDescent="0.25">
      <c r="W32" s="143">
        <v>42402</v>
      </c>
      <c r="X32" s="12">
        <v>38.380000000000003</v>
      </c>
      <c r="Y32" s="12">
        <v>38.51</v>
      </c>
      <c r="Z32" s="12">
        <v>37.06</v>
      </c>
      <c r="AA32" s="12">
        <v>37.25</v>
      </c>
      <c r="AB32" s="105">
        <v>5731000</v>
      </c>
      <c r="AC32" s="12">
        <v>37.06</v>
      </c>
      <c r="AD32" s="2">
        <f t="shared" si="0"/>
        <v>1.4499999999999957</v>
      </c>
      <c r="AE32" s="148">
        <f t="shared" si="1"/>
        <v>-4.5091471270291117E-2</v>
      </c>
    </row>
    <row r="33" spans="15:31" x14ac:dyDescent="0.25">
      <c r="W33" s="143">
        <v>42401</v>
      </c>
      <c r="X33" s="12">
        <v>39.18</v>
      </c>
      <c r="Y33" s="12">
        <v>39.42</v>
      </c>
      <c r="Z33" s="12">
        <v>38.479999999999997</v>
      </c>
      <c r="AA33" s="12">
        <v>39.01</v>
      </c>
      <c r="AB33" s="105">
        <v>8183300</v>
      </c>
      <c r="AC33" s="12">
        <v>38.81</v>
      </c>
      <c r="AD33" s="2">
        <f t="shared" si="0"/>
        <v>0.94000000000000483</v>
      </c>
      <c r="AE33" s="148">
        <f t="shared" si="1"/>
        <v>5.9616381544842501E-3</v>
      </c>
    </row>
    <row r="34" spans="15:31" x14ac:dyDescent="0.25">
      <c r="W34" s="143">
        <v>42398</v>
      </c>
      <c r="X34" s="12">
        <v>37.24</v>
      </c>
      <c r="Y34" s="12">
        <v>38.840000000000003</v>
      </c>
      <c r="Z34" s="12">
        <v>37</v>
      </c>
      <c r="AA34" s="12">
        <v>38.78</v>
      </c>
      <c r="AB34" s="105">
        <v>9700900</v>
      </c>
      <c r="AC34" s="12">
        <v>38.58</v>
      </c>
      <c r="AD34" s="2">
        <f t="shared" si="0"/>
        <v>1.8400000000000034</v>
      </c>
      <c r="AE34" s="148">
        <f t="shared" si="1"/>
        <v>3.3762057877813501E-2</v>
      </c>
    </row>
    <row r="35" spans="15:31" x14ac:dyDescent="0.25">
      <c r="W35" s="143">
        <v>42397</v>
      </c>
      <c r="X35" s="12">
        <v>37.35</v>
      </c>
      <c r="Y35" s="12">
        <v>37.770000000000003</v>
      </c>
      <c r="Z35" s="12">
        <v>36.520000000000003</v>
      </c>
      <c r="AA35" s="12">
        <v>37.51</v>
      </c>
      <c r="AB35" s="105">
        <v>6026200</v>
      </c>
      <c r="AC35" s="12">
        <v>37.32</v>
      </c>
      <c r="AD35" s="2">
        <f t="shared" si="0"/>
        <v>1.25</v>
      </c>
      <c r="AE35" s="148">
        <f t="shared" si="1"/>
        <v>9.7402597402598268E-3</v>
      </c>
    </row>
    <row r="36" spans="15:31" x14ac:dyDescent="0.25">
      <c r="W36" s="143">
        <v>42396</v>
      </c>
      <c r="X36" s="12">
        <v>37.92</v>
      </c>
      <c r="Y36" s="12">
        <v>38.31</v>
      </c>
      <c r="Z36" s="12">
        <v>36.96</v>
      </c>
      <c r="AA36" s="12">
        <v>37.15</v>
      </c>
      <c r="AB36" s="105">
        <v>5122700</v>
      </c>
      <c r="AC36" s="12">
        <v>36.96</v>
      </c>
      <c r="AD36" s="2">
        <f t="shared" si="0"/>
        <v>1.3500000000000014</v>
      </c>
      <c r="AE36" s="148">
        <f t="shared" si="1"/>
        <v>-2.7112397999473625E-2</v>
      </c>
    </row>
    <row r="37" spans="15:31" x14ac:dyDescent="0.25">
      <c r="W37" s="143">
        <v>42395</v>
      </c>
      <c r="X37" s="12">
        <v>37.22</v>
      </c>
      <c r="Y37" s="12">
        <v>38.24</v>
      </c>
      <c r="Z37" s="12">
        <v>37.11</v>
      </c>
      <c r="AA37" s="12">
        <v>38.18</v>
      </c>
      <c r="AB37" s="105">
        <v>5461300</v>
      </c>
      <c r="AC37" s="12">
        <v>37.99</v>
      </c>
      <c r="AD37" s="2">
        <f t="shared" si="0"/>
        <v>1.1300000000000026</v>
      </c>
      <c r="AE37" s="148">
        <f t="shared" si="1"/>
        <v>2.8424472116946431E-2</v>
      </c>
    </row>
    <row r="38" spans="15:31" x14ac:dyDescent="0.25">
      <c r="W38" s="143">
        <v>42394</v>
      </c>
      <c r="X38" s="12">
        <v>36.799999999999997</v>
      </c>
      <c r="Y38" s="12">
        <v>37.479999999999997</v>
      </c>
      <c r="Z38" s="12">
        <v>36.67</v>
      </c>
      <c r="AA38" s="12">
        <v>37.130000000000003</v>
      </c>
      <c r="AB38" s="105">
        <v>5988300</v>
      </c>
      <c r="AC38" s="12">
        <v>36.94</v>
      </c>
      <c r="AD38" s="2">
        <f t="shared" si="0"/>
        <v>0.80999999999999517</v>
      </c>
      <c r="AE38" s="148">
        <f t="shared" si="1"/>
        <v>4.350190320826508E-3</v>
      </c>
    </row>
    <row r="39" spans="15:31" x14ac:dyDescent="0.25">
      <c r="W39" s="143">
        <v>42391</v>
      </c>
      <c r="X39" s="12">
        <v>37.39</v>
      </c>
      <c r="Y39" s="12">
        <v>37.799999999999997</v>
      </c>
      <c r="Z39" s="12">
        <v>36.590000000000003</v>
      </c>
      <c r="AA39" s="12">
        <v>36.97</v>
      </c>
      <c r="AB39" s="105">
        <v>3676100</v>
      </c>
      <c r="AC39" s="12">
        <v>36.78</v>
      </c>
      <c r="AD39" s="2">
        <f t="shared" si="0"/>
        <v>1.2099999999999937</v>
      </c>
      <c r="AE39" s="148">
        <f t="shared" si="1"/>
        <v>3.2733224222587509E-3</v>
      </c>
    </row>
    <row r="40" spans="15:31" x14ac:dyDescent="0.25">
      <c r="W40" s="143">
        <v>42390</v>
      </c>
      <c r="X40" s="12">
        <v>36.18</v>
      </c>
      <c r="Y40" s="12">
        <v>37.49</v>
      </c>
      <c r="Z40" s="12">
        <v>35.630000000000003</v>
      </c>
      <c r="AA40" s="12">
        <v>36.85</v>
      </c>
      <c r="AB40" s="105">
        <v>7980800</v>
      </c>
      <c r="AC40" s="12">
        <v>36.659999999999997</v>
      </c>
      <c r="AD40" s="2">
        <f t="shared" si="0"/>
        <v>1.8599999999999994</v>
      </c>
      <c r="AE40" s="148">
        <f t="shared" si="1"/>
        <v>2.145444413485631E-2</v>
      </c>
    </row>
    <row r="41" spans="15:31" x14ac:dyDescent="0.25">
      <c r="W41" s="143">
        <v>42389</v>
      </c>
      <c r="X41" s="12">
        <v>35.58</v>
      </c>
      <c r="Y41" s="12">
        <v>36.43</v>
      </c>
      <c r="Z41" s="12">
        <v>34.5</v>
      </c>
      <c r="AA41" s="12">
        <v>36.07</v>
      </c>
      <c r="AB41" s="105">
        <v>8847100</v>
      </c>
      <c r="AC41" s="12">
        <v>35.89</v>
      </c>
      <c r="AD41" s="2">
        <f t="shared" si="0"/>
        <v>1.9299999999999997</v>
      </c>
      <c r="AE41" s="148">
        <f t="shared" si="1"/>
        <v>-3.6091060521933338E-3</v>
      </c>
    </row>
    <row r="42" spans="15:31" x14ac:dyDescent="0.25">
      <c r="W42" s="143">
        <v>42388</v>
      </c>
      <c r="X42" s="12">
        <v>37.68</v>
      </c>
      <c r="Y42" s="12">
        <v>37.840000000000003</v>
      </c>
      <c r="Z42" s="12">
        <v>35.630000000000003</v>
      </c>
      <c r="AA42" s="12">
        <v>36.200000000000003</v>
      </c>
      <c r="AB42" s="105">
        <v>5970700</v>
      </c>
      <c r="AC42" s="12">
        <v>36.020000000000003</v>
      </c>
      <c r="AD42" s="2">
        <f t="shared" si="0"/>
        <v>2.2100000000000009</v>
      </c>
      <c r="AE42" s="148">
        <f t="shared" si="1"/>
        <v>-2.4905251759610003E-2</v>
      </c>
    </row>
    <row r="43" spans="15:31" x14ac:dyDescent="0.25">
      <c r="W43" s="143">
        <v>42384</v>
      </c>
      <c r="X43" s="12">
        <v>36.369999999999997</v>
      </c>
      <c r="Y43" s="12">
        <v>37.19</v>
      </c>
      <c r="Z43" s="12">
        <v>36.1</v>
      </c>
      <c r="AA43" s="12">
        <v>37.130000000000003</v>
      </c>
      <c r="AB43" s="105">
        <v>6538600</v>
      </c>
      <c r="AC43" s="12">
        <v>36.94</v>
      </c>
      <c r="AD43" s="2">
        <f t="shared" si="0"/>
        <v>1.0899999999999963</v>
      </c>
      <c r="AE43" s="148">
        <f t="shared" si="1"/>
        <v>-9.3858943416466056E-3</v>
      </c>
    </row>
    <row r="44" spans="15:31" x14ac:dyDescent="0.25">
      <c r="W44" s="143">
        <v>42383</v>
      </c>
      <c r="X44" s="12">
        <v>37.61</v>
      </c>
      <c r="Y44" s="12">
        <v>38.04</v>
      </c>
      <c r="Z44" s="12">
        <v>36.880000000000003</v>
      </c>
      <c r="AA44" s="12">
        <v>37.479999999999997</v>
      </c>
      <c r="AB44" s="105">
        <v>8768300</v>
      </c>
      <c r="AC44" s="12">
        <v>37.29</v>
      </c>
      <c r="AD44" s="2">
        <f t="shared" si="0"/>
        <v>1.1599999999999966</v>
      </c>
      <c r="AE44" s="148">
        <f t="shared" si="1"/>
        <v>-1.2969825304393945E-2</v>
      </c>
    </row>
    <row r="45" spans="15:31" x14ac:dyDescent="0.25">
      <c r="O45" s="37"/>
      <c r="R45" s="37"/>
      <c r="W45" s="143">
        <v>42382</v>
      </c>
      <c r="X45" s="12">
        <v>40.15</v>
      </c>
      <c r="Y45" s="12">
        <v>40.78</v>
      </c>
      <c r="Z45" s="12">
        <v>37.93</v>
      </c>
      <c r="AA45" s="12">
        <v>37.97</v>
      </c>
      <c r="AB45" s="105">
        <v>7430300</v>
      </c>
      <c r="AC45" s="12">
        <v>37.78</v>
      </c>
      <c r="AD45" s="2">
        <f t="shared" si="0"/>
        <v>2.8500000000000014</v>
      </c>
      <c r="AE45" s="148">
        <f t="shared" si="1"/>
        <v>-5.0037716872014082E-2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42381</v>
      </c>
      <c r="X46" s="12">
        <v>39.81</v>
      </c>
      <c r="Y46" s="12">
        <v>40.049999999999997</v>
      </c>
      <c r="Z46" s="12">
        <v>38.869999999999997</v>
      </c>
      <c r="AA46" s="12">
        <v>39.97</v>
      </c>
      <c r="AB46" s="105">
        <v>3923000</v>
      </c>
      <c r="AC46" s="12">
        <v>39.770000000000003</v>
      </c>
      <c r="AD46" s="2">
        <f t="shared" si="0"/>
        <v>1.1799999999999997</v>
      </c>
      <c r="AE46" s="148">
        <f t="shared" si="1"/>
        <v>1.5836526181353783E-2</v>
      </c>
    </row>
    <row r="47" spans="15:31" ht="15.75" thickTop="1" x14ac:dyDescent="0.25">
      <c r="O47" s="93">
        <v>1.1000000000000001</v>
      </c>
      <c r="P47" s="93">
        <f>O47*$Q$4</f>
        <v>46.375999999999998</v>
      </c>
      <c r="Q47" s="37"/>
      <c r="R47" s="37"/>
      <c r="T47" s="138" t="s">
        <v>101</v>
      </c>
      <c r="U47" s="108">
        <v>41.27</v>
      </c>
      <c r="W47" s="143">
        <v>42380</v>
      </c>
      <c r="X47" s="12">
        <v>39.409999999999997</v>
      </c>
      <c r="Y47" s="12">
        <v>39.74</v>
      </c>
      <c r="Z47" s="12">
        <v>38.43</v>
      </c>
      <c r="AA47" s="12">
        <v>39.35</v>
      </c>
      <c r="AB47" s="105">
        <v>5387200</v>
      </c>
      <c r="AC47" s="12">
        <v>39.15</v>
      </c>
      <c r="AD47" s="2">
        <f t="shared" si="0"/>
        <v>1.3100000000000023</v>
      </c>
      <c r="AE47" s="148">
        <f t="shared" si="1"/>
        <v>-7.6569678407356623E-4</v>
      </c>
    </row>
    <row r="48" spans="15:31" x14ac:dyDescent="0.25">
      <c r="O48" s="93">
        <v>1.0900000000000001</v>
      </c>
      <c r="P48" s="93">
        <f t="shared" ref="P48:P67" si="12">O48*$Q$4</f>
        <v>45.9544</v>
      </c>
      <c r="Q48" s="37"/>
      <c r="R48" s="37"/>
      <c r="T48" s="103" t="s">
        <v>102</v>
      </c>
      <c r="U48" s="98">
        <v>40.97</v>
      </c>
      <c r="W48" s="143">
        <v>42377</v>
      </c>
      <c r="X48" s="12">
        <v>40.79</v>
      </c>
      <c r="Y48" s="12">
        <v>40.79</v>
      </c>
      <c r="Z48" s="12">
        <v>39.28</v>
      </c>
      <c r="AA48" s="12">
        <v>39.380000000000003</v>
      </c>
      <c r="AB48" s="105">
        <v>5811000</v>
      </c>
      <c r="AC48" s="12">
        <v>39.18</v>
      </c>
      <c r="AD48" s="2">
        <f t="shared" si="0"/>
        <v>1.509999999999998</v>
      </c>
      <c r="AE48" s="148">
        <f t="shared" si="1"/>
        <v>-2.3673062546723189E-2</v>
      </c>
    </row>
    <row r="49" spans="15:31" x14ac:dyDescent="0.25">
      <c r="O49" s="93">
        <v>1.08</v>
      </c>
      <c r="P49" s="93">
        <f t="shared" si="12"/>
        <v>45.532800000000002</v>
      </c>
      <c r="Q49" s="37"/>
      <c r="R49" s="37"/>
      <c r="T49" s="103" t="s">
        <v>103</v>
      </c>
      <c r="U49" s="98" t="s">
        <v>327</v>
      </c>
      <c r="W49" s="143">
        <v>42376</v>
      </c>
      <c r="X49" s="12">
        <v>41.62</v>
      </c>
      <c r="Y49" s="12">
        <v>41.62</v>
      </c>
      <c r="Z49" s="12">
        <v>40.15</v>
      </c>
      <c r="AA49" s="12">
        <v>40.33</v>
      </c>
      <c r="AB49" s="105">
        <v>6087500</v>
      </c>
      <c r="AC49" s="12">
        <v>40.130000000000003</v>
      </c>
      <c r="AD49" s="2">
        <f t="shared" si="0"/>
        <v>1.4699999999999989</v>
      </c>
      <c r="AE49" s="148">
        <f t="shared" si="1"/>
        <v>-4.4751249702451701E-2</v>
      </c>
    </row>
    <row r="50" spans="15:31" x14ac:dyDescent="0.25">
      <c r="O50" s="93">
        <v>1.07</v>
      </c>
      <c r="P50" s="93">
        <f t="shared" si="12"/>
        <v>45.111199999999997</v>
      </c>
      <c r="Q50" s="93"/>
      <c r="R50" s="37"/>
      <c r="T50" s="103" t="s">
        <v>104</v>
      </c>
      <c r="U50" s="98" t="s">
        <v>328</v>
      </c>
      <c r="W50" s="143">
        <v>42375</v>
      </c>
      <c r="X50" s="12">
        <v>42.77</v>
      </c>
      <c r="Y50" s="12">
        <v>42.97</v>
      </c>
      <c r="Z50" s="12">
        <v>41.78</v>
      </c>
      <c r="AA50" s="12">
        <v>42.22</v>
      </c>
      <c r="AB50" s="105">
        <v>5857700</v>
      </c>
      <c r="AC50" s="12">
        <v>42.01</v>
      </c>
      <c r="AD50" s="2">
        <f t="shared" si="0"/>
        <v>1.1899999999999977</v>
      </c>
      <c r="AE50" s="148">
        <f t="shared" si="1"/>
        <v>-2.7546296296296457E-2</v>
      </c>
    </row>
    <row r="51" spans="15:31" x14ac:dyDescent="0.25">
      <c r="O51" s="93">
        <v>1.06</v>
      </c>
      <c r="P51" s="93">
        <f t="shared" si="12"/>
        <v>44.689599999999999</v>
      </c>
      <c r="Q51" s="93"/>
      <c r="R51" s="37"/>
      <c r="T51" s="103" t="s">
        <v>105</v>
      </c>
      <c r="U51" s="98">
        <v>48.33</v>
      </c>
      <c r="W51" s="143">
        <v>42374</v>
      </c>
      <c r="X51" s="12">
        <v>43.46</v>
      </c>
      <c r="Y51" s="12">
        <v>43.83</v>
      </c>
      <c r="Z51" s="12">
        <v>43.03</v>
      </c>
      <c r="AA51" s="12">
        <v>43.42</v>
      </c>
      <c r="AB51" s="105">
        <v>3693100</v>
      </c>
      <c r="AC51" s="12">
        <v>43.2</v>
      </c>
      <c r="AD51" s="2">
        <f t="shared" si="0"/>
        <v>0.79999999999999716</v>
      </c>
      <c r="AE51" s="148">
        <f t="shared" si="1"/>
        <v>-4.6274872744089812E-4</v>
      </c>
    </row>
    <row r="52" spans="15:31" x14ac:dyDescent="0.25">
      <c r="O52" s="93">
        <v>1.05</v>
      </c>
      <c r="P52" s="93">
        <f t="shared" si="12"/>
        <v>44.268000000000001</v>
      </c>
      <c r="Q52" s="93"/>
      <c r="R52" s="37"/>
      <c r="T52" s="103" t="s">
        <v>106</v>
      </c>
      <c r="U52" s="98">
        <v>1.1141700000000001</v>
      </c>
      <c r="W52" s="143">
        <v>42373</v>
      </c>
      <c r="X52" s="12">
        <v>43.31</v>
      </c>
      <c r="Y52" s="12">
        <v>43.57</v>
      </c>
      <c r="Z52" s="12">
        <v>42.47</v>
      </c>
      <c r="AA52" s="12">
        <v>43.44</v>
      </c>
      <c r="AB52" s="105">
        <v>5525900</v>
      </c>
      <c r="AC52" s="12">
        <v>43.22</v>
      </c>
      <c r="AD52" s="2">
        <f t="shared" si="0"/>
        <v>1.1000000000000014</v>
      </c>
      <c r="AE52" s="148">
        <f t="shared" si="1"/>
        <v>-1.459188326493388E-2</v>
      </c>
    </row>
    <row r="53" spans="15:31" x14ac:dyDescent="0.25">
      <c r="O53" s="93">
        <v>1.04</v>
      </c>
      <c r="P53" s="93">
        <f t="shared" si="12"/>
        <v>43.846399999999996</v>
      </c>
      <c r="Q53" s="93"/>
      <c r="R53" s="37"/>
      <c r="T53" s="103" t="s">
        <v>126</v>
      </c>
      <c r="U53" s="98" t="s">
        <v>241</v>
      </c>
      <c r="W53" s="143">
        <v>42369</v>
      </c>
      <c r="X53" s="12">
        <v>43.63</v>
      </c>
      <c r="Y53" s="12">
        <v>44.63</v>
      </c>
      <c r="Z53" s="12">
        <v>43.42</v>
      </c>
      <c r="AA53" s="12">
        <v>44.08</v>
      </c>
      <c r="AB53" s="105">
        <v>2155000</v>
      </c>
      <c r="AC53" s="12">
        <v>43.86</v>
      </c>
      <c r="AD53" s="2">
        <f t="shared" si="0"/>
        <v>1.2100000000000009</v>
      </c>
      <c r="AE53" s="148">
        <f t="shared" si="1"/>
        <v>7.5809786354237296E-3</v>
      </c>
    </row>
    <row r="54" spans="15:31" x14ac:dyDescent="0.25">
      <c r="O54" s="93">
        <v>1.03</v>
      </c>
      <c r="P54" s="93">
        <f t="shared" si="12"/>
        <v>43.424799999999998</v>
      </c>
      <c r="Q54" s="93"/>
      <c r="R54" s="37"/>
      <c r="T54" s="103"/>
      <c r="U54" s="98"/>
      <c r="W54" s="143">
        <v>42368</v>
      </c>
      <c r="X54" s="12">
        <v>44.29</v>
      </c>
      <c r="Y54" s="12">
        <v>44.29</v>
      </c>
      <c r="Z54" s="12">
        <v>43.74</v>
      </c>
      <c r="AA54" s="12">
        <v>43.75</v>
      </c>
      <c r="AB54" s="105">
        <v>1795900</v>
      </c>
      <c r="AC54" s="12">
        <v>43.53</v>
      </c>
      <c r="AD54" s="2">
        <f t="shared" si="0"/>
        <v>0.54999999999999716</v>
      </c>
      <c r="AE54" s="148">
        <f t="shared" si="1"/>
        <v>-1.113130395274875E-2</v>
      </c>
    </row>
    <row r="55" spans="15:31" x14ac:dyDescent="0.25">
      <c r="O55" s="93">
        <v>1.02</v>
      </c>
      <c r="P55" s="93">
        <f t="shared" si="12"/>
        <v>43.0032</v>
      </c>
      <c r="Q55" s="93"/>
      <c r="R55" s="37"/>
      <c r="T55" s="103" t="s">
        <v>108</v>
      </c>
      <c r="U55" s="98" t="s">
        <v>329</v>
      </c>
      <c r="W55" s="143">
        <v>42367</v>
      </c>
      <c r="X55" s="12">
        <v>44.58</v>
      </c>
      <c r="Y55" s="12">
        <v>44.76</v>
      </c>
      <c r="Z55" s="12">
        <v>43.91</v>
      </c>
      <c r="AA55" s="12">
        <v>44.24</v>
      </c>
      <c r="AB55" s="105">
        <v>3038300</v>
      </c>
      <c r="AC55" s="12">
        <v>44.02</v>
      </c>
      <c r="AD55" s="2">
        <f t="shared" si="0"/>
        <v>0.85000000000000142</v>
      </c>
      <c r="AE55" s="148">
        <f t="shared" si="1"/>
        <v>-2.9445073612682782E-3</v>
      </c>
    </row>
    <row r="56" spans="15:31" x14ac:dyDescent="0.25">
      <c r="O56" s="93">
        <v>1.01</v>
      </c>
      <c r="P56" s="93">
        <f t="shared" si="12"/>
        <v>42.581599999999995</v>
      </c>
      <c r="Q56" s="93"/>
      <c r="R56" s="37"/>
      <c r="T56" s="103" t="s">
        <v>109</v>
      </c>
      <c r="U56" s="98" t="s">
        <v>247</v>
      </c>
      <c r="W56" s="143">
        <v>42366</v>
      </c>
      <c r="X56" s="12">
        <v>43.61</v>
      </c>
      <c r="Y56" s="12">
        <v>44.4</v>
      </c>
      <c r="Z56" s="12">
        <v>43.17</v>
      </c>
      <c r="AA56" s="12">
        <v>44.37</v>
      </c>
      <c r="AB56" s="105">
        <v>2934600</v>
      </c>
      <c r="AC56" s="12">
        <v>44.15</v>
      </c>
      <c r="AD56" s="2">
        <f t="shared" si="0"/>
        <v>1.2299999999999969</v>
      </c>
      <c r="AE56" s="148">
        <f t="shared" si="1"/>
        <v>1.7515556579857039E-2</v>
      </c>
    </row>
    <row r="57" spans="15:31" x14ac:dyDescent="0.25">
      <c r="O57" s="93">
        <v>1</v>
      </c>
      <c r="P57" s="93">
        <f t="shared" si="12"/>
        <v>42.16</v>
      </c>
      <c r="Q57" s="93"/>
      <c r="R57" s="37"/>
      <c r="T57" s="103" t="s">
        <v>110</v>
      </c>
      <c r="U57" s="100">
        <v>3050822</v>
      </c>
      <c r="W57" s="143">
        <v>42362</v>
      </c>
      <c r="X57" s="12">
        <v>44.15</v>
      </c>
      <c r="Y57" s="12">
        <v>44.31</v>
      </c>
      <c r="Z57" s="12">
        <v>43.53</v>
      </c>
      <c r="AA57" s="12">
        <v>43.61</v>
      </c>
      <c r="AB57" s="105">
        <v>1184500</v>
      </c>
      <c r="AC57" s="12">
        <v>43.39</v>
      </c>
      <c r="AD57" s="2">
        <f t="shared" si="0"/>
        <v>0.78000000000000114</v>
      </c>
      <c r="AE57" s="148">
        <f t="shared" si="1"/>
        <v>-1.4982973893302942E-2</v>
      </c>
    </row>
    <row r="58" spans="15:31" x14ac:dyDescent="0.25">
      <c r="O58" s="93">
        <v>0.99</v>
      </c>
      <c r="P58" s="93">
        <f t="shared" si="12"/>
        <v>41.738399999999999</v>
      </c>
      <c r="Q58" s="93"/>
      <c r="R58" s="37"/>
      <c r="T58" s="103" t="s">
        <v>113</v>
      </c>
      <c r="U58" s="100">
        <v>5393230</v>
      </c>
      <c r="W58" s="143">
        <v>42361</v>
      </c>
      <c r="X58" s="12">
        <v>44.67</v>
      </c>
      <c r="Y58" s="12">
        <v>44.76</v>
      </c>
      <c r="Z58" s="12">
        <v>43.68</v>
      </c>
      <c r="AA58" s="12">
        <v>44.27</v>
      </c>
      <c r="AB58" s="105">
        <v>4498100</v>
      </c>
      <c r="AC58" s="12">
        <v>44.05</v>
      </c>
      <c r="AD58" s="2">
        <f t="shared" si="0"/>
        <v>1.0799999999999983</v>
      </c>
      <c r="AE58" s="148">
        <f t="shared" si="1"/>
        <v>-3.6190907034608921E-3</v>
      </c>
    </row>
    <row r="59" spans="15:31" x14ac:dyDescent="0.25">
      <c r="O59" s="93">
        <v>0.98</v>
      </c>
      <c r="P59" s="93">
        <f t="shared" si="12"/>
        <v>41.316799999999994</v>
      </c>
      <c r="Q59" s="93"/>
      <c r="T59" s="103" t="s">
        <v>111</v>
      </c>
      <c r="U59" s="98" t="s">
        <v>330</v>
      </c>
      <c r="W59" s="143">
        <v>42360</v>
      </c>
      <c r="X59" s="12">
        <v>44.83</v>
      </c>
      <c r="Y59" s="12">
        <v>44.94</v>
      </c>
      <c r="Z59" s="12">
        <v>43.47</v>
      </c>
      <c r="AA59" s="12">
        <v>44.43</v>
      </c>
      <c r="AB59" s="105">
        <v>4641200</v>
      </c>
      <c r="AC59" s="12">
        <v>44.21</v>
      </c>
      <c r="AD59" s="2">
        <f t="shared" si="0"/>
        <v>1.4699999999999989</v>
      </c>
      <c r="AE59" s="148">
        <f t="shared" si="1"/>
        <v>-8.0771819609603002E-3</v>
      </c>
    </row>
    <row r="60" spans="15:31" x14ac:dyDescent="0.25">
      <c r="O60" s="93">
        <v>0.97</v>
      </c>
      <c r="P60" s="93">
        <f t="shared" si="12"/>
        <v>40.895199999999996</v>
      </c>
      <c r="Q60" s="93"/>
      <c r="T60" s="103" t="s">
        <v>114</v>
      </c>
      <c r="U60" s="98">
        <v>31.97</v>
      </c>
      <c r="W60" s="143">
        <v>42359</v>
      </c>
      <c r="X60" s="12">
        <v>44.94</v>
      </c>
      <c r="Y60" s="12">
        <v>45.09</v>
      </c>
      <c r="Z60" s="12">
        <v>44.43</v>
      </c>
      <c r="AA60" s="12">
        <v>44.8</v>
      </c>
      <c r="AB60" s="105">
        <v>2704700</v>
      </c>
      <c r="AC60" s="12">
        <v>44.57</v>
      </c>
      <c r="AD60" s="2">
        <f t="shared" si="0"/>
        <v>0.66000000000000369</v>
      </c>
      <c r="AE60" s="148">
        <f t="shared" si="1"/>
        <v>2.023381294964155E-3</v>
      </c>
    </row>
    <row r="61" spans="15:31" x14ac:dyDescent="0.25">
      <c r="O61" s="93">
        <v>0.96</v>
      </c>
      <c r="P61" s="93">
        <f t="shared" si="12"/>
        <v>40.473599999999998</v>
      </c>
      <c r="Q61" s="93"/>
      <c r="T61" s="103" t="s">
        <v>115</v>
      </c>
      <c r="U61" s="98">
        <v>1.29</v>
      </c>
      <c r="W61" s="143">
        <v>42356</v>
      </c>
      <c r="X61" s="12">
        <v>44.57</v>
      </c>
      <c r="Y61" s="12">
        <v>45.03</v>
      </c>
      <c r="Z61" s="12">
        <v>44.11</v>
      </c>
      <c r="AA61" s="12">
        <v>44.71</v>
      </c>
      <c r="AB61" s="105">
        <v>5537000</v>
      </c>
      <c r="AC61" s="12">
        <v>44.48</v>
      </c>
      <c r="AD61" s="2">
        <f t="shared" si="0"/>
        <v>0.92000000000000171</v>
      </c>
      <c r="AE61" s="148">
        <f t="shared" si="1"/>
        <v>-2.4669208342679161E-3</v>
      </c>
    </row>
    <row r="62" spans="15:31" x14ac:dyDescent="0.25">
      <c r="O62" s="93">
        <v>0.95</v>
      </c>
      <c r="P62" s="93">
        <f t="shared" si="12"/>
        <v>40.051999999999992</v>
      </c>
      <c r="Q62" s="93"/>
      <c r="T62" s="103" t="s">
        <v>112</v>
      </c>
      <c r="U62" s="98" t="s">
        <v>331</v>
      </c>
      <c r="W62" s="143">
        <v>42355</v>
      </c>
      <c r="X62" s="12">
        <v>45.33</v>
      </c>
      <c r="Y62" s="12">
        <v>45.43</v>
      </c>
      <c r="Z62" s="12">
        <v>44.04</v>
      </c>
      <c r="AA62" s="12">
        <v>44.82</v>
      </c>
      <c r="AB62" s="105">
        <v>6693900</v>
      </c>
      <c r="AC62" s="12">
        <v>44.59</v>
      </c>
      <c r="AD62" s="2">
        <f t="shared" si="0"/>
        <v>1.3900000000000006</v>
      </c>
      <c r="AE62" s="148">
        <f t="shared" si="1"/>
        <v>-8.008898776418194E-3</v>
      </c>
    </row>
    <row r="63" spans="15:31" x14ac:dyDescent="0.25">
      <c r="O63" s="93">
        <v>0.94</v>
      </c>
      <c r="P63" s="93">
        <f t="shared" si="12"/>
        <v>39.630399999999995</v>
      </c>
      <c r="Q63" s="93"/>
      <c r="W63" s="143">
        <v>42354</v>
      </c>
      <c r="X63" s="12">
        <v>44.98</v>
      </c>
      <c r="Y63" s="12">
        <v>45.87</v>
      </c>
      <c r="Z63" s="12">
        <v>43.91</v>
      </c>
      <c r="AA63" s="12">
        <v>45.18</v>
      </c>
      <c r="AB63" s="105">
        <v>10678200</v>
      </c>
      <c r="AC63" s="12">
        <v>44.95</v>
      </c>
      <c r="AD63" s="2">
        <f t="shared" si="0"/>
        <v>1.9600000000000009</v>
      </c>
      <c r="AE63" s="148">
        <f t="shared" si="1"/>
        <v>2.3684809838305787E-2</v>
      </c>
    </row>
    <row r="64" spans="15:31" x14ac:dyDescent="0.25">
      <c r="O64" s="93">
        <v>0.93</v>
      </c>
      <c r="P64" s="93">
        <f t="shared" si="12"/>
        <v>39.208799999999997</v>
      </c>
      <c r="Q64" s="93"/>
      <c r="W64" s="143">
        <v>42353</v>
      </c>
      <c r="X64" s="12">
        <v>42.61</v>
      </c>
      <c r="Y64" s="12">
        <v>44.48</v>
      </c>
      <c r="Z64" s="12">
        <v>42.4</v>
      </c>
      <c r="AA64" s="12">
        <v>44.13</v>
      </c>
      <c r="AB64" s="105">
        <v>20298600</v>
      </c>
      <c r="AC64" s="12">
        <v>43.91</v>
      </c>
      <c r="AD64" s="2">
        <f t="shared" si="0"/>
        <v>2.0799999999999983</v>
      </c>
      <c r="AE64" s="148">
        <f t="shared" si="1"/>
        <v>4.6971864568431165E-2</v>
      </c>
    </row>
    <row r="65" spans="15:31" x14ac:dyDescent="0.25">
      <c r="O65" s="93">
        <v>0.92</v>
      </c>
      <c r="P65" s="93">
        <f t="shared" si="12"/>
        <v>38.787199999999999</v>
      </c>
      <c r="Q65" s="93"/>
      <c r="W65" s="143">
        <v>42352</v>
      </c>
      <c r="X65" s="12">
        <v>41.63</v>
      </c>
      <c r="Y65" s="12">
        <v>43.55</v>
      </c>
      <c r="Z65" s="12">
        <v>40.119999999999997</v>
      </c>
      <c r="AA65" s="12">
        <v>42.15</v>
      </c>
      <c r="AB65" s="105">
        <v>24933300</v>
      </c>
      <c r="AC65" s="12">
        <v>41.94</v>
      </c>
      <c r="AD65" s="2">
        <f t="shared" si="0"/>
        <v>3.4299999999999997</v>
      </c>
      <c r="AE65" s="148">
        <f t="shared" si="1"/>
        <v>-6.9034406215316313E-2</v>
      </c>
    </row>
    <row r="66" spans="15:31" x14ac:dyDescent="0.25">
      <c r="O66" s="93">
        <v>0.91</v>
      </c>
      <c r="P66" s="93">
        <f t="shared" si="12"/>
        <v>38.365600000000001</v>
      </c>
      <c r="Q66" s="93"/>
      <c r="W66" s="143">
        <v>42349</v>
      </c>
      <c r="X66" s="12">
        <v>46.69</v>
      </c>
      <c r="Y66" s="12">
        <v>46.69</v>
      </c>
      <c r="Z66" s="12">
        <v>45.08</v>
      </c>
      <c r="AA66" s="12">
        <v>45.28</v>
      </c>
      <c r="AB66" s="105">
        <v>2253700</v>
      </c>
      <c r="AC66" s="12">
        <v>45.05</v>
      </c>
      <c r="AD66" s="2">
        <f t="shared" si="0"/>
        <v>1.6099999999999994</v>
      </c>
      <c r="AE66" s="148">
        <f t="shared" si="1"/>
        <v>-4.1081311196253689E-2</v>
      </c>
    </row>
    <row r="67" spans="15:31" x14ac:dyDescent="0.25">
      <c r="O67" s="93">
        <v>0.9</v>
      </c>
      <c r="P67" s="93">
        <f t="shared" si="12"/>
        <v>37.943999999999996</v>
      </c>
      <c r="Q67" s="93"/>
      <c r="W67" s="143">
        <v>42348</v>
      </c>
      <c r="X67" s="12">
        <v>46.58</v>
      </c>
      <c r="Y67" s="12">
        <v>48.18</v>
      </c>
      <c r="Z67" s="12">
        <v>46.48</v>
      </c>
      <c r="AA67" s="12">
        <v>47.22</v>
      </c>
      <c r="AB67" s="105">
        <v>4560800</v>
      </c>
      <c r="AC67" s="12">
        <v>46.98</v>
      </c>
      <c r="AD67" s="2">
        <f t="shared" ref="AD67:AD68" si="13">Y67-Z67</f>
        <v>1.7000000000000028</v>
      </c>
      <c r="AE67" s="148">
        <f t="shared" ref="AE67" si="14">AC67/AC68-1</f>
        <v>1.4906027219701912E-2</v>
      </c>
    </row>
    <row r="68" spans="15:31" x14ac:dyDescent="0.25">
      <c r="O68" s="37"/>
      <c r="W68" s="143">
        <v>42347</v>
      </c>
      <c r="X68" s="12">
        <v>46.57</v>
      </c>
      <c r="Y68" s="12">
        <v>47.54</v>
      </c>
      <c r="Z68" s="12">
        <v>45.8</v>
      </c>
      <c r="AA68" s="12">
        <v>46.52</v>
      </c>
      <c r="AB68" s="105">
        <v>4709000</v>
      </c>
      <c r="AC68" s="12">
        <v>46.29</v>
      </c>
      <c r="AD68" s="2">
        <f t="shared" si="13"/>
        <v>1.740000000000002</v>
      </c>
      <c r="AE68" s="148" t="e">
        <f>AC68/AC69-1</f>
        <v>#DIV/0!</v>
      </c>
    </row>
    <row r="69" spans="15:31" x14ac:dyDescent="0.25">
      <c r="O69" s="37"/>
      <c r="W69" s="328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87" priority="27">
      <formula>F21&gt;0</formula>
    </cfRule>
    <cfRule type="expression" dxfId="186" priority="28">
      <formula>F21&lt;0</formula>
    </cfRule>
  </conditionalFormatting>
  <conditionalFormatting sqref="H21:H23">
    <cfRule type="expression" dxfId="185" priority="25">
      <formula>H21&gt;0</formula>
    </cfRule>
    <cfRule type="expression" dxfId="184" priority="26">
      <formula>H21&lt;0</formula>
    </cfRule>
  </conditionalFormatting>
  <conditionalFormatting sqref="H24">
    <cfRule type="expression" dxfId="183" priority="23">
      <formula>H24&gt;0</formula>
    </cfRule>
    <cfRule type="expression" dxfId="182" priority="24">
      <formula>H24&lt;0</formula>
    </cfRule>
  </conditionalFormatting>
  <conditionalFormatting sqref="H25">
    <cfRule type="expression" dxfId="181" priority="21">
      <formula>H25&gt;0</formula>
    </cfRule>
    <cfRule type="expression" dxfId="180" priority="22">
      <formula>H25&lt;0</formula>
    </cfRule>
  </conditionalFormatting>
  <conditionalFormatting sqref="H26:H30">
    <cfRule type="expression" dxfId="179" priority="19">
      <formula>H26&gt;0</formula>
    </cfRule>
    <cfRule type="expression" dxfId="178" priority="20">
      <formula>H26&lt;0</formula>
    </cfRule>
  </conditionalFormatting>
  <conditionalFormatting sqref="F17:F20">
    <cfRule type="expression" dxfId="177" priority="17">
      <formula>F17&gt;0</formula>
    </cfRule>
    <cfRule type="expression" dxfId="176" priority="18">
      <formula>F17&lt;0</formula>
    </cfRule>
  </conditionalFormatting>
  <conditionalFormatting sqref="H17:H20">
    <cfRule type="expression" dxfId="175" priority="15">
      <formula>H17&gt;0</formula>
    </cfRule>
    <cfRule type="expression" dxfId="174" priority="16">
      <formula>H17&lt;0</formula>
    </cfRule>
  </conditionalFormatting>
  <conditionalFormatting sqref="Q7">
    <cfRule type="expression" dxfId="173" priority="13">
      <formula>Q7&gt;0</formula>
    </cfRule>
    <cfRule type="expression" dxfId="172" priority="14">
      <formula>Q7&lt;0</formula>
    </cfRule>
  </conditionalFormatting>
  <conditionalFormatting sqref="F26:F27">
    <cfRule type="expression" dxfId="171" priority="11">
      <formula>F26&gt;0</formula>
    </cfRule>
    <cfRule type="expression" dxfId="170" priority="12">
      <formula>F26&lt;0</formula>
    </cfRule>
  </conditionalFormatting>
  <conditionalFormatting sqref="I21:I23">
    <cfRule type="expression" dxfId="169" priority="9">
      <formula>I21&gt;0</formula>
    </cfRule>
    <cfRule type="expression" dxfId="168" priority="10">
      <formula>I21&lt;0</formula>
    </cfRule>
  </conditionalFormatting>
  <conditionalFormatting sqref="I24">
    <cfRule type="expression" dxfId="167" priority="7">
      <formula>I24&gt;0</formula>
    </cfRule>
    <cfRule type="expression" dxfId="166" priority="8">
      <formula>I24&lt;0</formula>
    </cfRule>
  </conditionalFormatting>
  <conditionalFormatting sqref="I25">
    <cfRule type="expression" dxfId="165" priority="5">
      <formula>I25&gt;0</formula>
    </cfRule>
    <cfRule type="expression" dxfId="164" priority="6">
      <formula>I25&lt;0</formula>
    </cfRule>
  </conditionalFormatting>
  <conditionalFormatting sqref="I26:I30">
    <cfRule type="expression" dxfId="163" priority="3">
      <formula>I26&gt;0</formula>
    </cfRule>
    <cfRule type="expression" dxfId="162" priority="4">
      <formula>I26&lt;0</formula>
    </cfRule>
  </conditionalFormatting>
  <conditionalFormatting sqref="I17:I20">
    <cfRule type="expression" dxfId="161" priority="1">
      <formula>I17&gt;0</formula>
    </cfRule>
    <cfRule type="expression" dxfId="160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42444</v>
      </c>
      <c r="X2" s="12">
        <v>58.23</v>
      </c>
      <c r="Y2" s="12">
        <v>58.46</v>
      </c>
      <c r="Z2" s="12">
        <v>56.66</v>
      </c>
      <c r="AA2" s="12">
        <v>57.29</v>
      </c>
      <c r="AB2" s="105">
        <v>2411300</v>
      </c>
      <c r="AC2" s="12">
        <v>57.29</v>
      </c>
      <c r="AD2" s="2">
        <f>Y2-Z2</f>
        <v>1.8000000000000043</v>
      </c>
      <c r="AE2" s="148">
        <f>AC2/AC3-1</f>
        <v>-2.1352921079603737E-2</v>
      </c>
      <c r="AP2" t="s">
        <v>189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56.06</v>
      </c>
      <c r="T3" s="1">
        <v>42312</v>
      </c>
      <c r="U3" t="s">
        <v>172</v>
      </c>
      <c r="W3" s="143">
        <v>42443</v>
      </c>
      <c r="X3" s="12">
        <v>58.52</v>
      </c>
      <c r="Y3" s="12">
        <v>59.49</v>
      </c>
      <c r="Z3" s="12">
        <v>58.47</v>
      </c>
      <c r="AA3" s="12">
        <v>58.54</v>
      </c>
      <c r="AB3" s="105">
        <v>2516900</v>
      </c>
      <c r="AC3" s="12">
        <v>58.54</v>
      </c>
      <c r="AD3" s="2">
        <f t="shared" ref="AD3:AD66" si="1">Y3-Z3</f>
        <v>1.0200000000000031</v>
      </c>
      <c r="AE3" s="148">
        <f t="shared" ref="AE3:AE66" si="2">AC3/AC4-1</f>
        <v>6.8376068376063692E-4</v>
      </c>
      <c r="AI3" t="s">
        <v>191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56.06</v>
      </c>
      <c r="W4" s="143">
        <v>42440</v>
      </c>
      <c r="X4" s="12">
        <v>58.01</v>
      </c>
      <c r="Y4" s="12">
        <v>58.6</v>
      </c>
      <c r="Z4" s="12">
        <v>57.66</v>
      </c>
      <c r="AA4" s="12">
        <v>58.5</v>
      </c>
      <c r="AB4" s="105">
        <v>2286200</v>
      </c>
      <c r="AC4" s="12">
        <v>58.5</v>
      </c>
      <c r="AD4" s="2">
        <f t="shared" si="1"/>
        <v>0.94000000000000483</v>
      </c>
      <c r="AE4" s="148">
        <f t="shared" si="2"/>
        <v>1.9696705595258823E-2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42439</v>
      </c>
      <c r="X5" s="12">
        <v>58.19</v>
      </c>
      <c r="Y5" s="12">
        <v>58.32</v>
      </c>
      <c r="Z5" s="12">
        <v>56.53</v>
      </c>
      <c r="AA5" s="12">
        <v>57.37</v>
      </c>
      <c r="AB5" s="105">
        <v>3203900</v>
      </c>
      <c r="AC5" s="12">
        <v>57.37</v>
      </c>
      <c r="AD5" s="2">
        <f t="shared" si="1"/>
        <v>1.7899999999999991</v>
      </c>
      <c r="AE5" s="148">
        <f t="shared" si="2"/>
        <v>-1.3243894048847626E-2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42438</v>
      </c>
      <c r="X6" s="12">
        <v>57.27</v>
      </c>
      <c r="Y6" s="12">
        <v>58.5</v>
      </c>
      <c r="Z6" s="12">
        <v>56.73</v>
      </c>
      <c r="AA6" s="12">
        <v>58.14</v>
      </c>
      <c r="AB6" s="105">
        <v>2958000</v>
      </c>
      <c r="AC6" s="12">
        <v>58.14</v>
      </c>
      <c r="AD6" s="2">
        <f t="shared" si="1"/>
        <v>1.7700000000000031</v>
      </c>
      <c r="AE6" s="148">
        <f t="shared" si="2"/>
        <v>2.4493392070484621E-2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42437</v>
      </c>
      <c r="X7" s="12">
        <v>57.08</v>
      </c>
      <c r="Y7" s="12">
        <v>57.61</v>
      </c>
      <c r="Z7" s="12">
        <v>56.34</v>
      </c>
      <c r="AA7" s="12">
        <v>56.75</v>
      </c>
      <c r="AB7" s="105">
        <v>2278300</v>
      </c>
      <c r="AC7" s="12">
        <v>56.75</v>
      </c>
      <c r="AD7" s="2">
        <f t="shared" si="1"/>
        <v>1.269999999999996</v>
      </c>
      <c r="AE7" s="148">
        <f t="shared" si="2"/>
        <v>-1.184050148006266E-2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42436</v>
      </c>
      <c r="X8" s="12">
        <v>57.14</v>
      </c>
      <c r="Y8" s="12">
        <v>57.7</v>
      </c>
      <c r="Z8" s="12">
        <v>56.77</v>
      </c>
      <c r="AA8" s="12">
        <v>57.43</v>
      </c>
      <c r="AB8" s="105">
        <v>2010100</v>
      </c>
      <c r="AC8" s="12">
        <v>57.43</v>
      </c>
      <c r="AD8" s="2">
        <f t="shared" si="1"/>
        <v>0.92999999999999972</v>
      </c>
      <c r="AE8" s="148">
        <f t="shared" si="2"/>
        <v>4.7235829251224271E-3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42433</v>
      </c>
      <c r="X9" s="12">
        <v>57.52</v>
      </c>
      <c r="Y9" s="12">
        <v>57.86</v>
      </c>
      <c r="Z9" s="12">
        <v>56.87</v>
      </c>
      <c r="AA9" s="12">
        <v>57.16</v>
      </c>
      <c r="AB9" s="105">
        <v>2317700</v>
      </c>
      <c r="AC9" s="12">
        <v>57.16</v>
      </c>
      <c r="AD9" s="2">
        <f t="shared" si="1"/>
        <v>0.99000000000000199</v>
      </c>
      <c r="AE9" s="148">
        <f t="shared" si="2"/>
        <v>-5.2456723203364586E-4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42432</v>
      </c>
      <c r="X10" s="12">
        <v>57.75</v>
      </c>
      <c r="Y10" s="12">
        <v>57.76</v>
      </c>
      <c r="Z10" s="12">
        <v>56.71</v>
      </c>
      <c r="AA10" s="12">
        <v>57.19</v>
      </c>
      <c r="AB10" s="105">
        <v>3155500</v>
      </c>
      <c r="AC10" s="12">
        <v>57.19</v>
      </c>
      <c r="AD10" s="2">
        <f t="shared" si="1"/>
        <v>1.0499999999999972</v>
      </c>
      <c r="AE10" s="148">
        <f t="shared" si="2"/>
        <v>-1.1237897648686102E-2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42431</v>
      </c>
      <c r="X11" s="12">
        <v>57.35</v>
      </c>
      <c r="Y11" s="12">
        <v>57.87</v>
      </c>
      <c r="Z11" s="12">
        <v>56.62</v>
      </c>
      <c r="AA11" s="12">
        <v>57.84</v>
      </c>
      <c r="AB11" s="105">
        <v>2704800</v>
      </c>
      <c r="AC11" s="12">
        <v>57.84</v>
      </c>
      <c r="AD11" s="2">
        <f t="shared" si="1"/>
        <v>1.25</v>
      </c>
      <c r="AE11" s="148">
        <f t="shared" si="2"/>
        <v>9.6002792808518311E-3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42430</v>
      </c>
      <c r="X12" s="12">
        <v>56.99</v>
      </c>
      <c r="Y12" s="12">
        <v>57.74</v>
      </c>
      <c r="Z12" s="12">
        <v>56.76</v>
      </c>
      <c r="AA12" s="12">
        <v>57.29</v>
      </c>
      <c r="AB12" s="105">
        <v>3547300</v>
      </c>
      <c r="AC12" s="12">
        <v>57.29</v>
      </c>
      <c r="AD12" s="2">
        <f t="shared" si="1"/>
        <v>0.98000000000000398</v>
      </c>
      <c r="AE12" s="148">
        <f t="shared" si="2"/>
        <v>1.1297440423654104E-2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42429</v>
      </c>
      <c r="X13" s="12">
        <v>56.75</v>
      </c>
      <c r="Y13" s="12">
        <v>57.39</v>
      </c>
      <c r="Z13" s="12">
        <v>56.33</v>
      </c>
      <c r="AA13" s="12">
        <v>56.65</v>
      </c>
      <c r="AB13" s="105">
        <v>4104800</v>
      </c>
      <c r="AC13" s="12">
        <v>56.65</v>
      </c>
      <c r="AD13" s="2">
        <f t="shared" si="1"/>
        <v>1.0600000000000023</v>
      </c>
      <c r="AE13" s="148">
        <f t="shared" si="2"/>
        <v>1.237186284906322E-3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42426</v>
      </c>
      <c r="X14" s="12">
        <v>56.52</v>
      </c>
      <c r="Y14" s="12">
        <v>57.24</v>
      </c>
      <c r="Z14" s="12">
        <v>55.43</v>
      </c>
      <c r="AA14" s="12">
        <v>56.58</v>
      </c>
      <c r="AB14" s="105">
        <v>3848700</v>
      </c>
      <c r="AC14" s="12">
        <v>56.58</v>
      </c>
      <c r="AD14" s="2">
        <f t="shared" si="1"/>
        <v>1.8100000000000023</v>
      </c>
      <c r="AE14" s="148">
        <f t="shared" si="2"/>
        <v>1.9479369576766992E-3</v>
      </c>
    </row>
    <row r="15" spans="1:43" x14ac:dyDescent="0.25">
      <c r="B15" s="1"/>
      <c r="C15" s="4"/>
      <c r="W15" s="143">
        <v>42425</v>
      </c>
      <c r="X15" s="12">
        <v>55.22</v>
      </c>
      <c r="Y15" s="12">
        <v>56.66</v>
      </c>
      <c r="Z15" s="12">
        <v>55.02</v>
      </c>
      <c r="AA15" s="12">
        <v>56.47</v>
      </c>
      <c r="AB15" s="105">
        <v>3634400</v>
      </c>
      <c r="AC15" s="12">
        <v>56.47</v>
      </c>
      <c r="AD15" s="2">
        <f t="shared" si="1"/>
        <v>1.6399999999999935</v>
      </c>
      <c r="AE15" s="148">
        <f t="shared" si="2"/>
        <v>1.8578643578643694E-2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42424</v>
      </c>
      <c r="X16" s="12">
        <v>54.2</v>
      </c>
      <c r="Y16" s="12">
        <v>55.83</v>
      </c>
      <c r="Z16" s="12">
        <v>54.12</v>
      </c>
      <c r="AA16" s="12">
        <v>55.44</v>
      </c>
      <c r="AB16" s="105">
        <v>3494900</v>
      </c>
      <c r="AC16" s="12">
        <v>55.44</v>
      </c>
      <c r="AD16" s="2">
        <f t="shared" si="1"/>
        <v>1.7100000000000009</v>
      </c>
      <c r="AE16" s="148">
        <f t="shared" si="2"/>
        <v>1.2232974255979467E-2</v>
      </c>
    </row>
    <row r="17" spans="2:31" x14ac:dyDescent="0.25">
      <c r="G17" s="2"/>
      <c r="W17" s="143">
        <v>42423</v>
      </c>
      <c r="X17" s="12">
        <v>54.56</v>
      </c>
      <c r="Y17" s="12">
        <v>55.77</v>
      </c>
      <c r="Z17" s="12">
        <v>54.15</v>
      </c>
      <c r="AA17" s="12">
        <v>54.77</v>
      </c>
      <c r="AB17" s="105">
        <v>3179800</v>
      </c>
      <c r="AC17" s="12">
        <v>54.77</v>
      </c>
      <c r="AD17" s="2">
        <f t="shared" si="1"/>
        <v>1.6200000000000045</v>
      </c>
      <c r="AE17" s="148">
        <f t="shared" si="2"/>
        <v>-9.1207588471353684E-4</v>
      </c>
    </row>
    <row r="18" spans="2:31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13" t="s">
        <v>90</v>
      </c>
      <c r="W18" s="143">
        <v>42422</v>
      </c>
      <c r="X18" s="12">
        <v>53.01</v>
      </c>
      <c r="Y18" s="12">
        <v>55</v>
      </c>
      <c r="Z18" s="12">
        <v>52.74</v>
      </c>
      <c r="AA18" s="12">
        <v>54.82</v>
      </c>
      <c r="AB18" s="105">
        <v>4837900</v>
      </c>
      <c r="AC18" s="12">
        <v>54.82</v>
      </c>
      <c r="AD18" s="2">
        <f t="shared" si="1"/>
        <v>2.259999999999998</v>
      </c>
      <c r="AE18" s="148">
        <f t="shared" si="2"/>
        <v>3.9635880902711973E-2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42419</v>
      </c>
      <c r="X19" s="12">
        <v>52.78</v>
      </c>
      <c r="Y19" s="12">
        <v>53.28</v>
      </c>
      <c r="Z19" s="12">
        <v>51.91</v>
      </c>
      <c r="AA19" s="12">
        <v>52.73</v>
      </c>
      <c r="AB19" s="105">
        <v>2631600</v>
      </c>
      <c r="AC19" s="12">
        <v>52.73</v>
      </c>
      <c r="AD19" s="2">
        <f t="shared" si="1"/>
        <v>1.3700000000000045</v>
      </c>
      <c r="AE19" s="148">
        <f t="shared" si="2"/>
        <v>-9.5792637114952006E-3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42418</v>
      </c>
      <c r="X20" s="12">
        <v>52.54</v>
      </c>
      <c r="Y20" s="12">
        <v>53.93</v>
      </c>
      <c r="Z20" s="12">
        <v>52.07</v>
      </c>
      <c r="AA20" s="12">
        <v>53.24</v>
      </c>
      <c r="AB20" s="105">
        <v>4843200</v>
      </c>
      <c r="AC20" s="12">
        <v>53.24</v>
      </c>
      <c r="AD20" s="2">
        <f t="shared" si="1"/>
        <v>1.8599999999999994</v>
      </c>
      <c r="AE20" s="148">
        <f t="shared" si="2"/>
        <v>1.4288435892551021E-2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42417</v>
      </c>
      <c r="X21" s="12">
        <v>51.78</v>
      </c>
      <c r="Y21" s="12">
        <v>52.54</v>
      </c>
      <c r="Z21" s="12">
        <v>51.55</v>
      </c>
      <c r="AA21" s="12">
        <v>52.49</v>
      </c>
      <c r="AB21" s="105">
        <v>4791400</v>
      </c>
      <c r="AC21" s="12">
        <v>52.49</v>
      </c>
      <c r="AD21" s="2">
        <f t="shared" si="1"/>
        <v>0.99000000000000199</v>
      </c>
      <c r="AE21" s="148">
        <f t="shared" si="2"/>
        <v>3.4081954294720385E-2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42416</v>
      </c>
      <c r="X22" s="12">
        <v>50.05</v>
      </c>
      <c r="Y22" s="12">
        <v>51.6</v>
      </c>
      <c r="Z22" s="12">
        <v>49.25</v>
      </c>
      <c r="AA22" s="12">
        <v>50.76</v>
      </c>
      <c r="AB22" s="105">
        <v>3891000</v>
      </c>
      <c r="AC22" s="12">
        <v>50.76</v>
      </c>
      <c r="AD22" s="2">
        <f t="shared" si="1"/>
        <v>2.3500000000000014</v>
      </c>
      <c r="AE22" s="148">
        <f t="shared" si="2"/>
        <v>2.4006455517449954E-2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42412</v>
      </c>
      <c r="X23" s="12">
        <v>49.57</v>
      </c>
      <c r="Y23" s="12">
        <v>50</v>
      </c>
      <c r="Z23" s="12">
        <v>48.13</v>
      </c>
      <c r="AA23" s="12">
        <v>49.57</v>
      </c>
      <c r="AB23" s="105">
        <v>4214200</v>
      </c>
      <c r="AC23" s="12">
        <v>49.57</v>
      </c>
      <c r="AD23" s="2">
        <f t="shared" si="1"/>
        <v>1.8699999999999974</v>
      </c>
      <c r="AE23" s="148">
        <f t="shared" si="2"/>
        <v>8.7505087505086454E-3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42411</v>
      </c>
      <c r="X24" s="12">
        <v>49.72</v>
      </c>
      <c r="Y24" s="12">
        <v>50.44</v>
      </c>
      <c r="Z24" s="12">
        <v>48.6</v>
      </c>
      <c r="AA24" s="12">
        <v>49.14</v>
      </c>
      <c r="AB24" s="105">
        <v>4508200</v>
      </c>
      <c r="AC24" s="12">
        <v>49.14</v>
      </c>
      <c r="AD24" s="2">
        <f t="shared" si="1"/>
        <v>1.8399999999999963</v>
      </c>
      <c r="AE24" s="148">
        <f t="shared" si="2"/>
        <v>-2.0334928229664984E-2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42410</v>
      </c>
      <c r="X25" s="12">
        <v>51</v>
      </c>
      <c r="Y25" s="12">
        <v>51.64</v>
      </c>
      <c r="Z25" s="12">
        <v>49.54</v>
      </c>
      <c r="AA25" s="12">
        <v>50.16</v>
      </c>
      <c r="AB25" s="105">
        <v>3698800</v>
      </c>
      <c r="AC25" s="12">
        <v>50.16</v>
      </c>
      <c r="AD25" s="2">
        <f t="shared" si="1"/>
        <v>2.1000000000000014</v>
      </c>
      <c r="AE25" s="148">
        <f t="shared" si="2"/>
        <v>-1.3935894883535527E-3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42409</v>
      </c>
      <c r="X26" s="12">
        <v>48.32</v>
      </c>
      <c r="Y26" s="12">
        <v>50.87</v>
      </c>
      <c r="Z26" s="12">
        <v>48.32</v>
      </c>
      <c r="AA26" s="12">
        <v>50.23</v>
      </c>
      <c r="AB26" s="105">
        <v>4482600</v>
      </c>
      <c r="AC26" s="12">
        <v>50.23</v>
      </c>
      <c r="AD26" s="2">
        <f t="shared" si="1"/>
        <v>2.5499999999999972</v>
      </c>
      <c r="AE26" s="148">
        <f t="shared" si="2"/>
        <v>5.9760956175280988E-4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42408</v>
      </c>
      <c r="X27" s="12">
        <v>51.46</v>
      </c>
      <c r="Y27" s="12">
        <v>52.07</v>
      </c>
      <c r="Z27" s="12">
        <v>49.34</v>
      </c>
      <c r="AA27" s="12">
        <v>50.2</v>
      </c>
      <c r="AB27" s="105">
        <v>5403600</v>
      </c>
      <c r="AC27" s="12">
        <v>50.2</v>
      </c>
      <c r="AD27" s="2">
        <f t="shared" si="1"/>
        <v>2.7299999999999969</v>
      </c>
      <c r="AE27" s="148">
        <f t="shared" si="2"/>
        <v>-3.1635802469135776E-2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42405</v>
      </c>
      <c r="X28" s="12">
        <v>51.38</v>
      </c>
      <c r="Y28" s="12">
        <v>52.47</v>
      </c>
      <c r="Z28" s="12">
        <v>50.73</v>
      </c>
      <c r="AA28" s="12">
        <v>51.84</v>
      </c>
      <c r="AB28" s="105">
        <v>5363000</v>
      </c>
      <c r="AC28" s="12">
        <v>51.84</v>
      </c>
      <c r="AD28" s="2">
        <f t="shared" si="1"/>
        <v>1.740000000000002</v>
      </c>
      <c r="AE28" s="148">
        <f t="shared" si="2"/>
        <v>2.3201856148493682E-3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42404</v>
      </c>
      <c r="X29" s="12">
        <v>51.1</v>
      </c>
      <c r="Y29" s="12">
        <v>52.15</v>
      </c>
      <c r="Z29" s="12">
        <v>50.7</v>
      </c>
      <c r="AA29" s="12">
        <v>51.72</v>
      </c>
      <c r="AB29" s="105">
        <v>6332400</v>
      </c>
      <c r="AC29" s="12">
        <v>51.72</v>
      </c>
      <c r="AD29" s="2">
        <f t="shared" si="1"/>
        <v>1.4499999999999957</v>
      </c>
      <c r="AE29" s="148">
        <f t="shared" si="2"/>
        <v>0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42403</v>
      </c>
      <c r="X30" s="12">
        <v>49.84</v>
      </c>
      <c r="Y30" s="12">
        <v>52.63</v>
      </c>
      <c r="Z30" s="12">
        <v>49.24</v>
      </c>
      <c r="AA30" s="12">
        <v>51.72</v>
      </c>
      <c r="AB30" s="105">
        <v>11622900</v>
      </c>
      <c r="AC30" s="12">
        <v>51.72</v>
      </c>
      <c r="AD30" s="2">
        <f t="shared" si="1"/>
        <v>3.3900000000000006</v>
      </c>
      <c r="AE30" s="148">
        <f t="shared" si="2"/>
        <v>3.2129315505887046E-2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42402</v>
      </c>
      <c r="X31" s="12">
        <v>47.11</v>
      </c>
      <c r="Y31" s="12">
        <v>51.05</v>
      </c>
      <c r="Z31" s="12">
        <v>46.44</v>
      </c>
      <c r="AA31" s="12">
        <v>50.11</v>
      </c>
      <c r="AB31" s="105">
        <v>28498600</v>
      </c>
      <c r="AC31" s="12">
        <v>50.11</v>
      </c>
      <c r="AD31" s="2">
        <f t="shared" si="1"/>
        <v>4.6099999999999994</v>
      </c>
      <c r="AE31" s="148">
        <f t="shared" si="2"/>
        <v>0.23911968348170132</v>
      </c>
    </row>
    <row r="32" spans="2:31" x14ac:dyDescent="0.25">
      <c r="W32" s="143">
        <v>42401</v>
      </c>
      <c r="X32" s="12">
        <v>39.93</v>
      </c>
      <c r="Y32" s="12">
        <v>40.78</v>
      </c>
      <c r="Z32" s="12">
        <v>39.619999999999997</v>
      </c>
      <c r="AA32" s="12">
        <v>40.44</v>
      </c>
      <c r="AB32" s="105">
        <v>4745900</v>
      </c>
      <c r="AC32" s="12">
        <v>40.44</v>
      </c>
      <c r="AD32" s="2">
        <f t="shared" si="1"/>
        <v>1.1600000000000037</v>
      </c>
      <c r="AE32" s="148">
        <f t="shared" si="2"/>
        <v>1.3533834586466176E-2</v>
      </c>
    </row>
    <row r="33" spans="15:31" x14ac:dyDescent="0.25">
      <c r="W33" s="143">
        <v>42398</v>
      </c>
      <c r="X33" s="12">
        <v>38.89</v>
      </c>
      <c r="Y33" s="12">
        <v>40</v>
      </c>
      <c r="Z33" s="12">
        <v>38.69</v>
      </c>
      <c r="AA33" s="12">
        <v>39.9</v>
      </c>
      <c r="AB33" s="105">
        <v>3167800</v>
      </c>
      <c r="AC33" s="12">
        <v>39.9</v>
      </c>
      <c r="AD33" s="2">
        <f t="shared" si="1"/>
        <v>1.3100000000000023</v>
      </c>
      <c r="AE33" s="148">
        <f t="shared" si="2"/>
        <v>3.0209140201394424E-2</v>
      </c>
    </row>
    <row r="34" spans="15:31" x14ac:dyDescent="0.25">
      <c r="W34" s="143">
        <v>42397</v>
      </c>
      <c r="X34" s="12">
        <v>38.700000000000003</v>
      </c>
      <c r="Y34" s="12">
        <v>39.049999999999997</v>
      </c>
      <c r="Z34" s="12">
        <v>37.79</v>
      </c>
      <c r="AA34" s="12">
        <v>38.729999999999997</v>
      </c>
      <c r="AB34" s="105">
        <v>2444700</v>
      </c>
      <c r="AC34" s="12">
        <v>38.729999999999997</v>
      </c>
      <c r="AD34" s="2">
        <f t="shared" si="1"/>
        <v>1.259999999999998</v>
      </c>
      <c r="AE34" s="148">
        <f t="shared" si="2"/>
        <v>1.8406521167499301E-2</v>
      </c>
    </row>
    <row r="35" spans="15:31" x14ac:dyDescent="0.25">
      <c r="W35" s="143">
        <v>42396</v>
      </c>
      <c r="X35" s="12">
        <v>37.57</v>
      </c>
      <c r="Y35" s="12">
        <v>39.08</v>
      </c>
      <c r="Z35" s="12">
        <v>37.33</v>
      </c>
      <c r="AA35" s="12">
        <v>38.03</v>
      </c>
      <c r="AB35" s="105">
        <v>2869500</v>
      </c>
      <c r="AC35" s="12">
        <v>38.03</v>
      </c>
      <c r="AD35" s="2">
        <f t="shared" si="1"/>
        <v>1.75</v>
      </c>
      <c r="AE35" s="148">
        <f t="shared" si="2"/>
        <v>6.3508864779042717E-3</v>
      </c>
    </row>
    <row r="36" spans="15:31" x14ac:dyDescent="0.25">
      <c r="W36" s="143">
        <v>42395</v>
      </c>
      <c r="X36" s="12">
        <v>37.07</v>
      </c>
      <c r="Y36" s="12">
        <v>38.11</v>
      </c>
      <c r="Z36" s="12">
        <v>36.729999999999997</v>
      </c>
      <c r="AA36" s="12">
        <v>37.79</v>
      </c>
      <c r="AB36" s="105">
        <v>2547000</v>
      </c>
      <c r="AC36" s="12">
        <v>37.79</v>
      </c>
      <c r="AD36" s="2">
        <f t="shared" si="1"/>
        <v>1.3800000000000026</v>
      </c>
      <c r="AE36" s="148">
        <f t="shared" si="2"/>
        <v>2.8859243125510581E-2</v>
      </c>
    </row>
    <row r="37" spans="15:31" x14ac:dyDescent="0.25">
      <c r="W37" s="143">
        <v>42394</v>
      </c>
      <c r="X37" s="12">
        <v>38.119999999999997</v>
      </c>
      <c r="Y37" s="12">
        <v>38.369999999999997</v>
      </c>
      <c r="Z37" s="12">
        <v>36.57</v>
      </c>
      <c r="AA37" s="12">
        <v>36.729999999999997</v>
      </c>
      <c r="AB37" s="105">
        <v>3301500</v>
      </c>
      <c r="AC37" s="12">
        <v>36.729999999999997</v>
      </c>
      <c r="AD37" s="2">
        <f t="shared" si="1"/>
        <v>1.7999999999999972</v>
      </c>
      <c r="AE37" s="148">
        <f t="shared" si="2"/>
        <v>-4.3738609737047685E-2</v>
      </c>
    </row>
    <row r="38" spans="15:31" x14ac:dyDescent="0.25">
      <c r="W38" s="143">
        <v>42391</v>
      </c>
      <c r="X38" s="12">
        <v>38.06</v>
      </c>
      <c r="Y38" s="12">
        <v>38.78</v>
      </c>
      <c r="Z38" s="12">
        <v>37.89</v>
      </c>
      <c r="AA38" s="12">
        <v>38.409999999999997</v>
      </c>
      <c r="AB38" s="105">
        <v>2042100</v>
      </c>
      <c r="AC38" s="12">
        <v>38.409999999999997</v>
      </c>
      <c r="AD38" s="2">
        <f t="shared" si="1"/>
        <v>0.89000000000000057</v>
      </c>
      <c r="AE38" s="148">
        <f t="shared" si="2"/>
        <v>2.3993601706211676E-2</v>
      </c>
    </row>
    <row r="39" spans="15:31" x14ac:dyDescent="0.25">
      <c r="W39" s="143">
        <v>42390</v>
      </c>
      <c r="X39" s="12">
        <v>37</v>
      </c>
      <c r="Y39" s="12">
        <v>38.36</v>
      </c>
      <c r="Z39" s="12">
        <v>36.43</v>
      </c>
      <c r="AA39" s="12">
        <v>37.51</v>
      </c>
      <c r="AB39" s="105">
        <v>3488000</v>
      </c>
      <c r="AC39" s="12">
        <v>37.51</v>
      </c>
      <c r="AD39" s="2">
        <f t="shared" si="1"/>
        <v>1.9299999999999997</v>
      </c>
      <c r="AE39" s="148">
        <f t="shared" si="2"/>
        <v>2.7952863798300864E-2</v>
      </c>
    </row>
    <row r="40" spans="15:31" x14ac:dyDescent="0.25">
      <c r="W40" s="143">
        <v>42389</v>
      </c>
      <c r="X40" s="12">
        <v>35</v>
      </c>
      <c r="Y40" s="12">
        <v>36.89</v>
      </c>
      <c r="Z40" s="12">
        <v>34.83</v>
      </c>
      <c r="AA40" s="12">
        <v>36.49</v>
      </c>
      <c r="AB40" s="105">
        <v>3312100</v>
      </c>
      <c r="AC40" s="12">
        <v>36.49</v>
      </c>
      <c r="AD40" s="2">
        <f t="shared" si="1"/>
        <v>2.0600000000000023</v>
      </c>
      <c r="AE40" s="148">
        <f t="shared" si="2"/>
        <v>2.0413870246085208E-2</v>
      </c>
    </row>
    <row r="41" spans="15:31" x14ac:dyDescent="0.25">
      <c r="W41" s="143">
        <v>42388</v>
      </c>
      <c r="X41" s="12">
        <v>36.15</v>
      </c>
      <c r="Y41" s="12">
        <v>36.369999999999997</v>
      </c>
      <c r="Z41" s="12">
        <v>35.33</v>
      </c>
      <c r="AA41" s="12">
        <v>35.76</v>
      </c>
      <c r="AB41" s="105">
        <v>2950800</v>
      </c>
      <c r="AC41" s="12">
        <v>35.76</v>
      </c>
      <c r="AD41" s="2">
        <f t="shared" si="1"/>
        <v>1.0399999999999991</v>
      </c>
      <c r="AE41" s="148">
        <f t="shared" si="2"/>
        <v>5.3415799831317834E-3</v>
      </c>
    </row>
    <row r="42" spans="15:31" x14ac:dyDescent="0.25">
      <c r="W42" s="143">
        <v>42384</v>
      </c>
      <c r="X42" s="12">
        <v>35.049999999999997</v>
      </c>
      <c r="Y42" s="12">
        <v>36.03</v>
      </c>
      <c r="Z42" s="12">
        <v>34.909999999999997</v>
      </c>
      <c r="AA42" s="12">
        <v>35.57</v>
      </c>
      <c r="AB42" s="105">
        <v>3917900</v>
      </c>
      <c r="AC42" s="12">
        <v>35.57</v>
      </c>
      <c r="AD42" s="2">
        <f t="shared" si="1"/>
        <v>1.1200000000000045</v>
      </c>
      <c r="AE42" s="148">
        <f t="shared" si="2"/>
        <v>-1.4954306286347196E-2</v>
      </c>
    </row>
    <row r="43" spans="15:31" x14ac:dyDescent="0.25">
      <c r="W43" s="143">
        <v>42383</v>
      </c>
      <c r="X43" s="12">
        <v>36.26</v>
      </c>
      <c r="Y43" s="12">
        <v>36.619999999999997</v>
      </c>
      <c r="Z43" s="12">
        <v>35.020000000000003</v>
      </c>
      <c r="AA43" s="12">
        <v>36.11</v>
      </c>
      <c r="AB43" s="105">
        <v>2752200</v>
      </c>
      <c r="AC43" s="12">
        <v>36.11</v>
      </c>
      <c r="AD43" s="2">
        <f t="shared" si="1"/>
        <v>1.5999999999999943</v>
      </c>
      <c r="AE43" s="148">
        <f t="shared" si="2"/>
        <v>-1.1065006915629283E-3</v>
      </c>
    </row>
    <row r="44" spans="15:31" x14ac:dyDescent="0.25">
      <c r="W44" s="143">
        <v>42382</v>
      </c>
      <c r="X44" s="12">
        <v>37.67</v>
      </c>
      <c r="Y44" s="12">
        <v>38.119999999999997</v>
      </c>
      <c r="Z44" s="12">
        <v>36.06</v>
      </c>
      <c r="AA44" s="12">
        <v>36.15</v>
      </c>
      <c r="AB44" s="105">
        <v>3043900</v>
      </c>
      <c r="AC44" s="12">
        <v>36.15</v>
      </c>
      <c r="AD44" s="2">
        <f t="shared" si="1"/>
        <v>2.0599999999999952</v>
      </c>
      <c r="AE44" s="148">
        <f t="shared" si="2"/>
        <v>-3.6513859275053462E-2</v>
      </c>
    </row>
    <row r="45" spans="15:31" x14ac:dyDescent="0.25">
      <c r="O45" s="37"/>
      <c r="R45" s="37"/>
      <c r="W45" s="143">
        <v>42381</v>
      </c>
      <c r="X45" s="12">
        <v>37.71</v>
      </c>
      <c r="Y45" s="12">
        <v>37.99</v>
      </c>
      <c r="Z45" s="12">
        <v>36.81</v>
      </c>
      <c r="AA45" s="12">
        <v>37.520000000000003</v>
      </c>
      <c r="AB45" s="105">
        <v>1876200</v>
      </c>
      <c r="AC45" s="12">
        <v>37.520000000000003</v>
      </c>
      <c r="AD45" s="2">
        <f t="shared" si="1"/>
        <v>1.1799999999999997</v>
      </c>
      <c r="AE45" s="148">
        <f t="shared" si="2"/>
        <v>1.0231556273559539E-2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42380</v>
      </c>
      <c r="X46" s="12">
        <v>37.58</v>
      </c>
      <c r="Y46" s="12">
        <v>38.22</v>
      </c>
      <c r="Z46" s="12">
        <v>36.590000000000003</v>
      </c>
      <c r="AA46" s="12">
        <v>37.14</v>
      </c>
      <c r="AB46" s="105">
        <v>3573900</v>
      </c>
      <c r="AC46" s="12">
        <v>37.14</v>
      </c>
      <c r="AD46" s="2">
        <f t="shared" si="1"/>
        <v>1.6299999999999955</v>
      </c>
      <c r="AE46" s="148">
        <f t="shared" si="2"/>
        <v>-1.7200317544323829E-2</v>
      </c>
    </row>
    <row r="47" spans="15:31" ht="15.75" thickTop="1" x14ac:dyDescent="0.25">
      <c r="O47" s="93">
        <v>1.1000000000000001</v>
      </c>
      <c r="P47" s="93">
        <f>O47*$Q$4</f>
        <v>61.666000000000011</v>
      </c>
      <c r="Q47" s="37"/>
      <c r="R47" s="37"/>
      <c r="T47" s="138" t="s">
        <v>101</v>
      </c>
      <c r="U47" s="108">
        <v>58.54</v>
      </c>
      <c r="W47" s="143">
        <v>42377</v>
      </c>
      <c r="X47" s="12">
        <v>39.130000000000003</v>
      </c>
      <c r="Y47" s="12">
        <v>39.35</v>
      </c>
      <c r="Z47" s="12">
        <v>37.729999999999997</v>
      </c>
      <c r="AA47" s="12">
        <v>37.79</v>
      </c>
      <c r="AB47" s="105">
        <v>3952800</v>
      </c>
      <c r="AC47" s="12">
        <v>37.79</v>
      </c>
      <c r="AD47" s="2">
        <f t="shared" si="1"/>
        <v>1.6200000000000045</v>
      </c>
      <c r="AE47" s="148">
        <f t="shared" si="2"/>
        <v>-3.003080082135523E-2</v>
      </c>
    </row>
    <row r="48" spans="15:31" x14ac:dyDescent="0.25">
      <c r="O48" s="93">
        <v>1.0900000000000001</v>
      </c>
      <c r="P48" s="93">
        <f t="shared" ref="P48:P67" si="8">O48*$Q$4</f>
        <v>61.10540000000001</v>
      </c>
      <c r="Q48" s="37"/>
      <c r="R48" s="37"/>
      <c r="T48" s="103" t="s">
        <v>102</v>
      </c>
      <c r="U48" s="98">
        <v>58.23</v>
      </c>
      <c r="W48" s="143">
        <v>42376</v>
      </c>
      <c r="X48" s="12">
        <v>39.020000000000003</v>
      </c>
      <c r="Y48" s="12">
        <v>40.28</v>
      </c>
      <c r="Z48" s="12">
        <v>38.729999999999997</v>
      </c>
      <c r="AA48" s="12">
        <v>38.96</v>
      </c>
      <c r="AB48" s="105">
        <v>2808300</v>
      </c>
      <c r="AC48" s="12">
        <v>38.96</v>
      </c>
      <c r="AD48" s="2">
        <f t="shared" si="1"/>
        <v>1.5500000000000043</v>
      </c>
      <c r="AE48" s="148">
        <f t="shared" si="2"/>
        <v>-2.0120724346076369E-2</v>
      </c>
    </row>
    <row r="49" spans="15:31" x14ac:dyDescent="0.25">
      <c r="O49" s="93">
        <v>1.08</v>
      </c>
      <c r="P49" s="93">
        <f t="shared" si="8"/>
        <v>60.544800000000009</v>
      </c>
      <c r="Q49" s="37"/>
      <c r="R49" s="37"/>
      <c r="T49" s="103" t="s">
        <v>103</v>
      </c>
      <c r="U49" s="98" t="s">
        <v>332</v>
      </c>
      <c r="W49" s="143">
        <v>42375</v>
      </c>
      <c r="X49" s="12">
        <v>39.979999999999997</v>
      </c>
      <c r="Y49" s="12">
        <v>40.86</v>
      </c>
      <c r="Z49" s="12">
        <v>39.29</v>
      </c>
      <c r="AA49" s="12">
        <v>39.76</v>
      </c>
      <c r="AB49" s="105">
        <v>3718400</v>
      </c>
      <c r="AC49" s="12">
        <v>39.76</v>
      </c>
      <c r="AD49" s="2">
        <f t="shared" si="1"/>
        <v>1.5700000000000003</v>
      </c>
      <c r="AE49" s="148">
        <f t="shared" si="2"/>
        <v>-2.3575638506876273E-2</v>
      </c>
    </row>
    <row r="50" spans="15:31" x14ac:dyDescent="0.25">
      <c r="O50" s="93">
        <v>1.07</v>
      </c>
      <c r="P50" s="93">
        <f t="shared" si="8"/>
        <v>59.984200000000008</v>
      </c>
      <c r="Q50" s="93"/>
      <c r="R50" s="37"/>
      <c r="T50" s="103" t="s">
        <v>104</v>
      </c>
      <c r="U50" s="98" t="s">
        <v>333</v>
      </c>
      <c r="W50" s="143">
        <v>42374</v>
      </c>
      <c r="X50" s="12">
        <v>40.5</v>
      </c>
      <c r="Y50" s="12">
        <v>40.79</v>
      </c>
      <c r="Z50" s="12">
        <v>39.4</v>
      </c>
      <c r="AA50" s="12">
        <v>40.72</v>
      </c>
      <c r="AB50" s="105">
        <v>2374100</v>
      </c>
      <c r="AC50" s="12">
        <v>40.72</v>
      </c>
      <c r="AD50" s="2">
        <f t="shared" si="1"/>
        <v>1.3900000000000006</v>
      </c>
      <c r="AE50" s="148">
        <f t="shared" si="2"/>
        <v>8.6698043101314237E-3</v>
      </c>
    </row>
    <row r="51" spans="15:31" x14ac:dyDescent="0.25">
      <c r="O51" s="93">
        <v>1.06</v>
      </c>
      <c r="P51" s="93">
        <f t="shared" si="8"/>
        <v>59.423600000000008</v>
      </c>
      <c r="Q51" s="93"/>
      <c r="R51" s="37"/>
      <c r="T51" s="103" t="s">
        <v>105</v>
      </c>
      <c r="U51" s="98">
        <v>57</v>
      </c>
      <c r="W51" s="143">
        <v>42373</v>
      </c>
      <c r="X51" s="12">
        <v>39.39</v>
      </c>
      <c r="Y51" s="12">
        <v>40.51</v>
      </c>
      <c r="Z51" s="12">
        <v>39.229999999999997</v>
      </c>
      <c r="AA51" s="12">
        <v>40.369999999999997</v>
      </c>
      <c r="AB51" s="105">
        <v>2546800</v>
      </c>
      <c r="AC51" s="12">
        <v>40.369999999999997</v>
      </c>
      <c r="AD51" s="2">
        <f t="shared" si="1"/>
        <v>1.2800000000000011</v>
      </c>
      <c r="AE51" s="148">
        <f t="shared" si="2"/>
        <v>7.738392411382744E-3</v>
      </c>
    </row>
    <row r="52" spans="15:31" x14ac:dyDescent="0.25">
      <c r="O52" s="93">
        <v>1.05</v>
      </c>
      <c r="P52" s="93">
        <f t="shared" si="8"/>
        <v>58.863000000000007</v>
      </c>
      <c r="Q52" s="93"/>
      <c r="R52" s="37"/>
      <c r="T52" s="103" t="s">
        <v>106</v>
      </c>
      <c r="U52" s="98">
        <v>0.21054999999999999</v>
      </c>
      <c r="W52" s="143">
        <v>42369</v>
      </c>
      <c r="X52" s="12">
        <v>40.08</v>
      </c>
      <c r="Y52" s="12">
        <v>40.49</v>
      </c>
      <c r="Z52" s="12">
        <v>39.869999999999997</v>
      </c>
      <c r="AA52" s="12">
        <v>40.06</v>
      </c>
      <c r="AB52" s="105">
        <v>1854500</v>
      </c>
      <c r="AC52" s="12">
        <v>40.06</v>
      </c>
      <c r="AD52" s="2">
        <f t="shared" si="1"/>
        <v>0.62000000000000455</v>
      </c>
      <c r="AE52" s="148">
        <f t="shared" si="2"/>
        <v>-3.9781203381401564E-3</v>
      </c>
    </row>
    <row r="53" spans="15:31" x14ac:dyDescent="0.25">
      <c r="O53" s="93">
        <v>1.04</v>
      </c>
      <c r="P53" s="93">
        <f t="shared" si="8"/>
        <v>58.302400000000006</v>
      </c>
      <c r="Q53" s="93"/>
      <c r="R53" s="37"/>
      <c r="T53" s="103" t="s">
        <v>126</v>
      </c>
      <c r="U53" s="98" t="s">
        <v>263</v>
      </c>
      <c r="W53" s="143">
        <v>42368</v>
      </c>
      <c r="X53" s="12">
        <v>41</v>
      </c>
      <c r="Y53" s="12">
        <v>41.4</v>
      </c>
      <c r="Z53" s="12">
        <v>40.1</v>
      </c>
      <c r="AA53" s="12">
        <v>40.22</v>
      </c>
      <c r="AB53" s="105">
        <v>1864100</v>
      </c>
      <c r="AC53" s="12">
        <v>40.22</v>
      </c>
      <c r="AD53" s="2">
        <f t="shared" si="1"/>
        <v>1.2999999999999972</v>
      </c>
      <c r="AE53" s="148">
        <f t="shared" si="2"/>
        <v>-1.9263594245305993E-2</v>
      </c>
    </row>
    <row r="54" spans="15:31" x14ac:dyDescent="0.25">
      <c r="O54" s="93">
        <v>1.03</v>
      </c>
      <c r="P54" s="93">
        <f t="shared" si="8"/>
        <v>57.741800000000005</v>
      </c>
      <c r="Q54" s="93"/>
      <c r="R54" s="37"/>
      <c r="T54" s="103"/>
      <c r="U54" s="98"/>
      <c r="W54" s="143">
        <v>42367</v>
      </c>
      <c r="X54" s="12">
        <v>40.89</v>
      </c>
      <c r="Y54" s="12">
        <v>41.21</v>
      </c>
      <c r="Z54" s="12">
        <v>40.74</v>
      </c>
      <c r="AA54" s="12">
        <v>41.01</v>
      </c>
      <c r="AB54" s="105">
        <v>1440000</v>
      </c>
      <c r="AC54" s="12">
        <v>41.01</v>
      </c>
      <c r="AD54" s="2">
        <f t="shared" si="1"/>
        <v>0.46999999999999886</v>
      </c>
      <c r="AE54" s="148">
        <f t="shared" si="2"/>
        <v>9.3526950529163599E-3</v>
      </c>
    </row>
    <row r="55" spans="15:31" x14ac:dyDescent="0.25">
      <c r="O55" s="93">
        <v>1.02</v>
      </c>
      <c r="P55" s="93">
        <f t="shared" si="8"/>
        <v>57.181200000000004</v>
      </c>
      <c r="Q55" s="93"/>
      <c r="R55" s="37"/>
      <c r="T55" s="103" t="s">
        <v>108</v>
      </c>
      <c r="U55" s="98" t="s">
        <v>334</v>
      </c>
      <c r="W55" s="143">
        <v>42366</v>
      </c>
      <c r="X55" s="12">
        <v>40.64</v>
      </c>
      <c r="Y55" s="12">
        <v>41.33</v>
      </c>
      <c r="Z55" s="12">
        <v>40.119999999999997</v>
      </c>
      <c r="AA55" s="12">
        <v>40.630000000000003</v>
      </c>
      <c r="AB55" s="105">
        <v>1989500</v>
      </c>
      <c r="AC55" s="12">
        <v>40.630000000000003</v>
      </c>
      <c r="AD55" s="2">
        <f t="shared" si="1"/>
        <v>1.2100000000000009</v>
      </c>
      <c r="AE55" s="148">
        <f t="shared" si="2"/>
        <v>-5.6289769946157309E-3</v>
      </c>
    </row>
    <row r="56" spans="15:31" x14ac:dyDescent="0.25">
      <c r="O56" s="93">
        <v>1.01</v>
      </c>
      <c r="P56" s="93">
        <f t="shared" si="8"/>
        <v>56.620600000000003</v>
      </c>
      <c r="Q56" s="93"/>
      <c r="R56" s="37"/>
      <c r="T56" s="103" t="s">
        <v>109</v>
      </c>
      <c r="U56" s="98" t="s">
        <v>272</v>
      </c>
      <c r="W56" s="143">
        <v>42362</v>
      </c>
      <c r="X56" s="12">
        <v>41.53</v>
      </c>
      <c r="Y56" s="12">
        <v>41.57</v>
      </c>
      <c r="Z56" s="12">
        <v>40.83</v>
      </c>
      <c r="AA56" s="12">
        <v>40.86</v>
      </c>
      <c r="AB56" s="105">
        <v>823000</v>
      </c>
      <c r="AC56" s="12">
        <v>40.86</v>
      </c>
      <c r="AD56" s="2">
        <f t="shared" si="1"/>
        <v>0.74000000000000199</v>
      </c>
      <c r="AE56" s="148">
        <f t="shared" si="2"/>
        <v>-1.8496276723516725E-2</v>
      </c>
    </row>
    <row r="57" spans="15:31" x14ac:dyDescent="0.25">
      <c r="O57" s="93">
        <v>1</v>
      </c>
      <c r="P57" s="93">
        <f t="shared" si="8"/>
        <v>56.06</v>
      </c>
      <c r="Q57" s="93"/>
      <c r="R57" s="37"/>
      <c r="T57" s="103" t="s">
        <v>110</v>
      </c>
      <c r="U57" s="100">
        <v>2411253</v>
      </c>
      <c r="W57" s="143">
        <v>42361</v>
      </c>
      <c r="X57" s="12">
        <v>41.45</v>
      </c>
      <c r="Y57" s="12">
        <v>41.73</v>
      </c>
      <c r="Z57" s="12">
        <v>40.700000000000003</v>
      </c>
      <c r="AA57" s="12">
        <v>41.63</v>
      </c>
      <c r="AB57" s="105">
        <v>2242600</v>
      </c>
      <c r="AC57" s="12">
        <v>41.63</v>
      </c>
      <c r="AD57" s="2">
        <f t="shared" si="1"/>
        <v>1.029999999999994</v>
      </c>
      <c r="AE57" s="148">
        <f t="shared" si="2"/>
        <v>1.984321411073009E-2</v>
      </c>
    </row>
    <row r="58" spans="15:31" x14ac:dyDescent="0.25">
      <c r="O58" s="93">
        <v>0.99</v>
      </c>
      <c r="P58" s="93">
        <f t="shared" si="8"/>
        <v>55.499400000000001</v>
      </c>
      <c r="Q58" s="93"/>
      <c r="R58" s="37"/>
      <c r="T58" s="103" t="s">
        <v>113</v>
      </c>
      <c r="U58" s="100">
        <v>3809570</v>
      </c>
      <c r="W58" s="143">
        <v>42360</v>
      </c>
      <c r="X58" s="12">
        <v>40.43</v>
      </c>
      <c r="Y58" s="12">
        <v>41.07</v>
      </c>
      <c r="Z58" s="12">
        <v>39.869999999999997</v>
      </c>
      <c r="AA58" s="12">
        <v>40.82</v>
      </c>
      <c r="AB58" s="105">
        <v>2251700</v>
      </c>
      <c r="AC58" s="12">
        <v>40.82</v>
      </c>
      <c r="AD58" s="2">
        <f t="shared" si="1"/>
        <v>1.2000000000000028</v>
      </c>
      <c r="AE58" s="148">
        <f t="shared" si="2"/>
        <v>1.214976444334237E-2</v>
      </c>
    </row>
    <row r="59" spans="15:31" x14ac:dyDescent="0.25">
      <c r="O59" s="93">
        <v>0.98</v>
      </c>
      <c r="P59" s="93">
        <f t="shared" si="8"/>
        <v>54.938800000000001</v>
      </c>
      <c r="Q59" s="93"/>
      <c r="T59" s="103" t="s">
        <v>111</v>
      </c>
      <c r="U59" s="98" t="s">
        <v>335</v>
      </c>
      <c r="W59" s="143">
        <v>42359</v>
      </c>
      <c r="X59" s="12">
        <v>39.85</v>
      </c>
      <c r="Y59" s="12">
        <v>40.46</v>
      </c>
      <c r="Z59" s="12">
        <v>39.64</v>
      </c>
      <c r="AA59" s="12">
        <v>40.33</v>
      </c>
      <c r="AB59" s="105">
        <v>2103200</v>
      </c>
      <c r="AC59" s="12">
        <v>40.33</v>
      </c>
      <c r="AD59" s="2">
        <f t="shared" si="1"/>
        <v>0.82000000000000028</v>
      </c>
      <c r="AE59" s="148">
        <f t="shared" si="2"/>
        <v>1.58690176322418E-2</v>
      </c>
    </row>
    <row r="60" spans="15:31" x14ac:dyDescent="0.25">
      <c r="O60" s="93">
        <v>0.97</v>
      </c>
      <c r="P60" s="93">
        <f t="shared" si="8"/>
        <v>54.3782</v>
      </c>
      <c r="Q60" s="93"/>
      <c r="T60" s="103" t="s">
        <v>114</v>
      </c>
      <c r="U60" s="98">
        <v>13.21</v>
      </c>
      <c r="W60" s="143">
        <v>42356</v>
      </c>
      <c r="X60" s="12">
        <v>39.479999999999997</v>
      </c>
      <c r="Y60" s="12">
        <v>40.25</v>
      </c>
      <c r="Z60" s="12">
        <v>39.090000000000003</v>
      </c>
      <c r="AA60" s="12">
        <v>39.700000000000003</v>
      </c>
      <c r="AB60" s="105">
        <v>5723900</v>
      </c>
      <c r="AC60" s="12">
        <v>39.700000000000003</v>
      </c>
      <c r="AD60" s="2">
        <f t="shared" si="1"/>
        <v>1.1599999999999966</v>
      </c>
      <c r="AE60" s="148">
        <f t="shared" si="2"/>
        <v>6.8475779863048647E-3</v>
      </c>
    </row>
    <row r="61" spans="15:31" x14ac:dyDescent="0.25">
      <c r="O61" s="93">
        <v>0.96</v>
      </c>
      <c r="P61" s="93">
        <f t="shared" si="8"/>
        <v>53.817599999999999</v>
      </c>
      <c r="Q61" s="93"/>
      <c r="T61" s="103" t="s">
        <v>115</v>
      </c>
      <c r="U61" s="98">
        <v>4.34</v>
      </c>
      <c r="W61" s="143">
        <v>42355</v>
      </c>
      <c r="X61" s="12">
        <v>40.86</v>
      </c>
      <c r="Y61" s="12">
        <v>41.05</v>
      </c>
      <c r="Z61" s="12">
        <v>38.97</v>
      </c>
      <c r="AA61" s="12">
        <v>39.43</v>
      </c>
      <c r="AB61" s="105">
        <v>3265900</v>
      </c>
      <c r="AC61" s="12">
        <v>39.43</v>
      </c>
      <c r="AD61" s="2">
        <f t="shared" si="1"/>
        <v>2.0799999999999983</v>
      </c>
      <c r="AE61" s="148">
        <f t="shared" si="2"/>
        <v>-3.6883243771372642E-2</v>
      </c>
    </row>
    <row r="62" spans="15:31" x14ac:dyDescent="0.25">
      <c r="O62" s="93">
        <v>0.95</v>
      </c>
      <c r="P62" s="93">
        <f t="shared" si="8"/>
        <v>53.256999999999998</v>
      </c>
      <c r="Q62" s="93"/>
      <c r="T62" s="103" t="s">
        <v>112</v>
      </c>
      <c r="U62" s="98" t="s">
        <v>127</v>
      </c>
      <c r="W62" s="143">
        <v>42354</v>
      </c>
      <c r="X62" s="12">
        <v>40.72</v>
      </c>
      <c r="Y62" s="12">
        <v>41.32</v>
      </c>
      <c r="Z62" s="12">
        <v>40.46</v>
      </c>
      <c r="AA62" s="12">
        <v>40.94</v>
      </c>
      <c r="AB62" s="105">
        <v>2760800</v>
      </c>
      <c r="AC62" s="12">
        <v>40.94</v>
      </c>
      <c r="AD62" s="2">
        <f t="shared" si="1"/>
        <v>0.85999999999999943</v>
      </c>
      <c r="AE62" s="148">
        <f t="shared" si="2"/>
        <v>1.1363636363636465E-2</v>
      </c>
    </row>
    <row r="63" spans="15:31" x14ac:dyDescent="0.25">
      <c r="O63" s="93">
        <v>0.94</v>
      </c>
      <c r="P63" s="93">
        <f t="shared" si="8"/>
        <v>52.696399999999997</v>
      </c>
      <c r="Q63" s="93"/>
      <c r="W63" s="143">
        <v>42353</v>
      </c>
      <c r="X63" s="12">
        <v>40.5</v>
      </c>
      <c r="Y63" s="12">
        <v>41.05</v>
      </c>
      <c r="Z63" s="12">
        <v>39.92</v>
      </c>
      <c r="AA63" s="12">
        <v>40.479999999999997</v>
      </c>
      <c r="AB63" s="105">
        <v>2434300</v>
      </c>
      <c r="AC63" s="12">
        <v>40.479999999999997</v>
      </c>
      <c r="AD63" s="2">
        <f t="shared" si="1"/>
        <v>1.1299999999999955</v>
      </c>
      <c r="AE63" s="148">
        <f t="shared" si="2"/>
        <v>8.219178082191636E-3</v>
      </c>
    </row>
    <row r="64" spans="15:31" x14ac:dyDescent="0.25">
      <c r="O64" s="93">
        <v>0.93</v>
      </c>
      <c r="P64" s="93">
        <f t="shared" si="8"/>
        <v>52.135800000000003</v>
      </c>
      <c r="Q64" s="93"/>
      <c r="W64" s="143">
        <v>42352</v>
      </c>
      <c r="X64" s="12">
        <v>40.409999999999997</v>
      </c>
      <c r="Y64" s="12">
        <v>40.869999999999997</v>
      </c>
      <c r="Z64" s="12">
        <v>39.5</v>
      </c>
      <c r="AA64" s="12">
        <v>40.15</v>
      </c>
      <c r="AB64" s="105">
        <v>2678400</v>
      </c>
      <c r="AC64" s="12">
        <v>40.15</v>
      </c>
      <c r="AD64" s="2">
        <f t="shared" si="1"/>
        <v>1.3699999999999974</v>
      </c>
      <c r="AE64" s="148">
        <f t="shared" si="2"/>
        <v>-5.9420648675415633E-3</v>
      </c>
    </row>
    <row r="65" spans="15:31" x14ac:dyDescent="0.25">
      <c r="O65" s="93">
        <v>0.92</v>
      </c>
      <c r="P65" s="93">
        <f t="shared" si="8"/>
        <v>51.575200000000002</v>
      </c>
      <c r="Q65" s="93"/>
      <c r="W65" s="143">
        <v>42349</v>
      </c>
      <c r="X65" s="12">
        <v>41.67</v>
      </c>
      <c r="Y65" s="12">
        <v>41.81</v>
      </c>
      <c r="Z65" s="12">
        <v>40.19</v>
      </c>
      <c r="AA65" s="12">
        <v>40.39</v>
      </c>
      <c r="AB65" s="105">
        <v>3091800</v>
      </c>
      <c r="AC65" s="12">
        <v>40.39</v>
      </c>
      <c r="AD65" s="2">
        <f t="shared" si="1"/>
        <v>1.6200000000000045</v>
      </c>
      <c r="AE65" s="148">
        <f t="shared" si="2"/>
        <v>-4.3344386546660285E-2</v>
      </c>
    </row>
    <row r="66" spans="15:31" x14ac:dyDescent="0.25">
      <c r="O66" s="93">
        <v>0.91</v>
      </c>
      <c r="P66" s="93">
        <f t="shared" si="8"/>
        <v>51.014600000000002</v>
      </c>
      <c r="Q66" s="93"/>
      <c r="W66" s="143">
        <v>42348</v>
      </c>
      <c r="X66" s="12">
        <v>41.9</v>
      </c>
      <c r="Y66" s="12">
        <v>42.66</v>
      </c>
      <c r="Z66" s="12">
        <v>41.61</v>
      </c>
      <c r="AA66" s="12">
        <v>42.22</v>
      </c>
      <c r="AB66" s="105">
        <v>2089400</v>
      </c>
      <c r="AC66" s="12">
        <v>42.22</v>
      </c>
      <c r="AD66" s="2">
        <f t="shared" si="1"/>
        <v>1.0499999999999972</v>
      </c>
      <c r="AE66" s="148">
        <f t="shared" si="2"/>
        <v>6.6762041010968165E-3</v>
      </c>
    </row>
    <row r="67" spans="15:31" x14ac:dyDescent="0.25">
      <c r="O67" s="93">
        <v>0.9</v>
      </c>
      <c r="P67" s="93">
        <f t="shared" si="8"/>
        <v>50.454000000000001</v>
      </c>
      <c r="Q67" s="93"/>
      <c r="W67" s="143">
        <v>42347</v>
      </c>
      <c r="X67" s="12">
        <v>41.74</v>
      </c>
      <c r="Y67" s="12">
        <v>43.17</v>
      </c>
      <c r="Z67" s="12">
        <v>41.53</v>
      </c>
      <c r="AA67" s="12">
        <v>41.94</v>
      </c>
      <c r="AB67" s="105">
        <v>2744000</v>
      </c>
      <c r="AC67" s="12">
        <v>41.94</v>
      </c>
      <c r="AD67" s="2">
        <f t="shared" ref="AD67:AD68" si="9">Y67-Z67</f>
        <v>1.6400000000000006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42444</v>
      </c>
      <c r="Y2" s="11">
        <v>64.510000000000005</v>
      </c>
      <c r="Z2" s="11">
        <v>66.06</v>
      </c>
      <c r="AA2" s="11">
        <v>64.38</v>
      </c>
      <c r="AB2" s="11">
        <v>65.92</v>
      </c>
      <c r="AC2" s="114">
        <v>2367500</v>
      </c>
      <c r="AD2" s="11">
        <v>65.92</v>
      </c>
      <c r="AE2" s="2">
        <f>Z2-AA2</f>
        <v>1.6800000000000068</v>
      </c>
      <c r="AF2" s="148">
        <f>AD2/AD3-1</f>
        <v>1.493456505003854E-2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66.28</v>
      </c>
      <c r="T3" s="95"/>
      <c r="X3" s="120">
        <v>42443</v>
      </c>
      <c r="Y3" s="11">
        <v>65.19</v>
      </c>
      <c r="Z3" s="11">
        <v>65.41</v>
      </c>
      <c r="AA3" s="11">
        <v>64.53</v>
      </c>
      <c r="AB3" s="11">
        <v>64.95</v>
      </c>
      <c r="AC3" s="114">
        <v>1743100</v>
      </c>
      <c r="AD3" s="11">
        <v>64.95</v>
      </c>
      <c r="AE3" s="2">
        <f t="shared" ref="AE3:AE66" si="2">Z3-AA3</f>
        <v>0.87999999999999545</v>
      </c>
      <c r="AF3" s="148">
        <f t="shared" ref="AF3:AF66" si="3">AD3/AD4-1</f>
        <v>-8.6996336996335577E-3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66.28</v>
      </c>
      <c r="X4" s="120">
        <v>42440</v>
      </c>
      <c r="Y4" s="11">
        <v>64.930000000000007</v>
      </c>
      <c r="Z4" s="11">
        <v>65.709999999999994</v>
      </c>
      <c r="AA4" s="11">
        <v>64.709999999999994</v>
      </c>
      <c r="AB4" s="11">
        <v>65.52</v>
      </c>
      <c r="AC4" s="114">
        <v>2227700</v>
      </c>
      <c r="AD4" s="11">
        <v>65.52</v>
      </c>
      <c r="AE4" s="2">
        <f t="shared" si="2"/>
        <v>1</v>
      </c>
      <c r="AF4" s="148">
        <f t="shared" si="3"/>
        <v>1.9607843137254832E-2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42439</v>
      </c>
      <c r="Y5" s="11">
        <v>64.59</v>
      </c>
      <c r="Z5" s="11">
        <v>65.02</v>
      </c>
      <c r="AA5" s="11">
        <v>63.73</v>
      </c>
      <c r="AB5" s="11">
        <v>64.260000000000005</v>
      </c>
      <c r="AC5" s="114">
        <v>3071400</v>
      </c>
      <c r="AD5" s="11">
        <v>64.260000000000005</v>
      </c>
      <c r="AE5" s="2">
        <f t="shared" si="2"/>
        <v>1.2899999999999991</v>
      </c>
      <c r="AF5" s="148">
        <f t="shared" si="3"/>
        <v>-4.1841004184099972E-3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42438</v>
      </c>
      <c r="Y6" s="11">
        <v>64.790000000000006</v>
      </c>
      <c r="Z6" s="11">
        <v>64.92</v>
      </c>
      <c r="AA6" s="11">
        <v>64.33</v>
      </c>
      <c r="AB6" s="11">
        <v>64.53</v>
      </c>
      <c r="AC6" s="114">
        <v>1496600</v>
      </c>
      <c r="AD6" s="11">
        <v>64.53</v>
      </c>
      <c r="AE6" s="2">
        <f t="shared" si="2"/>
        <v>0.59000000000000341</v>
      </c>
      <c r="AF6" s="148">
        <f t="shared" si="3"/>
        <v>-7.7423350882621644E-4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42437</v>
      </c>
      <c r="Y7" s="11">
        <v>64.760000000000005</v>
      </c>
      <c r="Z7" s="11">
        <v>65.040000000000006</v>
      </c>
      <c r="AA7" s="11">
        <v>64.53</v>
      </c>
      <c r="AB7" s="11">
        <v>64.58</v>
      </c>
      <c r="AC7" s="114">
        <v>1789700</v>
      </c>
      <c r="AD7" s="11">
        <v>64.58</v>
      </c>
      <c r="AE7" s="2">
        <f t="shared" si="2"/>
        <v>0.51000000000000512</v>
      </c>
      <c r="AF7" s="148">
        <f t="shared" si="3"/>
        <v>-6.9198831308626696E-3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42436</v>
      </c>
      <c r="Y8" s="11">
        <v>64.81</v>
      </c>
      <c r="Z8" s="11">
        <v>65.319999999999993</v>
      </c>
      <c r="AA8" s="11">
        <v>64.75</v>
      </c>
      <c r="AB8" s="11">
        <v>65.03</v>
      </c>
      <c r="AC8" s="114">
        <v>1603600</v>
      </c>
      <c r="AD8" s="11">
        <v>65.03</v>
      </c>
      <c r="AE8" s="2">
        <f t="shared" si="2"/>
        <v>0.56999999999999318</v>
      </c>
      <c r="AF8" s="148">
        <f t="shared" si="3"/>
        <v>-5.3533190578157752E-3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230</v>
      </c>
      <c r="Q9" s="148">
        <f>VALUE(TRIM(CLEAN(MID(U55, FIND("(", U55)+1, 5))))</f>
        <v>2.01E-2</v>
      </c>
      <c r="X9" s="120">
        <v>42433</v>
      </c>
      <c r="Y9" s="11">
        <v>65.3</v>
      </c>
      <c r="Z9" s="11">
        <v>65.59</v>
      </c>
      <c r="AA9" s="11">
        <v>64.849999999999994</v>
      </c>
      <c r="AB9" s="11">
        <v>65.38</v>
      </c>
      <c r="AC9" s="114">
        <v>1628300</v>
      </c>
      <c r="AD9" s="11">
        <v>65.38</v>
      </c>
      <c r="AE9" s="2">
        <f t="shared" si="2"/>
        <v>0.74000000000000909</v>
      </c>
      <c r="AF9" s="148">
        <f t="shared" si="3"/>
        <v>1.07181136120027E-3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42432</v>
      </c>
      <c r="Y10" s="11">
        <v>65.400000000000006</v>
      </c>
      <c r="Z10" s="11">
        <v>65.47</v>
      </c>
      <c r="AA10" s="11">
        <v>65</v>
      </c>
      <c r="AB10" s="11">
        <v>65.31</v>
      </c>
      <c r="AC10" s="114">
        <v>1985400</v>
      </c>
      <c r="AD10" s="11">
        <v>65.31</v>
      </c>
      <c r="AE10" s="2">
        <f t="shared" si="2"/>
        <v>0.46999999999999886</v>
      </c>
      <c r="AF10" s="148">
        <f t="shared" si="3"/>
        <v>-1.5288182235131398E-3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42431</v>
      </c>
      <c r="Y11" s="11">
        <v>64.73</v>
      </c>
      <c r="Z11" s="11">
        <v>65.42</v>
      </c>
      <c r="AA11" s="11">
        <v>64.64</v>
      </c>
      <c r="AB11" s="11">
        <v>65.41</v>
      </c>
      <c r="AC11" s="114">
        <v>2215600</v>
      </c>
      <c r="AD11" s="11">
        <v>65.41</v>
      </c>
      <c r="AE11" s="2">
        <f t="shared" si="2"/>
        <v>0.78000000000000114</v>
      </c>
      <c r="AF11" s="148">
        <f t="shared" si="3"/>
        <v>9.257830581700377E-3</v>
      </c>
    </row>
    <row r="12" spans="1:32" x14ac:dyDescent="0.25">
      <c r="X12" s="120">
        <v>42430</v>
      </c>
      <c r="Y12" s="11">
        <v>63.84</v>
      </c>
      <c r="Z12" s="11">
        <v>64.81</v>
      </c>
      <c r="AA12" s="11">
        <v>63.59</v>
      </c>
      <c r="AB12" s="11">
        <v>64.81</v>
      </c>
      <c r="AC12" s="114">
        <v>2167700</v>
      </c>
      <c r="AD12" s="11">
        <v>64.81</v>
      </c>
      <c r="AE12" s="2">
        <f t="shared" si="2"/>
        <v>1.2199999999999989</v>
      </c>
      <c r="AF12" s="148">
        <f t="shared" si="3"/>
        <v>2.1273242987708718E-2</v>
      </c>
    </row>
    <row r="13" spans="1:32" x14ac:dyDescent="0.25">
      <c r="X13" s="120">
        <v>42429</v>
      </c>
      <c r="Y13" s="11">
        <v>64.12</v>
      </c>
      <c r="Z13" s="11">
        <v>64.31</v>
      </c>
      <c r="AA13" s="11">
        <v>63.45</v>
      </c>
      <c r="AB13" s="11">
        <v>63.46</v>
      </c>
      <c r="AC13" s="114">
        <v>2285100</v>
      </c>
      <c r="AD13" s="11">
        <v>63.46</v>
      </c>
      <c r="AE13" s="2">
        <f t="shared" si="2"/>
        <v>0.85999999999999943</v>
      </c>
      <c r="AF13" s="148">
        <f t="shared" si="3"/>
        <v>-1.3370646766169059E-2</v>
      </c>
    </row>
    <row r="14" spans="1:32" x14ac:dyDescent="0.25">
      <c r="X14" s="120">
        <v>42426</v>
      </c>
      <c r="Y14" s="11">
        <v>64.53</v>
      </c>
      <c r="Z14" s="11">
        <v>64.709999999999994</v>
      </c>
      <c r="AA14" s="11">
        <v>64.209999999999994</v>
      </c>
      <c r="AB14" s="11">
        <v>64.319999999999993</v>
      </c>
      <c r="AC14" s="114">
        <v>2391400</v>
      </c>
      <c r="AD14" s="11">
        <v>64.319999999999993</v>
      </c>
      <c r="AE14" s="2">
        <f t="shared" si="2"/>
        <v>0.5</v>
      </c>
      <c r="AF14" s="148">
        <f t="shared" si="3"/>
        <v>-1.3972985561249152E-3</v>
      </c>
    </row>
    <row r="15" spans="1:32" x14ac:dyDescent="0.25">
      <c r="X15" s="120">
        <v>42425</v>
      </c>
      <c r="Y15" s="11">
        <v>63.92</v>
      </c>
      <c r="Z15" s="11">
        <v>64.44</v>
      </c>
      <c r="AA15" s="11">
        <v>63.67</v>
      </c>
      <c r="AB15" s="11">
        <v>64.41</v>
      </c>
      <c r="AC15" s="114">
        <v>1936100</v>
      </c>
      <c r="AD15" s="11">
        <v>64.41</v>
      </c>
      <c r="AE15" s="2">
        <f t="shared" si="2"/>
        <v>0.76999999999999602</v>
      </c>
      <c r="AF15" s="148" t="e">
        <f t="shared" si="3"/>
        <v>#DIV/0!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42425</v>
      </c>
      <c r="Y16" s="11" t="s">
        <v>264</v>
      </c>
      <c r="Z16" s="11"/>
      <c r="AA16" s="11"/>
      <c r="AB16" s="11"/>
      <c r="AC16" s="114"/>
      <c r="AD16" s="11"/>
      <c r="AE16" s="2">
        <f t="shared" si="2"/>
        <v>0</v>
      </c>
      <c r="AF16" s="148">
        <f t="shared" si="3"/>
        <v>-1</v>
      </c>
    </row>
    <row r="17" spans="1:32" x14ac:dyDescent="0.25">
      <c r="X17" s="120">
        <v>42424</v>
      </c>
      <c r="Y17" s="11">
        <v>63.35</v>
      </c>
      <c r="Z17" s="11">
        <v>64.13</v>
      </c>
      <c r="AA17" s="11">
        <v>62.78</v>
      </c>
      <c r="AB17" s="11">
        <v>63.95</v>
      </c>
      <c r="AC17" s="114">
        <v>2366700</v>
      </c>
      <c r="AD17" s="11">
        <v>63.62</v>
      </c>
      <c r="AE17" s="2">
        <f t="shared" si="2"/>
        <v>1.3499999999999943</v>
      </c>
      <c r="AF17" s="148">
        <f t="shared" si="3"/>
        <v>3.4700315457412145E-3</v>
      </c>
    </row>
    <row r="18" spans="1:32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53" t="s">
        <v>90</v>
      </c>
      <c r="X18" s="120">
        <v>42423</v>
      </c>
      <c r="Y18" s="11">
        <v>64.31</v>
      </c>
      <c r="Z18" s="11">
        <v>64.31</v>
      </c>
      <c r="AA18" s="11">
        <v>63.56</v>
      </c>
      <c r="AB18" s="11">
        <v>63.73</v>
      </c>
      <c r="AC18" s="114">
        <v>1973500</v>
      </c>
      <c r="AD18" s="11">
        <v>63.4</v>
      </c>
      <c r="AE18" s="2">
        <f t="shared" si="2"/>
        <v>0.75</v>
      </c>
      <c r="AF18" s="148">
        <f t="shared" si="3"/>
        <v>-1.1074715333021401E-2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42422</v>
      </c>
      <c r="Y19" s="11">
        <v>64</v>
      </c>
      <c r="Z19" s="11">
        <v>64.599999999999994</v>
      </c>
      <c r="AA19" s="11">
        <v>64</v>
      </c>
      <c r="AB19" s="11">
        <v>64.44</v>
      </c>
      <c r="AC19" s="114">
        <v>2513100</v>
      </c>
      <c r="AD19" s="11">
        <v>64.11</v>
      </c>
      <c r="AE19" s="2">
        <f t="shared" si="2"/>
        <v>0.59999999999999432</v>
      </c>
      <c r="AF19" s="148">
        <f t="shared" si="3"/>
        <v>6.9106329511543496E-3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42419</v>
      </c>
      <c r="Y20" s="11">
        <v>63.89</v>
      </c>
      <c r="Z20" s="11">
        <v>64.44</v>
      </c>
      <c r="AA20" s="11">
        <v>63.8</v>
      </c>
      <c r="AB20" s="11">
        <v>64</v>
      </c>
      <c r="AC20" s="114">
        <v>4300100</v>
      </c>
      <c r="AD20" s="11">
        <v>63.67</v>
      </c>
      <c r="AE20" s="2">
        <f t="shared" si="2"/>
        <v>0.64000000000000057</v>
      </c>
      <c r="AF20" s="148">
        <f t="shared" si="3"/>
        <v>-4.689698296076239E-3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42418</v>
      </c>
      <c r="Y21" s="11">
        <v>64.91</v>
      </c>
      <c r="Z21" s="11">
        <v>65</v>
      </c>
      <c r="AA21" s="11">
        <v>64.069999999999993</v>
      </c>
      <c r="AB21" s="11">
        <v>64.3</v>
      </c>
      <c r="AC21" s="114">
        <v>4086400</v>
      </c>
      <c r="AD21" s="11">
        <v>63.97</v>
      </c>
      <c r="AE21" s="2">
        <f t="shared" si="2"/>
        <v>0.93000000000000682</v>
      </c>
      <c r="AF21" s="148">
        <f t="shared" si="3"/>
        <v>-1.0977118119975371E-2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42417</v>
      </c>
      <c r="Y22" s="11">
        <v>64.69</v>
      </c>
      <c r="Z22" s="11">
        <v>65.290000000000006</v>
      </c>
      <c r="AA22" s="11">
        <v>64.69</v>
      </c>
      <c r="AB22" s="11">
        <v>65.02</v>
      </c>
      <c r="AC22" s="114">
        <v>3342700</v>
      </c>
      <c r="AD22" s="11">
        <v>64.680000000000007</v>
      </c>
      <c r="AE22" s="2">
        <f t="shared" si="2"/>
        <v>0.60000000000000853</v>
      </c>
      <c r="AF22" s="148">
        <f t="shared" si="3"/>
        <v>6.8493150684934001E-3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42416</v>
      </c>
      <c r="Y23" s="11">
        <v>64.47</v>
      </c>
      <c r="Z23" s="11">
        <v>64.72</v>
      </c>
      <c r="AA23" s="11">
        <v>63.85</v>
      </c>
      <c r="AB23" s="11">
        <v>64.569999999999993</v>
      </c>
      <c r="AC23" s="114">
        <v>3502500</v>
      </c>
      <c r="AD23" s="11">
        <v>64.239999999999995</v>
      </c>
      <c r="AE23" s="2">
        <f t="shared" si="2"/>
        <v>0.86999999999999744</v>
      </c>
      <c r="AF23" s="148">
        <f t="shared" si="3"/>
        <v>1.0380622837370179E-2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42412</v>
      </c>
      <c r="Y24" s="11">
        <v>63.02</v>
      </c>
      <c r="Z24" s="11">
        <v>64.31</v>
      </c>
      <c r="AA24" s="11">
        <v>62.86</v>
      </c>
      <c r="AB24" s="11">
        <v>63.91</v>
      </c>
      <c r="AC24" s="114">
        <v>3615300</v>
      </c>
      <c r="AD24" s="11">
        <v>63.58</v>
      </c>
      <c r="AE24" s="2">
        <f t="shared" si="2"/>
        <v>1.4500000000000028</v>
      </c>
      <c r="AF24" s="148">
        <f t="shared" si="3"/>
        <v>2.5483870967741851E-2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42411</v>
      </c>
      <c r="Y25" s="11">
        <v>61.95</v>
      </c>
      <c r="Z25" s="11">
        <v>62.66</v>
      </c>
      <c r="AA25" s="11">
        <v>61.7</v>
      </c>
      <c r="AB25" s="11">
        <v>62.32</v>
      </c>
      <c r="AC25" s="114">
        <v>3020000</v>
      </c>
      <c r="AD25" s="11">
        <v>62</v>
      </c>
      <c r="AE25" s="2">
        <f t="shared" si="2"/>
        <v>0.95999999999999375</v>
      </c>
      <c r="AF25" s="148">
        <f t="shared" si="3"/>
        <v>-1.0533035429300952E-2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42410</v>
      </c>
      <c r="Y26" s="11">
        <v>63.27</v>
      </c>
      <c r="Z26" s="11">
        <v>63.94</v>
      </c>
      <c r="AA26" s="11">
        <v>62.89</v>
      </c>
      <c r="AB26" s="11">
        <v>62.98</v>
      </c>
      <c r="AC26" s="114">
        <v>2987500</v>
      </c>
      <c r="AD26" s="11">
        <v>62.66</v>
      </c>
      <c r="AE26" s="2">
        <f t="shared" si="2"/>
        <v>1.0499999999999972</v>
      </c>
      <c r="AF26" s="148">
        <f t="shared" si="3"/>
        <v>-3.1908104658584513E-4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42409</v>
      </c>
      <c r="Y27" s="11">
        <v>62.81</v>
      </c>
      <c r="Z27" s="11">
        <v>63.26</v>
      </c>
      <c r="AA27" s="11">
        <v>62.45</v>
      </c>
      <c r="AB27" s="11">
        <v>63.01</v>
      </c>
      <c r="AC27" s="114">
        <v>3743700</v>
      </c>
      <c r="AD27" s="11">
        <v>62.68</v>
      </c>
      <c r="AE27" s="2">
        <f t="shared" si="2"/>
        <v>0.80999999999999517</v>
      </c>
      <c r="AF27" s="148">
        <f t="shared" si="3"/>
        <v>-5.0793650793651279E-3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42408</v>
      </c>
      <c r="Y28" s="11">
        <v>62.87</v>
      </c>
      <c r="Z28" s="11">
        <v>63.54</v>
      </c>
      <c r="AA28" s="11">
        <v>62.36</v>
      </c>
      <c r="AB28" s="11">
        <v>63.33</v>
      </c>
      <c r="AC28" s="114">
        <v>3008500</v>
      </c>
      <c r="AD28" s="11">
        <v>63</v>
      </c>
      <c r="AE28" s="2">
        <f t="shared" si="2"/>
        <v>1.1799999999999997</v>
      </c>
      <c r="AF28" s="148">
        <f t="shared" si="3"/>
        <v>-6.3451776649747771E-4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42405</v>
      </c>
      <c r="Y29" s="11">
        <v>62.09</v>
      </c>
      <c r="Z29" s="11">
        <v>63.52</v>
      </c>
      <c r="AA29" s="11">
        <v>62.09</v>
      </c>
      <c r="AB29" s="11">
        <v>63.37</v>
      </c>
      <c r="AC29" s="114">
        <v>4617500</v>
      </c>
      <c r="AD29" s="11">
        <v>63.04</v>
      </c>
      <c r="AE29" s="2">
        <f t="shared" si="2"/>
        <v>1.4299999999999997</v>
      </c>
      <c r="AF29" s="148">
        <f t="shared" si="3"/>
        <v>2.1221448242345842E-2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42404</v>
      </c>
      <c r="Y30" s="11">
        <v>60.48</v>
      </c>
      <c r="Z30" s="11">
        <v>62.2</v>
      </c>
      <c r="AA30" s="11">
        <v>60.48</v>
      </c>
      <c r="AB30" s="11">
        <v>62.05</v>
      </c>
      <c r="AC30" s="114">
        <v>5520000</v>
      </c>
      <c r="AD30" s="11">
        <v>61.73</v>
      </c>
      <c r="AE30" s="2">
        <f t="shared" si="2"/>
        <v>1.720000000000006</v>
      </c>
      <c r="AF30" s="148">
        <f t="shared" si="3"/>
        <v>4.045171077026799E-2</v>
      </c>
    </row>
    <row r="31" spans="1:32" x14ac:dyDescent="0.25">
      <c r="X31" s="120">
        <v>42403</v>
      </c>
      <c r="Y31" s="11">
        <v>60.29</v>
      </c>
      <c r="Z31" s="11">
        <v>60.29</v>
      </c>
      <c r="AA31" s="11">
        <v>58.29</v>
      </c>
      <c r="AB31" s="11">
        <v>59.64</v>
      </c>
      <c r="AC31" s="114">
        <v>4765200</v>
      </c>
      <c r="AD31" s="11">
        <v>59.33</v>
      </c>
      <c r="AE31" s="2">
        <f t="shared" si="2"/>
        <v>2</v>
      </c>
      <c r="AF31" s="148">
        <f t="shared" si="3"/>
        <v>-5.5313442842775951E-3</v>
      </c>
    </row>
    <row r="32" spans="1:32" x14ac:dyDescent="0.25">
      <c r="X32" s="120">
        <v>42402</v>
      </c>
      <c r="Y32" s="11">
        <v>60.01</v>
      </c>
      <c r="Z32" s="11">
        <v>60.5</v>
      </c>
      <c r="AA32" s="11">
        <v>59.76</v>
      </c>
      <c r="AB32" s="11">
        <v>59.97</v>
      </c>
      <c r="AC32" s="114">
        <v>2540900</v>
      </c>
      <c r="AD32" s="11">
        <v>59.66</v>
      </c>
      <c r="AE32" s="2">
        <f t="shared" si="2"/>
        <v>0.74000000000000199</v>
      </c>
      <c r="AF32" s="148">
        <f t="shared" si="3"/>
        <v>-9.2992361341747154E-3</v>
      </c>
    </row>
    <row r="33" spans="15:32" x14ac:dyDescent="0.25">
      <c r="X33" s="120">
        <v>42401</v>
      </c>
      <c r="Y33" s="11">
        <v>60.14</v>
      </c>
      <c r="Z33" s="11">
        <v>60.83</v>
      </c>
      <c r="AA33" s="11">
        <v>59.82</v>
      </c>
      <c r="AB33" s="11">
        <v>60.53</v>
      </c>
      <c r="AC33" s="114">
        <v>2667500</v>
      </c>
      <c r="AD33" s="11">
        <v>60.22</v>
      </c>
      <c r="AE33" s="2">
        <f t="shared" si="2"/>
        <v>1.009999999999998</v>
      </c>
      <c r="AF33" s="148">
        <f t="shared" si="3"/>
        <v>-1.1610549013103544E-3</v>
      </c>
    </row>
    <row r="34" spans="15:32" x14ac:dyDescent="0.25">
      <c r="X34" s="120">
        <v>42398</v>
      </c>
      <c r="Y34" s="11">
        <v>59.68</v>
      </c>
      <c r="Z34" s="11">
        <v>60.61</v>
      </c>
      <c r="AA34" s="11">
        <v>59.43</v>
      </c>
      <c r="AB34" s="11">
        <v>60.6</v>
      </c>
      <c r="AC34" s="114">
        <v>3799200</v>
      </c>
      <c r="AD34" s="11">
        <v>60.29</v>
      </c>
      <c r="AE34" s="2">
        <f t="shared" si="2"/>
        <v>1.1799999999999997</v>
      </c>
      <c r="AF34" s="148">
        <f t="shared" si="3"/>
        <v>2.3425564420302303E-2</v>
      </c>
    </row>
    <row r="35" spans="15:32" ht="20.25" thickBot="1" x14ac:dyDescent="0.35">
      <c r="O35" s="408" t="s">
        <v>78</v>
      </c>
      <c r="P35" s="408"/>
      <c r="X35" s="120">
        <v>42397</v>
      </c>
      <c r="Y35" s="11">
        <v>58.83</v>
      </c>
      <c r="Z35" s="11">
        <v>59.5</v>
      </c>
      <c r="AA35" s="11">
        <v>58.42</v>
      </c>
      <c r="AB35" s="11">
        <v>59.22</v>
      </c>
      <c r="AC35" s="114">
        <v>3191000</v>
      </c>
      <c r="AD35" s="11">
        <v>58.91</v>
      </c>
      <c r="AE35" s="2">
        <f t="shared" si="2"/>
        <v>1.0799999999999983</v>
      </c>
      <c r="AF35" s="148">
        <f t="shared" si="3"/>
        <v>1.3766993632765345E-2</v>
      </c>
    </row>
    <row r="36" spans="15:32" ht="15.75" thickTop="1" x14ac:dyDescent="0.25">
      <c r="O36" s="93">
        <v>1.1000000000000001</v>
      </c>
      <c r="P36" s="93">
        <f>O36*$Q$4</f>
        <v>72.908000000000001</v>
      </c>
      <c r="Q36" s="2"/>
      <c r="X36" s="120">
        <v>42396</v>
      </c>
      <c r="Y36" s="11">
        <v>58.18</v>
      </c>
      <c r="Z36" s="11">
        <v>59.38</v>
      </c>
      <c r="AA36" s="11">
        <v>58.03</v>
      </c>
      <c r="AB36" s="11">
        <v>58.41</v>
      </c>
      <c r="AC36" s="114">
        <v>2891300</v>
      </c>
      <c r="AD36" s="11">
        <v>58.11</v>
      </c>
      <c r="AE36" s="2">
        <f t="shared" si="2"/>
        <v>1.3500000000000014</v>
      </c>
      <c r="AF36" s="148">
        <f t="shared" si="3"/>
        <v>3.9737387698686177E-3</v>
      </c>
    </row>
    <row r="37" spans="15:32" ht="15" customHeight="1" x14ac:dyDescent="0.25">
      <c r="O37" s="93">
        <v>1.0900000000000001</v>
      </c>
      <c r="P37" s="93">
        <f t="shared" ref="P37:P56" si="6">O37*$Q$4</f>
        <v>72.245200000000011</v>
      </c>
      <c r="Q37" s="2"/>
      <c r="X37" s="120">
        <v>42395</v>
      </c>
      <c r="Y37" s="11">
        <v>58.05</v>
      </c>
      <c r="Z37" s="11">
        <v>58.68</v>
      </c>
      <c r="AA37" s="11">
        <v>57.88</v>
      </c>
      <c r="AB37" s="11">
        <v>58.18</v>
      </c>
      <c r="AC37" s="114">
        <v>2184300</v>
      </c>
      <c r="AD37" s="11">
        <v>57.88</v>
      </c>
      <c r="AE37" s="2">
        <f t="shared" si="2"/>
        <v>0.79999999999999716</v>
      </c>
      <c r="AF37" s="148">
        <f t="shared" si="3"/>
        <v>8.3623693379790698E-3</v>
      </c>
    </row>
    <row r="38" spans="15:32" x14ac:dyDescent="0.25">
      <c r="O38" s="93">
        <v>1.08</v>
      </c>
      <c r="P38" s="93">
        <f t="shared" si="6"/>
        <v>71.582400000000007</v>
      </c>
      <c r="Q38" s="2"/>
      <c r="X38" s="120">
        <v>42394</v>
      </c>
      <c r="Y38" s="11">
        <v>58.31</v>
      </c>
      <c r="Z38" s="11">
        <v>58.46</v>
      </c>
      <c r="AA38" s="11">
        <v>57.62</v>
      </c>
      <c r="AB38" s="11">
        <v>57.7</v>
      </c>
      <c r="AC38" s="114">
        <v>3852400</v>
      </c>
      <c r="AD38" s="11">
        <v>57.4</v>
      </c>
      <c r="AE38" s="2">
        <f t="shared" si="2"/>
        <v>0.84000000000000341</v>
      </c>
      <c r="AF38" s="148">
        <f t="shared" si="3"/>
        <v>-1.4253821054439286E-2</v>
      </c>
    </row>
    <row r="39" spans="15:32" ht="20.25" thickBot="1" x14ac:dyDescent="0.35">
      <c r="O39" s="93">
        <v>1.07</v>
      </c>
      <c r="P39" s="93">
        <f t="shared" si="6"/>
        <v>70.919600000000003</v>
      </c>
      <c r="Q39" s="2"/>
      <c r="T39" s="122" t="s">
        <v>94</v>
      </c>
      <c r="U39" s="2"/>
      <c r="X39" s="120">
        <v>42391</v>
      </c>
      <c r="Y39" s="11">
        <v>58.91</v>
      </c>
      <c r="Z39" s="11">
        <v>59</v>
      </c>
      <c r="AA39" s="11">
        <v>58.2</v>
      </c>
      <c r="AB39" s="11">
        <v>58.53</v>
      </c>
      <c r="AC39" s="114">
        <v>2699600</v>
      </c>
      <c r="AD39" s="11">
        <v>58.23</v>
      </c>
      <c r="AE39" s="2">
        <f t="shared" si="2"/>
        <v>0.79999999999999716</v>
      </c>
      <c r="AF39" s="148">
        <f t="shared" si="3"/>
        <v>6.5687121866895293E-3</v>
      </c>
    </row>
    <row r="40" spans="15:32" ht="15.75" thickTop="1" x14ac:dyDescent="0.25">
      <c r="O40" s="93">
        <v>1.06</v>
      </c>
      <c r="P40" s="93">
        <f t="shared" si="6"/>
        <v>70.256799999999998</v>
      </c>
      <c r="Q40" s="2"/>
      <c r="T40" s="123" t="s">
        <v>101</v>
      </c>
      <c r="U40" s="116">
        <v>64.95</v>
      </c>
      <c r="X40" s="120">
        <v>42390</v>
      </c>
      <c r="Y40" s="11">
        <v>58.21</v>
      </c>
      <c r="Z40" s="11">
        <v>58.66</v>
      </c>
      <c r="AA40" s="11">
        <v>57.82</v>
      </c>
      <c r="AB40" s="11">
        <v>58.15</v>
      </c>
      <c r="AC40" s="114">
        <v>3858000</v>
      </c>
      <c r="AD40" s="11">
        <v>57.85</v>
      </c>
      <c r="AE40" s="2">
        <f t="shared" si="2"/>
        <v>0.83999999999999631</v>
      </c>
      <c r="AF40" s="148">
        <f t="shared" si="3"/>
        <v>2.7734442711042639E-3</v>
      </c>
    </row>
    <row r="41" spans="15:32" x14ac:dyDescent="0.25">
      <c r="O41" s="93">
        <v>1.05</v>
      </c>
      <c r="P41" s="93">
        <f t="shared" si="6"/>
        <v>69.594000000000008</v>
      </c>
      <c r="Q41" s="2"/>
      <c r="T41" s="123" t="s">
        <v>102</v>
      </c>
      <c r="U41" s="116">
        <v>64.56</v>
      </c>
      <c r="X41" s="120">
        <v>42389</v>
      </c>
      <c r="Y41" s="11">
        <v>57.5</v>
      </c>
      <c r="Z41" s="11">
        <v>58.48</v>
      </c>
      <c r="AA41" s="11">
        <v>57.14</v>
      </c>
      <c r="AB41" s="11">
        <v>57.99</v>
      </c>
      <c r="AC41" s="114">
        <v>4685500</v>
      </c>
      <c r="AD41" s="11">
        <v>57.69</v>
      </c>
      <c r="AE41" s="2">
        <f t="shared" si="2"/>
        <v>1.3399999999999963</v>
      </c>
      <c r="AF41" s="148">
        <f t="shared" si="3"/>
        <v>-7.7399380804954454E-3</v>
      </c>
    </row>
    <row r="42" spans="15:32" x14ac:dyDescent="0.25">
      <c r="O42" s="93">
        <v>1.04</v>
      </c>
      <c r="P42" s="93">
        <f t="shared" si="6"/>
        <v>68.931200000000004</v>
      </c>
      <c r="Q42" s="2"/>
      <c r="T42" s="123" t="s">
        <v>103</v>
      </c>
      <c r="U42" s="116" t="s">
        <v>336</v>
      </c>
      <c r="X42" s="120">
        <v>42388</v>
      </c>
      <c r="Y42" s="11">
        <v>59.02</v>
      </c>
      <c r="Z42" s="11">
        <v>59.35</v>
      </c>
      <c r="AA42" s="11">
        <v>58.06</v>
      </c>
      <c r="AB42" s="11">
        <v>58.44</v>
      </c>
      <c r="AC42" s="114">
        <v>3082900</v>
      </c>
      <c r="AD42" s="11">
        <v>58.14</v>
      </c>
      <c r="AE42" s="2">
        <f t="shared" si="2"/>
        <v>1.2899999999999991</v>
      </c>
      <c r="AF42" s="148">
        <f t="shared" si="3"/>
        <v>5.3605395123639266E-3</v>
      </c>
    </row>
    <row r="43" spans="15:32" x14ac:dyDescent="0.25">
      <c r="O43" s="93">
        <v>1.03</v>
      </c>
      <c r="P43" s="93">
        <f t="shared" si="6"/>
        <v>68.2684</v>
      </c>
      <c r="Q43" s="2"/>
      <c r="T43" s="123" t="s">
        <v>104</v>
      </c>
      <c r="U43" s="116" t="s">
        <v>337</v>
      </c>
      <c r="X43" s="120">
        <v>42384</v>
      </c>
      <c r="Y43" s="11">
        <v>56.91</v>
      </c>
      <c r="Z43" s="11">
        <v>58.56</v>
      </c>
      <c r="AA43" s="11">
        <v>56.03</v>
      </c>
      <c r="AB43" s="11">
        <v>58.13</v>
      </c>
      <c r="AC43" s="114">
        <v>5060200</v>
      </c>
      <c r="AD43" s="11">
        <v>57.83</v>
      </c>
      <c r="AE43" s="2">
        <f t="shared" si="2"/>
        <v>2.5300000000000011</v>
      </c>
      <c r="AF43" s="148">
        <f t="shared" si="3"/>
        <v>-4.9896765313145464E-3</v>
      </c>
    </row>
    <row r="44" spans="15:32" x14ac:dyDescent="0.25">
      <c r="O44" s="93">
        <v>1.02</v>
      </c>
      <c r="P44" s="93">
        <f t="shared" si="6"/>
        <v>67.605599999999995</v>
      </c>
      <c r="Q44" s="2"/>
      <c r="T44" s="123" t="s">
        <v>105</v>
      </c>
      <c r="U44" s="116">
        <v>70.86</v>
      </c>
      <c r="X44" s="120">
        <v>42383</v>
      </c>
      <c r="Y44" s="11">
        <v>57.97</v>
      </c>
      <c r="Z44" s="11">
        <v>59.18</v>
      </c>
      <c r="AA44" s="11">
        <v>57.97</v>
      </c>
      <c r="AB44" s="11">
        <v>58.42</v>
      </c>
      <c r="AC44" s="114">
        <v>3193200</v>
      </c>
      <c r="AD44" s="11">
        <v>58.12</v>
      </c>
      <c r="AE44" s="2">
        <f t="shared" si="2"/>
        <v>1.2100000000000009</v>
      </c>
      <c r="AF44" s="148">
        <f t="shared" si="3"/>
        <v>8.8526297517792507E-3</v>
      </c>
    </row>
    <row r="45" spans="15:32" x14ac:dyDescent="0.25">
      <c r="O45" s="93">
        <v>1.01</v>
      </c>
      <c r="P45" s="93">
        <f t="shared" si="6"/>
        <v>66.942800000000005</v>
      </c>
      <c r="Q45" s="2"/>
      <c r="T45" s="123" t="s">
        <v>106</v>
      </c>
      <c r="U45" s="116">
        <v>1.08267</v>
      </c>
      <c r="X45" s="120">
        <v>42382</v>
      </c>
      <c r="Y45" s="11">
        <v>58.82</v>
      </c>
      <c r="Z45" s="11">
        <v>59.35</v>
      </c>
      <c r="AA45" s="11">
        <v>57.82</v>
      </c>
      <c r="AB45" s="11">
        <v>57.91</v>
      </c>
      <c r="AC45" s="114">
        <v>4225600</v>
      </c>
      <c r="AD45" s="11">
        <v>57.61</v>
      </c>
      <c r="AE45" s="2">
        <f t="shared" si="2"/>
        <v>1.5300000000000011</v>
      </c>
      <c r="AF45" s="148">
        <f t="shared" si="3"/>
        <v>-1.2682090831191095E-2</v>
      </c>
    </row>
    <row r="46" spans="15:32" x14ac:dyDescent="0.25">
      <c r="O46" s="93">
        <v>1</v>
      </c>
      <c r="P46" s="93">
        <f t="shared" si="6"/>
        <v>66.28</v>
      </c>
      <c r="Q46" s="2"/>
      <c r="T46" s="123" t="s">
        <v>126</v>
      </c>
      <c r="U46" s="116" t="s">
        <v>235</v>
      </c>
      <c r="X46" s="120">
        <v>42381</v>
      </c>
      <c r="Y46" s="11">
        <v>58.43</v>
      </c>
      <c r="Z46" s="11">
        <v>58.74</v>
      </c>
      <c r="AA46" s="11">
        <v>57.81</v>
      </c>
      <c r="AB46" s="11">
        <v>58.65</v>
      </c>
      <c r="AC46" s="114">
        <v>2957900</v>
      </c>
      <c r="AD46" s="11">
        <v>58.35</v>
      </c>
      <c r="AE46" s="2">
        <f t="shared" si="2"/>
        <v>0.92999999999999972</v>
      </c>
      <c r="AF46" s="148">
        <f t="shared" si="3"/>
        <v>1.0914760914761068E-2</v>
      </c>
    </row>
    <row r="47" spans="15:32" x14ac:dyDescent="0.25">
      <c r="O47" s="93">
        <v>0.99</v>
      </c>
      <c r="P47" s="93">
        <f t="shared" si="6"/>
        <v>65.617199999999997</v>
      </c>
      <c r="Q47" s="2"/>
      <c r="T47" s="123"/>
      <c r="U47" s="116"/>
      <c r="X47" s="120">
        <v>42380</v>
      </c>
      <c r="Y47" s="11">
        <v>58.39</v>
      </c>
      <c r="Z47" s="11">
        <v>58.63</v>
      </c>
      <c r="AA47" s="11">
        <v>57.59</v>
      </c>
      <c r="AB47" s="11">
        <v>58.02</v>
      </c>
      <c r="AC47" s="114">
        <v>3037300</v>
      </c>
      <c r="AD47" s="11">
        <v>57.72</v>
      </c>
      <c r="AE47" s="2">
        <f t="shared" si="2"/>
        <v>1.0399999999999991</v>
      </c>
      <c r="AF47" s="148">
        <f t="shared" si="3"/>
        <v>-3.6250647332988217E-3</v>
      </c>
    </row>
    <row r="48" spans="15:32" x14ac:dyDescent="0.25">
      <c r="O48" s="93">
        <v>0.98</v>
      </c>
      <c r="P48" s="93">
        <f t="shared" si="6"/>
        <v>64.954400000000007</v>
      </c>
      <c r="Q48" s="2"/>
      <c r="T48" s="123" t="s">
        <v>108</v>
      </c>
      <c r="U48" s="116" t="s">
        <v>338</v>
      </c>
      <c r="X48" s="120">
        <v>42377</v>
      </c>
      <c r="Y48" s="11">
        <v>58.8</v>
      </c>
      <c r="Z48" s="11">
        <v>58.94</v>
      </c>
      <c r="AA48" s="11">
        <v>58.14</v>
      </c>
      <c r="AB48" s="11">
        <v>58.23</v>
      </c>
      <c r="AC48" s="114">
        <v>2883900</v>
      </c>
      <c r="AD48" s="11">
        <v>57.93</v>
      </c>
      <c r="AE48" s="2">
        <f t="shared" si="2"/>
        <v>0.79999999999999716</v>
      </c>
      <c r="AF48" s="148">
        <f t="shared" si="3"/>
        <v>-3.6119711042311708E-3</v>
      </c>
    </row>
    <row r="49" spans="15:32" x14ac:dyDescent="0.25">
      <c r="O49" s="93">
        <v>0.97</v>
      </c>
      <c r="P49" s="93">
        <f t="shared" si="6"/>
        <v>64.291600000000003</v>
      </c>
      <c r="T49" s="123" t="s">
        <v>109</v>
      </c>
      <c r="U49" s="116" t="s">
        <v>234</v>
      </c>
      <c r="X49" s="120">
        <v>42376</v>
      </c>
      <c r="Y49" s="11">
        <v>58.79</v>
      </c>
      <c r="Z49" s="11">
        <v>59.66</v>
      </c>
      <c r="AA49" s="11">
        <v>58.31</v>
      </c>
      <c r="AB49" s="11">
        <v>58.44</v>
      </c>
      <c r="AC49" s="114">
        <v>3982600</v>
      </c>
      <c r="AD49" s="11">
        <v>58.14</v>
      </c>
      <c r="AE49" s="2">
        <f t="shared" si="2"/>
        <v>1.3499999999999943</v>
      </c>
      <c r="AF49" s="148">
        <f t="shared" si="3"/>
        <v>-2.3513604299630453E-2</v>
      </c>
    </row>
    <row r="50" spans="15:32" x14ac:dyDescent="0.25">
      <c r="O50" s="93">
        <v>0.96</v>
      </c>
      <c r="P50" s="93">
        <f t="shared" si="6"/>
        <v>63.628799999999998</v>
      </c>
      <c r="T50" s="123" t="s">
        <v>110</v>
      </c>
      <c r="U50" s="117">
        <v>2368178</v>
      </c>
      <c r="X50" s="120">
        <v>42375</v>
      </c>
      <c r="Y50" s="11">
        <v>59.79</v>
      </c>
      <c r="Z50" s="11">
        <v>60.2</v>
      </c>
      <c r="AA50" s="11">
        <v>59.6</v>
      </c>
      <c r="AB50" s="11">
        <v>59.85</v>
      </c>
      <c r="AC50" s="114">
        <v>2868400</v>
      </c>
      <c r="AD50" s="11">
        <v>59.54</v>
      </c>
      <c r="AE50" s="2">
        <f t="shared" si="2"/>
        <v>0.60000000000000142</v>
      </c>
      <c r="AF50" s="148">
        <f t="shared" si="3"/>
        <v>-1.1291929591497829E-2</v>
      </c>
    </row>
    <row r="51" spans="15:32" x14ac:dyDescent="0.25">
      <c r="O51" s="93">
        <v>0.95</v>
      </c>
      <c r="P51" s="93">
        <f t="shared" si="6"/>
        <v>62.966000000000001</v>
      </c>
      <c r="T51" s="123" t="s">
        <v>113</v>
      </c>
      <c r="U51" s="117">
        <v>2919580</v>
      </c>
      <c r="X51" s="120">
        <v>42374</v>
      </c>
      <c r="Y51" s="11">
        <v>60.71</v>
      </c>
      <c r="Z51" s="11">
        <v>60.97</v>
      </c>
      <c r="AA51" s="11">
        <v>60.39</v>
      </c>
      <c r="AB51" s="11">
        <v>60.53</v>
      </c>
      <c r="AC51" s="114">
        <v>2808800</v>
      </c>
      <c r="AD51" s="11">
        <v>60.22</v>
      </c>
      <c r="AE51" s="2">
        <f t="shared" si="2"/>
        <v>0.57999999999999829</v>
      </c>
      <c r="AF51" s="148">
        <f t="shared" si="3"/>
        <v>-2.3194168323392717E-3</v>
      </c>
    </row>
    <row r="52" spans="15:32" x14ac:dyDescent="0.25">
      <c r="O52" s="93">
        <v>0.94</v>
      </c>
      <c r="P52" s="93">
        <f t="shared" si="6"/>
        <v>62.303199999999997</v>
      </c>
      <c r="T52" s="123" t="s">
        <v>111</v>
      </c>
      <c r="U52" s="116" t="s">
        <v>339</v>
      </c>
      <c r="X52" s="120">
        <v>42373</v>
      </c>
      <c r="Y52" s="11">
        <v>60.88</v>
      </c>
      <c r="Z52" s="11">
        <v>60.98</v>
      </c>
      <c r="AA52" s="11">
        <v>59.92</v>
      </c>
      <c r="AB52" s="11">
        <v>60.67</v>
      </c>
      <c r="AC52" s="114">
        <v>3339200</v>
      </c>
      <c r="AD52" s="11">
        <v>60.36</v>
      </c>
      <c r="AE52" s="2">
        <f t="shared" si="2"/>
        <v>1.0599999999999952</v>
      </c>
      <c r="AF52" s="148">
        <f t="shared" si="3"/>
        <v>-2.2826614861583328E-2</v>
      </c>
    </row>
    <row r="53" spans="15:32" x14ac:dyDescent="0.25">
      <c r="O53" s="93">
        <v>0.93</v>
      </c>
      <c r="P53" s="93">
        <f t="shared" si="6"/>
        <v>61.640400000000007</v>
      </c>
      <c r="T53" s="123" t="s">
        <v>114</v>
      </c>
      <c r="U53" s="116">
        <v>13.05</v>
      </c>
      <c r="X53" s="120">
        <v>42369</v>
      </c>
      <c r="Y53" s="11">
        <v>62.62</v>
      </c>
      <c r="Z53" s="11">
        <v>62.77</v>
      </c>
      <c r="AA53" s="11">
        <v>62.07</v>
      </c>
      <c r="AB53" s="11">
        <v>62.09</v>
      </c>
      <c r="AC53" s="114">
        <v>1573600</v>
      </c>
      <c r="AD53" s="11">
        <v>61.77</v>
      </c>
      <c r="AE53" s="2">
        <f t="shared" si="2"/>
        <v>0.70000000000000284</v>
      </c>
      <c r="AF53" s="148">
        <f t="shared" si="3"/>
        <v>-1.1521843494959216E-2</v>
      </c>
    </row>
    <row r="54" spans="15:32" x14ac:dyDescent="0.25">
      <c r="O54" s="93">
        <v>0.92</v>
      </c>
      <c r="P54" s="93">
        <f t="shared" si="6"/>
        <v>60.977600000000002</v>
      </c>
      <c r="T54" s="123" t="s">
        <v>115</v>
      </c>
      <c r="U54" s="116">
        <v>5.05</v>
      </c>
      <c r="X54" s="120">
        <v>42368</v>
      </c>
      <c r="Y54" s="11">
        <v>63.15</v>
      </c>
      <c r="Z54" s="11">
        <v>63.34</v>
      </c>
      <c r="AA54" s="11">
        <v>62.77</v>
      </c>
      <c r="AB54" s="11">
        <v>62.81</v>
      </c>
      <c r="AC54" s="114">
        <v>1523000</v>
      </c>
      <c r="AD54" s="11">
        <v>62.49</v>
      </c>
      <c r="AE54" s="2">
        <f t="shared" si="2"/>
        <v>0.57000000000000028</v>
      </c>
      <c r="AF54" s="148">
        <f t="shared" si="3"/>
        <v>-5.886096086541448E-3</v>
      </c>
    </row>
    <row r="55" spans="15:32" x14ac:dyDescent="0.25">
      <c r="O55" s="93">
        <v>0.91</v>
      </c>
      <c r="P55" s="93">
        <f t="shared" si="6"/>
        <v>60.314800000000005</v>
      </c>
      <c r="T55" s="123" t="s">
        <v>112</v>
      </c>
      <c r="U55" s="116" t="s">
        <v>340</v>
      </c>
      <c r="X55" s="120">
        <v>42367</v>
      </c>
      <c r="Y55" s="11">
        <v>63.09</v>
      </c>
      <c r="Z55" s="11">
        <v>63.49</v>
      </c>
      <c r="AA55" s="11">
        <v>62.86</v>
      </c>
      <c r="AB55" s="11">
        <v>63.19</v>
      </c>
      <c r="AC55" s="114">
        <v>1495600</v>
      </c>
      <c r="AD55" s="11">
        <v>62.86</v>
      </c>
      <c r="AE55" s="2">
        <f t="shared" si="2"/>
        <v>0.63000000000000256</v>
      </c>
      <c r="AF55" s="148">
        <f t="shared" si="3"/>
        <v>8.6649550706032752E-3</v>
      </c>
    </row>
    <row r="56" spans="15:32" x14ac:dyDescent="0.25">
      <c r="O56" s="93">
        <v>0.9</v>
      </c>
      <c r="P56" s="93">
        <f t="shared" si="6"/>
        <v>59.652000000000001</v>
      </c>
      <c r="X56" s="120">
        <v>42366</v>
      </c>
      <c r="Y56" s="11">
        <v>63.01</v>
      </c>
      <c r="Z56" s="11">
        <v>63.06</v>
      </c>
      <c r="AA56" s="11">
        <v>62.33</v>
      </c>
      <c r="AB56" s="11">
        <v>62.64</v>
      </c>
      <c r="AC56" s="114">
        <v>1833300</v>
      </c>
      <c r="AD56" s="11">
        <v>62.32</v>
      </c>
      <c r="AE56" s="2">
        <f t="shared" si="2"/>
        <v>0.73000000000000398</v>
      </c>
      <c r="AF56" s="148">
        <f t="shared" si="3"/>
        <v>-7.8013055245980123E-3</v>
      </c>
    </row>
    <row r="57" spans="15:32" x14ac:dyDescent="0.25">
      <c r="X57" s="120">
        <v>42362</v>
      </c>
      <c r="Y57" s="11">
        <v>62.83</v>
      </c>
      <c r="Z57" s="11">
        <v>63.45</v>
      </c>
      <c r="AA57" s="11">
        <v>62.68</v>
      </c>
      <c r="AB57" s="11">
        <v>63.14</v>
      </c>
      <c r="AC57" s="114">
        <v>1298700</v>
      </c>
      <c r="AD57" s="11">
        <v>62.81</v>
      </c>
      <c r="AE57" s="2">
        <f t="shared" si="2"/>
        <v>0.77000000000000313</v>
      </c>
      <c r="AF57" s="148">
        <f t="shared" si="3"/>
        <v>3.8357040115071239E-3</v>
      </c>
    </row>
    <row r="58" spans="15:32" x14ac:dyDescent="0.25">
      <c r="X58" s="120">
        <v>42361</v>
      </c>
      <c r="Y58" s="11">
        <v>62.68</v>
      </c>
      <c r="Z58" s="11">
        <v>63.02</v>
      </c>
      <c r="AA58" s="11">
        <v>62.68</v>
      </c>
      <c r="AB58" s="11">
        <v>62.89</v>
      </c>
      <c r="AC58" s="114">
        <v>1916300</v>
      </c>
      <c r="AD58" s="11">
        <v>62.57</v>
      </c>
      <c r="AE58" s="2">
        <f t="shared" si="2"/>
        <v>0.34000000000000341</v>
      </c>
      <c r="AF58" s="148">
        <f t="shared" si="3"/>
        <v>6.272113219684794E-3</v>
      </c>
    </row>
    <row r="59" spans="15:32" x14ac:dyDescent="0.25">
      <c r="X59" s="120">
        <v>42360</v>
      </c>
      <c r="Y59" s="11">
        <v>61.71</v>
      </c>
      <c r="Z59" s="11">
        <v>62.67</v>
      </c>
      <c r="AA59" s="11">
        <v>61.25</v>
      </c>
      <c r="AB59" s="11">
        <v>62.5</v>
      </c>
      <c r="AC59" s="114">
        <v>2203300</v>
      </c>
      <c r="AD59" s="11">
        <v>62.18</v>
      </c>
      <c r="AE59" s="2">
        <f t="shared" si="2"/>
        <v>1.4200000000000017</v>
      </c>
      <c r="AF59" s="148">
        <f t="shared" si="3"/>
        <v>1.9678583142013872E-2</v>
      </c>
    </row>
    <row r="60" spans="15:32" x14ac:dyDescent="0.25">
      <c r="X60" s="120">
        <v>42359</v>
      </c>
      <c r="Y60" s="11">
        <v>61.56</v>
      </c>
      <c r="Z60" s="11">
        <v>61.9</v>
      </c>
      <c r="AA60" s="11">
        <v>60.94</v>
      </c>
      <c r="AB60" s="11">
        <v>61.3</v>
      </c>
      <c r="AC60" s="114">
        <v>3117400</v>
      </c>
      <c r="AD60" s="11">
        <v>60.98</v>
      </c>
      <c r="AE60" s="2">
        <f t="shared" si="2"/>
        <v>0.96000000000000085</v>
      </c>
      <c r="AF60" s="148">
        <f t="shared" si="3"/>
        <v>-4.9172266841501777E-4</v>
      </c>
    </row>
    <row r="61" spans="15:32" x14ac:dyDescent="0.25">
      <c r="X61" s="120">
        <v>42356</v>
      </c>
      <c r="Y61" s="11">
        <v>62.11</v>
      </c>
      <c r="Z61" s="11">
        <v>62.11</v>
      </c>
      <c r="AA61" s="11">
        <v>60.76</v>
      </c>
      <c r="AB61" s="11">
        <v>61.33</v>
      </c>
      <c r="AC61" s="114">
        <v>6688800</v>
      </c>
      <c r="AD61" s="11">
        <v>61.01</v>
      </c>
      <c r="AE61" s="2">
        <f t="shared" si="2"/>
        <v>1.3500000000000014</v>
      </c>
      <c r="AF61" s="148">
        <f t="shared" si="3"/>
        <v>-1.6760676873489144E-2</v>
      </c>
    </row>
    <row r="62" spans="15:32" x14ac:dyDescent="0.25">
      <c r="X62" s="120">
        <v>42355</v>
      </c>
      <c r="Y62" s="11">
        <v>63.41</v>
      </c>
      <c r="Z62" s="11">
        <v>63.41</v>
      </c>
      <c r="AA62" s="11">
        <v>62.37</v>
      </c>
      <c r="AB62" s="11">
        <v>62.37</v>
      </c>
      <c r="AC62" s="114">
        <v>2161600</v>
      </c>
      <c r="AD62" s="11">
        <v>62.05</v>
      </c>
      <c r="AE62" s="2">
        <f t="shared" si="2"/>
        <v>1.0399999999999991</v>
      </c>
      <c r="AF62" s="148">
        <f t="shared" si="3"/>
        <v>-1.5860428231562307E-2</v>
      </c>
    </row>
    <row r="63" spans="15:32" x14ac:dyDescent="0.25">
      <c r="X63" s="120">
        <v>42354</v>
      </c>
      <c r="Y63" s="11">
        <v>63.28</v>
      </c>
      <c r="Z63" s="11">
        <v>63.5</v>
      </c>
      <c r="AA63" s="11">
        <v>62.53</v>
      </c>
      <c r="AB63" s="11">
        <v>63.38</v>
      </c>
      <c r="AC63" s="114">
        <v>2177700</v>
      </c>
      <c r="AD63" s="11">
        <v>63.05</v>
      </c>
      <c r="AE63" s="2">
        <f t="shared" si="2"/>
        <v>0.96999999999999886</v>
      </c>
      <c r="AF63" s="148">
        <f t="shared" si="3"/>
        <v>1.0740621994228761E-2</v>
      </c>
    </row>
    <row r="64" spans="15:32" x14ac:dyDescent="0.25">
      <c r="X64" s="120">
        <v>42353</v>
      </c>
      <c r="Y64" s="11">
        <v>61.79</v>
      </c>
      <c r="Z64" s="11">
        <v>63</v>
      </c>
      <c r="AA64" s="11">
        <v>61.72</v>
      </c>
      <c r="AB64" s="11">
        <v>62.7</v>
      </c>
      <c r="AC64" s="114">
        <v>3012700</v>
      </c>
      <c r="AD64" s="11">
        <v>62.38</v>
      </c>
      <c r="AE64" s="2">
        <f t="shared" si="2"/>
        <v>1.2800000000000011</v>
      </c>
      <c r="AF64" s="148">
        <f t="shared" si="3"/>
        <v>2.1450794170623899E-2</v>
      </c>
    </row>
    <row r="65" spans="24:32" x14ac:dyDescent="0.25">
      <c r="X65" s="120">
        <v>42352</v>
      </c>
      <c r="Y65" s="11">
        <v>61.58</v>
      </c>
      <c r="Z65" s="11">
        <v>62.12</v>
      </c>
      <c r="AA65" s="11">
        <v>60.92</v>
      </c>
      <c r="AB65" s="11">
        <v>61.39</v>
      </c>
      <c r="AC65" s="114">
        <v>2356300</v>
      </c>
      <c r="AD65" s="11">
        <v>61.07</v>
      </c>
      <c r="AE65" s="2">
        <f t="shared" si="2"/>
        <v>1.1999999999999957</v>
      </c>
      <c r="AF65" s="148">
        <f t="shared" si="3"/>
        <v>-1.308258381030214E-3</v>
      </c>
    </row>
    <row r="66" spans="24:32" x14ac:dyDescent="0.25">
      <c r="X66" s="120">
        <v>42349</v>
      </c>
      <c r="Y66" s="11">
        <v>61.69</v>
      </c>
      <c r="Z66" s="11">
        <v>62.12</v>
      </c>
      <c r="AA66" s="11">
        <v>61.18</v>
      </c>
      <c r="AB66" s="11">
        <v>61.47</v>
      </c>
      <c r="AC66" s="114">
        <v>2120700</v>
      </c>
      <c r="AD66" s="11">
        <v>61.15</v>
      </c>
      <c r="AE66" s="2">
        <f t="shared" si="2"/>
        <v>0.93999999999999773</v>
      </c>
      <c r="AF66" s="148">
        <f t="shared" si="3"/>
        <v>-1.624839124839117E-2</v>
      </c>
    </row>
    <row r="67" spans="24:32" x14ac:dyDescent="0.25">
      <c r="X67" s="120">
        <v>42348</v>
      </c>
      <c r="Y67" s="11">
        <v>62.91</v>
      </c>
      <c r="Z67" s="11">
        <v>63.08</v>
      </c>
      <c r="AA67" s="11">
        <v>62.3</v>
      </c>
      <c r="AB67" s="11">
        <v>62.48</v>
      </c>
      <c r="AC67" s="114">
        <v>2417100</v>
      </c>
      <c r="AD67" s="11">
        <v>62.16</v>
      </c>
      <c r="AE67" s="2">
        <f t="shared" ref="AE67:AE68" si="7">Z67-AA67</f>
        <v>0.78000000000000114</v>
      </c>
      <c r="AF67" s="148">
        <f t="shared" ref="AF67" si="8">AD67/AD68-1</f>
        <v>-6.7114093959731447E-3</v>
      </c>
    </row>
    <row r="68" spans="24:32" x14ac:dyDescent="0.25">
      <c r="X68" s="120">
        <v>42347</v>
      </c>
      <c r="Y68" s="11">
        <v>63.5</v>
      </c>
      <c r="Z68" s="11">
        <v>64.08</v>
      </c>
      <c r="AA68" s="11">
        <v>62.73</v>
      </c>
      <c r="AB68" s="11">
        <v>62.9</v>
      </c>
      <c r="AC68" s="114">
        <v>2561200</v>
      </c>
      <c r="AD68" s="11">
        <v>62.58</v>
      </c>
      <c r="AE68" s="2">
        <f t="shared" si="7"/>
        <v>1.3500000000000014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42444</v>
      </c>
      <c r="X2" s="43">
        <v>78.27</v>
      </c>
      <c r="Y2" s="43">
        <v>79.09</v>
      </c>
      <c r="Z2" s="43">
        <v>77.3</v>
      </c>
      <c r="AA2" s="43">
        <v>79</v>
      </c>
      <c r="AB2" s="105">
        <v>987200</v>
      </c>
      <c r="AC2" s="43">
        <v>79</v>
      </c>
      <c r="AD2" s="2">
        <f t="shared" ref="AD2" si="1">Y2-Z2</f>
        <v>1.7900000000000063</v>
      </c>
      <c r="AE2" s="148">
        <f t="shared" ref="AE2" si="2">AC2/AC3-1</f>
        <v>3.7989109788538755E-4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80.989999999999995</v>
      </c>
      <c r="W3" s="167">
        <v>42443</v>
      </c>
      <c r="X3" s="43">
        <v>78.31</v>
      </c>
      <c r="Y3" s="43">
        <v>80.040000000000006</v>
      </c>
      <c r="Z3" s="43">
        <v>78.239999999999995</v>
      </c>
      <c r="AA3" s="43">
        <v>78.97</v>
      </c>
      <c r="AB3" s="105">
        <v>1537200</v>
      </c>
      <c r="AC3" s="43">
        <v>78.97</v>
      </c>
      <c r="AD3" s="2">
        <f t="shared" ref="AD3:AD66" si="3">Y3-Z3</f>
        <v>1.8000000000000114</v>
      </c>
      <c r="AE3" s="148">
        <f t="shared" ref="AE3:AE66" si="4">AC3/AC4-1</f>
        <v>-5.0626502974315812E-4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80.989999999999995</v>
      </c>
      <c r="W4" s="167">
        <v>42440</v>
      </c>
      <c r="X4" s="43">
        <v>76.67</v>
      </c>
      <c r="Y4" s="43">
        <v>79.31</v>
      </c>
      <c r="Z4" s="43">
        <v>76.209999999999994</v>
      </c>
      <c r="AA4" s="43">
        <v>79.010000000000005</v>
      </c>
      <c r="AB4" s="105">
        <v>1851400</v>
      </c>
      <c r="AC4" s="43">
        <v>79.010000000000005</v>
      </c>
      <c r="AD4" s="2">
        <f t="shared" si="3"/>
        <v>3.1000000000000085</v>
      </c>
      <c r="AE4" s="148">
        <f t="shared" si="4"/>
        <v>4.2898627243928233E-2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42439</v>
      </c>
      <c r="X5" s="43">
        <v>76.86</v>
      </c>
      <c r="Y5" s="43">
        <v>77.05</v>
      </c>
      <c r="Z5" s="43">
        <v>74.7</v>
      </c>
      <c r="AA5" s="43">
        <v>75.760000000000005</v>
      </c>
      <c r="AB5" s="105">
        <v>2232000</v>
      </c>
      <c r="AC5" s="43">
        <v>75.760000000000005</v>
      </c>
      <c r="AD5" s="2">
        <f t="shared" si="3"/>
        <v>2.3499999999999943</v>
      </c>
      <c r="AE5" s="148">
        <f t="shared" si="4"/>
        <v>1.3201320132028016E-4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42438</v>
      </c>
      <c r="X6" s="43">
        <v>76.97</v>
      </c>
      <c r="Y6" s="43">
        <v>77.5</v>
      </c>
      <c r="Z6" s="43">
        <v>75.27</v>
      </c>
      <c r="AA6" s="43">
        <v>75.75</v>
      </c>
      <c r="AB6" s="105">
        <v>2479000</v>
      </c>
      <c r="AC6" s="43">
        <v>75.75</v>
      </c>
      <c r="AD6" s="2">
        <f t="shared" si="3"/>
        <v>2.230000000000004</v>
      </c>
      <c r="AE6" s="148">
        <f t="shared" si="4"/>
        <v>-7.9884756416972458E-3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245</v>
      </c>
      <c r="W7" s="167">
        <v>42437</v>
      </c>
      <c r="X7" s="43">
        <v>79.37</v>
      </c>
      <c r="Y7" s="43">
        <v>79.72</v>
      </c>
      <c r="Z7" s="43">
        <v>75.959999999999994</v>
      </c>
      <c r="AA7" s="43">
        <v>76.36</v>
      </c>
      <c r="AB7" s="105">
        <v>5990900</v>
      </c>
      <c r="AC7" s="43">
        <v>76.36</v>
      </c>
      <c r="AD7" s="2">
        <f t="shared" si="3"/>
        <v>3.7600000000000051</v>
      </c>
      <c r="AE7" s="148">
        <f t="shared" si="4"/>
        <v>-4.2147516307074806E-2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42436</v>
      </c>
      <c r="X8" s="43">
        <v>77.040000000000006</v>
      </c>
      <c r="Y8" s="43">
        <v>79.989999999999995</v>
      </c>
      <c r="Z8" s="43">
        <v>76.7</v>
      </c>
      <c r="AA8" s="43">
        <v>79.72</v>
      </c>
      <c r="AB8" s="105">
        <v>3184600</v>
      </c>
      <c r="AC8" s="43">
        <v>79.72</v>
      </c>
      <c r="AD8" s="2">
        <f t="shared" si="3"/>
        <v>3.289999999999992</v>
      </c>
      <c r="AE8" s="148">
        <f t="shared" si="4"/>
        <v>2.9974160206718281E-2</v>
      </c>
    </row>
    <row r="9" spans="1:31" x14ac:dyDescent="0.25">
      <c r="W9" s="167">
        <v>42433</v>
      </c>
      <c r="X9" s="43">
        <v>77.25</v>
      </c>
      <c r="Y9" s="43">
        <v>78.69</v>
      </c>
      <c r="Z9" s="43">
        <v>77.239999999999995</v>
      </c>
      <c r="AA9" s="43">
        <v>77.400000000000006</v>
      </c>
      <c r="AB9" s="105">
        <v>1109200</v>
      </c>
      <c r="AC9" s="43">
        <v>77.400000000000006</v>
      </c>
      <c r="AD9" s="2">
        <f t="shared" si="3"/>
        <v>1.4500000000000028</v>
      </c>
      <c r="AE9" s="148">
        <f t="shared" si="4"/>
        <v>5.1948051948051965E-3</v>
      </c>
    </row>
    <row r="10" spans="1:31" x14ac:dyDescent="0.25">
      <c r="W10" s="167">
        <v>42432</v>
      </c>
      <c r="X10" s="43">
        <v>76.47</v>
      </c>
      <c r="Y10" s="43">
        <v>78.47</v>
      </c>
      <c r="Z10" s="43">
        <v>76.47</v>
      </c>
      <c r="AA10" s="43">
        <v>77</v>
      </c>
      <c r="AB10" s="105">
        <v>1613400</v>
      </c>
      <c r="AC10" s="43">
        <v>77</v>
      </c>
      <c r="AD10" s="2">
        <f t="shared" si="3"/>
        <v>2</v>
      </c>
      <c r="AE10" s="148">
        <f t="shared" si="4"/>
        <v>7.8534031413610705E-3</v>
      </c>
    </row>
    <row r="11" spans="1:31" x14ac:dyDescent="0.25">
      <c r="W11" s="167">
        <v>42431</v>
      </c>
      <c r="X11" s="43">
        <v>76.069999999999993</v>
      </c>
      <c r="Y11" s="43">
        <v>77.430000000000007</v>
      </c>
      <c r="Z11" s="43">
        <v>75.650000000000006</v>
      </c>
      <c r="AA11" s="43">
        <v>76.400000000000006</v>
      </c>
      <c r="AB11" s="105">
        <v>1730500</v>
      </c>
      <c r="AC11" s="43">
        <v>76.400000000000006</v>
      </c>
      <c r="AD11" s="2">
        <f t="shared" si="3"/>
        <v>1.7800000000000011</v>
      </c>
      <c r="AE11" s="148">
        <f t="shared" si="4"/>
        <v>1.4473509494091097E-2</v>
      </c>
    </row>
    <row r="12" spans="1:31" x14ac:dyDescent="0.25">
      <c r="W12" s="167">
        <v>42430</v>
      </c>
      <c r="X12" s="43">
        <v>73.69</v>
      </c>
      <c r="Y12" s="43">
        <v>75.680000000000007</v>
      </c>
      <c r="Z12" s="43">
        <v>73.31</v>
      </c>
      <c r="AA12" s="43">
        <v>75.31</v>
      </c>
      <c r="AB12" s="105">
        <v>1852600</v>
      </c>
      <c r="AC12" s="43">
        <v>75.31</v>
      </c>
      <c r="AD12" s="2">
        <f t="shared" si="3"/>
        <v>2.3700000000000045</v>
      </c>
      <c r="AE12" s="148">
        <f t="shared" si="4"/>
        <v>2.9246959136258077E-2</v>
      </c>
    </row>
    <row r="13" spans="1:31" x14ac:dyDescent="0.25">
      <c r="W13" s="167">
        <v>42429</v>
      </c>
      <c r="X13" s="43">
        <v>74.69</v>
      </c>
      <c r="Y13" s="43">
        <v>75.38</v>
      </c>
      <c r="Z13" s="43">
        <v>73.16</v>
      </c>
      <c r="AA13" s="43">
        <v>73.17</v>
      </c>
      <c r="AB13" s="105">
        <v>1494800</v>
      </c>
      <c r="AC13" s="43">
        <v>73.17</v>
      </c>
      <c r="AD13" s="2">
        <f t="shared" si="3"/>
        <v>2.2199999999999989</v>
      </c>
      <c r="AE13" s="148">
        <f t="shared" si="4"/>
        <v>-2.048192771084334E-2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42426</v>
      </c>
      <c r="X14" s="43">
        <v>73.95</v>
      </c>
      <c r="Y14" s="43">
        <v>76.150000000000006</v>
      </c>
      <c r="Z14" s="43">
        <v>73.790000000000006</v>
      </c>
      <c r="AA14" s="43">
        <v>74.7</v>
      </c>
      <c r="AB14" s="105">
        <v>1333000</v>
      </c>
      <c r="AC14" s="43">
        <v>74.7</v>
      </c>
      <c r="AD14" s="2">
        <f t="shared" si="3"/>
        <v>2.3599999999999994</v>
      </c>
      <c r="AE14" s="148">
        <f t="shared" si="4"/>
        <v>1.3981267815935894E-2</v>
      </c>
    </row>
    <row r="15" spans="1:31" x14ac:dyDescent="0.25">
      <c r="W15" s="167">
        <v>42425</v>
      </c>
      <c r="X15" s="43">
        <v>74.23</v>
      </c>
      <c r="Y15" s="43">
        <v>74.97</v>
      </c>
      <c r="Z15" s="43">
        <v>72.64</v>
      </c>
      <c r="AA15" s="43">
        <v>73.67</v>
      </c>
      <c r="AB15" s="105">
        <v>977900</v>
      </c>
      <c r="AC15" s="43">
        <v>73.67</v>
      </c>
      <c r="AD15" s="2">
        <f t="shared" si="3"/>
        <v>2.3299999999999983</v>
      </c>
      <c r="AE15" s="148">
        <f t="shared" si="4"/>
        <v>-3.6516094130375487E-3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2" t="s">
        <v>65</v>
      </c>
      <c r="G16" s="253" t="s">
        <v>175</v>
      </c>
      <c r="H16" s="253" t="s">
        <v>90</v>
      </c>
      <c r="I16" s="253" t="s">
        <v>183</v>
      </c>
      <c r="W16" s="167">
        <v>42424</v>
      </c>
      <c r="X16" s="43">
        <v>72.53</v>
      </c>
      <c r="Y16" s="43">
        <v>74.239999999999995</v>
      </c>
      <c r="Z16" s="43">
        <v>72.010000000000005</v>
      </c>
      <c r="AA16" s="43">
        <v>73.94</v>
      </c>
      <c r="AB16" s="105">
        <v>781400</v>
      </c>
      <c r="AC16" s="43">
        <v>73.94</v>
      </c>
      <c r="AD16" s="2">
        <f t="shared" si="3"/>
        <v>2.2299999999999898</v>
      </c>
      <c r="AE16" s="148">
        <f t="shared" si="4"/>
        <v>9.4761066738846544E-4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42423</v>
      </c>
      <c r="X17" s="43">
        <v>76.12</v>
      </c>
      <c r="Y17" s="43">
        <v>76.94</v>
      </c>
      <c r="Z17" s="43">
        <v>73.72</v>
      </c>
      <c r="AA17" s="43">
        <v>73.87</v>
      </c>
      <c r="AB17" s="105">
        <v>942400</v>
      </c>
      <c r="AC17" s="43">
        <v>73.87</v>
      </c>
      <c r="AD17" s="2">
        <f t="shared" si="3"/>
        <v>3.2199999999999989</v>
      </c>
      <c r="AE17" s="148">
        <f t="shared" si="4"/>
        <v>-2.7514481305950356E-2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42422</v>
      </c>
      <c r="X18" s="43">
        <v>75</v>
      </c>
      <c r="Y18" s="43">
        <v>77.150000000000006</v>
      </c>
      <c r="Z18" s="43">
        <v>75</v>
      </c>
      <c r="AA18" s="43">
        <v>75.959999999999994</v>
      </c>
      <c r="AB18" s="105">
        <v>1846000</v>
      </c>
      <c r="AC18" s="43">
        <v>75.959999999999994</v>
      </c>
      <c r="AD18" s="2">
        <f t="shared" si="3"/>
        <v>2.1500000000000057</v>
      </c>
      <c r="AE18" s="148">
        <f t="shared" si="4"/>
        <v>1.2799999999999923E-2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42419</v>
      </c>
      <c r="X19" s="43">
        <v>74.5</v>
      </c>
      <c r="Y19" s="43">
        <v>75.5</v>
      </c>
      <c r="Z19" s="43">
        <v>74.05</v>
      </c>
      <c r="AA19" s="43">
        <v>75</v>
      </c>
      <c r="AB19" s="105">
        <v>1434900</v>
      </c>
      <c r="AC19" s="43">
        <v>75</v>
      </c>
      <c r="AD19" s="2">
        <f t="shared" si="3"/>
        <v>1.4500000000000028</v>
      </c>
      <c r="AE19" s="148">
        <f t="shared" si="4"/>
        <v>2.2718161165309336E-3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42418</v>
      </c>
      <c r="X20" s="43">
        <v>75.67</v>
      </c>
      <c r="Y20" s="43">
        <v>76.209999999999994</v>
      </c>
      <c r="Z20" s="43">
        <v>74.09</v>
      </c>
      <c r="AA20" s="43">
        <v>74.83</v>
      </c>
      <c r="AB20" s="105">
        <v>1049200</v>
      </c>
      <c r="AC20" s="43">
        <v>74.83</v>
      </c>
      <c r="AD20" s="2">
        <f t="shared" si="3"/>
        <v>2.1199999999999903</v>
      </c>
      <c r="AE20" s="148">
        <f t="shared" si="4"/>
        <v>-1.2405965421670828E-2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42417</v>
      </c>
      <c r="X21" s="43">
        <v>74.349999999999994</v>
      </c>
      <c r="Y21" s="43">
        <v>76.02</v>
      </c>
      <c r="Z21" s="43">
        <v>73.63</v>
      </c>
      <c r="AA21" s="43">
        <v>75.77</v>
      </c>
      <c r="AB21" s="105">
        <v>2032000</v>
      </c>
      <c r="AC21" s="43">
        <v>75.77</v>
      </c>
      <c r="AD21" s="2">
        <f t="shared" si="3"/>
        <v>2.3900000000000006</v>
      </c>
      <c r="AE21" s="148">
        <f t="shared" si="4"/>
        <v>2.4057305041221833E-2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42416</v>
      </c>
      <c r="X22" s="43">
        <v>72.95</v>
      </c>
      <c r="Y22" s="43">
        <v>74.33</v>
      </c>
      <c r="Z22" s="43">
        <v>72.56</v>
      </c>
      <c r="AA22" s="43">
        <v>73.989999999999995</v>
      </c>
      <c r="AB22" s="105">
        <v>1365600</v>
      </c>
      <c r="AC22" s="43">
        <v>73.989999999999995</v>
      </c>
      <c r="AD22" s="2">
        <f t="shared" si="3"/>
        <v>1.769999999999996</v>
      </c>
      <c r="AE22" s="148">
        <f t="shared" si="4"/>
        <v>1.9707828004410066E-2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42412</v>
      </c>
      <c r="X23" s="43">
        <v>71.67</v>
      </c>
      <c r="Y23" s="43">
        <v>73.59</v>
      </c>
      <c r="Z23" s="43">
        <v>71.06</v>
      </c>
      <c r="AA23" s="43">
        <v>72.56</v>
      </c>
      <c r="AB23" s="105">
        <v>1520400</v>
      </c>
      <c r="AC23" s="43">
        <v>72.56</v>
      </c>
      <c r="AD23" s="2">
        <f t="shared" si="3"/>
        <v>2.5300000000000011</v>
      </c>
      <c r="AE23" s="148">
        <f t="shared" si="4"/>
        <v>1.2418027068508364E-2</v>
      </c>
    </row>
    <row r="24" spans="2:31" x14ac:dyDescent="0.25">
      <c r="W24" s="167">
        <v>42411</v>
      </c>
      <c r="X24" s="43">
        <v>71.73</v>
      </c>
      <c r="Y24" s="43">
        <v>72.22</v>
      </c>
      <c r="Z24" s="43">
        <v>69.989999999999995</v>
      </c>
      <c r="AA24" s="43">
        <v>71.67</v>
      </c>
      <c r="AB24" s="105">
        <v>1849700</v>
      </c>
      <c r="AC24" s="43">
        <v>71.67</v>
      </c>
      <c r="AD24" s="2">
        <f t="shared" si="3"/>
        <v>2.230000000000004</v>
      </c>
      <c r="AE24" s="148">
        <f t="shared" si="4"/>
        <v>-1.8488085456039416E-2</v>
      </c>
    </row>
    <row r="25" spans="2:31" x14ac:dyDescent="0.25">
      <c r="W25" s="167">
        <v>42410</v>
      </c>
      <c r="X25" s="43">
        <v>72.17</v>
      </c>
      <c r="Y25" s="43">
        <v>73.66</v>
      </c>
      <c r="Z25" s="43">
        <v>71.680000000000007</v>
      </c>
      <c r="AA25" s="43">
        <v>73.02</v>
      </c>
      <c r="AB25" s="105">
        <v>1607300</v>
      </c>
      <c r="AC25" s="43">
        <v>73.02</v>
      </c>
      <c r="AD25" s="2">
        <f t="shared" si="3"/>
        <v>1.9799999999999898</v>
      </c>
      <c r="AE25" s="148">
        <f t="shared" si="4"/>
        <v>2.2402688322598729E-2</v>
      </c>
    </row>
    <row r="26" spans="2:31" x14ac:dyDescent="0.25">
      <c r="W26" s="167">
        <v>42409</v>
      </c>
      <c r="X26" s="43">
        <v>69.7</v>
      </c>
      <c r="Y26" s="43">
        <v>73.3</v>
      </c>
      <c r="Z26" s="43">
        <v>69.12</v>
      </c>
      <c r="AA26" s="43">
        <v>71.42</v>
      </c>
      <c r="AB26" s="105">
        <v>4331800</v>
      </c>
      <c r="AC26" s="43">
        <v>71.42</v>
      </c>
      <c r="AD26" s="2">
        <f t="shared" si="3"/>
        <v>4.1799999999999926</v>
      </c>
      <c r="AE26" s="148">
        <f t="shared" si="4"/>
        <v>1.319336076039157E-2</v>
      </c>
    </row>
    <row r="27" spans="2:31" x14ac:dyDescent="0.25">
      <c r="W27" s="167">
        <v>42408</v>
      </c>
      <c r="X27" s="43">
        <v>69.349999999999994</v>
      </c>
      <c r="Y27" s="43">
        <v>71.56</v>
      </c>
      <c r="Z27" s="43">
        <v>69.150000000000006</v>
      </c>
      <c r="AA27" s="43">
        <v>70.489999999999995</v>
      </c>
      <c r="AB27" s="105">
        <v>2733600</v>
      </c>
      <c r="AC27" s="43">
        <v>70.489999999999995</v>
      </c>
      <c r="AD27" s="2">
        <f t="shared" si="3"/>
        <v>2.4099999999999966</v>
      </c>
      <c r="AE27" s="148">
        <f t="shared" si="4"/>
        <v>4.9900199600798611E-3</v>
      </c>
    </row>
    <row r="28" spans="2:31" x14ac:dyDescent="0.25">
      <c r="W28" s="167">
        <v>42405</v>
      </c>
      <c r="X28" s="43">
        <v>69.13</v>
      </c>
      <c r="Y28" s="43">
        <v>70.61</v>
      </c>
      <c r="Z28" s="43">
        <v>68.56</v>
      </c>
      <c r="AA28" s="43">
        <v>70.14</v>
      </c>
      <c r="AB28" s="105">
        <v>1507300</v>
      </c>
      <c r="AC28" s="43">
        <v>70.14</v>
      </c>
      <c r="AD28" s="2">
        <f t="shared" si="3"/>
        <v>2.0499999999999972</v>
      </c>
      <c r="AE28" s="148">
        <f t="shared" si="4"/>
        <v>1.1099899091826293E-2</v>
      </c>
    </row>
    <row r="29" spans="2:31" x14ac:dyDescent="0.25">
      <c r="W29" s="167">
        <v>42404</v>
      </c>
      <c r="X29" s="43">
        <v>67.52</v>
      </c>
      <c r="Y29" s="43">
        <v>69.989999999999995</v>
      </c>
      <c r="Z29" s="43">
        <v>67.52</v>
      </c>
      <c r="AA29" s="43">
        <v>69.37</v>
      </c>
      <c r="AB29" s="105">
        <v>2072800</v>
      </c>
      <c r="AC29" s="43">
        <v>69.37</v>
      </c>
      <c r="AD29" s="2">
        <f t="shared" si="3"/>
        <v>2.4699999999999989</v>
      </c>
      <c r="AE29" s="148">
        <f t="shared" si="4"/>
        <v>3.0451574569221762E-2</v>
      </c>
    </row>
    <row r="30" spans="2:31" x14ac:dyDescent="0.25">
      <c r="W30" s="167">
        <v>42403</v>
      </c>
      <c r="X30" s="43">
        <v>66.88</v>
      </c>
      <c r="Y30" s="43">
        <v>67.680000000000007</v>
      </c>
      <c r="Z30" s="43">
        <v>64.510000000000005</v>
      </c>
      <c r="AA30" s="43">
        <v>67.319999999999993</v>
      </c>
      <c r="AB30" s="105">
        <v>1876400</v>
      </c>
      <c r="AC30" s="43">
        <v>67.319999999999993</v>
      </c>
      <c r="AD30" s="2">
        <f t="shared" si="3"/>
        <v>3.1700000000000017</v>
      </c>
      <c r="AE30" s="148" t="e">
        <f t="shared" si="4"/>
        <v>#DIV/0!</v>
      </c>
    </row>
    <row r="31" spans="2:31" x14ac:dyDescent="0.25">
      <c r="W31" s="167">
        <v>42403</v>
      </c>
      <c r="X31" s="43" t="s">
        <v>145</v>
      </c>
      <c r="Y31" s="43"/>
      <c r="Z31" s="43"/>
      <c r="AA31" s="43"/>
      <c r="AB31" s="105"/>
      <c r="AC31" s="43"/>
      <c r="AD31" s="2">
        <f t="shared" si="3"/>
        <v>0</v>
      </c>
      <c r="AE31" s="148">
        <f t="shared" si="4"/>
        <v>-1</v>
      </c>
    </row>
    <row r="32" spans="2:31" x14ac:dyDescent="0.25">
      <c r="W32" s="167">
        <v>42402</v>
      </c>
      <c r="X32" s="43">
        <v>69.13</v>
      </c>
      <c r="Y32" s="43">
        <v>69.510000000000005</v>
      </c>
      <c r="Z32" s="43">
        <v>66.459999999999994</v>
      </c>
      <c r="AA32" s="43">
        <v>66.599999999999994</v>
      </c>
      <c r="AB32" s="105">
        <v>1426000</v>
      </c>
      <c r="AC32" s="43">
        <v>66.010000000000005</v>
      </c>
      <c r="AD32" s="2">
        <f t="shared" si="3"/>
        <v>3.0500000000000114</v>
      </c>
      <c r="AE32" s="148">
        <f t="shared" si="4"/>
        <v>-5.1171481960615051E-2</v>
      </c>
    </row>
    <row r="33" spans="15:31" x14ac:dyDescent="0.25">
      <c r="W33" s="167">
        <v>42401</v>
      </c>
      <c r="X33" s="43">
        <v>70.16</v>
      </c>
      <c r="Y33" s="43">
        <v>70.55</v>
      </c>
      <c r="Z33" s="43">
        <v>69</v>
      </c>
      <c r="AA33" s="43">
        <v>70.19</v>
      </c>
      <c r="AB33" s="105">
        <v>1468600</v>
      </c>
      <c r="AC33" s="43">
        <v>69.569999999999993</v>
      </c>
      <c r="AD33" s="2">
        <f t="shared" si="3"/>
        <v>1.5499999999999972</v>
      </c>
      <c r="AE33" s="148">
        <f t="shared" si="4"/>
        <v>-4.4361763022324752E-3</v>
      </c>
    </row>
    <row r="34" spans="15:31" x14ac:dyDescent="0.25">
      <c r="W34" s="167">
        <v>42398</v>
      </c>
      <c r="X34" s="43">
        <v>70.8</v>
      </c>
      <c r="Y34" s="43">
        <v>71.47</v>
      </c>
      <c r="Z34" s="43">
        <v>70.040000000000006</v>
      </c>
      <c r="AA34" s="43">
        <v>70.5</v>
      </c>
      <c r="AB34" s="105">
        <v>2058000</v>
      </c>
      <c r="AC34" s="43">
        <v>69.88</v>
      </c>
      <c r="AD34" s="2">
        <f t="shared" si="3"/>
        <v>1.4299999999999926</v>
      </c>
      <c r="AE34" s="148">
        <f t="shared" si="4"/>
        <v>5.6123183191825188E-3</v>
      </c>
    </row>
    <row r="35" spans="15:31" x14ac:dyDescent="0.25">
      <c r="W35" s="167">
        <v>42397</v>
      </c>
      <c r="X35" s="43">
        <v>69.92</v>
      </c>
      <c r="Y35" s="43">
        <v>71.400000000000006</v>
      </c>
      <c r="Z35" s="43">
        <v>69.239999999999995</v>
      </c>
      <c r="AA35" s="43">
        <v>70.11</v>
      </c>
      <c r="AB35" s="105">
        <v>1396200</v>
      </c>
      <c r="AC35" s="43">
        <v>69.489999999999995</v>
      </c>
      <c r="AD35" s="2">
        <f t="shared" si="3"/>
        <v>2.1600000000000108</v>
      </c>
      <c r="AE35" s="148">
        <f t="shared" si="4"/>
        <v>3.1759780568789697E-3</v>
      </c>
    </row>
    <row r="36" spans="15:31" x14ac:dyDescent="0.25">
      <c r="W36" s="167">
        <v>42396</v>
      </c>
      <c r="X36" s="43">
        <v>68.099999999999994</v>
      </c>
      <c r="Y36" s="43">
        <v>70.760000000000005</v>
      </c>
      <c r="Z36" s="43">
        <v>67.88</v>
      </c>
      <c r="AA36" s="43">
        <v>69.89</v>
      </c>
      <c r="AB36" s="105">
        <v>1829300</v>
      </c>
      <c r="AC36" s="43">
        <v>69.27</v>
      </c>
      <c r="AD36" s="2">
        <f t="shared" si="3"/>
        <v>2.8800000000000097</v>
      </c>
      <c r="AE36" s="148">
        <f t="shared" si="4"/>
        <v>1.435056377214794E-2</v>
      </c>
    </row>
    <row r="37" spans="15:31" x14ac:dyDescent="0.25">
      <c r="W37" s="167">
        <v>42395</v>
      </c>
      <c r="X37" s="43">
        <v>68</v>
      </c>
      <c r="Y37" s="43">
        <v>69.349999999999994</v>
      </c>
      <c r="Z37" s="43">
        <v>67.98</v>
      </c>
      <c r="AA37" s="43">
        <v>68.900000000000006</v>
      </c>
      <c r="AB37" s="105">
        <v>1551700</v>
      </c>
      <c r="AC37" s="43">
        <v>68.290000000000006</v>
      </c>
      <c r="AD37" s="2">
        <f t="shared" si="3"/>
        <v>1.3699999999999903</v>
      </c>
      <c r="AE37" s="148">
        <f t="shared" si="4"/>
        <v>1.7279904662595102E-2</v>
      </c>
    </row>
    <row r="38" spans="15:31" x14ac:dyDescent="0.25">
      <c r="W38" s="167">
        <v>42394</v>
      </c>
      <c r="X38" s="43">
        <v>68.64</v>
      </c>
      <c r="Y38" s="43">
        <v>69.36</v>
      </c>
      <c r="Z38" s="43">
        <v>67.510000000000005</v>
      </c>
      <c r="AA38" s="43">
        <v>67.73</v>
      </c>
      <c r="AB38" s="105">
        <v>1704200</v>
      </c>
      <c r="AC38" s="43">
        <v>67.13</v>
      </c>
      <c r="AD38" s="2">
        <f t="shared" si="3"/>
        <v>1.8499999999999943</v>
      </c>
      <c r="AE38" s="148">
        <f t="shared" si="4"/>
        <v>-1.2503677552221371E-2</v>
      </c>
    </row>
    <row r="39" spans="15:31" x14ac:dyDescent="0.25">
      <c r="W39" s="167">
        <v>42391</v>
      </c>
      <c r="X39" s="43">
        <v>71.28</v>
      </c>
      <c r="Y39" s="43">
        <v>71.650000000000006</v>
      </c>
      <c r="Z39" s="43">
        <v>68.58</v>
      </c>
      <c r="AA39" s="43">
        <v>68.59</v>
      </c>
      <c r="AB39" s="105">
        <v>2322100</v>
      </c>
      <c r="AC39" s="43">
        <v>67.98</v>
      </c>
      <c r="AD39" s="2">
        <f t="shared" si="3"/>
        <v>3.0700000000000074</v>
      </c>
      <c r="AE39" s="148">
        <f t="shared" si="4"/>
        <v>-2.1166306695464376E-2</v>
      </c>
    </row>
    <row r="40" spans="15:31" x14ac:dyDescent="0.25">
      <c r="W40" s="167">
        <v>42390</v>
      </c>
      <c r="X40" s="43">
        <v>70.95</v>
      </c>
      <c r="Y40" s="43">
        <v>71.3</v>
      </c>
      <c r="Z40" s="43">
        <v>66.510000000000005</v>
      </c>
      <c r="AA40" s="43">
        <v>70.069999999999993</v>
      </c>
      <c r="AB40" s="105">
        <v>3863900</v>
      </c>
      <c r="AC40" s="43">
        <v>69.45</v>
      </c>
      <c r="AD40" s="2">
        <f t="shared" si="3"/>
        <v>4.789999999999992</v>
      </c>
      <c r="AE40" s="148">
        <f t="shared" si="4"/>
        <v>-1.559177888022667E-2</v>
      </c>
    </row>
    <row r="41" spans="15:31" x14ac:dyDescent="0.25">
      <c r="W41" s="167">
        <v>42389</v>
      </c>
      <c r="X41" s="43">
        <v>70.72</v>
      </c>
      <c r="Y41" s="43">
        <v>72.34</v>
      </c>
      <c r="Z41" s="43">
        <v>67.849999999999994</v>
      </c>
      <c r="AA41" s="43">
        <v>71.180000000000007</v>
      </c>
      <c r="AB41" s="105">
        <v>2123100</v>
      </c>
      <c r="AC41" s="43">
        <v>70.55</v>
      </c>
      <c r="AD41" s="2">
        <f t="shared" si="3"/>
        <v>4.4900000000000091</v>
      </c>
      <c r="AE41" s="148">
        <f t="shared" si="4"/>
        <v>-9.2683611852267811E-3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42388</v>
      </c>
      <c r="X42" s="43">
        <v>72.260000000000005</v>
      </c>
      <c r="Y42" s="43">
        <v>72.569999999999993</v>
      </c>
      <c r="Z42" s="43">
        <v>70.69</v>
      </c>
      <c r="AA42" s="43">
        <v>71.849999999999994</v>
      </c>
      <c r="AB42" s="105">
        <v>1552300</v>
      </c>
      <c r="AC42" s="43">
        <v>71.209999999999994</v>
      </c>
      <c r="AD42" s="2">
        <f t="shared" si="3"/>
        <v>1.8799999999999955</v>
      </c>
      <c r="AE42" s="148">
        <f t="shared" si="4"/>
        <v>1.124701251230098E-3</v>
      </c>
    </row>
    <row r="43" spans="15:31" ht="15.75" thickTop="1" x14ac:dyDescent="0.25">
      <c r="O43" s="93">
        <v>1.1000000000000001</v>
      </c>
      <c r="P43" s="93">
        <f t="shared" ref="P43:P63" si="5">O43*$Q$4</f>
        <v>89.088999999999999</v>
      </c>
      <c r="Q43" s="2"/>
      <c r="R43" s="37"/>
      <c r="T43" s="12" t="s">
        <v>101</v>
      </c>
      <c r="U43" s="98">
        <v>78.97</v>
      </c>
      <c r="W43" s="167">
        <v>42384</v>
      </c>
      <c r="X43" s="43">
        <v>70.23</v>
      </c>
      <c r="Y43" s="43">
        <v>72.03</v>
      </c>
      <c r="Z43" s="43">
        <v>70.180000000000007</v>
      </c>
      <c r="AA43" s="43">
        <v>71.77</v>
      </c>
      <c r="AB43" s="105">
        <v>1786600</v>
      </c>
      <c r="AC43" s="43">
        <v>71.13</v>
      </c>
      <c r="AD43" s="2">
        <f t="shared" si="3"/>
        <v>1.8499999999999943</v>
      </c>
      <c r="AE43" s="148">
        <f t="shared" si="4"/>
        <v>-5.3139421059993364E-3</v>
      </c>
    </row>
    <row r="44" spans="15:31" x14ac:dyDescent="0.25">
      <c r="O44" s="93">
        <v>1.0900000000000001</v>
      </c>
      <c r="P44" s="93">
        <f t="shared" si="5"/>
        <v>88.2791</v>
      </c>
      <c r="Q44" s="2"/>
      <c r="R44" s="37"/>
      <c r="T44" s="12" t="s">
        <v>102</v>
      </c>
      <c r="U44" s="98">
        <v>78.27</v>
      </c>
      <c r="W44" s="167">
        <v>42383</v>
      </c>
      <c r="X44" s="43">
        <v>71.5</v>
      </c>
      <c r="Y44" s="43">
        <v>73.599999999999994</v>
      </c>
      <c r="Z44" s="43">
        <v>71.459999999999994</v>
      </c>
      <c r="AA44" s="43">
        <v>72.150000000000006</v>
      </c>
      <c r="AB44" s="105">
        <v>1916800</v>
      </c>
      <c r="AC44" s="43">
        <v>71.510000000000005</v>
      </c>
      <c r="AD44" s="2">
        <f t="shared" si="3"/>
        <v>2.1400000000000006</v>
      </c>
      <c r="AE44" s="148">
        <f t="shared" si="4"/>
        <v>9.8856093772066167E-3</v>
      </c>
    </row>
    <row r="45" spans="15:31" x14ac:dyDescent="0.25">
      <c r="O45" s="93">
        <v>1.08</v>
      </c>
      <c r="P45" s="93">
        <f t="shared" si="5"/>
        <v>87.469200000000001</v>
      </c>
      <c r="Q45" s="2"/>
      <c r="R45" s="37"/>
      <c r="T45" s="12" t="s">
        <v>103</v>
      </c>
      <c r="U45" s="98" t="s">
        <v>308</v>
      </c>
      <c r="W45" s="167">
        <v>42382</v>
      </c>
      <c r="X45" s="43">
        <v>76.16</v>
      </c>
      <c r="Y45" s="43">
        <v>76.489999999999995</v>
      </c>
      <c r="Z45" s="43">
        <v>70.09</v>
      </c>
      <c r="AA45" s="43">
        <v>71.44</v>
      </c>
      <c r="AB45" s="105">
        <v>1988100</v>
      </c>
      <c r="AC45" s="43">
        <v>70.81</v>
      </c>
      <c r="AD45" s="2">
        <f t="shared" si="3"/>
        <v>6.3999999999999915</v>
      </c>
      <c r="AE45" s="148">
        <f t="shared" si="4"/>
        <v>-5.9128355035875657E-2</v>
      </c>
    </row>
    <row r="46" spans="15:31" x14ac:dyDescent="0.25">
      <c r="O46" s="93">
        <v>1.07</v>
      </c>
      <c r="P46" s="93">
        <f t="shared" si="5"/>
        <v>86.659300000000002</v>
      </c>
      <c r="Q46" s="2"/>
      <c r="R46" s="37"/>
      <c r="T46" s="12" t="s">
        <v>104</v>
      </c>
      <c r="U46" s="98" t="s">
        <v>309</v>
      </c>
      <c r="W46" s="167">
        <v>42381</v>
      </c>
      <c r="X46" s="43">
        <v>76.540000000000006</v>
      </c>
      <c r="Y46" s="43">
        <v>77.349999999999994</v>
      </c>
      <c r="Z46" s="43">
        <v>73.599999999999994</v>
      </c>
      <c r="AA46" s="43">
        <v>75.930000000000007</v>
      </c>
      <c r="AB46" s="105">
        <v>1862200</v>
      </c>
      <c r="AC46" s="43">
        <v>75.260000000000005</v>
      </c>
      <c r="AD46" s="2">
        <f t="shared" si="3"/>
        <v>3.75</v>
      </c>
      <c r="AE46" s="148">
        <f t="shared" si="4"/>
        <v>-5.3120849933585568E-4</v>
      </c>
    </row>
    <row r="47" spans="15:31" x14ac:dyDescent="0.25">
      <c r="O47" s="93">
        <v>1.06</v>
      </c>
      <c r="P47" s="93">
        <f t="shared" si="5"/>
        <v>85.849400000000003</v>
      </c>
      <c r="Q47" s="2"/>
      <c r="R47" s="37"/>
      <c r="T47" s="12" t="s">
        <v>105</v>
      </c>
      <c r="U47" s="98">
        <v>82.95</v>
      </c>
      <c r="W47" s="167">
        <v>42380</v>
      </c>
      <c r="X47" s="43">
        <v>78.02</v>
      </c>
      <c r="Y47" s="43">
        <v>78.34</v>
      </c>
      <c r="Z47" s="43">
        <v>75</v>
      </c>
      <c r="AA47" s="43">
        <v>75.97</v>
      </c>
      <c r="AB47" s="105">
        <v>1524400</v>
      </c>
      <c r="AC47" s="43">
        <v>75.3</v>
      </c>
      <c r="AD47" s="2">
        <f t="shared" si="3"/>
        <v>3.3400000000000034</v>
      </c>
      <c r="AE47" s="148">
        <f t="shared" si="4"/>
        <v>-2.3346303501945442E-2</v>
      </c>
    </row>
    <row r="48" spans="15:31" x14ac:dyDescent="0.25">
      <c r="O48" s="93">
        <v>1.05</v>
      </c>
      <c r="P48" s="93">
        <f t="shared" si="5"/>
        <v>85.039500000000004</v>
      </c>
      <c r="Q48" s="2"/>
      <c r="R48" s="37"/>
      <c r="T48" s="12" t="s">
        <v>106</v>
      </c>
      <c r="U48" s="98">
        <v>1.1974100000000001</v>
      </c>
      <c r="W48" s="167">
        <v>42377</v>
      </c>
      <c r="X48" s="43">
        <v>78.3</v>
      </c>
      <c r="Y48" s="43">
        <v>79</v>
      </c>
      <c r="Z48" s="43">
        <v>77.55</v>
      </c>
      <c r="AA48" s="43">
        <v>77.790000000000006</v>
      </c>
      <c r="AB48" s="105">
        <v>1417600</v>
      </c>
      <c r="AC48" s="43">
        <v>77.099999999999994</v>
      </c>
      <c r="AD48" s="2">
        <f t="shared" si="3"/>
        <v>1.4500000000000028</v>
      </c>
      <c r="AE48" s="148">
        <f t="shared" si="4"/>
        <v>-2.7163368257665521E-3</v>
      </c>
    </row>
    <row r="49" spans="15:31" x14ac:dyDescent="0.25">
      <c r="O49" s="93">
        <v>1.04</v>
      </c>
      <c r="P49" s="93">
        <f t="shared" si="5"/>
        <v>84.229599999999991</v>
      </c>
      <c r="Q49" s="2"/>
      <c r="R49" s="37"/>
      <c r="T49" s="12" t="s">
        <v>126</v>
      </c>
      <c r="U49" s="98" t="s">
        <v>224</v>
      </c>
      <c r="W49" s="167">
        <v>42376</v>
      </c>
      <c r="X49" s="43">
        <v>78.06</v>
      </c>
      <c r="Y49" s="43">
        <v>78.83</v>
      </c>
      <c r="Z49" s="43">
        <v>77.55</v>
      </c>
      <c r="AA49" s="43">
        <v>78</v>
      </c>
      <c r="AB49" s="105">
        <v>1900900</v>
      </c>
      <c r="AC49" s="43">
        <v>77.31</v>
      </c>
      <c r="AD49" s="2">
        <f t="shared" si="3"/>
        <v>1.2800000000000011</v>
      </c>
      <c r="AE49" s="148">
        <f t="shared" si="4"/>
        <v>-1.8659558263518616E-2</v>
      </c>
    </row>
    <row r="50" spans="15:31" x14ac:dyDescent="0.25">
      <c r="O50" s="93">
        <v>1.03</v>
      </c>
      <c r="P50" s="93">
        <f t="shared" si="5"/>
        <v>83.419699999999992</v>
      </c>
      <c r="Q50" s="2"/>
      <c r="R50" s="37"/>
      <c r="T50" s="12"/>
      <c r="U50" s="98"/>
      <c r="W50" s="167">
        <v>42375</v>
      </c>
      <c r="X50" s="43">
        <v>81.22</v>
      </c>
      <c r="Y50" s="43">
        <v>81.7</v>
      </c>
      <c r="Z50" s="43">
        <v>79.010000000000005</v>
      </c>
      <c r="AA50" s="43">
        <v>79.48</v>
      </c>
      <c r="AB50" s="105">
        <v>1345400</v>
      </c>
      <c r="AC50" s="43">
        <v>78.78</v>
      </c>
      <c r="AD50" s="2">
        <f t="shared" si="3"/>
        <v>2.6899999999999977</v>
      </c>
      <c r="AE50" s="148">
        <f t="shared" si="4"/>
        <v>-3.3848417954378318E-2</v>
      </c>
    </row>
    <row r="51" spans="15:31" x14ac:dyDescent="0.25">
      <c r="O51" s="93">
        <v>1.02</v>
      </c>
      <c r="P51" s="93">
        <f t="shared" si="5"/>
        <v>82.609799999999993</v>
      </c>
      <c r="Q51" s="2"/>
      <c r="R51" s="37"/>
      <c r="T51" s="12" t="s">
        <v>108</v>
      </c>
      <c r="U51" s="98" t="s">
        <v>310</v>
      </c>
      <c r="W51" s="167">
        <v>42374</v>
      </c>
      <c r="X51" s="43">
        <v>81.760000000000005</v>
      </c>
      <c r="Y51" s="43">
        <v>82.56</v>
      </c>
      <c r="Z51" s="43">
        <v>81.400000000000006</v>
      </c>
      <c r="AA51" s="43">
        <v>82.27</v>
      </c>
      <c r="AB51" s="105">
        <v>1043500</v>
      </c>
      <c r="AC51" s="43">
        <v>81.540000000000006</v>
      </c>
      <c r="AD51" s="2">
        <f t="shared" si="3"/>
        <v>1.1599999999999966</v>
      </c>
      <c r="AE51" s="148">
        <f t="shared" si="4"/>
        <v>5.5493895671476778E-3</v>
      </c>
    </row>
    <row r="52" spans="15:31" x14ac:dyDescent="0.25">
      <c r="O52" s="93">
        <v>1.01</v>
      </c>
      <c r="P52" s="93">
        <f t="shared" si="5"/>
        <v>81.799899999999994</v>
      </c>
      <c r="Q52" s="2"/>
      <c r="R52" s="37"/>
      <c r="T52" s="12" t="s">
        <v>109</v>
      </c>
      <c r="U52" s="98" t="s">
        <v>255</v>
      </c>
      <c r="W52" s="167">
        <v>42373</v>
      </c>
      <c r="X52" s="43">
        <v>83.64</v>
      </c>
      <c r="Y52" s="43">
        <v>83.66</v>
      </c>
      <c r="Z52" s="43">
        <v>80.900000000000006</v>
      </c>
      <c r="AA52" s="43">
        <v>81.81</v>
      </c>
      <c r="AB52" s="105">
        <v>2558100</v>
      </c>
      <c r="AC52" s="43">
        <v>81.09</v>
      </c>
      <c r="AD52" s="2">
        <f t="shared" si="3"/>
        <v>2.7599999999999909</v>
      </c>
      <c r="AE52" s="148">
        <f t="shared" si="4"/>
        <v>-3.280057251908397E-2</v>
      </c>
    </row>
    <row r="53" spans="15:31" x14ac:dyDescent="0.25">
      <c r="O53" s="93">
        <v>1</v>
      </c>
      <c r="P53" s="93">
        <f t="shared" si="5"/>
        <v>80.989999999999995</v>
      </c>
      <c r="Q53" s="2"/>
      <c r="R53" s="37"/>
      <c r="T53" s="12" t="s">
        <v>110</v>
      </c>
      <c r="U53" s="100">
        <v>987391</v>
      </c>
      <c r="W53" s="167">
        <v>42369</v>
      </c>
      <c r="X53" s="43">
        <v>84.16</v>
      </c>
      <c r="Y53" s="43">
        <v>85.18</v>
      </c>
      <c r="Z53" s="43">
        <v>84.09</v>
      </c>
      <c r="AA53" s="43">
        <v>84.59</v>
      </c>
      <c r="AB53" s="105">
        <v>920100</v>
      </c>
      <c r="AC53" s="43">
        <v>83.84</v>
      </c>
      <c r="AD53" s="2">
        <f t="shared" si="3"/>
        <v>1.0900000000000034</v>
      </c>
      <c r="AE53" s="148">
        <f t="shared" si="4"/>
        <v>-3.2100820354297177E-3</v>
      </c>
    </row>
    <row r="54" spans="15:31" x14ac:dyDescent="0.25">
      <c r="O54" s="93">
        <v>0.99</v>
      </c>
      <c r="P54" s="93">
        <f t="shared" si="5"/>
        <v>80.180099999999996</v>
      </c>
      <c r="Q54" s="2"/>
      <c r="R54" s="37"/>
      <c r="T54" s="12" t="s">
        <v>113</v>
      </c>
      <c r="U54" s="100">
        <v>1790500</v>
      </c>
      <c r="W54" s="167">
        <v>42368</v>
      </c>
      <c r="X54" s="43">
        <v>85.5</v>
      </c>
      <c r="Y54" s="43">
        <v>85.57</v>
      </c>
      <c r="Z54" s="43">
        <v>84.78</v>
      </c>
      <c r="AA54" s="43">
        <v>84.86</v>
      </c>
      <c r="AB54" s="105">
        <v>843300</v>
      </c>
      <c r="AC54" s="43">
        <v>84.11</v>
      </c>
      <c r="AD54" s="2">
        <f t="shared" si="3"/>
        <v>0.78999999999999204</v>
      </c>
      <c r="AE54" s="148">
        <f t="shared" si="4"/>
        <v>-8.1367924528301661E-3</v>
      </c>
    </row>
    <row r="55" spans="15:31" x14ac:dyDescent="0.25">
      <c r="O55" s="93">
        <v>0.98</v>
      </c>
      <c r="P55" s="93">
        <f t="shared" si="5"/>
        <v>79.370199999999997</v>
      </c>
      <c r="Q55" s="2"/>
      <c r="R55" s="37"/>
      <c r="T55" s="12" t="s">
        <v>111</v>
      </c>
      <c r="U55" s="98" t="s">
        <v>281</v>
      </c>
      <c r="W55" s="167">
        <v>42367</v>
      </c>
      <c r="X55" s="43">
        <v>85.86</v>
      </c>
      <c r="Y55" s="43">
        <v>86.31</v>
      </c>
      <c r="Z55" s="43">
        <v>85.5</v>
      </c>
      <c r="AA55" s="43">
        <v>85.56</v>
      </c>
      <c r="AB55" s="105">
        <v>829300</v>
      </c>
      <c r="AC55" s="43">
        <v>84.8</v>
      </c>
      <c r="AD55" s="2">
        <f t="shared" si="3"/>
        <v>0.81000000000000227</v>
      </c>
      <c r="AE55" s="148">
        <f t="shared" si="4"/>
        <v>-3.5364847341745609E-4</v>
      </c>
    </row>
    <row r="56" spans="15:31" x14ac:dyDescent="0.25">
      <c r="O56" s="93">
        <v>0.97</v>
      </c>
      <c r="P56" s="93">
        <f t="shared" si="5"/>
        <v>78.560299999999998</v>
      </c>
      <c r="T56" s="12" t="s">
        <v>114</v>
      </c>
      <c r="U56" s="98">
        <v>15.51</v>
      </c>
      <c r="W56" s="167">
        <v>42366</v>
      </c>
      <c r="X56" s="43">
        <v>86.57</v>
      </c>
      <c r="Y56" s="43">
        <v>86.98</v>
      </c>
      <c r="Z56" s="43">
        <v>85.49</v>
      </c>
      <c r="AA56" s="43">
        <v>85.59</v>
      </c>
      <c r="AB56" s="105">
        <v>862700</v>
      </c>
      <c r="AC56" s="43">
        <v>84.83</v>
      </c>
      <c r="AD56" s="2">
        <f t="shared" si="3"/>
        <v>1.4900000000000091</v>
      </c>
      <c r="AE56" s="148">
        <f t="shared" si="4"/>
        <v>-1.3719334961051155E-2</v>
      </c>
    </row>
    <row r="57" spans="15:31" x14ac:dyDescent="0.25">
      <c r="O57" s="93">
        <v>0.96</v>
      </c>
      <c r="P57" s="93">
        <f t="shared" si="5"/>
        <v>77.750399999999999</v>
      </c>
      <c r="T57" s="12" t="s">
        <v>115</v>
      </c>
      <c r="U57" s="98">
        <v>5.0999999999999996</v>
      </c>
      <c r="W57" s="167">
        <v>42362</v>
      </c>
      <c r="X57" s="43">
        <v>86.9</v>
      </c>
      <c r="Y57" s="43">
        <v>87.33</v>
      </c>
      <c r="Z57" s="43">
        <v>86.17</v>
      </c>
      <c r="AA57" s="43">
        <v>86.78</v>
      </c>
      <c r="AB57" s="105">
        <v>434000</v>
      </c>
      <c r="AC57" s="43">
        <v>86.01</v>
      </c>
      <c r="AD57" s="2">
        <f t="shared" si="3"/>
        <v>1.1599999999999966</v>
      </c>
      <c r="AE57" s="148">
        <f t="shared" si="4"/>
        <v>-8.1319702602222765E-4</v>
      </c>
    </row>
    <row r="58" spans="15:31" x14ac:dyDescent="0.25">
      <c r="O58" s="93">
        <v>0.95</v>
      </c>
      <c r="P58" s="93">
        <f t="shared" si="5"/>
        <v>76.940499999999986</v>
      </c>
      <c r="T58" s="12" t="s">
        <v>112</v>
      </c>
      <c r="U58" s="98" t="s">
        <v>311</v>
      </c>
      <c r="W58" s="167">
        <v>42361</v>
      </c>
      <c r="X58" s="43">
        <v>86.68</v>
      </c>
      <c r="Y58" s="43">
        <v>87.11</v>
      </c>
      <c r="Z58" s="43">
        <v>86</v>
      </c>
      <c r="AA58" s="43">
        <v>86.85</v>
      </c>
      <c r="AB58" s="105">
        <v>865300</v>
      </c>
      <c r="AC58" s="43">
        <v>86.08</v>
      </c>
      <c r="AD58" s="2">
        <f t="shared" si="3"/>
        <v>1.1099999999999994</v>
      </c>
      <c r="AE58" s="148">
        <f t="shared" si="4"/>
        <v>9.0259055210408778E-3</v>
      </c>
    </row>
    <row r="59" spans="15:31" x14ac:dyDescent="0.25">
      <c r="O59" s="93">
        <v>0.94</v>
      </c>
      <c r="P59" s="93">
        <f t="shared" si="5"/>
        <v>76.130599999999987</v>
      </c>
      <c r="W59" s="167">
        <v>42360</v>
      </c>
      <c r="X59" s="43">
        <v>84.89</v>
      </c>
      <c r="Y59" s="43">
        <v>86.47</v>
      </c>
      <c r="Z59" s="43">
        <v>84.61</v>
      </c>
      <c r="AA59" s="43">
        <v>86.07</v>
      </c>
      <c r="AB59" s="105">
        <v>1043900</v>
      </c>
      <c r="AC59" s="43">
        <v>85.31</v>
      </c>
      <c r="AD59" s="2">
        <f t="shared" si="3"/>
        <v>1.8599999999999994</v>
      </c>
      <c r="AE59" s="148">
        <f t="shared" si="4"/>
        <v>2.3638108951283821E-2</v>
      </c>
    </row>
    <row r="60" spans="15:31" x14ac:dyDescent="0.25">
      <c r="O60" s="93">
        <v>0.93</v>
      </c>
      <c r="P60" s="93">
        <f t="shared" si="5"/>
        <v>75.320700000000002</v>
      </c>
      <c r="W60" s="167">
        <v>42359</v>
      </c>
      <c r="X60" s="43">
        <v>85.1</v>
      </c>
      <c r="Y60" s="43">
        <v>85.53</v>
      </c>
      <c r="Z60" s="43">
        <v>83.69</v>
      </c>
      <c r="AA60" s="43">
        <v>84.08</v>
      </c>
      <c r="AB60" s="105">
        <v>1306100</v>
      </c>
      <c r="AC60" s="43">
        <v>83.34</v>
      </c>
      <c r="AD60" s="2">
        <f t="shared" si="3"/>
        <v>1.8400000000000034</v>
      </c>
      <c r="AE60" s="148">
        <f t="shared" si="4"/>
        <v>-2.1551724137930384E-3</v>
      </c>
    </row>
    <row r="61" spans="15:31" x14ac:dyDescent="0.25">
      <c r="O61" s="93">
        <v>0.92</v>
      </c>
      <c r="P61" s="93">
        <f t="shared" si="5"/>
        <v>74.510800000000003</v>
      </c>
      <c r="W61" s="167">
        <v>42356</v>
      </c>
      <c r="X61" s="43">
        <v>84.59</v>
      </c>
      <c r="Y61" s="43">
        <v>85.99</v>
      </c>
      <c r="Z61" s="43">
        <v>83.23</v>
      </c>
      <c r="AA61" s="43">
        <v>84.27</v>
      </c>
      <c r="AB61" s="105">
        <v>3228300</v>
      </c>
      <c r="AC61" s="43">
        <v>83.52</v>
      </c>
      <c r="AD61" s="2">
        <f t="shared" si="3"/>
        <v>2.7599999999999909</v>
      </c>
      <c r="AE61" s="148">
        <f t="shared" si="4"/>
        <v>-9.3701814731349531E-3</v>
      </c>
    </row>
    <row r="62" spans="15:31" x14ac:dyDescent="0.25">
      <c r="O62" s="93">
        <v>0.91</v>
      </c>
      <c r="P62" s="93">
        <f t="shared" si="5"/>
        <v>73.700900000000004</v>
      </c>
      <c r="W62" s="167">
        <v>42355</v>
      </c>
      <c r="X62" s="43">
        <v>89.51</v>
      </c>
      <c r="Y62" s="43">
        <v>89.6</v>
      </c>
      <c r="Z62" s="43">
        <v>84.91</v>
      </c>
      <c r="AA62" s="43">
        <v>85.06</v>
      </c>
      <c r="AB62" s="105">
        <v>2554400</v>
      </c>
      <c r="AC62" s="43">
        <v>84.31</v>
      </c>
      <c r="AD62" s="2">
        <f t="shared" si="3"/>
        <v>4.6899999999999977</v>
      </c>
      <c r="AE62" s="148">
        <f t="shared" si="4"/>
        <v>-5.2590178671760746E-2</v>
      </c>
    </row>
    <row r="63" spans="15:31" x14ac:dyDescent="0.25">
      <c r="O63" s="93">
        <v>0.9</v>
      </c>
      <c r="P63" s="93">
        <f t="shared" si="5"/>
        <v>72.890999999999991</v>
      </c>
      <c r="W63" s="167">
        <v>42354</v>
      </c>
      <c r="X63" s="43">
        <v>91.33</v>
      </c>
      <c r="Y63" s="43">
        <v>91.8</v>
      </c>
      <c r="Z63" s="43">
        <v>88.48</v>
      </c>
      <c r="AA63" s="43">
        <v>89.79</v>
      </c>
      <c r="AB63" s="105">
        <v>2226600</v>
      </c>
      <c r="AC63" s="43">
        <v>88.99</v>
      </c>
      <c r="AD63" s="2">
        <f t="shared" si="3"/>
        <v>3.3199999999999932</v>
      </c>
      <c r="AE63" s="148">
        <f t="shared" si="4"/>
        <v>-1.3523999556590116E-2</v>
      </c>
    </row>
    <row r="64" spans="15:31" x14ac:dyDescent="0.25">
      <c r="W64" s="167">
        <v>42353</v>
      </c>
      <c r="X64" s="43">
        <v>90.17</v>
      </c>
      <c r="Y64" s="43">
        <v>91.59</v>
      </c>
      <c r="Z64" s="43">
        <v>89.71</v>
      </c>
      <c r="AA64" s="43">
        <v>91.02</v>
      </c>
      <c r="AB64" s="105">
        <v>1609500</v>
      </c>
      <c r="AC64" s="43">
        <v>90.21</v>
      </c>
      <c r="AD64" s="2">
        <f t="shared" si="3"/>
        <v>1.8800000000000097</v>
      </c>
      <c r="AE64" s="148">
        <f t="shared" si="4"/>
        <v>1.8631436314363148E-2</v>
      </c>
    </row>
    <row r="65" spans="23:31" x14ac:dyDescent="0.25">
      <c r="W65" s="167">
        <v>42352</v>
      </c>
      <c r="X65" s="43">
        <v>89.6</v>
      </c>
      <c r="Y65" s="43">
        <v>90.75</v>
      </c>
      <c r="Z65" s="43">
        <v>88.9</v>
      </c>
      <c r="AA65" s="43">
        <v>89.35</v>
      </c>
      <c r="AB65" s="105">
        <v>2338900</v>
      </c>
      <c r="AC65" s="43">
        <v>88.56</v>
      </c>
      <c r="AD65" s="2">
        <f t="shared" si="3"/>
        <v>1.8499999999999943</v>
      </c>
      <c r="AE65" s="148">
        <f t="shared" si="4"/>
        <v>-1.0152284263960087E-3</v>
      </c>
    </row>
    <row r="66" spans="23:31" x14ac:dyDescent="0.25">
      <c r="W66" s="167">
        <v>42349</v>
      </c>
      <c r="X66" s="43">
        <v>89.13</v>
      </c>
      <c r="Y66" s="43">
        <v>89.94</v>
      </c>
      <c r="Z66" s="43">
        <v>87.76</v>
      </c>
      <c r="AA66" s="43">
        <v>89.44</v>
      </c>
      <c r="AB66" s="105">
        <v>3170200</v>
      </c>
      <c r="AC66" s="43">
        <v>88.65</v>
      </c>
      <c r="AD66" s="2">
        <f t="shared" si="3"/>
        <v>2.1799999999999926</v>
      </c>
      <c r="AE66" s="148">
        <f t="shared" si="4"/>
        <v>2.013808975834297E-2</v>
      </c>
    </row>
    <row r="67" spans="23:31" x14ac:dyDescent="0.25">
      <c r="W67" s="167">
        <v>42348</v>
      </c>
      <c r="X67" s="43">
        <v>88.32</v>
      </c>
      <c r="Y67" s="43">
        <v>88.47</v>
      </c>
      <c r="Z67" s="43">
        <v>87.3</v>
      </c>
      <c r="AA67" s="43">
        <v>87.68</v>
      </c>
      <c r="AB67" s="105">
        <v>1840400</v>
      </c>
      <c r="AC67" s="43">
        <v>86.9</v>
      </c>
      <c r="AD67" s="2">
        <f t="shared" ref="AD67:AD68" si="6">Y67-Z67</f>
        <v>1.1700000000000017</v>
      </c>
      <c r="AE67" s="148">
        <f t="shared" ref="AE67" si="7">AC67/AC68-1</f>
        <v>1.4982136683185932E-3</v>
      </c>
    </row>
    <row r="68" spans="23:31" x14ac:dyDescent="0.25">
      <c r="W68" s="167">
        <v>42347</v>
      </c>
      <c r="X68" s="43">
        <v>85.93</v>
      </c>
      <c r="Y68" s="43">
        <v>88.11</v>
      </c>
      <c r="Z68" s="43">
        <v>85.76</v>
      </c>
      <c r="AA68" s="43">
        <v>87.55</v>
      </c>
      <c r="AB68" s="105">
        <v>3031600</v>
      </c>
      <c r="AC68" s="43">
        <v>86.77</v>
      </c>
      <c r="AD68" s="2">
        <f t="shared" si="6"/>
        <v>2.3499999999999943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100</v>
      </c>
      <c r="T2" s="1">
        <v>42236</v>
      </c>
      <c r="U2" t="s">
        <v>165</v>
      </c>
      <c r="W2" s="143">
        <v>42444</v>
      </c>
      <c r="X2" s="12">
        <v>27</v>
      </c>
      <c r="Y2" s="12">
        <v>28.29</v>
      </c>
      <c r="Z2" s="12">
        <v>26.5</v>
      </c>
      <c r="AA2" s="12">
        <v>27.37</v>
      </c>
      <c r="AB2" s="105">
        <v>4504300</v>
      </c>
      <c r="AC2" s="12">
        <v>27.37</v>
      </c>
      <c r="AD2" s="2">
        <f>Y2-Z2</f>
        <v>1.7899999999999991</v>
      </c>
      <c r="AE2" s="148">
        <f>AC2/AC3-1</f>
        <v>1.6338655774229549E-2</v>
      </c>
      <c r="AP2" t="s">
        <v>189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31.064299999999932</v>
      </c>
      <c r="W3" s="143">
        <v>42443</v>
      </c>
      <c r="X3" s="12">
        <v>25.6</v>
      </c>
      <c r="Y3" s="12">
        <v>27.25</v>
      </c>
      <c r="Z3" s="12">
        <v>25.11</v>
      </c>
      <c r="AA3" s="12">
        <v>26.93</v>
      </c>
      <c r="AB3" s="105">
        <v>4023300</v>
      </c>
      <c r="AC3" s="12">
        <v>26.93</v>
      </c>
      <c r="AD3" s="2">
        <f t="shared" ref="AD3:AD66" si="2">Y3-Z3</f>
        <v>2.1400000000000006</v>
      </c>
      <c r="AE3" s="148">
        <f t="shared" ref="AE3:AE66" si="3">AC3/AC4-1</f>
        <v>4.8267808485792152E-2</v>
      </c>
      <c r="AI3" t="s">
        <v>200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26.81</v>
      </c>
      <c r="T4" s="1">
        <v>42306</v>
      </c>
      <c r="U4" t="s">
        <v>82</v>
      </c>
      <c r="W4" s="143">
        <v>42440</v>
      </c>
      <c r="X4" s="12">
        <v>26.18</v>
      </c>
      <c r="Y4" s="12">
        <v>26.41</v>
      </c>
      <c r="Z4" s="12">
        <v>25.39</v>
      </c>
      <c r="AA4" s="12">
        <v>25.69</v>
      </c>
      <c r="AB4" s="105">
        <v>3073700</v>
      </c>
      <c r="AC4" s="12">
        <v>25.69</v>
      </c>
      <c r="AD4" s="2">
        <f t="shared" si="2"/>
        <v>1.0199999999999996</v>
      </c>
      <c r="AE4" s="148">
        <f t="shared" si="3"/>
        <v>-1.759082217973218E-2</v>
      </c>
      <c r="AI4" t="s">
        <v>201</v>
      </c>
      <c r="AJ4">
        <v>-150</v>
      </c>
      <c r="AK4" t="s">
        <v>193</v>
      </c>
      <c r="AL4" t="s">
        <v>193</v>
      </c>
      <c r="AO4" s="263">
        <v>-4582.42</v>
      </c>
      <c r="AP4" t="s">
        <v>193</v>
      </c>
      <c r="AQ4" t="s">
        <v>193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2681</v>
      </c>
      <c r="W5" s="143">
        <v>42439</v>
      </c>
      <c r="X5" s="12">
        <v>26.85</v>
      </c>
      <c r="Y5" s="12">
        <v>26.9</v>
      </c>
      <c r="Z5" s="12">
        <v>25.35</v>
      </c>
      <c r="AA5" s="12">
        <v>26.15</v>
      </c>
      <c r="AB5" s="105">
        <v>4566600</v>
      </c>
      <c r="AC5" s="12">
        <v>26.15</v>
      </c>
      <c r="AD5" s="2">
        <f t="shared" si="2"/>
        <v>1.5499999999999972</v>
      </c>
      <c r="AE5" s="148">
        <f t="shared" si="3"/>
        <v>-1.9083969465648609E-3</v>
      </c>
      <c r="AI5" t="s">
        <v>207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3106.429999999993</v>
      </c>
      <c r="W6" s="143">
        <v>42438</v>
      </c>
      <c r="X6" s="12">
        <v>25.47</v>
      </c>
      <c r="Y6" s="12">
        <v>26.75</v>
      </c>
      <c r="Z6" s="12">
        <v>25.15</v>
      </c>
      <c r="AA6" s="12">
        <v>26.2</v>
      </c>
      <c r="AB6" s="105">
        <v>5625600</v>
      </c>
      <c r="AC6" s="12">
        <v>26.2</v>
      </c>
      <c r="AD6" s="2">
        <f t="shared" si="2"/>
        <v>1.6000000000000014</v>
      </c>
      <c r="AE6" s="148">
        <f t="shared" si="3"/>
        <v>4.4657097288676173E-2</v>
      </c>
      <c r="AI6" t="s">
        <v>195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-425.42999999999302</v>
      </c>
      <c r="R7" s="175"/>
      <c r="W7" s="143">
        <v>42437</v>
      </c>
      <c r="X7" s="12">
        <v>25.97</v>
      </c>
      <c r="Y7" s="12">
        <v>26.9</v>
      </c>
      <c r="Z7" s="12">
        <v>24.38</v>
      </c>
      <c r="AA7" s="12">
        <v>25.08</v>
      </c>
      <c r="AB7" s="105">
        <v>9002700</v>
      </c>
      <c r="AC7" s="12">
        <v>25.08</v>
      </c>
      <c r="AD7" s="2">
        <f t="shared" si="2"/>
        <v>2.5199999999999996</v>
      </c>
      <c r="AE7" s="148">
        <f t="shared" si="3"/>
        <v>3.6792062835882433E-2</v>
      </c>
      <c r="AI7" t="s">
        <v>208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-0.13695142011891279</v>
      </c>
      <c r="W8" s="143">
        <v>42436</v>
      </c>
      <c r="X8" s="12">
        <v>22.64</v>
      </c>
      <c r="Y8" s="12">
        <v>24.77</v>
      </c>
      <c r="Z8" s="12">
        <v>22.63</v>
      </c>
      <c r="AA8" s="12">
        <v>24.19</v>
      </c>
      <c r="AB8" s="105">
        <v>7431300</v>
      </c>
      <c r="AC8" s="12">
        <v>24.19</v>
      </c>
      <c r="AD8" s="2">
        <f t="shared" si="2"/>
        <v>2.1400000000000006</v>
      </c>
      <c r="AE8" s="148">
        <f t="shared" si="3"/>
        <v>8.0393032603841119E-2</v>
      </c>
      <c r="AI8" t="s">
        <v>194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42433</v>
      </c>
      <c r="X9" s="12">
        <v>22.49</v>
      </c>
      <c r="Y9" s="12">
        <v>25</v>
      </c>
      <c r="Z9" s="12">
        <v>21.4</v>
      </c>
      <c r="AA9" s="12">
        <v>22.39</v>
      </c>
      <c r="AB9" s="105">
        <v>10777100</v>
      </c>
      <c r="AC9" s="12">
        <v>22.39</v>
      </c>
      <c r="AD9" s="2">
        <f t="shared" si="2"/>
        <v>3.6000000000000014</v>
      </c>
      <c r="AE9" s="148">
        <f t="shared" si="3"/>
        <v>-4.4464206313916677E-3</v>
      </c>
      <c r="AI9" t="s">
        <v>192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42432</v>
      </c>
      <c r="X10" s="12">
        <v>19.850000000000001</v>
      </c>
      <c r="Y10" s="12">
        <v>23.84</v>
      </c>
      <c r="Z10" s="12">
        <v>19.23</v>
      </c>
      <c r="AA10" s="12">
        <v>22.49</v>
      </c>
      <c r="AB10" s="105">
        <v>13459400</v>
      </c>
      <c r="AC10" s="12">
        <v>22.49</v>
      </c>
      <c r="AD10" s="2">
        <f t="shared" si="2"/>
        <v>4.6099999999999994</v>
      </c>
      <c r="AE10" s="148">
        <f t="shared" si="3"/>
        <v>0.1557040082219936</v>
      </c>
      <c r="AI10" t="s">
        <v>194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42431</v>
      </c>
      <c r="X11" s="12">
        <v>18.36</v>
      </c>
      <c r="Y11" s="12">
        <v>19.8</v>
      </c>
      <c r="Z11" s="12">
        <v>18.03</v>
      </c>
      <c r="AA11" s="12">
        <v>19.46</v>
      </c>
      <c r="AB11" s="105">
        <v>4748200</v>
      </c>
      <c r="AC11" s="12">
        <v>19.46</v>
      </c>
      <c r="AD11" s="2">
        <f t="shared" si="2"/>
        <v>1.7699999999999996</v>
      </c>
      <c r="AE11" s="148">
        <f t="shared" si="3"/>
        <v>8.0510827318156508E-2</v>
      </c>
      <c r="AI11" t="s">
        <v>192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42430</v>
      </c>
      <c r="X12" s="12">
        <v>18.82</v>
      </c>
      <c r="Y12" s="12">
        <v>18.850000000000001</v>
      </c>
      <c r="Z12" s="12">
        <v>17.72</v>
      </c>
      <c r="AA12" s="12">
        <v>18.010000000000002</v>
      </c>
      <c r="AB12" s="105">
        <v>4015500</v>
      </c>
      <c r="AC12" s="12">
        <v>18.010000000000002</v>
      </c>
      <c r="AD12" s="2">
        <f t="shared" si="2"/>
        <v>1.1300000000000026</v>
      </c>
      <c r="AE12" s="148">
        <f t="shared" si="3"/>
        <v>-2.2788931090613085E-2</v>
      </c>
      <c r="AI12" t="s">
        <v>194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42429</v>
      </c>
      <c r="X13" s="12">
        <v>19</v>
      </c>
      <c r="Y13" s="12">
        <v>19.399999999999999</v>
      </c>
      <c r="Z13" s="12">
        <v>18.399999999999999</v>
      </c>
      <c r="AA13" s="12">
        <v>18.43</v>
      </c>
      <c r="AB13" s="105">
        <v>3335600</v>
      </c>
      <c r="AC13" s="12">
        <v>18.43</v>
      </c>
      <c r="AD13" s="2">
        <f t="shared" si="2"/>
        <v>1</v>
      </c>
      <c r="AE13" s="148">
        <f t="shared" si="3"/>
        <v>-1.9680851063829885E-2</v>
      </c>
      <c r="AI13" t="s">
        <v>192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42426</v>
      </c>
      <c r="X14" s="12">
        <v>19.100000000000001</v>
      </c>
      <c r="Y14" s="12">
        <v>19.53</v>
      </c>
      <c r="Z14" s="12">
        <v>18.510000000000002</v>
      </c>
      <c r="AA14" s="12">
        <v>18.8</v>
      </c>
      <c r="AB14" s="105">
        <v>3806900</v>
      </c>
      <c r="AC14" s="12">
        <v>18.8</v>
      </c>
      <c r="AD14" s="2">
        <f t="shared" si="2"/>
        <v>1.0199999999999996</v>
      </c>
      <c r="AE14" s="148">
        <f t="shared" si="3"/>
        <v>8.5836909871244149E-3</v>
      </c>
      <c r="AI14" t="s">
        <v>209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42425</v>
      </c>
      <c r="X15" s="12">
        <v>19</v>
      </c>
      <c r="Y15" s="12">
        <v>19.27</v>
      </c>
      <c r="Z15" s="12">
        <v>18.25</v>
      </c>
      <c r="AA15" s="12">
        <v>18.64</v>
      </c>
      <c r="AB15" s="105">
        <v>4276100</v>
      </c>
      <c r="AC15" s="12">
        <v>18.64</v>
      </c>
      <c r="AD15" s="2">
        <f t="shared" si="2"/>
        <v>1.0199999999999996</v>
      </c>
      <c r="AE15" s="148">
        <f t="shared" si="3"/>
        <v>-1.3756613756613634E-2</v>
      </c>
      <c r="AI15" t="s">
        <v>192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42424</v>
      </c>
      <c r="X16" s="12">
        <v>17.66</v>
      </c>
      <c r="Y16" s="12">
        <v>19.3</v>
      </c>
      <c r="Z16" s="12">
        <v>17.27</v>
      </c>
      <c r="AA16" s="12">
        <v>18.899999999999999</v>
      </c>
      <c r="AB16" s="105">
        <v>5545600</v>
      </c>
      <c r="AC16" s="12">
        <v>18.899999999999999</v>
      </c>
      <c r="AD16" s="2">
        <f t="shared" si="2"/>
        <v>2.0300000000000011</v>
      </c>
      <c r="AE16" s="148">
        <f t="shared" si="3"/>
        <v>5.2924791086350842E-2</v>
      </c>
      <c r="AI16" t="s">
        <v>209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42423</v>
      </c>
      <c r="X17" s="12">
        <v>18.760000000000002</v>
      </c>
      <c r="Y17" s="12">
        <v>18.95</v>
      </c>
      <c r="Z17" s="12">
        <v>17.82</v>
      </c>
      <c r="AA17" s="12">
        <v>17.95</v>
      </c>
      <c r="AB17" s="105">
        <v>5173600</v>
      </c>
      <c r="AC17" s="12">
        <v>17.95</v>
      </c>
      <c r="AD17" s="2">
        <f t="shared" si="2"/>
        <v>1.129999999999999</v>
      </c>
      <c r="AE17" s="148">
        <f t="shared" si="3"/>
        <v>-5.9224318658280928E-2</v>
      </c>
      <c r="AI17" t="s">
        <v>192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42422</v>
      </c>
      <c r="X18" s="12">
        <v>19.55</v>
      </c>
      <c r="Y18" s="12">
        <v>19.78</v>
      </c>
      <c r="Z18" s="12">
        <v>18.8</v>
      </c>
      <c r="AA18" s="12">
        <v>19.079999999999998</v>
      </c>
      <c r="AB18" s="105">
        <v>4020700</v>
      </c>
      <c r="AC18" s="12">
        <v>19.079999999999998</v>
      </c>
      <c r="AD18" s="2">
        <f t="shared" si="2"/>
        <v>0.98000000000000043</v>
      </c>
      <c r="AE18" s="148">
        <f t="shared" si="3"/>
        <v>1.381509032943673E-2</v>
      </c>
      <c r="AI18" t="s">
        <v>202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42419</v>
      </c>
      <c r="X19" s="12">
        <v>19.670000000000002</v>
      </c>
      <c r="Y19" s="12">
        <v>19.989999999999998</v>
      </c>
      <c r="Z19" s="12">
        <v>18.71</v>
      </c>
      <c r="AA19" s="12">
        <v>18.82</v>
      </c>
      <c r="AB19" s="105">
        <v>4684900</v>
      </c>
      <c r="AC19" s="12">
        <v>18.82</v>
      </c>
      <c r="AD19" s="2">
        <f t="shared" si="2"/>
        <v>1.2799999999999976</v>
      </c>
      <c r="AE19" s="148">
        <f t="shared" si="3"/>
        <v>-6.1346633416458851E-2</v>
      </c>
      <c r="AI19" t="s">
        <v>192</v>
      </c>
    </row>
    <row r="20" spans="1:43" x14ac:dyDescent="0.25">
      <c r="C20" s="7"/>
      <c r="D20" s="3"/>
      <c r="E20" s="3"/>
      <c r="F20" s="3"/>
      <c r="W20" s="143">
        <v>42418</v>
      </c>
      <c r="X20" s="12">
        <v>21.95</v>
      </c>
      <c r="Y20" s="12">
        <v>22</v>
      </c>
      <c r="Z20" s="12">
        <v>19.41</v>
      </c>
      <c r="AA20" s="12">
        <v>20.05</v>
      </c>
      <c r="AB20" s="105">
        <v>9795200</v>
      </c>
      <c r="AC20" s="12">
        <v>20.05</v>
      </c>
      <c r="AD20" s="2">
        <f t="shared" si="2"/>
        <v>2.59</v>
      </c>
      <c r="AE20" s="148">
        <f t="shared" si="3"/>
        <v>-3.5594035594035511E-2</v>
      </c>
      <c r="AI20" t="s">
        <v>203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42417</v>
      </c>
      <c r="X21" s="12">
        <v>18.989999999999998</v>
      </c>
      <c r="Y21" s="12">
        <v>22.75</v>
      </c>
      <c r="Z21" s="12">
        <v>18.75</v>
      </c>
      <c r="AA21" s="12">
        <v>20.79</v>
      </c>
      <c r="AB21" s="105">
        <v>12716700</v>
      </c>
      <c r="AC21" s="12">
        <v>20.79</v>
      </c>
      <c r="AD21" s="2">
        <f t="shared" si="2"/>
        <v>4</v>
      </c>
      <c r="AE21" s="148">
        <f t="shared" si="3"/>
        <v>0.13173652694610771</v>
      </c>
      <c r="AI21" t="s">
        <v>192</v>
      </c>
    </row>
    <row r="22" spans="1:43" x14ac:dyDescent="0.25">
      <c r="W22" s="143">
        <v>42416</v>
      </c>
      <c r="X22" s="12">
        <v>18.670000000000002</v>
      </c>
      <c r="Y22" s="12">
        <v>19.12</v>
      </c>
      <c r="Z22" s="12">
        <v>17.96</v>
      </c>
      <c r="AA22" s="12">
        <v>18.37</v>
      </c>
      <c r="AB22" s="105">
        <v>6278900</v>
      </c>
      <c r="AC22" s="12">
        <v>18.37</v>
      </c>
      <c r="AD22" s="2">
        <f t="shared" si="2"/>
        <v>1.1600000000000001</v>
      </c>
      <c r="AE22" s="148">
        <f t="shared" si="3"/>
        <v>5.6962025316455778E-2</v>
      </c>
      <c r="AI22" t="s">
        <v>203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42412</v>
      </c>
      <c r="X23" s="12">
        <v>17.3</v>
      </c>
      <c r="Y23" s="12">
        <v>18.239999999999998</v>
      </c>
      <c r="Z23" s="12">
        <v>16.899999999999999</v>
      </c>
      <c r="AA23" s="12">
        <v>17.38</v>
      </c>
      <c r="AB23" s="105">
        <v>7311500</v>
      </c>
      <c r="AC23" s="12">
        <v>17.38</v>
      </c>
      <c r="AD23" s="2">
        <f t="shared" si="2"/>
        <v>1.3399999999999999</v>
      </c>
      <c r="AE23" s="148">
        <f t="shared" si="3"/>
        <v>4.2591481703659007E-2</v>
      </c>
      <c r="AI23" t="s">
        <v>192</v>
      </c>
    </row>
    <row r="24" spans="1:43" x14ac:dyDescent="0.25">
      <c r="W24" s="143">
        <v>42411</v>
      </c>
      <c r="X24" s="12">
        <v>18.690000000000001</v>
      </c>
      <c r="Y24" s="12">
        <v>19.43</v>
      </c>
      <c r="Z24" s="12">
        <v>16.309999999999999</v>
      </c>
      <c r="AA24" s="12">
        <v>16.670000000000002</v>
      </c>
      <c r="AB24" s="105">
        <v>14649400</v>
      </c>
      <c r="AC24" s="12">
        <v>16.670000000000002</v>
      </c>
      <c r="AD24" s="2">
        <f t="shared" si="2"/>
        <v>3.120000000000001</v>
      </c>
      <c r="AE24" s="148">
        <f t="shared" si="3"/>
        <v>-0.10520665593129352</v>
      </c>
      <c r="AI24" t="s">
        <v>210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42410</v>
      </c>
      <c r="X25" s="12">
        <v>19.420000000000002</v>
      </c>
      <c r="Y25" s="12">
        <v>21.95</v>
      </c>
      <c r="Z25" s="12">
        <v>18.260000000000002</v>
      </c>
      <c r="AA25" s="12">
        <v>18.63</v>
      </c>
      <c r="AB25" s="105">
        <v>33007300</v>
      </c>
      <c r="AC25" s="12">
        <v>18.63</v>
      </c>
      <c r="AD25" s="2">
        <f t="shared" si="2"/>
        <v>3.6899999999999977</v>
      </c>
      <c r="AE25" s="148">
        <f t="shared" si="3"/>
        <v>-0.29297912713472496</v>
      </c>
      <c r="AI25" t="s">
        <v>192</v>
      </c>
    </row>
    <row r="26" spans="1:43" x14ac:dyDescent="0.25">
      <c r="W26" s="143">
        <v>42409</v>
      </c>
      <c r="X26" s="12">
        <v>27.05</v>
      </c>
      <c r="Y26" s="12">
        <v>28.22</v>
      </c>
      <c r="Z26" s="12">
        <v>25.35</v>
      </c>
      <c r="AA26" s="12">
        <v>26.35</v>
      </c>
      <c r="AB26" s="105">
        <v>6060100</v>
      </c>
      <c r="AC26" s="12">
        <v>26.35</v>
      </c>
      <c r="AD26" s="2">
        <f t="shared" si="2"/>
        <v>2.8699999999999974</v>
      </c>
      <c r="AE26" s="148">
        <f t="shared" si="3"/>
        <v>-5.6907659269863964E-2</v>
      </c>
    </row>
    <row r="27" spans="1:43" x14ac:dyDescent="0.25">
      <c r="B27" s="209" t="s">
        <v>117</v>
      </c>
      <c r="C27" s="209" t="s">
        <v>170</v>
      </c>
      <c r="D27" s="210" t="s">
        <v>169</v>
      </c>
      <c r="E27" s="212" t="s">
        <v>171</v>
      </c>
      <c r="F27" s="213" t="s">
        <v>65</v>
      </c>
      <c r="G27" s="253" t="s">
        <v>175</v>
      </c>
      <c r="H27" s="213" t="s">
        <v>90</v>
      </c>
      <c r="I27" s="253" t="s">
        <v>183</v>
      </c>
      <c r="W27" s="143">
        <v>42408</v>
      </c>
      <c r="X27" s="12">
        <v>29.1</v>
      </c>
      <c r="Y27" s="12">
        <v>30.4</v>
      </c>
      <c r="Z27" s="12">
        <v>26.56</v>
      </c>
      <c r="AA27" s="12">
        <v>27.94</v>
      </c>
      <c r="AB27" s="105">
        <v>4018100</v>
      </c>
      <c r="AC27" s="12">
        <v>27.94</v>
      </c>
      <c r="AD27" s="2">
        <f t="shared" si="2"/>
        <v>3.84</v>
      </c>
      <c r="AE27" s="148">
        <f t="shared" si="3"/>
        <v>-5.5123435914778418E-2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42405</v>
      </c>
      <c r="X28" s="12">
        <v>29.22</v>
      </c>
      <c r="Y28" s="12">
        <v>30.61</v>
      </c>
      <c r="Z28" s="12">
        <v>28.4</v>
      </c>
      <c r="AA28" s="12">
        <v>29.57</v>
      </c>
      <c r="AB28" s="105">
        <v>3839100</v>
      </c>
      <c r="AC28" s="12">
        <v>29.57</v>
      </c>
      <c r="AD28" s="2">
        <f t="shared" si="2"/>
        <v>2.2100000000000009</v>
      </c>
      <c r="AE28" s="148">
        <f t="shared" si="3"/>
        <v>2.7127839945744192E-3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1" si="5">C29*(E29-D29)</f>
        <v>82.499999999999218</v>
      </c>
      <c r="G29" s="43">
        <f t="shared" ref="G29:G51" si="6">D29*C29</f>
        <v>20856</v>
      </c>
      <c r="H29" s="260">
        <f t="shared" ref="H29:H51" si="7">(E29-D29)/D29</f>
        <v>3.9556962025316077E-3</v>
      </c>
      <c r="I29" s="43"/>
      <c r="W29" s="143">
        <v>42404</v>
      </c>
      <c r="X29" s="12">
        <v>31.42</v>
      </c>
      <c r="Y29" s="12">
        <v>32.049999999999997</v>
      </c>
      <c r="Z29" s="12">
        <v>28.56</v>
      </c>
      <c r="AA29" s="12">
        <v>29.49</v>
      </c>
      <c r="AB29" s="105">
        <v>5217900</v>
      </c>
      <c r="AC29" s="12">
        <v>29.49</v>
      </c>
      <c r="AD29" s="2">
        <f t="shared" si="2"/>
        <v>3.4899999999999984</v>
      </c>
      <c r="AE29" s="148">
        <f t="shared" si="3"/>
        <v>-5.9630102040816313E-2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42403</v>
      </c>
      <c r="X30" s="12">
        <v>32.340000000000003</v>
      </c>
      <c r="Y30" s="12">
        <v>33.090000000000003</v>
      </c>
      <c r="Z30" s="12">
        <v>30.23</v>
      </c>
      <c r="AA30" s="12">
        <v>31.36</v>
      </c>
      <c r="AB30" s="105">
        <v>3213000</v>
      </c>
      <c r="AC30" s="12">
        <v>31.36</v>
      </c>
      <c r="AD30" s="2">
        <f t="shared" si="2"/>
        <v>2.860000000000003</v>
      </c>
      <c r="AE30" s="148">
        <f t="shared" si="3"/>
        <v>-2.122347066167285E-2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42402</v>
      </c>
      <c r="X31" s="12">
        <v>33.56</v>
      </c>
      <c r="Y31" s="12">
        <v>33.58</v>
      </c>
      <c r="Z31" s="12">
        <v>30.3</v>
      </c>
      <c r="AA31" s="12">
        <v>32.04</v>
      </c>
      <c r="AB31" s="105">
        <v>3231600</v>
      </c>
      <c r="AC31" s="12">
        <v>32.04</v>
      </c>
      <c r="AD31" s="2">
        <f t="shared" si="2"/>
        <v>3.2799999999999976</v>
      </c>
      <c r="AE31" s="148">
        <f t="shared" si="3"/>
        <v>-5.0947867298578142E-2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42401</v>
      </c>
      <c r="X32" s="12">
        <v>35.200000000000003</v>
      </c>
      <c r="Y32" s="12">
        <v>35.85</v>
      </c>
      <c r="Z32" s="12">
        <v>33.659999999999997</v>
      </c>
      <c r="AA32" s="12">
        <v>33.76</v>
      </c>
      <c r="AB32" s="105">
        <v>2150100</v>
      </c>
      <c r="AC32" s="12">
        <v>33.76</v>
      </c>
      <c r="AD32" s="2">
        <f t="shared" si="2"/>
        <v>2.1900000000000048</v>
      </c>
      <c r="AE32" s="148">
        <f t="shared" si="3"/>
        <v>-5.3015427769986023E-2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42398</v>
      </c>
      <c r="X33" s="12">
        <v>36.5</v>
      </c>
      <c r="Y33" s="12">
        <v>37.1</v>
      </c>
      <c r="Z33" s="12">
        <v>34.75</v>
      </c>
      <c r="AA33" s="12">
        <v>35.65</v>
      </c>
      <c r="AB33" s="105">
        <v>3251800</v>
      </c>
      <c r="AC33" s="12">
        <v>35.65</v>
      </c>
      <c r="AD33" s="2">
        <f t="shared" si="2"/>
        <v>2.3500000000000014</v>
      </c>
      <c r="AE33" s="148">
        <f t="shared" si="3"/>
        <v>8.422234699607678E-4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42397</v>
      </c>
      <c r="X34" s="12">
        <v>34.29</v>
      </c>
      <c r="Y34" s="12">
        <v>38.4</v>
      </c>
      <c r="Z34" s="12">
        <v>33.58</v>
      </c>
      <c r="AA34" s="12">
        <v>35.619999999999997</v>
      </c>
      <c r="AB34" s="105">
        <v>6057800</v>
      </c>
      <c r="AC34" s="12">
        <v>35.619999999999997</v>
      </c>
      <c r="AD34" s="2">
        <f t="shared" si="2"/>
        <v>4.82</v>
      </c>
      <c r="AE34" s="148">
        <f t="shared" si="3"/>
        <v>8.465286236297187E-2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42396</v>
      </c>
      <c r="X35" s="12">
        <v>33.43</v>
      </c>
      <c r="Y35" s="12">
        <v>34.74</v>
      </c>
      <c r="Z35" s="12">
        <v>32.700000000000003</v>
      </c>
      <c r="AA35" s="12">
        <v>32.840000000000003</v>
      </c>
      <c r="AB35" s="105">
        <v>2071400</v>
      </c>
      <c r="AC35" s="12">
        <v>32.840000000000003</v>
      </c>
      <c r="AD35" s="2">
        <f t="shared" si="2"/>
        <v>2.0399999999999991</v>
      </c>
      <c r="AE35" s="148">
        <f t="shared" si="3"/>
        <v>-4.088785046728971E-2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42395</v>
      </c>
      <c r="X36" s="12">
        <v>31.03</v>
      </c>
      <c r="Y36" s="12">
        <v>35.08</v>
      </c>
      <c r="Z36" s="12">
        <v>30.05</v>
      </c>
      <c r="AA36" s="12">
        <v>34.24</v>
      </c>
      <c r="AB36" s="105">
        <v>4296900</v>
      </c>
      <c r="AC36" s="12">
        <v>34.24</v>
      </c>
      <c r="AD36" s="2">
        <f t="shared" si="2"/>
        <v>5.0299999999999976</v>
      </c>
      <c r="AE36" s="148">
        <f t="shared" si="3"/>
        <v>0.11822338340953631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42394</v>
      </c>
      <c r="X37" s="12">
        <v>32.06</v>
      </c>
      <c r="Y37" s="12">
        <v>32.1</v>
      </c>
      <c r="Z37" s="12">
        <v>30.14</v>
      </c>
      <c r="AA37" s="12">
        <v>30.62</v>
      </c>
      <c r="AB37" s="105">
        <v>2613200</v>
      </c>
      <c r="AC37" s="12">
        <v>30.62</v>
      </c>
      <c r="AD37" s="2">
        <f t="shared" si="2"/>
        <v>1.9600000000000009</v>
      </c>
      <c r="AE37" s="148">
        <f t="shared" si="3"/>
        <v>-4.4319600499375778E-2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42391</v>
      </c>
      <c r="X38" s="12">
        <v>33.47</v>
      </c>
      <c r="Y38" s="12">
        <v>34.31</v>
      </c>
      <c r="Z38" s="12">
        <v>31.32</v>
      </c>
      <c r="AA38" s="12">
        <v>32.04</v>
      </c>
      <c r="AB38" s="105">
        <v>3417600</v>
      </c>
      <c r="AC38" s="12">
        <v>32.04</v>
      </c>
      <c r="AD38" s="2">
        <f t="shared" si="2"/>
        <v>2.990000000000002</v>
      </c>
      <c r="AE38" s="148">
        <f t="shared" si="3"/>
        <v>8.4985835694051381E-3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42390</v>
      </c>
      <c r="X39" s="12">
        <v>33.07</v>
      </c>
      <c r="Y39" s="12">
        <v>35.51</v>
      </c>
      <c r="Z39" s="12">
        <v>30.88</v>
      </c>
      <c r="AA39" s="12">
        <v>31.77</v>
      </c>
      <c r="AB39" s="105">
        <v>5215600</v>
      </c>
      <c r="AC39" s="12">
        <v>31.77</v>
      </c>
      <c r="AD39" s="2">
        <f t="shared" si="2"/>
        <v>4.629999999999999</v>
      </c>
      <c r="AE39" s="148">
        <f t="shared" si="3"/>
        <v>-6.0615020697811994E-2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42389</v>
      </c>
      <c r="X40" s="12">
        <v>30.01</v>
      </c>
      <c r="Y40" s="12">
        <v>34.880000000000003</v>
      </c>
      <c r="Z40" s="12">
        <v>27.5</v>
      </c>
      <c r="AA40" s="12">
        <v>33.82</v>
      </c>
      <c r="AB40" s="105">
        <v>6385700</v>
      </c>
      <c r="AC40" s="12">
        <v>33.82</v>
      </c>
      <c r="AD40" s="2">
        <f t="shared" si="2"/>
        <v>7.3800000000000026</v>
      </c>
      <c r="AE40" s="148">
        <f t="shared" si="3"/>
        <v>8.7809585075587115E-2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42388</v>
      </c>
      <c r="X41" s="12">
        <v>35.270000000000003</v>
      </c>
      <c r="Y41" s="12">
        <v>35.49</v>
      </c>
      <c r="Z41" s="12">
        <v>30.31</v>
      </c>
      <c r="AA41" s="12">
        <v>31.09</v>
      </c>
      <c r="AB41" s="105">
        <v>5345600</v>
      </c>
      <c r="AC41" s="12">
        <v>31.09</v>
      </c>
      <c r="AD41" s="2">
        <f t="shared" si="2"/>
        <v>5.1800000000000033</v>
      </c>
      <c r="AE41" s="148">
        <f t="shared" si="3"/>
        <v>-0.11676136363636369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08" t="s">
        <v>78</v>
      </c>
      <c r="P42" s="408"/>
      <c r="Q42" s="37"/>
      <c r="T42" s="101" t="s">
        <v>116</v>
      </c>
      <c r="W42" s="143">
        <v>42384</v>
      </c>
      <c r="X42" s="12">
        <v>35</v>
      </c>
      <c r="Y42" s="12">
        <v>37.450000000000003</v>
      </c>
      <c r="Z42" s="12">
        <v>33.89</v>
      </c>
      <c r="AA42" s="12">
        <v>35.200000000000003</v>
      </c>
      <c r="AB42" s="105">
        <v>4495100</v>
      </c>
      <c r="AC42" s="12">
        <v>35.200000000000003</v>
      </c>
      <c r="AD42" s="2">
        <f t="shared" si="2"/>
        <v>3.5600000000000023</v>
      </c>
      <c r="AE42" s="148">
        <f t="shared" si="3"/>
        <v>-5.1724137931034364E-2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30.563399999999994</v>
      </c>
      <c r="Q43" s="37"/>
      <c r="T43" s="138" t="s">
        <v>101</v>
      </c>
      <c r="U43" s="108">
        <v>26.93</v>
      </c>
      <c r="W43" s="143">
        <v>42383</v>
      </c>
      <c r="X43" s="12">
        <v>40.68</v>
      </c>
      <c r="Y43" s="12">
        <v>41</v>
      </c>
      <c r="Z43" s="12">
        <v>36.15</v>
      </c>
      <c r="AA43" s="12">
        <v>37.119999999999997</v>
      </c>
      <c r="AB43" s="105">
        <v>7022000</v>
      </c>
      <c r="AC43" s="12">
        <v>37.119999999999997</v>
      </c>
      <c r="AD43" s="2">
        <f t="shared" si="2"/>
        <v>4.8500000000000014</v>
      </c>
      <c r="AE43" s="148">
        <f t="shared" si="3"/>
        <v>-0.13189897100093551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30.295299999999997</v>
      </c>
      <c r="Q44" s="37"/>
      <c r="T44" s="103" t="s">
        <v>102</v>
      </c>
      <c r="U44" s="98">
        <v>27</v>
      </c>
      <c r="W44" s="143">
        <v>42382</v>
      </c>
      <c r="X44" s="12">
        <v>44.88</v>
      </c>
      <c r="Y44" s="12">
        <v>45.88</v>
      </c>
      <c r="Z44" s="12">
        <v>42.01</v>
      </c>
      <c r="AA44" s="12">
        <v>42.76</v>
      </c>
      <c r="AB44" s="105">
        <v>2915400</v>
      </c>
      <c r="AC44" s="12">
        <v>42.76</v>
      </c>
      <c r="AD44" s="2">
        <f t="shared" si="2"/>
        <v>3.8700000000000045</v>
      </c>
      <c r="AE44" s="148">
        <f t="shared" si="3"/>
        <v>-4.3828264758497326E-2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30.027200000000001</v>
      </c>
      <c r="Q45" s="37"/>
      <c r="T45" s="103" t="s">
        <v>103</v>
      </c>
      <c r="U45" s="98" t="s">
        <v>413</v>
      </c>
      <c r="W45" s="143">
        <v>42381</v>
      </c>
      <c r="X45" s="12">
        <v>47.84</v>
      </c>
      <c r="Y45" s="12">
        <v>47.98</v>
      </c>
      <c r="Z45" s="12">
        <v>43.1</v>
      </c>
      <c r="AA45" s="12">
        <v>44.72</v>
      </c>
      <c r="AB45" s="105">
        <v>3341600</v>
      </c>
      <c r="AC45" s="12">
        <v>44.72</v>
      </c>
      <c r="AD45" s="2">
        <f t="shared" si="2"/>
        <v>4.8799999999999955</v>
      </c>
      <c r="AE45" s="148">
        <f t="shared" si="3"/>
        <v>-6.2277206961627196E-2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29.7591</v>
      </c>
      <c r="Q46" s="93"/>
      <c r="T46" s="103" t="s">
        <v>104</v>
      </c>
      <c r="U46" s="98" t="s">
        <v>414</v>
      </c>
      <c r="W46" s="143">
        <v>42380</v>
      </c>
      <c r="X46" s="12">
        <v>48.87</v>
      </c>
      <c r="Y46" s="12">
        <v>49.39</v>
      </c>
      <c r="Z46" s="12">
        <v>47.14</v>
      </c>
      <c r="AA46" s="12">
        <v>47.69</v>
      </c>
      <c r="AB46" s="105">
        <v>1677600</v>
      </c>
      <c r="AC46" s="12">
        <v>47.69</v>
      </c>
      <c r="AD46" s="2">
        <f t="shared" si="2"/>
        <v>2.25</v>
      </c>
      <c r="AE46" s="148">
        <f t="shared" si="3"/>
        <v>-2.2946117598852789E-2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>
        <v>27</v>
      </c>
      <c r="O47" s="93">
        <v>1.1000000000000001</v>
      </c>
      <c r="P47" s="93">
        <f t="shared" si="8"/>
        <v>29.491</v>
      </c>
      <c r="Q47" s="93"/>
      <c r="T47" s="103" t="s">
        <v>105</v>
      </c>
      <c r="U47" s="98">
        <v>44.5</v>
      </c>
      <c r="W47" s="143">
        <v>42377</v>
      </c>
      <c r="X47" s="12">
        <v>47.75</v>
      </c>
      <c r="Y47" s="12">
        <v>49.34</v>
      </c>
      <c r="Z47" s="12">
        <v>47.63</v>
      </c>
      <c r="AA47" s="12">
        <v>48.81</v>
      </c>
      <c r="AB47" s="105">
        <v>2139300</v>
      </c>
      <c r="AC47" s="12">
        <v>48.81</v>
      </c>
      <c r="AD47" s="2">
        <f t="shared" si="2"/>
        <v>1.7100000000000009</v>
      </c>
      <c r="AE47" s="148">
        <f t="shared" si="3"/>
        <v>3.6966220522625992E-2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29.222899999999999</v>
      </c>
      <c r="Q48" s="93"/>
      <c r="T48" s="103" t="s">
        <v>106</v>
      </c>
      <c r="U48" s="98">
        <v>1.7099</v>
      </c>
      <c r="W48" s="143">
        <v>42376</v>
      </c>
      <c r="X48" s="12">
        <v>48.74</v>
      </c>
      <c r="Y48" s="12">
        <v>49.43</v>
      </c>
      <c r="Z48" s="12">
        <v>46.2</v>
      </c>
      <c r="AA48" s="12">
        <v>47.07</v>
      </c>
      <c r="AB48" s="105">
        <v>2485600</v>
      </c>
      <c r="AC48" s="12">
        <v>47.07</v>
      </c>
      <c r="AD48" s="2">
        <f t="shared" si="2"/>
        <v>3.2299999999999969</v>
      </c>
      <c r="AE48" s="148">
        <f t="shared" si="3"/>
        <v>-6.2350597609561853E-2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28.954799999999999</v>
      </c>
      <c r="Q49" s="93"/>
      <c r="T49" s="103" t="s">
        <v>126</v>
      </c>
      <c r="U49" s="98" t="s">
        <v>235</v>
      </c>
      <c r="W49" s="143">
        <v>42375</v>
      </c>
      <c r="X49" s="12">
        <v>49.3</v>
      </c>
      <c r="Y49" s="12">
        <v>51.45</v>
      </c>
      <c r="Z49" s="12">
        <v>49.3</v>
      </c>
      <c r="AA49" s="12">
        <v>50.2</v>
      </c>
      <c r="AB49" s="105">
        <v>1957200</v>
      </c>
      <c r="AC49" s="12">
        <v>50.2</v>
      </c>
      <c r="AD49" s="2">
        <f t="shared" si="2"/>
        <v>2.1500000000000057</v>
      </c>
      <c r="AE49" s="148">
        <f t="shared" si="3"/>
        <v>-4.7581284694685477E-3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28.686700000000002</v>
      </c>
      <c r="Q50" s="93"/>
      <c r="T50" s="103"/>
      <c r="U50" s="98"/>
      <c r="W50" s="143">
        <v>42374</v>
      </c>
      <c r="X50" s="12">
        <v>53.61</v>
      </c>
      <c r="Y50" s="12">
        <v>53.61</v>
      </c>
      <c r="Z50" s="12">
        <v>49.55</v>
      </c>
      <c r="AA50" s="12">
        <v>50.44</v>
      </c>
      <c r="AB50" s="105">
        <v>2427200</v>
      </c>
      <c r="AC50" s="12">
        <v>50.44</v>
      </c>
      <c r="AD50" s="2">
        <f t="shared" si="2"/>
        <v>4.0600000000000023</v>
      </c>
      <c r="AE50" s="148">
        <f t="shared" si="3"/>
        <v>-4.451600681947343E-2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28.418600000000001</v>
      </c>
      <c r="Q51" s="93"/>
      <c r="T51" s="103" t="s">
        <v>108</v>
      </c>
      <c r="U51" s="98" t="s">
        <v>341</v>
      </c>
      <c r="W51" s="143">
        <v>42373</v>
      </c>
      <c r="X51" s="12">
        <v>49.29</v>
      </c>
      <c r="Y51" s="12">
        <v>52.94</v>
      </c>
      <c r="Z51" s="12">
        <v>48.38</v>
      </c>
      <c r="AA51" s="12">
        <v>52.79</v>
      </c>
      <c r="AB51" s="105">
        <v>3017200</v>
      </c>
      <c r="AC51" s="12">
        <v>52.79</v>
      </c>
      <c r="AD51" s="2">
        <f t="shared" si="2"/>
        <v>4.5599999999999952</v>
      </c>
      <c r="AE51" s="148">
        <f t="shared" si="3"/>
        <v>3.4692277538220129E-2</v>
      </c>
    </row>
    <row r="52" spans="2:31" x14ac:dyDescent="0.25">
      <c r="B52" s="12"/>
      <c r="C52" s="320"/>
      <c r="D52" s="321"/>
      <c r="E52" s="43"/>
      <c r="F52" s="43"/>
      <c r="G52" s="43"/>
      <c r="H52" s="261"/>
      <c r="I52" s="43"/>
      <c r="O52" s="93">
        <v>1.05</v>
      </c>
      <c r="P52" s="93">
        <f t="shared" ref="P52" si="9">O52*$Q$4</f>
        <v>28.150500000000001</v>
      </c>
      <c r="Q52" s="93"/>
      <c r="T52" s="103" t="s">
        <v>109</v>
      </c>
      <c r="U52" s="98" t="s">
        <v>243</v>
      </c>
      <c r="W52" s="143">
        <v>42369</v>
      </c>
      <c r="X52" s="12">
        <v>50.5</v>
      </c>
      <c r="Y52" s="12">
        <v>51.49</v>
      </c>
      <c r="Z52" s="12">
        <v>49.35</v>
      </c>
      <c r="AA52" s="12">
        <v>51.02</v>
      </c>
      <c r="AB52" s="105">
        <v>1537400</v>
      </c>
      <c r="AC52" s="12">
        <v>51.02</v>
      </c>
      <c r="AD52" s="2">
        <f t="shared" si="2"/>
        <v>2.1400000000000006</v>
      </c>
      <c r="AE52" s="148">
        <f t="shared" si="3"/>
        <v>4.3307086614174928E-3</v>
      </c>
    </row>
    <row r="53" spans="2:31" x14ac:dyDescent="0.25">
      <c r="B53" s="12"/>
      <c r="C53" s="12"/>
      <c r="D53" s="220"/>
      <c r="E53" s="43"/>
      <c r="F53" s="43"/>
      <c r="G53" s="43"/>
      <c r="H53" s="261"/>
      <c r="I53" s="43"/>
      <c r="O53" s="93">
        <v>1.04</v>
      </c>
      <c r="P53" s="93">
        <f t="shared" ref="P53:P56" si="10">O53*$Q$4</f>
        <v>27.882400000000001</v>
      </c>
      <c r="Q53" s="93"/>
      <c r="T53" s="103" t="s">
        <v>110</v>
      </c>
      <c r="U53" s="100">
        <v>4517131</v>
      </c>
      <c r="W53" s="143">
        <v>42368</v>
      </c>
      <c r="X53" s="12">
        <v>49.14</v>
      </c>
      <c r="Y53" s="12">
        <v>52.22</v>
      </c>
      <c r="Z53" s="12">
        <v>49.07</v>
      </c>
      <c r="AA53" s="12">
        <v>50.8</v>
      </c>
      <c r="AB53" s="105">
        <v>3212400</v>
      </c>
      <c r="AC53" s="12">
        <v>50.8</v>
      </c>
      <c r="AD53" s="2">
        <f t="shared" si="2"/>
        <v>3.1499999999999986</v>
      </c>
      <c r="AE53" s="148">
        <f t="shared" si="3"/>
        <v>2.1310816244471065E-2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27.6143</v>
      </c>
      <c r="Q54" s="93"/>
      <c r="T54" s="103" t="s">
        <v>113</v>
      </c>
      <c r="U54" s="100">
        <v>5696480</v>
      </c>
      <c r="W54" s="143">
        <v>42367</v>
      </c>
      <c r="X54" s="12">
        <v>51.39</v>
      </c>
      <c r="Y54" s="12">
        <v>51.78</v>
      </c>
      <c r="Z54" s="12">
        <v>48.39</v>
      </c>
      <c r="AA54" s="12">
        <v>49.74</v>
      </c>
      <c r="AB54" s="105">
        <v>2862300</v>
      </c>
      <c r="AC54" s="12">
        <v>49.74</v>
      </c>
      <c r="AD54" s="2">
        <f t="shared" si="2"/>
        <v>3.3900000000000006</v>
      </c>
      <c r="AE54" s="148">
        <f t="shared" si="3"/>
        <v>-3.0598323913467174E-2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27.3462</v>
      </c>
      <c r="Q55" s="93"/>
      <c r="T55" s="103" t="s">
        <v>111</v>
      </c>
      <c r="U55" s="98" t="s">
        <v>342</v>
      </c>
      <c r="W55" s="143">
        <v>42366</v>
      </c>
      <c r="X55" s="12">
        <v>51.34</v>
      </c>
      <c r="Y55" s="12">
        <v>52.5</v>
      </c>
      <c r="Z55" s="12">
        <v>50.83</v>
      </c>
      <c r="AA55" s="12">
        <v>51.31</v>
      </c>
      <c r="AB55" s="105">
        <v>2116000</v>
      </c>
      <c r="AC55" s="12">
        <v>51.31</v>
      </c>
      <c r="AD55" s="2">
        <f t="shared" si="2"/>
        <v>1.6700000000000017</v>
      </c>
      <c r="AE55" s="148">
        <f t="shared" si="3"/>
        <v>-1.2889572912658576E-2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27.078099999999999</v>
      </c>
      <c r="Q56" s="93"/>
      <c r="T56" s="103" t="s">
        <v>114</v>
      </c>
      <c r="U56" s="98" t="s">
        <v>134</v>
      </c>
      <c r="W56" s="143">
        <v>42362</v>
      </c>
      <c r="X56" s="12">
        <v>51.21</v>
      </c>
      <c r="Y56" s="12">
        <v>53</v>
      </c>
      <c r="Z56" s="12">
        <v>50.3</v>
      </c>
      <c r="AA56" s="12">
        <v>51.98</v>
      </c>
      <c r="AB56" s="105">
        <v>1625300</v>
      </c>
      <c r="AC56" s="12">
        <v>51.98</v>
      </c>
      <c r="AD56" s="2">
        <f t="shared" si="2"/>
        <v>2.7000000000000028</v>
      </c>
      <c r="AE56" s="148">
        <f t="shared" si="3"/>
        <v>9.7125097125096982E-3</v>
      </c>
    </row>
    <row r="57" spans="2:31" x14ac:dyDescent="0.25">
      <c r="O57" s="93">
        <v>1</v>
      </c>
      <c r="P57" s="93">
        <f t="shared" ref="P57:P70" si="11">O57*$Q$4</f>
        <v>26.81</v>
      </c>
      <c r="Q57" s="93"/>
      <c r="T57" s="103" t="s">
        <v>115</v>
      </c>
      <c r="U57" s="98">
        <v>-0.6</v>
      </c>
      <c r="W57" s="143">
        <v>42361</v>
      </c>
      <c r="X57" s="12">
        <v>51.43</v>
      </c>
      <c r="Y57" s="12">
        <v>54</v>
      </c>
      <c r="Z57" s="12">
        <v>51.4</v>
      </c>
      <c r="AA57" s="12">
        <v>51.48</v>
      </c>
      <c r="AB57" s="105">
        <v>2620200</v>
      </c>
      <c r="AC57" s="12">
        <v>51.48</v>
      </c>
      <c r="AD57" s="2">
        <f t="shared" si="2"/>
        <v>2.6000000000000014</v>
      </c>
      <c r="AE57" s="148">
        <f t="shared" si="3"/>
        <v>3.1176929072485038E-3</v>
      </c>
    </row>
    <row r="58" spans="2:31" x14ac:dyDescent="0.25">
      <c r="O58" s="93">
        <v>0.99</v>
      </c>
      <c r="P58" s="93">
        <f t="shared" si="11"/>
        <v>26.541899999999998</v>
      </c>
      <c r="Q58" s="93"/>
      <c r="T58" s="103" t="s">
        <v>112</v>
      </c>
      <c r="U58" s="98" t="s">
        <v>127</v>
      </c>
      <c r="W58" s="143">
        <v>42360</v>
      </c>
      <c r="X58" s="12">
        <v>53.4</v>
      </c>
      <c r="Y58" s="12">
        <v>53.8</v>
      </c>
      <c r="Z58" s="12">
        <v>51.23</v>
      </c>
      <c r="AA58" s="12">
        <v>51.32</v>
      </c>
      <c r="AB58" s="105">
        <v>6838000</v>
      </c>
      <c r="AC58" s="12">
        <v>51.32</v>
      </c>
      <c r="AD58" s="2">
        <f t="shared" si="2"/>
        <v>2.5700000000000003</v>
      </c>
      <c r="AE58" s="148">
        <f t="shared" si="3"/>
        <v>-6.8433472499546233E-2</v>
      </c>
    </row>
    <row r="59" spans="2:31" x14ac:dyDescent="0.25">
      <c r="O59" s="93">
        <v>0.98</v>
      </c>
      <c r="P59" s="93">
        <f t="shared" si="11"/>
        <v>26.273799999999998</v>
      </c>
      <c r="Q59" s="93"/>
      <c r="W59" s="143">
        <v>42359</v>
      </c>
      <c r="X59" s="12">
        <v>57.4</v>
      </c>
      <c r="Y59" s="12">
        <v>58.5</v>
      </c>
      <c r="Z59" s="12">
        <v>55</v>
      </c>
      <c r="AA59" s="12">
        <v>55.09</v>
      </c>
      <c r="AB59" s="105">
        <v>4952400</v>
      </c>
      <c r="AC59" s="12">
        <v>55.09</v>
      </c>
      <c r="AD59" s="2">
        <f t="shared" si="2"/>
        <v>3.5</v>
      </c>
      <c r="AE59" s="148">
        <f t="shared" si="3"/>
        <v>-3.1980319803197932E-2</v>
      </c>
    </row>
    <row r="60" spans="2:31" x14ac:dyDescent="0.25">
      <c r="O60" s="93">
        <v>0.97</v>
      </c>
      <c r="P60" s="93">
        <f t="shared" si="11"/>
        <v>26.005699999999997</v>
      </c>
      <c r="Q60" s="93"/>
      <c r="W60" s="143">
        <v>42356</v>
      </c>
      <c r="X60" s="12">
        <v>53.93</v>
      </c>
      <c r="Y60" s="12">
        <v>58.8</v>
      </c>
      <c r="Z60" s="12">
        <v>52.34</v>
      </c>
      <c r="AA60" s="12">
        <v>56.91</v>
      </c>
      <c r="AB60" s="105">
        <v>7780100</v>
      </c>
      <c r="AC60" s="12">
        <v>56.91</v>
      </c>
      <c r="AD60" s="2">
        <f t="shared" si="2"/>
        <v>6.4599999999999937</v>
      </c>
      <c r="AE60" s="148">
        <f t="shared" si="3"/>
        <v>-6.1124694376528677E-3</v>
      </c>
    </row>
    <row r="61" spans="2:31" x14ac:dyDescent="0.25">
      <c r="O61" s="93">
        <v>0.96</v>
      </c>
      <c r="P61" s="93">
        <f t="shared" si="11"/>
        <v>25.737599999999997</v>
      </c>
      <c r="Q61" s="93"/>
      <c r="W61" s="143">
        <v>42355</v>
      </c>
      <c r="X61" s="12">
        <v>56.94</v>
      </c>
      <c r="Y61" s="12">
        <v>58.87</v>
      </c>
      <c r="Z61" s="12">
        <v>55.35</v>
      </c>
      <c r="AA61" s="12">
        <v>57.26</v>
      </c>
      <c r="AB61" s="105">
        <v>9928900</v>
      </c>
      <c r="AC61" s="12">
        <v>57.26</v>
      </c>
      <c r="AD61" s="2">
        <f t="shared" si="2"/>
        <v>3.519999999999996</v>
      </c>
      <c r="AE61" s="148">
        <f t="shared" si="3"/>
        <v>6.6492829204693571E-2</v>
      </c>
    </row>
    <row r="62" spans="2:31" x14ac:dyDescent="0.25">
      <c r="O62" s="93">
        <v>0.95</v>
      </c>
      <c r="P62" s="93">
        <f t="shared" si="11"/>
        <v>25.469499999999996</v>
      </c>
      <c r="Q62" s="93"/>
      <c r="W62" s="143">
        <v>42354</v>
      </c>
      <c r="X62" s="12">
        <v>46.35</v>
      </c>
      <c r="Y62" s="12">
        <v>55.29</v>
      </c>
      <c r="Z62" s="12">
        <v>46.05</v>
      </c>
      <c r="AA62" s="12">
        <v>53.69</v>
      </c>
      <c r="AB62" s="105">
        <v>17731800</v>
      </c>
      <c r="AC62" s="12">
        <v>53.69</v>
      </c>
      <c r="AD62" s="2">
        <f t="shared" si="2"/>
        <v>9.240000000000002</v>
      </c>
      <c r="AE62" s="148">
        <f t="shared" si="3"/>
        <v>0.34057428214731589</v>
      </c>
    </row>
    <row r="63" spans="2:31" x14ac:dyDescent="0.25">
      <c r="O63" s="93">
        <v>0.94</v>
      </c>
      <c r="P63" s="93">
        <f t="shared" si="11"/>
        <v>25.201399999999996</v>
      </c>
      <c r="Q63" s="93"/>
      <c r="W63" s="143">
        <v>42353</v>
      </c>
      <c r="X63" s="12">
        <v>41.13</v>
      </c>
      <c r="Y63" s="12">
        <v>44.5</v>
      </c>
      <c r="Z63" s="12">
        <v>39.1</v>
      </c>
      <c r="AA63" s="12">
        <v>40.049999999999997</v>
      </c>
      <c r="AB63" s="105">
        <v>6976300</v>
      </c>
      <c r="AC63" s="12">
        <v>40.049999999999997</v>
      </c>
      <c r="AD63" s="2">
        <f t="shared" si="2"/>
        <v>5.3999999999999986</v>
      </c>
      <c r="AE63" s="148">
        <f t="shared" si="3"/>
        <v>-3.7028131762443017E-2</v>
      </c>
    </row>
    <row r="64" spans="2:31" x14ac:dyDescent="0.25">
      <c r="O64" s="93">
        <v>0.93</v>
      </c>
      <c r="P64" s="93">
        <f t="shared" si="11"/>
        <v>24.933299999999999</v>
      </c>
      <c r="W64" s="143">
        <v>42352</v>
      </c>
      <c r="X64" s="12">
        <v>37.1</v>
      </c>
      <c r="Y64" s="12">
        <v>42</v>
      </c>
      <c r="Z64" s="12">
        <v>37.049999999999997</v>
      </c>
      <c r="AA64" s="12">
        <v>41.59</v>
      </c>
      <c r="AB64" s="105">
        <v>5390800</v>
      </c>
      <c r="AC64" s="12">
        <v>41.59</v>
      </c>
      <c r="AD64" s="2">
        <f t="shared" si="2"/>
        <v>4.9500000000000028</v>
      </c>
      <c r="AE64" s="148">
        <f t="shared" si="3"/>
        <v>0.1228401727861772</v>
      </c>
    </row>
    <row r="65" spans="15:31" x14ac:dyDescent="0.25">
      <c r="O65" s="93">
        <v>0.92</v>
      </c>
      <c r="P65" s="93">
        <f t="shared" si="11"/>
        <v>24.665199999999999</v>
      </c>
      <c r="W65" s="143">
        <v>42349</v>
      </c>
      <c r="X65" s="12">
        <v>36.21</v>
      </c>
      <c r="Y65" s="12">
        <v>37.799999999999997</v>
      </c>
      <c r="Z65" s="12">
        <v>36</v>
      </c>
      <c r="AA65" s="12">
        <v>37.04</v>
      </c>
      <c r="AB65" s="105">
        <v>3222700</v>
      </c>
      <c r="AC65" s="12">
        <v>37.04</v>
      </c>
      <c r="AD65" s="2">
        <f t="shared" si="2"/>
        <v>1.7999999999999972</v>
      </c>
      <c r="AE65" s="148">
        <f t="shared" si="3"/>
        <v>1.0641200545702612E-2</v>
      </c>
    </row>
    <row r="66" spans="15:31" x14ac:dyDescent="0.25">
      <c r="O66" s="93">
        <v>0.91</v>
      </c>
      <c r="P66" s="93">
        <f t="shared" si="11"/>
        <v>24.397099999999998</v>
      </c>
      <c r="W66" s="143">
        <v>42348</v>
      </c>
      <c r="X66" s="12">
        <v>35.4</v>
      </c>
      <c r="Y66" s="12">
        <v>37.200000000000003</v>
      </c>
      <c r="Z66" s="12">
        <v>35.200000000000003</v>
      </c>
      <c r="AA66" s="12">
        <v>36.65</v>
      </c>
      <c r="AB66" s="105">
        <v>2093900</v>
      </c>
      <c r="AC66" s="12">
        <v>36.65</v>
      </c>
      <c r="AD66" s="2">
        <f t="shared" si="2"/>
        <v>2</v>
      </c>
      <c r="AE66" s="148">
        <f t="shared" si="3"/>
        <v>2.2600446428571397E-2</v>
      </c>
    </row>
    <row r="67" spans="15:31" x14ac:dyDescent="0.25">
      <c r="O67" s="93">
        <v>0.9</v>
      </c>
      <c r="P67" s="93">
        <f t="shared" si="11"/>
        <v>24.128999999999998</v>
      </c>
      <c r="W67" s="143">
        <v>42347</v>
      </c>
      <c r="X67" s="12">
        <v>34.619999999999997</v>
      </c>
      <c r="Y67" s="12">
        <v>37.200000000000003</v>
      </c>
      <c r="Z67" s="12">
        <v>34.32</v>
      </c>
      <c r="AA67" s="12">
        <v>35.840000000000003</v>
      </c>
      <c r="AB67" s="105">
        <v>2587500</v>
      </c>
      <c r="AC67" s="12">
        <v>35.840000000000003</v>
      </c>
      <c r="AD67" s="2">
        <f t="shared" ref="AD67:AD68" si="12">Y67-Z67</f>
        <v>2.8800000000000026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23.860900000000001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23.5928</v>
      </c>
    </row>
    <row r="70" spans="15:31" x14ac:dyDescent="0.25">
      <c r="O70" s="93">
        <v>0.87</v>
      </c>
      <c r="P70" s="93">
        <f t="shared" si="11"/>
        <v>23.3247</v>
      </c>
    </row>
  </sheetData>
  <mergeCells count="1">
    <mergeCell ref="O42:P42"/>
  </mergeCells>
  <conditionalFormatting sqref="Q7 H44:H56 F44:F56">
    <cfRule type="expression" dxfId="133" priority="19">
      <formula>F7&gt;0</formula>
    </cfRule>
    <cfRule type="expression" dxfId="13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42444</v>
      </c>
      <c r="X2" s="12">
        <v>9.57</v>
      </c>
      <c r="Y2" s="12">
        <v>9.58</v>
      </c>
      <c r="Z2" s="12">
        <v>9.5399999999999991</v>
      </c>
      <c r="AA2" s="12">
        <v>9.58</v>
      </c>
      <c r="AB2" s="105">
        <v>108800</v>
      </c>
      <c r="AC2" s="12">
        <v>9.58</v>
      </c>
      <c r="AD2" s="2">
        <f>Y2-Z2</f>
        <v>4.0000000000000924E-2</v>
      </c>
      <c r="AE2" s="148">
        <f>AC2/AC3-1</f>
        <v>-1.3388259526261659E-2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9.7249999999999996</v>
      </c>
      <c r="W3" s="143">
        <v>42443</v>
      </c>
      <c r="X3" s="12">
        <v>9.7100000000000009</v>
      </c>
      <c r="Y3" s="12">
        <v>9.74</v>
      </c>
      <c r="Z3" s="12">
        <v>9.59</v>
      </c>
      <c r="AA3" s="12">
        <v>9.7100000000000009</v>
      </c>
      <c r="AB3" s="105">
        <v>25500</v>
      </c>
      <c r="AC3" s="12">
        <v>9.7100000000000009</v>
      </c>
      <c r="AD3" s="2">
        <f t="shared" ref="AD3:AD66" si="1">Y3-Z3</f>
        <v>0.15000000000000036</v>
      </c>
      <c r="AE3" s="148">
        <f t="shared" ref="AE3:AE66" si="2">AC3/AC4-1</f>
        <v>2.3182297154900056E-2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9.7249999999999996</v>
      </c>
      <c r="W4" s="143">
        <v>42440</v>
      </c>
      <c r="X4" s="12">
        <v>9.4</v>
      </c>
      <c r="Y4" s="12">
        <v>9.5</v>
      </c>
      <c r="Z4" s="12">
        <v>9.3800000000000008</v>
      </c>
      <c r="AA4" s="12">
        <v>9.49</v>
      </c>
      <c r="AB4" s="105">
        <v>14800</v>
      </c>
      <c r="AC4" s="12">
        <v>9.49</v>
      </c>
      <c r="AD4" s="2">
        <f t="shared" si="1"/>
        <v>0.11999999999999922</v>
      </c>
      <c r="AE4" s="148">
        <f t="shared" si="2"/>
        <v>2.0430107526881569E-2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42439</v>
      </c>
      <c r="X5" s="12">
        <v>9.36</v>
      </c>
      <c r="Y5" s="12">
        <v>9.41</v>
      </c>
      <c r="Z5" s="12">
        <v>9.23</v>
      </c>
      <c r="AA5" s="12">
        <v>9.3000000000000007</v>
      </c>
      <c r="AB5" s="105">
        <v>1900</v>
      </c>
      <c r="AC5" s="12">
        <v>9.3000000000000007</v>
      </c>
      <c r="AD5" s="2">
        <f t="shared" si="1"/>
        <v>0.17999999999999972</v>
      </c>
      <c r="AE5" s="148">
        <f t="shared" si="2"/>
        <v>0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42438</v>
      </c>
      <c r="X6" s="12">
        <v>9.31</v>
      </c>
      <c r="Y6" s="12">
        <v>9.33</v>
      </c>
      <c r="Z6" s="12">
        <v>9.2799999999999994</v>
      </c>
      <c r="AA6" s="12">
        <v>9.3000000000000007</v>
      </c>
      <c r="AB6" s="105">
        <v>13200</v>
      </c>
      <c r="AC6" s="12">
        <v>9.3000000000000007</v>
      </c>
      <c r="AD6" s="2">
        <f t="shared" si="1"/>
        <v>5.0000000000000711E-2</v>
      </c>
      <c r="AE6" s="148">
        <f t="shared" si="2"/>
        <v>-1.0638297872340385E-2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42437</v>
      </c>
      <c r="X7" s="12">
        <v>9.44</v>
      </c>
      <c r="Y7" s="12">
        <v>9.4700000000000006</v>
      </c>
      <c r="Z7" s="12">
        <v>9.4</v>
      </c>
      <c r="AA7" s="12">
        <v>9.4</v>
      </c>
      <c r="AB7" s="105">
        <v>15400</v>
      </c>
      <c r="AC7" s="12">
        <v>9.4</v>
      </c>
      <c r="AD7" s="2">
        <f t="shared" si="1"/>
        <v>7.0000000000000284E-2</v>
      </c>
      <c r="AE7" s="148">
        <f t="shared" si="2"/>
        <v>-1.0626992561104665E-3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42436</v>
      </c>
      <c r="X8" s="12">
        <v>9.3800000000000008</v>
      </c>
      <c r="Y8" s="12">
        <v>9.48</v>
      </c>
      <c r="Z8" s="12">
        <v>9.3800000000000008</v>
      </c>
      <c r="AA8" s="12">
        <v>9.41</v>
      </c>
      <c r="AB8" s="105">
        <v>11600</v>
      </c>
      <c r="AC8" s="12">
        <v>9.41</v>
      </c>
      <c r="AD8" s="2">
        <f t="shared" si="1"/>
        <v>9.9999999999999645E-2</v>
      </c>
      <c r="AE8" s="148">
        <f t="shared" si="2"/>
        <v>-1.465968586387445E-2</v>
      </c>
    </row>
    <row r="9" spans="1:31" x14ac:dyDescent="0.25">
      <c r="E9" s="2"/>
      <c r="F9" s="2"/>
      <c r="W9" s="143">
        <v>42433</v>
      </c>
      <c r="X9" s="12">
        <v>9.4</v>
      </c>
      <c r="Y9" s="12">
        <v>9.58</v>
      </c>
      <c r="Z9" s="12">
        <v>9.39</v>
      </c>
      <c r="AA9" s="12">
        <v>9.5500000000000007</v>
      </c>
      <c r="AB9" s="105">
        <v>16400</v>
      </c>
      <c r="AC9" s="12">
        <v>9.5500000000000007</v>
      </c>
      <c r="AD9" s="2">
        <f t="shared" si="1"/>
        <v>0.1899999999999995</v>
      </c>
      <c r="AE9" s="148">
        <f t="shared" si="2"/>
        <v>1.5957446808510634E-2</v>
      </c>
    </row>
    <row r="10" spans="1:31" x14ac:dyDescent="0.25">
      <c r="E10" s="2"/>
      <c r="F10" s="2"/>
      <c r="W10" s="143">
        <v>42432</v>
      </c>
      <c r="X10" s="12">
        <v>9.33</v>
      </c>
      <c r="Y10" s="12">
        <v>9.4</v>
      </c>
      <c r="Z10" s="12">
        <v>9.33</v>
      </c>
      <c r="AA10" s="12">
        <v>9.4</v>
      </c>
      <c r="AB10" s="105">
        <v>9000</v>
      </c>
      <c r="AC10" s="12">
        <v>9.4</v>
      </c>
      <c r="AD10" s="2">
        <f t="shared" si="1"/>
        <v>7.0000000000000284E-2</v>
      </c>
      <c r="AE10" s="148">
        <f t="shared" si="2"/>
        <v>1.2931034482758674E-2</v>
      </c>
    </row>
    <row r="11" spans="1:31" x14ac:dyDescent="0.25">
      <c r="E11" s="2"/>
      <c r="F11" s="2"/>
      <c r="W11" s="143">
        <v>42431</v>
      </c>
      <c r="X11" s="12">
        <v>9.2200000000000006</v>
      </c>
      <c r="Y11" s="12">
        <v>9.3000000000000007</v>
      </c>
      <c r="Z11" s="12">
        <v>9.2200000000000006</v>
      </c>
      <c r="AA11" s="12">
        <v>9.2799999999999994</v>
      </c>
      <c r="AB11" s="105">
        <v>15800</v>
      </c>
      <c r="AC11" s="12">
        <v>9.2799999999999994</v>
      </c>
      <c r="AD11" s="2">
        <f t="shared" si="1"/>
        <v>8.0000000000000071E-2</v>
      </c>
      <c r="AE11" s="148">
        <f t="shared" si="2"/>
        <v>9.7932535364526618E-3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42430</v>
      </c>
      <c r="X12" s="12">
        <v>9</v>
      </c>
      <c r="Y12" s="12">
        <v>9.2200000000000006</v>
      </c>
      <c r="Z12" s="12">
        <v>8.98</v>
      </c>
      <c r="AA12" s="12">
        <v>9.19</v>
      </c>
      <c r="AB12" s="105">
        <v>14600</v>
      </c>
      <c r="AC12" s="12">
        <v>9.19</v>
      </c>
      <c r="AD12" s="2">
        <f t="shared" si="1"/>
        <v>0.24000000000000021</v>
      </c>
      <c r="AE12" s="148">
        <f t="shared" si="2"/>
        <v>1.1001100110010986E-2</v>
      </c>
    </row>
    <row r="13" spans="1:31" x14ac:dyDescent="0.25">
      <c r="W13" s="143">
        <v>42429</v>
      </c>
      <c r="X13" s="12">
        <v>9.1300000000000008</v>
      </c>
      <c r="Y13" s="12">
        <v>9.14</v>
      </c>
      <c r="Z13" s="12">
        <v>9.08</v>
      </c>
      <c r="AA13" s="12">
        <v>9.09</v>
      </c>
      <c r="AB13" s="105">
        <v>4500</v>
      </c>
      <c r="AC13" s="12">
        <v>9.09</v>
      </c>
      <c r="AD13" s="2">
        <f t="shared" si="1"/>
        <v>6.0000000000000497E-2</v>
      </c>
      <c r="AE13" s="148">
        <f t="shared" si="2"/>
        <v>-2.152852529601712E-2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R14" s="37"/>
      <c r="W14" s="143">
        <v>42426</v>
      </c>
      <c r="X14" s="12">
        <v>9.4</v>
      </c>
      <c r="Y14" s="12">
        <v>9.4</v>
      </c>
      <c r="Z14" s="12">
        <v>9.2899999999999991</v>
      </c>
      <c r="AA14" s="12">
        <v>9.2899999999999991</v>
      </c>
      <c r="AB14" s="105">
        <v>18600</v>
      </c>
      <c r="AC14" s="12">
        <v>9.2899999999999991</v>
      </c>
      <c r="AD14" s="2">
        <f t="shared" si="1"/>
        <v>0.11000000000000121</v>
      </c>
      <c r="AE14" s="148">
        <f t="shared" si="2"/>
        <v>-1.0752688172044333E-3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42425</v>
      </c>
      <c r="X15" s="12">
        <v>9.25</v>
      </c>
      <c r="Y15" s="12">
        <v>9.3000000000000007</v>
      </c>
      <c r="Z15" s="12">
        <v>9.2100000000000009</v>
      </c>
      <c r="AA15" s="12">
        <v>9.3000000000000007</v>
      </c>
      <c r="AB15" s="105">
        <v>7300</v>
      </c>
      <c r="AC15" s="12">
        <v>9.3000000000000007</v>
      </c>
      <c r="AD15" s="2">
        <f t="shared" si="1"/>
        <v>8.9999999999999858E-2</v>
      </c>
      <c r="AE15" s="148">
        <f t="shared" si="2"/>
        <v>5.4054054054055722E-3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42424</v>
      </c>
      <c r="X16" s="12">
        <v>9.16</v>
      </c>
      <c r="Y16" s="12">
        <v>9.25</v>
      </c>
      <c r="Z16" s="12">
        <v>9.09</v>
      </c>
      <c r="AA16" s="12">
        <v>9.25</v>
      </c>
      <c r="AB16" s="105">
        <v>8500</v>
      </c>
      <c r="AC16" s="12">
        <v>9.25</v>
      </c>
      <c r="AD16" s="2">
        <f t="shared" si="1"/>
        <v>0.16000000000000014</v>
      </c>
      <c r="AE16" s="148">
        <f t="shared" si="2"/>
        <v>1.0928961748633892E-2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42423</v>
      </c>
      <c r="X17" s="12">
        <v>9.2100000000000009</v>
      </c>
      <c r="Y17" s="12">
        <v>9.2100000000000009</v>
      </c>
      <c r="Z17" s="12">
        <v>9.1</v>
      </c>
      <c r="AA17" s="12">
        <v>9.15</v>
      </c>
      <c r="AB17" s="105">
        <v>9100</v>
      </c>
      <c r="AC17" s="12">
        <v>9.15</v>
      </c>
      <c r="AD17" s="2">
        <f t="shared" si="1"/>
        <v>0.11000000000000121</v>
      </c>
      <c r="AE17" s="148">
        <f t="shared" si="2"/>
        <v>7.7092511013217013E-3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42422</v>
      </c>
      <c r="X18" s="12">
        <v>9.0500000000000007</v>
      </c>
      <c r="Y18" s="12">
        <v>9.08</v>
      </c>
      <c r="Z18" s="12">
        <v>8.99</v>
      </c>
      <c r="AA18" s="12">
        <v>9.08</v>
      </c>
      <c r="AB18" s="105">
        <v>7400</v>
      </c>
      <c r="AC18" s="12">
        <v>9.08</v>
      </c>
      <c r="AD18" s="2">
        <f t="shared" si="1"/>
        <v>8.9999999999999858E-2</v>
      </c>
      <c r="AE18" s="148">
        <f t="shared" si="2"/>
        <v>3.1818181818181746E-2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42419</v>
      </c>
      <c r="X19" s="12">
        <v>8.76</v>
      </c>
      <c r="Y19" s="12">
        <v>8.8000000000000007</v>
      </c>
      <c r="Z19" s="12">
        <v>8.75</v>
      </c>
      <c r="AA19" s="12">
        <v>8.8000000000000007</v>
      </c>
      <c r="AB19" s="105">
        <v>3400</v>
      </c>
      <c r="AC19" s="12">
        <v>8.8000000000000007</v>
      </c>
      <c r="AD19" s="2">
        <f t="shared" si="1"/>
        <v>5.0000000000000711E-2</v>
      </c>
      <c r="AE19" s="148">
        <f t="shared" si="2"/>
        <v>-2.1134593993325845E-2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42418</v>
      </c>
      <c r="X20" s="12">
        <v>9.11</v>
      </c>
      <c r="Y20" s="12">
        <v>9.11</v>
      </c>
      <c r="Z20" s="12">
        <v>8.89</v>
      </c>
      <c r="AA20" s="12">
        <v>8.99</v>
      </c>
      <c r="AB20" s="105">
        <v>13200</v>
      </c>
      <c r="AC20" s="12">
        <v>8.99</v>
      </c>
      <c r="AD20" s="2">
        <f t="shared" si="1"/>
        <v>0.21999999999999886</v>
      </c>
      <c r="AE20" s="148">
        <f t="shared" si="2"/>
        <v>4.4692737430167551E-3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42417</v>
      </c>
      <c r="X21" s="12">
        <v>8.9</v>
      </c>
      <c r="Y21" s="12">
        <v>8.98</v>
      </c>
      <c r="Z21" s="12">
        <v>8.9</v>
      </c>
      <c r="AA21" s="12">
        <v>8.9499999999999993</v>
      </c>
      <c r="AB21" s="105">
        <v>5900</v>
      </c>
      <c r="AC21" s="12">
        <v>8.9499999999999993</v>
      </c>
      <c r="AD21" s="2">
        <f t="shared" si="1"/>
        <v>8.0000000000000071E-2</v>
      </c>
      <c r="AE21" s="148">
        <f t="shared" si="2"/>
        <v>-5.5555555555556468E-3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42416</v>
      </c>
      <c r="X22" s="12">
        <v>8.99</v>
      </c>
      <c r="Y22" s="12">
        <v>9.01</v>
      </c>
      <c r="Z22" s="12">
        <v>8.9600000000000009</v>
      </c>
      <c r="AA22" s="12">
        <v>9</v>
      </c>
      <c r="AB22" s="105">
        <v>11800</v>
      </c>
      <c r="AC22" s="12">
        <v>9</v>
      </c>
      <c r="AD22" s="2">
        <f t="shared" si="1"/>
        <v>4.9999999999998934E-2</v>
      </c>
      <c r="AE22" s="148">
        <f t="shared" si="2"/>
        <v>1.2373453318335059E-2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42412</v>
      </c>
      <c r="X23" s="12">
        <v>8.73</v>
      </c>
      <c r="Y23" s="12">
        <v>8.89</v>
      </c>
      <c r="Z23" s="12">
        <v>8.68</v>
      </c>
      <c r="AA23" s="12">
        <v>8.89</v>
      </c>
      <c r="AB23" s="105">
        <v>2500</v>
      </c>
      <c r="AC23" s="12">
        <v>8.89</v>
      </c>
      <c r="AD23" s="2">
        <f t="shared" si="1"/>
        <v>0.21000000000000085</v>
      </c>
      <c r="AE23" s="148">
        <f t="shared" si="2"/>
        <v>2.5374855824682907E-2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42411</v>
      </c>
      <c r="X24" s="12">
        <v>8.66</v>
      </c>
      <c r="Y24" s="12">
        <v>8.74</v>
      </c>
      <c r="Z24" s="12">
        <v>8.61</v>
      </c>
      <c r="AA24" s="12">
        <v>8.67</v>
      </c>
      <c r="AB24" s="105">
        <v>3700</v>
      </c>
      <c r="AC24" s="12">
        <v>8.67</v>
      </c>
      <c r="AD24" s="2">
        <f t="shared" si="1"/>
        <v>0.13000000000000078</v>
      </c>
      <c r="AE24" s="148">
        <f t="shared" si="2"/>
        <v>-2.4746906636670452E-2</v>
      </c>
    </row>
    <row r="25" spans="2:31" x14ac:dyDescent="0.25">
      <c r="R25" s="37"/>
      <c r="W25" s="143">
        <v>42410</v>
      </c>
      <c r="X25" s="12">
        <v>8.9700000000000006</v>
      </c>
      <c r="Y25" s="12">
        <v>8.9700000000000006</v>
      </c>
      <c r="Z25" s="12">
        <v>8.84</v>
      </c>
      <c r="AA25" s="12">
        <v>8.89</v>
      </c>
      <c r="AB25" s="105">
        <v>1400</v>
      </c>
      <c r="AC25" s="12">
        <v>8.89</v>
      </c>
      <c r="AD25" s="2">
        <f t="shared" si="1"/>
        <v>0.13000000000000078</v>
      </c>
      <c r="AE25" s="148">
        <f t="shared" si="2"/>
        <v>0</v>
      </c>
    </row>
    <row r="26" spans="2:31" x14ac:dyDescent="0.25">
      <c r="R26" s="37"/>
      <c r="W26" s="143">
        <v>42409</v>
      </c>
      <c r="X26" s="12">
        <v>8.82</v>
      </c>
      <c r="Y26" s="12">
        <v>8.93</v>
      </c>
      <c r="Z26" s="12">
        <v>8.81</v>
      </c>
      <c r="AA26" s="12">
        <v>8.89</v>
      </c>
      <c r="AB26" s="105">
        <v>6900</v>
      </c>
      <c r="AC26" s="12">
        <v>8.89</v>
      </c>
      <c r="AD26" s="2">
        <f t="shared" si="1"/>
        <v>0.11999999999999922</v>
      </c>
      <c r="AE26" s="148">
        <f t="shared" si="2"/>
        <v>-1.8763796909492259E-2</v>
      </c>
    </row>
    <row r="27" spans="2:31" x14ac:dyDescent="0.25">
      <c r="R27" s="37"/>
      <c r="W27" s="143">
        <v>42408</v>
      </c>
      <c r="X27" s="12">
        <v>9.14</v>
      </c>
      <c r="Y27" s="12">
        <v>9.17</v>
      </c>
      <c r="Z27" s="12">
        <v>8.9</v>
      </c>
      <c r="AA27" s="12">
        <v>9.06</v>
      </c>
      <c r="AB27" s="105">
        <v>30700</v>
      </c>
      <c r="AC27" s="12">
        <v>9.06</v>
      </c>
      <c r="AD27" s="2">
        <f t="shared" si="1"/>
        <v>0.26999999999999957</v>
      </c>
      <c r="AE27" s="148">
        <f t="shared" si="2"/>
        <v>2.8376844494892195E-2</v>
      </c>
    </row>
    <row r="28" spans="2:31" x14ac:dyDescent="0.25">
      <c r="W28" s="143">
        <v>42405</v>
      </c>
      <c r="X28" s="12">
        <v>8.92</v>
      </c>
      <c r="Y28" s="12">
        <v>8.92</v>
      </c>
      <c r="Z28" s="12">
        <v>8.7899999999999991</v>
      </c>
      <c r="AA28" s="12">
        <v>8.81</v>
      </c>
      <c r="AB28" s="105">
        <v>5100</v>
      </c>
      <c r="AC28" s="12">
        <v>8.81</v>
      </c>
      <c r="AD28" s="2">
        <f t="shared" si="1"/>
        <v>0.13000000000000078</v>
      </c>
      <c r="AE28" s="148">
        <f t="shared" si="2"/>
        <v>-2.5442477876106095E-2</v>
      </c>
    </row>
    <row r="29" spans="2:31" x14ac:dyDescent="0.25">
      <c r="W29" s="143">
        <v>42404</v>
      </c>
      <c r="X29" s="12">
        <v>8.98</v>
      </c>
      <c r="Y29" s="12">
        <v>9.06</v>
      </c>
      <c r="Z29" s="12">
        <v>8.98</v>
      </c>
      <c r="AA29" s="12">
        <v>9.0399999999999991</v>
      </c>
      <c r="AB29" s="105">
        <v>1800</v>
      </c>
      <c r="AC29" s="12">
        <v>9.0399999999999991</v>
      </c>
      <c r="AD29" s="2">
        <f t="shared" si="1"/>
        <v>8.0000000000000071E-2</v>
      </c>
      <c r="AE29" s="148">
        <f t="shared" si="2"/>
        <v>2.4943310657596252E-2</v>
      </c>
    </row>
    <row r="30" spans="2:31" x14ac:dyDescent="0.25">
      <c r="W30" s="143">
        <v>42403</v>
      </c>
      <c r="X30" s="12">
        <v>8.9</v>
      </c>
      <c r="Y30" s="12">
        <v>8.92</v>
      </c>
      <c r="Z30" s="12">
        <v>8.7200000000000006</v>
      </c>
      <c r="AA30" s="12">
        <v>8.82</v>
      </c>
      <c r="AB30" s="105">
        <v>9100</v>
      </c>
      <c r="AC30" s="12">
        <v>8.82</v>
      </c>
      <c r="AD30" s="2">
        <f t="shared" si="1"/>
        <v>0.19999999999999929</v>
      </c>
      <c r="AE30" s="148">
        <f t="shared" si="2"/>
        <v>-3.076923076923066E-2</v>
      </c>
    </row>
    <row r="31" spans="2:31" x14ac:dyDescent="0.25">
      <c r="W31" s="143">
        <v>42402</v>
      </c>
      <c r="X31" s="12">
        <v>9.11</v>
      </c>
      <c r="Y31" s="12">
        <v>9.1300000000000008</v>
      </c>
      <c r="Z31" s="12">
        <v>9.0399999999999991</v>
      </c>
      <c r="AA31" s="12">
        <v>9.1</v>
      </c>
      <c r="AB31" s="105">
        <v>12600</v>
      </c>
      <c r="AC31" s="12">
        <v>9.1</v>
      </c>
      <c r="AD31" s="2">
        <f t="shared" si="1"/>
        <v>9.0000000000001634E-2</v>
      </c>
      <c r="AE31" s="148">
        <f t="shared" si="2"/>
        <v>-2.0452099031216364E-2</v>
      </c>
    </row>
    <row r="32" spans="2:31" x14ac:dyDescent="0.25">
      <c r="W32" s="143">
        <v>42401</v>
      </c>
      <c r="X32" s="12">
        <v>9.1999999999999993</v>
      </c>
      <c r="Y32" s="12">
        <v>9.2899999999999991</v>
      </c>
      <c r="Z32" s="12">
        <v>9.1999999999999993</v>
      </c>
      <c r="AA32" s="12">
        <v>9.2899999999999991</v>
      </c>
      <c r="AB32" s="105">
        <v>27100</v>
      </c>
      <c r="AC32" s="12">
        <v>9.2899999999999991</v>
      </c>
      <c r="AD32" s="2">
        <f t="shared" si="1"/>
        <v>8.9999999999999858E-2</v>
      </c>
      <c r="AE32" s="148">
        <f t="shared" si="2"/>
        <v>9.7826086956520619E-3</v>
      </c>
    </row>
    <row r="33" spans="15:31" x14ac:dyDescent="0.25">
      <c r="W33" s="143">
        <v>42398</v>
      </c>
      <c r="X33" s="12">
        <v>8.85</v>
      </c>
      <c r="Y33" s="12">
        <v>9.1999999999999993</v>
      </c>
      <c r="Z33" s="12">
        <v>8.6</v>
      </c>
      <c r="AA33" s="12">
        <v>9.1999999999999993</v>
      </c>
      <c r="AB33" s="105">
        <v>30500</v>
      </c>
      <c r="AC33" s="12">
        <v>9.1999999999999993</v>
      </c>
      <c r="AD33" s="2">
        <f t="shared" si="1"/>
        <v>0.59999999999999964</v>
      </c>
      <c r="AE33" s="148">
        <f t="shared" si="2"/>
        <v>7.6670317634170981E-3</v>
      </c>
    </row>
    <row r="34" spans="15:31" x14ac:dyDescent="0.25">
      <c r="W34" s="143">
        <v>42397</v>
      </c>
      <c r="X34" s="12">
        <v>9.31</v>
      </c>
      <c r="Y34" s="12">
        <v>9.31</v>
      </c>
      <c r="Z34" s="12">
        <v>9.06</v>
      </c>
      <c r="AA34" s="12">
        <v>9.1300000000000008</v>
      </c>
      <c r="AB34" s="105">
        <v>48600</v>
      </c>
      <c r="AC34" s="12">
        <v>9.1300000000000008</v>
      </c>
      <c r="AD34" s="2">
        <f t="shared" si="1"/>
        <v>0.25</v>
      </c>
      <c r="AE34" s="148">
        <f t="shared" si="2"/>
        <v>0.10000000000000009</v>
      </c>
    </row>
    <row r="35" spans="15:31" x14ac:dyDescent="0.25">
      <c r="W35" s="143">
        <v>42396</v>
      </c>
      <c r="X35" s="12">
        <v>7.91</v>
      </c>
      <c r="Y35" s="12">
        <v>8.4</v>
      </c>
      <c r="Z35" s="12">
        <v>7.91</v>
      </c>
      <c r="AA35" s="12">
        <v>8.3000000000000007</v>
      </c>
      <c r="AB35" s="105">
        <v>7500</v>
      </c>
      <c r="AC35" s="12">
        <v>8.3000000000000007</v>
      </c>
      <c r="AD35" s="2">
        <f t="shared" si="1"/>
        <v>0.49000000000000021</v>
      </c>
      <c r="AE35" s="148">
        <f t="shared" si="2"/>
        <v>2.091020910209096E-2</v>
      </c>
    </row>
    <row r="36" spans="15:31" x14ac:dyDescent="0.25">
      <c r="W36" s="143">
        <v>42395</v>
      </c>
      <c r="X36" s="12">
        <v>8.06</v>
      </c>
      <c r="Y36" s="12">
        <v>8.14</v>
      </c>
      <c r="Z36" s="12">
        <v>8.01</v>
      </c>
      <c r="AA36" s="12">
        <v>8.1300000000000008</v>
      </c>
      <c r="AB36" s="105">
        <v>2300</v>
      </c>
      <c r="AC36" s="12">
        <v>8.1300000000000008</v>
      </c>
      <c r="AD36" s="2">
        <f t="shared" si="1"/>
        <v>0.13000000000000078</v>
      </c>
      <c r="AE36" s="148">
        <f t="shared" si="2"/>
        <v>2.4660912453762229E-3</v>
      </c>
    </row>
    <row r="37" spans="15:31" ht="20.25" thickBot="1" x14ac:dyDescent="0.35">
      <c r="O37" s="408" t="s">
        <v>78</v>
      </c>
      <c r="P37" s="408"/>
      <c r="T37" s="101" t="s">
        <v>116</v>
      </c>
      <c r="W37" s="143">
        <v>42394</v>
      </c>
      <c r="X37" s="12">
        <v>8.1199999999999992</v>
      </c>
      <c r="Y37" s="12">
        <v>8.1999999999999993</v>
      </c>
      <c r="Z37" s="12">
        <v>8.01</v>
      </c>
      <c r="AA37" s="12">
        <v>8.11</v>
      </c>
      <c r="AB37" s="105">
        <v>13400</v>
      </c>
      <c r="AC37" s="12">
        <v>8.11</v>
      </c>
      <c r="AD37" s="2">
        <f t="shared" si="1"/>
        <v>0.1899999999999995</v>
      </c>
      <c r="AE37" s="148">
        <f t="shared" si="2"/>
        <v>-2.2891566265060392E-2</v>
      </c>
    </row>
    <row r="38" spans="15:31" ht="15.75" thickTop="1" x14ac:dyDescent="0.25">
      <c r="O38" s="93">
        <v>1.1000000000000001</v>
      </c>
      <c r="P38" s="93">
        <f>O38*$Q$4</f>
        <v>10.6975</v>
      </c>
      <c r="Q38" s="2"/>
      <c r="T38" s="138" t="s">
        <v>101</v>
      </c>
      <c r="U38" s="108">
        <v>9.7100000000000009</v>
      </c>
      <c r="W38" s="143">
        <v>42391</v>
      </c>
      <c r="X38" s="12">
        <v>8.19</v>
      </c>
      <c r="Y38" s="12">
        <v>8.3000000000000007</v>
      </c>
      <c r="Z38" s="12">
        <v>8.19</v>
      </c>
      <c r="AA38" s="12">
        <v>8.3000000000000007</v>
      </c>
      <c r="AB38" s="105">
        <v>16000</v>
      </c>
      <c r="AC38" s="12">
        <v>8.3000000000000007</v>
      </c>
      <c r="AD38" s="2">
        <f t="shared" si="1"/>
        <v>0.11000000000000121</v>
      </c>
      <c r="AE38" s="148">
        <f t="shared" si="2"/>
        <v>3.2338308457711573E-2</v>
      </c>
    </row>
    <row r="39" spans="15:31" x14ac:dyDescent="0.25">
      <c r="O39" s="93">
        <v>1.0900000000000001</v>
      </c>
      <c r="P39" s="93">
        <f t="shared" ref="P39:P58" si="6">O39*$Q$4</f>
        <v>10.600250000000001</v>
      </c>
      <c r="Q39" s="2"/>
      <c r="T39" s="103" t="s">
        <v>102</v>
      </c>
      <c r="U39" s="98">
        <v>9.57</v>
      </c>
      <c r="W39" s="143">
        <v>42390</v>
      </c>
      <c r="X39" s="12">
        <v>7.96</v>
      </c>
      <c r="Y39" s="12">
        <v>8.1199999999999992</v>
      </c>
      <c r="Z39" s="12">
        <v>7.95</v>
      </c>
      <c r="AA39" s="12">
        <v>8.0399999999999991</v>
      </c>
      <c r="AB39" s="105">
        <v>9400</v>
      </c>
      <c r="AC39" s="12">
        <v>8.0399999999999991</v>
      </c>
      <c r="AD39" s="2">
        <f t="shared" si="1"/>
        <v>0.16999999999999904</v>
      </c>
      <c r="AE39" s="148">
        <f t="shared" si="2"/>
        <v>1.7721518987341645E-2</v>
      </c>
    </row>
    <row r="40" spans="15:31" x14ac:dyDescent="0.25">
      <c r="O40" s="93">
        <v>1.08</v>
      </c>
      <c r="P40" s="93">
        <f t="shared" si="6"/>
        <v>10.503</v>
      </c>
      <c r="Q40" s="2"/>
      <c r="T40" s="103" t="s">
        <v>103</v>
      </c>
      <c r="U40" s="98" t="s">
        <v>343</v>
      </c>
      <c r="W40" s="143">
        <v>42389</v>
      </c>
      <c r="X40" s="12">
        <v>7.95</v>
      </c>
      <c r="Y40" s="12">
        <v>7.96</v>
      </c>
      <c r="Z40" s="12">
        <v>7.74</v>
      </c>
      <c r="AA40" s="12">
        <v>7.9</v>
      </c>
      <c r="AB40" s="105">
        <v>6000</v>
      </c>
      <c r="AC40" s="12">
        <v>7.9</v>
      </c>
      <c r="AD40" s="2">
        <f t="shared" si="1"/>
        <v>0.21999999999999975</v>
      </c>
      <c r="AE40" s="148">
        <f t="shared" si="2"/>
        <v>-4.0097205346294018E-2</v>
      </c>
    </row>
    <row r="41" spans="15:31" x14ac:dyDescent="0.25">
      <c r="O41" s="93">
        <v>1.07</v>
      </c>
      <c r="P41" s="93">
        <f t="shared" si="6"/>
        <v>10.405749999999999</v>
      </c>
      <c r="Q41" s="2"/>
      <c r="T41" s="103" t="s">
        <v>104</v>
      </c>
      <c r="U41" s="98" t="s">
        <v>344</v>
      </c>
      <c r="W41" s="143">
        <v>42388</v>
      </c>
      <c r="X41" s="12">
        <v>8.32</v>
      </c>
      <c r="Y41" s="12">
        <v>8.33</v>
      </c>
      <c r="Z41" s="12">
        <v>8.16</v>
      </c>
      <c r="AA41" s="12">
        <v>8.23</v>
      </c>
      <c r="AB41" s="105">
        <v>24100</v>
      </c>
      <c r="AC41" s="12">
        <v>8.23</v>
      </c>
      <c r="AD41" s="2">
        <f t="shared" si="1"/>
        <v>0.16999999999999993</v>
      </c>
      <c r="AE41" s="148">
        <f t="shared" si="2"/>
        <v>3.7831021437578993E-2</v>
      </c>
    </row>
    <row r="42" spans="15:31" x14ac:dyDescent="0.25">
      <c r="O42" s="93">
        <v>1.06</v>
      </c>
      <c r="P42" s="93">
        <f t="shared" si="6"/>
        <v>10.3085</v>
      </c>
      <c r="Q42" s="2"/>
      <c r="T42" s="103" t="s">
        <v>105</v>
      </c>
      <c r="U42" s="98">
        <v>28</v>
      </c>
      <c r="W42" s="143">
        <v>42384</v>
      </c>
      <c r="X42" s="12">
        <v>7.93</v>
      </c>
      <c r="Y42" s="12">
        <v>7.98</v>
      </c>
      <c r="Z42" s="12">
        <v>7.9</v>
      </c>
      <c r="AA42" s="12">
        <v>7.93</v>
      </c>
      <c r="AB42" s="105">
        <v>7000</v>
      </c>
      <c r="AC42" s="12">
        <v>7.93</v>
      </c>
      <c r="AD42" s="2">
        <f t="shared" si="1"/>
        <v>8.0000000000000071E-2</v>
      </c>
      <c r="AE42" s="148">
        <f t="shared" si="2"/>
        <v>-4.2270531400966149E-2</v>
      </c>
    </row>
    <row r="43" spans="15:31" x14ac:dyDescent="0.25">
      <c r="O43" s="93">
        <v>1.05</v>
      </c>
      <c r="P43" s="93">
        <f t="shared" si="6"/>
        <v>10.21125</v>
      </c>
      <c r="Q43" s="2"/>
      <c r="T43" s="103" t="s">
        <v>106</v>
      </c>
      <c r="U43" s="98">
        <v>0.454814</v>
      </c>
      <c r="W43" s="143">
        <v>42383</v>
      </c>
      <c r="X43" s="12">
        <v>8.14</v>
      </c>
      <c r="Y43" s="12">
        <v>8.34</v>
      </c>
      <c r="Z43" s="12">
        <v>8.1300000000000008</v>
      </c>
      <c r="AA43" s="12">
        <v>8.2799999999999994</v>
      </c>
      <c r="AB43" s="105">
        <v>31100</v>
      </c>
      <c r="AC43" s="12">
        <v>8.2799999999999994</v>
      </c>
      <c r="AD43" s="2">
        <f t="shared" si="1"/>
        <v>0.20999999999999908</v>
      </c>
      <c r="AE43" s="148">
        <f t="shared" si="2"/>
        <v>2.4752475247524774E-2</v>
      </c>
    </row>
    <row r="44" spans="15:31" x14ac:dyDescent="0.25">
      <c r="O44" s="93">
        <v>1.04</v>
      </c>
      <c r="P44" s="93">
        <f t="shared" si="6"/>
        <v>10.114000000000001</v>
      </c>
      <c r="Q44" s="2"/>
      <c r="T44" s="103" t="s">
        <v>107</v>
      </c>
      <c r="U44" s="98" t="s">
        <v>134</v>
      </c>
      <c r="W44" s="143">
        <v>42382</v>
      </c>
      <c r="X44" s="12">
        <v>8.27</v>
      </c>
      <c r="Y44" s="12">
        <v>8.27</v>
      </c>
      <c r="Z44" s="12">
        <v>8.06</v>
      </c>
      <c r="AA44" s="12">
        <v>8.08</v>
      </c>
      <c r="AB44" s="105">
        <v>18800</v>
      </c>
      <c r="AC44" s="12">
        <v>8.08</v>
      </c>
      <c r="AD44" s="2">
        <f t="shared" si="1"/>
        <v>0.20999999999999908</v>
      </c>
      <c r="AE44" s="148">
        <f t="shared" si="2"/>
        <v>-7.3710073710073765E-3</v>
      </c>
    </row>
    <row r="45" spans="15:31" x14ac:dyDescent="0.25">
      <c r="O45" s="93">
        <v>1.03</v>
      </c>
      <c r="P45" s="93">
        <f t="shared" si="6"/>
        <v>10.01675</v>
      </c>
      <c r="Q45" s="2"/>
      <c r="T45" s="103"/>
      <c r="U45" s="98"/>
      <c r="W45" s="143">
        <v>42381</v>
      </c>
      <c r="X45" s="12">
        <v>8.16</v>
      </c>
      <c r="Y45" s="12">
        <v>8.2100000000000009</v>
      </c>
      <c r="Z45" s="12">
        <v>8.07</v>
      </c>
      <c r="AA45" s="12">
        <v>8.14</v>
      </c>
      <c r="AB45" s="105">
        <v>18200</v>
      </c>
      <c r="AC45" s="12">
        <v>8.14</v>
      </c>
      <c r="AD45" s="2">
        <f t="shared" si="1"/>
        <v>0.14000000000000057</v>
      </c>
      <c r="AE45" s="148">
        <f t="shared" si="2"/>
        <v>2.518891687657443E-2</v>
      </c>
    </row>
    <row r="46" spans="15:31" x14ac:dyDescent="0.25">
      <c r="O46" s="93">
        <v>1.02</v>
      </c>
      <c r="P46" s="93">
        <f t="shared" si="6"/>
        <v>9.9194999999999993</v>
      </c>
      <c r="Q46" s="2"/>
      <c r="T46" s="103" t="s">
        <v>108</v>
      </c>
      <c r="U46" s="98" t="s">
        <v>345</v>
      </c>
      <c r="W46" s="143">
        <v>42380</v>
      </c>
      <c r="X46" s="12">
        <v>7.93</v>
      </c>
      <c r="Y46" s="12">
        <v>8.02</v>
      </c>
      <c r="Z46" s="12">
        <v>7.65</v>
      </c>
      <c r="AA46" s="12">
        <v>7.94</v>
      </c>
      <c r="AB46" s="105">
        <v>22000</v>
      </c>
      <c r="AC46" s="12">
        <v>7.94</v>
      </c>
      <c r="AD46" s="2">
        <f t="shared" si="1"/>
        <v>0.36999999999999922</v>
      </c>
      <c r="AE46" s="148">
        <f t="shared" si="2"/>
        <v>1.1464968152866239E-2</v>
      </c>
    </row>
    <row r="47" spans="15:31" x14ac:dyDescent="0.25">
      <c r="O47" s="93">
        <v>1.01</v>
      </c>
      <c r="P47" s="93">
        <f t="shared" si="6"/>
        <v>9.8222500000000004</v>
      </c>
      <c r="Q47" s="2"/>
      <c r="T47" s="103" t="s">
        <v>109</v>
      </c>
      <c r="U47" s="98" t="s">
        <v>150</v>
      </c>
      <c r="W47" s="143">
        <v>42377</v>
      </c>
      <c r="X47" s="12">
        <v>8</v>
      </c>
      <c r="Y47" s="12">
        <v>8.02</v>
      </c>
      <c r="Z47" s="12">
        <v>7.85</v>
      </c>
      <c r="AA47" s="12">
        <v>7.85</v>
      </c>
      <c r="AB47" s="105">
        <v>10700</v>
      </c>
      <c r="AC47" s="12">
        <v>7.85</v>
      </c>
      <c r="AD47" s="2">
        <f t="shared" si="1"/>
        <v>0.16999999999999993</v>
      </c>
      <c r="AE47" s="148">
        <f t="shared" si="2"/>
        <v>6.4102564102563875E-3</v>
      </c>
    </row>
    <row r="48" spans="15:31" x14ac:dyDescent="0.25">
      <c r="O48" s="93">
        <v>1</v>
      </c>
      <c r="P48" s="93">
        <f t="shared" si="6"/>
        <v>9.7249999999999996</v>
      </c>
      <c r="Q48" s="2"/>
      <c r="T48" s="103" t="s">
        <v>110</v>
      </c>
      <c r="U48" s="100">
        <v>108768</v>
      </c>
      <c r="W48" s="143">
        <v>42376</v>
      </c>
      <c r="X48" s="12">
        <v>7.89</v>
      </c>
      <c r="Y48" s="12">
        <v>7.94</v>
      </c>
      <c r="Z48" s="12">
        <v>7.76</v>
      </c>
      <c r="AA48" s="12">
        <v>7.8</v>
      </c>
      <c r="AB48" s="105">
        <v>32000</v>
      </c>
      <c r="AC48" s="12">
        <v>7.8</v>
      </c>
      <c r="AD48" s="2">
        <f t="shared" si="1"/>
        <v>0.1800000000000006</v>
      </c>
      <c r="AE48" s="148">
        <f t="shared" si="2"/>
        <v>-2.5000000000000022E-2</v>
      </c>
    </row>
    <row r="49" spans="15:31" x14ac:dyDescent="0.25">
      <c r="O49" s="93">
        <v>0.99</v>
      </c>
      <c r="P49" s="93">
        <f t="shared" si="6"/>
        <v>9.6277499999999989</v>
      </c>
      <c r="Q49" s="2"/>
      <c r="T49" s="103" t="s">
        <v>113</v>
      </c>
      <c r="U49" s="100">
        <v>14405</v>
      </c>
      <c r="W49" s="143">
        <v>42375</v>
      </c>
      <c r="X49" s="12">
        <v>8.02</v>
      </c>
      <c r="Y49" s="12">
        <v>8.07</v>
      </c>
      <c r="Z49" s="12">
        <v>7.98</v>
      </c>
      <c r="AA49" s="12">
        <v>8</v>
      </c>
      <c r="AB49" s="105">
        <v>16300</v>
      </c>
      <c r="AC49" s="12">
        <v>8</v>
      </c>
      <c r="AD49" s="2">
        <f t="shared" si="1"/>
        <v>8.9999999999999858E-2</v>
      </c>
      <c r="AE49" s="148">
        <f t="shared" si="2"/>
        <v>-3.3816425120772875E-2</v>
      </c>
    </row>
    <row r="50" spans="15:31" x14ac:dyDescent="0.25">
      <c r="O50" s="93">
        <v>0.98</v>
      </c>
      <c r="P50" s="93">
        <f t="shared" si="6"/>
        <v>9.5305</v>
      </c>
      <c r="Q50" s="2"/>
      <c r="T50" s="103" t="s">
        <v>111</v>
      </c>
      <c r="U50" s="98" t="s">
        <v>346</v>
      </c>
      <c r="W50" s="143">
        <v>42374</v>
      </c>
      <c r="X50" s="12">
        <v>8.17</v>
      </c>
      <c r="Y50" s="12">
        <v>8.2799999999999994</v>
      </c>
      <c r="Z50" s="12">
        <v>8.17</v>
      </c>
      <c r="AA50" s="12">
        <v>8.2799999999999994</v>
      </c>
      <c r="AB50" s="105">
        <v>19100</v>
      </c>
      <c r="AC50" s="12">
        <v>8.2799999999999994</v>
      </c>
      <c r="AD50" s="2">
        <f t="shared" si="1"/>
        <v>0.10999999999999943</v>
      </c>
      <c r="AE50" s="148">
        <f t="shared" si="2"/>
        <v>4.5454545454545414E-2</v>
      </c>
    </row>
    <row r="51" spans="15:31" x14ac:dyDescent="0.25">
      <c r="O51" s="93">
        <v>0.97</v>
      </c>
      <c r="P51" s="93">
        <f t="shared" si="6"/>
        <v>9.4332499999999992</v>
      </c>
      <c r="T51" s="103" t="s">
        <v>114</v>
      </c>
      <c r="U51" s="98">
        <v>28.6</v>
      </c>
      <c r="W51" s="143">
        <v>42373</v>
      </c>
      <c r="X51" s="12">
        <v>7.96</v>
      </c>
      <c r="Y51" s="12">
        <v>7.97</v>
      </c>
      <c r="Z51" s="12">
        <v>7.85</v>
      </c>
      <c r="AA51" s="12">
        <v>7.92</v>
      </c>
      <c r="AB51" s="105">
        <v>16900</v>
      </c>
      <c r="AC51" s="12">
        <v>7.92</v>
      </c>
      <c r="AD51" s="2">
        <f t="shared" si="1"/>
        <v>0.12000000000000011</v>
      </c>
      <c r="AE51" s="148">
        <f t="shared" si="2"/>
        <v>-4.5783132530120563E-2</v>
      </c>
    </row>
    <row r="52" spans="15:31" x14ac:dyDescent="0.25">
      <c r="O52" s="93">
        <v>0.96</v>
      </c>
      <c r="P52" s="93">
        <f t="shared" si="6"/>
        <v>9.3359999999999985</v>
      </c>
      <c r="T52" s="103" t="s">
        <v>115</v>
      </c>
      <c r="U52" s="98">
        <v>0.34</v>
      </c>
      <c r="W52" s="143">
        <v>42369</v>
      </c>
      <c r="X52" s="12">
        <v>8.26</v>
      </c>
      <c r="Y52" s="12">
        <v>8.35</v>
      </c>
      <c r="Z52" s="12">
        <v>8.26</v>
      </c>
      <c r="AA52" s="12">
        <v>8.3000000000000007</v>
      </c>
      <c r="AB52" s="105">
        <v>14700</v>
      </c>
      <c r="AC52" s="12">
        <v>8.3000000000000007</v>
      </c>
      <c r="AD52" s="2">
        <f t="shared" si="1"/>
        <v>8.9999999999999858E-2</v>
      </c>
      <c r="AE52" s="148">
        <f t="shared" si="2"/>
        <v>-5.9880239520956335E-3</v>
      </c>
    </row>
    <row r="53" spans="15:31" x14ac:dyDescent="0.25">
      <c r="O53" s="93">
        <v>0.95</v>
      </c>
      <c r="P53" s="93">
        <f t="shared" si="6"/>
        <v>9.2387499999999996</v>
      </c>
      <c r="T53" s="103" t="s">
        <v>112</v>
      </c>
      <c r="U53" s="98" t="s">
        <v>347</v>
      </c>
      <c r="W53" s="143">
        <v>42368</v>
      </c>
      <c r="X53" s="12">
        <v>8.36</v>
      </c>
      <c r="Y53" s="12">
        <v>8.43</v>
      </c>
      <c r="Z53" s="12">
        <v>8.33</v>
      </c>
      <c r="AA53" s="12">
        <v>8.35</v>
      </c>
      <c r="AB53" s="105">
        <v>4700</v>
      </c>
      <c r="AC53" s="12">
        <v>8.35</v>
      </c>
      <c r="AD53" s="2">
        <f t="shared" si="1"/>
        <v>9.9999999999999645E-2</v>
      </c>
      <c r="AE53" s="148">
        <f t="shared" si="2"/>
        <v>-2.4532710280373959E-2</v>
      </c>
    </row>
    <row r="54" spans="15:31" x14ac:dyDescent="0.25">
      <c r="O54" s="93">
        <v>0.94</v>
      </c>
      <c r="P54" s="93">
        <f t="shared" si="6"/>
        <v>9.1414999999999988</v>
      </c>
      <c r="W54" s="143">
        <v>42367</v>
      </c>
      <c r="X54" s="12">
        <v>8.5500000000000007</v>
      </c>
      <c r="Y54" s="12">
        <v>8.59</v>
      </c>
      <c r="Z54" s="12">
        <v>8.5399999999999991</v>
      </c>
      <c r="AA54" s="12">
        <v>8.56</v>
      </c>
      <c r="AB54" s="105">
        <v>6600</v>
      </c>
      <c r="AC54" s="12">
        <v>8.56</v>
      </c>
      <c r="AD54" s="2">
        <f t="shared" si="1"/>
        <v>5.0000000000000711E-2</v>
      </c>
      <c r="AE54" s="148">
        <f t="shared" si="2"/>
        <v>1.542111506524324E-2</v>
      </c>
    </row>
    <row r="55" spans="15:31" x14ac:dyDescent="0.25">
      <c r="O55" s="93">
        <v>0.93</v>
      </c>
      <c r="P55" s="93">
        <f t="shared" si="6"/>
        <v>9.0442499999999999</v>
      </c>
      <c r="W55" s="143">
        <v>42366</v>
      </c>
      <c r="X55" s="12">
        <v>8.44</v>
      </c>
      <c r="Y55" s="12">
        <v>8.44</v>
      </c>
      <c r="Z55" s="12">
        <v>8.4</v>
      </c>
      <c r="AA55" s="12">
        <v>8.43</v>
      </c>
      <c r="AB55" s="105">
        <v>3300</v>
      </c>
      <c r="AC55" s="12">
        <v>8.43</v>
      </c>
      <c r="AD55" s="2">
        <f t="shared" si="1"/>
        <v>3.9999999999999147E-2</v>
      </c>
      <c r="AE55" s="148">
        <f t="shared" si="2"/>
        <v>-3.5460992907803135E-3</v>
      </c>
    </row>
    <row r="56" spans="15:31" x14ac:dyDescent="0.25">
      <c r="O56" s="93">
        <v>0.92</v>
      </c>
      <c r="P56" s="93">
        <f t="shared" si="6"/>
        <v>8.9469999999999992</v>
      </c>
      <c r="W56" s="143">
        <v>42362</v>
      </c>
      <c r="X56" s="12">
        <v>8.52</v>
      </c>
      <c r="Y56" s="12">
        <v>8.52</v>
      </c>
      <c r="Z56" s="12">
        <v>8.4600000000000009</v>
      </c>
      <c r="AA56" s="12">
        <v>8.4600000000000009</v>
      </c>
      <c r="AB56" s="105">
        <v>2200</v>
      </c>
      <c r="AC56" s="12">
        <v>8.4600000000000009</v>
      </c>
      <c r="AD56" s="2">
        <f t="shared" si="1"/>
        <v>5.9999999999998721E-2</v>
      </c>
      <c r="AE56" s="148">
        <f t="shared" si="2"/>
        <v>-1.1682242990654124E-2</v>
      </c>
    </row>
    <row r="57" spans="15:31" x14ac:dyDescent="0.25">
      <c r="O57" s="93">
        <v>0.91</v>
      </c>
      <c r="P57" s="93">
        <f t="shared" si="6"/>
        <v>8.8497500000000002</v>
      </c>
      <c r="W57" s="143">
        <v>42361</v>
      </c>
      <c r="X57" s="12">
        <v>8.5</v>
      </c>
      <c r="Y57" s="12">
        <v>8.58</v>
      </c>
      <c r="Z57" s="12">
        <v>8.5</v>
      </c>
      <c r="AA57" s="12">
        <v>8.56</v>
      </c>
      <c r="AB57" s="105">
        <v>2600</v>
      </c>
      <c r="AC57" s="12">
        <v>8.56</v>
      </c>
      <c r="AD57" s="2">
        <f t="shared" si="1"/>
        <v>8.0000000000000071E-2</v>
      </c>
      <c r="AE57" s="148">
        <f t="shared" si="2"/>
        <v>1.0625737898465104E-2</v>
      </c>
    </row>
    <row r="58" spans="15:31" x14ac:dyDescent="0.25">
      <c r="O58" s="93">
        <v>0.9</v>
      </c>
      <c r="P58" s="93">
        <f t="shared" si="6"/>
        <v>8.7524999999999995</v>
      </c>
      <c r="W58" s="143">
        <v>42360</v>
      </c>
      <c r="X58" s="12">
        <v>8.4600000000000009</v>
      </c>
      <c r="Y58" s="12">
        <v>8.4700000000000006</v>
      </c>
      <c r="Z58" s="12">
        <v>8.41</v>
      </c>
      <c r="AA58" s="12">
        <v>8.4700000000000006</v>
      </c>
      <c r="AB58" s="105">
        <v>26200</v>
      </c>
      <c r="AC58" s="12">
        <v>8.4700000000000006</v>
      </c>
      <c r="AD58" s="2">
        <f t="shared" si="1"/>
        <v>6.0000000000000497E-2</v>
      </c>
      <c r="AE58" s="148">
        <f t="shared" si="2"/>
        <v>-2.3557126030623321E-3</v>
      </c>
    </row>
    <row r="59" spans="15:31" x14ac:dyDescent="0.25">
      <c r="O59" s="37"/>
      <c r="W59" s="143">
        <v>42359</v>
      </c>
      <c r="X59" s="12">
        <v>8.4700000000000006</v>
      </c>
      <c r="Y59" s="12">
        <v>8.51</v>
      </c>
      <c r="Z59" s="12">
        <v>8.43</v>
      </c>
      <c r="AA59" s="12">
        <v>8.49</v>
      </c>
      <c r="AB59" s="105">
        <v>1400</v>
      </c>
      <c r="AC59" s="12">
        <v>8.49</v>
      </c>
      <c r="AD59" s="2">
        <f t="shared" si="1"/>
        <v>8.0000000000000071E-2</v>
      </c>
      <c r="AE59" s="148">
        <f t="shared" si="2"/>
        <v>-8.1775700934579865E-3</v>
      </c>
    </row>
    <row r="60" spans="15:31" x14ac:dyDescent="0.25">
      <c r="W60" s="143">
        <v>42356</v>
      </c>
      <c r="X60" s="12">
        <v>8.59</v>
      </c>
      <c r="Y60" s="12">
        <v>8.61</v>
      </c>
      <c r="Z60" s="12">
        <v>8.5399999999999991</v>
      </c>
      <c r="AA60" s="12">
        <v>8.56</v>
      </c>
      <c r="AB60" s="105">
        <v>2000</v>
      </c>
      <c r="AC60" s="12">
        <v>8.56</v>
      </c>
      <c r="AD60" s="2">
        <f t="shared" si="1"/>
        <v>7.0000000000000284E-2</v>
      </c>
      <c r="AE60" s="148">
        <f t="shared" si="2"/>
        <v>-1.4959723820483162E-2</v>
      </c>
    </row>
    <row r="61" spans="15:31" x14ac:dyDescent="0.25">
      <c r="W61" s="143">
        <v>42355</v>
      </c>
      <c r="X61" s="12">
        <v>8.8000000000000007</v>
      </c>
      <c r="Y61" s="12">
        <v>8.8000000000000007</v>
      </c>
      <c r="Z61" s="12">
        <v>8.65</v>
      </c>
      <c r="AA61" s="12">
        <v>8.69</v>
      </c>
      <c r="AB61" s="105">
        <v>6000</v>
      </c>
      <c r="AC61" s="12">
        <v>8.69</v>
      </c>
      <c r="AD61" s="2">
        <f t="shared" si="1"/>
        <v>0.15000000000000036</v>
      </c>
      <c r="AE61" s="148">
        <f t="shared" si="2"/>
        <v>-1.8079096045197751E-2</v>
      </c>
    </row>
    <row r="62" spans="15:31" x14ac:dyDescent="0.25">
      <c r="W62" s="143">
        <v>42354</v>
      </c>
      <c r="X62" s="12">
        <v>8.8000000000000007</v>
      </c>
      <c r="Y62" s="12">
        <v>8.91</v>
      </c>
      <c r="Z62" s="12">
        <v>8.73</v>
      </c>
      <c r="AA62" s="12">
        <v>8.85</v>
      </c>
      <c r="AB62" s="105">
        <v>4400</v>
      </c>
      <c r="AC62" s="12">
        <v>8.85</v>
      </c>
      <c r="AD62" s="2">
        <f t="shared" si="1"/>
        <v>0.17999999999999972</v>
      </c>
      <c r="AE62" s="148">
        <f t="shared" si="2"/>
        <v>1.2585812356979309E-2</v>
      </c>
    </row>
    <row r="63" spans="15:31" x14ac:dyDescent="0.25">
      <c r="W63" s="143">
        <v>42353</v>
      </c>
      <c r="X63" s="12">
        <v>8.74</v>
      </c>
      <c r="Y63" s="12">
        <v>8.74</v>
      </c>
      <c r="Z63" s="12">
        <v>8.74</v>
      </c>
      <c r="AA63" s="12">
        <v>8.74</v>
      </c>
      <c r="AB63" s="105">
        <v>400</v>
      </c>
      <c r="AC63" s="12">
        <v>8.74</v>
      </c>
      <c r="AD63" s="2">
        <f t="shared" si="1"/>
        <v>0</v>
      </c>
      <c r="AE63" s="148">
        <f t="shared" si="2"/>
        <v>-7.9455164585698901E-3</v>
      </c>
    </row>
    <row r="64" spans="15:31" x14ac:dyDescent="0.25">
      <c r="W64" s="143">
        <v>42352</v>
      </c>
      <c r="X64" s="12">
        <v>8.83</v>
      </c>
      <c r="Y64" s="12">
        <v>8.83</v>
      </c>
      <c r="Z64" s="12">
        <v>8.73</v>
      </c>
      <c r="AA64" s="12">
        <v>8.81</v>
      </c>
      <c r="AB64" s="105">
        <v>1900</v>
      </c>
      <c r="AC64" s="12">
        <v>8.81</v>
      </c>
      <c r="AD64" s="2">
        <f t="shared" si="1"/>
        <v>9.9999999999999645E-2</v>
      </c>
      <c r="AE64" s="148">
        <f t="shared" si="2"/>
        <v>-4.5197740112993268E-3</v>
      </c>
    </row>
    <row r="65" spans="23:31" x14ac:dyDescent="0.25">
      <c r="W65" s="143">
        <v>42349</v>
      </c>
      <c r="X65" s="12">
        <v>8.8699999999999992</v>
      </c>
      <c r="Y65" s="12">
        <v>8.93</v>
      </c>
      <c r="Z65" s="12">
        <v>8.85</v>
      </c>
      <c r="AA65" s="12">
        <v>8.85</v>
      </c>
      <c r="AB65" s="105">
        <v>3000</v>
      </c>
      <c r="AC65" s="12">
        <v>8.85</v>
      </c>
      <c r="AD65" s="2">
        <f t="shared" si="1"/>
        <v>8.0000000000000071E-2</v>
      </c>
      <c r="AE65" s="148">
        <f t="shared" si="2"/>
        <v>-1.1173184357541888E-2</v>
      </c>
    </row>
    <row r="66" spans="23:31" x14ac:dyDescent="0.25">
      <c r="W66" s="143">
        <v>42348</v>
      </c>
      <c r="X66" s="12">
        <v>8.91</v>
      </c>
      <c r="Y66" s="12">
        <v>8.98</v>
      </c>
      <c r="Z66" s="12">
        <v>8.91</v>
      </c>
      <c r="AA66" s="12">
        <v>8.9499999999999993</v>
      </c>
      <c r="AB66" s="105">
        <v>4200</v>
      </c>
      <c r="AC66" s="12">
        <v>8.9499999999999993</v>
      </c>
      <c r="AD66" s="2">
        <f t="shared" si="1"/>
        <v>7.0000000000000284E-2</v>
      </c>
      <c r="AE66" s="148">
        <f t="shared" si="2"/>
        <v>-7.7605321507761005E-3</v>
      </c>
    </row>
    <row r="67" spans="23:31" x14ac:dyDescent="0.25">
      <c r="W67" s="143">
        <v>42347</v>
      </c>
      <c r="X67" s="12">
        <v>8.99</v>
      </c>
      <c r="Y67" s="12">
        <v>9.18</v>
      </c>
      <c r="Z67" s="12">
        <v>8.99</v>
      </c>
      <c r="AA67" s="12">
        <v>9.02</v>
      </c>
      <c r="AB67" s="105">
        <v>9500</v>
      </c>
      <c r="AC67" s="12">
        <v>9.02</v>
      </c>
      <c r="AD67" s="2">
        <f t="shared" ref="AD67:AD68" si="7">Y67-Z67</f>
        <v>0.1899999999999995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42444</v>
      </c>
      <c r="X2" s="12">
        <v>148.5</v>
      </c>
      <c r="Y2" s="12">
        <v>149.97999999999999</v>
      </c>
      <c r="Z2" s="12">
        <v>146.08000000000001</v>
      </c>
      <c r="AA2" s="12">
        <v>148.47</v>
      </c>
      <c r="AB2" s="105">
        <v>3079500</v>
      </c>
      <c r="AC2" s="12">
        <v>148.47</v>
      </c>
      <c r="AD2" s="2">
        <f>Y2-Z2</f>
        <v>3.8999999999999773</v>
      </c>
      <c r="AE2" s="148">
        <f>AC2/AC3-1</f>
        <v>2.2276225192385812E-3</v>
      </c>
    </row>
    <row r="3" spans="1:31" x14ac:dyDescent="0.25">
      <c r="A3" s="26" t="s">
        <v>71</v>
      </c>
      <c r="B3" s="409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148.63</v>
      </c>
      <c r="T3" s="71"/>
      <c r="W3" s="143">
        <v>42443</v>
      </c>
      <c r="X3" s="12">
        <v>147.11000000000001</v>
      </c>
      <c r="Y3" s="12">
        <v>149.19</v>
      </c>
      <c r="Z3" s="12">
        <v>147</v>
      </c>
      <c r="AA3" s="12">
        <v>148.13999999999999</v>
      </c>
      <c r="AB3" s="105">
        <v>2841900</v>
      </c>
      <c r="AC3" s="12">
        <v>148.13999999999999</v>
      </c>
      <c r="AD3" s="2">
        <f t="shared" ref="AD3:AD66" si="1">Y3-Z3</f>
        <v>2.1899999999999977</v>
      </c>
      <c r="AE3" s="148">
        <f t="shared" ref="AE3:AE66" si="2">AC3/AC4-1</f>
        <v>-4.5692783228060696E-3</v>
      </c>
    </row>
    <row r="4" spans="1:31" x14ac:dyDescent="0.25">
      <c r="B4" s="409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148.63</v>
      </c>
      <c r="T4" s="71"/>
      <c r="W4" s="143">
        <v>42440</v>
      </c>
      <c r="X4" s="12">
        <v>145.99</v>
      </c>
      <c r="Y4" s="12">
        <v>150.02000000000001</v>
      </c>
      <c r="Z4" s="12">
        <v>145.75</v>
      </c>
      <c r="AA4" s="12">
        <v>148.82</v>
      </c>
      <c r="AB4" s="105">
        <v>5518000</v>
      </c>
      <c r="AC4" s="12">
        <v>148.82</v>
      </c>
      <c r="AD4" s="2">
        <f t="shared" si="1"/>
        <v>4.2700000000000102</v>
      </c>
      <c r="AE4" s="148">
        <f t="shared" si="2"/>
        <v>3.0466694363661562E-2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42439</v>
      </c>
      <c r="X5" s="12">
        <v>143.46</v>
      </c>
      <c r="Y5" s="12">
        <v>145.80000000000001</v>
      </c>
      <c r="Z5" s="12">
        <v>142</v>
      </c>
      <c r="AA5" s="12">
        <v>144.41999999999999</v>
      </c>
      <c r="AB5" s="105">
        <v>5446500</v>
      </c>
      <c r="AC5" s="12">
        <v>144.41999999999999</v>
      </c>
      <c r="AD5" s="2">
        <f t="shared" si="1"/>
        <v>3.8000000000000114</v>
      </c>
      <c r="AE5" s="148">
        <f t="shared" si="2"/>
        <v>1.7328825021132532E-2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42438</v>
      </c>
      <c r="X6" s="12">
        <v>140.75</v>
      </c>
      <c r="Y6" s="12">
        <v>142.53</v>
      </c>
      <c r="Z6" s="12">
        <v>140.47</v>
      </c>
      <c r="AA6" s="12">
        <v>141.96</v>
      </c>
      <c r="AB6" s="105">
        <v>3111700</v>
      </c>
      <c r="AC6" s="12">
        <v>141.96</v>
      </c>
      <c r="AD6" s="2">
        <f t="shared" si="1"/>
        <v>2.0600000000000023</v>
      </c>
      <c r="AE6" s="148">
        <f t="shared" si="2"/>
        <v>1.668695839003087E-2</v>
      </c>
    </row>
    <row r="7" spans="1:31" ht="15.75" x14ac:dyDescent="0.25">
      <c r="B7" s="409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182</v>
      </c>
      <c r="T7" s="71"/>
      <c r="W7" s="143">
        <v>42437</v>
      </c>
      <c r="X7" s="12">
        <v>142.29</v>
      </c>
      <c r="Y7" s="12">
        <v>142.82</v>
      </c>
      <c r="Z7" s="12">
        <v>139.41</v>
      </c>
      <c r="AA7" s="12">
        <v>139.63</v>
      </c>
      <c r="AB7" s="105">
        <v>3244700</v>
      </c>
      <c r="AC7" s="12">
        <v>139.63</v>
      </c>
      <c r="AD7" s="2">
        <f t="shared" si="1"/>
        <v>3.4099999999999966</v>
      </c>
      <c r="AE7" s="148">
        <f t="shared" si="2"/>
        <v>-2.7036443453417824E-2</v>
      </c>
    </row>
    <row r="8" spans="1:31" x14ac:dyDescent="0.25">
      <c r="B8" s="414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42436</v>
      </c>
      <c r="X8" s="12">
        <v>144.76</v>
      </c>
      <c r="Y8" s="12">
        <v>146.22999999999999</v>
      </c>
      <c r="Z8" s="12">
        <v>140.57</v>
      </c>
      <c r="AA8" s="12">
        <v>143.51</v>
      </c>
      <c r="AB8" s="105">
        <v>4136300</v>
      </c>
      <c r="AC8" s="12">
        <v>143.51</v>
      </c>
      <c r="AD8" s="2">
        <f t="shared" si="1"/>
        <v>5.6599999999999966</v>
      </c>
      <c r="AE8" s="148">
        <f t="shared" si="2"/>
        <v>-1.7458578666301627E-2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42433</v>
      </c>
      <c r="X9" s="12">
        <v>146</v>
      </c>
      <c r="Y9" s="12">
        <v>147.86000000000001</v>
      </c>
      <c r="Z9" s="12">
        <v>141.72</v>
      </c>
      <c r="AA9" s="12">
        <v>146.06</v>
      </c>
      <c r="AB9" s="105">
        <v>7233800</v>
      </c>
      <c r="AC9" s="12">
        <v>146.06</v>
      </c>
      <c r="AD9" s="2">
        <f t="shared" si="1"/>
        <v>6.1400000000000148</v>
      </c>
      <c r="AE9" s="148">
        <f t="shared" si="2"/>
        <v>6.35695041141775E-2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42432</v>
      </c>
      <c r="X10" s="12">
        <v>137.75</v>
      </c>
      <c r="Y10" s="12">
        <v>138.85</v>
      </c>
      <c r="Z10" s="12">
        <v>134.30000000000001</v>
      </c>
      <c r="AA10" s="12">
        <v>137.33000000000001</v>
      </c>
      <c r="AB10" s="105">
        <v>5828100</v>
      </c>
      <c r="AC10" s="12">
        <v>137.33000000000001</v>
      </c>
      <c r="AD10" s="2">
        <f t="shared" si="1"/>
        <v>4.5499999999999829</v>
      </c>
      <c r="AE10" s="148">
        <f t="shared" si="2"/>
        <v>2.6283127692197095E-3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42431</v>
      </c>
      <c r="X11" s="12">
        <v>137.85</v>
      </c>
      <c r="Y11" s="12">
        <v>138.24</v>
      </c>
      <c r="Z11" s="12">
        <v>135.05000000000001</v>
      </c>
      <c r="AA11" s="12">
        <v>136.97</v>
      </c>
      <c r="AB11" s="105">
        <v>4383400</v>
      </c>
      <c r="AC11" s="12">
        <v>136.97</v>
      </c>
      <c r="AD11" s="2">
        <f t="shared" si="1"/>
        <v>3.1899999999999977</v>
      </c>
      <c r="AE11" s="148">
        <f t="shared" si="2"/>
        <v>-1.0546846781766983E-2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42430</v>
      </c>
      <c r="X12" s="12">
        <v>135.37</v>
      </c>
      <c r="Y12" s="12">
        <v>138.63999999999999</v>
      </c>
      <c r="Z12" s="12">
        <v>134.62</v>
      </c>
      <c r="AA12" s="12">
        <v>138.43</v>
      </c>
      <c r="AB12" s="105">
        <v>4437800</v>
      </c>
      <c r="AC12" s="12">
        <v>138.43</v>
      </c>
      <c r="AD12" s="2">
        <f t="shared" si="1"/>
        <v>4.0199999999999818</v>
      </c>
      <c r="AE12" s="148">
        <f t="shared" si="2"/>
        <v>3.3291035306411976E-2</v>
      </c>
    </row>
    <row r="13" spans="1:31" x14ac:dyDescent="0.25">
      <c r="W13" s="143">
        <v>42429</v>
      </c>
      <c r="X13" s="12">
        <v>133.34</v>
      </c>
      <c r="Y13" s="12">
        <v>137.91999999999999</v>
      </c>
      <c r="Z13" s="12">
        <v>132.9</v>
      </c>
      <c r="AA13" s="12">
        <v>133.97</v>
      </c>
      <c r="AB13" s="105">
        <v>3576900</v>
      </c>
      <c r="AC13" s="12">
        <v>133.97</v>
      </c>
      <c r="AD13" s="2">
        <f t="shared" si="1"/>
        <v>5.0199999999999818</v>
      </c>
      <c r="AE13" s="148">
        <f t="shared" si="2"/>
        <v>6.460821876643319E-3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42426</v>
      </c>
      <c r="X14" s="12">
        <v>134.19999999999999</v>
      </c>
      <c r="Y14" s="12">
        <v>134.97</v>
      </c>
      <c r="Z14" s="12">
        <v>132.25</v>
      </c>
      <c r="AA14" s="12">
        <v>133.11000000000001</v>
      </c>
      <c r="AB14" s="105">
        <v>2713200</v>
      </c>
      <c r="AC14" s="12">
        <v>133.11000000000001</v>
      </c>
      <c r="AD14" s="2">
        <f t="shared" si="1"/>
        <v>2.7199999999999989</v>
      </c>
      <c r="AE14" s="148">
        <f t="shared" si="2"/>
        <v>4.8312825545406834E-3</v>
      </c>
    </row>
    <row r="15" spans="1:31" x14ac:dyDescent="0.25">
      <c r="W15" s="143">
        <v>42425</v>
      </c>
      <c r="X15" s="12">
        <v>130.78</v>
      </c>
      <c r="Y15" s="12">
        <v>132.49</v>
      </c>
      <c r="Z15" s="12">
        <v>128.69</v>
      </c>
      <c r="AA15" s="12">
        <v>132.47</v>
      </c>
      <c r="AB15" s="105">
        <v>2556600</v>
      </c>
      <c r="AC15" s="12">
        <v>132.47</v>
      </c>
      <c r="AD15" s="2">
        <f t="shared" si="1"/>
        <v>3.8000000000000114</v>
      </c>
      <c r="AE15" s="148">
        <f t="shared" si="2"/>
        <v>1.6341875095903013E-2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W16" s="143">
        <v>42424</v>
      </c>
      <c r="X16" s="12">
        <v>126.51</v>
      </c>
      <c r="Y16" s="12">
        <v>131.25</v>
      </c>
      <c r="Z16" s="12">
        <v>125.41</v>
      </c>
      <c r="AA16" s="12">
        <v>130.34</v>
      </c>
      <c r="AB16" s="105">
        <v>2380500</v>
      </c>
      <c r="AC16" s="12">
        <v>130.34</v>
      </c>
      <c r="AD16" s="2">
        <f t="shared" si="1"/>
        <v>5.8400000000000034</v>
      </c>
      <c r="AE16" s="148">
        <f t="shared" si="2"/>
        <v>1.7009987515605562E-2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42423</v>
      </c>
      <c r="X17" s="12">
        <v>130.16</v>
      </c>
      <c r="Y17" s="12">
        <v>130.5</v>
      </c>
      <c r="Z17" s="12">
        <v>128.06</v>
      </c>
      <c r="AA17" s="12">
        <v>128.16</v>
      </c>
      <c r="AB17" s="105">
        <v>2222800</v>
      </c>
      <c r="AC17" s="12">
        <v>128.16</v>
      </c>
      <c r="AD17" s="2">
        <f t="shared" si="1"/>
        <v>2.4399999999999977</v>
      </c>
      <c r="AE17" s="148">
        <f t="shared" si="2"/>
        <v>-1.8983466013472006E-2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42422</v>
      </c>
      <c r="X18" s="12">
        <v>130</v>
      </c>
      <c r="Y18" s="12">
        <v>132.43</v>
      </c>
      <c r="Z18" s="12">
        <v>129.49</v>
      </c>
      <c r="AA18" s="12">
        <v>130.63999999999999</v>
      </c>
      <c r="AB18" s="105">
        <v>2351600</v>
      </c>
      <c r="AC18" s="12">
        <v>130.63999999999999</v>
      </c>
      <c r="AD18" s="2">
        <f t="shared" si="1"/>
        <v>2.9399999999999977</v>
      </c>
      <c r="AE18" s="148">
        <f t="shared" si="2"/>
        <v>1.5310484184347439E-2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42419</v>
      </c>
      <c r="X19" s="12">
        <v>127.05</v>
      </c>
      <c r="Y19" s="12">
        <v>128.79</v>
      </c>
      <c r="Z19" s="12">
        <v>125</v>
      </c>
      <c r="AA19" s="12">
        <v>128.66999999999999</v>
      </c>
      <c r="AB19" s="105">
        <v>3106600</v>
      </c>
      <c r="AC19" s="12">
        <v>128.66999999999999</v>
      </c>
      <c r="AD19" s="2">
        <f t="shared" si="1"/>
        <v>3.789999999999992</v>
      </c>
      <c r="AE19" s="148">
        <f t="shared" si="2"/>
        <v>1.2591485008263126E-2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42418</v>
      </c>
      <c r="X20" s="12">
        <v>131.76</v>
      </c>
      <c r="Y20" s="12">
        <v>131.99</v>
      </c>
      <c r="Z20" s="12">
        <v>126.08</v>
      </c>
      <c r="AA20" s="12">
        <v>127.07</v>
      </c>
      <c r="AB20" s="105">
        <v>3890500</v>
      </c>
      <c r="AC20" s="12">
        <v>127.07</v>
      </c>
      <c r="AD20" s="2">
        <f t="shared" si="1"/>
        <v>5.9100000000000108</v>
      </c>
      <c r="AE20" s="148">
        <f t="shared" si="2"/>
        <v>-2.7624732170186794E-2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42417</v>
      </c>
      <c r="X21" s="12">
        <v>127</v>
      </c>
      <c r="Y21" s="12">
        <v>130.82</v>
      </c>
      <c r="Z21" s="12">
        <v>126.73</v>
      </c>
      <c r="AA21" s="12">
        <v>130.68</v>
      </c>
      <c r="AB21" s="105">
        <v>3240200</v>
      </c>
      <c r="AC21" s="12">
        <v>130.68</v>
      </c>
      <c r="AD21" s="2">
        <f t="shared" si="1"/>
        <v>4.0899999999999892</v>
      </c>
      <c r="AE21" s="148">
        <f t="shared" si="2"/>
        <v>3.5171102661597065E-2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42416</v>
      </c>
      <c r="X22" s="12">
        <v>123.27</v>
      </c>
      <c r="Y22" s="12">
        <v>126.79</v>
      </c>
      <c r="Z22" s="12">
        <v>122.95</v>
      </c>
      <c r="AA22" s="12">
        <v>126.24</v>
      </c>
      <c r="AB22" s="105">
        <v>3717000</v>
      </c>
      <c r="AC22" s="12">
        <v>126.24</v>
      </c>
      <c r="AD22" s="2">
        <f t="shared" si="1"/>
        <v>3.8400000000000034</v>
      </c>
      <c r="AE22" s="148">
        <f t="shared" si="2"/>
        <v>3.7645898405392009E-2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42412</v>
      </c>
      <c r="X23" s="12">
        <v>117.76</v>
      </c>
      <c r="Y23" s="12">
        <v>122.33</v>
      </c>
      <c r="Z23" s="12">
        <v>115.73</v>
      </c>
      <c r="AA23" s="12">
        <v>121.66</v>
      </c>
      <c r="AB23" s="105">
        <v>3980200</v>
      </c>
      <c r="AC23" s="12">
        <v>121.66</v>
      </c>
      <c r="AD23" s="2">
        <f t="shared" si="1"/>
        <v>6.5999999999999943</v>
      </c>
      <c r="AE23" s="148">
        <f t="shared" si="2"/>
        <v>4.5997764594617685E-2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42411</v>
      </c>
      <c r="X24" s="12">
        <v>116.5</v>
      </c>
      <c r="Y24" s="12">
        <v>117.64</v>
      </c>
      <c r="Z24" s="12">
        <v>114.25</v>
      </c>
      <c r="AA24" s="12">
        <v>116.31</v>
      </c>
      <c r="AB24" s="105">
        <v>6575100</v>
      </c>
      <c r="AC24" s="12">
        <v>116.31</v>
      </c>
      <c r="AD24" s="2">
        <f t="shared" si="1"/>
        <v>3.3900000000000006</v>
      </c>
      <c r="AE24" s="148">
        <f t="shared" si="2"/>
        <v>-2.4244966442953042E-2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42410</v>
      </c>
      <c r="X25" s="12">
        <v>122.49</v>
      </c>
      <c r="Y25" s="12">
        <v>123.67</v>
      </c>
      <c r="Z25" s="12">
        <v>118.65</v>
      </c>
      <c r="AA25" s="12">
        <v>119.2</v>
      </c>
      <c r="AB25" s="105">
        <v>4260300</v>
      </c>
      <c r="AC25" s="12">
        <v>119.2</v>
      </c>
      <c r="AD25" s="2">
        <f t="shared" si="1"/>
        <v>5.019999999999996</v>
      </c>
      <c r="AE25" s="148">
        <f t="shared" si="2"/>
        <v>-4.2602957146435916E-3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42409</v>
      </c>
      <c r="X26" s="12">
        <v>119.83</v>
      </c>
      <c r="Y26" s="12">
        <v>125.72</v>
      </c>
      <c r="Z26" s="12">
        <v>118.77</v>
      </c>
      <c r="AA26" s="12">
        <v>119.71</v>
      </c>
      <c r="AB26" s="105">
        <v>5925700</v>
      </c>
      <c r="AC26" s="12">
        <v>119.71</v>
      </c>
      <c r="AD26" s="2">
        <f t="shared" si="1"/>
        <v>6.9500000000000028</v>
      </c>
      <c r="AE26" s="148">
        <f t="shared" si="2"/>
        <v>-1.7643197111439357E-2</v>
      </c>
    </row>
    <row r="27" spans="2:31" x14ac:dyDescent="0.25">
      <c r="W27" s="143">
        <v>42408</v>
      </c>
      <c r="X27" s="12">
        <v>126.99</v>
      </c>
      <c r="Y27" s="12">
        <v>126.99</v>
      </c>
      <c r="Z27" s="12">
        <v>119.22</v>
      </c>
      <c r="AA27" s="12">
        <v>121.86</v>
      </c>
      <c r="AB27" s="105">
        <v>9105500</v>
      </c>
      <c r="AC27" s="12">
        <v>121.86</v>
      </c>
      <c r="AD27" s="2">
        <f t="shared" si="1"/>
        <v>7.769999999999996</v>
      </c>
      <c r="AE27" s="148">
        <f t="shared" si="2"/>
        <v>-5.0638828295419214E-2</v>
      </c>
    </row>
    <row r="28" spans="2:31" x14ac:dyDescent="0.25">
      <c r="W28" s="143">
        <v>42405</v>
      </c>
      <c r="X28" s="12">
        <v>137</v>
      </c>
      <c r="Y28" s="12">
        <v>137</v>
      </c>
      <c r="Z28" s="12">
        <v>126.98</v>
      </c>
      <c r="AA28" s="12">
        <v>128.36000000000001</v>
      </c>
      <c r="AB28" s="105">
        <v>7045600</v>
      </c>
      <c r="AC28" s="12">
        <v>128.36000000000001</v>
      </c>
      <c r="AD28" s="2">
        <f t="shared" si="1"/>
        <v>10.019999999999996</v>
      </c>
      <c r="AE28" s="148">
        <f t="shared" si="2"/>
        <v>-5.7008521892447761E-2</v>
      </c>
    </row>
    <row r="29" spans="2:31" x14ac:dyDescent="0.25">
      <c r="W29" s="143">
        <v>42404</v>
      </c>
      <c r="X29" s="12">
        <v>131.4</v>
      </c>
      <c r="Y29" s="12">
        <v>137.27000000000001</v>
      </c>
      <c r="Z29" s="12">
        <v>130.5</v>
      </c>
      <c r="AA29" s="12">
        <v>136.12</v>
      </c>
      <c r="AB29" s="105">
        <v>5989100</v>
      </c>
      <c r="AC29" s="12">
        <v>136.12</v>
      </c>
      <c r="AD29" s="2">
        <f t="shared" si="1"/>
        <v>6.7700000000000102</v>
      </c>
      <c r="AE29" s="148">
        <f t="shared" si="2"/>
        <v>3.6236297198538381E-2</v>
      </c>
    </row>
    <row r="30" spans="2:31" x14ac:dyDescent="0.25">
      <c r="W30" s="143">
        <v>42403</v>
      </c>
      <c r="X30" s="12">
        <v>137.25</v>
      </c>
      <c r="Y30" s="12">
        <v>137.61000000000001</v>
      </c>
      <c r="Z30" s="12">
        <v>130.29</v>
      </c>
      <c r="AA30" s="12">
        <v>131.36000000000001</v>
      </c>
      <c r="AB30" s="105">
        <v>5619300</v>
      </c>
      <c r="AC30" s="12">
        <v>131.36000000000001</v>
      </c>
      <c r="AD30" s="2">
        <f t="shared" si="1"/>
        <v>7.3200000000000216</v>
      </c>
      <c r="AE30" s="148">
        <f t="shared" si="2"/>
        <v>-1.4109876913839692E-2</v>
      </c>
    </row>
    <row r="31" spans="2:31" x14ac:dyDescent="0.25">
      <c r="W31" s="143">
        <v>42402</v>
      </c>
      <c r="X31" s="12">
        <v>135.01</v>
      </c>
      <c r="Y31" s="12">
        <v>137.59</v>
      </c>
      <c r="Z31" s="12">
        <v>131.69999999999999</v>
      </c>
      <c r="AA31" s="12">
        <v>133.24</v>
      </c>
      <c r="AB31" s="105">
        <v>5900500</v>
      </c>
      <c r="AC31" s="12">
        <v>133.24</v>
      </c>
      <c r="AD31" s="2">
        <f t="shared" si="1"/>
        <v>5.8900000000000148</v>
      </c>
      <c r="AE31" s="148">
        <f t="shared" si="2"/>
        <v>-3.2248692620569397E-2</v>
      </c>
    </row>
    <row r="32" spans="2:31" x14ac:dyDescent="0.25">
      <c r="W32" s="143">
        <v>42401</v>
      </c>
      <c r="X32" s="12">
        <v>133.34</v>
      </c>
      <c r="Y32" s="12">
        <v>138.69</v>
      </c>
      <c r="Z32" s="12">
        <v>132.96</v>
      </c>
      <c r="AA32" s="12">
        <v>137.68</v>
      </c>
      <c r="AB32" s="105">
        <v>4561900</v>
      </c>
      <c r="AC32" s="12">
        <v>137.68</v>
      </c>
      <c r="AD32" s="2">
        <f t="shared" si="1"/>
        <v>5.7299999999999898</v>
      </c>
      <c r="AE32" s="148">
        <f t="shared" si="2"/>
        <v>2.969112257871509E-2</v>
      </c>
    </row>
    <row r="33" spans="15:31" x14ac:dyDescent="0.25">
      <c r="W33" s="143">
        <v>42398</v>
      </c>
      <c r="X33" s="12">
        <v>129.44</v>
      </c>
      <c r="Y33" s="12">
        <v>134.34</v>
      </c>
      <c r="Z33" s="12">
        <v>128.11000000000001</v>
      </c>
      <c r="AA33" s="12">
        <v>133.71</v>
      </c>
      <c r="AB33" s="105">
        <v>25944900</v>
      </c>
      <c r="AC33" s="12">
        <v>133.71</v>
      </c>
      <c r="AD33" s="2">
        <f t="shared" si="1"/>
        <v>6.2299999999999898</v>
      </c>
      <c r="AE33" s="148">
        <f t="shared" si="2"/>
        <v>5.8083405871646843E-2</v>
      </c>
    </row>
    <row r="34" spans="15:31" x14ac:dyDescent="0.25">
      <c r="W34" s="143">
        <v>42397</v>
      </c>
      <c r="X34" s="12">
        <v>122.94</v>
      </c>
      <c r="Y34" s="12">
        <v>126.55</v>
      </c>
      <c r="Z34" s="12">
        <v>122</v>
      </c>
      <c r="AA34" s="12">
        <v>126.37</v>
      </c>
      <c r="AB34" s="105">
        <v>4996900</v>
      </c>
      <c r="AC34" s="12">
        <v>126.37</v>
      </c>
      <c r="AD34" s="2">
        <f t="shared" si="1"/>
        <v>4.5499999999999972</v>
      </c>
      <c r="AE34" s="148">
        <f t="shared" si="2"/>
        <v>3.2856559051900325E-2</v>
      </c>
    </row>
    <row r="35" spans="15:31" x14ac:dyDescent="0.25">
      <c r="W35" s="143">
        <v>42396</v>
      </c>
      <c r="X35" s="12">
        <v>123.65</v>
      </c>
      <c r="Y35" s="12">
        <v>125.41</v>
      </c>
      <c r="Z35" s="12">
        <v>120.09</v>
      </c>
      <c r="AA35" s="12">
        <v>122.35</v>
      </c>
      <c r="AB35" s="105">
        <v>5815600</v>
      </c>
      <c r="AC35" s="12">
        <v>122.35</v>
      </c>
      <c r="AD35" s="2">
        <f t="shared" si="1"/>
        <v>5.3199999999999932</v>
      </c>
      <c r="AE35" s="148">
        <f t="shared" si="2"/>
        <v>-1.640003215692587E-2</v>
      </c>
    </row>
    <row r="36" spans="15:31" x14ac:dyDescent="0.25">
      <c r="W36" s="143">
        <v>42395</v>
      </c>
      <c r="X36" s="12">
        <v>125</v>
      </c>
      <c r="Y36" s="12">
        <v>126.51</v>
      </c>
      <c r="Z36" s="12">
        <v>124</v>
      </c>
      <c r="AA36" s="12">
        <v>124.39</v>
      </c>
      <c r="AB36" s="105">
        <v>11913400</v>
      </c>
      <c r="AC36" s="12">
        <v>124.39</v>
      </c>
      <c r="AD36" s="2">
        <f t="shared" si="1"/>
        <v>2.5100000000000051</v>
      </c>
      <c r="AE36" s="148">
        <f t="shared" si="2"/>
        <v>-8.0327737167640301E-4</v>
      </c>
    </row>
    <row r="37" spans="15:31" x14ac:dyDescent="0.25">
      <c r="W37" s="143">
        <v>42394</v>
      </c>
      <c r="X37" s="12">
        <v>124.43</v>
      </c>
      <c r="Y37" s="12">
        <v>124.98</v>
      </c>
      <c r="Z37" s="12">
        <v>124</v>
      </c>
      <c r="AA37" s="12">
        <v>124.49</v>
      </c>
      <c r="AB37" s="105">
        <v>6135900</v>
      </c>
      <c r="AC37" s="12">
        <v>124.49</v>
      </c>
      <c r="AD37" s="2">
        <f t="shared" si="1"/>
        <v>0.98000000000000398</v>
      </c>
      <c r="AE37" s="148">
        <f t="shared" si="2"/>
        <v>-1.606296682997721E-4</v>
      </c>
    </row>
    <row r="38" spans="15:31" x14ac:dyDescent="0.25">
      <c r="W38" s="143">
        <v>42391</v>
      </c>
      <c r="X38" s="12">
        <v>126.48</v>
      </c>
      <c r="Y38" s="12">
        <v>126.48</v>
      </c>
      <c r="Z38" s="12">
        <v>124.23</v>
      </c>
      <c r="AA38" s="12">
        <v>124.51</v>
      </c>
      <c r="AB38" s="105">
        <v>5842800</v>
      </c>
      <c r="AC38" s="12">
        <v>124.51</v>
      </c>
      <c r="AD38" s="2">
        <f t="shared" si="1"/>
        <v>2.25</v>
      </c>
      <c r="AE38" s="148">
        <f t="shared" si="2"/>
        <v>-1.6060387055327752E-4</v>
      </c>
    </row>
    <row r="39" spans="15:31" x14ac:dyDescent="0.25">
      <c r="W39" s="143">
        <v>42390</v>
      </c>
      <c r="X39" s="12">
        <v>124.8</v>
      </c>
      <c r="Y39" s="12">
        <v>126</v>
      </c>
      <c r="Z39" s="12">
        <v>123.35</v>
      </c>
      <c r="AA39" s="12">
        <v>124.53</v>
      </c>
      <c r="AB39" s="105">
        <v>4847500</v>
      </c>
      <c r="AC39" s="12">
        <v>124.53</v>
      </c>
      <c r="AD39" s="2">
        <f t="shared" si="1"/>
        <v>2.6500000000000057</v>
      </c>
      <c r="AE39" s="148">
        <f t="shared" si="2"/>
        <v>5.6529112492933464E-3</v>
      </c>
    </row>
    <row r="40" spans="15:31" x14ac:dyDescent="0.25">
      <c r="W40" s="143">
        <v>42389</v>
      </c>
      <c r="X40" s="12">
        <v>117.83</v>
      </c>
      <c r="Y40" s="12">
        <v>125.58</v>
      </c>
      <c r="Z40" s="12">
        <v>117.17</v>
      </c>
      <c r="AA40" s="12">
        <v>123.83</v>
      </c>
      <c r="AB40" s="105">
        <v>10398800</v>
      </c>
      <c r="AC40" s="12">
        <v>123.83</v>
      </c>
      <c r="AD40" s="2">
        <f t="shared" si="1"/>
        <v>8.4099999999999966</v>
      </c>
      <c r="AE40" s="148">
        <f t="shared" si="2"/>
        <v>3.1315066211376807E-2</v>
      </c>
    </row>
    <row r="41" spans="15:31" ht="20.25" thickBot="1" x14ac:dyDescent="0.35">
      <c r="O41" s="408" t="s">
        <v>78</v>
      </c>
      <c r="P41" s="408"/>
      <c r="T41" s="101" t="s">
        <v>116</v>
      </c>
      <c r="W41" s="143">
        <v>42388</v>
      </c>
      <c r="X41" s="12">
        <v>122.76</v>
      </c>
      <c r="Y41" s="12">
        <v>124.8</v>
      </c>
      <c r="Z41" s="12">
        <v>119.01</v>
      </c>
      <c r="AA41" s="12">
        <v>120.07</v>
      </c>
      <c r="AB41" s="105">
        <v>5477300</v>
      </c>
      <c r="AC41" s="12">
        <v>120.07</v>
      </c>
      <c r="AD41" s="2">
        <f t="shared" si="1"/>
        <v>5.789999999999992</v>
      </c>
      <c r="AE41" s="148">
        <f t="shared" si="2"/>
        <v>8.3354171876304228E-4</v>
      </c>
    </row>
    <row r="42" spans="15:31" ht="15.75" thickTop="1" x14ac:dyDescent="0.25">
      <c r="O42" s="93">
        <v>1.1000000000000001</v>
      </c>
      <c r="P42" s="93">
        <f>O42*$Q$4</f>
        <v>163.49299999999999</v>
      </c>
      <c r="Q42" s="2"/>
      <c r="T42" s="145" t="s">
        <v>101</v>
      </c>
      <c r="U42" s="108">
        <v>148.13999999999999</v>
      </c>
      <c r="W42" s="143">
        <v>42384</v>
      </c>
      <c r="X42" s="12">
        <v>120.21</v>
      </c>
      <c r="Y42" s="12">
        <v>123.79</v>
      </c>
      <c r="Z42" s="12">
        <v>119.3</v>
      </c>
      <c r="AA42" s="12">
        <v>119.97</v>
      </c>
      <c r="AB42" s="105">
        <v>7591600</v>
      </c>
      <c r="AC42" s="12">
        <v>119.97</v>
      </c>
      <c r="AD42" s="2">
        <f t="shared" si="1"/>
        <v>4.4900000000000091</v>
      </c>
      <c r="AE42" s="148">
        <f t="shared" si="2"/>
        <v>-4.1696621135873468E-2</v>
      </c>
    </row>
    <row r="43" spans="15:31" x14ac:dyDescent="0.25">
      <c r="O43" s="93">
        <v>1.0900000000000001</v>
      </c>
      <c r="P43" s="93">
        <f t="shared" ref="P43:P62" si="5">O43*$Q$4</f>
        <v>162.0067</v>
      </c>
      <c r="Q43" s="2"/>
      <c r="T43" s="146" t="s">
        <v>102</v>
      </c>
      <c r="U43" s="98">
        <v>148.5</v>
      </c>
      <c r="W43" s="143">
        <v>42383</v>
      </c>
      <c r="X43" s="12">
        <v>124.19</v>
      </c>
      <c r="Y43" s="12">
        <v>126.68</v>
      </c>
      <c r="Z43" s="12">
        <v>120.29</v>
      </c>
      <c r="AA43" s="12">
        <v>125.19</v>
      </c>
      <c r="AB43" s="105">
        <v>6394200</v>
      </c>
      <c r="AC43" s="12">
        <v>125.19</v>
      </c>
      <c r="AD43" s="2">
        <f t="shared" si="1"/>
        <v>6.3900000000000006</v>
      </c>
      <c r="AE43" s="148">
        <f t="shared" si="2"/>
        <v>1.5246127645770713E-2</v>
      </c>
    </row>
    <row r="44" spans="15:31" x14ac:dyDescent="0.25">
      <c r="O44" s="93">
        <v>1.08</v>
      </c>
      <c r="P44" s="93">
        <f t="shared" si="5"/>
        <v>160.5204</v>
      </c>
      <c r="Q44" s="2"/>
      <c r="T44" s="146" t="s">
        <v>103</v>
      </c>
      <c r="U44" s="98" t="s">
        <v>348</v>
      </c>
      <c r="W44" s="143">
        <v>42382</v>
      </c>
      <c r="X44" s="12">
        <v>127.75</v>
      </c>
      <c r="Y44" s="12">
        <v>129.97999999999999</v>
      </c>
      <c r="Z44" s="12">
        <v>123.08</v>
      </c>
      <c r="AA44" s="12">
        <v>123.31</v>
      </c>
      <c r="AB44" s="105">
        <v>4847000</v>
      </c>
      <c r="AC44" s="12">
        <v>123.31</v>
      </c>
      <c r="AD44" s="2">
        <f t="shared" si="1"/>
        <v>6.8999999999999915</v>
      </c>
      <c r="AE44" s="148">
        <f t="shared" si="2"/>
        <v>-5.0877463054187055E-2</v>
      </c>
    </row>
    <row r="45" spans="15:31" x14ac:dyDescent="0.25">
      <c r="O45" s="93">
        <v>1.07</v>
      </c>
      <c r="P45" s="93">
        <f t="shared" si="5"/>
        <v>159.0341</v>
      </c>
      <c r="Q45" s="2"/>
      <c r="T45" s="146" t="s">
        <v>104</v>
      </c>
      <c r="U45" s="98" t="s">
        <v>349</v>
      </c>
      <c r="W45" s="143">
        <v>42381</v>
      </c>
      <c r="X45" s="12">
        <v>129.86000000000001</v>
      </c>
      <c r="Y45" s="12">
        <v>131.66999999999999</v>
      </c>
      <c r="Z45" s="12">
        <v>126.86</v>
      </c>
      <c r="AA45" s="12">
        <v>129.91999999999999</v>
      </c>
      <c r="AB45" s="105">
        <v>4111200</v>
      </c>
      <c r="AC45" s="12">
        <v>129.91999999999999</v>
      </c>
      <c r="AD45" s="2">
        <f t="shared" si="1"/>
        <v>4.8099999999999881</v>
      </c>
      <c r="AE45" s="148">
        <f t="shared" si="2"/>
        <v>1.4682911590128134E-2</v>
      </c>
    </row>
    <row r="46" spans="15:31" x14ac:dyDescent="0.25">
      <c r="O46" s="93">
        <v>1.06</v>
      </c>
      <c r="P46" s="93">
        <f t="shared" si="5"/>
        <v>157.5478</v>
      </c>
      <c r="Q46" s="2"/>
      <c r="T46" s="146" t="s">
        <v>105</v>
      </c>
      <c r="U46" s="98">
        <v>178.59</v>
      </c>
      <c r="W46" s="143">
        <v>42380</v>
      </c>
      <c r="X46" s="12">
        <v>129.5</v>
      </c>
      <c r="Y46" s="12">
        <v>129.97</v>
      </c>
      <c r="Z46" s="12">
        <v>125.42</v>
      </c>
      <c r="AA46" s="12">
        <v>128.04</v>
      </c>
      <c r="AB46" s="105">
        <v>3894100</v>
      </c>
      <c r="AC46" s="12">
        <v>128.04</v>
      </c>
      <c r="AD46" s="2">
        <f t="shared" si="1"/>
        <v>4.5499999999999972</v>
      </c>
      <c r="AE46" s="148">
        <f t="shared" si="2"/>
        <v>-1.2480499219968966E-3</v>
      </c>
    </row>
    <row r="47" spans="15:31" x14ac:dyDescent="0.25">
      <c r="O47" s="93">
        <v>1.05</v>
      </c>
      <c r="P47" s="93">
        <f t="shared" si="5"/>
        <v>156.0615</v>
      </c>
      <c r="Q47" s="2"/>
      <c r="T47" s="146" t="s">
        <v>106</v>
      </c>
      <c r="U47" s="98">
        <v>0.90342199999999995</v>
      </c>
      <c r="W47" s="143">
        <v>42377</v>
      </c>
      <c r="X47" s="12">
        <v>130.03</v>
      </c>
      <c r="Y47" s="12">
        <v>133.46</v>
      </c>
      <c r="Z47" s="12">
        <v>128.06</v>
      </c>
      <c r="AA47" s="12">
        <v>128.19999999999999</v>
      </c>
      <c r="AB47" s="105">
        <v>6464100</v>
      </c>
      <c r="AC47" s="12">
        <v>128.19999999999999</v>
      </c>
      <c r="AD47" s="2">
        <f t="shared" si="1"/>
        <v>5.4000000000000057</v>
      </c>
      <c r="AE47" s="148">
        <f t="shared" si="2"/>
        <v>-6.5865943432780183E-3</v>
      </c>
    </row>
    <row r="48" spans="15:31" x14ac:dyDescent="0.25">
      <c r="O48" s="93">
        <v>1.04</v>
      </c>
      <c r="P48" s="93">
        <f t="shared" si="5"/>
        <v>154.5752</v>
      </c>
      <c r="Q48" s="2"/>
      <c r="T48" s="146" t="s">
        <v>107</v>
      </c>
      <c r="U48" s="98" t="s">
        <v>134</v>
      </c>
      <c r="W48" s="143">
        <v>42376</v>
      </c>
      <c r="X48" s="12">
        <v>131.31</v>
      </c>
      <c r="Y48" s="12">
        <v>133.77000000000001</v>
      </c>
      <c r="Z48" s="12">
        <v>128.19</v>
      </c>
      <c r="AA48" s="12">
        <v>129.05000000000001</v>
      </c>
      <c r="AB48" s="105">
        <v>5005600</v>
      </c>
      <c r="AC48" s="12">
        <v>129.05000000000001</v>
      </c>
      <c r="AD48" s="2">
        <f t="shared" si="1"/>
        <v>5.5800000000000125</v>
      </c>
      <c r="AE48" s="148">
        <f t="shared" si="2"/>
        <v>-3.1810338359966828E-2</v>
      </c>
    </row>
    <row r="49" spans="15:31" x14ac:dyDescent="0.25">
      <c r="O49" s="93">
        <v>1.03</v>
      </c>
      <c r="P49" s="93">
        <f t="shared" si="5"/>
        <v>153.0889</v>
      </c>
      <c r="Q49" s="2"/>
      <c r="T49" s="146"/>
      <c r="U49" s="98"/>
      <c r="W49" s="143">
        <v>42375</v>
      </c>
      <c r="X49" s="12">
        <v>134.57</v>
      </c>
      <c r="Y49" s="12">
        <v>136.06</v>
      </c>
      <c r="Z49" s="12">
        <v>132.28</v>
      </c>
      <c r="AA49" s="12">
        <v>133.29</v>
      </c>
      <c r="AB49" s="105">
        <v>5082400</v>
      </c>
      <c r="AC49" s="12">
        <v>133.29</v>
      </c>
      <c r="AD49" s="2">
        <f t="shared" si="1"/>
        <v>3.7800000000000011</v>
      </c>
      <c r="AE49" s="148">
        <f t="shared" si="2"/>
        <v>-3.0759162303665044E-2</v>
      </c>
    </row>
    <row r="50" spans="15:31" x14ac:dyDescent="0.25">
      <c r="O50" s="93">
        <v>1.02</v>
      </c>
      <c r="P50" s="93">
        <f t="shared" si="5"/>
        <v>151.6026</v>
      </c>
      <c r="Q50" s="2"/>
      <c r="T50" s="146" t="s">
        <v>108</v>
      </c>
      <c r="U50" s="98" t="s">
        <v>350</v>
      </c>
      <c r="W50" s="143">
        <v>42374</v>
      </c>
      <c r="X50" s="12">
        <v>143.13999999999999</v>
      </c>
      <c r="Y50" s="12">
        <v>143.30000000000001</v>
      </c>
      <c r="Z50" s="12">
        <v>137.21</v>
      </c>
      <c r="AA50" s="12">
        <v>137.52000000000001</v>
      </c>
      <c r="AB50" s="105">
        <v>3817300</v>
      </c>
      <c r="AC50" s="12">
        <v>137.52000000000001</v>
      </c>
      <c r="AD50" s="2">
        <f t="shared" si="1"/>
        <v>6.0900000000000034</v>
      </c>
      <c r="AE50" s="148">
        <f t="shared" si="2"/>
        <v>-3.3455158841720456E-2</v>
      </c>
    </row>
    <row r="51" spans="15:31" x14ac:dyDescent="0.25">
      <c r="O51" s="93">
        <v>1.01</v>
      </c>
      <c r="P51" s="93">
        <f t="shared" si="5"/>
        <v>150.1163</v>
      </c>
      <c r="Q51" s="2"/>
      <c r="T51" s="146" t="s">
        <v>109</v>
      </c>
      <c r="U51" s="98" t="s">
        <v>227</v>
      </c>
      <c r="W51" s="143">
        <v>42373</v>
      </c>
      <c r="X51" s="12">
        <v>142.07</v>
      </c>
      <c r="Y51" s="12">
        <v>142.35</v>
      </c>
      <c r="Z51" s="12">
        <v>139.88</v>
      </c>
      <c r="AA51" s="12">
        <v>142.28</v>
      </c>
      <c r="AB51" s="105">
        <v>3097000</v>
      </c>
      <c r="AC51" s="12">
        <v>142.28</v>
      </c>
      <c r="AD51" s="2">
        <f t="shared" si="1"/>
        <v>2.4699999999999989</v>
      </c>
      <c r="AE51" s="148">
        <f t="shared" si="2"/>
        <v>-1.9772648983809926E-2</v>
      </c>
    </row>
    <row r="52" spans="15:31" x14ac:dyDescent="0.25">
      <c r="O52" s="93">
        <v>1</v>
      </c>
      <c r="P52" s="93">
        <f t="shared" si="5"/>
        <v>148.63</v>
      </c>
      <c r="Q52" s="2"/>
      <c r="T52" s="146" t="s">
        <v>110</v>
      </c>
      <c r="U52" s="100">
        <v>3089141</v>
      </c>
      <c r="W52" s="143">
        <v>42369</v>
      </c>
      <c r="X52" s="12">
        <v>146.58000000000001</v>
      </c>
      <c r="Y52" s="12">
        <v>147.5</v>
      </c>
      <c r="Z52" s="12">
        <v>145.12</v>
      </c>
      <c r="AA52" s="12">
        <v>145.15</v>
      </c>
      <c r="AB52" s="105">
        <v>1967300</v>
      </c>
      <c r="AC52" s="12">
        <v>145.15</v>
      </c>
      <c r="AD52" s="2">
        <f t="shared" si="1"/>
        <v>2.3799999999999955</v>
      </c>
      <c r="AE52" s="148">
        <f t="shared" si="2"/>
        <v>-1.5064124312953786E-2</v>
      </c>
    </row>
    <row r="53" spans="15:31" x14ac:dyDescent="0.25">
      <c r="O53" s="93">
        <v>0.99</v>
      </c>
      <c r="P53" s="93">
        <f t="shared" si="5"/>
        <v>147.1437</v>
      </c>
      <c r="Q53" s="2"/>
      <c r="T53" s="146" t="s">
        <v>113</v>
      </c>
      <c r="U53" s="100">
        <v>4862280</v>
      </c>
      <c r="W53" s="143">
        <v>42368</v>
      </c>
      <c r="X53" s="12">
        <v>147.51</v>
      </c>
      <c r="Y53" s="12">
        <v>148.88999999999999</v>
      </c>
      <c r="Z53" s="12">
        <v>147.12</v>
      </c>
      <c r="AA53" s="12">
        <v>147.37</v>
      </c>
      <c r="AB53" s="105">
        <v>1739600</v>
      </c>
      <c r="AC53" s="12">
        <v>147.37</v>
      </c>
      <c r="AD53" s="2">
        <f t="shared" si="1"/>
        <v>1.7699999999999818</v>
      </c>
      <c r="AE53" s="148">
        <f t="shared" si="2"/>
        <v>-3.8529133432472218E-3</v>
      </c>
    </row>
    <row r="54" spans="15:31" x14ac:dyDescent="0.25">
      <c r="O54" s="93">
        <v>0.98</v>
      </c>
      <c r="P54" s="93">
        <f t="shared" si="5"/>
        <v>145.6574</v>
      </c>
      <c r="Q54" s="2"/>
      <c r="T54" s="146" t="s">
        <v>111</v>
      </c>
      <c r="U54" s="98" t="s">
        <v>351</v>
      </c>
      <c r="W54" s="143">
        <v>42367</v>
      </c>
      <c r="X54" s="12">
        <v>147</v>
      </c>
      <c r="Y54" s="12">
        <v>148.78</v>
      </c>
      <c r="Z54" s="12">
        <v>145.01</v>
      </c>
      <c r="AA54" s="12">
        <v>147.94</v>
      </c>
      <c r="AB54" s="105">
        <v>2253300</v>
      </c>
      <c r="AC54" s="12">
        <v>147.94</v>
      </c>
      <c r="AD54" s="2">
        <f t="shared" si="1"/>
        <v>3.7700000000000102</v>
      </c>
      <c r="AE54" s="148">
        <f t="shared" si="2"/>
        <v>1.0864366245302293E-2</v>
      </c>
    </row>
    <row r="55" spans="15:31" x14ac:dyDescent="0.25">
      <c r="O55" s="93">
        <v>0.97</v>
      </c>
      <c r="P55" s="93">
        <f t="shared" si="5"/>
        <v>144.1711</v>
      </c>
      <c r="T55" s="146" t="s">
        <v>114</v>
      </c>
      <c r="U55" s="98">
        <v>30.59</v>
      </c>
      <c r="W55" s="143">
        <v>42366</v>
      </c>
      <c r="X55" s="12">
        <v>145.9</v>
      </c>
      <c r="Y55" s="12">
        <v>146.4</v>
      </c>
      <c r="Z55" s="12">
        <v>143.93</v>
      </c>
      <c r="AA55" s="12">
        <v>146.35</v>
      </c>
      <c r="AB55" s="105">
        <v>1387300</v>
      </c>
      <c r="AC55" s="12">
        <v>146.35</v>
      </c>
      <c r="AD55" s="2">
        <f t="shared" si="1"/>
        <v>2.4699999999999989</v>
      </c>
      <c r="AE55" s="148">
        <f t="shared" si="2"/>
        <v>2.0503007107719462E-4</v>
      </c>
    </row>
    <row r="56" spans="15:31" x14ac:dyDescent="0.25">
      <c r="O56" s="93">
        <v>0.96</v>
      </c>
      <c r="P56" s="93">
        <f t="shared" si="5"/>
        <v>142.6848</v>
      </c>
      <c r="T56" s="146" t="s">
        <v>115</v>
      </c>
      <c r="U56" s="98">
        <v>4.8499999999999996</v>
      </c>
      <c r="W56" s="143">
        <v>42362</v>
      </c>
      <c r="X56" s="12">
        <v>146.41</v>
      </c>
      <c r="Y56" s="12">
        <v>147.29</v>
      </c>
      <c r="Z56" s="12">
        <v>145.72</v>
      </c>
      <c r="AA56" s="12">
        <v>146.32</v>
      </c>
      <c r="AB56" s="105">
        <v>743600</v>
      </c>
      <c r="AC56" s="12">
        <v>146.32</v>
      </c>
      <c r="AD56" s="2">
        <f t="shared" si="1"/>
        <v>1.5699999999999932</v>
      </c>
      <c r="AE56" s="148">
        <f t="shared" si="2"/>
        <v>-1.29683980615658E-3</v>
      </c>
    </row>
    <row r="57" spans="15:31" x14ac:dyDescent="0.25">
      <c r="O57" s="93">
        <v>0.95</v>
      </c>
      <c r="P57" s="93">
        <f t="shared" si="5"/>
        <v>141.1985</v>
      </c>
      <c r="T57" s="146" t="s">
        <v>112</v>
      </c>
      <c r="U57" s="98" t="s">
        <v>352</v>
      </c>
      <c r="W57" s="143">
        <v>42361</v>
      </c>
      <c r="X57" s="12">
        <v>146.02000000000001</v>
      </c>
      <c r="Y57" s="12">
        <v>146.66</v>
      </c>
      <c r="Z57" s="12">
        <v>144.38999999999999</v>
      </c>
      <c r="AA57" s="12">
        <v>146.51</v>
      </c>
      <c r="AB57" s="105">
        <v>1617000</v>
      </c>
      <c r="AC57" s="12">
        <v>146.51</v>
      </c>
      <c r="AD57" s="2">
        <f t="shared" si="1"/>
        <v>2.2700000000000102</v>
      </c>
      <c r="AE57" s="148">
        <f t="shared" si="2"/>
        <v>9.7174362508614109E-3</v>
      </c>
    </row>
    <row r="58" spans="15:31" x14ac:dyDescent="0.25">
      <c r="O58" s="93">
        <v>0.94</v>
      </c>
      <c r="P58" s="93">
        <f t="shared" si="5"/>
        <v>139.7122</v>
      </c>
      <c r="W58" s="143">
        <v>42360</v>
      </c>
      <c r="X58" s="12">
        <v>147.22999999999999</v>
      </c>
      <c r="Y58" s="12">
        <v>147.22999999999999</v>
      </c>
      <c r="Z58" s="12">
        <v>142.76</v>
      </c>
      <c r="AA58" s="12">
        <v>145.1</v>
      </c>
      <c r="AB58" s="105">
        <v>2168400</v>
      </c>
      <c r="AC58" s="12">
        <v>145.1</v>
      </c>
      <c r="AD58" s="2">
        <f t="shared" si="1"/>
        <v>4.4699999999999989</v>
      </c>
      <c r="AE58" s="148">
        <f t="shared" si="2"/>
        <v>-4.8010973936900569E-3</v>
      </c>
    </row>
    <row r="59" spans="15:31" x14ac:dyDescent="0.25">
      <c r="O59" s="93">
        <v>0.93</v>
      </c>
      <c r="P59" s="93">
        <f t="shared" si="5"/>
        <v>138.2259</v>
      </c>
      <c r="W59" s="143">
        <v>42359</v>
      </c>
      <c r="X59" s="12">
        <v>143.1</v>
      </c>
      <c r="Y59" s="12">
        <v>146</v>
      </c>
      <c r="Z59" s="12">
        <v>141.86000000000001</v>
      </c>
      <c r="AA59" s="12">
        <v>145.80000000000001</v>
      </c>
      <c r="AB59" s="105">
        <v>2662700</v>
      </c>
      <c r="AC59" s="12">
        <v>145.80000000000001</v>
      </c>
      <c r="AD59" s="2">
        <f t="shared" si="1"/>
        <v>4.1399999999999864</v>
      </c>
      <c r="AE59" s="148">
        <f t="shared" si="2"/>
        <v>3.9942938659058624E-2</v>
      </c>
    </row>
    <row r="60" spans="15:31" x14ac:dyDescent="0.25">
      <c r="O60" s="93">
        <v>0.92</v>
      </c>
      <c r="P60" s="93">
        <f t="shared" si="5"/>
        <v>136.7396</v>
      </c>
      <c r="W60" s="143">
        <v>42356</v>
      </c>
      <c r="X60" s="12">
        <v>140.22999999999999</v>
      </c>
      <c r="Y60" s="12">
        <v>141.91</v>
      </c>
      <c r="Z60" s="12">
        <v>138.55000000000001</v>
      </c>
      <c r="AA60" s="12">
        <v>140.19999999999999</v>
      </c>
      <c r="AB60" s="105">
        <v>5196400</v>
      </c>
      <c r="AC60" s="12">
        <v>140.19999999999999</v>
      </c>
      <c r="AD60" s="2">
        <f t="shared" si="1"/>
        <v>3.3599999999999852</v>
      </c>
      <c r="AE60" s="148">
        <f t="shared" si="2"/>
        <v>-1.9931662870159572E-3</v>
      </c>
    </row>
    <row r="61" spans="15:31" x14ac:dyDescent="0.25">
      <c r="O61" s="93">
        <v>0.91</v>
      </c>
      <c r="P61" s="93">
        <f t="shared" si="5"/>
        <v>135.2533</v>
      </c>
      <c r="W61" s="143">
        <v>42355</v>
      </c>
      <c r="X61" s="12">
        <v>144.93</v>
      </c>
      <c r="Y61" s="12">
        <v>145.5</v>
      </c>
      <c r="Z61" s="12">
        <v>140.41</v>
      </c>
      <c r="AA61" s="12">
        <v>140.47999999999999</v>
      </c>
      <c r="AB61" s="105">
        <v>2437800</v>
      </c>
      <c r="AC61" s="12">
        <v>140.47999999999999</v>
      </c>
      <c r="AD61" s="2">
        <f t="shared" si="1"/>
        <v>5.0900000000000034</v>
      </c>
      <c r="AE61" s="148">
        <f t="shared" si="2"/>
        <v>-2.3630803447317272E-2</v>
      </c>
    </row>
    <row r="62" spans="15:31" x14ac:dyDescent="0.25">
      <c r="O62" s="93">
        <v>0.9</v>
      </c>
      <c r="P62" s="93">
        <f t="shared" si="5"/>
        <v>133.767</v>
      </c>
      <c r="W62" s="143">
        <v>42354</v>
      </c>
      <c r="X62" s="12">
        <v>143.16999999999999</v>
      </c>
      <c r="Y62" s="12">
        <v>144.28</v>
      </c>
      <c r="Z62" s="12">
        <v>140.4</v>
      </c>
      <c r="AA62" s="12">
        <v>143.88</v>
      </c>
      <c r="AB62" s="105">
        <v>2964400</v>
      </c>
      <c r="AC62" s="12">
        <v>143.88</v>
      </c>
      <c r="AD62" s="2">
        <f t="shared" si="1"/>
        <v>3.8799999999999955</v>
      </c>
      <c r="AE62" s="148" t="e">
        <f t="shared" si="2"/>
        <v>#DIV/0!</v>
      </c>
    </row>
    <row r="63" spans="15:31" x14ac:dyDescent="0.25">
      <c r="W63" s="143">
        <v>42354</v>
      </c>
      <c r="X63" s="12" t="s">
        <v>214</v>
      </c>
      <c r="Y63" s="12"/>
      <c r="Z63" s="12"/>
      <c r="AA63" s="12"/>
      <c r="AB63" s="105"/>
      <c r="AC63" s="12"/>
      <c r="AD63" s="2">
        <f t="shared" si="1"/>
        <v>0</v>
      </c>
      <c r="AE63" s="148">
        <f t="shared" si="2"/>
        <v>-1</v>
      </c>
    </row>
    <row r="64" spans="15:31" x14ac:dyDescent="0.25">
      <c r="W64" s="143">
        <v>42353</v>
      </c>
      <c r="X64" s="12">
        <v>142.68</v>
      </c>
      <c r="Y64" s="12">
        <v>144.22999999999999</v>
      </c>
      <c r="Z64" s="12">
        <v>141.31</v>
      </c>
      <c r="AA64" s="12">
        <v>143.27000000000001</v>
      </c>
      <c r="AB64" s="105">
        <v>3525000</v>
      </c>
      <c r="AC64" s="12">
        <v>142.83000000000001</v>
      </c>
      <c r="AD64" s="2">
        <f t="shared" si="1"/>
        <v>2.9199999999999875</v>
      </c>
      <c r="AE64" s="148">
        <f t="shared" si="2"/>
        <v>5.3494756106147179E-3</v>
      </c>
    </row>
    <row r="65" spans="23:31" x14ac:dyDescent="0.25">
      <c r="W65" s="143">
        <v>42352</v>
      </c>
      <c r="X65" s="12">
        <v>144.13999999999999</v>
      </c>
      <c r="Y65" s="12">
        <v>145.36000000000001</v>
      </c>
      <c r="Z65" s="12">
        <v>141.24</v>
      </c>
      <c r="AA65" s="12">
        <v>142.51</v>
      </c>
      <c r="AB65" s="105">
        <v>3699300</v>
      </c>
      <c r="AC65" s="12">
        <v>142.07</v>
      </c>
      <c r="AD65" s="2">
        <f t="shared" si="1"/>
        <v>4.1200000000000045</v>
      </c>
      <c r="AE65" s="148">
        <f t="shared" si="2"/>
        <v>-1.3265731351576604E-2</v>
      </c>
    </row>
    <row r="66" spans="23:31" x14ac:dyDescent="0.25">
      <c r="W66" s="143">
        <v>42349</v>
      </c>
      <c r="X66" s="12">
        <v>144.62</v>
      </c>
      <c r="Y66" s="12">
        <v>147.72</v>
      </c>
      <c r="Z66" s="12">
        <v>144.30000000000001</v>
      </c>
      <c r="AA66" s="12">
        <v>144.41999999999999</v>
      </c>
      <c r="AB66" s="105">
        <v>2777700</v>
      </c>
      <c r="AC66" s="12">
        <v>143.97999999999999</v>
      </c>
      <c r="AD66" s="2">
        <f t="shared" si="1"/>
        <v>3.4199999999999875</v>
      </c>
      <c r="AE66" s="148">
        <f t="shared" si="2"/>
        <v>-1.9744008714597028E-2</v>
      </c>
    </row>
    <row r="67" spans="23:31" x14ac:dyDescent="0.25">
      <c r="W67" s="143">
        <v>42348</v>
      </c>
      <c r="X67" s="12">
        <v>146.11000000000001</v>
      </c>
      <c r="Y67" s="12">
        <v>149.44</v>
      </c>
      <c r="Z67" s="12">
        <v>145.19</v>
      </c>
      <c r="AA67" s="12">
        <v>147.33000000000001</v>
      </c>
      <c r="AB67" s="105">
        <v>3307800</v>
      </c>
      <c r="AC67" s="12">
        <v>146.88</v>
      </c>
      <c r="AD67" s="2">
        <f t="shared" ref="AD67:AD68" si="6">Y67-Z67</f>
        <v>4.25</v>
      </c>
      <c r="AE67" s="148">
        <f t="shared" ref="AE67" si="7">AC67/AC68-1</f>
        <v>1.1570247933884392E-2</v>
      </c>
    </row>
    <row r="68" spans="23:31" x14ac:dyDescent="0.25">
      <c r="W68" s="143">
        <v>42347</v>
      </c>
      <c r="X68" s="12">
        <v>147.13999999999999</v>
      </c>
      <c r="Y68" s="12">
        <v>148</v>
      </c>
      <c r="Z68" s="12">
        <v>144.41999999999999</v>
      </c>
      <c r="AA68" s="12">
        <v>145.65</v>
      </c>
      <c r="AB68" s="105">
        <v>3080300</v>
      </c>
      <c r="AC68" s="12">
        <v>145.19999999999999</v>
      </c>
      <c r="AD68" s="2">
        <f t="shared" si="6"/>
        <v>3.5800000000000125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42444</v>
      </c>
      <c r="X2" s="12">
        <v>47.82</v>
      </c>
      <c r="Y2" s="12">
        <v>47.94</v>
      </c>
      <c r="Z2" s="12">
        <v>47.43</v>
      </c>
      <c r="AA2" s="12">
        <v>47.76</v>
      </c>
      <c r="AB2" s="105">
        <v>4749800</v>
      </c>
      <c r="AC2" s="12">
        <v>47.76</v>
      </c>
      <c r="AD2" s="2">
        <f>Y2-Z2</f>
        <v>0.50999999999999801</v>
      </c>
      <c r="AE2" s="148">
        <f>AC2/AC3-1</f>
        <v>-2.7145541866778755E-3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48.77</v>
      </c>
      <c r="T3" s="1"/>
      <c r="W3" s="143">
        <v>42443</v>
      </c>
      <c r="X3" s="12">
        <v>47.5</v>
      </c>
      <c r="Y3" s="12">
        <v>48.24</v>
      </c>
      <c r="Z3" s="12">
        <v>47.32</v>
      </c>
      <c r="AA3" s="12">
        <v>47.89</v>
      </c>
      <c r="AB3" s="105">
        <v>5751700</v>
      </c>
      <c r="AC3" s="12">
        <v>47.89</v>
      </c>
      <c r="AD3" s="2">
        <f t="shared" ref="AD3:AD66" si="0">Y3-Z3</f>
        <v>0.92000000000000171</v>
      </c>
      <c r="AE3" s="148">
        <f t="shared" ref="AE3:AE66" si="1">AC3/AC4-1</f>
        <v>4.1937513105474444E-3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48.77</v>
      </c>
      <c r="T4" s="173"/>
      <c r="W4" s="143">
        <v>42440</v>
      </c>
      <c r="X4" s="12">
        <v>47.47</v>
      </c>
      <c r="Y4" s="12">
        <v>48.07</v>
      </c>
      <c r="Z4" s="12">
        <v>47.28</v>
      </c>
      <c r="AA4" s="12">
        <v>47.69</v>
      </c>
      <c r="AB4" s="105">
        <v>6630100</v>
      </c>
      <c r="AC4" s="12">
        <v>47.69</v>
      </c>
      <c r="AD4" s="2">
        <f t="shared" si="0"/>
        <v>0.78999999999999915</v>
      </c>
      <c r="AE4" s="148">
        <f t="shared" si="1"/>
        <v>1.4680851063829659E-2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42439</v>
      </c>
      <c r="X5" s="12">
        <v>47</v>
      </c>
      <c r="Y5" s="12">
        <v>47.49</v>
      </c>
      <c r="Z5" s="12">
        <v>46.28</v>
      </c>
      <c r="AA5" s="12">
        <v>47</v>
      </c>
      <c r="AB5" s="105">
        <v>8293400</v>
      </c>
      <c r="AC5" s="12">
        <v>47</v>
      </c>
      <c r="AD5" s="2">
        <f t="shared" si="0"/>
        <v>1.2100000000000009</v>
      </c>
      <c r="AE5" s="148">
        <f t="shared" si="1"/>
        <v>5.5626872058194277E-3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42438</v>
      </c>
      <c r="X6" s="12">
        <v>46.31</v>
      </c>
      <c r="Y6" s="12">
        <v>46.94</v>
      </c>
      <c r="Z6" s="12">
        <v>46.22</v>
      </c>
      <c r="AA6" s="12">
        <v>46.74</v>
      </c>
      <c r="AB6" s="105">
        <v>8448900</v>
      </c>
      <c r="AC6" s="12">
        <v>46.74</v>
      </c>
      <c r="AD6" s="2">
        <f t="shared" si="0"/>
        <v>0.71999999999999886</v>
      </c>
      <c r="AE6" s="148">
        <f t="shared" si="1"/>
        <v>1.1250540891388994E-2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42437</v>
      </c>
      <c r="X7" s="12">
        <v>46.71</v>
      </c>
      <c r="Y7" s="12">
        <v>47.1</v>
      </c>
      <c r="Z7" s="12">
        <v>46.01</v>
      </c>
      <c r="AA7" s="12">
        <v>46.22</v>
      </c>
      <c r="AB7" s="105">
        <v>13501300</v>
      </c>
      <c r="AC7" s="12">
        <v>46.22</v>
      </c>
      <c r="AD7" s="2">
        <f t="shared" si="0"/>
        <v>1.0900000000000034</v>
      </c>
      <c r="AE7" s="148">
        <f t="shared" si="1"/>
        <v>-4.484397602810497E-2</v>
      </c>
    </row>
    <row r="8" spans="1:31" x14ac:dyDescent="0.25">
      <c r="O8" s="13" t="s">
        <v>90</v>
      </c>
      <c r="Q8" s="148">
        <f>(Q4-Q3)/Q3</f>
        <v>0</v>
      </c>
      <c r="W8" s="143">
        <v>42436</v>
      </c>
      <c r="X8" s="12">
        <v>48.24</v>
      </c>
      <c r="Y8" s="12">
        <v>48.48</v>
      </c>
      <c r="Z8" s="12">
        <v>47.85</v>
      </c>
      <c r="AA8" s="12">
        <v>48.39</v>
      </c>
      <c r="AB8" s="105">
        <v>7922300</v>
      </c>
      <c r="AC8" s="12">
        <v>48.39</v>
      </c>
      <c r="AD8" s="2">
        <f t="shared" si="0"/>
        <v>0.62999999999999545</v>
      </c>
      <c r="AE8" s="148">
        <f t="shared" si="1"/>
        <v>-5.7530306143415144E-3</v>
      </c>
    </row>
    <row r="9" spans="1:31" x14ac:dyDescent="0.25">
      <c r="W9" s="143">
        <v>42433</v>
      </c>
      <c r="X9" s="12">
        <v>49.06</v>
      </c>
      <c r="Y9" s="12">
        <v>49.1</v>
      </c>
      <c r="Z9" s="12">
        <v>48.47</v>
      </c>
      <c r="AA9" s="12">
        <v>48.67</v>
      </c>
      <c r="AB9" s="105">
        <v>8512300</v>
      </c>
      <c r="AC9" s="12">
        <v>48.67</v>
      </c>
      <c r="AD9" s="2">
        <f t="shared" si="0"/>
        <v>0.63000000000000256</v>
      </c>
      <c r="AE9" s="148">
        <f t="shared" si="1"/>
        <v>-2.4595203935232623E-3</v>
      </c>
    </row>
    <row r="10" spans="1:31" x14ac:dyDescent="0.25">
      <c r="W10" s="143">
        <v>42432</v>
      </c>
      <c r="X10" s="12">
        <v>48.59</v>
      </c>
      <c r="Y10" s="12">
        <v>49.01</v>
      </c>
      <c r="Z10" s="12">
        <v>48.35</v>
      </c>
      <c r="AA10" s="12">
        <v>48.79</v>
      </c>
      <c r="AB10" s="105">
        <v>8835200</v>
      </c>
      <c r="AC10" s="12">
        <v>48.79</v>
      </c>
      <c r="AD10" s="2">
        <f t="shared" si="0"/>
        <v>0.65999999999999659</v>
      </c>
      <c r="AE10" s="148">
        <f t="shared" si="1"/>
        <v>4.9433573635426775E-3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42431</v>
      </c>
      <c r="X11" s="12">
        <v>48.1</v>
      </c>
      <c r="Y11" s="12">
        <v>48.58</v>
      </c>
      <c r="Z11" s="12">
        <v>47.61</v>
      </c>
      <c r="AA11" s="12">
        <v>48.55</v>
      </c>
      <c r="AB11" s="105">
        <v>8922500</v>
      </c>
      <c r="AC11" s="12">
        <v>48.55</v>
      </c>
      <c r="AD11" s="2">
        <f t="shared" si="0"/>
        <v>0.96999999999999886</v>
      </c>
      <c r="AE11" s="148">
        <f t="shared" si="1"/>
        <v>-7.1574642126789323E-3</v>
      </c>
    </row>
    <row r="12" spans="1:31" x14ac:dyDescent="0.25">
      <c r="W12" s="143">
        <v>42430</v>
      </c>
      <c r="X12" s="12">
        <v>48.73</v>
      </c>
      <c r="Y12" s="12">
        <v>49.25</v>
      </c>
      <c r="Z12" s="12">
        <v>48.42</v>
      </c>
      <c r="AA12" s="12">
        <v>48.9</v>
      </c>
      <c r="AB12" s="105">
        <v>7845300</v>
      </c>
      <c r="AC12" s="12">
        <v>48.9</v>
      </c>
      <c r="AD12" s="2">
        <f t="shared" si="0"/>
        <v>0.82999999999999829</v>
      </c>
      <c r="AE12" s="148">
        <f t="shared" si="1"/>
        <v>1.3681592039801016E-2</v>
      </c>
    </row>
    <row r="13" spans="1:31" x14ac:dyDescent="0.25">
      <c r="W13" s="143">
        <v>42429</v>
      </c>
      <c r="X13" s="12">
        <v>47.75</v>
      </c>
      <c r="Y13" s="12">
        <v>48.8</v>
      </c>
      <c r="Z13" s="12">
        <v>47.4</v>
      </c>
      <c r="AA13" s="12">
        <v>48.24</v>
      </c>
      <c r="AB13" s="105">
        <v>7907200</v>
      </c>
      <c r="AC13" s="12">
        <v>48.24</v>
      </c>
      <c r="AD13" s="2">
        <f t="shared" si="0"/>
        <v>1.3999999999999986</v>
      </c>
      <c r="AE13" s="148">
        <f t="shared" si="1"/>
        <v>7.9398244880903857E-3</v>
      </c>
    </row>
    <row r="14" spans="1:31" x14ac:dyDescent="0.25">
      <c r="W14" s="143">
        <v>42426</v>
      </c>
      <c r="X14" s="12">
        <v>49.35</v>
      </c>
      <c r="Y14" s="12">
        <v>49.45</v>
      </c>
      <c r="Z14" s="12">
        <v>47.7</v>
      </c>
      <c r="AA14" s="12">
        <v>47.86</v>
      </c>
      <c r="AB14" s="105">
        <v>12275400</v>
      </c>
      <c r="AC14" s="12">
        <v>47.86</v>
      </c>
      <c r="AD14" s="2">
        <f t="shared" si="0"/>
        <v>1.75</v>
      </c>
      <c r="AE14" s="148">
        <f t="shared" si="1"/>
        <v>-2.7235772357723675E-2</v>
      </c>
    </row>
    <row r="15" spans="1:31" x14ac:dyDescent="0.25">
      <c r="W15" s="143">
        <v>42425</v>
      </c>
      <c r="X15" s="12">
        <v>49.08</v>
      </c>
      <c r="Y15" s="12">
        <v>49.45</v>
      </c>
      <c r="Z15" s="12">
        <v>48.67</v>
      </c>
      <c r="AA15" s="12">
        <v>49.2</v>
      </c>
      <c r="AB15" s="105">
        <v>7523200</v>
      </c>
      <c r="AC15" s="12">
        <v>49.2</v>
      </c>
      <c r="AD15" s="2">
        <f t="shared" si="0"/>
        <v>0.78000000000000114</v>
      </c>
      <c r="AE15" s="148">
        <f t="shared" si="1"/>
        <v>5.312627707396933E-3</v>
      </c>
    </row>
    <row r="16" spans="1:31" x14ac:dyDescent="0.25">
      <c r="W16" s="143">
        <v>42424</v>
      </c>
      <c r="X16" s="12">
        <v>48.45</v>
      </c>
      <c r="Y16" s="12">
        <v>49.05</v>
      </c>
      <c r="Z16" s="12">
        <v>47.79</v>
      </c>
      <c r="AA16" s="12">
        <v>48.94</v>
      </c>
      <c r="AB16" s="105">
        <v>9035600</v>
      </c>
      <c r="AC16" s="12">
        <v>48.94</v>
      </c>
      <c r="AD16" s="2">
        <f t="shared" si="0"/>
        <v>1.259999999999998</v>
      </c>
      <c r="AE16" s="148">
        <f t="shared" si="1"/>
        <v>-2.0429009193068115E-4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183</v>
      </c>
      <c r="W17" s="143">
        <v>42423</v>
      </c>
      <c r="X17" s="12">
        <v>48.47</v>
      </c>
      <c r="Y17" s="12">
        <v>49.45</v>
      </c>
      <c r="Z17" s="12">
        <v>48.45</v>
      </c>
      <c r="AA17" s="12">
        <v>48.95</v>
      </c>
      <c r="AB17" s="105">
        <v>9388000</v>
      </c>
      <c r="AC17" s="12">
        <v>48.95</v>
      </c>
      <c r="AD17" s="2">
        <f t="shared" si="0"/>
        <v>1</v>
      </c>
      <c r="AE17" s="148">
        <f t="shared" si="1"/>
        <v>2.6628430970914163E-3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42422</v>
      </c>
      <c r="X18" s="12">
        <v>46.72</v>
      </c>
      <c r="Y18" s="12">
        <v>48.91</v>
      </c>
      <c r="Z18" s="12">
        <v>46.72</v>
      </c>
      <c r="AA18" s="12">
        <v>48.82</v>
      </c>
      <c r="AB18" s="105">
        <v>12741900</v>
      </c>
      <c r="AC18" s="12">
        <v>48.82</v>
      </c>
      <c r="AD18" s="2">
        <f t="shared" si="0"/>
        <v>2.1899999999999977</v>
      </c>
      <c r="AE18" s="148">
        <f t="shared" si="1"/>
        <v>4.4948630136986356E-2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42419</v>
      </c>
      <c r="X19" s="12">
        <v>46.46</v>
      </c>
      <c r="Y19" s="12">
        <v>47.15</v>
      </c>
      <c r="Z19" s="12">
        <v>46.24</v>
      </c>
      <c r="AA19" s="12">
        <v>46.72</v>
      </c>
      <c r="AB19" s="105">
        <v>10572300</v>
      </c>
      <c r="AC19" s="12">
        <v>46.72</v>
      </c>
      <c r="AD19" s="2">
        <f t="shared" si="0"/>
        <v>0.90999999999999659</v>
      </c>
      <c r="AE19" s="148">
        <f t="shared" si="1"/>
        <v>5.5962117950925094E-3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42418</v>
      </c>
      <c r="X20" s="12">
        <v>46.4</v>
      </c>
      <c r="Y20" s="12">
        <v>46.68</v>
      </c>
      <c r="Z20" s="12">
        <v>45.98</v>
      </c>
      <c r="AA20" s="12">
        <v>46.46</v>
      </c>
      <c r="AB20" s="105">
        <v>10915500</v>
      </c>
      <c r="AC20" s="12">
        <v>46.46</v>
      </c>
      <c r="AD20" s="2">
        <f t="shared" si="0"/>
        <v>0.70000000000000284</v>
      </c>
      <c r="AE20" s="148">
        <f t="shared" si="1"/>
        <v>7.8091106290671952E-3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42417</v>
      </c>
      <c r="X21" s="12">
        <v>44.98</v>
      </c>
      <c r="Y21" s="12">
        <v>46.27</v>
      </c>
      <c r="Z21" s="12">
        <v>44.95</v>
      </c>
      <c r="AA21" s="12">
        <v>46.1</v>
      </c>
      <c r="AB21" s="105">
        <v>10328100</v>
      </c>
      <c r="AC21" s="12">
        <v>46.1</v>
      </c>
      <c r="AD21" s="2">
        <f t="shared" si="0"/>
        <v>1.3200000000000003</v>
      </c>
      <c r="AE21" s="148">
        <f t="shared" si="1"/>
        <v>3.4096007178106902E-2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42416</v>
      </c>
      <c r="X22" s="12">
        <v>43.49</v>
      </c>
      <c r="Y22" s="12">
        <v>44.67</v>
      </c>
      <c r="Z22" s="12">
        <v>43.09</v>
      </c>
      <c r="AA22" s="12">
        <v>44.58</v>
      </c>
      <c r="AB22" s="105">
        <v>8095400</v>
      </c>
      <c r="AC22" s="12">
        <v>44.58</v>
      </c>
      <c r="AD22" s="2">
        <f t="shared" si="0"/>
        <v>1.5799999999999983</v>
      </c>
      <c r="AE22" s="148">
        <f t="shared" si="1"/>
        <v>3.6985345429169536E-2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42412</v>
      </c>
      <c r="X23" s="12">
        <v>43</v>
      </c>
      <c r="Y23" s="12">
        <v>43.14</v>
      </c>
      <c r="Z23" s="12">
        <v>42.14</v>
      </c>
      <c r="AA23" s="12">
        <v>42.99</v>
      </c>
      <c r="AB23" s="105">
        <v>7552700</v>
      </c>
      <c r="AC23" s="12">
        <v>42.99</v>
      </c>
      <c r="AD23" s="2">
        <f t="shared" si="0"/>
        <v>1</v>
      </c>
      <c r="AE23" s="148" t="e">
        <f t="shared" si="1"/>
        <v>#DIV/0!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42412</v>
      </c>
      <c r="X24" s="12" t="s">
        <v>239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42411</v>
      </c>
      <c r="X25" s="12">
        <v>42.62</v>
      </c>
      <c r="Y25" s="12">
        <v>43.52</v>
      </c>
      <c r="Z25" s="12">
        <v>42.14</v>
      </c>
      <c r="AA25" s="12">
        <v>42.7</v>
      </c>
      <c r="AB25" s="105">
        <v>10019500</v>
      </c>
      <c r="AC25" s="12">
        <v>42.57</v>
      </c>
      <c r="AD25" s="2">
        <f t="shared" si="0"/>
        <v>1.3800000000000026</v>
      </c>
      <c r="AE25" s="148">
        <f t="shared" si="1"/>
        <v>-1.2984001854857485E-2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42410</v>
      </c>
      <c r="X26" s="12">
        <v>42.63</v>
      </c>
      <c r="Y26" s="12">
        <v>43.78</v>
      </c>
      <c r="Z26" s="12">
        <v>42.47</v>
      </c>
      <c r="AA26" s="12">
        <v>43.27</v>
      </c>
      <c r="AB26" s="105">
        <v>11356200</v>
      </c>
      <c r="AC26" s="12">
        <v>43.13</v>
      </c>
      <c r="AD26" s="2">
        <f t="shared" si="0"/>
        <v>1.3100000000000023</v>
      </c>
      <c r="AE26" s="148">
        <f t="shared" si="1"/>
        <v>3.0585424133811268E-2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42409</v>
      </c>
      <c r="X27" s="12">
        <v>40.35</v>
      </c>
      <c r="Y27" s="12">
        <v>42.49</v>
      </c>
      <c r="Z27" s="12">
        <v>40.03</v>
      </c>
      <c r="AA27" s="12">
        <v>41.98</v>
      </c>
      <c r="AB27" s="105">
        <v>12082600</v>
      </c>
      <c r="AC27" s="12">
        <v>41.85</v>
      </c>
      <c r="AD27" s="2">
        <f t="shared" si="0"/>
        <v>2.4600000000000009</v>
      </c>
      <c r="AE27" s="148">
        <f t="shared" si="1"/>
        <v>2.9773622047244208E-2</v>
      </c>
    </row>
    <row r="28" spans="2:31" x14ac:dyDescent="0.25">
      <c r="W28" s="143">
        <v>42408</v>
      </c>
      <c r="X28" s="12">
        <v>41.31</v>
      </c>
      <c r="Y28" s="12">
        <v>41.6</v>
      </c>
      <c r="Z28" s="12">
        <v>40.049999999999997</v>
      </c>
      <c r="AA28" s="12">
        <v>40.770000000000003</v>
      </c>
      <c r="AB28" s="105">
        <v>15450900</v>
      </c>
      <c r="AC28" s="12">
        <v>40.64</v>
      </c>
      <c r="AD28" s="2">
        <f t="shared" si="0"/>
        <v>1.5500000000000043</v>
      </c>
      <c r="AE28" s="148">
        <f t="shared" si="1"/>
        <v>-2.9608404966571245E-2</v>
      </c>
    </row>
    <row r="29" spans="2:31" x14ac:dyDescent="0.25">
      <c r="W29" s="143">
        <v>42405</v>
      </c>
      <c r="X29" s="12">
        <v>44.14</v>
      </c>
      <c r="Y29" s="12">
        <v>44.55</v>
      </c>
      <c r="Z29" s="12">
        <v>41.67</v>
      </c>
      <c r="AA29" s="12">
        <v>42.01</v>
      </c>
      <c r="AB29" s="105">
        <v>14206000</v>
      </c>
      <c r="AC29" s="12">
        <v>41.88</v>
      </c>
      <c r="AD29" s="2">
        <f t="shared" si="0"/>
        <v>2.8799999999999955</v>
      </c>
      <c r="AE29" s="148">
        <f t="shared" si="1"/>
        <v>-4.6013667425968019E-2</v>
      </c>
    </row>
    <row r="30" spans="2:31" x14ac:dyDescent="0.25">
      <c r="W30" s="143">
        <v>42404</v>
      </c>
      <c r="X30" s="12">
        <v>43.78</v>
      </c>
      <c r="Y30" s="12">
        <v>44.37</v>
      </c>
      <c r="Z30" s="12">
        <v>43.36</v>
      </c>
      <c r="AA30" s="12">
        <v>44.04</v>
      </c>
      <c r="AB30" s="105">
        <v>9444000</v>
      </c>
      <c r="AC30" s="12">
        <v>43.9</v>
      </c>
      <c r="AD30" s="2">
        <f t="shared" si="0"/>
        <v>1.009999999999998</v>
      </c>
      <c r="AE30" s="148">
        <f t="shared" si="1"/>
        <v>5.4970224461750039E-3</v>
      </c>
    </row>
    <row r="31" spans="2:31" x14ac:dyDescent="0.25">
      <c r="W31" s="143">
        <v>42403</v>
      </c>
      <c r="X31" s="12">
        <v>43.97</v>
      </c>
      <c r="Y31" s="12">
        <v>44.15</v>
      </c>
      <c r="Z31" s="12">
        <v>42.11</v>
      </c>
      <c r="AA31" s="12">
        <v>43.8</v>
      </c>
      <c r="AB31" s="105">
        <v>10049100</v>
      </c>
      <c r="AC31" s="12">
        <v>43.66</v>
      </c>
      <c r="AD31" s="2">
        <f t="shared" si="0"/>
        <v>2.0399999999999991</v>
      </c>
      <c r="AE31" s="148">
        <f t="shared" si="1"/>
        <v>4.3708304577869672E-3</v>
      </c>
    </row>
    <row r="32" spans="2:31" x14ac:dyDescent="0.25">
      <c r="W32" s="143">
        <v>42402</v>
      </c>
      <c r="X32" s="12">
        <v>45.19</v>
      </c>
      <c r="Y32" s="12">
        <v>45.52</v>
      </c>
      <c r="Z32" s="12">
        <v>43.32</v>
      </c>
      <c r="AA32" s="12">
        <v>43.61</v>
      </c>
      <c r="AB32" s="105">
        <v>8994000</v>
      </c>
      <c r="AC32" s="12">
        <v>43.47</v>
      </c>
      <c r="AD32" s="2">
        <f t="shared" si="0"/>
        <v>2.2000000000000028</v>
      </c>
      <c r="AE32" s="148">
        <f t="shared" si="1"/>
        <v>-3.550033281562015E-2</v>
      </c>
    </row>
    <row r="33" spans="15:31" x14ac:dyDescent="0.25">
      <c r="W33" s="143">
        <v>42401</v>
      </c>
      <c r="X33" s="12">
        <v>44.73</v>
      </c>
      <c r="Y33" s="12">
        <v>45.58</v>
      </c>
      <c r="Z33" s="12">
        <v>44.01</v>
      </c>
      <c r="AA33" s="12">
        <v>45.21</v>
      </c>
      <c r="AB33" s="105">
        <v>8618200</v>
      </c>
      <c r="AC33" s="12">
        <v>45.07</v>
      </c>
      <c r="AD33" s="2">
        <f t="shared" si="0"/>
        <v>1.5700000000000003</v>
      </c>
      <c r="AE33" s="148">
        <f t="shared" si="1"/>
        <v>2.0838052095130344E-2</v>
      </c>
    </row>
    <row r="34" spans="15:31" x14ac:dyDescent="0.25">
      <c r="W34" s="143">
        <v>42398</v>
      </c>
      <c r="X34" s="12">
        <v>43.14</v>
      </c>
      <c r="Y34" s="12">
        <v>44.34</v>
      </c>
      <c r="Z34" s="12">
        <v>42.42</v>
      </c>
      <c r="AA34" s="12">
        <v>44.29</v>
      </c>
      <c r="AB34" s="105">
        <v>12820100</v>
      </c>
      <c r="AC34" s="12">
        <v>44.15</v>
      </c>
      <c r="AD34" s="2">
        <f t="shared" si="0"/>
        <v>1.9200000000000017</v>
      </c>
      <c r="AE34" s="148">
        <f t="shared" si="1"/>
        <v>2.5313516024152216E-2</v>
      </c>
    </row>
    <row r="35" spans="15:31" x14ac:dyDescent="0.25">
      <c r="W35" s="143">
        <v>42397</v>
      </c>
      <c r="X35" s="12">
        <v>44.84</v>
      </c>
      <c r="Y35" s="12">
        <v>45</v>
      </c>
      <c r="Z35" s="12">
        <v>42.52</v>
      </c>
      <c r="AA35" s="12">
        <v>43.2</v>
      </c>
      <c r="AB35" s="105">
        <v>13996900</v>
      </c>
      <c r="AC35" s="12">
        <v>43.06</v>
      </c>
      <c r="AD35" s="2">
        <f t="shared" si="0"/>
        <v>2.4799999999999969</v>
      </c>
      <c r="AE35" s="148">
        <f t="shared" si="1"/>
        <v>-3.409600717810668E-2</v>
      </c>
    </row>
    <row r="36" spans="15:31" x14ac:dyDescent="0.25">
      <c r="W36" s="143">
        <v>42396</v>
      </c>
      <c r="X36" s="12">
        <v>46.36</v>
      </c>
      <c r="Y36" s="12">
        <v>47</v>
      </c>
      <c r="Z36" s="12">
        <v>44.62</v>
      </c>
      <c r="AA36" s="12">
        <v>44.72</v>
      </c>
      <c r="AB36" s="105">
        <v>10669700</v>
      </c>
      <c r="AC36" s="12">
        <v>44.58</v>
      </c>
      <c r="AD36" s="2">
        <f t="shared" si="0"/>
        <v>2.3800000000000026</v>
      </c>
      <c r="AE36" s="148">
        <f t="shared" si="1"/>
        <v>-3.0026109660574507E-2</v>
      </c>
    </row>
    <row r="37" spans="15:31" x14ac:dyDescent="0.25">
      <c r="W37" s="143">
        <v>42395</v>
      </c>
      <c r="X37" s="12">
        <v>46.49</v>
      </c>
      <c r="Y37" s="12">
        <v>46.9</v>
      </c>
      <c r="Z37" s="12">
        <v>45.63</v>
      </c>
      <c r="AA37" s="12">
        <v>46.11</v>
      </c>
      <c r="AB37" s="105">
        <v>8685100</v>
      </c>
      <c r="AC37" s="12">
        <v>45.96</v>
      </c>
      <c r="AD37" s="2">
        <f t="shared" si="0"/>
        <v>1.269999999999996</v>
      </c>
      <c r="AE37" s="148">
        <f t="shared" si="1"/>
        <v>3.7126010045862579E-3</v>
      </c>
    </row>
    <row r="38" spans="15:31" x14ac:dyDescent="0.25">
      <c r="W38" s="143">
        <v>42394</v>
      </c>
      <c r="X38" s="12">
        <v>47.59</v>
      </c>
      <c r="Y38" s="12">
        <v>47.62</v>
      </c>
      <c r="Z38" s="12">
        <v>45.85</v>
      </c>
      <c r="AA38" s="12">
        <v>45.94</v>
      </c>
      <c r="AB38" s="105">
        <v>8602600</v>
      </c>
      <c r="AC38" s="12">
        <v>45.79</v>
      </c>
      <c r="AD38" s="2">
        <f t="shared" si="0"/>
        <v>1.769999999999996</v>
      </c>
      <c r="AE38" s="148">
        <f t="shared" si="1"/>
        <v>-1.7592791246513584E-2</v>
      </c>
    </row>
    <row r="39" spans="15:31" x14ac:dyDescent="0.25">
      <c r="W39" s="143">
        <v>42391</v>
      </c>
      <c r="X39" s="12">
        <v>47.09</v>
      </c>
      <c r="Y39" s="12">
        <v>47.49</v>
      </c>
      <c r="Z39" s="12">
        <v>46.53</v>
      </c>
      <c r="AA39" s="12">
        <v>46.76</v>
      </c>
      <c r="AB39" s="105">
        <v>9419500</v>
      </c>
      <c r="AC39" s="12">
        <v>46.61</v>
      </c>
      <c r="AD39" s="2">
        <f t="shared" si="0"/>
        <v>0.96000000000000085</v>
      </c>
      <c r="AE39" s="148">
        <f t="shared" si="1"/>
        <v>5.1757601897779448E-3</v>
      </c>
    </row>
    <row r="40" spans="15:31" ht="20.25" thickBot="1" x14ac:dyDescent="0.35">
      <c r="O40" s="408" t="s">
        <v>78</v>
      </c>
      <c r="P40" s="408"/>
      <c r="T40" s="101" t="s">
        <v>116</v>
      </c>
      <c r="W40" s="143">
        <v>42390</v>
      </c>
      <c r="X40" s="12">
        <v>46.65</v>
      </c>
      <c r="Y40" s="12">
        <v>47.12</v>
      </c>
      <c r="Z40" s="12">
        <v>45.37</v>
      </c>
      <c r="AA40" s="12">
        <v>46.52</v>
      </c>
      <c r="AB40" s="105">
        <v>12817400</v>
      </c>
      <c r="AC40" s="12">
        <v>46.37</v>
      </c>
      <c r="AD40" s="2">
        <f t="shared" si="0"/>
        <v>1.75</v>
      </c>
      <c r="AE40" s="148">
        <f t="shared" si="1"/>
        <v>1.8002195389681619E-2</v>
      </c>
    </row>
    <row r="41" spans="15:31" ht="15.75" thickTop="1" x14ac:dyDescent="0.25">
      <c r="O41" s="93">
        <v>1.1000000000000001</v>
      </c>
      <c r="P41" s="93">
        <f>O41*$Q$4</f>
        <v>53.647000000000006</v>
      </c>
      <c r="Q41" s="2"/>
      <c r="T41" s="138" t="s">
        <v>101</v>
      </c>
      <c r="U41" s="108">
        <v>47.89</v>
      </c>
      <c r="W41" s="143">
        <v>42389</v>
      </c>
      <c r="X41" s="12">
        <v>46.09</v>
      </c>
      <c r="Y41" s="12">
        <v>46.76</v>
      </c>
      <c r="Z41" s="12">
        <v>42.54</v>
      </c>
      <c r="AA41" s="12">
        <v>45.69</v>
      </c>
      <c r="AB41" s="105">
        <v>21927500</v>
      </c>
      <c r="AC41" s="12">
        <v>45.55</v>
      </c>
      <c r="AD41" s="2">
        <f t="shared" si="0"/>
        <v>4.2199999999999989</v>
      </c>
      <c r="AE41" s="148">
        <f t="shared" si="1"/>
        <v>-5.6756166775814298E-3</v>
      </c>
    </row>
    <row r="42" spans="15:31" x14ac:dyDescent="0.25">
      <c r="O42" s="93">
        <v>1.0900000000000001</v>
      </c>
      <c r="P42" s="93">
        <f t="shared" ref="P42:P61" si="5">O42*$Q$4</f>
        <v>53.159300000000009</v>
      </c>
      <c r="Q42" s="2"/>
      <c r="T42" s="103" t="s">
        <v>102</v>
      </c>
      <c r="U42" s="98">
        <v>47.82</v>
      </c>
      <c r="W42" s="143">
        <v>42388</v>
      </c>
      <c r="X42" s="12">
        <v>45.8</v>
      </c>
      <c r="Y42" s="12">
        <v>46.75</v>
      </c>
      <c r="Z42" s="12">
        <v>45.19</v>
      </c>
      <c r="AA42" s="12">
        <v>45.96</v>
      </c>
      <c r="AB42" s="105">
        <v>16014700</v>
      </c>
      <c r="AC42" s="12">
        <v>45.81</v>
      </c>
      <c r="AD42" s="2">
        <f t="shared" si="0"/>
        <v>1.5600000000000023</v>
      </c>
      <c r="AE42" s="148">
        <f t="shared" si="1"/>
        <v>3.2687105500450953E-2</v>
      </c>
    </row>
    <row r="43" spans="15:31" x14ac:dyDescent="0.25">
      <c r="O43" s="93">
        <v>1.08</v>
      </c>
      <c r="P43" s="93">
        <f t="shared" si="5"/>
        <v>52.671600000000005</v>
      </c>
      <c r="Q43" s="2"/>
      <c r="T43" s="103" t="s">
        <v>103</v>
      </c>
      <c r="U43" s="98" t="s">
        <v>353</v>
      </c>
      <c r="W43" s="143">
        <v>42384</v>
      </c>
      <c r="X43" s="12">
        <v>43.88</v>
      </c>
      <c r="Y43" s="12">
        <v>45.36</v>
      </c>
      <c r="Z43" s="12">
        <v>43.45</v>
      </c>
      <c r="AA43" s="12">
        <v>44.5</v>
      </c>
      <c r="AB43" s="105">
        <v>16408600</v>
      </c>
      <c r="AC43" s="12">
        <v>44.36</v>
      </c>
      <c r="AD43" s="2">
        <f t="shared" si="0"/>
        <v>1.9099999999999966</v>
      </c>
      <c r="AE43" s="148">
        <f t="shared" si="1"/>
        <v>-1.8584070796460295E-2</v>
      </c>
    </row>
    <row r="44" spans="15:31" x14ac:dyDescent="0.25">
      <c r="O44" s="93">
        <v>1.07</v>
      </c>
      <c r="P44" s="93">
        <f t="shared" si="5"/>
        <v>52.183900000000008</v>
      </c>
      <c r="Q44" s="2"/>
      <c r="T44" s="103" t="s">
        <v>104</v>
      </c>
      <c r="U44" s="98" t="s">
        <v>354</v>
      </c>
      <c r="W44" s="143">
        <v>42383</v>
      </c>
      <c r="X44" s="12">
        <v>45.03</v>
      </c>
      <c r="Y44" s="12">
        <v>45.75</v>
      </c>
      <c r="Z44" s="12">
        <v>44.02</v>
      </c>
      <c r="AA44" s="12">
        <v>45.34</v>
      </c>
      <c r="AB44" s="105">
        <v>11555000</v>
      </c>
      <c r="AC44" s="12">
        <v>45.2</v>
      </c>
      <c r="AD44" s="2">
        <f t="shared" si="0"/>
        <v>1.7299999999999969</v>
      </c>
      <c r="AE44" s="148">
        <f t="shared" si="1"/>
        <v>8.9285714285716189E-3</v>
      </c>
    </row>
    <row r="45" spans="15:31" x14ac:dyDescent="0.25">
      <c r="O45" s="93">
        <v>1.06</v>
      </c>
      <c r="P45" s="93">
        <f t="shared" si="5"/>
        <v>51.696200000000005</v>
      </c>
      <c r="Q45" s="2"/>
      <c r="T45" s="103" t="s">
        <v>105</v>
      </c>
      <c r="U45" s="98">
        <v>65.38</v>
      </c>
      <c r="W45" s="143">
        <v>42382</v>
      </c>
      <c r="X45" s="12">
        <v>47.5</v>
      </c>
      <c r="Y45" s="12">
        <v>47.5</v>
      </c>
      <c r="Z45" s="12">
        <v>44.54</v>
      </c>
      <c r="AA45" s="12">
        <v>44.94</v>
      </c>
      <c r="AB45" s="105">
        <v>10964500</v>
      </c>
      <c r="AC45" s="12">
        <v>44.8</v>
      </c>
      <c r="AD45" s="2">
        <f t="shared" si="0"/>
        <v>2.9600000000000009</v>
      </c>
      <c r="AE45" s="148">
        <f t="shared" si="1"/>
        <v>-4.2939542832728161E-2</v>
      </c>
    </row>
    <row r="46" spans="15:31" x14ac:dyDescent="0.25">
      <c r="O46" s="93">
        <v>1.05</v>
      </c>
      <c r="P46" s="93">
        <f t="shared" si="5"/>
        <v>51.208500000000008</v>
      </c>
      <c r="Q46" s="2"/>
      <c r="T46" s="103" t="s">
        <v>106</v>
      </c>
      <c r="U46" s="98">
        <v>1.31121</v>
      </c>
      <c r="W46" s="143">
        <v>42381</v>
      </c>
      <c r="X46" s="12">
        <v>47.07</v>
      </c>
      <c r="Y46" s="12">
        <v>47.48</v>
      </c>
      <c r="Z46" s="12">
        <v>45.82</v>
      </c>
      <c r="AA46" s="12">
        <v>46.96</v>
      </c>
      <c r="AB46" s="105">
        <v>12163400</v>
      </c>
      <c r="AC46" s="12">
        <v>46.81</v>
      </c>
      <c r="AD46" s="2">
        <f t="shared" si="0"/>
        <v>1.6599999999999966</v>
      </c>
      <c r="AE46" s="148">
        <f t="shared" si="1"/>
        <v>4.7220433569434839E-3</v>
      </c>
    </row>
    <row r="47" spans="15:31" x14ac:dyDescent="0.25">
      <c r="O47" s="93">
        <v>1.04</v>
      </c>
      <c r="P47" s="93">
        <f t="shared" si="5"/>
        <v>50.720800000000004</v>
      </c>
      <c r="Q47" s="2"/>
      <c r="T47" s="103" t="s">
        <v>126</v>
      </c>
      <c r="U47" s="98" t="s">
        <v>258</v>
      </c>
      <c r="W47" s="143">
        <v>42380</v>
      </c>
      <c r="X47" s="12">
        <v>46.99</v>
      </c>
      <c r="Y47" s="12">
        <v>47.29</v>
      </c>
      <c r="Z47" s="12">
        <v>45.57</v>
      </c>
      <c r="AA47" s="12">
        <v>46.74</v>
      </c>
      <c r="AB47" s="105">
        <v>12096400</v>
      </c>
      <c r="AC47" s="12">
        <v>46.59</v>
      </c>
      <c r="AD47" s="2">
        <f t="shared" si="0"/>
        <v>1.7199999999999989</v>
      </c>
      <c r="AE47" s="148">
        <f t="shared" si="1"/>
        <v>2.7981058975463657E-3</v>
      </c>
    </row>
    <row r="48" spans="15:31" x14ac:dyDescent="0.25">
      <c r="O48" s="93">
        <v>1.03</v>
      </c>
      <c r="P48" s="93">
        <f t="shared" si="5"/>
        <v>50.233100000000007</v>
      </c>
      <c r="Q48" s="2"/>
      <c r="T48" s="103"/>
      <c r="U48" s="98"/>
      <c r="W48" s="143">
        <v>42377</v>
      </c>
      <c r="X48" s="12">
        <v>47.48</v>
      </c>
      <c r="Y48" s="12">
        <v>48.95</v>
      </c>
      <c r="Z48" s="12">
        <v>46.49</v>
      </c>
      <c r="AA48" s="12">
        <v>46.61</v>
      </c>
      <c r="AB48" s="105">
        <v>10850300</v>
      </c>
      <c r="AC48" s="12">
        <v>46.46</v>
      </c>
      <c r="AD48" s="2">
        <f t="shared" si="0"/>
        <v>2.4600000000000009</v>
      </c>
      <c r="AE48" s="148">
        <f t="shared" si="1"/>
        <v>-8.3244397011740245E-3</v>
      </c>
    </row>
    <row r="49" spans="15:31" x14ac:dyDescent="0.25">
      <c r="O49" s="93">
        <v>1.02</v>
      </c>
      <c r="P49" s="93">
        <f t="shared" si="5"/>
        <v>49.745400000000004</v>
      </c>
      <c r="Q49" s="2"/>
      <c r="T49" s="103" t="s">
        <v>108</v>
      </c>
      <c r="U49" s="98" t="s">
        <v>355</v>
      </c>
      <c r="W49" s="143">
        <v>42376</v>
      </c>
      <c r="X49" s="12">
        <v>48.39</v>
      </c>
      <c r="Y49" s="12">
        <v>48.68</v>
      </c>
      <c r="Z49" s="12">
        <v>46.74</v>
      </c>
      <c r="AA49" s="12">
        <v>47</v>
      </c>
      <c r="AB49" s="105">
        <v>11301100</v>
      </c>
      <c r="AC49" s="12">
        <v>46.85</v>
      </c>
      <c r="AD49" s="2">
        <f t="shared" si="0"/>
        <v>1.9399999999999977</v>
      </c>
      <c r="AE49" s="148">
        <f t="shared" si="1"/>
        <v>-3.9565395653956559E-2</v>
      </c>
    </row>
    <row r="50" spans="15:31" x14ac:dyDescent="0.25">
      <c r="O50" s="93">
        <v>1.01</v>
      </c>
      <c r="P50" s="93">
        <f t="shared" si="5"/>
        <v>49.257700000000007</v>
      </c>
      <c r="Q50" s="2"/>
      <c r="T50" s="103" t="s">
        <v>109</v>
      </c>
      <c r="U50" s="98" t="s">
        <v>259</v>
      </c>
      <c r="W50" s="143">
        <v>42375</v>
      </c>
      <c r="X50" s="12">
        <v>47.79</v>
      </c>
      <c r="Y50" s="12">
        <v>49.3</v>
      </c>
      <c r="Z50" s="12">
        <v>47.63</v>
      </c>
      <c r="AA50" s="12">
        <v>48.93</v>
      </c>
      <c r="AB50" s="105">
        <v>10375900</v>
      </c>
      <c r="AC50" s="12">
        <v>48.78</v>
      </c>
      <c r="AD50" s="2">
        <f t="shared" si="0"/>
        <v>1.6699999999999946</v>
      </c>
      <c r="AE50" s="148">
        <f t="shared" si="1"/>
        <v>7.4349442379182396E-3</v>
      </c>
    </row>
    <row r="51" spans="15:31" x14ac:dyDescent="0.25">
      <c r="O51" s="93">
        <v>1</v>
      </c>
      <c r="P51" s="93">
        <f t="shared" si="5"/>
        <v>48.77</v>
      </c>
      <c r="Q51" s="2"/>
      <c r="T51" s="103" t="s">
        <v>110</v>
      </c>
      <c r="U51" s="100">
        <v>4751935</v>
      </c>
      <c r="W51" s="143">
        <v>42374</v>
      </c>
      <c r="X51" s="12">
        <v>49.31</v>
      </c>
      <c r="Y51" s="12">
        <v>49.75</v>
      </c>
      <c r="Z51" s="12">
        <v>47.04</v>
      </c>
      <c r="AA51" s="12">
        <v>48.57</v>
      </c>
      <c r="AB51" s="105">
        <v>14557200</v>
      </c>
      <c r="AC51" s="12">
        <v>48.42</v>
      </c>
      <c r="AD51" s="2">
        <f t="shared" si="0"/>
        <v>2.7100000000000009</v>
      </c>
      <c r="AE51" s="148">
        <f t="shared" si="1"/>
        <v>-1.8552875695732052E-3</v>
      </c>
    </row>
    <row r="52" spans="15:31" x14ac:dyDescent="0.25">
      <c r="O52" s="93">
        <v>0.99</v>
      </c>
      <c r="P52" s="93">
        <f t="shared" si="5"/>
        <v>48.282299999999999</v>
      </c>
      <c r="Q52" s="2"/>
      <c r="T52" s="103" t="s">
        <v>113</v>
      </c>
      <c r="U52" s="100">
        <v>10091100</v>
      </c>
      <c r="W52" s="143">
        <v>42373</v>
      </c>
      <c r="X52" s="12">
        <v>49.42</v>
      </c>
      <c r="Y52" s="12">
        <v>49.42</v>
      </c>
      <c r="Z52" s="12">
        <v>48.3</v>
      </c>
      <c r="AA52" s="12">
        <v>48.66</v>
      </c>
      <c r="AB52" s="105">
        <v>12323200</v>
      </c>
      <c r="AC52" s="12">
        <v>48.51</v>
      </c>
      <c r="AD52" s="2">
        <f t="shared" si="0"/>
        <v>1.1200000000000045</v>
      </c>
      <c r="AE52" s="148">
        <f t="shared" si="1"/>
        <v>-3.9976251731644652E-2</v>
      </c>
    </row>
    <row r="53" spans="15:31" x14ac:dyDescent="0.25">
      <c r="O53" s="93">
        <v>0.98</v>
      </c>
      <c r="P53" s="93">
        <f t="shared" si="5"/>
        <v>47.794600000000003</v>
      </c>
      <c r="Q53" s="2"/>
      <c r="T53" s="103" t="s">
        <v>111</v>
      </c>
      <c r="U53" s="98" t="s">
        <v>356</v>
      </c>
      <c r="W53" s="143">
        <v>42369</v>
      </c>
      <c r="X53" s="12">
        <v>51</v>
      </c>
      <c r="Y53" s="12">
        <v>51.08</v>
      </c>
      <c r="Z53" s="12">
        <v>50.35</v>
      </c>
      <c r="AA53" s="12">
        <v>50.69</v>
      </c>
      <c r="AB53" s="105">
        <v>5911400</v>
      </c>
      <c r="AC53" s="12">
        <v>50.53</v>
      </c>
      <c r="AD53" s="2">
        <f t="shared" si="0"/>
        <v>0.72999999999999687</v>
      </c>
      <c r="AE53" s="148">
        <f t="shared" si="1"/>
        <v>-9.4099196236031579E-3</v>
      </c>
    </row>
    <row r="54" spans="15:31" x14ac:dyDescent="0.25">
      <c r="O54" s="93">
        <v>0.97</v>
      </c>
      <c r="P54" s="93">
        <f t="shared" si="5"/>
        <v>47.306899999999999</v>
      </c>
      <c r="T54" s="103" t="s">
        <v>114</v>
      </c>
      <c r="U54" s="98">
        <v>8.48</v>
      </c>
      <c r="W54" s="143">
        <v>42368</v>
      </c>
      <c r="X54" s="12">
        <v>52.23</v>
      </c>
      <c r="Y54" s="12">
        <v>52.3</v>
      </c>
      <c r="Z54" s="12">
        <v>51.07</v>
      </c>
      <c r="AA54" s="12">
        <v>51.17</v>
      </c>
      <c r="AB54" s="105">
        <v>5060000</v>
      </c>
      <c r="AC54" s="12">
        <v>51.01</v>
      </c>
      <c r="AD54" s="2">
        <f t="shared" si="0"/>
        <v>1.2299999999999969</v>
      </c>
      <c r="AE54" s="148">
        <f t="shared" si="1"/>
        <v>-1.9227071716977462E-2</v>
      </c>
    </row>
    <row r="55" spans="15:31" x14ac:dyDescent="0.25">
      <c r="O55" s="93">
        <v>0.96</v>
      </c>
      <c r="P55" s="93">
        <f t="shared" si="5"/>
        <v>46.819200000000002</v>
      </c>
      <c r="T55" s="103" t="s">
        <v>115</v>
      </c>
      <c r="U55" s="98">
        <v>5.63</v>
      </c>
      <c r="W55" s="143">
        <v>42367</v>
      </c>
      <c r="X55" s="12">
        <v>51.93</v>
      </c>
      <c r="Y55" s="12">
        <v>52.41</v>
      </c>
      <c r="Z55" s="12">
        <v>51.89</v>
      </c>
      <c r="AA55" s="12">
        <v>52.17</v>
      </c>
      <c r="AB55" s="105">
        <v>4300100</v>
      </c>
      <c r="AC55" s="12">
        <v>52.01</v>
      </c>
      <c r="AD55" s="2">
        <f t="shared" si="0"/>
        <v>0.51999999999999602</v>
      </c>
      <c r="AE55" s="148">
        <f t="shared" si="1"/>
        <v>4.2479243097122144E-3</v>
      </c>
    </row>
    <row r="56" spans="15:31" x14ac:dyDescent="0.25">
      <c r="O56" s="93">
        <v>0.95</v>
      </c>
      <c r="P56" s="93">
        <f t="shared" si="5"/>
        <v>46.331499999999998</v>
      </c>
      <c r="T56" s="103" t="s">
        <v>112</v>
      </c>
      <c r="U56" s="98" t="s">
        <v>357</v>
      </c>
      <c r="W56" s="143">
        <v>42366</v>
      </c>
      <c r="X56" s="12">
        <v>52.41</v>
      </c>
      <c r="Y56" s="12">
        <v>52.72</v>
      </c>
      <c r="Z56" s="12">
        <v>51.32</v>
      </c>
      <c r="AA56" s="12">
        <v>51.95</v>
      </c>
      <c r="AB56" s="105">
        <v>5295300</v>
      </c>
      <c r="AC56" s="12">
        <v>51.79</v>
      </c>
      <c r="AD56" s="2">
        <f t="shared" si="0"/>
        <v>1.3999999999999986</v>
      </c>
      <c r="AE56" s="148">
        <f t="shared" si="1"/>
        <v>-5.759262814359789E-3</v>
      </c>
    </row>
    <row r="57" spans="15:31" x14ac:dyDescent="0.25">
      <c r="O57" s="93">
        <v>0.94</v>
      </c>
      <c r="P57" s="93">
        <f t="shared" si="5"/>
        <v>45.843800000000002</v>
      </c>
      <c r="W57" s="143">
        <v>42362</v>
      </c>
      <c r="X57" s="12">
        <v>51.71</v>
      </c>
      <c r="Y57" s="12">
        <v>52.65</v>
      </c>
      <c r="Z57" s="12">
        <v>51.69</v>
      </c>
      <c r="AA57" s="12">
        <v>52.26</v>
      </c>
      <c r="AB57" s="105">
        <v>3834200</v>
      </c>
      <c r="AC57" s="12">
        <v>52.09</v>
      </c>
      <c r="AD57" s="2">
        <f t="shared" si="0"/>
        <v>0.96000000000000085</v>
      </c>
      <c r="AE57" s="148">
        <f t="shared" si="1"/>
        <v>9.8875533152384953E-3</v>
      </c>
    </row>
    <row r="58" spans="15:31" x14ac:dyDescent="0.25">
      <c r="O58" s="93">
        <v>0.93</v>
      </c>
      <c r="P58" s="93">
        <f t="shared" si="5"/>
        <v>45.356100000000005</v>
      </c>
      <c r="W58" s="143">
        <v>42361</v>
      </c>
      <c r="X58" s="12">
        <v>51.74</v>
      </c>
      <c r="Y58" s="12">
        <v>51.87</v>
      </c>
      <c r="Z58" s="12">
        <v>50.91</v>
      </c>
      <c r="AA58" s="12">
        <v>51.74</v>
      </c>
      <c r="AB58" s="105">
        <v>5843600</v>
      </c>
      <c r="AC58" s="12">
        <v>51.58</v>
      </c>
      <c r="AD58" s="2">
        <f t="shared" si="0"/>
        <v>0.96000000000000085</v>
      </c>
      <c r="AE58" s="148">
        <f t="shared" si="1"/>
        <v>-1.9383601473166312E-4</v>
      </c>
    </row>
    <row r="59" spans="15:31" x14ac:dyDescent="0.25">
      <c r="O59" s="93">
        <v>0.92</v>
      </c>
      <c r="P59" s="93">
        <f t="shared" si="5"/>
        <v>44.868400000000008</v>
      </c>
      <c r="W59" s="143">
        <v>42360</v>
      </c>
      <c r="X59" s="12">
        <v>51.65</v>
      </c>
      <c r="Y59" s="12">
        <v>51.95</v>
      </c>
      <c r="Z59" s="12">
        <v>51.16</v>
      </c>
      <c r="AA59" s="12">
        <v>51.75</v>
      </c>
      <c r="AB59" s="105">
        <v>6745600</v>
      </c>
      <c r="AC59" s="12">
        <v>51.59</v>
      </c>
      <c r="AD59" s="2">
        <f t="shared" si="0"/>
        <v>0.79000000000000625</v>
      </c>
      <c r="AE59" s="148">
        <f t="shared" si="1"/>
        <v>5.653021442495243E-3</v>
      </c>
    </row>
    <row r="60" spans="15:31" x14ac:dyDescent="0.25">
      <c r="O60" s="93">
        <v>0.91</v>
      </c>
      <c r="P60" s="93">
        <f t="shared" si="5"/>
        <v>44.380700000000004</v>
      </c>
      <c r="W60" s="143">
        <v>42359</v>
      </c>
      <c r="X60" s="12">
        <v>50.46</v>
      </c>
      <c r="Y60" s="12">
        <v>51.5</v>
      </c>
      <c r="Z60" s="12">
        <v>50.42</v>
      </c>
      <c r="AA60" s="12">
        <v>51.46</v>
      </c>
      <c r="AB60" s="105">
        <v>8822100</v>
      </c>
      <c r="AC60" s="12">
        <v>51.3</v>
      </c>
      <c r="AD60" s="2">
        <f t="shared" si="0"/>
        <v>1.0799999999999983</v>
      </c>
      <c r="AE60" s="148">
        <f t="shared" si="1"/>
        <v>3.0120481927710774E-2</v>
      </c>
    </row>
    <row r="61" spans="15:31" x14ac:dyDescent="0.25">
      <c r="O61" s="93">
        <v>0.9</v>
      </c>
      <c r="P61" s="93">
        <f t="shared" si="5"/>
        <v>43.893000000000001</v>
      </c>
      <c r="W61" s="143">
        <v>42356</v>
      </c>
      <c r="X61" s="12">
        <v>51.04</v>
      </c>
      <c r="Y61" s="12">
        <v>51.95</v>
      </c>
      <c r="Z61" s="12">
        <v>49.96</v>
      </c>
      <c r="AA61" s="12">
        <v>49.96</v>
      </c>
      <c r="AB61" s="105">
        <v>15753500</v>
      </c>
      <c r="AC61" s="12">
        <v>49.8</v>
      </c>
      <c r="AD61" s="2">
        <f t="shared" si="0"/>
        <v>1.990000000000002</v>
      </c>
      <c r="AE61" s="148">
        <f t="shared" si="1"/>
        <v>-2.103400825633972E-2</v>
      </c>
    </row>
    <row r="62" spans="15:31" x14ac:dyDescent="0.25">
      <c r="W62" s="143">
        <v>42355</v>
      </c>
      <c r="X62" s="12">
        <v>51.98</v>
      </c>
      <c r="Y62" s="12">
        <v>52.77</v>
      </c>
      <c r="Z62" s="12">
        <v>51.02</v>
      </c>
      <c r="AA62" s="12">
        <v>51.03</v>
      </c>
      <c r="AB62" s="105">
        <v>10024900</v>
      </c>
      <c r="AC62" s="12">
        <v>50.87</v>
      </c>
      <c r="AD62" s="2">
        <f t="shared" si="0"/>
        <v>1.75</v>
      </c>
      <c r="AE62" s="148">
        <f t="shared" si="1"/>
        <v>-2.0977675134719043E-2</v>
      </c>
    </row>
    <row r="63" spans="15:31" x14ac:dyDescent="0.25">
      <c r="W63" s="143">
        <v>42354</v>
      </c>
      <c r="X63" s="12">
        <v>51.4</v>
      </c>
      <c r="Y63" s="12">
        <v>52.29</v>
      </c>
      <c r="Z63" s="12">
        <v>50.85</v>
      </c>
      <c r="AA63" s="12">
        <v>52.12</v>
      </c>
      <c r="AB63" s="105">
        <v>9172900</v>
      </c>
      <c r="AC63" s="12">
        <v>51.96</v>
      </c>
      <c r="AD63" s="2">
        <f t="shared" si="0"/>
        <v>1.4399999999999977</v>
      </c>
      <c r="AE63" s="148">
        <f t="shared" si="1"/>
        <v>1.9023337909394034E-2</v>
      </c>
    </row>
    <row r="64" spans="15:31" x14ac:dyDescent="0.25">
      <c r="W64" s="143">
        <v>42353</v>
      </c>
      <c r="X64" s="12">
        <v>50.67</v>
      </c>
      <c r="Y64" s="12">
        <v>51.41</v>
      </c>
      <c r="Z64" s="12">
        <v>50.07</v>
      </c>
      <c r="AA64" s="12">
        <v>51.15</v>
      </c>
      <c r="AB64" s="105">
        <v>8079700</v>
      </c>
      <c r="AC64" s="12">
        <v>50.99</v>
      </c>
      <c r="AD64" s="2">
        <f t="shared" si="0"/>
        <v>1.3399999999999963</v>
      </c>
      <c r="AE64" s="148">
        <f t="shared" si="1"/>
        <v>1.9392243102758888E-2</v>
      </c>
    </row>
    <row r="65" spans="23:31" x14ac:dyDescent="0.25">
      <c r="W65" s="143">
        <v>42352</v>
      </c>
      <c r="X65" s="12">
        <v>49.52</v>
      </c>
      <c r="Y65" s="12">
        <v>50.41</v>
      </c>
      <c r="Z65" s="12">
        <v>48.76</v>
      </c>
      <c r="AA65" s="12">
        <v>50.18</v>
      </c>
      <c r="AB65" s="105">
        <v>10006400</v>
      </c>
      <c r="AC65" s="12">
        <v>50.02</v>
      </c>
      <c r="AD65" s="2">
        <f t="shared" si="0"/>
        <v>1.6499999999999986</v>
      </c>
      <c r="AE65" s="148">
        <f t="shared" si="1"/>
        <v>1.8322475570032637E-2</v>
      </c>
    </row>
    <row r="66" spans="23:31" x14ac:dyDescent="0.25">
      <c r="W66" s="143">
        <v>42349</v>
      </c>
      <c r="X66" s="12">
        <v>50.37</v>
      </c>
      <c r="Y66" s="12">
        <v>50.65</v>
      </c>
      <c r="Z66" s="12">
        <v>49.22</v>
      </c>
      <c r="AA66" s="12">
        <v>49.28</v>
      </c>
      <c r="AB66" s="105">
        <v>8651600</v>
      </c>
      <c r="AC66" s="12">
        <v>49.12</v>
      </c>
      <c r="AD66" s="2">
        <f t="shared" si="0"/>
        <v>1.4299999999999997</v>
      </c>
      <c r="AE66" s="148">
        <f t="shared" si="1"/>
        <v>-3.9123630672926457E-2</v>
      </c>
    </row>
    <row r="67" spans="23:31" x14ac:dyDescent="0.25">
      <c r="W67" s="143">
        <v>42348</v>
      </c>
      <c r="X67" s="12">
        <v>49.71</v>
      </c>
      <c r="Y67" s="12">
        <v>51.92</v>
      </c>
      <c r="Z67" s="12">
        <v>49.54</v>
      </c>
      <c r="AA67" s="12">
        <v>51.28</v>
      </c>
      <c r="AB67" s="105">
        <v>10089600</v>
      </c>
      <c r="AC67" s="12">
        <v>51.12</v>
      </c>
      <c r="AD67" s="2">
        <f t="shared" ref="AD67" si="6">Y67-Z67</f>
        <v>2.3800000000000026</v>
      </c>
      <c r="AE67" s="148" t="e">
        <f>AC67/#REF!-1</f>
        <v>#REF!</v>
      </c>
    </row>
    <row r="68" spans="23:31" x14ac:dyDescent="0.25">
      <c r="W68" s="143">
        <v>42347</v>
      </c>
      <c r="X68" s="12">
        <v>50.02</v>
      </c>
      <c r="Y68" s="12">
        <v>50.74</v>
      </c>
      <c r="Z68" s="12">
        <v>49.14</v>
      </c>
      <c r="AA68" s="12">
        <v>49.51</v>
      </c>
      <c r="AB68" s="105">
        <v>8144700</v>
      </c>
      <c r="AC68" s="12">
        <v>49.35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42444</v>
      </c>
      <c r="X2" s="12">
        <v>98.02</v>
      </c>
      <c r="Y2" s="12">
        <v>98.33</v>
      </c>
      <c r="Z2" s="12">
        <v>97.39</v>
      </c>
      <c r="AA2" s="12">
        <v>98.24</v>
      </c>
      <c r="AB2" s="105">
        <v>5895600</v>
      </c>
      <c r="AC2" s="12">
        <v>98.24</v>
      </c>
      <c r="AD2" s="2">
        <f>Y2-Z2</f>
        <v>0.93999999999999773</v>
      </c>
      <c r="AE2" s="148">
        <f>AC2/AC3-1</f>
        <v>-5.7686468980873151E-3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42443</v>
      </c>
      <c r="X3" s="12">
        <v>97.94</v>
      </c>
      <c r="Y3" s="12">
        <v>99.22</v>
      </c>
      <c r="Z3" s="12">
        <v>97.84</v>
      </c>
      <c r="AA3" s="12">
        <v>98.81</v>
      </c>
      <c r="AB3" s="105">
        <v>6157400</v>
      </c>
      <c r="AC3" s="12">
        <v>98.81</v>
      </c>
      <c r="AD3" s="2">
        <f t="shared" ref="AD3:AD66" si="1">Y3-Z3</f>
        <v>1.3799999999999955</v>
      </c>
      <c r="AE3" s="148">
        <f t="shared" ref="AE3:AE66" si="2">AC3/AC4-1</f>
        <v>8.8829895854605212E-3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98.44</v>
      </c>
      <c r="T4" s="173"/>
      <c r="W4" s="143">
        <v>42440</v>
      </c>
      <c r="X4" s="12">
        <v>97.57</v>
      </c>
      <c r="Y4" s="12">
        <v>98.35</v>
      </c>
      <c r="Z4" s="12">
        <v>97.54</v>
      </c>
      <c r="AA4" s="12">
        <v>97.94</v>
      </c>
      <c r="AB4" s="105">
        <v>5560600</v>
      </c>
      <c r="AC4" s="12">
        <v>97.94</v>
      </c>
      <c r="AD4" s="2">
        <f t="shared" si="1"/>
        <v>0.80999999999998806</v>
      </c>
      <c r="AE4" s="148">
        <f t="shared" si="2"/>
        <v>9.27452596867262E-3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2461</v>
      </c>
      <c r="W5" s="143">
        <v>42439</v>
      </c>
      <c r="X5" s="12">
        <v>97.94</v>
      </c>
      <c r="Y5" s="12">
        <v>98.42</v>
      </c>
      <c r="Z5" s="12">
        <v>95.87</v>
      </c>
      <c r="AA5" s="12">
        <v>97.04</v>
      </c>
      <c r="AB5" s="105">
        <v>5417500</v>
      </c>
      <c r="AC5" s="12">
        <v>97.04</v>
      </c>
      <c r="AD5" s="2">
        <f t="shared" si="1"/>
        <v>2.5499999999999972</v>
      </c>
      <c r="AE5" s="148">
        <f t="shared" si="2"/>
        <v>-6.3485562154412811E-3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42438</v>
      </c>
      <c r="X6" s="12">
        <v>98</v>
      </c>
      <c r="Y6" s="12">
        <v>98.24</v>
      </c>
      <c r="Z6" s="12">
        <v>96.81</v>
      </c>
      <c r="AA6" s="12">
        <v>97.66</v>
      </c>
      <c r="AB6" s="105">
        <v>7009200</v>
      </c>
      <c r="AC6" s="12">
        <v>97.66</v>
      </c>
      <c r="AD6" s="2">
        <f t="shared" si="1"/>
        <v>1.4299999999999926</v>
      </c>
      <c r="AE6" s="148">
        <f t="shared" si="2"/>
        <v>-1.6356573297893195E-3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41.309999999999491</v>
      </c>
      <c r="R7" s="206"/>
      <c r="W7" s="143">
        <v>42437</v>
      </c>
      <c r="X7" s="12">
        <v>98.93</v>
      </c>
      <c r="Y7" s="12">
        <v>98.98</v>
      </c>
      <c r="Z7" s="12">
        <v>97.6</v>
      </c>
      <c r="AA7" s="12">
        <v>97.82</v>
      </c>
      <c r="AB7" s="105">
        <v>6156700</v>
      </c>
      <c r="AC7" s="12">
        <v>97.82</v>
      </c>
      <c r="AD7" s="2">
        <f t="shared" si="1"/>
        <v>1.3800000000000097</v>
      </c>
      <c r="AE7" s="148">
        <f t="shared" si="2"/>
        <v>-1.5796357782473125E-2</v>
      </c>
    </row>
    <row r="8" spans="1:31" x14ac:dyDescent="0.25">
      <c r="H8" s="81"/>
      <c r="O8" s="13" t="s">
        <v>90</v>
      </c>
      <c r="Q8" s="148">
        <f>(Q4-Q3)/Q3</f>
        <v>1.7072434898685072E-2</v>
      </c>
      <c r="W8" s="143">
        <v>42436</v>
      </c>
      <c r="X8" s="12">
        <v>98.57</v>
      </c>
      <c r="Y8" s="12">
        <v>99.71</v>
      </c>
      <c r="Z8" s="12">
        <v>98.48</v>
      </c>
      <c r="AA8" s="12">
        <v>99.39</v>
      </c>
      <c r="AB8" s="105">
        <v>7174200</v>
      </c>
      <c r="AC8" s="12">
        <v>99.39</v>
      </c>
      <c r="AD8" s="2">
        <f t="shared" si="1"/>
        <v>1.2299999999999898</v>
      </c>
      <c r="AE8" s="148">
        <f t="shared" si="2"/>
        <v>9.2404549147033777E-3</v>
      </c>
    </row>
    <row r="9" spans="1:31" x14ac:dyDescent="0.25">
      <c r="H9" s="81"/>
      <c r="W9" s="143">
        <v>42433</v>
      </c>
      <c r="X9" s="12">
        <v>99</v>
      </c>
      <c r="Y9" s="12">
        <v>99.21</v>
      </c>
      <c r="Z9" s="12">
        <v>97.9</v>
      </c>
      <c r="AA9" s="12">
        <v>98.48</v>
      </c>
      <c r="AB9" s="105">
        <v>6703000</v>
      </c>
      <c r="AC9" s="12">
        <v>98.48</v>
      </c>
      <c r="AD9" s="2">
        <f t="shared" si="1"/>
        <v>1.3099999999999881</v>
      </c>
      <c r="AE9" s="148">
        <f t="shared" si="2"/>
        <v>-3.4405990690142829E-3</v>
      </c>
    </row>
    <row r="10" spans="1:31" x14ac:dyDescent="0.25">
      <c r="W10" s="143">
        <v>42432</v>
      </c>
      <c r="X10" s="12">
        <v>97.79</v>
      </c>
      <c r="Y10" s="12">
        <v>98.84</v>
      </c>
      <c r="Z10" s="12">
        <v>96.89</v>
      </c>
      <c r="AA10" s="12">
        <v>98.82</v>
      </c>
      <c r="AB10" s="105">
        <v>8536100</v>
      </c>
      <c r="AC10" s="12">
        <v>98.82</v>
      </c>
      <c r="AD10" s="2">
        <f t="shared" si="1"/>
        <v>1.9500000000000028</v>
      </c>
      <c r="AE10" s="148">
        <f t="shared" si="2"/>
        <v>1.8762886597938122E-2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42431</v>
      </c>
      <c r="X11" s="12">
        <v>97.67</v>
      </c>
      <c r="Y11" s="12">
        <v>97.83</v>
      </c>
      <c r="Z11" s="12">
        <v>96.41</v>
      </c>
      <c r="AA11" s="12">
        <v>97</v>
      </c>
      <c r="AB11" s="105">
        <v>6443600</v>
      </c>
      <c r="AC11" s="12">
        <v>97</v>
      </c>
      <c r="AD11" s="2">
        <f t="shared" si="1"/>
        <v>1.4200000000000017</v>
      </c>
      <c r="AE11" s="148">
        <f t="shared" si="2"/>
        <v>-6.6564260112648155E-3</v>
      </c>
    </row>
    <row r="12" spans="1:31" x14ac:dyDescent="0.25">
      <c r="W12" s="143">
        <v>42430</v>
      </c>
      <c r="X12" s="12">
        <v>95.9</v>
      </c>
      <c r="Y12" s="12">
        <v>97.66</v>
      </c>
      <c r="Z12" s="12">
        <v>95.53</v>
      </c>
      <c r="AA12" s="12">
        <v>97.65</v>
      </c>
      <c r="AB12" s="105">
        <v>7118000</v>
      </c>
      <c r="AC12" s="12">
        <v>97.65</v>
      </c>
      <c r="AD12" s="2">
        <f t="shared" si="1"/>
        <v>2.1299999999999955</v>
      </c>
      <c r="AE12" s="148">
        <f t="shared" si="2"/>
        <v>2.229899497487442E-2</v>
      </c>
    </row>
    <row r="13" spans="1:31" x14ac:dyDescent="0.25">
      <c r="W13" s="143">
        <v>42429</v>
      </c>
      <c r="X13" s="12">
        <v>95.31</v>
      </c>
      <c r="Y13" s="12">
        <v>96.29</v>
      </c>
      <c r="Z13" s="12">
        <v>95.23</v>
      </c>
      <c r="AA13" s="12">
        <v>95.52</v>
      </c>
      <c r="AB13" s="105">
        <v>6620200</v>
      </c>
      <c r="AC13" s="12">
        <v>95.52</v>
      </c>
      <c r="AD13" s="2">
        <f t="shared" si="1"/>
        <v>1.0600000000000023</v>
      </c>
      <c r="AE13" s="148">
        <f t="shared" si="2"/>
        <v>2.2033364809568301E-3</v>
      </c>
    </row>
    <row r="14" spans="1:31" x14ac:dyDescent="0.25">
      <c r="W14" s="143">
        <v>42426</v>
      </c>
      <c r="X14" s="12">
        <v>95.71</v>
      </c>
      <c r="Y14" s="12">
        <v>96.22</v>
      </c>
      <c r="Z14" s="12">
        <v>95.28</v>
      </c>
      <c r="AA14" s="12">
        <v>95.31</v>
      </c>
      <c r="AB14" s="105">
        <v>5264600</v>
      </c>
      <c r="AC14" s="12">
        <v>95.31</v>
      </c>
      <c r="AD14" s="2">
        <f t="shared" si="1"/>
        <v>0.93999999999999773</v>
      </c>
      <c r="AE14" s="148">
        <f t="shared" si="2"/>
        <v>-3.5546262415054874E-3</v>
      </c>
    </row>
    <row r="15" spans="1:31" x14ac:dyDescent="0.25">
      <c r="W15" s="143">
        <v>42425</v>
      </c>
      <c r="X15" s="12">
        <v>95.92</v>
      </c>
      <c r="Y15" s="12">
        <v>95.95</v>
      </c>
      <c r="Z15" s="12">
        <v>94.35</v>
      </c>
      <c r="AA15" s="12">
        <v>95.65</v>
      </c>
      <c r="AB15" s="105">
        <v>4536900</v>
      </c>
      <c r="AC15" s="12">
        <v>95.65</v>
      </c>
      <c r="AD15" s="2">
        <f t="shared" si="1"/>
        <v>1.6000000000000085</v>
      </c>
      <c r="AE15" s="148">
        <f t="shared" si="2"/>
        <v>2.3053547102587224E-3</v>
      </c>
    </row>
    <row r="16" spans="1:31" x14ac:dyDescent="0.25">
      <c r="W16" s="143">
        <v>42424</v>
      </c>
      <c r="X16" s="12">
        <v>94.65</v>
      </c>
      <c r="Y16" s="12">
        <v>95.75</v>
      </c>
      <c r="Z16" s="12">
        <v>93.23</v>
      </c>
      <c r="AA16" s="12">
        <v>95.43</v>
      </c>
      <c r="AB16" s="105">
        <v>6913000</v>
      </c>
      <c r="AC16" s="12">
        <v>95.43</v>
      </c>
      <c r="AD16" s="2">
        <f t="shared" si="1"/>
        <v>2.519999999999996</v>
      </c>
      <c r="AE16" s="148">
        <f t="shared" si="2"/>
        <v>5.2421891381859709E-4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183</v>
      </c>
      <c r="W17" s="143">
        <v>42423</v>
      </c>
      <c r="X17" s="12">
        <v>96.5</v>
      </c>
      <c r="Y17" s="12">
        <v>96.82</v>
      </c>
      <c r="Z17" s="12">
        <v>95.15</v>
      </c>
      <c r="AA17" s="12">
        <v>95.38</v>
      </c>
      <c r="AB17" s="105">
        <v>6181600</v>
      </c>
      <c r="AC17" s="12">
        <v>95.38</v>
      </c>
      <c r="AD17" s="2">
        <f t="shared" si="1"/>
        <v>1.6699999999999875</v>
      </c>
      <c r="AE17" s="148">
        <f t="shared" si="2"/>
        <v>-1.0272906506174184E-2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42422</v>
      </c>
      <c r="X18" s="12">
        <v>95.01</v>
      </c>
      <c r="Y18" s="12">
        <v>97</v>
      </c>
      <c r="Z18" s="12">
        <v>95.01</v>
      </c>
      <c r="AA18" s="12">
        <v>96.37</v>
      </c>
      <c r="AB18" s="105">
        <v>6932000</v>
      </c>
      <c r="AC18" s="12">
        <v>96.37</v>
      </c>
      <c r="AD18" s="2">
        <f t="shared" si="1"/>
        <v>1.9899999999999949</v>
      </c>
      <c r="AE18" s="148">
        <f t="shared" si="2"/>
        <v>1.4314282707083459E-2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42419</v>
      </c>
      <c r="X19" s="12">
        <v>95.23</v>
      </c>
      <c r="Y19" s="12">
        <v>95.72</v>
      </c>
      <c r="Z19" s="12">
        <v>94.56</v>
      </c>
      <c r="AA19" s="12">
        <v>95.01</v>
      </c>
      <c r="AB19" s="105">
        <v>6664400</v>
      </c>
      <c r="AC19" s="12">
        <v>95.01</v>
      </c>
      <c r="AD19" s="2">
        <f t="shared" si="1"/>
        <v>1.1599999999999966</v>
      </c>
      <c r="AE19" s="148">
        <f t="shared" si="2"/>
        <v>-1.6812020594725308E-3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42418</v>
      </c>
      <c r="X20" s="12">
        <v>96.34</v>
      </c>
      <c r="Y20" s="12">
        <v>96.45</v>
      </c>
      <c r="Z20" s="12">
        <v>94.45</v>
      </c>
      <c r="AA20" s="12">
        <v>95.17</v>
      </c>
      <c r="AB20" s="105">
        <v>8727200</v>
      </c>
      <c r="AC20" s="12">
        <v>95.17</v>
      </c>
      <c r="AD20" s="2">
        <f t="shared" si="1"/>
        <v>2</v>
      </c>
      <c r="AE20" s="148">
        <f t="shared" si="2"/>
        <v>-3.4554973821989687E-3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42417</v>
      </c>
      <c r="X21" s="12">
        <v>93.67</v>
      </c>
      <c r="Y21" s="12">
        <v>96.44</v>
      </c>
      <c r="Z21" s="12">
        <v>93.56</v>
      </c>
      <c r="AA21" s="12">
        <v>95.5</v>
      </c>
      <c r="AB21" s="105">
        <v>12288200</v>
      </c>
      <c r="AC21" s="12">
        <v>95.5</v>
      </c>
      <c r="AD21" s="2">
        <f t="shared" si="1"/>
        <v>2.8799999999999955</v>
      </c>
      <c r="AE21" s="148">
        <f t="shared" si="2"/>
        <v>2.7876439565170719E-2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0">
        <f>(E22-D22)/D22</f>
        <v>-4.5956110261602609E-2</v>
      </c>
      <c r="I22" s="43"/>
      <c r="W22" s="143">
        <v>42416</v>
      </c>
      <c r="X22" s="12">
        <v>92.47</v>
      </c>
      <c r="Y22" s="12">
        <v>93.31</v>
      </c>
      <c r="Z22" s="12">
        <v>91.79</v>
      </c>
      <c r="AA22" s="12">
        <v>92.91</v>
      </c>
      <c r="AB22" s="105">
        <v>8965800</v>
      </c>
      <c r="AC22" s="12">
        <v>92.91</v>
      </c>
      <c r="AD22" s="2">
        <f t="shared" si="1"/>
        <v>1.519999999999996</v>
      </c>
      <c r="AE22" s="148">
        <f t="shared" si="2"/>
        <v>1.9308831596269727E-2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42412</v>
      </c>
      <c r="X23" s="12">
        <v>91.52</v>
      </c>
      <c r="Y23" s="12">
        <v>91.59</v>
      </c>
      <c r="Z23" s="12">
        <v>89.61</v>
      </c>
      <c r="AA23" s="12">
        <v>91.15</v>
      </c>
      <c r="AB23" s="105">
        <v>10754700</v>
      </c>
      <c r="AC23" s="12">
        <v>91.15</v>
      </c>
      <c r="AD23" s="2">
        <f t="shared" si="1"/>
        <v>1.980000000000004</v>
      </c>
      <c r="AE23" s="148">
        <f t="shared" si="2"/>
        <v>9.3012955375928463E-3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42411</v>
      </c>
      <c r="X24" s="12">
        <v>87</v>
      </c>
      <c r="Y24" s="12">
        <v>91.06</v>
      </c>
      <c r="Z24" s="12">
        <v>86.96</v>
      </c>
      <c r="AA24" s="12">
        <v>90.31</v>
      </c>
      <c r="AB24" s="105">
        <v>17332300</v>
      </c>
      <c r="AC24" s="12">
        <v>90.31</v>
      </c>
      <c r="AD24" s="2">
        <f t="shared" si="1"/>
        <v>4.1000000000000085</v>
      </c>
      <c r="AE24" s="148">
        <f t="shared" si="2"/>
        <v>1.6432189082723703E-2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42410</v>
      </c>
      <c r="X25" s="12">
        <v>88</v>
      </c>
      <c r="Y25" s="12">
        <v>90.03</v>
      </c>
      <c r="Z25" s="12">
        <v>86.25</v>
      </c>
      <c r="AA25" s="12">
        <v>88.85</v>
      </c>
      <c r="AB25" s="105">
        <v>32573500</v>
      </c>
      <c r="AC25" s="12">
        <v>88.85</v>
      </c>
      <c r="AD25" s="2">
        <f t="shared" si="1"/>
        <v>3.7800000000000011</v>
      </c>
      <c r="AE25" s="148">
        <f t="shared" si="2"/>
        <v>-3.758665511265169E-2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42409</v>
      </c>
      <c r="X26" s="12">
        <v>90.15</v>
      </c>
      <c r="Y26" s="12">
        <v>93.2</v>
      </c>
      <c r="Z26" s="12">
        <v>89.04</v>
      </c>
      <c r="AA26" s="12">
        <v>92.32</v>
      </c>
      <c r="AB26" s="105">
        <v>15166900</v>
      </c>
      <c r="AC26" s="12">
        <v>92.32</v>
      </c>
      <c r="AD26" s="2">
        <f t="shared" si="1"/>
        <v>4.1599999999999966</v>
      </c>
      <c r="AE26" s="148">
        <f t="shared" si="2"/>
        <v>2.1710811984367862E-3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42408</v>
      </c>
      <c r="X27" s="12">
        <v>92.56</v>
      </c>
      <c r="Y27" s="12">
        <v>92.96</v>
      </c>
      <c r="Z27" s="12">
        <v>89.51</v>
      </c>
      <c r="AA27" s="12">
        <v>92.12</v>
      </c>
      <c r="AB27" s="105">
        <v>13658400</v>
      </c>
      <c r="AC27" s="12">
        <v>92.12</v>
      </c>
      <c r="AD27" s="2">
        <f t="shared" si="1"/>
        <v>3.4499999999999886</v>
      </c>
      <c r="AE27" s="148">
        <f t="shared" si="2"/>
        <v>-1.8956336528221485E-2</v>
      </c>
    </row>
    <row r="28" spans="2:31" x14ac:dyDescent="0.25">
      <c r="W28" s="143">
        <v>42405</v>
      </c>
      <c r="X28" s="12">
        <v>95.32</v>
      </c>
      <c r="Y28" s="12">
        <v>95.39</v>
      </c>
      <c r="Z28" s="12">
        <v>93.47</v>
      </c>
      <c r="AA28" s="12">
        <v>93.9</v>
      </c>
      <c r="AB28" s="105">
        <v>8823000</v>
      </c>
      <c r="AC28" s="12">
        <v>93.9</v>
      </c>
      <c r="AD28" s="2">
        <f t="shared" si="1"/>
        <v>1.9200000000000017</v>
      </c>
      <c r="AE28" s="148">
        <f t="shared" si="2"/>
        <v>-1.6032694121345448E-2</v>
      </c>
    </row>
    <row r="29" spans="2:31" x14ac:dyDescent="0.25">
      <c r="W29" s="143">
        <v>42404</v>
      </c>
      <c r="X29" s="12">
        <v>94.87</v>
      </c>
      <c r="Y29" s="12">
        <v>96.73</v>
      </c>
      <c r="Z29" s="12">
        <v>94.6</v>
      </c>
      <c r="AA29" s="12">
        <v>95.43</v>
      </c>
      <c r="AB29" s="105">
        <v>8207900</v>
      </c>
      <c r="AC29" s="12">
        <v>95.43</v>
      </c>
      <c r="AD29" s="2">
        <f t="shared" si="1"/>
        <v>2.1300000000000097</v>
      </c>
      <c r="AE29" s="148">
        <f t="shared" si="2"/>
        <v>3.0481395837713698E-3</v>
      </c>
    </row>
    <row r="30" spans="2:31" x14ac:dyDescent="0.25">
      <c r="W30" s="143">
        <v>42403</v>
      </c>
      <c r="X30" s="12">
        <v>94.1</v>
      </c>
      <c r="Y30" s="12">
        <v>95.41</v>
      </c>
      <c r="Z30" s="12">
        <v>92.42</v>
      </c>
      <c r="AA30" s="12">
        <v>95.14</v>
      </c>
      <c r="AB30" s="105">
        <v>10860700</v>
      </c>
      <c r="AC30" s="12">
        <v>95.14</v>
      </c>
      <c r="AD30" s="2">
        <f t="shared" si="1"/>
        <v>2.9899999999999949</v>
      </c>
      <c r="AE30" s="148">
        <f t="shared" si="2"/>
        <v>2.1692439862542878E-2</v>
      </c>
    </row>
    <row r="31" spans="2:31" x14ac:dyDescent="0.25">
      <c r="W31" s="143">
        <v>42402</v>
      </c>
      <c r="X31" s="12">
        <v>94</v>
      </c>
      <c r="Y31" s="12">
        <v>94.17</v>
      </c>
      <c r="Z31" s="12">
        <v>92.87</v>
      </c>
      <c r="AA31" s="12">
        <v>93.12</v>
      </c>
      <c r="AB31" s="105">
        <v>7101400</v>
      </c>
      <c r="AC31" s="12">
        <v>93.12</v>
      </c>
      <c r="AD31" s="2">
        <f t="shared" si="1"/>
        <v>1.2999999999999972</v>
      </c>
      <c r="AE31" s="148">
        <f t="shared" si="2"/>
        <v>-2.1334734629532282E-2</v>
      </c>
    </row>
    <row r="32" spans="2:31" x14ac:dyDescent="0.25">
      <c r="W32" s="143">
        <v>42401</v>
      </c>
      <c r="X32" s="12">
        <v>95.08</v>
      </c>
      <c r="Y32" s="12">
        <v>95.71</v>
      </c>
      <c r="Z32" s="12">
        <v>94.7</v>
      </c>
      <c r="AA32" s="12">
        <v>95.15</v>
      </c>
      <c r="AB32" s="105">
        <v>6994200</v>
      </c>
      <c r="AC32" s="12">
        <v>95.15</v>
      </c>
      <c r="AD32" s="2">
        <f t="shared" si="1"/>
        <v>1.0099999999999909</v>
      </c>
      <c r="AE32" s="148">
        <f t="shared" si="2"/>
        <v>-6.9922771863910604E-3</v>
      </c>
    </row>
    <row r="33" spans="15:31" x14ac:dyDescent="0.25">
      <c r="W33" s="143">
        <v>42398</v>
      </c>
      <c r="X33" s="12">
        <v>94.21</v>
      </c>
      <c r="Y33" s="12">
        <v>95.82</v>
      </c>
      <c r="Z33" s="12">
        <v>93.63</v>
      </c>
      <c r="AA33" s="12">
        <v>95.82</v>
      </c>
      <c r="AB33" s="105">
        <v>8071700</v>
      </c>
      <c r="AC33" s="12">
        <v>95.82</v>
      </c>
      <c r="AD33" s="2">
        <f t="shared" si="1"/>
        <v>2.1899999999999977</v>
      </c>
      <c r="AE33" s="148">
        <f t="shared" si="2"/>
        <v>2.4484122741366354E-2</v>
      </c>
    </row>
    <row r="34" spans="15:31" x14ac:dyDescent="0.25">
      <c r="W34" s="143">
        <v>42397</v>
      </c>
      <c r="X34" s="12">
        <v>95.2</v>
      </c>
      <c r="Y34" s="12">
        <v>95.2</v>
      </c>
      <c r="Z34" s="12">
        <v>92.37</v>
      </c>
      <c r="AA34" s="12">
        <v>93.53</v>
      </c>
      <c r="AB34" s="105">
        <v>7275600</v>
      </c>
      <c r="AC34" s="12">
        <v>93.53</v>
      </c>
      <c r="AD34" s="2">
        <f t="shared" si="1"/>
        <v>2.8299999999999983</v>
      </c>
      <c r="AE34" s="148">
        <f t="shared" si="2"/>
        <v>-8.3757421543679822E-3</v>
      </c>
    </row>
    <row r="35" spans="15:31" x14ac:dyDescent="0.25">
      <c r="W35" s="143">
        <v>42396</v>
      </c>
      <c r="X35" s="12">
        <v>96.31</v>
      </c>
      <c r="Y35" s="12">
        <v>96.63</v>
      </c>
      <c r="Z35" s="12">
        <v>93.87</v>
      </c>
      <c r="AA35" s="12">
        <v>94.32</v>
      </c>
      <c r="AB35" s="105">
        <v>6292100</v>
      </c>
      <c r="AC35" s="12">
        <v>94.32</v>
      </c>
      <c r="AD35" s="2">
        <f t="shared" si="1"/>
        <v>2.7599999999999909</v>
      </c>
      <c r="AE35" s="148">
        <f t="shared" si="2"/>
        <v>-2.0255531318167708E-2</v>
      </c>
    </row>
    <row r="36" spans="15:31" x14ac:dyDescent="0.25">
      <c r="W36" s="143">
        <v>42395</v>
      </c>
      <c r="X36" s="12">
        <v>95.49</v>
      </c>
      <c r="Y36" s="12">
        <v>96.43</v>
      </c>
      <c r="Z36" s="12">
        <v>95.09</v>
      </c>
      <c r="AA36" s="12">
        <v>96.27</v>
      </c>
      <c r="AB36" s="105">
        <v>6895000</v>
      </c>
      <c r="AC36" s="12">
        <v>96.27</v>
      </c>
      <c r="AD36" s="2">
        <f t="shared" si="1"/>
        <v>1.3400000000000034</v>
      </c>
      <c r="AE36" s="148">
        <f t="shared" si="2"/>
        <v>1.0284395004722224E-2</v>
      </c>
    </row>
    <row r="37" spans="15:31" x14ac:dyDescent="0.25">
      <c r="W37" s="143">
        <v>42394</v>
      </c>
      <c r="X37" s="12">
        <v>96.42</v>
      </c>
      <c r="Y37" s="12">
        <v>96.68</v>
      </c>
      <c r="Z37" s="12">
        <v>95.12</v>
      </c>
      <c r="AA37" s="12">
        <v>95.29</v>
      </c>
      <c r="AB37" s="105">
        <v>7768800</v>
      </c>
      <c r="AC37" s="12">
        <v>95.29</v>
      </c>
      <c r="AD37" s="2">
        <f t="shared" si="1"/>
        <v>1.5600000000000023</v>
      </c>
      <c r="AE37" s="148">
        <f t="shared" si="2"/>
        <v>-1.6615067079463364E-2</v>
      </c>
    </row>
    <row r="38" spans="15:31" x14ac:dyDescent="0.25">
      <c r="W38" s="143">
        <v>42391</v>
      </c>
      <c r="X38" s="12">
        <v>95.95</v>
      </c>
      <c r="Y38" s="12">
        <v>97.42</v>
      </c>
      <c r="Z38" s="12">
        <v>95.55</v>
      </c>
      <c r="AA38" s="12">
        <v>96.9</v>
      </c>
      <c r="AB38" s="105">
        <v>12250700</v>
      </c>
      <c r="AC38" s="12">
        <v>96.9</v>
      </c>
      <c r="AD38" s="2">
        <f t="shared" si="1"/>
        <v>1.8700000000000045</v>
      </c>
      <c r="AE38" s="148">
        <f t="shared" si="2"/>
        <v>3.0631780472240022E-2</v>
      </c>
    </row>
    <row r="39" spans="15:31" x14ac:dyDescent="0.25">
      <c r="W39" s="143">
        <v>42390</v>
      </c>
      <c r="X39" s="12">
        <v>92.87</v>
      </c>
      <c r="Y39" s="12">
        <v>94.86</v>
      </c>
      <c r="Z39" s="12">
        <v>92.3</v>
      </c>
      <c r="AA39" s="12">
        <v>94.02</v>
      </c>
      <c r="AB39" s="105">
        <v>12047900</v>
      </c>
      <c r="AC39" s="12">
        <v>94.02</v>
      </c>
      <c r="AD39" s="2">
        <f t="shared" si="1"/>
        <v>2.5600000000000023</v>
      </c>
      <c r="AE39" s="148">
        <f t="shared" si="2"/>
        <v>1.5993084071752595E-2</v>
      </c>
    </row>
    <row r="40" spans="15:31" ht="20.25" thickBot="1" x14ac:dyDescent="0.35">
      <c r="O40" s="408" t="s">
        <v>78</v>
      </c>
      <c r="P40" s="408"/>
      <c r="T40" s="101" t="s">
        <v>116</v>
      </c>
      <c r="W40" s="143">
        <v>42389</v>
      </c>
      <c r="X40" s="12">
        <v>92.18</v>
      </c>
      <c r="Y40" s="12">
        <v>93.64</v>
      </c>
      <c r="Z40" s="12">
        <v>90.42</v>
      </c>
      <c r="AA40" s="12">
        <v>92.54</v>
      </c>
      <c r="AB40" s="105">
        <v>16865900</v>
      </c>
      <c r="AC40" s="12">
        <v>92.54</v>
      </c>
      <c r="AD40" s="2">
        <f t="shared" si="1"/>
        <v>3.2199999999999989</v>
      </c>
      <c r="AE40" s="148">
        <f t="shared" si="2"/>
        <v>-1.5217622645525064E-2</v>
      </c>
    </row>
    <row r="41" spans="15:31" ht="15.75" thickTop="1" x14ac:dyDescent="0.25">
      <c r="O41" s="93">
        <v>1.1000000000000001</v>
      </c>
      <c r="P41" s="93">
        <f>O41*$Q$4</f>
        <v>108.28400000000001</v>
      </c>
      <c r="Q41" s="2"/>
      <c r="T41" s="138" t="s">
        <v>101</v>
      </c>
      <c r="U41" s="108">
        <v>98.81</v>
      </c>
      <c r="W41" s="143">
        <v>42388</v>
      </c>
      <c r="X41" s="12">
        <v>95</v>
      </c>
      <c r="Y41" s="12">
        <v>95.07</v>
      </c>
      <c r="Z41" s="12">
        <v>93.03</v>
      </c>
      <c r="AA41" s="12">
        <v>93.97</v>
      </c>
      <c r="AB41" s="105">
        <v>13210500</v>
      </c>
      <c r="AC41" s="12">
        <v>93.97</v>
      </c>
      <c r="AD41" s="2">
        <f t="shared" si="1"/>
        <v>2.039999999999992</v>
      </c>
      <c r="AE41" s="148">
        <f t="shared" si="2"/>
        <v>7.4547390841317451E-4</v>
      </c>
    </row>
    <row r="42" spans="15:31" x14ac:dyDescent="0.25">
      <c r="O42" s="93">
        <v>1.0900000000000001</v>
      </c>
      <c r="P42" s="93">
        <f t="shared" ref="P42:P61" si="7">O42*$Q$4</f>
        <v>107.29960000000001</v>
      </c>
      <c r="Q42" s="2"/>
      <c r="T42" s="103" t="s">
        <v>102</v>
      </c>
      <c r="U42" s="98">
        <v>98.19</v>
      </c>
      <c r="W42" s="143">
        <v>42384</v>
      </c>
      <c r="X42" s="12">
        <v>95.62</v>
      </c>
      <c r="Y42" s="12">
        <v>96.88</v>
      </c>
      <c r="Z42" s="12">
        <v>93.46</v>
      </c>
      <c r="AA42" s="12">
        <v>93.9</v>
      </c>
      <c r="AB42" s="105">
        <v>22135500</v>
      </c>
      <c r="AC42" s="12">
        <v>93.9</v>
      </c>
      <c r="AD42" s="2">
        <f t="shared" si="1"/>
        <v>3.4200000000000017</v>
      </c>
      <c r="AE42" s="148">
        <f t="shared" si="2"/>
        <v>-5.2567853899707306E-2</v>
      </c>
    </row>
    <row r="43" spans="15:31" x14ac:dyDescent="0.25">
      <c r="O43" s="93">
        <v>1.08</v>
      </c>
      <c r="P43" s="93">
        <f t="shared" si="7"/>
        <v>106.3152</v>
      </c>
      <c r="Q43" s="2"/>
      <c r="T43" s="103" t="s">
        <v>103</v>
      </c>
      <c r="U43" s="98" t="s">
        <v>358</v>
      </c>
      <c r="W43" s="143">
        <v>42383</v>
      </c>
      <c r="X43" s="12">
        <v>98.65</v>
      </c>
      <c r="Y43" s="12">
        <v>99.91</v>
      </c>
      <c r="Z43" s="12">
        <v>97.19</v>
      </c>
      <c r="AA43" s="12">
        <v>99.11</v>
      </c>
      <c r="AB43" s="105">
        <v>11076500</v>
      </c>
      <c r="AC43" s="12">
        <v>99.11</v>
      </c>
      <c r="AD43" s="2">
        <f t="shared" si="1"/>
        <v>2.7199999999999989</v>
      </c>
      <c r="AE43" s="148">
        <f t="shared" si="2"/>
        <v>6.3972380178716204E-3</v>
      </c>
    </row>
    <row r="44" spans="15:31" x14ac:dyDescent="0.25">
      <c r="O44" s="93">
        <v>1.07</v>
      </c>
      <c r="P44" s="93">
        <f t="shared" si="7"/>
        <v>105.33080000000001</v>
      </c>
      <c r="Q44" s="2"/>
      <c r="T44" s="103" t="s">
        <v>104</v>
      </c>
      <c r="U44" s="98" t="s">
        <v>359</v>
      </c>
      <c r="W44" s="143">
        <v>42382</v>
      </c>
      <c r="X44" s="12">
        <v>101.88</v>
      </c>
      <c r="Y44" s="12">
        <v>101.88</v>
      </c>
      <c r="Z44" s="12">
        <v>98.12</v>
      </c>
      <c r="AA44" s="12">
        <v>98.48</v>
      </c>
      <c r="AB44" s="105">
        <v>11472000</v>
      </c>
      <c r="AC44" s="12">
        <v>98.48</v>
      </c>
      <c r="AD44" s="2">
        <f t="shared" si="1"/>
        <v>3.7599999999999909</v>
      </c>
      <c r="AE44" s="148">
        <f t="shared" si="2"/>
        <v>-2.9371180760890847E-2</v>
      </c>
    </row>
    <row r="45" spans="15:31" x14ac:dyDescent="0.25">
      <c r="O45" s="93">
        <v>1.06</v>
      </c>
      <c r="P45" s="93">
        <f t="shared" si="7"/>
        <v>104.3464</v>
      </c>
      <c r="Q45" s="2"/>
      <c r="T45" s="103" t="s">
        <v>105</v>
      </c>
      <c r="U45" s="98">
        <v>108.93</v>
      </c>
      <c r="W45" s="143">
        <v>42381</v>
      </c>
      <c r="X45" s="12">
        <v>100.97</v>
      </c>
      <c r="Y45" s="12">
        <v>101.85</v>
      </c>
      <c r="Z45" s="12">
        <v>100.34</v>
      </c>
      <c r="AA45" s="12">
        <v>101.46</v>
      </c>
      <c r="AB45" s="105">
        <v>8863900</v>
      </c>
      <c r="AC45" s="12">
        <v>101.46</v>
      </c>
      <c r="AD45" s="2">
        <f t="shared" si="1"/>
        <v>1.5099999999999909</v>
      </c>
      <c r="AE45" s="148">
        <f t="shared" si="2"/>
        <v>1.5412329863891072E-2</v>
      </c>
    </row>
    <row r="46" spans="15:31" x14ac:dyDescent="0.25">
      <c r="O46" s="93">
        <v>1.05</v>
      </c>
      <c r="P46" s="93">
        <f t="shared" si="7"/>
        <v>103.36200000000001</v>
      </c>
      <c r="Q46" s="2"/>
      <c r="T46" s="103" t="s">
        <v>106</v>
      </c>
      <c r="U46" s="98">
        <v>1.56073</v>
      </c>
      <c r="W46" s="143">
        <v>42380</v>
      </c>
      <c r="X46" s="12">
        <v>100.21</v>
      </c>
      <c r="Y46" s="12">
        <v>100.45</v>
      </c>
      <c r="Z46" s="12">
        <v>98.55</v>
      </c>
      <c r="AA46" s="12">
        <v>99.92</v>
      </c>
      <c r="AB46" s="105">
        <v>9558600</v>
      </c>
      <c r="AC46" s="12">
        <v>99.92</v>
      </c>
      <c r="AD46" s="2">
        <f t="shared" si="1"/>
        <v>1.9000000000000057</v>
      </c>
      <c r="AE46" s="148">
        <f t="shared" si="2"/>
        <v>6.7506297229218415E-3</v>
      </c>
    </row>
    <row r="47" spans="15:31" x14ac:dyDescent="0.25">
      <c r="O47" s="93">
        <v>1.04</v>
      </c>
      <c r="P47" s="93">
        <f t="shared" si="7"/>
        <v>102.3776</v>
      </c>
      <c r="Q47" s="2"/>
      <c r="T47" s="103" t="s">
        <v>126</v>
      </c>
      <c r="U47" s="98" t="s">
        <v>235</v>
      </c>
      <c r="W47" s="143">
        <v>42377</v>
      </c>
      <c r="X47" s="12">
        <v>100.63</v>
      </c>
      <c r="Y47" s="12">
        <v>100.92</v>
      </c>
      <c r="Z47" s="12">
        <v>99</v>
      </c>
      <c r="AA47" s="12">
        <v>99.25</v>
      </c>
      <c r="AB47" s="105">
        <v>10691600</v>
      </c>
      <c r="AC47" s="12">
        <v>99.25</v>
      </c>
      <c r="AD47" s="2">
        <f t="shared" si="1"/>
        <v>1.9200000000000017</v>
      </c>
      <c r="AE47" s="148">
        <f t="shared" si="2"/>
        <v>-2.5125628140703071E-3</v>
      </c>
    </row>
    <row r="48" spans="15:31" x14ac:dyDescent="0.25">
      <c r="O48" s="93">
        <v>1.03</v>
      </c>
      <c r="P48" s="93">
        <f t="shared" si="7"/>
        <v>101.39320000000001</v>
      </c>
      <c r="Q48" s="2"/>
      <c r="T48" s="103"/>
      <c r="U48" s="98"/>
      <c r="W48" s="143">
        <v>42376</v>
      </c>
      <c r="X48" s="12">
        <v>98.96</v>
      </c>
      <c r="Y48" s="12">
        <v>101.35</v>
      </c>
      <c r="Z48" s="12">
        <v>98.52</v>
      </c>
      <c r="AA48" s="12">
        <v>99.5</v>
      </c>
      <c r="AB48" s="105">
        <v>14680200</v>
      </c>
      <c r="AC48" s="12">
        <v>99.5</v>
      </c>
      <c r="AD48" s="2">
        <f t="shared" si="1"/>
        <v>2.8299999999999983</v>
      </c>
      <c r="AE48" s="148">
        <f t="shared" si="2"/>
        <v>-8.5691510561977102E-3</v>
      </c>
    </row>
    <row r="49" spans="15:31" x14ac:dyDescent="0.25">
      <c r="O49" s="93">
        <v>1.02</v>
      </c>
      <c r="P49" s="93">
        <f t="shared" si="7"/>
        <v>100.4088</v>
      </c>
      <c r="Q49" s="2"/>
      <c r="T49" s="103" t="s">
        <v>108</v>
      </c>
      <c r="U49" s="98" t="s">
        <v>360</v>
      </c>
      <c r="W49" s="143">
        <v>42375</v>
      </c>
      <c r="X49" s="12">
        <v>99.38</v>
      </c>
      <c r="Y49" s="12">
        <v>101.46</v>
      </c>
      <c r="Z49" s="12">
        <v>99.36</v>
      </c>
      <c r="AA49" s="12">
        <v>100.36</v>
      </c>
      <c r="AB49" s="105">
        <v>13934500</v>
      </c>
      <c r="AC49" s="12">
        <v>100.36</v>
      </c>
      <c r="AD49" s="2">
        <f t="shared" si="1"/>
        <v>2.0999999999999943</v>
      </c>
      <c r="AE49" s="148">
        <f t="shared" si="2"/>
        <v>-5.3518334985134253E-3</v>
      </c>
    </row>
    <row r="50" spans="15:31" x14ac:dyDescent="0.25">
      <c r="O50" s="93">
        <v>1.01</v>
      </c>
      <c r="P50" s="93">
        <f t="shared" si="7"/>
        <v>99.424400000000006</v>
      </c>
      <c r="Q50" s="2"/>
      <c r="T50" s="103" t="s">
        <v>109</v>
      </c>
      <c r="U50" s="98" t="s">
        <v>244</v>
      </c>
      <c r="W50" s="143">
        <v>42374</v>
      </c>
      <c r="X50" s="12">
        <v>102.67</v>
      </c>
      <c r="Y50" s="12">
        <v>102.67</v>
      </c>
      <c r="Z50" s="12">
        <v>99.89</v>
      </c>
      <c r="AA50" s="12">
        <v>100.9</v>
      </c>
      <c r="AB50" s="105">
        <v>16212900</v>
      </c>
      <c r="AC50" s="12">
        <v>100.9</v>
      </c>
      <c r="AD50" s="2">
        <f t="shared" si="1"/>
        <v>2.7800000000000011</v>
      </c>
      <c r="AE50" s="148">
        <f t="shared" si="2"/>
        <v>-2.0198096717809255E-2</v>
      </c>
    </row>
    <row r="51" spans="15:31" x14ac:dyDescent="0.25">
      <c r="O51" s="93">
        <v>1</v>
      </c>
      <c r="P51" s="93">
        <f t="shared" si="7"/>
        <v>98.44</v>
      </c>
      <c r="Q51" s="2"/>
      <c r="T51" s="103" t="s">
        <v>110</v>
      </c>
      <c r="U51" s="100">
        <v>5942388</v>
      </c>
      <c r="W51" s="143">
        <v>42373</v>
      </c>
      <c r="X51" s="12">
        <v>103.12</v>
      </c>
      <c r="Y51" s="12">
        <v>103.43</v>
      </c>
      <c r="Z51" s="12">
        <v>101.73</v>
      </c>
      <c r="AA51" s="12">
        <v>102.98</v>
      </c>
      <c r="AB51" s="105">
        <v>12531500</v>
      </c>
      <c r="AC51" s="12">
        <v>102.98</v>
      </c>
      <c r="AD51" s="2">
        <f t="shared" si="1"/>
        <v>1.7000000000000028</v>
      </c>
      <c r="AE51" s="148">
        <f t="shared" si="2"/>
        <v>-1.9984773505900222E-2</v>
      </c>
    </row>
    <row r="52" spans="15:31" x14ac:dyDescent="0.25">
      <c r="O52" s="93">
        <v>0.99</v>
      </c>
      <c r="P52" s="93">
        <f t="shared" si="7"/>
        <v>97.45559999999999</v>
      </c>
      <c r="Q52" s="2"/>
      <c r="T52" s="103" t="s">
        <v>113</v>
      </c>
      <c r="U52" s="100">
        <v>10398500</v>
      </c>
      <c r="W52" s="143">
        <v>42369</v>
      </c>
      <c r="X52" s="12">
        <v>106.14</v>
      </c>
      <c r="Y52" s="12">
        <v>106.31</v>
      </c>
      <c r="Z52" s="12">
        <v>105.06</v>
      </c>
      <c r="AA52" s="12">
        <v>105.08</v>
      </c>
      <c r="AB52" s="105">
        <v>6609500</v>
      </c>
      <c r="AC52" s="12">
        <v>105.08</v>
      </c>
      <c r="AD52" s="2">
        <f t="shared" si="1"/>
        <v>1.25</v>
      </c>
      <c r="AE52" s="148">
        <f t="shared" si="2"/>
        <v>-1.1848786909911646E-2</v>
      </c>
    </row>
    <row r="53" spans="15:31" x14ac:dyDescent="0.25">
      <c r="O53" s="93">
        <v>0.98</v>
      </c>
      <c r="P53" s="93">
        <f t="shared" si="7"/>
        <v>96.471199999999996</v>
      </c>
      <c r="Q53" s="2"/>
      <c r="T53" s="103" t="s">
        <v>111</v>
      </c>
      <c r="U53" s="98" t="s">
        <v>361</v>
      </c>
      <c r="W53" s="143">
        <v>42368</v>
      </c>
      <c r="X53" s="12">
        <v>106.89</v>
      </c>
      <c r="Y53" s="12">
        <v>107.21</v>
      </c>
      <c r="Z53" s="12">
        <v>106.25</v>
      </c>
      <c r="AA53" s="12">
        <v>106.34</v>
      </c>
      <c r="AB53" s="105">
        <v>4917000</v>
      </c>
      <c r="AC53" s="12">
        <v>106.34</v>
      </c>
      <c r="AD53" s="2">
        <f t="shared" si="1"/>
        <v>0.95999999999999375</v>
      </c>
      <c r="AE53" s="148">
        <f t="shared" si="2"/>
        <v>-6.9107209562943028E-3</v>
      </c>
    </row>
    <row r="54" spans="15:31" x14ac:dyDescent="0.25">
      <c r="O54" s="93">
        <v>0.97</v>
      </c>
      <c r="P54" s="93">
        <f t="shared" si="7"/>
        <v>95.486799999999988</v>
      </c>
      <c r="T54" s="103" t="s">
        <v>114</v>
      </c>
      <c r="U54" s="98">
        <v>18.36</v>
      </c>
      <c r="W54" s="143">
        <v>42367</v>
      </c>
      <c r="X54" s="12">
        <v>107.88</v>
      </c>
      <c r="Y54" s="12">
        <v>108.04</v>
      </c>
      <c r="Z54" s="12">
        <v>106.45</v>
      </c>
      <c r="AA54" s="12">
        <v>107.08</v>
      </c>
      <c r="AB54" s="105">
        <v>8607200</v>
      </c>
      <c r="AC54" s="12">
        <v>107.08</v>
      </c>
      <c r="AD54" s="2">
        <f t="shared" si="1"/>
        <v>1.5900000000000034</v>
      </c>
      <c r="AE54" s="148">
        <f t="shared" si="2"/>
        <v>-1.585081585081638E-3</v>
      </c>
    </row>
    <row r="55" spans="15:31" x14ac:dyDescent="0.25">
      <c r="O55" s="93">
        <v>0.96</v>
      </c>
      <c r="P55" s="93">
        <f t="shared" si="7"/>
        <v>94.502399999999994</v>
      </c>
      <c r="T55" s="103" t="s">
        <v>115</v>
      </c>
      <c r="U55" s="98">
        <v>5.35</v>
      </c>
      <c r="W55" s="143">
        <v>42366</v>
      </c>
      <c r="X55" s="12">
        <v>106.5</v>
      </c>
      <c r="Y55" s="12">
        <v>108.2</v>
      </c>
      <c r="Z55" s="12">
        <v>106.33</v>
      </c>
      <c r="AA55" s="12">
        <v>107.25</v>
      </c>
      <c r="AB55" s="105">
        <v>9092700</v>
      </c>
      <c r="AC55" s="12">
        <v>107.25</v>
      </c>
      <c r="AD55" s="2">
        <f t="shared" si="1"/>
        <v>1.8700000000000045</v>
      </c>
      <c r="AE55" s="148">
        <f t="shared" si="2"/>
        <v>1.3130549782731871E-2</v>
      </c>
    </row>
    <row r="56" spans="15:31" x14ac:dyDescent="0.25">
      <c r="O56" s="93">
        <v>0.95</v>
      </c>
      <c r="P56" s="93">
        <f t="shared" si="7"/>
        <v>93.517999999999986</v>
      </c>
      <c r="T56" s="103" t="s">
        <v>112</v>
      </c>
      <c r="U56" s="98" t="s">
        <v>282</v>
      </c>
      <c r="W56" s="143">
        <v>42362</v>
      </c>
      <c r="X56" s="12">
        <v>105.2</v>
      </c>
      <c r="Y56" s="12">
        <v>106.64</v>
      </c>
      <c r="Z56" s="12">
        <v>105.06</v>
      </c>
      <c r="AA56" s="12">
        <v>105.86</v>
      </c>
      <c r="AB56" s="105">
        <v>4356100</v>
      </c>
      <c r="AC56" s="12">
        <v>105.86</v>
      </c>
      <c r="AD56" s="2">
        <f t="shared" si="1"/>
        <v>1.5799999999999983</v>
      </c>
      <c r="AE56" s="148">
        <f t="shared" si="2"/>
        <v>2.8419856006063338E-3</v>
      </c>
    </row>
    <row r="57" spans="15:31" x14ac:dyDescent="0.25">
      <c r="O57" s="93">
        <v>0.94</v>
      </c>
      <c r="P57" s="93">
        <f t="shared" si="7"/>
        <v>92.533599999999993</v>
      </c>
      <c r="W57" s="143">
        <v>42361</v>
      </c>
      <c r="X57" s="12">
        <v>107.21</v>
      </c>
      <c r="Y57" s="12">
        <v>107.24</v>
      </c>
      <c r="Z57" s="12">
        <v>104.3</v>
      </c>
      <c r="AA57" s="12">
        <v>105.56</v>
      </c>
      <c r="AB57" s="105">
        <v>12372900</v>
      </c>
      <c r="AC57" s="12">
        <v>105.56</v>
      </c>
      <c r="AD57" s="2">
        <f t="shared" si="1"/>
        <v>2.9399999999999977</v>
      </c>
      <c r="AE57" s="148">
        <f t="shared" si="2"/>
        <v>-1.105489975641738E-2</v>
      </c>
    </row>
    <row r="58" spans="15:31" x14ac:dyDescent="0.25">
      <c r="O58" s="93">
        <v>0.93</v>
      </c>
      <c r="P58" s="93">
        <f t="shared" si="7"/>
        <v>91.549199999999999</v>
      </c>
      <c r="W58" s="143">
        <v>42360</v>
      </c>
      <c r="X58" s="12">
        <v>106.99</v>
      </c>
      <c r="Y58" s="12">
        <v>107.2</v>
      </c>
      <c r="Z58" s="12">
        <v>105.83</v>
      </c>
      <c r="AA58" s="12">
        <v>106.74</v>
      </c>
      <c r="AB58" s="105">
        <v>8644500</v>
      </c>
      <c r="AC58" s="12">
        <v>106.74</v>
      </c>
      <c r="AD58" s="2">
        <f t="shared" si="1"/>
        <v>1.3700000000000045</v>
      </c>
      <c r="AE58" s="148">
        <f t="shared" si="2"/>
        <v>1.4072614691809093E-3</v>
      </c>
    </row>
    <row r="59" spans="15:31" x14ac:dyDescent="0.25">
      <c r="O59" s="93">
        <v>0.92</v>
      </c>
      <c r="P59" s="93">
        <f t="shared" si="7"/>
        <v>90.564800000000005</v>
      </c>
      <c r="W59" s="143">
        <v>42359</v>
      </c>
      <c r="X59" s="12">
        <v>108.8</v>
      </c>
      <c r="Y59" s="12">
        <v>110.1</v>
      </c>
      <c r="Z59" s="12">
        <v>105.33</v>
      </c>
      <c r="AA59" s="12">
        <v>106.59</v>
      </c>
      <c r="AB59" s="105">
        <v>22847200</v>
      </c>
      <c r="AC59" s="12">
        <v>106.59</v>
      </c>
      <c r="AD59" s="2">
        <f t="shared" si="1"/>
        <v>4.769999999999996</v>
      </c>
      <c r="AE59" s="148">
        <f t="shared" si="2"/>
        <v>-1.0490159673226862E-2</v>
      </c>
    </row>
    <row r="60" spans="15:31" x14ac:dyDescent="0.25">
      <c r="O60" s="93">
        <v>0.91</v>
      </c>
      <c r="P60" s="93">
        <f t="shared" si="7"/>
        <v>89.580399999999997</v>
      </c>
      <c r="W60" s="143">
        <v>42356</v>
      </c>
      <c r="X60" s="12">
        <v>112.01</v>
      </c>
      <c r="Y60" s="12">
        <v>112.44</v>
      </c>
      <c r="Z60" s="12">
        <v>107.35</v>
      </c>
      <c r="AA60" s="12">
        <v>107.72</v>
      </c>
      <c r="AB60" s="105">
        <v>27617500</v>
      </c>
      <c r="AC60" s="12">
        <v>107.72</v>
      </c>
      <c r="AD60" s="2">
        <f t="shared" si="1"/>
        <v>5.0900000000000034</v>
      </c>
      <c r="AE60" s="148">
        <f t="shared" si="2"/>
        <v>-3.8300151772163282E-2</v>
      </c>
    </row>
    <row r="61" spans="15:31" x14ac:dyDescent="0.25">
      <c r="O61" s="93">
        <v>0.9</v>
      </c>
      <c r="P61" s="93">
        <f t="shared" si="7"/>
        <v>88.596000000000004</v>
      </c>
      <c r="W61" s="143">
        <v>42355</v>
      </c>
      <c r="X61" s="12">
        <v>114.13</v>
      </c>
      <c r="Y61" s="12">
        <v>114.48</v>
      </c>
      <c r="Z61" s="12">
        <v>111.98</v>
      </c>
      <c r="AA61" s="12">
        <v>112.01</v>
      </c>
      <c r="AB61" s="105">
        <v>9375000</v>
      </c>
      <c r="AC61" s="12">
        <v>112.01</v>
      </c>
      <c r="AD61" s="2">
        <f t="shared" si="1"/>
        <v>2.5</v>
      </c>
      <c r="AE61" s="148">
        <f t="shared" si="2"/>
        <v>-1.5642850865629665E-2</v>
      </c>
    </row>
    <row r="62" spans="15:31" x14ac:dyDescent="0.25">
      <c r="W62" s="143">
        <v>42354</v>
      </c>
      <c r="X62" s="12">
        <v>114.69</v>
      </c>
      <c r="Y62" s="12">
        <v>114.75</v>
      </c>
      <c r="Z62" s="12">
        <v>111.8</v>
      </c>
      <c r="AA62" s="12">
        <v>113.79</v>
      </c>
      <c r="AB62" s="105">
        <v>12193100</v>
      </c>
      <c r="AC62" s="12">
        <v>113.79</v>
      </c>
      <c r="AD62" s="2">
        <f t="shared" si="1"/>
        <v>2.9500000000000028</v>
      </c>
      <c r="AE62" s="148">
        <f t="shared" si="2"/>
        <v>1.4532810271041363E-2</v>
      </c>
    </row>
    <row r="63" spans="15:31" x14ac:dyDescent="0.25">
      <c r="W63" s="143">
        <v>42353</v>
      </c>
      <c r="X63" s="12">
        <v>112.05</v>
      </c>
      <c r="Y63" s="12">
        <v>113.35</v>
      </c>
      <c r="Z63" s="12">
        <v>111.58</v>
      </c>
      <c r="AA63" s="12">
        <v>112.16</v>
      </c>
      <c r="AB63" s="105">
        <v>13260900</v>
      </c>
      <c r="AC63" s="12">
        <v>112.16</v>
      </c>
      <c r="AD63" s="2">
        <f t="shared" si="1"/>
        <v>1.769999999999996</v>
      </c>
      <c r="AE63" s="148">
        <f t="shared" si="2"/>
        <v>2.5697302240512032E-2</v>
      </c>
    </row>
    <row r="64" spans="15:31" x14ac:dyDescent="0.25">
      <c r="W64" s="143">
        <v>42352</v>
      </c>
      <c r="X64" s="12">
        <v>108.68</v>
      </c>
      <c r="Y64" s="12">
        <v>109.87</v>
      </c>
      <c r="Z64" s="12">
        <v>108.28</v>
      </c>
      <c r="AA64" s="12">
        <v>109.35</v>
      </c>
      <c r="AB64" s="105">
        <v>9596900</v>
      </c>
      <c r="AC64" s="12">
        <v>109.35</v>
      </c>
      <c r="AD64" s="2">
        <f t="shared" si="1"/>
        <v>1.5900000000000034</v>
      </c>
      <c r="AE64" s="148">
        <f t="shared" si="2"/>
        <v>1.2125138837467464E-2</v>
      </c>
    </row>
    <row r="65" spans="23:31" x14ac:dyDescent="0.25">
      <c r="W65" s="143">
        <v>42349</v>
      </c>
      <c r="X65" s="12">
        <v>110.76</v>
      </c>
      <c r="Y65" s="12">
        <v>110.76</v>
      </c>
      <c r="Z65" s="12">
        <v>107.62</v>
      </c>
      <c r="AA65" s="12">
        <v>108.04</v>
      </c>
      <c r="AB65" s="105">
        <v>12254000</v>
      </c>
      <c r="AC65" s="12">
        <v>108.04</v>
      </c>
      <c r="AD65" s="2">
        <f t="shared" si="1"/>
        <v>3.1400000000000006</v>
      </c>
      <c r="AE65" s="148">
        <f t="shared" si="2"/>
        <v>-2.4557602022390768E-2</v>
      </c>
    </row>
    <row r="66" spans="23:31" x14ac:dyDescent="0.25">
      <c r="W66" s="143">
        <v>42348</v>
      </c>
      <c r="X66" s="12">
        <v>111.15</v>
      </c>
      <c r="Y66" s="12">
        <v>111.58</v>
      </c>
      <c r="Z66" s="12">
        <v>110.17</v>
      </c>
      <c r="AA66" s="12">
        <v>110.76</v>
      </c>
      <c r="AB66" s="105">
        <v>6954500</v>
      </c>
      <c r="AC66" s="12">
        <v>110.76</v>
      </c>
      <c r="AD66" s="2">
        <f t="shared" si="1"/>
        <v>1.4099999999999966</v>
      </c>
      <c r="AE66" s="148" t="e">
        <f t="shared" si="2"/>
        <v>#DIV/0!</v>
      </c>
    </row>
    <row r="67" spans="23:31" x14ac:dyDescent="0.25">
      <c r="W67" s="143">
        <v>42348</v>
      </c>
      <c r="X67" s="12" t="s">
        <v>283</v>
      </c>
      <c r="Y67" s="12"/>
      <c r="Z67" s="12"/>
      <c r="AA67" s="12"/>
      <c r="AB67" s="105"/>
      <c r="AC67" s="12"/>
      <c r="AD67" s="2">
        <f t="shared" ref="AD67" si="8">Y67-Z67</f>
        <v>0</v>
      </c>
      <c r="AE67" s="148" t="e">
        <f>AC67/#REF!-1</f>
        <v>#REF!</v>
      </c>
    </row>
    <row r="68" spans="23:31" x14ac:dyDescent="0.25">
      <c r="W68" s="143">
        <v>42347</v>
      </c>
      <c r="X68" s="12">
        <v>112.39</v>
      </c>
      <c r="Y68" s="12">
        <v>113.06</v>
      </c>
      <c r="Z68" s="12">
        <v>110.58</v>
      </c>
      <c r="AA68" s="12">
        <v>111.47</v>
      </c>
      <c r="AB68" s="105">
        <v>9050700</v>
      </c>
      <c r="AC68" s="12">
        <v>110.76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42444</v>
      </c>
      <c r="X2" s="11">
        <v>5.26</v>
      </c>
      <c r="Y2" s="11">
        <v>5.3</v>
      </c>
      <c r="Z2" s="11">
        <v>5.0199999999999996</v>
      </c>
      <c r="AA2" s="11">
        <v>5.16</v>
      </c>
      <c r="AB2" s="114">
        <v>18542600</v>
      </c>
      <c r="AC2" s="11">
        <v>5.16</v>
      </c>
      <c r="AD2" s="43">
        <f>Y2-Z2</f>
        <v>0.28000000000000025</v>
      </c>
      <c r="AE2" s="172">
        <f>AC2/AC3-1</f>
        <v>-3.3707865168539297E-2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5.34</v>
      </c>
      <c r="T3" s="1"/>
      <c r="W3" s="120">
        <v>42443</v>
      </c>
      <c r="X3" s="11">
        <v>5.29</v>
      </c>
      <c r="Y3" s="11">
        <v>5.39</v>
      </c>
      <c r="Z3" s="11">
        <v>5.25</v>
      </c>
      <c r="AA3" s="11">
        <v>5.34</v>
      </c>
      <c r="AB3" s="114">
        <v>11925700</v>
      </c>
      <c r="AC3" s="11">
        <v>5.34</v>
      </c>
      <c r="AD3" s="43">
        <f t="shared" ref="AD3:AD66" si="0">Y3-Z3</f>
        <v>0.13999999999999968</v>
      </c>
      <c r="AE3" s="172">
        <f t="shared" ref="AE3:AE66" si="1">AC3/AC4-1</f>
        <v>-7.4349442379182396E-3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5.34</v>
      </c>
      <c r="T4" s="173"/>
      <c r="W4" s="120">
        <v>42440</v>
      </c>
      <c r="X4" s="11">
        <v>5.36</v>
      </c>
      <c r="Y4" s="11">
        <v>5.41</v>
      </c>
      <c r="Z4" s="11">
        <v>5.3</v>
      </c>
      <c r="AA4" s="11">
        <v>5.38</v>
      </c>
      <c r="AB4" s="114">
        <v>9252000</v>
      </c>
      <c r="AC4" s="11">
        <v>5.38</v>
      </c>
      <c r="AD4" s="43">
        <f t="shared" si="0"/>
        <v>0.11000000000000032</v>
      </c>
      <c r="AE4" s="172">
        <f t="shared" si="1"/>
        <v>1.1278195488721776E-2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42439</v>
      </c>
      <c r="X5" s="11">
        <v>5.01</v>
      </c>
      <c r="Y5" s="11">
        <v>5.36</v>
      </c>
      <c r="Z5" s="11">
        <v>4.97</v>
      </c>
      <c r="AA5" s="11">
        <v>5.32</v>
      </c>
      <c r="AB5" s="114">
        <v>26137500</v>
      </c>
      <c r="AC5" s="11">
        <v>5.32</v>
      </c>
      <c r="AD5" s="43">
        <f t="shared" si="0"/>
        <v>0.39000000000000057</v>
      </c>
      <c r="AE5" s="172">
        <f t="shared" si="1"/>
        <v>2.9013539651837617E-2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42438</v>
      </c>
      <c r="X6" s="11">
        <v>5.37</v>
      </c>
      <c r="Y6" s="11">
        <v>5.38</v>
      </c>
      <c r="Z6" s="11">
        <v>5.1100000000000003</v>
      </c>
      <c r="AA6" s="11">
        <v>5.17</v>
      </c>
      <c r="AB6" s="114">
        <v>32413000</v>
      </c>
      <c r="AC6" s="11">
        <v>5.17</v>
      </c>
      <c r="AD6" s="43">
        <f t="shared" si="0"/>
        <v>0.26999999999999957</v>
      </c>
      <c r="AE6" s="172" t="e">
        <f t="shared" si="1"/>
        <v>#DIV/0!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42438</v>
      </c>
      <c r="X7" s="11" t="s">
        <v>213</v>
      </c>
      <c r="Y7" s="11"/>
      <c r="Z7" s="11"/>
      <c r="AA7" s="11"/>
      <c r="AB7" s="114"/>
      <c r="AC7" s="11"/>
      <c r="AD7" s="43">
        <f t="shared" si="0"/>
        <v>0</v>
      </c>
      <c r="AE7" s="172">
        <f t="shared" si="1"/>
        <v>-1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42437</v>
      </c>
      <c r="X8" s="11">
        <v>5.76</v>
      </c>
      <c r="Y8" s="11">
        <v>5.77</v>
      </c>
      <c r="Z8" s="11">
        <v>5.52</v>
      </c>
      <c r="AA8" s="11">
        <v>5.65</v>
      </c>
      <c r="AB8" s="114">
        <v>21167400</v>
      </c>
      <c r="AC8" s="11">
        <v>5.55</v>
      </c>
      <c r="AD8" s="43">
        <f t="shared" si="0"/>
        <v>0.25</v>
      </c>
      <c r="AE8" s="172">
        <f t="shared" si="1"/>
        <v>-2.2887323943661997E-2</v>
      </c>
    </row>
    <row r="9" spans="1:31" x14ac:dyDescent="0.25">
      <c r="H9" s="81"/>
      <c r="O9" s="13" t="s">
        <v>230</v>
      </c>
      <c r="Q9" s="148">
        <f>VALUE(TRIM(CLEAN(MID(U56, FIND("(", U56)+1, 5))))</f>
        <v>7.8100000000000003E-2</v>
      </c>
      <c r="W9" s="120">
        <v>42436</v>
      </c>
      <c r="X9" s="11">
        <v>5.54</v>
      </c>
      <c r="Y9" s="11">
        <v>5.85</v>
      </c>
      <c r="Z9" s="11">
        <v>5.47</v>
      </c>
      <c r="AA9" s="11">
        <v>5.79</v>
      </c>
      <c r="AB9" s="114">
        <v>18805400</v>
      </c>
      <c r="AC9" s="11">
        <v>5.68</v>
      </c>
      <c r="AD9" s="43">
        <f t="shared" si="0"/>
        <v>0.37999999999999989</v>
      </c>
      <c r="AE9" s="172">
        <f t="shared" si="1"/>
        <v>3.8391224862888373E-2</v>
      </c>
    </row>
    <row r="10" spans="1:31" x14ac:dyDescent="0.25">
      <c r="H10" s="81"/>
      <c r="W10" s="120">
        <v>42433</v>
      </c>
      <c r="X10" s="11">
        <v>5.69</v>
      </c>
      <c r="Y10" s="11">
        <v>5.85</v>
      </c>
      <c r="Z10" s="11">
        <v>5.52</v>
      </c>
      <c r="AA10" s="11">
        <v>5.57</v>
      </c>
      <c r="AB10" s="114">
        <v>27837700</v>
      </c>
      <c r="AC10" s="11">
        <v>5.47</v>
      </c>
      <c r="AD10" s="43">
        <f t="shared" si="0"/>
        <v>0.33000000000000007</v>
      </c>
      <c r="AE10" s="172">
        <f t="shared" si="1"/>
        <v>-1.9713261648745539E-2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42432</v>
      </c>
      <c r="X11" s="11">
        <v>5.63</v>
      </c>
      <c r="Y11" s="11">
        <v>5.81</v>
      </c>
      <c r="Z11" s="11">
        <v>5.6</v>
      </c>
      <c r="AA11" s="11">
        <v>5.69</v>
      </c>
      <c r="AB11" s="114">
        <v>19465100</v>
      </c>
      <c r="AC11" s="11">
        <v>5.58</v>
      </c>
      <c r="AD11" s="43">
        <f t="shared" si="0"/>
        <v>0.20999999999999996</v>
      </c>
      <c r="AE11" s="172">
        <f t="shared" si="1"/>
        <v>9.0415913200723175E-3</v>
      </c>
    </row>
    <row r="12" spans="1:31" x14ac:dyDescent="0.25">
      <c r="W12" s="120">
        <v>42431</v>
      </c>
      <c r="X12" s="11">
        <v>5.48</v>
      </c>
      <c r="Y12" s="11">
        <v>5.68</v>
      </c>
      <c r="Z12" s="11">
        <v>5.43</v>
      </c>
      <c r="AA12" s="11">
        <v>5.63</v>
      </c>
      <c r="AB12" s="114">
        <v>16976500</v>
      </c>
      <c r="AC12" s="11">
        <v>5.53</v>
      </c>
      <c r="AD12" s="43">
        <f t="shared" si="0"/>
        <v>0.25</v>
      </c>
      <c r="AE12" s="172">
        <f t="shared" si="1"/>
        <v>2.9795158286778367E-2</v>
      </c>
    </row>
    <row r="13" spans="1:31" x14ac:dyDescent="0.25">
      <c r="W13" s="120">
        <v>42430</v>
      </c>
      <c r="X13" s="11">
        <v>5.46</v>
      </c>
      <c r="Y13" s="11">
        <v>5.52</v>
      </c>
      <c r="Z13" s="11">
        <v>5.41</v>
      </c>
      <c r="AA13" s="11">
        <v>5.47</v>
      </c>
      <c r="AB13" s="114">
        <v>18889600</v>
      </c>
      <c r="AC13" s="11">
        <v>5.37</v>
      </c>
      <c r="AD13" s="43">
        <f t="shared" si="0"/>
        <v>0.10999999999999943</v>
      </c>
      <c r="AE13" s="172">
        <f t="shared" si="1"/>
        <v>1.1299435028248705E-2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I14" s="253" t="s">
        <v>183</v>
      </c>
      <c r="W14" s="120">
        <v>42429</v>
      </c>
      <c r="X14" s="11">
        <v>5.4</v>
      </c>
      <c r="Y14" s="11">
        <v>5.52</v>
      </c>
      <c r="Z14" s="11">
        <v>5.36</v>
      </c>
      <c r="AA14" s="11">
        <v>5.41</v>
      </c>
      <c r="AB14" s="114">
        <v>29556900</v>
      </c>
      <c r="AC14" s="11">
        <v>5.31</v>
      </c>
      <c r="AD14" s="43">
        <f t="shared" si="0"/>
        <v>0.15999999999999925</v>
      </c>
      <c r="AE14" s="172">
        <f t="shared" si="1"/>
        <v>-3.7523452157599557E-3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42426</v>
      </c>
      <c r="X15" s="11">
        <v>5.32</v>
      </c>
      <c r="Y15" s="11">
        <v>5.47</v>
      </c>
      <c r="Z15" s="11">
        <v>5.19</v>
      </c>
      <c r="AA15" s="11">
        <v>5.43</v>
      </c>
      <c r="AB15" s="114">
        <v>19529200</v>
      </c>
      <c r="AC15" s="11">
        <v>5.33</v>
      </c>
      <c r="AD15" s="43">
        <f t="shared" si="0"/>
        <v>0.27999999999999936</v>
      </c>
      <c r="AE15" s="172">
        <f t="shared" si="1"/>
        <v>2.303262955854124E-2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42425</v>
      </c>
      <c r="X16" s="11">
        <v>5.35</v>
      </c>
      <c r="Y16" s="11">
        <v>5.38</v>
      </c>
      <c r="Z16" s="11">
        <v>5.13</v>
      </c>
      <c r="AA16" s="11">
        <v>5.31</v>
      </c>
      <c r="AB16" s="114">
        <v>39810100</v>
      </c>
      <c r="AC16" s="11">
        <v>5.21</v>
      </c>
      <c r="AD16" s="43">
        <f t="shared" si="0"/>
        <v>0.25</v>
      </c>
      <c r="AE16" s="172">
        <f t="shared" si="1"/>
        <v>1.9230769230769162E-3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42424</v>
      </c>
      <c r="X17" s="11">
        <v>5.03</v>
      </c>
      <c r="Y17" s="11">
        <v>5.35</v>
      </c>
      <c r="Z17" s="11">
        <v>4.9800000000000004</v>
      </c>
      <c r="AA17" s="11">
        <v>5.3</v>
      </c>
      <c r="AB17" s="114">
        <v>61804000</v>
      </c>
      <c r="AC17" s="11">
        <v>5.2</v>
      </c>
      <c r="AD17" s="43">
        <f t="shared" si="0"/>
        <v>0.36999999999999922</v>
      </c>
      <c r="AE17" s="172">
        <f t="shared" si="1"/>
        <v>4.2084168336673278E-2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42423</v>
      </c>
      <c r="X18" s="11">
        <v>4.74</v>
      </c>
      <c r="Y18" s="11">
        <v>5.09</v>
      </c>
      <c r="Z18" s="11">
        <v>4.6399999999999997</v>
      </c>
      <c r="AA18" s="11">
        <v>5.08</v>
      </c>
      <c r="AB18" s="114">
        <v>52495100</v>
      </c>
      <c r="AC18" s="11">
        <v>4.99</v>
      </c>
      <c r="AD18" s="43">
        <f t="shared" si="0"/>
        <v>0.45000000000000018</v>
      </c>
      <c r="AE18" s="172">
        <f t="shared" si="1"/>
        <v>0.12641083521444707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42422</v>
      </c>
      <c r="X19" s="11">
        <v>4.53</v>
      </c>
      <c r="Y19" s="11">
        <v>4.6500000000000004</v>
      </c>
      <c r="Z19" s="11">
        <v>4.49</v>
      </c>
      <c r="AA19" s="11">
        <v>4.51</v>
      </c>
      <c r="AB19" s="114">
        <v>23203700</v>
      </c>
      <c r="AC19" s="11">
        <v>4.43</v>
      </c>
      <c r="AD19" s="43">
        <f t="shared" si="0"/>
        <v>0.16000000000000014</v>
      </c>
      <c r="AE19" s="172">
        <f t="shared" si="1"/>
        <v>1.6055045871559592E-2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42419</v>
      </c>
      <c r="X20" s="11">
        <v>4.54</v>
      </c>
      <c r="Y20" s="11">
        <v>4.55</v>
      </c>
      <c r="Z20" s="11">
        <v>4.37</v>
      </c>
      <c r="AA20" s="11">
        <v>4.4400000000000004</v>
      </c>
      <c r="AB20" s="114">
        <v>11815400</v>
      </c>
      <c r="AC20" s="11">
        <v>4.3600000000000003</v>
      </c>
      <c r="AD20" s="43">
        <f t="shared" si="0"/>
        <v>0.17999999999999972</v>
      </c>
      <c r="AE20" s="172">
        <f t="shared" si="1"/>
        <v>-2.2421524663677084E-2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42418</v>
      </c>
      <c r="X21" s="11">
        <v>4.45</v>
      </c>
      <c r="Y21" s="11">
        <v>4.7</v>
      </c>
      <c r="Z21" s="11">
        <v>4.4000000000000004</v>
      </c>
      <c r="AA21" s="11">
        <v>4.54</v>
      </c>
      <c r="AB21" s="114">
        <v>18100000</v>
      </c>
      <c r="AC21" s="11">
        <v>4.46</v>
      </c>
      <c r="AD21" s="43">
        <f t="shared" si="0"/>
        <v>0.29999999999999982</v>
      </c>
      <c r="AE21" s="172">
        <f t="shared" si="1"/>
        <v>2.7649769585253559E-2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42417</v>
      </c>
      <c r="X22" s="11">
        <v>4.32</v>
      </c>
      <c r="Y22" s="11">
        <v>4.47</v>
      </c>
      <c r="Z22" s="11">
        <v>4.28</v>
      </c>
      <c r="AA22" s="11">
        <v>4.42</v>
      </c>
      <c r="AB22" s="114">
        <v>13517900</v>
      </c>
      <c r="AC22" s="11">
        <v>4.34</v>
      </c>
      <c r="AD22" s="43">
        <f t="shared" si="0"/>
        <v>0.1899999999999995</v>
      </c>
      <c r="AE22" s="172">
        <f t="shared" si="1"/>
        <v>4.0767386091127067E-2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42416</v>
      </c>
      <c r="X23" s="11">
        <v>4.3499999999999996</v>
      </c>
      <c r="Y23" s="11">
        <v>4.3499999999999996</v>
      </c>
      <c r="Z23" s="11">
        <v>4.1500000000000004</v>
      </c>
      <c r="AA23" s="11">
        <v>4.25</v>
      </c>
      <c r="AB23" s="114">
        <v>11779900</v>
      </c>
      <c r="AC23" s="11">
        <v>4.17</v>
      </c>
      <c r="AD23" s="43">
        <f t="shared" si="0"/>
        <v>0.19999999999999929</v>
      </c>
      <c r="AE23" s="172">
        <f t="shared" si="1"/>
        <v>2.4038461538460343E-3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42412</v>
      </c>
      <c r="X24" s="11">
        <v>4.2</v>
      </c>
      <c r="Y24" s="11">
        <v>4.29</v>
      </c>
      <c r="Z24" s="11">
        <v>4.0599999999999996</v>
      </c>
      <c r="AA24" s="11">
        <v>4.24</v>
      </c>
      <c r="AB24" s="114">
        <v>19893900</v>
      </c>
      <c r="AC24" s="11">
        <v>4.16</v>
      </c>
      <c r="AD24" s="43">
        <f t="shared" si="0"/>
        <v>0.23000000000000043</v>
      </c>
      <c r="AE24" s="172">
        <f t="shared" si="1"/>
        <v>1.7114914425427896E-2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42411</v>
      </c>
      <c r="X25" s="11">
        <v>4.12</v>
      </c>
      <c r="Y25" s="11">
        <v>4.26</v>
      </c>
      <c r="Z25" s="11">
        <v>4.07</v>
      </c>
      <c r="AA25" s="11">
        <v>4.17</v>
      </c>
      <c r="AB25" s="114">
        <v>20949700</v>
      </c>
      <c r="AC25" s="11">
        <v>4.09</v>
      </c>
      <c r="AD25" s="43">
        <f t="shared" si="0"/>
        <v>0.1899999999999995</v>
      </c>
      <c r="AE25" s="172">
        <f t="shared" si="1"/>
        <v>0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42410</v>
      </c>
      <c r="X26" s="11">
        <v>4.3600000000000003</v>
      </c>
      <c r="Y26" s="11">
        <v>4.37</v>
      </c>
      <c r="Z26" s="11">
        <v>4.1100000000000003</v>
      </c>
      <c r="AA26" s="11">
        <v>4.17</v>
      </c>
      <c r="AB26" s="114">
        <v>18481900</v>
      </c>
      <c r="AC26" s="11">
        <v>4.09</v>
      </c>
      <c r="AD26" s="43">
        <f t="shared" si="0"/>
        <v>0.25999999999999979</v>
      </c>
      <c r="AE26" s="172">
        <f t="shared" si="1"/>
        <v>-3.5377358490566113E-2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42409</v>
      </c>
      <c r="X27" s="11">
        <v>4.25</v>
      </c>
      <c r="Y27" s="11">
        <v>4.3600000000000003</v>
      </c>
      <c r="Z27" s="11">
        <v>4.08</v>
      </c>
      <c r="AA27" s="11">
        <v>4.32</v>
      </c>
      <c r="AB27" s="114">
        <v>22689900</v>
      </c>
      <c r="AC27" s="11">
        <v>4.24</v>
      </c>
      <c r="AD27" s="43">
        <f t="shared" si="0"/>
        <v>0.28000000000000025</v>
      </c>
      <c r="AE27" s="172">
        <f t="shared" si="1"/>
        <v>0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42408</v>
      </c>
      <c r="X28" s="11">
        <v>4.63</v>
      </c>
      <c r="Y28" s="11">
        <v>4.66</v>
      </c>
      <c r="Z28" s="11">
        <v>4.21</v>
      </c>
      <c r="AA28" s="11">
        <v>4.32</v>
      </c>
      <c r="AB28" s="114">
        <v>19109700</v>
      </c>
      <c r="AC28" s="11">
        <v>4.24</v>
      </c>
      <c r="AD28" s="43">
        <f t="shared" si="0"/>
        <v>0.45000000000000018</v>
      </c>
      <c r="AE28" s="172">
        <f t="shared" si="1"/>
        <v>-7.6252723311546755E-2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42405</v>
      </c>
      <c r="X29" s="11">
        <v>4.6900000000000004</v>
      </c>
      <c r="Y29" s="11">
        <v>4.8600000000000003</v>
      </c>
      <c r="Z29" s="11">
        <v>4.6100000000000003</v>
      </c>
      <c r="AA29" s="11">
        <v>4.68</v>
      </c>
      <c r="AB29" s="114">
        <v>25876200</v>
      </c>
      <c r="AC29" s="11">
        <v>4.59</v>
      </c>
      <c r="AD29" s="43">
        <f t="shared" si="0"/>
        <v>0.25</v>
      </c>
      <c r="AE29" s="172">
        <f t="shared" si="1"/>
        <v>-4.3383947939263923E-3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42404</v>
      </c>
      <c r="X30" s="11">
        <v>4.62</v>
      </c>
      <c r="Y30" s="11">
        <v>4.8899999999999997</v>
      </c>
      <c r="Z30" s="11">
        <v>4.62</v>
      </c>
      <c r="AA30" s="11">
        <v>4.7</v>
      </c>
      <c r="AB30" s="114">
        <v>26429500</v>
      </c>
      <c r="AC30" s="11">
        <v>4.6100000000000003</v>
      </c>
      <c r="AD30" s="43">
        <f t="shared" si="0"/>
        <v>0.26999999999999957</v>
      </c>
      <c r="AE30" s="172">
        <f t="shared" si="1"/>
        <v>2.2172949002217335E-2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42403</v>
      </c>
      <c r="X31" s="11">
        <v>4.42</v>
      </c>
      <c r="Y31" s="11">
        <v>4.6399999999999997</v>
      </c>
      <c r="Z31" s="11">
        <v>4.38</v>
      </c>
      <c r="AA31" s="11">
        <v>4.5999999999999996</v>
      </c>
      <c r="AB31" s="114">
        <v>15768300</v>
      </c>
      <c r="AC31" s="11">
        <v>4.51</v>
      </c>
      <c r="AD31" s="43">
        <f t="shared" si="0"/>
        <v>0.25999999999999979</v>
      </c>
      <c r="AE31" s="172">
        <f t="shared" si="1"/>
        <v>5.6206088992974301E-2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42402</v>
      </c>
      <c r="X32" s="11">
        <v>4.51</v>
      </c>
      <c r="Y32" s="11">
        <v>4.54</v>
      </c>
      <c r="Z32" s="11">
        <v>4.34</v>
      </c>
      <c r="AA32" s="11">
        <v>4.3499999999999996</v>
      </c>
      <c r="AB32" s="114">
        <v>12799500</v>
      </c>
      <c r="AC32" s="11">
        <v>4.2699999999999996</v>
      </c>
      <c r="AD32" s="43">
        <f t="shared" si="0"/>
        <v>0.20000000000000018</v>
      </c>
      <c r="AE32" s="172">
        <f t="shared" si="1"/>
        <v>-4.8997772828507924E-2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42401</v>
      </c>
      <c r="X33" s="11">
        <v>4.6399999999999997</v>
      </c>
      <c r="Y33" s="11">
        <v>4.6399999999999997</v>
      </c>
      <c r="Z33" s="11">
        <v>4.45</v>
      </c>
      <c r="AA33" s="11">
        <v>4.58</v>
      </c>
      <c r="AB33" s="114">
        <v>10147500</v>
      </c>
      <c r="AC33" s="11">
        <v>4.49</v>
      </c>
      <c r="AD33" s="43">
        <f t="shared" si="0"/>
        <v>0.1899999999999995</v>
      </c>
      <c r="AE33" s="172">
        <f t="shared" si="1"/>
        <v>4.4742729306488371E-3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42398</v>
      </c>
      <c r="X34" s="11">
        <v>4.55</v>
      </c>
      <c r="Y34" s="11">
        <v>4.58</v>
      </c>
      <c r="Z34" s="11">
        <v>4.5</v>
      </c>
      <c r="AA34" s="11">
        <v>4.55</v>
      </c>
      <c r="AB34" s="114">
        <v>12877700</v>
      </c>
      <c r="AC34" s="11">
        <v>4.47</v>
      </c>
      <c r="AD34" s="43">
        <f t="shared" si="0"/>
        <v>8.0000000000000071E-2</v>
      </c>
      <c r="AE34" s="172">
        <f t="shared" si="1"/>
        <v>9.0293453724605843E-3</v>
      </c>
    </row>
    <row r="35" spans="2:31" x14ac:dyDescent="0.25">
      <c r="W35" s="120">
        <v>42397</v>
      </c>
      <c r="X35" s="11">
        <v>4.49</v>
      </c>
      <c r="Y35" s="11">
        <v>4.54</v>
      </c>
      <c r="Z35" s="11">
        <v>4.42</v>
      </c>
      <c r="AA35" s="11">
        <v>4.51</v>
      </c>
      <c r="AB35" s="114">
        <v>9892100</v>
      </c>
      <c r="AC35" s="11">
        <v>4.43</v>
      </c>
      <c r="AD35" s="43">
        <f t="shared" si="0"/>
        <v>0.12000000000000011</v>
      </c>
      <c r="AE35" s="172">
        <f t="shared" si="1"/>
        <v>1.3729977116704761E-2</v>
      </c>
    </row>
    <row r="36" spans="2:31" x14ac:dyDescent="0.25">
      <c r="W36" s="120">
        <v>42396</v>
      </c>
      <c r="X36" s="11">
        <v>4.41</v>
      </c>
      <c r="Y36" s="11">
        <v>4.51</v>
      </c>
      <c r="Z36" s="11">
        <v>4.3499999999999996</v>
      </c>
      <c r="AA36" s="11">
        <v>4.45</v>
      </c>
      <c r="AB36" s="114">
        <v>14044700</v>
      </c>
      <c r="AC36" s="11">
        <v>4.37</v>
      </c>
      <c r="AD36" s="43">
        <f t="shared" si="0"/>
        <v>0.16000000000000014</v>
      </c>
      <c r="AE36" s="172">
        <f t="shared" si="1"/>
        <v>6.9124423963133896E-3</v>
      </c>
    </row>
    <row r="37" spans="2:31" x14ac:dyDescent="0.25">
      <c r="W37" s="120">
        <v>42395</v>
      </c>
      <c r="X37" s="11">
        <v>4.2</v>
      </c>
      <c r="Y37" s="11">
        <v>4.46</v>
      </c>
      <c r="Z37" s="11">
        <v>4.1900000000000004</v>
      </c>
      <c r="AA37" s="11">
        <v>4.42</v>
      </c>
      <c r="AB37" s="114">
        <v>11435800</v>
      </c>
      <c r="AC37" s="11">
        <v>4.34</v>
      </c>
      <c r="AD37" s="43">
        <f t="shared" si="0"/>
        <v>0.26999999999999957</v>
      </c>
      <c r="AE37" s="172">
        <f t="shared" si="1"/>
        <v>5.5961070559610526E-2</v>
      </c>
    </row>
    <row r="38" spans="2:31" x14ac:dyDescent="0.25">
      <c r="W38" s="120">
        <v>42394</v>
      </c>
      <c r="X38" s="11">
        <v>4.34</v>
      </c>
      <c r="Y38" s="11">
        <v>4.4000000000000004</v>
      </c>
      <c r="Z38" s="11">
        <v>4.1900000000000004</v>
      </c>
      <c r="AA38" s="11">
        <v>4.1900000000000004</v>
      </c>
      <c r="AB38" s="114">
        <v>13178200</v>
      </c>
      <c r="AC38" s="11">
        <v>4.1100000000000003</v>
      </c>
      <c r="AD38" s="43">
        <f t="shared" si="0"/>
        <v>0.20999999999999996</v>
      </c>
      <c r="AE38" s="172">
        <f t="shared" si="1"/>
        <v>-3.9719626168224331E-2</v>
      </c>
    </row>
    <row r="39" spans="2:31" x14ac:dyDescent="0.25">
      <c r="W39" s="120">
        <v>42391</v>
      </c>
      <c r="X39" s="11">
        <v>4.09</v>
      </c>
      <c r="Y39" s="11">
        <v>4.3600000000000003</v>
      </c>
      <c r="Z39" s="11">
        <v>4.08</v>
      </c>
      <c r="AA39" s="11">
        <v>4.3600000000000003</v>
      </c>
      <c r="AB39" s="114">
        <v>23209200</v>
      </c>
      <c r="AC39" s="11">
        <v>4.28</v>
      </c>
      <c r="AD39" s="43">
        <f t="shared" si="0"/>
        <v>0.28000000000000025</v>
      </c>
      <c r="AE39" s="172">
        <f t="shared" si="1"/>
        <v>8.9058524173027953E-2</v>
      </c>
    </row>
    <row r="40" spans="2:31" ht="20.25" thickBot="1" x14ac:dyDescent="0.35">
      <c r="O40" s="408" t="s">
        <v>78</v>
      </c>
      <c r="P40" s="408"/>
      <c r="T40" s="101" t="s">
        <v>116</v>
      </c>
      <c r="W40" s="120">
        <v>42390</v>
      </c>
      <c r="X40" s="11">
        <v>4.01</v>
      </c>
      <c r="Y40" s="11">
        <v>4.0999999999999996</v>
      </c>
      <c r="Z40" s="11">
        <v>3.9</v>
      </c>
      <c r="AA40" s="11">
        <v>4</v>
      </c>
      <c r="AB40" s="114">
        <v>29644800</v>
      </c>
      <c r="AC40" s="11">
        <v>3.93</v>
      </c>
      <c r="AD40" s="43">
        <f t="shared" si="0"/>
        <v>0.19999999999999973</v>
      </c>
      <c r="AE40" s="172">
        <f t="shared" si="1"/>
        <v>1.5503875968992276E-2</v>
      </c>
    </row>
    <row r="41" spans="2:31" ht="15.75" thickTop="1" x14ac:dyDescent="0.25">
      <c r="O41" s="93">
        <v>1.1000000000000001</v>
      </c>
      <c r="P41" s="93">
        <f>O41*$Q$4</f>
        <v>5.8740000000000006</v>
      </c>
      <c r="Q41" s="2"/>
      <c r="T41" s="138" t="s">
        <v>101</v>
      </c>
      <c r="U41" s="108">
        <v>5.34</v>
      </c>
      <c r="W41" s="120">
        <v>42389</v>
      </c>
      <c r="X41" s="11">
        <v>4.0999999999999996</v>
      </c>
      <c r="Y41" s="11">
        <v>4.1500000000000004</v>
      </c>
      <c r="Z41" s="11">
        <v>3.81</v>
      </c>
      <c r="AA41" s="11">
        <v>3.94</v>
      </c>
      <c r="AB41" s="114">
        <v>28272600</v>
      </c>
      <c r="AC41" s="11">
        <v>3.87</v>
      </c>
      <c r="AD41" s="43">
        <f t="shared" si="0"/>
        <v>0.3400000000000003</v>
      </c>
      <c r="AE41" s="172">
        <f t="shared" si="1"/>
        <v>-5.6097560975609695E-2</v>
      </c>
    </row>
    <row r="42" spans="2:31" x14ac:dyDescent="0.25">
      <c r="O42" s="93">
        <v>1.0900000000000001</v>
      </c>
      <c r="P42" s="93">
        <f t="shared" ref="P42:P61" si="9">O42*$Q$4</f>
        <v>5.8206000000000007</v>
      </c>
      <c r="Q42" s="2"/>
      <c r="T42" s="103" t="s">
        <v>102</v>
      </c>
      <c r="U42" s="98">
        <v>5.26</v>
      </c>
      <c r="W42" s="120">
        <v>42388</v>
      </c>
      <c r="X42" s="11">
        <v>4.28</v>
      </c>
      <c r="Y42" s="11">
        <v>4.32</v>
      </c>
      <c r="Z42" s="11">
        <v>4.16</v>
      </c>
      <c r="AA42" s="11">
        <v>4.18</v>
      </c>
      <c r="AB42" s="114">
        <v>15665800</v>
      </c>
      <c r="AC42" s="11">
        <v>4.0999999999999996</v>
      </c>
      <c r="AD42" s="43">
        <f t="shared" si="0"/>
        <v>0.16000000000000014</v>
      </c>
      <c r="AE42" s="172">
        <f t="shared" si="1"/>
        <v>-1.4423076923077094E-2</v>
      </c>
    </row>
    <row r="43" spans="2:31" x14ac:dyDescent="0.25">
      <c r="O43" s="93">
        <v>1.08</v>
      </c>
      <c r="P43" s="93">
        <f t="shared" si="9"/>
        <v>5.7671999999999999</v>
      </c>
      <c r="Q43" s="2"/>
      <c r="T43" s="103" t="s">
        <v>103</v>
      </c>
      <c r="U43" s="98" t="s">
        <v>415</v>
      </c>
      <c r="W43" s="120">
        <v>42384</v>
      </c>
      <c r="X43" s="11">
        <v>4.22</v>
      </c>
      <c r="Y43" s="11">
        <v>4.26</v>
      </c>
      <c r="Z43" s="11">
        <v>4.1100000000000003</v>
      </c>
      <c r="AA43" s="11">
        <v>4.24</v>
      </c>
      <c r="AB43" s="114">
        <v>24824700</v>
      </c>
      <c r="AC43" s="11">
        <v>4.16</v>
      </c>
      <c r="AD43" s="43">
        <f t="shared" si="0"/>
        <v>0.14999999999999947</v>
      </c>
      <c r="AE43" s="172">
        <f t="shared" si="1"/>
        <v>-3.0303030303030276E-2</v>
      </c>
    </row>
    <row r="44" spans="2:31" x14ac:dyDescent="0.25">
      <c r="O44" s="93">
        <v>1.07</v>
      </c>
      <c r="P44" s="93">
        <f t="shared" si="9"/>
        <v>5.7138</v>
      </c>
      <c r="Q44" s="2"/>
      <c r="T44" s="103" t="s">
        <v>104</v>
      </c>
      <c r="U44" s="98" t="s">
        <v>416</v>
      </c>
      <c r="W44" s="120">
        <v>42383</v>
      </c>
      <c r="X44" s="11">
        <v>4.2</v>
      </c>
      <c r="Y44" s="11">
        <v>4.37</v>
      </c>
      <c r="Z44" s="11">
        <v>3.96</v>
      </c>
      <c r="AA44" s="11">
        <v>4.37</v>
      </c>
      <c r="AB44" s="114">
        <v>23111000</v>
      </c>
      <c r="AC44" s="11">
        <v>4.29</v>
      </c>
      <c r="AD44" s="43">
        <f t="shared" si="0"/>
        <v>0.41000000000000014</v>
      </c>
      <c r="AE44" s="172">
        <f t="shared" si="1"/>
        <v>4.8899755501222497E-2</v>
      </c>
    </row>
    <row r="45" spans="2:31" x14ac:dyDescent="0.25">
      <c r="O45" s="93">
        <v>1.06</v>
      </c>
      <c r="P45" s="93">
        <f t="shared" si="9"/>
        <v>5.6604000000000001</v>
      </c>
      <c r="Q45" s="2"/>
      <c r="T45" s="103" t="s">
        <v>105</v>
      </c>
      <c r="U45" s="98">
        <v>6.11</v>
      </c>
      <c r="W45" s="120">
        <v>42382</v>
      </c>
      <c r="X45" s="11">
        <v>4.4000000000000004</v>
      </c>
      <c r="Y45" s="11">
        <v>4.43</v>
      </c>
      <c r="Z45" s="11">
        <v>4.13</v>
      </c>
      <c r="AA45" s="11">
        <v>4.17</v>
      </c>
      <c r="AB45" s="114">
        <v>27519100</v>
      </c>
      <c r="AC45" s="11">
        <v>4.09</v>
      </c>
      <c r="AD45" s="43">
        <f t="shared" si="0"/>
        <v>0.29999999999999982</v>
      </c>
      <c r="AE45" s="172">
        <f t="shared" si="1"/>
        <v>-4.8837209302325602E-2</v>
      </c>
    </row>
    <row r="46" spans="2:31" x14ac:dyDescent="0.25">
      <c r="O46" s="93">
        <v>1.05</v>
      </c>
      <c r="P46" s="93">
        <f t="shared" si="9"/>
        <v>5.6070000000000002</v>
      </c>
      <c r="Q46" s="2"/>
      <c r="T46" s="103" t="s">
        <v>106</v>
      </c>
      <c r="U46" s="98">
        <v>0.65303299999999997</v>
      </c>
      <c r="W46" s="120">
        <v>42381</v>
      </c>
      <c r="X46" s="11">
        <v>4.5599999999999996</v>
      </c>
      <c r="Y46" s="11">
        <v>4.57</v>
      </c>
      <c r="Z46" s="11">
        <v>4.37</v>
      </c>
      <c r="AA46" s="11">
        <v>4.38</v>
      </c>
      <c r="AB46" s="114">
        <v>17140800</v>
      </c>
      <c r="AC46" s="11">
        <v>4.3</v>
      </c>
      <c r="AD46" s="43">
        <f t="shared" si="0"/>
        <v>0.20000000000000018</v>
      </c>
      <c r="AE46" s="172">
        <f t="shared" si="1"/>
        <v>-2.9345372460496622E-2</v>
      </c>
    </row>
    <row r="47" spans="2:31" x14ac:dyDescent="0.25">
      <c r="O47" s="93">
        <v>1.04</v>
      </c>
      <c r="P47" s="93">
        <f t="shared" si="9"/>
        <v>5.5536000000000003</v>
      </c>
      <c r="Q47" s="2"/>
      <c r="T47" s="103" t="s">
        <v>126</v>
      </c>
      <c r="U47" s="98" t="s">
        <v>235</v>
      </c>
      <c r="W47" s="120">
        <v>42380</v>
      </c>
      <c r="X47" s="11">
        <v>4.68</v>
      </c>
      <c r="Y47" s="11">
        <v>4.72</v>
      </c>
      <c r="Z47" s="11">
        <v>4.47</v>
      </c>
      <c r="AA47" s="11">
        <v>4.51</v>
      </c>
      <c r="AB47" s="114">
        <v>14505800</v>
      </c>
      <c r="AC47" s="11">
        <v>4.43</v>
      </c>
      <c r="AD47" s="43">
        <f t="shared" si="0"/>
        <v>0.25</v>
      </c>
      <c r="AE47" s="172">
        <f t="shared" si="1"/>
        <v>-3.27510917030569E-2</v>
      </c>
    </row>
    <row r="48" spans="2:31" x14ac:dyDescent="0.25">
      <c r="O48" s="93">
        <v>1.03</v>
      </c>
      <c r="P48" s="93">
        <f t="shared" si="9"/>
        <v>5.5002000000000004</v>
      </c>
      <c r="Q48" s="2"/>
      <c r="T48" s="103"/>
      <c r="U48" s="98"/>
      <c r="W48" s="120">
        <v>42377</v>
      </c>
      <c r="X48" s="11">
        <v>4.74</v>
      </c>
      <c r="Y48" s="11">
        <v>4.7699999999999996</v>
      </c>
      <c r="Z48" s="11">
        <v>4.6399999999999997</v>
      </c>
      <c r="AA48" s="11">
        <v>4.67</v>
      </c>
      <c r="AB48" s="114">
        <v>13846800</v>
      </c>
      <c r="AC48" s="11">
        <v>4.58</v>
      </c>
      <c r="AD48" s="43">
        <f t="shared" si="0"/>
        <v>0.12999999999999989</v>
      </c>
      <c r="AE48" s="172">
        <f t="shared" si="1"/>
        <v>-4.3478260869563856E-3</v>
      </c>
    </row>
    <row r="49" spans="15:31" x14ac:dyDescent="0.25">
      <c r="O49" s="93">
        <v>1.02</v>
      </c>
      <c r="P49" s="93">
        <f t="shared" si="9"/>
        <v>5.4467999999999996</v>
      </c>
      <c r="Q49" s="2"/>
      <c r="T49" s="103" t="s">
        <v>108</v>
      </c>
      <c r="U49" s="98" t="s">
        <v>362</v>
      </c>
      <c r="W49" s="120">
        <v>42376</v>
      </c>
      <c r="X49" s="11">
        <v>4.72</v>
      </c>
      <c r="Y49" s="11">
        <v>4.79</v>
      </c>
      <c r="Z49" s="11">
        <v>4.68</v>
      </c>
      <c r="AA49" s="11">
        <v>4.6900000000000004</v>
      </c>
      <c r="AB49" s="114">
        <v>12468000</v>
      </c>
      <c r="AC49" s="11">
        <v>4.5999999999999996</v>
      </c>
      <c r="AD49" s="43">
        <f t="shared" si="0"/>
        <v>0.11000000000000032</v>
      </c>
      <c r="AE49" s="172">
        <f t="shared" si="1"/>
        <v>-1.4989293361884481E-2</v>
      </c>
    </row>
    <row r="50" spans="15:31" x14ac:dyDescent="0.25">
      <c r="O50" s="93">
        <v>1.01</v>
      </c>
      <c r="P50" s="93">
        <f t="shared" si="9"/>
        <v>5.3933999999999997</v>
      </c>
      <c r="Q50" s="2"/>
      <c r="T50" s="103" t="s">
        <v>109</v>
      </c>
      <c r="U50" s="98" t="s">
        <v>277</v>
      </c>
      <c r="W50" s="120">
        <v>42375</v>
      </c>
      <c r="X50" s="11">
        <v>4.66</v>
      </c>
      <c r="Y50" s="11">
        <v>4.78</v>
      </c>
      <c r="Z50" s="11">
        <v>4.6399999999999997</v>
      </c>
      <c r="AA50" s="11">
        <v>4.76</v>
      </c>
      <c r="AB50" s="114">
        <v>12389600</v>
      </c>
      <c r="AC50" s="11">
        <v>4.67</v>
      </c>
      <c r="AD50" s="43">
        <f t="shared" si="0"/>
        <v>0.14000000000000057</v>
      </c>
      <c r="AE50" s="172">
        <f t="shared" si="1"/>
        <v>8.6393088552916275E-3</v>
      </c>
    </row>
    <row r="51" spans="15:31" x14ac:dyDescent="0.25">
      <c r="O51" s="93">
        <v>1</v>
      </c>
      <c r="P51" s="93">
        <f t="shared" si="9"/>
        <v>5.34</v>
      </c>
      <c r="Q51" s="2"/>
      <c r="T51" s="103" t="s">
        <v>110</v>
      </c>
      <c r="U51" s="100">
        <v>18544059</v>
      </c>
      <c r="W51" s="120">
        <v>42374</v>
      </c>
      <c r="X51" s="11">
        <v>4.63</v>
      </c>
      <c r="Y51" s="11">
        <v>4.74</v>
      </c>
      <c r="Z51" s="11">
        <v>4.6100000000000003</v>
      </c>
      <c r="AA51" s="11">
        <v>4.72</v>
      </c>
      <c r="AB51" s="114">
        <v>6858600</v>
      </c>
      <c r="AC51" s="11">
        <v>4.63</v>
      </c>
      <c r="AD51" s="43">
        <f t="shared" si="0"/>
        <v>0.12999999999999989</v>
      </c>
      <c r="AE51" s="172">
        <f t="shared" si="1"/>
        <v>1.5350877192982448E-2</v>
      </c>
    </row>
    <row r="52" spans="15:31" x14ac:dyDescent="0.25">
      <c r="O52" s="93">
        <v>0.99</v>
      </c>
      <c r="P52" s="93">
        <f t="shared" si="9"/>
        <v>5.2866</v>
      </c>
      <c r="Q52" s="2"/>
      <c r="T52" s="103" t="s">
        <v>113</v>
      </c>
      <c r="U52" s="100">
        <v>19191100</v>
      </c>
      <c r="W52" s="120">
        <v>42373</v>
      </c>
      <c r="X52" s="11">
        <v>4.5999999999999996</v>
      </c>
      <c r="Y52" s="11">
        <v>4.72</v>
      </c>
      <c r="Z52" s="11">
        <v>4.57</v>
      </c>
      <c r="AA52" s="11">
        <v>4.6500000000000004</v>
      </c>
      <c r="AB52" s="114">
        <v>9378300</v>
      </c>
      <c r="AC52" s="11">
        <v>4.5599999999999996</v>
      </c>
      <c r="AD52" s="43">
        <f t="shared" si="0"/>
        <v>0.14999999999999947</v>
      </c>
      <c r="AE52" s="172">
        <f t="shared" si="1"/>
        <v>-4.366812227074357E-3</v>
      </c>
    </row>
    <row r="53" spans="15:31" x14ac:dyDescent="0.25">
      <c r="O53" s="93">
        <v>0.98</v>
      </c>
      <c r="P53" s="93">
        <f t="shared" si="9"/>
        <v>5.2332000000000001</v>
      </c>
      <c r="Q53" s="2"/>
      <c r="T53" s="103" t="s">
        <v>111</v>
      </c>
      <c r="U53" s="98" t="s">
        <v>363</v>
      </c>
      <c r="W53" s="120">
        <v>42369</v>
      </c>
      <c r="X53" s="11">
        <v>4.71</v>
      </c>
      <c r="Y53" s="11">
        <v>4.72</v>
      </c>
      <c r="Z53" s="11">
        <v>4.63</v>
      </c>
      <c r="AA53" s="11">
        <v>4.67</v>
      </c>
      <c r="AB53" s="114">
        <v>9651700</v>
      </c>
      <c r="AC53" s="11">
        <v>4.58</v>
      </c>
      <c r="AD53" s="43">
        <f t="shared" si="0"/>
        <v>8.9999999999999858E-2</v>
      </c>
      <c r="AE53" s="172">
        <f t="shared" si="1"/>
        <v>2.1881838074397919E-3</v>
      </c>
    </row>
    <row r="54" spans="15:31" x14ac:dyDescent="0.25">
      <c r="O54" s="93">
        <v>0.97</v>
      </c>
      <c r="P54" s="93">
        <f t="shared" si="9"/>
        <v>5.1797999999999993</v>
      </c>
      <c r="T54" s="103" t="s">
        <v>114</v>
      </c>
      <c r="U54" s="98" t="s">
        <v>134</v>
      </c>
      <c r="W54" s="120">
        <v>42368</v>
      </c>
      <c r="X54" s="11">
        <v>4.79</v>
      </c>
      <c r="Y54" s="11">
        <v>4.82</v>
      </c>
      <c r="Z54" s="11">
        <v>4.6500000000000004</v>
      </c>
      <c r="AA54" s="11">
        <v>4.66</v>
      </c>
      <c r="AB54" s="114">
        <v>11903100</v>
      </c>
      <c r="AC54" s="11">
        <v>4.57</v>
      </c>
      <c r="AD54" s="43">
        <f t="shared" si="0"/>
        <v>0.16999999999999993</v>
      </c>
      <c r="AE54" s="172">
        <f t="shared" si="1"/>
        <v>-3.3826638477801318E-2</v>
      </c>
    </row>
    <row r="55" spans="15:31" x14ac:dyDescent="0.25">
      <c r="O55" s="93">
        <v>0.96</v>
      </c>
      <c r="P55" s="93">
        <f t="shared" si="9"/>
        <v>5.1263999999999994</v>
      </c>
      <c r="T55" s="103" t="s">
        <v>115</v>
      </c>
      <c r="U55" s="98">
        <v>-0.28999999999999998</v>
      </c>
      <c r="W55" s="120">
        <v>42367</v>
      </c>
      <c r="X55" s="11">
        <v>4.8600000000000003</v>
      </c>
      <c r="Y55" s="11">
        <v>4.9000000000000004</v>
      </c>
      <c r="Z55" s="11">
        <v>4.78</v>
      </c>
      <c r="AA55" s="11">
        <v>4.82</v>
      </c>
      <c r="AB55" s="114">
        <v>8068400</v>
      </c>
      <c r="AC55" s="11">
        <v>4.7300000000000004</v>
      </c>
      <c r="AD55" s="43">
        <f t="shared" si="0"/>
        <v>0.12000000000000011</v>
      </c>
      <c r="AE55" s="172">
        <f t="shared" si="1"/>
        <v>-6.3025210084032279E-3</v>
      </c>
    </row>
    <row r="56" spans="15:31" x14ac:dyDescent="0.25">
      <c r="O56" s="93">
        <v>0.95</v>
      </c>
      <c r="P56" s="93">
        <f t="shared" si="9"/>
        <v>5.0729999999999995</v>
      </c>
      <c r="T56" s="103" t="s">
        <v>112</v>
      </c>
      <c r="U56" s="98" t="s">
        <v>364</v>
      </c>
      <c r="W56" s="120">
        <v>42366</v>
      </c>
      <c r="X56" s="11">
        <v>4.83</v>
      </c>
      <c r="Y56" s="11">
        <v>4.88</v>
      </c>
      <c r="Z56" s="11">
        <v>4.7699999999999996</v>
      </c>
      <c r="AA56" s="11">
        <v>4.8499999999999996</v>
      </c>
      <c r="AB56" s="114">
        <v>8010100</v>
      </c>
      <c r="AC56" s="11">
        <v>4.76</v>
      </c>
      <c r="AD56" s="43">
        <f t="shared" si="0"/>
        <v>0.11000000000000032</v>
      </c>
      <c r="AE56" s="172">
        <f t="shared" si="1"/>
        <v>-2.0964360587001352E-3</v>
      </c>
    </row>
    <row r="57" spans="15:31" x14ac:dyDescent="0.25">
      <c r="O57" s="93">
        <v>0.94</v>
      </c>
      <c r="P57" s="93">
        <f t="shared" si="9"/>
        <v>5.0195999999999996</v>
      </c>
      <c r="W57" s="120">
        <v>42362</v>
      </c>
      <c r="X57" s="11">
        <v>4.8600000000000003</v>
      </c>
      <c r="Y57" s="11">
        <v>4.9000000000000004</v>
      </c>
      <c r="Z57" s="11">
        <v>4.83</v>
      </c>
      <c r="AA57" s="11">
        <v>4.8600000000000003</v>
      </c>
      <c r="AB57" s="114">
        <v>4937200</v>
      </c>
      <c r="AC57" s="11">
        <v>4.7699999999999996</v>
      </c>
      <c r="AD57" s="43">
        <f t="shared" si="0"/>
        <v>7.0000000000000284E-2</v>
      </c>
      <c r="AE57" s="172">
        <f t="shared" si="1"/>
        <v>2.1008403361344463E-3</v>
      </c>
    </row>
    <row r="58" spans="15:31" x14ac:dyDescent="0.25">
      <c r="O58" s="93">
        <v>0.93</v>
      </c>
      <c r="P58" s="93">
        <f t="shared" si="9"/>
        <v>4.9661999999999997</v>
      </c>
      <c r="W58" s="120">
        <v>42361</v>
      </c>
      <c r="X58" s="11">
        <v>4.6900000000000004</v>
      </c>
      <c r="Y58" s="11">
        <v>4.8600000000000003</v>
      </c>
      <c r="Z58" s="11">
        <v>4.68</v>
      </c>
      <c r="AA58" s="11">
        <v>4.8499999999999996</v>
      </c>
      <c r="AB58" s="114">
        <v>16936200</v>
      </c>
      <c r="AC58" s="11">
        <v>4.76</v>
      </c>
      <c r="AD58" s="43">
        <f t="shared" si="0"/>
        <v>0.1800000000000006</v>
      </c>
      <c r="AE58" s="172">
        <f t="shared" si="1"/>
        <v>4.3859649122807154E-2</v>
      </c>
    </row>
    <row r="59" spans="15:31" x14ac:dyDescent="0.25">
      <c r="O59" s="93">
        <v>0.92</v>
      </c>
      <c r="P59" s="93">
        <f t="shared" si="9"/>
        <v>4.9127999999999998</v>
      </c>
      <c r="W59" s="120">
        <v>42360</v>
      </c>
      <c r="X59" s="11">
        <v>4.63</v>
      </c>
      <c r="Y59" s="11">
        <v>4.6500000000000004</v>
      </c>
      <c r="Z59" s="11">
        <v>4.54</v>
      </c>
      <c r="AA59" s="11">
        <v>4.6500000000000004</v>
      </c>
      <c r="AB59" s="114">
        <v>13839800</v>
      </c>
      <c r="AC59" s="11">
        <v>4.5599999999999996</v>
      </c>
      <c r="AD59" s="43">
        <f t="shared" si="0"/>
        <v>0.11000000000000032</v>
      </c>
      <c r="AE59" s="172">
        <f t="shared" si="1"/>
        <v>2.19780219780219E-3</v>
      </c>
    </row>
    <row r="60" spans="15:31" x14ac:dyDescent="0.25">
      <c r="O60" s="93">
        <v>0.91</v>
      </c>
      <c r="P60" s="93">
        <f t="shared" si="9"/>
        <v>4.8593999999999999</v>
      </c>
      <c r="W60" s="120">
        <v>42359</v>
      </c>
      <c r="X60" s="11">
        <v>4.6900000000000004</v>
      </c>
      <c r="Y60" s="11">
        <v>4.72</v>
      </c>
      <c r="Z60" s="11">
        <v>4.59</v>
      </c>
      <c r="AA60" s="11">
        <v>4.6399999999999997</v>
      </c>
      <c r="AB60" s="114">
        <v>12131700</v>
      </c>
      <c r="AC60" s="11">
        <v>4.55</v>
      </c>
      <c r="AD60" s="43">
        <f t="shared" si="0"/>
        <v>0.12999999999999989</v>
      </c>
      <c r="AE60" s="172">
        <f t="shared" si="1"/>
        <v>0</v>
      </c>
    </row>
    <row r="61" spans="15:31" x14ac:dyDescent="0.25">
      <c r="O61" s="93">
        <v>0.9</v>
      </c>
      <c r="P61" s="93">
        <f t="shared" si="9"/>
        <v>4.806</v>
      </c>
      <c r="W61" s="120">
        <v>42356</v>
      </c>
      <c r="X61" s="11">
        <v>4.76</v>
      </c>
      <c r="Y61" s="11">
        <v>4.8099999999999996</v>
      </c>
      <c r="Z61" s="11">
        <v>4.55</v>
      </c>
      <c r="AA61" s="11">
        <v>4.6399999999999997</v>
      </c>
      <c r="AB61" s="114">
        <v>36570400</v>
      </c>
      <c r="AC61" s="11">
        <v>4.55</v>
      </c>
      <c r="AD61" s="43">
        <f t="shared" si="0"/>
        <v>0.25999999999999979</v>
      </c>
      <c r="AE61" s="172">
        <f t="shared" si="1"/>
        <v>-3.1914893617021378E-2</v>
      </c>
    </row>
    <row r="62" spans="15:31" x14ac:dyDescent="0.25">
      <c r="W62" s="120">
        <v>42355</v>
      </c>
      <c r="X62" s="11">
        <v>4.7300000000000004</v>
      </c>
      <c r="Y62" s="11">
        <v>4.8899999999999997</v>
      </c>
      <c r="Z62" s="11">
        <v>4.7300000000000004</v>
      </c>
      <c r="AA62" s="11">
        <v>4.79</v>
      </c>
      <c r="AB62" s="114">
        <v>13894200</v>
      </c>
      <c r="AC62" s="11">
        <v>4.7</v>
      </c>
      <c r="AD62" s="43">
        <f t="shared" si="0"/>
        <v>0.15999999999999925</v>
      </c>
      <c r="AE62" s="172">
        <f t="shared" si="1"/>
        <v>1.0752688172043001E-2</v>
      </c>
    </row>
    <row r="63" spans="15:31" x14ac:dyDescent="0.25">
      <c r="W63" s="120">
        <v>42354</v>
      </c>
      <c r="X63" s="11">
        <v>4.57</v>
      </c>
      <c r="Y63" s="11">
        <v>4.8</v>
      </c>
      <c r="Z63" s="11">
        <v>4.55</v>
      </c>
      <c r="AA63" s="11">
        <v>4.74</v>
      </c>
      <c r="AB63" s="114">
        <v>19253700</v>
      </c>
      <c r="AC63" s="11">
        <v>4.6500000000000004</v>
      </c>
      <c r="AD63" s="43">
        <f t="shared" si="0"/>
        <v>0.25</v>
      </c>
      <c r="AE63" s="172">
        <f t="shared" si="1"/>
        <v>4.7297297297297369E-2</v>
      </c>
    </row>
    <row r="64" spans="15:31" x14ac:dyDescent="0.25">
      <c r="W64" s="120">
        <v>42353</v>
      </c>
      <c r="X64" s="11">
        <v>4.5199999999999996</v>
      </c>
      <c r="Y64" s="11">
        <v>4.6100000000000003</v>
      </c>
      <c r="Z64" s="11">
        <v>4.4400000000000004</v>
      </c>
      <c r="AA64" s="11">
        <v>4.5199999999999996</v>
      </c>
      <c r="AB64" s="114">
        <v>17821100</v>
      </c>
      <c r="AC64" s="11">
        <v>4.4400000000000004</v>
      </c>
      <c r="AD64" s="43">
        <f t="shared" si="0"/>
        <v>0.16999999999999993</v>
      </c>
      <c r="AE64" s="172">
        <f t="shared" si="1"/>
        <v>4.5248868778282603E-3</v>
      </c>
    </row>
    <row r="65" spans="23:31" x14ac:dyDescent="0.25">
      <c r="W65" s="120">
        <v>42352</v>
      </c>
      <c r="X65" s="11">
        <v>4.57</v>
      </c>
      <c r="Y65" s="11">
        <v>4.63</v>
      </c>
      <c r="Z65" s="11">
        <v>4.4800000000000004</v>
      </c>
      <c r="AA65" s="11">
        <v>4.5</v>
      </c>
      <c r="AB65" s="114">
        <v>20631700</v>
      </c>
      <c r="AC65" s="11">
        <v>4.42</v>
      </c>
      <c r="AD65" s="43">
        <f t="shared" si="0"/>
        <v>0.14999999999999947</v>
      </c>
      <c r="AE65" s="172">
        <f t="shared" si="1"/>
        <v>-1.5590200445434355E-2</v>
      </c>
    </row>
    <row r="66" spans="23:31" x14ac:dyDescent="0.25">
      <c r="W66" s="120">
        <v>42349</v>
      </c>
      <c r="X66" s="11">
        <v>4.71</v>
      </c>
      <c r="Y66" s="11">
        <v>4.78</v>
      </c>
      <c r="Z66" s="11">
        <v>4.55</v>
      </c>
      <c r="AA66" s="11">
        <v>4.57</v>
      </c>
      <c r="AB66" s="114">
        <v>19043300</v>
      </c>
      <c r="AC66" s="11">
        <v>4.49</v>
      </c>
      <c r="AD66" s="43">
        <f t="shared" si="0"/>
        <v>0.23000000000000043</v>
      </c>
      <c r="AE66" s="172" t="e">
        <f t="shared" si="1"/>
        <v>#DIV/0!</v>
      </c>
    </row>
    <row r="67" spans="23:31" x14ac:dyDescent="0.25">
      <c r="W67" s="120">
        <v>42349</v>
      </c>
      <c r="X67" s="11" t="s">
        <v>213</v>
      </c>
      <c r="Y67" s="11"/>
      <c r="Z67" s="11"/>
      <c r="AA67" s="11"/>
      <c r="AB67" s="114"/>
      <c r="AC67" s="11"/>
      <c r="AD67" s="43">
        <f t="shared" ref="AD67:AD68" si="10">Y67-Z67</f>
        <v>0</v>
      </c>
      <c r="AE67" s="172">
        <f t="shared" ref="AE67" si="11">AC67/AC68-1</f>
        <v>-1</v>
      </c>
    </row>
    <row r="68" spans="23:31" x14ac:dyDescent="0.25">
      <c r="W68" s="120">
        <v>42348</v>
      </c>
      <c r="X68" s="11">
        <v>4.9400000000000004</v>
      </c>
      <c r="Y68" s="11">
        <v>4.96</v>
      </c>
      <c r="Z68" s="11">
        <v>4.8600000000000003</v>
      </c>
      <c r="AA68" s="11">
        <v>4.88</v>
      </c>
      <c r="AB68" s="114">
        <v>14090900</v>
      </c>
      <c r="AC68" s="11">
        <v>4.6900000000000004</v>
      </c>
      <c r="AD68" s="43">
        <f t="shared" si="10"/>
        <v>9.9999999999999645E-2</v>
      </c>
      <c r="AE68" s="172" t="e">
        <f>AC68/AC70-1</f>
        <v>#DIV/0!</v>
      </c>
    </row>
    <row r="69" spans="23:31" x14ac:dyDescent="0.25">
      <c r="W69" s="120">
        <v>42347</v>
      </c>
      <c r="X69" s="11">
        <v>4.95</v>
      </c>
      <c r="Y69" s="11">
        <v>5.0199999999999996</v>
      </c>
      <c r="Z69" s="11">
        <v>4.8899999999999997</v>
      </c>
      <c r="AA69" s="11">
        <v>4.92</v>
      </c>
      <c r="AB69" s="114">
        <v>12212700</v>
      </c>
      <c r="AC69" s="11">
        <v>4.72</v>
      </c>
      <c r="AD69" s="43">
        <f>Y70-Z70</f>
        <v>0</v>
      </c>
      <c r="AE69" s="172" t="e">
        <f>AC70/AC71-1</f>
        <v>#DIV/0!</v>
      </c>
    </row>
    <row r="70" spans="23:31" x14ac:dyDescent="0.25">
      <c r="W70" s="120" t="s">
        <v>125</v>
      </c>
      <c r="X70" s="11"/>
      <c r="Y70" s="11"/>
      <c r="Z70" s="11"/>
      <c r="AA70" s="11"/>
      <c r="AB70" s="114"/>
      <c r="AC70" s="11"/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  <c r="AH1" s="13" t="s">
        <v>184</v>
      </c>
      <c r="AI1" s="13" t="s">
        <v>185</v>
      </c>
      <c r="AJ1" s="13" t="s">
        <v>186</v>
      </c>
      <c r="AK1" s="13" t="s">
        <v>187</v>
      </c>
      <c r="AN1" s="13" t="s">
        <v>188</v>
      </c>
      <c r="AO1" s="13" t="s">
        <v>59</v>
      </c>
      <c r="AP1" s="13" t="s">
        <v>190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42444</v>
      </c>
      <c r="X2" s="12">
        <v>89.92</v>
      </c>
      <c r="Y2" s="12">
        <v>90.07</v>
      </c>
      <c r="Z2" s="12">
        <v>89.03</v>
      </c>
      <c r="AA2" s="12">
        <v>89.44</v>
      </c>
      <c r="AB2" s="105">
        <v>10239000</v>
      </c>
      <c r="AC2" s="12">
        <v>89.44</v>
      </c>
      <c r="AD2" s="43">
        <f>Y2-Z2</f>
        <v>1.039999999999992</v>
      </c>
      <c r="AE2" s="172">
        <f>AC2/AC3-1</f>
        <v>-1.1275701967720542E-2</v>
      </c>
      <c r="AN2" t="s">
        <v>189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(F10-K10-M10)/Q2</f>
        <v>95.175857142857154</v>
      </c>
      <c r="W3" s="143">
        <v>42443</v>
      </c>
      <c r="X3" s="12">
        <v>90</v>
      </c>
      <c r="Y3" s="12">
        <v>91.21</v>
      </c>
      <c r="Z3" s="12">
        <v>89.34</v>
      </c>
      <c r="AA3" s="12">
        <v>90.46</v>
      </c>
      <c r="AB3" s="105">
        <v>11004900</v>
      </c>
      <c r="AC3" s="12">
        <v>90.46</v>
      </c>
      <c r="AD3" s="43">
        <f t="shared" ref="AD3:AD66" si="1">Y3-Z3</f>
        <v>1.8699999999999903</v>
      </c>
      <c r="AE3" s="172" t="e">
        <f t="shared" ref="AE3:AE66" si="2">AC3/AC4-1</f>
        <v>#DIV/0!</v>
      </c>
      <c r="AH3" t="s">
        <v>204</v>
      </c>
      <c r="AI3">
        <v>10</v>
      </c>
      <c r="AJ3">
        <v>94.5</v>
      </c>
      <c r="AK3">
        <v>945</v>
      </c>
      <c r="AN3" s="263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90.28</v>
      </c>
      <c r="W4" s="143">
        <v>42443</v>
      </c>
      <c r="X4" s="12" t="s">
        <v>152</v>
      </c>
      <c r="Y4" s="12"/>
      <c r="Z4" s="12"/>
      <c r="AA4" s="12"/>
      <c r="AB4" s="105"/>
      <c r="AC4" s="12"/>
      <c r="AD4" s="43">
        <f t="shared" si="1"/>
        <v>0</v>
      </c>
      <c r="AE4" s="172">
        <f t="shared" si="2"/>
        <v>-1</v>
      </c>
      <c r="AH4" t="s">
        <v>205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198"/>
      <c r="I5" s="3"/>
      <c r="J5" s="3"/>
      <c r="K5" s="3"/>
      <c r="O5" s="13" t="s">
        <v>67</v>
      </c>
      <c r="Q5" s="3">
        <f>Q4*Q2</f>
        <v>6319.6</v>
      </c>
      <c r="T5" s="1"/>
      <c r="W5" s="143">
        <v>42440</v>
      </c>
      <c r="X5" s="12">
        <v>89.97</v>
      </c>
      <c r="Y5" s="12">
        <v>89.98</v>
      </c>
      <c r="Z5" s="12">
        <v>88.8</v>
      </c>
      <c r="AA5" s="12">
        <v>89.65</v>
      </c>
      <c r="AB5" s="105">
        <v>10581000</v>
      </c>
      <c r="AC5" s="12">
        <v>89.22</v>
      </c>
      <c r="AD5" s="43">
        <f t="shared" si="1"/>
        <v>1.1800000000000068</v>
      </c>
      <c r="AE5" s="172">
        <f t="shared" si="2"/>
        <v>1.144994898537588E-2</v>
      </c>
      <c r="AH5" t="s">
        <v>206</v>
      </c>
      <c r="AI5">
        <v>10</v>
      </c>
      <c r="AJ5">
        <v>108.71</v>
      </c>
      <c r="AK5" s="263">
        <v>1087.1400000000001</v>
      </c>
      <c r="AN5" s="263">
        <v>1080</v>
      </c>
      <c r="AO5">
        <v>-7.14</v>
      </c>
      <c r="AP5">
        <v>-0.66</v>
      </c>
    </row>
    <row r="6" spans="1:42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42439</v>
      </c>
      <c r="X6" s="12">
        <v>88.3</v>
      </c>
      <c r="Y6" s="12">
        <v>89.9</v>
      </c>
      <c r="Z6" s="12">
        <v>87.82</v>
      </c>
      <c r="AA6" s="12">
        <v>88.64</v>
      </c>
      <c r="AB6" s="105">
        <v>10884500</v>
      </c>
      <c r="AC6" s="12">
        <v>88.21</v>
      </c>
      <c r="AD6" s="43">
        <f t="shared" si="1"/>
        <v>2.0800000000000125</v>
      </c>
      <c r="AE6" s="172">
        <f t="shared" si="2"/>
        <v>9.152270907218929E-3</v>
      </c>
      <c r="AH6" t="s">
        <v>192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-342.71000000000004</v>
      </c>
      <c r="R7" s="206"/>
      <c r="W7" s="143">
        <v>42438</v>
      </c>
      <c r="X7" s="12">
        <v>88.94</v>
      </c>
      <c r="Y7" s="12">
        <v>89.25</v>
      </c>
      <c r="Z7" s="12">
        <v>87.43</v>
      </c>
      <c r="AA7" s="12">
        <v>87.83</v>
      </c>
      <c r="AB7" s="105">
        <v>10428100</v>
      </c>
      <c r="AC7" s="12">
        <v>87.41</v>
      </c>
      <c r="AD7" s="43">
        <f t="shared" si="1"/>
        <v>1.8199999999999932</v>
      </c>
      <c r="AE7" s="172">
        <f t="shared" si="2"/>
        <v>-9.2938909667914515E-3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90</v>
      </c>
      <c r="Q8" s="148">
        <f>(Q4-Q3)/Q3</f>
        <v>-5.1440116115881833E-2</v>
      </c>
      <c r="T8" s="1"/>
      <c r="W8" s="143">
        <v>42437</v>
      </c>
      <c r="X8" s="12">
        <v>89.65</v>
      </c>
      <c r="Y8" s="12">
        <v>90.4</v>
      </c>
      <c r="Z8" s="12">
        <v>88.35</v>
      </c>
      <c r="AA8" s="12">
        <v>88.66</v>
      </c>
      <c r="AB8" s="105">
        <v>11056800</v>
      </c>
      <c r="AC8" s="12">
        <v>88.23</v>
      </c>
      <c r="AD8" s="43">
        <f t="shared" si="1"/>
        <v>2.0500000000000114</v>
      </c>
      <c r="AE8" s="172">
        <f t="shared" si="2"/>
        <v>-1.1096166778749139E-2</v>
      </c>
    </row>
    <row r="9" spans="1:42" x14ac:dyDescent="0.25">
      <c r="F9" s="3"/>
      <c r="H9" s="81"/>
      <c r="W9" s="143">
        <v>42436</v>
      </c>
      <c r="X9" s="12">
        <v>87.11</v>
      </c>
      <c r="Y9" s="12">
        <v>90.04</v>
      </c>
      <c r="Z9" s="12">
        <v>86.88</v>
      </c>
      <c r="AA9" s="12">
        <v>89.65</v>
      </c>
      <c r="AB9" s="105">
        <v>13100600</v>
      </c>
      <c r="AC9" s="12">
        <v>89.22</v>
      </c>
      <c r="AD9" s="43">
        <f t="shared" si="1"/>
        <v>3.1600000000000108</v>
      </c>
      <c r="AE9" s="172">
        <f t="shared" si="2"/>
        <v>2.7998617352229527E-2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42433</v>
      </c>
      <c r="X10" s="12">
        <v>88.3</v>
      </c>
      <c r="Y10" s="12">
        <v>89.1</v>
      </c>
      <c r="Z10" s="12">
        <v>86.85</v>
      </c>
      <c r="AA10" s="12">
        <v>87.21</v>
      </c>
      <c r="AB10" s="105">
        <v>21201900</v>
      </c>
      <c r="AC10" s="12">
        <v>86.79</v>
      </c>
      <c r="AD10" s="43">
        <f t="shared" si="1"/>
        <v>2.25</v>
      </c>
      <c r="AE10" s="172">
        <f t="shared" si="2"/>
        <v>-7.0930099530944757E-3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42432</v>
      </c>
      <c r="X11" s="12">
        <v>89.13</v>
      </c>
      <c r="Y11" s="12">
        <v>89.31</v>
      </c>
      <c r="Z11" s="12">
        <v>87.48</v>
      </c>
      <c r="AA11" s="12">
        <v>87.83</v>
      </c>
      <c r="AB11" s="105">
        <v>12374600</v>
      </c>
      <c r="AC11" s="12">
        <v>87.41</v>
      </c>
      <c r="AD11" s="43">
        <f t="shared" si="1"/>
        <v>1.8299999999999983</v>
      </c>
      <c r="AE11" s="172">
        <f t="shared" si="2"/>
        <v>-1.0863415186149195E-2</v>
      </c>
    </row>
    <row r="12" spans="1:42" x14ac:dyDescent="0.25">
      <c r="A12" s="10"/>
      <c r="B12" s="209" t="s">
        <v>117</v>
      </c>
      <c r="C12" s="209" t="s">
        <v>170</v>
      </c>
      <c r="D12" s="210" t="s">
        <v>169</v>
      </c>
      <c r="E12" s="212" t="s">
        <v>171</v>
      </c>
      <c r="F12" s="213" t="s">
        <v>65</v>
      </c>
      <c r="G12" s="253" t="s">
        <v>175</v>
      </c>
      <c r="H12" s="213" t="s">
        <v>90</v>
      </c>
      <c r="I12" s="10"/>
      <c r="J12" s="10"/>
      <c r="K12" s="10"/>
      <c r="L12" s="10"/>
      <c r="M12" s="10"/>
      <c r="N12" s="5"/>
      <c r="W12" s="143">
        <v>42431</v>
      </c>
      <c r="X12" s="12">
        <v>89.6</v>
      </c>
      <c r="Y12" s="12">
        <v>89.68</v>
      </c>
      <c r="Z12" s="12">
        <v>87.96</v>
      </c>
      <c r="AA12" s="12">
        <v>88.8</v>
      </c>
      <c r="AB12" s="105">
        <v>10557200</v>
      </c>
      <c r="AC12" s="12">
        <v>88.37</v>
      </c>
      <c r="AD12" s="43">
        <f t="shared" si="1"/>
        <v>1.7200000000000131</v>
      </c>
      <c r="AE12" s="172">
        <f t="shared" si="2"/>
        <v>-9.9708716110239459E-3</v>
      </c>
    </row>
    <row r="13" spans="1:42" x14ac:dyDescent="0.25">
      <c r="B13" s="211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0">
        <f>(E13-D13)/D13</f>
        <v>8.5714285714285618E-2</v>
      </c>
      <c r="W13" s="143">
        <v>42430</v>
      </c>
      <c r="X13" s="12">
        <v>87.9</v>
      </c>
      <c r="Y13" s="12">
        <v>89.72</v>
      </c>
      <c r="Z13" s="12">
        <v>87.3</v>
      </c>
      <c r="AA13" s="12">
        <v>89.69</v>
      </c>
      <c r="AB13" s="105">
        <v>11746100</v>
      </c>
      <c r="AC13" s="12">
        <v>89.26</v>
      </c>
      <c r="AD13" s="43">
        <f t="shared" si="1"/>
        <v>2.4200000000000017</v>
      </c>
      <c r="AE13" s="172">
        <f t="shared" si="2"/>
        <v>2.798571922146742E-2</v>
      </c>
    </row>
    <row r="14" spans="1:42" x14ac:dyDescent="0.25">
      <c r="B14" s="211">
        <v>42332</v>
      </c>
      <c r="C14" s="12">
        <v>25</v>
      </c>
      <c r="D14" s="43">
        <v>102.2</v>
      </c>
      <c r="E14" s="43">
        <v>106.36</v>
      </c>
      <c r="F14" s="43">
        <f t="shared" ref="F14:F24" si="3">C14*(E14-D14)</f>
        <v>103.99999999999991</v>
      </c>
      <c r="G14" s="43">
        <f t="shared" ref="G14:G24" si="4">D14*C14</f>
        <v>2555</v>
      </c>
      <c r="H14" s="260">
        <f t="shared" ref="H14:H24" si="5">(E14-D14)/D14</f>
        <v>4.070450097847355E-2</v>
      </c>
      <c r="W14" s="143">
        <v>42429</v>
      </c>
      <c r="X14" s="12">
        <v>87.87</v>
      </c>
      <c r="Y14" s="12">
        <v>89.14</v>
      </c>
      <c r="Z14" s="12">
        <v>87.25</v>
      </c>
      <c r="AA14" s="12">
        <v>87.25</v>
      </c>
      <c r="AB14" s="105">
        <v>12732500</v>
      </c>
      <c r="AC14" s="12">
        <v>86.83</v>
      </c>
      <c r="AD14" s="43">
        <f t="shared" si="1"/>
        <v>1.8900000000000006</v>
      </c>
      <c r="AE14" s="172">
        <f t="shared" si="2"/>
        <v>-9.6943430656935003E-3</v>
      </c>
    </row>
    <row r="15" spans="1:42" x14ac:dyDescent="0.25">
      <c r="B15" s="211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0">
        <f t="shared" si="5"/>
        <v>-2.1232876712328784E-2</v>
      </c>
      <c r="W15" s="143">
        <v>42426</v>
      </c>
      <c r="X15" s="12">
        <v>90.61</v>
      </c>
      <c r="Y15" s="12">
        <v>90.92</v>
      </c>
      <c r="Z15" s="12">
        <v>87.89</v>
      </c>
      <c r="AA15" s="12">
        <v>88.1</v>
      </c>
      <c r="AB15" s="105">
        <v>13349700</v>
      </c>
      <c r="AC15" s="12">
        <v>87.68</v>
      </c>
      <c r="AD15" s="43">
        <f t="shared" si="1"/>
        <v>3.0300000000000011</v>
      </c>
      <c r="AE15" s="172">
        <f t="shared" si="2"/>
        <v>-2.2846316727961669E-2</v>
      </c>
    </row>
    <row r="16" spans="1:42" x14ac:dyDescent="0.25">
      <c r="B16" s="211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0">
        <f t="shared" si="5"/>
        <v>6.4579256360077939E-3</v>
      </c>
      <c r="W16" s="143">
        <v>42425</v>
      </c>
      <c r="X16" s="12">
        <v>90</v>
      </c>
      <c r="Y16" s="12">
        <v>90.49</v>
      </c>
      <c r="Z16" s="12">
        <v>89.55</v>
      </c>
      <c r="AA16" s="12">
        <v>90.16</v>
      </c>
      <c r="AB16" s="105">
        <v>9171500</v>
      </c>
      <c r="AC16" s="12">
        <v>89.73</v>
      </c>
      <c r="AD16" s="43">
        <f t="shared" si="1"/>
        <v>0.93999999999999773</v>
      </c>
      <c r="AE16" s="172">
        <f t="shared" si="2"/>
        <v>8.9958394242661832E-3</v>
      </c>
    </row>
    <row r="17" spans="2:31" x14ac:dyDescent="0.25">
      <c r="B17" s="211">
        <v>42376</v>
      </c>
      <c r="C17" s="297">
        <v>50</v>
      </c>
      <c r="D17" s="266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0">
        <f t="shared" si="5"/>
        <v>-2.9052759003328918E-2</v>
      </c>
      <c r="W17" s="143">
        <v>42424</v>
      </c>
      <c r="X17" s="12">
        <v>87.41</v>
      </c>
      <c r="Y17" s="12">
        <v>89.54</v>
      </c>
      <c r="Z17" s="12">
        <v>86.79</v>
      </c>
      <c r="AA17" s="12">
        <v>89.36</v>
      </c>
      <c r="AB17" s="105">
        <v>8338400</v>
      </c>
      <c r="AC17" s="12">
        <v>88.93</v>
      </c>
      <c r="AD17" s="43">
        <f t="shared" si="1"/>
        <v>2.75</v>
      </c>
      <c r="AE17" s="172">
        <f t="shared" si="2"/>
        <v>1.1372682815876223E-2</v>
      </c>
    </row>
    <row r="18" spans="2:31" x14ac:dyDescent="0.25">
      <c r="B18" s="211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0">
        <f t="shared" si="5"/>
        <v>-0.14174535643872585</v>
      </c>
      <c r="W18" s="143">
        <v>42423</v>
      </c>
      <c r="X18" s="12">
        <v>89.1</v>
      </c>
      <c r="Y18" s="12">
        <v>89.4</v>
      </c>
      <c r="Z18" s="12">
        <v>87.9</v>
      </c>
      <c r="AA18" s="12">
        <v>88.35</v>
      </c>
      <c r="AB18" s="105">
        <v>8394500</v>
      </c>
      <c r="AC18" s="12">
        <v>87.93</v>
      </c>
      <c r="AD18" s="43">
        <f t="shared" si="1"/>
        <v>1.5</v>
      </c>
      <c r="AE18" s="172">
        <f t="shared" si="2"/>
        <v>-8.3455509191383559E-3</v>
      </c>
    </row>
    <row r="19" spans="2:31" x14ac:dyDescent="0.25">
      <c r="B19" s="211">
        <v>42409</v>
      </c>
      <c r="C19" s="297">
        <v>50</v>
      </c>
      <c r="D19" s="266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0">
        <f t="shared" si="5"/>
        <v>-0.10996633683566256</v>
      </c>
      <c r="W19" s="143">
        <v>42422</v>
      </c>
      <c r="X19" s="12">
        <v>88.35</v>
      </c>
      <c r="Y19" s="12">
        <v>89.5</v>
      </c>
      <c r="Z19" s="12">
        <v>88.05</v>
      </c>
      <c r="AA19" s="12">
        <v>89.1</v>
      </c>
      <c r="AB19" s="105">
        <v>9749400</v>
      </c>
      <c r="AC19" s="12">
        <v>88.67</v>
      </c>
      <c r="AD19" s="43">
        <f t="shared" si="1"/>
        <v>1.4500000000000028</v>
      </c>
      <c r="AE19" s="172">
        <f t="shared" si="2"/>
        <v>1.8961158354401375E-2</v>
      </c>
    </row>
    <row r="20" spans="2:31" x14ac:dyDescent="0.25">
      <c r="B20" s="211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61">
        <f t="shared" si="5"/>
        <v>-7.5120823702458553E-2</v>
      </c>
      <c r="W20" s="143">
        <v>42419</v>
      </c>
      <c r="X20" s="12">
        <v>88.2</v>
      </c>
      <c r="Y20" s="12">
        <v>88.98</v>
      </c>
      <c r="Z20" s="12">
        <v>87.12</v>
      </c>
      <c r="AA20" s="12">
        <v>87.44</v>
      </c>
      <c r="AB20" s="105">
        <v>12897800</v>
      </c>
      <c r="AC20" s="12">
        <v>87.02</v>
      </c>
      <c r="AD20" s="43">
        <f t="shared" si="1"/>
        <v>1.8599999999999994</v>
      </c>
      <c r="AE20" s="172">
        <f t="shared" si="2"/>
        <v>-1.7389340560072353E-2</v>
      </c>
    </row>
    <row r="21" spans="2:31" x14ac:dyDescent="0.25">
      <c r="B21" s="211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61">
        <f t="shared" si="5"/>
        <v>-5.7680184912796896E-2</v>
      </c>
      <c r="W21" s="143">
        <v>42418</v>
      </c>
      <c r="X21" s="12">
        <v>89.6</v>
      </c>
      <c r="Y21" s="12">
        <v>90.95</v>
      </c>
      <c r="Z21" s="12">
        <v>88.93</v>
      </c>
      <c r="AA21" s="12">
        <v>88.99</v>
      </c>
      <c r="AB21" s="105">
        <v>11427500</v>
      </c>
      <c r="AC21" s="12">
        <v>88.56</v>
      </c>
      <c r="AD21" s="43">
        <f t="shared" si="1"/>
        <v>2.019999999999996</v>
      </c>
      <c r="AE21" s="172">
        <f t="shared" si="2"/>
        <v>-4.160575733723193E-3</v>
      </c>
    </row>
    <row r="22" spans="2:31" x14ac:dyDescent="0.25">
      <c r="B22" s="211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61">
        <f t="shared" si="5"/>
        <v>-6.7030888842193839E-2</v>
      </c>
      <c r="W22" s="143">
        <v>42417</v>
      </c>
      <c r="X22" s="12">
        <v>91.09</v>
      </c>
      <c r="Y22" s="12">
        <v>91.5</v>
      </c>
      <c r="Z22" s="12">
        <v>88.66</v>
      </c>
      <c r="AA22" s="12">
        <v>89.36</v>
      </c>
      <c r="AB22" s="105">
        <v>22772800</v>
      </c>
      <c r="AC22" s="12">
        <v>88.93</v>
      </c>
      <c r="AD22" s="43">
        <f t="shared" si="1"/>
        <v>2.8400000000000034</v>
      </c>
      <c r="AE22" s="172">
        <f t="shared" si="2"/>
        <v>-1.9622974313746933E-2</v>
      </c>
    </row>
    <row r="23" spans="2:31" x14ac:dyDescent="0.25">
      <c r="B23" s="211">
        <v>42437</v>
      </c>
      <c r="C23" s="12">
        <v>70</v>
      </c>
      <c r="D23" s="43">
        <v>95.176000000000002</v>
      </c>
      <c r="E23" s="43">
        <v>89.65</v>
      </c>
      <c r="F23" s="43">
        <f t="shared" si="3"/>
        <v>-386.81999999999971</v>
      </c>
      <c r="G23" s="43">
        <f t="shared" si="4"/>
        <v>6662.32</v>
      </c>
      <c r="H23" s="261">
        <f t="shared" si="5"/>
        <v>-5.8060855677901951E-2</v>
      </c>
      <c r="W23" s="143">
        <v>42416</v>
      </c>
      <c r="X23" s="12">
        <v>90.72</v>
      </c>
      <c r="Y23" s="12">
        <v>91.28</v>
      </c>
      <c r="Z23" s="12">
        <v>89.89</v>
      </c>
      <c r="AA23" s="12">
        <v>91.15</v>
      </c>
      <c r="AB23" s="105">
        <v>12278000</v>
      </c>
      <c r="AC23" s="12">
        <v>90.71</v>
      </c>
      <c r="AD23" s="43">
        <f t="shared" si="1"/>
        <v>1.3900000000000006</v>
      </c>
      <c r="AE23" s="172">
        <f t="shared" si="2"/>
        <v>1.9098977642961312E-2</v>
      </c>
    </row>
    <row r="24" spans="2:31" x14ac:dyDescent="0.25">
      <c r="B24" s="211">
        <v>42445</v>
      </c>
      <c r="C24" s="12">
        <v>70</v>
      </c>
      <c r="D24" s="43">
        <v>95.176000000000002</v>
      </c>
      <c r="E24" s="43">
        <v>90.28</v>
      </c>
      <c r="F24" s="43">
        <f t="shared" si="3"/>
        <v>-342.72</v>
      </c>
      <c r="G24" s="43">
        <f t="shared" si="4"/>
        <v>6662.32</v>
      </c>
      <c r="H24" s="261">
        <f t="shared" si="5"/>
        <v>-5.1441539884004378E-2</v>
      </c>
      <c r="W24" s="143">
        <v>42412</v>
      </c>
      <c r="X24" s="12">
        <v>88.66</v>
      </c>
      <c r="Y24" s="12">
        <v>89.88</v>
      </c>
      <c r="Z24" s="12">
        <v>86.68</v>
      </c>
      <c r="AA24" s="12">
        <v>89.44</v>
      </c>
      <c r="AB24" s="105">
        <v>11311700</v>
      </c>
      <c r="AC24" s="12">
        <v>89.01</v>
      </c>
      <c r="AD24" s="43">
        <f t="shared" si="1"/>
        <v>3.1999999999999886</v>
      </c>
      <c r="AE24" s="172">
        <f t="shared" si="2"/>
        <v>2.3809523809523947E-2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42411</v>
      </c>
      <c r="X25" s="12">
        <v>86.5</v>
      </c>
      <c r="Y25" s="12">
        <v>88.45</v>
      </c>
      <c r="Z25" s="12">
        <v>86.01</v>
      </c>
      <c r="AA25" s="12">
        <v>87.36</v>
      </c>
      <c r="AB25" s="105">
        <v>13013400</v>
      </c>
      <c r="AC25" s="12">
        <v>86.94</v>
      </c>
      <c r="AD25" s="43">
        <f t="shared" si="1"/>
        <v>2.4399999999999977</v>
      </c>
      <c r="AE25" s="172">
        <f t="shared" si="2"/>
        <v>-5.0354772259098013E-3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42410</v>
      </c>
      <c r="X26" s="12">
        <v>88.69</v>
      </c>
      <c r="Y26" s="12">
        <v>89.85</v>
      </c>
      <c r="Z26" s="12">
        <v>87.54</v>
      </c>
      <c r="AA26" s="12">
        <v>87.8</v>
      </c>
      <c r="AB26" s="105">
        <v>13462300</v>
      </c>
      <c r="AC26" s="12">
        <v>87.38</v>
      </c>
      <c r="AD26" s="43">
        <f t="shared" si="1"/>
        <v>2.3099999999999881</v>
      </c>
      <c r="AE26" s="172">
        <f t="shared" si="2"/>
        <v>6.3342162846942163E-3</v>
      </c>
    </row>
    <row r="27" spans="2:31" x14ac:dyDescent="0.25">
      <c r="B27" s="12"/>
      <c r="C27" s="12"/>
      <c r="D27" s="43"/>
      <c r="E27" s="43"/>
      <c r="F27" s="43"/>
      <c r="G27" s="43"/>
      <c r="H27" s="261"/>
      <c r="W27" s="143">
        <v>42409</v>
      </c>
      <c r="X27" s="12">
        <v>84.2</v>
      </c>
      <c r="Y27" s="12">
        <v>88.48</v>
      </c>
      <c r="Z27" s="12">
        <v>84.1</v>
      </c>
      <c r="AA27" s="12">
        <v>87.25</v>
      </c>
      <c r="AB27" s="105">
        <v>14322700</v>
      </c>
      <c r="AC27" s="12">
        <v>86.83</v>
      </c>
      <c r="AD27" s="43">
        <f t="shared" si="1"/>
        <v>4.3800000000000097</v>
      </c>
      <c r="AE27" s="172">
        <f t="shared" si="2"/>
        <v>2.3335297583971792E-2</v>
      </c>
    </row>
    <row r="28" spans="2:31" x14ac:dyDescent="0.25">
      <c r="B28" s="12"/>
      <c r="C28" s="12"/>
      <c r="D28" s="43"/>
      <c r="E28" s="43"/>
      <c r="F28" s="43"/>
      <c r="G28" s="43"/>
      <c r="H28" s="261"/>
      <c r="W28" s="143">
        <v>42408</v>
      </c>
      <c r="X28" s="12">
        <v>84.19</v>
      </c>
      <c r="Y28" s="12">
        <v>86.65</v>
      </c>
      <c r="Z28" s="12">
        <v>83.86</v>
      </c>
      <c r="AA28" s="12">
        <v>85.26</v>
      </c>
      <c r="AB28" s="105">
        <v>19111300</v>
      </c>
      <c r="AC28" s="12">
        <v>84.85</v>
      </c>
      <c r="AD28" s="43">
        <f t="shared" si="1"/>
        <v>2.7900000000000063</v>
      </c>
      <c r="AE28" s="172">
        <f t="shared" si="2"/>
        <v>1.4162634249970107E-3</v>
      </c>
    </row>
    <row r="29" spans="2:31" x14ac:dyDescent="0.25">
      <c r="W29" s="143">
        <v>42405</v>
      </c>
      <c r="X29" s="12">
        <v>86.68</v>
      </c>
      <c r="Y29" s="12">
        <v>88.02</v>
      </c>
      <c r="Z29" s="12">
        <v>84.45</v>
      </c>
      <c r="AA29" s="12">
        <v>85.14</v>
      </c>
      <c r="AB29" s="105">
        <v>15732800</v>
      </c>
      <c r="AC29" s="12">
        <v>84.73</v>
      </c>
      <c r="AD29" s="43">
        <f t="shared" si="1"/>
        <v>3.5699999999999932</v>
      </c>
      <c r="AE29" s="172">
        <f t="shared" si="2"/>
        <v>-1.7737073962439176E-2</v>
      </c>
    </row>
    <row r="30" spans="2:31" x14ac:dyDescent="0.25">
      <c r="W30" s="143">
        <v>42404</v>
      </c>
      <c r="X30" s="12">
        <v>86.02</v>
      </c>
      <c r="Y30" s="12">
        <v>87.45</v>
      </c>
      <c r="Z30" s="12">
        <v>85.61</v>
      </c>
      <c r="AA30" s="12">
        <v>86.68</v>
      </c>
      <c r="AB30" s="105">
        <v>14538700</v>
      </c>
      <c r="AC30" s="12">
        <v>86.26</v>
      </c>
      <c r="AD30" s="43">
        <f t="shared" si="1"/>
        <v>1.8400000000000034</v>
      </c>
      <c r="AE30" s="172">
        <f t="shared" si="2"/>
        <v>3.2565712956502679E-3</v>
      </c>
    </row>
    <row r="31" spans="2:31" x14ac:dyDescent="0.25">
      <c r="W31" s="143">
        <v>42403</v>
      </c>
      <c r="X31" s="12">
        <v>84.91</v>
      </c>
      <c r="Y31" s="12">
        <v>86.99</v>
      </c>
      <c r="Z31" s="12">
        <v>83.87</v>
      </c>
      <c r="AA31" s="12">
        <v>86.39</v>
      </c>
      <c r="AB31" s="105">
        <v>24497700</v>
      </c>
      <c r="AC31" s="12">
        <v>85.98</v>
      </c>
      <c r="AD31" s="43">
        <f t="shared" si="1"/>
        <v>3.1199999999999903</v>
      </c>
      <c r="AE31" s="172">
        <f t="shared" si="2"/>
        <v>4.4587534928927308E-2</v>
      </c>
    </row>
    <row r="32" spans="2:31" x14ac:dyDescent="0.25">
      <c r="W32" s="143">
        <v>42402</v>
      </c>
      <c r="X32" s="12">
        <v>84.18</v>
      </c>
      <c r="Y32" s="12">
        <v>84.22</v>
      </c>
      <c r="Z32" s="12">
        <v>81.89</v>
      </c>
      <c r="AA32" s="12">
        <v>82.71</v>
      </c>
      <c r="AB32" s="105">
        <v>16895600</v>
      </c>
      <c r="AC32" s="12">
        <v>82.31</v>
      </c>
      <c r="AD32" s="43">
        <f t="shared" si="1"/>
        <v>2.3299999999999983</v>
      </c>
      <c r="AE32" s="172">
        <f t="shared" si="2"/>
        <v>-1.6019127316198478E-2</v>
      </c>
    </row>
    <row r="33" spans="15:31" x14ac:dyDescent="0.25">
      <c r="W33" s="143">
        <v>42401</v>
      </c>
      <c r="X33" s="12">
        <v>82.32</v>
      </c>
      <c r="Y33" s="12">
        <v>84.52</v>
      </c>
      <c r="Z33" s="12">
        <v>82.28</v>
      </c>
      <c r="AA33" s="12">
        <v>84.05</v>
      </c>
      <c r="AB33" s="105">
        <v>17943600</v>
      </c>
      <c r="AC33" s="12">
        <v>83.65</v>
      </c>
      <c r="AD33" s="43">
        <f t="shared" si="1"/>
        <v>2.2399999999999949</v>
      </c>
      <c r="AE33" s="172">
        <f t="shared" si="2"/>
        <v>1.2711864406779849E-2</v>
      </c>
    </row>
    <row r="34" spans="15:31" x14ac:dyDescent="0.25">
      <c r="W34" s="143">
        <v>42398</v>
      </c>
      <c r="X34" s="12">
        <v>84.28</v>
      </c>
      <c r="Y34" s="12">
        <v>85.3</v>
      </c>
      <c r="Z34" s="12">
        <v>82.33</v>
      </c>
      <c r="AA34" s="12">
        <v>83</v>
      </c>
      <c r="AB34" s="105">
        <v>37029000</v>
      </c>
      <c r="AC34" s="12">
        <v>82.6</v>
      </c>
      <c r="AD34" s="43">
        <f t="shared" si="1"/>
        <v>2.9699999999999989</v>
      </c>
      <c r="AE34" s="172">
        <f t="shared" si="2"/>
        <v>-5.1773619561474082E-2</v>
      </c>
    </row>
    <row r="35" spans="15:31" x14ac:dyDescent="0.25">
      <c r="W35" s="143">
        <v>42397</v>
      </c>
      <c r="X35" s="12">
        <v>90</v>
      </c>
      <c r="Y35" s="12">
        <v>90.22</v>
      </c>
      <c r="Z35" s="12">
        <v>86.86</v>
      </c>
      <c r="AA35" s="12">
        <v>87.53</v>
      </c>
      <c r="AB35" s="105">
        <v>14168300</v>
      </c>
      <c r="AC35" s="12">
        <v>87.11</v>
      </c>
      <c r="AD35" s="43">
        <f t="shared" si="1"/>
        <v>3.3599999999999994</v>
      </c>
      <c r="AE35" s="172">
        <f t="shared" si="2"/>
        <v>-2.343049327354263E-2</v>
      </c>
    </row>
    <row r="36" spans="15:31" x14ac:dyDescent="0.25">
      <c r="W36" s="143">
        <v>42396</v>
      </c>
      <c r="X36" s="12">
        <v>91.84</v>
      </c>
      <c r="Y36" s="12">
        <v>92.1</v>
      </c>
      <c r="Z36" s="12">
        <v>89</v>
      </c>
      <c r="AA36" s="12">
        <v>89.63</v>
      </c>
      <c r="AB36" s="105">
        <v>12520300</v>
      </c>
      <c r="AC36" s="12">
        <v>89.2</v>
      </c>
      <c r="AD36" s="43">
        <f t="shared" si="1"/>
        <v>3.0999999999999943</v>
      </c>
      <c r="AE36" s="172">
        <f t="shared" si="2"/>
        <v>-2.8004794595183569E-2</v>
      </c>
    </row>
    <row r="37" spans="15:31" x14ac:dyDescent="0.25">
      <c r="W37" s="143">
        <v>42395</v>
      </c>
      <c r="X37" s="12">
        <v>90.72</v>
      </c>
      <c r="Y37" s="12">
        <v>92.83</v>
      </c>
      <c r="Z37" s="12">
        <v>90.25</v>
      </c>
      <c r="AA37" s="12">
        <v>92.21</v>
      </c>
      <c r="AB37" s="105">
        <v>6889200</v>
      </c>
      <c r="AC37" s="12">
        <v>91.77</v>
      </c>
      <c r="AD37" s="43">
        <f t="shared" si="1"/>
        <v>2.5799999999999983</v>
      </c>
      <c r="AE37" s="172">
        <f t="shared" si="2"/>
        <v>1.763140385894868E-2</v>
      </c>
    </row>
    <row r="38" spans="15:31" x14ac:dyDescent="0.25">
      <c r="W38" s="143">
        <v>42394</v>
      </c>
      <c r="X38" s="12">
        <v>91.53</v>
      </c>
      <c r="Y38" s="12">
        <v>93.54</v>
      </c>
      <c r="Z38" s="12">
        <v>90.43</v>
      </c>
      <c r="AA38" s="12">
        <v>90.61</v>
      </c>
      <c r="AB38" s="105">
        <v>10188400</v>
      </c>
      <c r="AC38" s="12">
        <v>90.18</v>
      </c>
      <c r="AD38" s="43">
        <f t="shared" si="1"/>
        <v>3.1099999999999994</v>
      </c>
      <c r="AE38" s="172">
        <f t="shared" si="2"/>
        <v>-1.3239960608381618E-2</v>
      </c>
    </row>
    <row r="39" spans="15:31" x14ac:dyDescent="0.25">
      <c r="W39" s="143">
        <v>42391</v>
      </c>
      <c r="X39" s="12">
        <v>90.4</v>
      </c>
      <c r="Y39" s="12">
        <v>92.07</v>
      </c>
      <c r="Z39" s="12">
        <v>89.71</v>
      </c>
      <c r="AA39" s="12">
        <v>91.83</v>
      </c>
      <c r="AB39" s="105">
        <v>9160700</v>
      </c>
      <c r="AC39" s="12">
        <v>91.39</v>
      </c>
      <c r="AD39" s="43">
        <f t="shared" si="1"/>
        <v>2.3599999999999994</v>
      </c>
      <c r="AE39" s="172">
        <f t="shared" si="2"/>
        <v>3.3355947535052E-2</v>
      </c>
    </row>
    <row r="40" spans="15:31" x14ac:dyDescent="0.25">
      <c r="W40" s="143">
        <v>42390</v>
      </c>
      <c r="X40" s="12">
        <v>90.37</v>
      </c>
      <c r="Y40" s="12">
        <v>90.6</v>
      </c>
      <c r="Z40" s="12">
        <v>88.71</v>
      </c>
      <c r="AA40" s="12">
        <v>88.87</v>
      </c>
      <c r="AB40" s="105">
        <v>12158300</v>
      </c>
      <c r="AC40" s="12">
        <v>88.44</v>
      </c>
      <c r="AD40" s="43">
        <f t="shared" si="1"/>
        <v>1.8900000000000006</v>
      </c>
      <c r="AE40" s="172">
        <f t="shared" si="2"/>
        <v>-1.8641810918775037E-2</v>
      </c>
    </row>
    <row r="41" spans="15:31" x14ac:dyDescent="0.25">
      <c r="W41" s="143">
        <v>42389</v>
      </c>
      <c r="X41" s="12">
        <v>88</v>
      </c>
      <c r="Y41" s="12">
        <v>91.83</v>
      </c>
      <c r="Z41" s="12">
        <v>86.28</v>
      </c>
      <c r="AA41" s="12">
        <v>90.55</v>
      </c>
      <c r="AB41" s="105">
        <v>19676300</v>
      </c>
      <c r="AC41" s="12">
        <v>90.12</v>
      </c>
      <c r="AD41" s="43">
        <f t="shared" si="1"/>
        <v>5.5499999999999972</v>
      </c>
      <c r="AE41" s="172">
        <f t="shared" si="2"/>
        <v>7.2650050296190205E-3</v>
      </c>
    </row>
    <row r="42" spans="15:31" ht="20.25" thickBot="1" x14ac:dyDescent="0.35">
      <c r="O42" s="408" t="s">
        <v>78</v>
      </c>
      <c r="P42" s="408"/>
      <c r="T42" s="101" t="s">
        <v>116</v>
      </c>
      <c r="W42" s="143">
        <v>42388</v>
      </c>
      <c r="X42" s="12">
        <v>93.14</v>
      </c>
      <c r="Y42" s="12">
        <v>93.22</v>
      </c>
      <c r="Z42" s="12">
        <v>88.85</v>
      </c>
      <c r="AA42" s="12">
        <v>89.9</v>
      </c>
      <c r="AB42" s="105">
        <v>14373700</v>
      </c>
      <c r="AC42" s="12">
        <v>89.47</v>
      </c>
      <c r="AD42" s="43">
        <f t="shared" si="1"/>
        <v>4.3700000000000045</v>
      </c>
      <c r="AE42" s="172">
        <f t="shared" si="2"/>
        <v>-2.1115973741794414E-2</v>
      </c>
    </row>
    <row r="43" spans="15:31" ht="15.75" thickTop="1" x14ac:dyDescent="0.25">
      <c r="O43" s="93">
        <v>1.1000000000000001</v>
      </c>
      <c r="P43" s="93">
        <f>O43*$Q$4</f>
        <v>99.308000000000007</v>
      </c>
      <c r="Q43" s="2"/>
      <c r="T43" s="138" t="s">
        <v>101</v>
      </c>
      <c r="U43" s="108">
        <v>90.46</v>
      </c>
      <c r="W43" s="143">
        <v>42384</v>
      </c>
      <c r="X43" s="12">
        <v>90.37</v>
      </c>
      <c r="Y43" s="12">
        <v>92.78</v>
      </c>
      <c r="Z43" s="12">
        <v>89.68</v>
      </c>
      <c r="AA43" s="12">
        <v>91.84</v>
      </c>
      <c r="AB43" s="105">
        <v>18108300</v>
      </c>
      <c r="AC43" s="12">
        <v>91.4</v>
      </c>
      <c r="AD43" s="43">
        <f t="shared" si="1"/>
        <v>3.0999999999999943</v>
      </c>
      <c r="AE43" s="172">
        <f t="shared" si="2"/>
        <v>-1.2639083936480389E-2</v>
      </c>
    </row>
    <row r="44" spans="15:31" x14ac:dyDescent="0.25">
      <c r="O44" s="93">
        <v>1.0900000000000001</v>
      </c>
      <c r="P44" s="93">
        <f t="shared" ref="P44:P63" si="6">O44*$Q$4</f>
        <v>98.405200000000008</v>
      </c>
      <c r="Q44" s="2"/>
      <c r="T44" s="103" t="s">
        <v>102</v>
      </c>
      <c r="U44" s="98">
        <v>89.92</v>
      </c>
      <c r="W44" s="143">
        <v>42383</v>
      </c>
      <c r="X44" s="12">
        <v>92.72</v>
      </c>
      <c r="Y44" s="12">
        <v>94.88</v>
      </c>
      <c r="Z44" s="12">
        <v>90.79</v>
      </c>
      <c r="AA44" s="12">
        <v>93.02</v>
      </c>
      <c r="AB44" s="105">
        <v>16303200</v>
      </c>
      <c r="AC44" s="12">
        <v>92.57</v>
      </c>
      <c r="AD44" s="43">
        <f t="shared" si="1"/>
        <v>4.0899999999999892</v>
      </c>
      <c r="AE44" s="172">
        <f t="shared" si="2"/>
        <v>5.1031487513573115E-3</v>
      </c>
    </row>
    <row r="45" spans="15:31" x14ac:dyDescent="0.25">
      <c r="O45" s="93">
        <v>1.08</v>
      </c>
      <c r="P45" s="93">
        <f t="shared" si="6"/>
        <v>97.502400000000009</v>
      </c>
      <c r="Q45" s="2"/>
      <c r="T45" s="103" t="s">
        <v>103</v>
      </c>
      <c r="U45" s="98" t="s">
        <v>417</v>
      </c>
      <c r="W45" s="143">
        <v>42382</v>
      </c>
      <c r="X45" s="12">
        <v>97.25</v>
      </c>
      <c r="Y45" s="12">
        <v>98.03</v>
      </c>
      <c r="Z45" s="12">
        <v>92.12</v>
      </c>
      <c r="AA45" s="12">
        <v>92.54</v>
      </c>
      <c r="AB45" s="105">
        <v>12135700</v>
      </c>
      <c r="AC45" s="12">
        <v>92.1</v>
      </c>
      <c r="AD45" s="43">
        <f t="shared" si="1"/>
        <v>5.9099999999999966</v>
      </c>
      <c r="AE45" s="172">
        <f t="shared" si="2"/>
        <v>-4.6879850977957216E-2</v>
      </c>
    </row>
    <row r="46" spans="15:31" x14ac:dyDescent="0.25">
      <c r="O46" s="93">
        <v>1.07</v>
      </c>
      <c r="P46" s="93">
        <f t="shared" si="6"/>
        <v>96.599600000000009</v>
      </c>
      <c r="Q46" s="2"/>
      <c r="T46" s="103" t="s">
        <v>104</v>
      </c>
      <c r="U46" s="98" t="s">
        <v>418</v>
      </c>
      <c r="W46" s="143">
        <v>42381</v>
      </c>
      <c r="X46" s="12">
        <v>96.9</v>
      </c>
      <c r="Y46" s="12">
        <v>98.49</v>
      </c>
      <c r="Z46" s="12">
        <v>95.21</v>
      </c>
      <c r="AA46" s="12">
        <v>97.1</v>
      </c>
      <c r="AB46" s="105">
        <v>9830100</v>
      </c>
      <c r="AC46" s="12">
        <v>96.63</v>
      </c>
      <c r="AD46" s="43">
        <f t="shared" si="1"/>
        <v>3.2800000000000011</v>
      </c>
      <c r="AE46" s="172">
        <f t="shared" si="2"/>
        <v>6.1432736359849915E-3</v>
      </c>
    </row>
    <row r="47" spans="15:31" x14ac:dyDescent="0.25">
      <c r="O47" s="93">
        <v>1.06</v>
      </c>
      <c r="P47" s="93">
        <f t="shared" si="6"/>
        <v>95.69680000000001</v>
      </c>
      <c r="Q47" s="2"/>
      <c r="T47" s="103" t="s">
        <v>105</v>
      </c>
      <c r="U47" s="98">
        <v>115.7</v>
      </c>
      <c r="W47" s="143">
        <v>42380</v>
      </c>
      <c r="X47" s="12">
        <v>97.22</v>
      </c>
      <c r="Y47" s="12">
        <v>97.22</v>
      </c>
      <c r="Z47" s="12">
        <v>94.29</v>
      </c>
      <c r="AA47" s="12">
        <v>96.5</v>
      </c>
      <c r="AB47" s="105">
        <v>12322500</v>
      </c>
      <c r="AC47" s="12">
        <v>96.04</v>
      </c>
      <c r="AD47" s="43">
        <f t="shared" si="1"/>
        <v>2.9299999999999926</v>
      </c>
      <c r="AE47" s="172">
        <f t="shared" si="2"/>
        <v>5.2088759245760841E-4</v>
      </c>
    </row>
    <row r="48" spans="15:31" x14ac:dyDescent="0.25">
      <c r="O48" s="93">
        <v>1.05</v>
      </c>
      <c r="P48" s="93">
        <f t="shared" si="6"/>
        <v>94.794000000000011</v>
      </c>
      <c r="Q48" s="2"/>
      <c r="T48" s="103" t="s">
        <v>106</v>
      </c>
      <c r="U48" s="98">
        <v>1.38696</v>
      </c>
      <c r="W48" s="143">
        <v>42377</v>
      </c>
      <c r="X48" s="12">
        <v>96.9</v>
      </c>
      <c r="Y48" s="12">
        <v>97.99</v>
      </c>
      <c r="Z48" s="12">
        <v>96.41</v>
      </c>
      <c r="AA48" s="12">
        <v>96.45</v>
      </c>
      <c r="AB48" s="105">
        <v>11976000</v>
      </c>
      <c r="AC48" s="12">
        <v>95.99</v>
      </c>
      <c r="AD48" s="43">
        <f t="shared" si="1"/>
        <v>1.5799999999999983</v>
      </c>
      <c r="AE48" s="172">
        <f t="shared" si="2"/>
        <v>2.0879006159306712E-3</v>
      </c>
    </row>
    <row r="49" spans="15:31" x14ac:dyDescent="0.25">
      <c r="O49" s="93">
        <v>1.04</v>
      </c>
      <c r="P49" s="93">
        <f t="shared" si="6"/>
        <v>93.891199999999998</v>
      </c>
      <c r="Q49" s="2"/>
      <c r="T49" s="103" t="s">
        <v>126</v>
      </c>
      <c r="U49" s="98" t="s">
        <v>228</v>
      </c>
      <c r="W49" s="143">
        <v>42376</v>
      </c>
      <c r="X49" s="12">
        <v>98.06</v>
      </c>
      <c r="Y49" s="12">
        <v>99</v>
      </c>
      <c r="Z49" s="12">
        <v>96.03</v>
      </c>
      <c r="AA49" s="12">
        <v>96.25</v>
      </c>
      <c r="AB49" s="105">
        <v>12944600</v>
      </c>
      <c r="AC49" s="12">
        <v>95.79</v>
      </c>
      <c r="AD49" s="43">
        <f t="shared" si="1"/>
        <v>2.9699999999999989</v>
      </c>
      <c r="AE49" s="172">
        <f t="shared" si="2"/>
        <v>-4.0372670807453326E-2</v>
      </c>
    </row>
    <row r="50" spans="15:31" x14ac:dyDescent="0.25">
      <c r="O50" s="93">
        <v>1.03</v>
      </c>
      <c r="P50" s="93">
        <f t="shared" si="6"/>
        <v>92.988399999999999</v>
      </c>
      <c r="Q50" s="2"/>
      <c r="T50" s="103"/>
      <c r="U50" s="98"/>
      <c r="W50" s="143">
        <v>42375</v>
      </c>
      <c r="X50" s="12">
        <v>97.57</v>
      </c>
      <c r="Y50" s="12">
        <v>100.68</v>
      </c>
      <c r="Z50" s="12">
        <v>97.52</v>
      </c>
      <c r="AA50" s="12">
        <v>100.3</v>
      </c>
      <c r="AB50" s="105">
        <v>12540700</v>
      </c>
      <c r="AC50" s="12">
        <v>99.82</v>
      </c>
      <c r="AD50" s="43">
        <f t="shared" si="1"/>
        <v>3.1600000000000108</v>
      </c>
      <c r="AE50" s="172">
        <f t="shared" si="2"/>
        <v>1.052844705405942E-2</v>
      </c>
    </row>
    <row r="51" spans="15:31" x14ac:dyDescent="0.25">
      <c r="O51" s="93">
        <v>1.02</v>
      </c>
      <c r="P51" s="93">
        <f t="shared" si="6"/>
        <v>92.085599999999999</v>
      </c>
      <c r="Q51" s="2"/>
      <c r="T51" s="103" t="s">
        <v>108</v>
      </c>
      <c r="U51" s="98" t="s">
        <v>365</v>
      </c>
      <c r="W51" s="143">
        <v>42374</v>
      </c>
      <c r="X51" s="12">
        <v>99.69</v>
      </c>
      <c r="Y51" s="12">
        <v>99.85</v>
      </c>
      <c r="Z51" s="12">
        <v>98.7</v>
      </c>
      <c r="AA51" s="12">
        <v>99.26</v>
      </c>
      <c r="AB51" s="105">
        <v>9260800</v>
      </c>
      <c r="AC51" s="12">
        <v>98.78</v>
      </c>
      <c r="AD51" s="43">
        <f t="shared" si="1"/>
        <v>1.1499999999999915</v>
      </c>
      <c r="AE51" s="172">
        <f t="shared" si="2"/>
        <v>1.271273323764599E-2</v>
      </c>
    </row>
    <row r="52" spans="15:31" x14ac:dyDescent="0.25">
      <c r="O52" s="93">
        <v>1.01</v>
      </c>
      <c r="P52" s="93">
        <f t="shared" si="6"/>
        <v>91.1828</v>
      </c>
      <c r="Q52" s="2"/>
      <c r="T52" s="103" t="s">
        <v>109</v>
      </c>
      <c r="U52" s="98" t="s">
        <v>229</v>
      </c>
      <c r="W52" s="143">
        <v>42373</v>
      </c>
      <c r="X52" s="12">
        <v>99.77</v>
      </c>
      <c r="Y52" s="12">
        <v>100</v>
      </c>
      <c r="Z52" s="12">
        <v>97.01</v>
      </c>
      <c r="AA52" s="12">
        <v>98.01</v>
      </c>
      <c r="AB52" s="105">
        <v>14904400</v>
      </c>
      <c r="AC52" s="12">
        <v>97.54</v>
      </c>
      <c r="AD52" s="43">
        <f t="shared" si="1"/>
        <v>2.9899999999999949</v>
      </c>
      <c r="AE52" s="172">
        <f t="shared" si="2"/>
        <v>-3.1380337636544131E-2</v>
      </c>
    </row>
    <row r="53" spans="15:31" x14ac:dyDescent="0.25">
      <c r="O53" s="93">
        <v>1</v>
      </c>
      <c r="P53" s="93">
        <f t="shared" si="6"/>
        <v>90.28</v>
      </c>
      <c r="Q53" s="2"/>
      <c r="T53" s="103" t="s">
        <v>110</v>
      </c>
      <c r="U53" s="100">
        <v>10265118</v>
      </c>
      <c r="W53" s="143">
        <v>42369</v>
      </c>
      <c r="X53" s="12">
        <v>102.36</v>
      </c>
      <c r="Y53" s="12">
        <v>102.42</v>
      </c>
      <c r="Z53" s="12">
        <v>101.17</v>
      </c>
      <c r="AA53" s="12">
        <v>101.19</v>
      </c>
      <c r="AB53" s="105">
        <v>6245200</v>
      </c>
      <c r="AC53" s="12">
        <v>100.7</v>
      </c>
      <c r="AD53" s="43">
        <f t="shared" si="1"/>
        <v>1.25</v>
      </c>
      <c r="AE53" s="172">
        <f t="shared" si="2"/>
        <v>-9.5406707976787297E-3</v>
      </c>
    </row>
    <row r="54" spans="15:31" x14ac:dyDescent="0.25">
      <c r="O54" s="93">
        <v>0.99</v>
      </c>
      <c r="P54" s="93">
        <f t="shared" si="6"/>
        <v>89.377200000000002</v>
      </c>
      <c r="Q54" s="2"/>
      <c r="T54" s="103" t="s">
        <v>113</v>
      </c>
      <c r="U54" s="100">
        <v>12547100</v>
      </c>
      <c r="W54" s="143">
        <v>42368</v>
      </c>
      <c r="X54" s="12">
        <v>102.84</v>
      </c>
      <c r="Y54" s="12">
        <v>103.05</v>
      </c>
      <c r="Z54" s="12">
        <v>102.03</v>
      </c>
      <c r="AA54" s="12">
        <v>102.16</v>
      </c>
      <c r="AB54" s="105">
        <v>4876300</v>
      </c>
      <c r="AC54" s="12">
        <v>101.67</v>
      </c>
      <c r="AD54" s="43">
        <f t="shared" si="1"/>
        <v>1.019999999999996</v>
      </c>
      <c r="AE54" s="172">
        <f t="shared" si="2"/>
        <v>-1.1569123079914423E-2</v>
      </c>
    </row>
    <row r="55" spans="15:31" x14ac:dyDescent="0.25">
      <c r="O55" s="93">
        <v>0.98</v>
      </c>
      <c r="P55" s="93">
        <f t="shared" si="6"/>
        <v>88.474400000000003</v>
      </c>
      <c r="Q55" s="2"/>
      <c r="T55" s="103" t="s">
        <v>111</v>
      </c>
      <c r="U55" s="98" t="s">
        <v>366</v>
      </c>
      <c r="W55" s="143">
        <v>42367</v>
      </c>
      <c r="X55" s="12">
        <v>102.25</v>
      </c>
      <c r="Y55" s="12">
        <v>103.55</v>
      </c>
      <c r="Z55" s="12">
        <v>101.57</v>
      </c>
      <c r="AA55" s="12">
        <v>103.36</v>
      </c>
      <c r="AB55" s="105">
        <v>7647300</v>
      </c>
      <c r="AC55" s="12">
        <v>102.86</v>
      </c>
      <c r="AD55" s="43">
        <f t="shared" si="1"/>
        <v>1.980000000000004</v>
      </c>
      <c r="AE55" s="172">
        <f t="shared" si="2"/>
        <v>1.650360707579801E-2</v>
      </c>
    </row>
    <row r="56" spans="15:31" x14ac:dyDescent="0.25">
      <c r="O56" s="93">
        <v>0.97</v>
      </c>
      <c r="P56" s="93">
        <f t="shared" si="6"/>
        <v>87.571600000000004</v>
      </c>
      <c r="T56" s="103" t="s">
        <v>114</v>
      </c>
      <c r="U56" s="98">
        <v>7.51</v>
      </c>
      <c r="W56" s="143">
        <v>42366</v>
      </c>
      <c r="X56" s="12">
        <v>103</v>
      </c>
      <c r="Y56" s="12">
        <v>103.31</v>
      </c>
      <c r="Z56" s="12">
        <v>101.51</v>
      </c>
      <c r="AA56" s="12">
        <v>101.68</v>
      </c>
      <c r="AB56" s="105">
        <v>5270900</v>
      </c>
      <c r="AC56" s="12">
        <v>101.19</v>
      </c>
      <c r="AD56" s="43">
        <f t="shared" si="1"/>
        <v>1.7999999999999972</v>
      </c>
      <c r="AE56" s="172">
        <f t="shared" si="2"/>
        <v>-1.8335273573923172E-2</v>
      </c>
    </row>
    <row r="57" spans="15:31" x14ac:dyDescent="0.25">
      <c r="O57" s="93">
        <v>0.96</v>
      </c>
      <c r="P57" s="93">
        <f t="shared" si="6"/>
        <v>86.668800000000005</v>
      </c>
      <c r="T57" s="103" t="s">
        <v>115</v>
      </c>
      <c r="U57" s="98">
        <v>11.91</v>
      </c>
      <c r="W57" s="143">
        <v>42362</v>
      </c>
      <c r="X57" s="12">
        <v>103.35</v>
      </c>
      <c r="Y57" s="12">
        <v>103.9</v>
      </c>
      <c r="Z57" s="12">
        <v>103.15</v>
      </c>
      <c r="AA57" s="12">
        <v>103.58</v>
      </c>
      <c r="AB57" s="105">
        <v>2656900</v>
      </c>
      <c r="AC57" s="12">
        <v>103.08</v>
      </c>
      <c r="AD57" s="43">
        <f t="shared" si="1"/>
        <v>0.75</v>
      </c>
      <c r="AE57" s="172">
        <f t="shared" si="2"/>
        <v>4.1889917194348758E-3</v>
      </c>
    </row>
    <row r="58" spans="15:31" x14ac:dyDescent="0.25">
      <c r="O58" s="93">
        <v>0.95</v>
      </c>
      <c r="P58" s="93">
        <f t="shared" si="6"/>
        <v>85.765999999999991</v>
      </c>
      <c r="T58" s="103" t="s">
        <v>112</v>
      </c>
      <c r="U58" s="98" t="s">
        <v>367</v>
      </c>
      <c r="W58" s="143">
        <v>42361</v>
      </c>
      <c r="X58" s="12">
        <v>103.59</v>
      </c>
      <c r="Y58" s="12">
        <v>103.59</v>
      </c>
      <c r="Z58" s="12">
        <v>102.69</v>
      </c>
      <c r="AA58" s="12">
        <v>103.14</v>
      </c>
      <c r="AB58" s="105">
        <v>7279900</v>
      </c>
      <c r="AC58" s="12">
        <v>102.65</v>
      </c>
      <c r="AD58" s="43">
        <f t="shared" si="1"/>
        <v>0.90000000000000568</v>
      </c>
      <c r="AE58" s="172">
        <f t="shared" si="2"/>
        <v>2.7351763211878044E-3</v>
      </c>
    </row>
    <row r="59" spans="15:31" x14ac:dyDescent="0.25">
      <c r="O59" s="93">
        <v>0.94</v>
      </c>
      <c r="P59" s="93">
        <f t="shared" si="6"/>
        <v>84.863199999999992</v>
      </c>
      <c r="W59" s="143">
        <v>42360</v>
      </c>
      <c r="X59" s="12">
        <v>102.99</v>
      </c>
      <c r="Y59" s="12">
        <v>103.54</v>
      </c>
      <c r="Z59" s="12">
        <v>102.49</v>
      </c>
      <c r="AA59" s="12">
        <v>102.86</v>
      </c>
      <c r="AB59" s="105">
        <v>7151200</v>
      </c>
      <c r="AC59" s="12">
        <v>102.37</v>
      </c>
      <c r="AD59" s="43">
        <f t="shared" si="1"/>
        <v>1.0500000000000114</v>
      </c>
      <c r="AE59" s="172">
        <f t="shared" si="2"/>
        <v>2.2518112394753764E-3</v>
      </c>
    </row>
    <row r="60" spans="15:31" x14ac:dyDescent="0.25">
      <c r="O60" s="93">
        <v>0.93</v>
      </c>
      <c r="P60" s="93">
        <f t="shared" si="6"/>
        <v>83.960400000000007</v>
      </c>
      <c r="W60" s="143">
        <v>42359</v>
      </c>
      <c r="X60" s="12">
        <v>102.21</v>
      </c>
      <c r="Y60" s="12">
        <v>103.26</v>
      </c>
      <c r="Z60" s="12">
        <v>101.63</v>
      </c>
      <c r="AA60" s="12">
        <v>102.63</v>
      </c>
      <c r="AB60" s="105">
        <v>8306500</v>
      </c>
      <c r="AC60" s="12">
        <v>102.14</v>
      </c>
      <c r="AD60" s="43">
        <f t="shared" si="1"/>
        <v>1.6300000000000097</v>
      </c>
      <c r="AE60" s="172">
        <f t="shared" si="2"/>
        <v>1.0186925131045355E-2</v>
      </c>
    </row>
    <row r="61" spans="15:31" x14ac:dyDescent="0.25">
      <c r="O61" s="93">
        <v>0.92</v>
      </c>
      <c r="P61" s="93">
        <f t="shared" si="6"/>
        <v>83.057600000000008</v>
      </c>
      <c r="W61" s="143">
        <v>42356</v>
      </c>
      <c r="X61" s="12">
        <v>101.68</v>
      </c>
      <c r="Y61" s="12">
        <v>101.99</v>
      </c>
      <c r="Z61" s="12">
        <v>100.92</v>
      </c>
      <c r="AA61" s="12">
        <v>101.6</v>
      </c>
      <c r="AB61" s="105">
        <v>15768500</v>
      </c>
      <c r="AC61" s="12">
        <v>101.11</v>
      </c>
      <c r="AD61" s="43">
        <f t="shared" si="1"/>
        <v>1.0699999999999932</v>
      </c>
      <c r="AE61" s="172">
        <f t="shared" si="2"/>
        <v>-7.4604888583489348E-3</v>
      </c>
    </row>
    <row r="62" spans="15:31" x14ac:dyDescent="0.25">
      <c r="O62" s="93">
        <v>0.91</v>
      </c>
      <c r="P62" s="93">
        <f t="shared" si="6"/>
        <v>82.154800000000009</v>
      </c>
      <c r="W62" s="143">
        <v>42355</v>
      </c>
      <c r="X62" s="12">
        <v>104.25</v>
      </c>
      <c r="Y62" s="12">
        <v>104.79</v>
      </c>
      <c r="Z62" s="12">
        <v>102.33</v>
      </c>
      <c r="AA62" s="12">
        <v>102.36</v>
      </c>
      <c r="AB62" s="105">
        <v>7614400</v>
      </c>
      <c r="AC62" s="12">
        <v>101.87</v>
      </c>
      <c r="AD62" s="43">
        <f t="shared" si="1"/>
        <v>2.460000000000008</v>
      </c>
      <c r="AE62" s="172">
        <f t="shared" si="2"/>
        <v>-9.4321275768183277E-3</v>
      </c>
    </row>
    <row r="63" spans="15:31" x14ac:dyDescent="0.25">
      <c r="O63" s="93">
        <v>0.9</v>
      </c>
      <c r="P63" s="93">
        <f t="shared" si="6"/>
        <v>81.25200000000001</v>
      </c>
      <c r="W63" s="143">
        <v>42354</v>
      </c>
      <c r="X63" s="12">
        <v>103.18</v>
      </c>
      <c r="Y63" s="12">
        <v>103.49</v>
      </c>
      <c r="Z63" s="12">
        <v>101.64</v>
      </c>
      <c r="AA63" s="12">
        <v>103.34</v>
      </c>
      <c r="AB63" s="105">
        <v>10950300</v>
      </c>
      <c r="AC63" s="12">
        <v>102.84</v>
      </c>
      <c r="AD63" s="43">
        <f t="shared" si="1"/>
        <v>1.8499999999999943</v>
      </c>
      <c r="AE63" s="172">
        <f t="shared" si="2"/>
        <v>1.3401655498620491E-2</v>
      </c>
    </row>
    <row r="64" spans="15:31" x14ac:dyDescent="0.25">
      <c r="W64" s="143">
        <v>42353</v>
      </c>
      <c r="X64" s="12">
        <v>101.74</v>
      </c>
      <c r="Y64" s="12">
        <v>103</v>
      </c>
      <c r="Z64" s="12">
        <v>101.44</v>
      </c>
      <c r="AA64" s="12">
        <v>101.97</v>
      </c>
      <c r="AB64" s="105">
        <v>11678500</v>
      </c>
      <c r="AC64" s="12">
        <v>101.48</v>
      </c>
      <c r="AD64" s="43">
        <f t="shared" si="1"/>
        <v>1.5600000000000023</v>
      </c>
      <c r="AE64" s="172">
        <f t="shared" si="2"/>
        <v>1.46985301469853E-2</v>
      </c>
    </row>
    <row r="65" spans="23:31" x14ac:dyDescent="0.25">
      <c r="W65" s="143">
        <v>42352</v>
      </c>
      <c r="X65" s="12">
        <v>99.97</v>
      </c>
      <c r="Y65" s="12">
        <v>100.93</v>
      </c>
      <c r="Z65" s="12">
        <v>98.66</v>
      </c>
      <c r="AA65" s="12">
        <v>100.49</v>
      </c>
      <c r="AB65" s="105">
        <v>10251300</v>
      </c>
      <c r="AC65" s="12">
        <v>100.01</v>
      </c>
      <c r="AD65" s="43">
        <f t="shared" si="1"/>
        <v>2.2700000000000102</v>
      </c>
      <c r="AE65" s="172" t="e">
        <f t="shared" si="2"/>
        <v>#DIV/0!</v>
      </c>
    </row>
    <row r="66" spans="23:31" x14ac:dyDescent="0.25">
      <c r="W66" s="143">
        <v>42352</v>
      </c>
      <c r="X66" s="12" t="s">
        <v>152</v>
      </c>
      <c r="Y66" s="12"/>
      <c r="Z66" s="12"/>
      <c r="AA66" s="12"/>
      <c r="AB66" s="105"/>
      <c r="AC66" s="12"/>
      <c r="AD66" s="43">
        <f t="shared" si="1"/>
        <v>0</v>
      </c>
      <c r="AE66" s="172">
        <f t="shared" si="2"/>
        <v>-1</v>
      </c>
    </row>
    <row r="67" spans="23:31" x14ac:dyDescent="0.25">
      <c r="W67" s="143">
        <v>42349</v>
      </c>
      <c r="X67" s="12">
        <v>101.35</v>
      </c>
      <c r="Y67" s="12">
        <v>102.47</v>
      </c>
      <c r="Z67" s="12">
        <v>99.67</v>
      </c>
      <c r="AA67" s="12">
        <v>100.03</v>
      </c>
      <c r="AB67" s="105">
        <v>9518900</v>
      </c>
      <c r="AC67" s="12">
        <v>99.12</v>
      </c>
      <c r="AD67" s="43">
        <f t="shared" ref="AD67:AD68" si="7">Y67-Z67</f>
        <v>2.7999999999999972</v>
      </c>
      <c r="AE67" s="172">
        <f t="shared" ref="AE67" si="8">AC67/AC68-1</f>
        <v>-2.5272888189595721E-2</v>
      </c>
    </row>
    <row r="68" spans="23:31" x14ac:dyDescent="0.25">
      <c r="W68" s="143">
        <v>42348</v>
      </c>
      <c r="X68" s="12">
        <v>102.45</v>
      </c>
      <c r="Y68" s="12">
        <v>103.06</v>
      </c>
      <c r="Z68" s="12">
        <v>101.56</v>
      </c>
      <c r="AA68" s="12">
        <v>102.62</v>
      </c>
      <c r="AB68" s="105">
        <v>7653300</v>
      </c>
      <c r="AC68" s="12">
        <v>101.69</v>
      </c>
      <c r="AD68" s="43">
        <f t="shared" si="7"/>
        <v>1.5</v>
      </c>
      <c r="AE68" s="172" t="e">
        <f>AC68/AC70-1</f>
        <v>#DIV/0!</v>
      </c>
    </row>
    <row r="69" spans="23:31" x14ac:dyDescent="0.25">
      <c r="W69" s="143">
        <v>42347</v>
      </c>
      <c r="X69" s="12">
        <v>103.25</v>
      </c>
      <c r="Y69" s="12">
        <v>104.33</v>
      </c>
      <c r="Z69" s="12">
        <v>101.5</v>
      </c>
      <c r="AA69" s="12">
        <v>101.95</v>
      </c>
      <c r="AB69" s="105">
        <v>7534900</v>
      </c>
      <c r="AC69" s="12">
        <v>101.02</v>
      </c>
      <c r="AD69" s="43">
        <f>Y70-Z70</f>
        <v>0</v>
      </c>
      <c r="AE69" s="172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:H28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42444</v>
      </c>
      <c r="X2" s="12">
        <v>49.79</v>
      </c>
      <c r="Y2" s="12">
        <v>50.23</v>
      </c>
      <c r="Z2" s="12">
        <v>49.05</v>
      </c>
      <c r="AA2" s="12">
        <v>49.94</v>
      </c>
      <c r="AB2" s="105">
        <v>210400</v>
      </c>
      <c r="AC2" s="12">
        <v>49.94</v>
      </c>
      <c r="AD2" s="2">
        <f>Y2-Z2</f>
        <v>1.1799999999999997</v>
      </c>
      <c r="AE2" s="148">
        <f>AC2/AC3-1</f>
        <v>-2.7955271565495154E-3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51.08</v>
      </c>
      <c r="W3" s="143">
        <v>42443</v>
      </c>
      <c r="X3" s="12">
        <v>50.19</v>
      </c>
      <c r="Y3" s="12">
        <v>50.49</v>
      </c>
      <c r="Z3" s="12">
        <v>49.43</v>
      </c>
      <c r="AA3" s="12">
        <v>50.08</v>
      </c>
      <c r="AB3" s="105">
        <v>238600</v>
      </c>
      <c r="AC3" s="12">
        <v>50.08</v>
      </c>
      <c r="AD3" s="2">
        <f t="shared" ref="AD3:AD66" si="0">Y3-Z3</f>
        <v>1.0600000000000023</v>
      </c>
      <c r="AE3" s="148">
        <f t="shared" ref="AE3:AE66" si="1">AC3/AC4-1</f>
        <v>-5.3624627606753128E-3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51.08</v>
      </c>
      <c r="W4" s="143">
        <v>42440</v>
      </c>
      <c r="X4" s="12">
        <v>49.78</v>
      </c>
      <c r="Y4" s="12">
        <v>50.48</v>
      </c>
      <c r="Z4" s="12">
        <v>49.6</v>
      </c>
      <c r="AA4" s="12">
        <v>50.35</v>
      </c>
      <c r="AB4" s="105">
        <v>204000</v>
      </c>
      <c r="AC4" s="12">
        <v>50.35</v>
      </c>
      <c r="AD4" s="2">
        <f t="shared" si="0"/>
        <v>0.87999999999999545</v>
      </c>
      <c r="AE4" s="148">
        <f t="shared" si="1"/>
        <v>2.0884022708840266E-2</v>
      </c>
    </row>
    <row r="5" spans="1:31" x14ac:dyDescent="0.25">
      <c r="O5" s="13" t="s">
        <v>67</v>
      </c>
      <c r="Q5" s="3">
        <f>Q4*Q2</f>
        <v>0</v>
      </c>
      <c r="W5" s="143">
        <v>42439</v>
      </c>
      <c r="X5" s="12">
        <v>49.58</v>
      </c>
      <c r="Y5" s="12">
        <v>49.67</v>
      </c>
      <c r="Z5" s="12">
        <v>48.9</v>
      </c>
      <c r="AA5" s="12">
        <v>49.32</v>
      </c>
      <c r="AB5" s="105">
        <v>191800</v>
      </c>
      <c r="AC5" s="12">
        <v>49.32</v>
      </c>
      <c r="AD5" s="2">
        <f t="shared" si="0"/>
        <v>0.77000000000000313</v>
      </c>
      <c r="AE5" s="148">
        <f t="shared" si="1"/>
        <v>-6.0790273556232677E-4</v>
      </c>
    </row>
    <row r="6" spans="1:31" x14ac:dyDescent="0.25">
      <c r="O6" s="13" t="s">
        <v>64</v>
      </c>
      <c r="Q6" s="2">
        <f>Q3*Q2</f>
        <v>0</v>
      </c>
      <c r="W6" s="143">
        <v>42438</v>
      </c>
      <c r="X6" s="12">
        <v>48.93</v>
      </c>
      <c r="Y6" s="12">
        <v>49.52</v>
      </c>
      <c r="Z6" s="12">
        <v>48.5</v>
      </c>
      <c r="AA6" s="12">
        <v>49.35</v>
      </c>
      <c r="AB6" s="105">
        <v>315000</v>
      </c>
      <c r="AC6" s="12">
        <v>49.35</v>
      </c>
      <c r="AD6" s="2">
        <f t="shared" si="0"/>
        <v>1.0200000000000031</v>
      </c>
      <c r="AE6" s="148">
        <f t="shared" si="1"/>
        <v>1.3763352506162674E-2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42437</v>
      </c>
      <c r="X7" s="12">
        <v>49.57</v>
      </c>
      <c r="Y7" s="12">
        <v>49.57</v>
      </c>
      <c r="Z7" s="12">
        <v>48.65</v>
      </c>
      <c r="AA7" s="12">
        <v>48.68</v>
      </c>
      <c r="AB7" s="105">
        <v>317800</v>
      </c>
      <c r="AC7" s="12">
        <v>48.68</v>
      </c>
      <c r="AD7" s="2">
        <f t="shared" si="0"/>
        <v>0.92000000000000171</v>
      </c>
      <c r="AE7" s="148">
        <f t="shared" si="1"/>
        <v>-2.5815489293576133E-2</v>
      </c>
    </row>
    <row r="8" spans="1:31" x14ac:dyDescent="0.25">
      <c r="O8" s="13" t="s">
        <v>90</v>
      </c>
      <c r="Q8" s="148">
        <f>(Q4-Q3)/Q3</f>
        <v>0</v>
      </c>
      <c r="W8" s="143">
        <v>42436</v>
      </c>
      <c r="X8" s="12">
        <v>49.88</v>
      </c>
      <c r="Y8" s="12">
        <v>50.34</v>
      </c>
      <c r="Z8" s="12">
        <v>49.56</v>
      </c>
      <c r="AA8" s="12">
        <v>49.97</v>
      </c>
      <c r="AB8" s="105">
        <v>243900</v>
      </c>
      <c r="AC8" s="12">
        <v>49.97</v>
      </c>
      <c r="AD8" s="2">
        <f t="shared" si="0"/>
        <v>0.78000000000000114</v>
      </c>
      <c r="AE8" s="148">
        <f t="shared" si="1"/>
        <v>4.0040040040034697E-4</v>
      </c>
    </row>
    <row r="9" spans="1:31" x14ac:dyDescent="0.25">
      <c r="B9" s="209" t="s">
        <v>117</v>
      </c>
      <c r="C9" s="209" t="s">
        <v>170</v>
      </c>
      <c r="D9" s="210" t="s">
        <v>169</v>
      </c>
      <c r="E9" s="212" t="s">
        <v>171</v>
      </c>
      <c r="F9" s="213" t="s">
        <v>65</v>
      </c>
      <c r="W9" s="143">
        <v>42433</v>
      </c>
      <c r="X9" s="12">
        <v>49.1</v>
      </c>
      <c r="Y9" s="12">
        <v>50.29</v>
      </c>
      <c r="Z9" s="12">
        <v>48.62</v>
      </c>
      <c r="AA9" s="12">
        <v>49.95</v>
      </c>
      <c r="AB9" s="105">
        <v>238800</v>
      </c>
      <c r="AC9" s="12">
        <v>49.95</v>
      </c>
      <c r="AD9" s="2">
        <f t="shared" si="0"/>
        <v>1.6700000000000017</v>
      </c>
      <c r="AE9" s="148">
        <f t="shared" si="1"/>
        <v>1.1543134872417982E-2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42432</v>
      </c>
      <c r="X10" s="12">
        <v>49.47</v>
      </c>
      <c r="Y10" s="12">
        <v>49.84</v>
      </c>
      <c r="Z10" s="12">
        <v>49.09</v>
      </c>
      <c r="AA10" s="12">
        <v>49.38</v>
      </c>
      <c r="AB10" s="105">
        <v>256200</v>
      </c>
      <c r="AC10" s="12">
        <v>49.38</v>
      </c>
      <c r="AD10" s="2">
        <f t="shared" si="0"/>
        <v>0.75</v>
      </c>
      <c r="AE10" s="148">
        <f t="shared" si="1"/>
        <v>-8.0938891137194435E-4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42431</v>
      </c>
      <c r="X11" s="12">
        <v>48.74</v>
      </c>
      <c r="Y11" s="12">
        <v>49.45</v>
      </c>
      <c r="Z11" s="12">
        <v>47.66</v>
      </c>
      <c r="AA11" s="12">
        <v>49.42</v>
      </c>
      <c r="AB11" s="105">
        <v>284700</v>
      </c>
      <c r="AC11" s="12">
        <v>49.42</v>
      </c>
      <c r="AD11" s="2">
        <f t="shared" si="0"/>
        <v>1.7900000000000063</v>
      </c>
      <c r="AE11" s="148">
        <f t="shared" si="1"/>
        <v>1.1461318051575908E-2</v>
      </c>
    </row>
    <row r="12" spans="1:31" x14ac:dyDescent="0.25">
      <c r="B12" s="12"/>
      <c r="C12" s="12"/>
      <c r="D12" s="43"/>
      <c r="E12" s="43"/>
      <c r="F12" s="43"/>
      <c r="W12" s="143">
        <v>42430</v>
      </c>
      <c r="X12" s="12">
        <v>47.48</v>
      </c>
      <c r="Y12" s="12">
        <v>49.01</v>
      </c>
      <c r="Z12" s="12">
        <v>47.25</v>
      </c>
      <c r="AA12" s="12">
        <v>48.86</v>
      </c>
      <c r="AB12" s="105">
        <v>285000</v>
      </c>
      <c r="AC12" s="12">
        <v>48.86</v>
      </c>
      <c r="AD12" s="2">
        <f t="shared" si="0"/>
        <v>1.759999999999998</v>
      </c>
      <c r="AE12" s="148">
        <f t="shared" si="1"/>
        <v>4.0681576144834919E-2</v>
      </c>
    </row>
    <row r="13" spans="1:31" x14ac:dyDescent="0.25">
      <c r="B13" s="12"/>
      <c r="C13" s="12"/>
      <c r="D13" s="43"/>
      <c r="E13" s="43"/>
      <c r="F13" s="43"/>
      <c r="W13" s="143">
        <v>42429</v>
      </c>
      <c r="X13" s="12">
        <v>46.7</v>
      </c>
      <c r="Y13" s="12">
        <v>47.32</v>
      </c>
      <c r="Z13" s="12">
        <v>46.7</v>
      </c>
      <c r="AA13" s="12">
        <v>46.95</v>
      </c>
      <c r="AB13" s="105">
        <v>507400</v>
      </c>
      <c r="AC13" s="12">
        <v>46.95</v>
      </c>
      <c r="AD13" s="2">
        <f t="shared" si="0"/>
        <v>0.61999999999999744</v>
      </c>
      <c r="AE13" s="148">
        <f t="shared" si="1"/>
        <v>5.3533190578158862E-3</v>
      </c>
    </row>
    <row r="14" spans="1:31" x14ac:dyDescent="0.25">
      <c r="B14" s="12"/>
      <c r="C14" s="12"/>
      <c r="D14" s="43"/>
      <c r="E14" s="43"/>
      <c r="F14" s="43"/>
      <c r="W14" s="143">
        <v>42426</v>
      </c>
      <c r="X14" s="12">
        <v>47.05</v>
      </c>
      <c r="Y14" s="12">
        <v>47.41</v>
      </c>
      <c r="Z14" s="12">
        <v>46.53</v>
      </c>
      <c r="AA14" s="12">
        <v>46.7</v>
      </c>
      <c r="AB14" s="105">
        <v>267700</v>
      </c>
      <c r="AC14" s="12">
        <v>46.7</v>
      </c>
      <c r="AD14" s="2">
        <f t="shared" si="0"/>
        <v>0.87999999999999545</v>
      </c>
      <c r="AE14" s="148">
        <f t="shared" si="1"/>
        <v>-1.2831479897347231E-3</v>
      </c>
    </row>
    <row r="15" spans="1:31" x14ac:dyDescent="0.25">
      <c r="B15" s="12"/>
      <c r="C15" s="12"/>
      <c r="D15" s="43"/>
      <c r="E15" s="43"/>
      <c r="F15" s="43"/>
      <c r="W15" s="143">
        <v>42425</v>
      </c>
      <c r="X15" s="12">
        <v>46.72</v>
      </c>
      <c r="Y15" s="12">
        <v>46.9</v>
      </c>
      <c r="Z15" s="12">
        <v>45.96</v>
      </c>
      <c r="AA15" s="12">
        <v>46.76</v>
      </c>
      <c r="AB15" s="105">
        <v>193200</v>
      </c>
      <c r="AC15" s="12">
        <v>46.76</v>
      </c>
      <c r="AD15" s="2">
        <f t="shared" si="0"/>
        <v>0.93999999999999773</v>
      </c>
      <c r="AE15" s="148">
        <f t="shared" si="1"/>
        <v>2.7879047823289316E-3</v>
      </c>
    </row>
    <row r="16" spans="1:31" x14ac:dyDescent="0.25">
      <c r="B16" s="12"/>
      <c r="C16" s="12"/>
      <c r="D16" s="43"/>
      <c r="E16" s="43"/>
      <c r="F16" s="43"/>
      <c r="W16" s="143">
        <v>42424</v>
      </c>
      <c r="X16" s="12">
        <v>45.49</v>
      </c>
      <c r="Y16" s="12">
        <v>46.73</v>
      </c>
      <c r="Z16" s="12">
        <v>45.31</v>
      </c>
      <c r="AA16" s="12">
        <v>46.63</v>
      </c>
      <c r="AB16" s="105">
        <v>234900</v>
      </c>
      <c r="AC16" s="12">
        <v>46.63</v>
      </c>
      <c r="AD16" s="2">
        <f t="shared" si="0"/>
        <v>1.4199999999999946</v>
      </c>
      <c r="AE16" s="148">
        <f t="shared" si="1"/>
        <v>1.1935763888889062E-2</v>
      </c>
    </row>
    <row r="17" spans="2:31" x14ac:dyDescent="0.25">
      <c r="B17" s="12"/>
      <c r="C17" s="12"/>
      <c r="D17" s="43"/>
      <c r="E17" s="43"/>
      <c r="F17" s="43"/>
      <c r="W17" s="143">
        <v>42423</v>
      </c>
      <c r="X17" s="12">
        <v>46.13</v>
      </c>
      <c r="Y17" s="12">
        <v>47.25</v>
      </c>
      <c r="Z17" s="12">
        <v>46.01</v>
      </c>
      <c r="AA17" s="12">
        <v>46.08</v>
      </c>
      <c r="AB17" s="105">
        <v>325200</v>
      </c>
      <c r="AC17" s="12">
        <v>46.08</v>
      </c>
      <c r="AD17" s="2">
        <f t="shared" si="0"/>
        <v>1.240000000000002</v>
      </c>
      <c r="AE17" s="148">
        <f t="shared" si="1"/>
        <v>-6.0396893874029578E-3</v>
      </c>
    </row>
    <row r="18" spans="2:31" x14ac:dyDescent="0.25">
      <c r="B18" s="12"/>
      <c r="C18" s="12"/>
      <c r="D18" s="43"/>
      <c r="E18" s="43"/>
      <c r="F18" s="43"/>
      <c r="W18" s="143">
        <v>42422</v>
      </c>
      <c r="X18" s="12">
        <v>46.68</v>
      </c>
      <c r="Y18" s="12">
        <v>47.21</v>
      </c>
      <c r="Z18" s="12">
        <v>46.28</v>
      </c>
      <c r="AA18" s="12">
        <v>46.36</v>
      </c>
      <c r="AB18" s="105">
        <v>366700</v>
      </c>
      <c r="AC18" s="12">
        <v>46.36</v>
      </c>
      <c r="AD18" s="2">
        <f t="shared" si="0"/>
        <v>0.92999999999999972</v>
      </c>
      <c r="AE18" s="148">
        <f t="shared" si="1"/>
        <v>-6.4294899271324368E-3</v>
      </c>
    </row>
    <row r="19" spans="2:31" x14ac:dyDescent="0.25">
      <c r="B19" s="12"/>
      <c r="C19" s="12"/>
      <c r="D19" s="43"/>
      <c r="E19" s="43"/>
      <c r="F19" s="43"/>
      <c r="W19" s="143">
        <v>42419</v>
      </c>
      <c r="X19" s="12">
        <v>46.93</v>
      </c>
      <c r="Y19" s="12">
        <v>47.32</v>
      </c>
      <c r="Z19" s="12">
        <v>46.57</v>
      </c>
      <c r="AA19" s="12">
        <v>46.66</v>
      </c>
      <c r="AB19" s="105">
        <v>203700</v>
      </c>
      <c r="AC19" s="12">
        <v>46.66</v>
      </c>
      <c r="AD19" s="2">
        <f t="shared" si="0"/>
        <v>0.75</v>
      </c>
      <c r="AE19" s="148">
        <f t="shared" si="1"/>
        <v>-1.144067796610182E-2</v>
      </c>
    </row>
    <row r="20" spans="2:31" x14ac:dyDescent="0.25">
      <c r="W20" s="143">
        <v>42418</v>
      </c>
      <c r="X20" s="12">
        <v>47.35</v>
      </c>
      <c r="Y20" s="12">
        <v>47.63</v>
      </c>
      <c r="Z20" s="12">
        <v>47.06</v>
      </c>
      <c r="AA20" s="12">
        <v>47.2</v>
      </c>
      <c r="AB20" s="105">
        <v>191700</v>
      </c>
      <c r="AC20" s="12">
        <v>47.2</v>
      </c>
      <c r="AD20" s="2">
        <f t="shared" si="0"/>
        <v>0.57000000000000028</v>
      </c>
      <c r="AE20" s="148" t="e">
        <f t="shared" si="1"/>
        <v>#DIV/0!</v>
      </c>
    </row>
    <row r="21" spans="2:31" x14ac:dyDescent="0.25">
      <c r="W21" s="143">
        <v>42418</v>
      </c>
      <c r="X21" s="12" t="s">
        <v>256</v>
      </c>
      <c r="Y21" s="12"/>
      <c r="Z21" s="12"/>
      <c r="AA21" s="12"/>
      <c r="AB21" s="105"/>
      <c r="AC21" s="12"/>
      <c r="AD21" s="2">
        <f t="shared" si="0"/>
        <v>0</v>
      </c>
      <c r="AE21" s="148">
        <f t="shared" si="1"/>
        <v>-1</v>
      </c>
    </row>
    <row r="22" spans="2:31" x14ac:dyDescent="0.25">
      <c r="W22" s="143">
        <v>42417</v>
      </c>
      <c r="X22" s="12">
        <v>46.56</v>
      </c>
      <c r="Y22" s="12">
        <v>47.59</v>
      </c>
      <c r="Z22" s="12">
        <v>46.56</v>
      </c>
      <c r="AA22" s="12">
        <v>47.48</v>
      </c>
      <c r="AB22" s="105">
        <v>482400</v>
      </c>
      <c r="AC22" s="12">
        <v>47.37</v>
      </c>
      <c r="AD22" s="2">
        <f t="shared" si="0"/>
        <v>1.0300000000000011</v>
      </c>
      <c r="AE22" s="148">
        <f t="shared" si="1"/>
        <v>2.5324675324675194E-2</v>
      </c>
    </row>
    <row r="23" spans="2:31" x14ac:dyDescent="0.25">
      <c r="W23" s="143">
        <v>42416</v>
      </c>
      <c r="X23" s="12">
        <v>44.94</v>
      </c>
      <c r="Y23" s="12">
        <v>46.64</v>
      </c>
      <c r="Z23" s="12">
        <v>44.42</v>
      </c>
      <c r="AA23" s="12">
        <v>46.31</v>
      </c>
      <c r="AB23" s="105">
        <v>377000</v>
      </c>
      <c r="AC23" s="12">
        <v>46.2</v>
      </c>
      <c r="AD23" s="2">
        <f t="shared" si="0"/>
        <v>2.2199999999999989</v>
      </c>
      <c r="AE23" s="148">
        <f t="shared" si="1"/>
        <v>4.7856656838285216E-2</v>
      </c>
    </row>
    <row r="24" spans="2:31" x14ac:dyDescent="0.25">
      <c r="W24" s="143">
        <v>42412</v>
      </c>
      <c r="X24" s="12">
        <v>43.59</v>
      </c>
      <c r="Y24" s="12">
        <v>44.44</v>
      </c>
      <c r="Z24" s="12">
        <v>42.01</v>
      </c>
      <c r="AA24" s="12">
        <v>44.19</v>
      </c>
      <c r="AB24" s="105">
        <v>386500</v>
      </c>
      <c r="AC24" s="12">
        <v>44.09</v>
      </c>
      <c r="AD24" s="2">
        <f t="shared" si="0"/>
        <v>2.4299999999999997</v>
      </c>
      <c r="AE24" s="148">
        <f t="shared" si="1"/>
        <v>2.989955617846296E-2</v>
      </c>
    </row>
    <row r="25" spans="2:31" x14ac:dyDescent="0.25">
      <c r="W25" s="143">
        <v>42411</v>
      </c>
      <c r="X25" s="12">
        <v>43.14</v>
      </c>
      <c r="Y25" s="12">
        <v>44.4</v>
      </c>
      <c r="Z25" s="12">
        <v>42.45</v>
      </c>
      <c r="AA25" s="12">
        <v>42.91</v>
      </c>
      <c r="AB25" s="105">
        <v>425300</v>
      </c>
      <c r="AC25" s="12">
        <v>42.81</v>
      </c>
      <c r="AD25" s="2">
        <f t="shared" si="0"/>
        <v>1.9499999999999957</v>
      </c>
      <c r="AE25" s="148">
        <f t="shared" si="1"/>
        <v>-2.4829157175398575E-2</v>
      </c>
    </row>
    <row r="26" spans="2:31" x14ac:dyDescent="0.25">
      <c r="W26" s="143">
        <v>42410</v>
      </c>
      <c r="X26" s="12">
        <v>43.97</v>
      </c>
      <c r="Y26" s="12">
        <v>44.82</v>
      </c>
      <c r="Z26" s="12">
        <v>43.96</v>
      </c>
      <c r="AA26" s="12">
        <v>44</v>
      </c>
      <c r="AB26" s="105">
        <v>345800</v>
      </c>
      <c r="AC26" s="12">
        <v>43.9</v>
      </c>
      <c r="AD26" s="2">
        <f t="shared" si="0"/>
        <v>0.85999999999999943</v>
      </c>
      <c r="AE26" s="148">
        <f t="shared" si="1"/>
        <v>4.8065918974593558E-3</v>
      </c>
    </row>
    <row r="27" spans="2:31" x14ac:dyDescent="0.25">
      <c r="W27" s="143">
        <v>42409</v>
      </c>
      <c r="X27" s="12">
        <v>43.72</v>
      </c>
      <c r="Y27" s="12">
        <v>44.73</v>
      </c>
      <c r="Z27" s="12">
        <v>43.61</v>
      </c>
      <c r="AA27" s="12">
        <v>43.79</v>
      </c>
      <c r="AB27" s="105">
        <v>581100</v>
      </c>
      <c r="AC27" s="12">
        <v>43.69</v>
      </c>
      <c r="AD27" s="2">
        <f t="shared" si="0"/>
        <v>1.1199999999999974</v>
      </c>
      <c r="AE27" s="148">
        <f t="shared" si="1"/>
        <v>-1.3769751693002208E-2</v>
      </c>
    </row>
    <row r="28" spans="2:31" x14ac:dyDescent="0.25">
      <c r="W28" s="143">
        <v>42408</v>
      </c>
      <c r="X28" s="12">
        <v>44.71</v>
      </c>
      <c r="Y28" s="12">
        <v>45.11</v>
      </c>
      <c r="Z28" s="12">
        <v>43.71</v>
      </c>
      <c r="AA28" s="12">
        <v>44.4</v>
      </c>
      <c r="AB28" s="105">
        <v>425300</v>
      </c>
      <c r="AC28" s="12">
        <v>44.3</v>
      </c>
      <c r="AD28" s="2">
        <f t="shared" si="0"/>
        <v>1.3999999999999986</v>
      </c>
      <c r="AE28" s="148">
        <f t="shared" si="1"/>
        <v>-1.5774272383914711E-2</v>
      </c>
    </row>
    <row r="29" spans="2:31" x14ac:dyDescent="0.25">
      <c r="W29" s="143">
        <v>42405</v>
      </c>
      <c r="X29" s="12">
        <v>45.3</v>
      </c>
      <c r="Y29" s="12">
        <v>45.6</v>
      </c>
      <c r="Z29" s="12">
        <v>44.94</v>
      </c>
      <c r="AA29" s="12">
        <v>45.11</v>
      </c>
      <c r="AB29" s="105">
        <v>495200</v>
      </c>
      <c r="AC29" s="12">
        <v>45.01</v>
      </c>
      <c r="AD29" s="2">
        <f t="shared" si="0"/>
        <v>0.66000000000000369</v>
      </c>
      <c r="AE29" s="148">
        <f t="shared" si="1"/>
        <v>-9.6809680968097389E-3</v>
      </c>
    </row>
    <row r="30" spans="2:31" x14ac:dyDescent="0.25">
      <c r="W30" s="143">
        <v>42404</v>
      </c>
      <c r="X30" s="12">
        <v>45</v>
      </c>
      <c r="Y30" s="12">
        <v>46.11</v>
      </c>
      <c r="Z30" s="12">
        <v>44.96</v>
      </c>
      <c r="AA30" s="12">
        <v>45.56</v>
      </c>
      <c r="AB30" s="105">
        <v>560000</v>
      </c>
      <c r="AC30" s="12">
        <v>45.45</v>
      </c>
      <c r="AD30" s="2">
        <f t="shared" si="0"/>
        <v>1.1499999999999986</v>
      </c>
      <c r="AE30" s="148">
        <f t="shared" si="1"/>
        <v>1.2249443207126953E-2</v>
      </c>
    </row>
    <row r="31" spans="2:31" x14ac:dyDescent="0.25">
      <c r="W31" s="143">
        <v>42403</v>
      </c>
      <c r="X31" s="12">
        <v>45.02</v>
      </c>
      <c r="Y31" s="12">
        <v>45.42</v>
      </c>
      <c r="Z31" s="12">
        <v>44.21</v>
      </c>
      <c r="AA31" s="12">
        <v>45</v>
      </c>
      <c r="AB31" s="105">
        <v>387000</v>
      </c>
      <c r="AC31" s="12">
        <v>44.9</v>
      </c>
      <c r="AD31" s="2">
        <f t="shared" si="0"/>
        <v>1.2100000000000009</v>
      </c>
      <c r="AE31" s="148">
        <f t="shared" si="1"/>
        <v>1.2401352874858995E-2</v>
      </c>
    </row>
    <row r="32" spans="2:31" x14ac:dyDescent="0.25">
      <c r="W32" s="143">
        <v>42402</v>
      </c>
      <c r="X32" s="12">
        <v>45.24</v>
      </c>
      <c r="Y32" s="12">
        <v>45.45</v>
      </c>
      <c r="Z32" s="12">
        <v>44.39</v>
      </c>
      <c r="AA32" s="12">
        <v>44.45</v>
      </c>
      <c r="AB32" s="105">
        <v>428300</v>
      </c>
      <c r="AC32" s="12">
        <v>44.35</v>
      </c>
      <c r="AD32" s="2">
        <f t="shared" si="0"/>
        <v>1.0600000000000023</v>
      </c>
      <c r="AE32" s="148">
        <f t="shared" si="1"/>
        <v>-2.9540481400437635E-2</v>
      </c>
    </row>
    <row r="33" spans="15:31" x14ac:dyDescent="0.25">
      <c r="W33" s="143">
        <v>42401</v>
      </c>
      <c r="X33" s="12">
        <v>45.97</v>
      </c>
      <c r="Y33" s="12">
        <v>46.1</v>
      </c>
      <c r="Z33" s="12">
        <v>45.42</v>
      </c>
      <c r="AA33" s="12">
        <v>45.81</v>
      </c>
      <c r="AB33" s="105">
        <v>364900</v>
      </c>
      <c r="AC33" s="12">
        <v>45.7</v>
      </c>
      <c r="AD33" s="2">
        <f t="shared" si="0"/>
        <v>0.67999999999999972</v>
      </c>
      <c r="AE33" s="148">
        <f t="shared" si="1"/>
        <v>-8.2465277777776791E-3</v>
      </c>
    </row>
    <row r="34" spans="15:31" x14ac:dyDescent="0.25">
      <c r="W34" s="143">
        <v>42398</v>
      </c>
      <c r="X34" s="12">
        <v>45.61</v>
      </c>
      <c r="Y34" s="12">
        <v>46.26</v>
      </c>
      <c r="Z34" s="12">
        <v>45.37</v>
      </c>
      <c r="AA34" s="12">
        <v>46.19</v>
      </c>
      <c r="AB34" s="105">
        <v>646700</v>
      </c>
      <c r="AC34" s="12">
        <v>46.08</v>
      </c>
      <c r="AD34" s="2">
        <f t="shared" si="0"/>
        <v>0.89000000000000057</v>
      </c>
      <c r="AE34" s="148">
        <f t="shared" si="1"/>
        <v>1.8117543084401166E-2</v>
      </c>
    </row>
    <row r="35" spans="15:31" x14ac:dyDescent="0.25">
      <c r="W35" s="143">
        <v>42397</v>
      </c>
      <c r="X35" s="12">
        <v>45.91</v>
      </c>
      <c r="Y35" s="12">
        <v>46.2</v>
      </c>
      <c r="Z35" s="12">
        <v>45.21</v>
      </c>
      <c r="AA35" s="12">
        <v>45.37</v>
      </c>
      <c r="AB35" s="105">
        <v>425200</v>
      </c>
      <c r="AC35" s="12">
        <v>45.26</v>
      </c>
      <c r="AD35" s="2">
        <f t="shared" si="0"/>
        <v>0.99000000000000199</v>
      </c>
      <c r="AE35" s="148">
        <f t="shared" si="1"/>
        <v>-1.7644464049405562E-3</v>
      </c>
    </row>
    <row r="36" spans="15:31" x14ac:dyDescent="0.25">
      <c r="W36" s="143">
        <v>42396</v>
      </c>
      <c r="X36" s="12">
        <v>46</v>
      </c>
      <c r="Y36" s="12">
        <v>46.45</v>
      </c>
      <c r="Z36" s="12">
        <v>45.33</v>
      </c>
      <c r="AA36" s="12">
        <v>45.45</v>
      </c>
      <c r="AB36" s="105">
        <v>460500</v>
      </c>
      <c r="AC36" s="12">
        <v>45.34</v>
      </c>
      <c r="AD36" s="2">
        <f t="shared" si="0"/>
        <v>1.1200000000000045</v>
      </c>
      <c r="AE36" s="148">
        <f t="shared" si="1"/>
        <v>-1.8402251569603734E-2</v>
      </c>
    </row>
    <row r="37" spans="15:31" x14ac:dyDescent="0.25">
      <c r="W37" s="143">
        <v>42395</v>
      </c>
      <c r="X37" s="12">
        <v>45.2</v>
      </c>
      <c r="Y37" s="12">
        <v>46.34</v>
      </c>
      <c r="Z37" s="12">
        <v>45.2</v>
      </c>
      <c r="AA37" s="12">
        <v>46.3</v>
      </c>
      <c r="AB37" s="105">
        <v>327000</v>
      </c>
      <c r="AC37" s="12">
        <v>46.19</v>
      </c>
      <c r="AD37" s="2">
        <f t="shared" si="0"/>
        <v>1.1400000000000006</v>
      </c>
      <c r="AE37" s="148">
        <f t="shared" si="1"/>
        <v>3.4490481522956307E-2</v>
      </c>
    </row>
    <row r="38" spans="15:31" x14ac:dyDescent="0.25">
      <c r="W38" s="143">
        <v>42394</v>
      </c>
      <c r="X38" s="12">
        <v>45.34</v>
      </c>
      <c r="Y38" s="12">
        <v>45.61</v>
      </c>
      <c r="Z38" s="12">
        <v>44.64</v>
      </c>
      <c r="AA38" s="12">
        <v>44.75</v>
      </c>
      <c r="AB38" s="105">
        <v>322200</v>
      </c>
      <c r="AC38" s="12">
        <v>44.65</v>
      </c>
      <c r="AD38" s="2">
        <f t="shared" si="0"/>
        <v>0.96999999999999886</v>
      </c>
      <c r="AE38" s="148">
        <f t="shared" si="1"/>
        <v>-1.9973661106233664E-2</v>
      </c>
    </row>
    <row r="39" spans="15:31" x14ac:dyDescent="0.25">
      <c r="W39" s="143">
        <v>42391</v>
      </c>
      <c r="X39" s="12">
        <v>44.8</v>
      </c>
      <c r="Y39" s="12">
        <v>46.18</v>
      </c>
      <c r="Z39" s="12">
        <v>44.75</v>
      </c>
      <c r="AA39" s="12">
        <v>45.67</v>
      </c>
      <c r="AB39" s="105">
        <v>372700</v>
      </c>
      <c r="AC39" s="12">
        <v>45.56</v>
      </c>
      <c r="AD39" s="2">
        <f t="shared" si="0"/>
        <v>1.4299999999999997</v>
      </c>
      <c r="AE39" s="148">
        <f t="shared" si="1"/>
        <v>3.7104484407011196E-2</v>
      </c>
    </row>
    <row r="40" spans="15:31" x14ac:dyDescent="0.25">
      <c r="W40" s="143">
        <v>42390</v>
      </c>
      <c r="X40" s="12">
        <v>43.4</v>
      </c>
      <c r="Y40" s="12">
        <v>44.78</v>
      </c>
      <c r="Z40" s="12">
        <v>43.32</v>
      </c>
      <c r="AA40" s="12">
        <v>44.03</v>
      </c>
      <c r="AB40" s="105">
        <v>405800</v>
      </c>
      <c r="AC40" s="12">
        <v>43.93</v>
      </c>
      <c r="AD40" s="2">
        <f t="shared" si="0"/>
        <v>1.4600000000000009</v>
      </c>
      <c r="AE40" s="148">
        <f t="shared" si="1"/>
        <v>1.2678653757491887E-2</v>
      </c>
    </row>
    <row r="41" spans="15:31" x14ac:dyDescent="0.25">
      <c r="O41" s="37"/>
      <c r="W41" s="143">
        <v>42389</v>
      </c>
      <c r="X41" s="12">
        <v>43.5</v>
      </c>
      <c r="Y41" s="12">
        <v>44.06</v>
      </c>
      <c r="Z41" s="12">
        <v>41.24</v>
      </c>
      <c r="AA41" s="12">
        <v>43.48</v>
      </c>
      <c r="AB41" s="105">
        <v>877500</v>
      </c>
      <c r="AC41" s="12">
        <v>43.38</v>
      </c>
      <c r="AD41" s="2">
        <f t="shared" si="0"/>
        <v>2.8200000000000003</v>
      </c>
      <c r="AE41" s="148">
        <f t="shared" si="1"/>
        <v>-3.2775919732441428E-2</v>
      </c>
    </row>
    <row r="42" spans="15:31" ht="20.25" thickBot="1" x14ac:dyDescent="0.35">
      <c r="O42" s="408" t="s">
        <v>78</v>
      </c>
      <c r="P42" s="408"/>
      <c r="Q42" s="37"/>
      <c r="T42" s="101" t="s">
        <v>116</v>
      </c>
      <c r="W42" s="143">
        <v>42388</v>
      </c>
      <c r="X42" s="12">
        <v>45.13</v>
      </c>
      <c r="Y42" s="12">
        <v>45.39</v>
      </c>
      <c r="Z42" s="12">
        <v>44.6</v>
      </c>
      <c r="AA42" s="12">
        <v>44.95</v>
      </c>
      <c r="AB42" s="105">
        <v>740800</v>
      </c>
      <c r="AC42" s="12">
        <v>44.85</v>
      </c>
      <c r="AD42" s="2">
        <f t="shared" si="0"/>
        <v>0.78999999999999915</v>
      </c>
      <c r="AE42" s="148">
        <f t="shared" si="1"/>
        <v>2.2301516503109298E-4</v>
      </c>
    </row>
    <row r="43" spans="15:31" ht="15.75" thickTop="1" x14ac:dyDescent="0.25">
      <c r="O43" s="93">
        <v>1.1000000000000001</v>
      </c>
      <c r="P43" s="93">
        <f>O43*$Q$4</f>
        <v>56.188000000000002</v>
      </c>
      <c r="Q43" s="37"/>
      <c r="T43" s="138" t="s">
        <v>101</v>
      </c>
      <c r="U43" s="108">
        <v>50.08</v>
      </c>
      <c r="W43" s="143">
        <v>42384</v>
      </c>
      <c r="X43" s="12">
        <v>45</v>
      </c>
      <c r="Y43" s="12">
        <v>45.53</v>
      </c>
      <c r="Z43" s="12">
        <v>44.21</v>
      </c>
      <c r="AA43" s="12">
        <v>44.94</v>
      </c>
      <c r="AB43" s="105">
        <v>495900</v>
      </c>
      <c r="AC43" s="12">
        <v>44.84</v>
      </c>
      <c r="AD43" s="2">
        <f t="shared" si="0"/>
        <v>1.3200000000000003</v>
      </c>
      <c r="AE43" s="148">
        <f t="shared" si="1"/>
        <v>-2.9437229437229373E-2</v>
      </c>
    </row>
    <row r="44" spans="15:31" x14ac:dyDescent="0.25">
      <c r="O44" s="93">
        <v>1.0900000000000001</v>
      </c>
      <c r="P44" s="93">
        <f t="shared" ref="P44:P63" si="2">O44*$Q$4</f>
        <v>55.677199999999999</v>
      </c>
      <c r="Q44" s="37"/>
      <c r="T44" s="103" t="s">
        <v>102</v>
      </c>
      <c r="U44" s="98">
        <v>49.79</v>
      </c>
      <c r="W44" s="143">
        <v>42383</v>
      </c>
      <c r="X44" s="12">
        <v>46.08</v>
      </c>
      <c r="Y44" s="12">
        <v>46.86</v>
      </c>
      <c r="Z44" s="12">
        <v>45.34</v>
      </c>
      <c r="AA44" s="12">
        <v>46.31</v>
      </c>
      <c r="AB44" s="105">
        <v>420600</v>
      </c>
      <c r="AC44" s="12">
        <v>46.2</v>
      </c>
      <c r="AD44" s="2">
        <f t="shared" si="0"/>
        <v>1.519999999999996</v>
      </c>
      <c r="AE44" s="148">
        <f t="shared" si="1"/>
        <v>8.2933216935836551E-3</v>
      </c>
    </row>
    <row r="45" spans="15:31" x14ac:dyDescent="0.25">
      <c r="O45" s="93">
        <v>1.08</v>
      </c>
      <c r="P45" s="93">
        <f t="shared" si="2"/>
        <v>55.166400000000003</v>
      </c>
      <c r="Q45" s="37"/>
      <c r="T45" s="103" t="s">
        <v>103</v>
      </c>
      <c r="U45" s="98" t="s">
        <v>368</v>
      </c>
      <c r="W45" s="143">
        <v>42382</v>
      </c>
      <c r="X45" s="12">
        <v>47.37</v>
      </c>
      <c r="Y45" s="12">
        <v>47.59</v>
      </c>
      <c r="Z45" s="12">
        <v>45.91</v>
      </c>
      <c r="AA45" s="12">
        <v>45.93</v>
      </c>
      <c r="AB45" s="105">
        <v>399900</v>
      </c>
      <c r="AC45" s="12">
        <v>45.82</v>
      </c>
      <c r="AD45" s="2">
        <f t="shared" si="0"/>
        <v>1.6800000000000068</v>
      </c>
      <c r="AE45" s="148">
        <f t="shared" si="1"/>
        <v>-2.5728258558367023E-2</v>
      </c>
    </row>
    <row r="46" spans="15:31" x14ac:dyDescent="0.25">
      <c r="O46" s="93">
        <v>1.07</v>
      </c>
      <c r="P46" s="93">
        <f t="shared" si="2"/>
        <v>54.6556</v>
      </c>
      <c r="Q46" s="93"/>
      <c r="T46" s="103" t="s">
        <v>104</v>
      </c>
      <c r="U46" s="98" t="s">
        <v>369</v>
      </c>
      <c r="W46" s="143">
        <v>42381</v>
      </c>
      <c r="X46" s="12">
        <v>46.93</v>
      </c>
      <c r="Y46" s="12">
        <v>47.44</v>
      </c>
      <c r="Z46" s="12">
        <v>46.28</v>
      </c>
      <c r="AA46" s="12">
        <v>47.14</v>
      </c>
      <c r="AB46" s="105">
        <v>324100</v>
      </c>
      <c r="AC46" s="12">
        <v>47.03</v>
      </c>
      <c r="AD46" s="2">
        <f t="shared" si="0"/>
        <v>1.1599999999999966</v>
      </c>
      <c r="AE46" s="148">
        <f t="shared" si="1"/>
        <v>1.1397849462365661E-2</v>
      </c>
    </row>
    <row r="47" spans="15:31" x14ac:dyDescent="0.25">
      <c r="O47" s="93">
        <v>1.06</v>
      </c>
      <c r="P47" s="93">
        <f t="shared" si="2"/>
        <v>54.144800000000004</v>
      </c>
      <c r="Q47" s="93"/>
      <c r="T47" s="103" t="s">
        <v>105</v>
      </c>
      <c r="U47" s="98">
        <v>51</v>
      </c>
      <c r="W47" s="143">
        <v>42380</v>
      </c>
      <c r="X47" s="12">
        <v>46.26</v>
      </c>
      <c r="Y47" s="12">
        <v>47.82</v>
      </c>
      <c r="Z47" s="12">
        <v>46.03</v>
      </c>
      <c r="AA47" s="12">
        <v>46.61</v>
      </c>
      <c r="AB47" s="105">
        <v>459300</v>
      </c>
      <c r="AC47" s="12">
        <v>46.5</v>
      </c>
      <c r="AD47" s="2">
        <f t="shared" si="0"/>
        <v>1.7899999999999991</v>
      </c>
      <c r="AE47" s="148">
        <f t="shared" si="1"/>
        <v>1.108936725375087E-2</v>
      </c>
    </row>
    <row r="48" spans="15:31" x14ac:dyDescent="0.25">
      <c r="O48" s="93">
        <v>1.05</v>
      </c>
      <c r="P48" s="93">
        <f t="shared" si="2"/>
        <v>53.634</v>
      </c>
      <c r="Q48" s="93"/>
      <c r="T48" s="103" t="s">
        <v>106</v>
      </c>
      <c r="U48" s="98">
        <v>1.21946</v>
      </c>
      <c r="W48" s="143">
        <v>42377</v>
      </c>
      <c r="X48" s="12">
        <v>47.17</v>
      </c>
      <c r="Y48" s="12">
        <v>47.19</v>
      </c>
      <c r="Z48" s="12">
        <v>46.01</v>
      </c>
      <c r="AA48" s="12">
        <v>46.1</v>
      </c>
      <c r="AB48" s="105">
        <v>395700</v>
      </c>
      <c r="AC48" s="12">
        <v>45.99</v>
      </c>
      <c r="AD48" s="2">
        <f t="shared" si="0"/>
        <v>1.1799999999999997</v>
      </c>
      <c r="AE48" s="148">
        <f t="shared" si="1"/>
        <v>-1.6887558785805834E-2</v>
      </c>
    </row>
    <row r="49" spans="15:31" x14ac:dyDescent="0.25">
      <c r="O49" s="93">
        <v>1.04</v>
      </c>
      <c r="P49" s="93">
        <f t="shared" si="2"/>
        <v>53.123199999999997</v>
      </c>
      <c r="Q49" s="93"/>
      <c r="T49" s="103" t="s">
        <v>107</v>
      </c>
      <c r="U49" s="98" t="s">
        <v>134</v>
      </c>
      <c r="W49" s="143">
        <v>42376</v>
      </c>
      <c r="X49" s="12">
        <v>47.93</v>
      </c>
      <c r="Y49" s="12">
        <v>48.19</v>
      </c>
      <c r="Z49" s="12">
        <v>46.6</v>
      </c>
      <c r="AA49" s="12">
        <v>46.89</v>
      </c>
      <c r="AB49" s="105">
        <v>372900</v>
      </c>
      <c r="AC49" s="12">
        <v>46.78</v>
      </c>
      <c r="AD49" s="2">
        <f t="shared" si="0"/>
        <v>1.5899999999999963</v>
      </c>
      <c r="AE49" s="148">
        <f t="shared" si="1"/>
        <v>-4.0410256410256418E-2</v>
      </c>
    </row>
    <row r="50" spans="15:31" x14ac:dyDescent="0.25">
      <c r="O50" s="93">
        <v>1.03</v>
      </c>
      <c r="P50" s="93">
        <f t="shared" si="2"/>
        <v>52.612400000000001</v>
      </c>
      <c r="Q50" s="93"/>
      <c r="T50" s="103"/>
      <c r="U50" s="98"/>
      <c r="W50" s="143">
        <v>42375</v>
      </c>
      <c r="X50" s="12">
        <v>49.35</v>
      </c>
      <c r="Y50" s="12">
        <v>49.97</v>
      </c>
      <c r="Z50" s="12">
        <v>48.48</v>
      </c>
      <c r="AA50" s="12">
        <v>48.86</v>
      </c>
      <c r="AB50" s="105">
        <v>572300</v>
      </c>
      <c r="AC50" s="12">
        <v>48.75</v>
      </c>
      <c r="AD50" s="2">
        <f t="shared" si="0"/>
        <v>1.490000000000002</v>
      </c>
      <c r="AE50" s="148">
        <f t="shared" si="1"/>
        <v>-2.7140291359010194E-2</v>
      </c>
    </row>
    <row r="51" spans="15:31" x14ac:dyDescent="0.25">
      <c r="O51" s="93">
        <v>1.02</v>
      </c>
      <c r="P51" s="93">
        <f t="shared" si="2"/>
        <v>52.101599999999998</v>
      </c>
      <c r="Q51" s="93"/>
      <c r="T51" s="103" t="s">
        <v>108</v>
      </c>
      <c r="U51" s="98" t="s">
        <v>370</v>
      </c>
      <c r="W51" s="143">
        <v>42374</v>
      </c>
      <c r="X51" s="12">
        <v>49.92</v>
      </c>
      <c r="Y51" s="12">
        <v>50.51</v>
      </c>
      <c r="Z51" s="12">
        <v>49.35</v>
      </c>
      <c r="AA51" s="12">
        <v>50.23</v>
      </c>
      <c r="AB51" s="105">
        <v>354900</v>
      </c>
      <c r="AC51" s="12">
        <v>50.11</v>
      </c>
      <c r="AD51" s="2">
        <f t="shared" si="0"/>
        <v>1.1599999999999966</v>
      </c>
      <c r="AE51" s="148">
        <f t="shared" si="1"/>
        <v>9.4681708299757528E-3</v>
      </c>
    </row>
    <row r="52" spans="15:31" x14ac:dyDescent="0.25">
      <c r="O52" s="93">
        <v>1.01</v>
      </c>
      <c r="P52" s="93">
        <f t="shared" si="2"/>
        <v>51.590800000000002</v>
      </c>
      <c r="Q52" s="93"/>
      <c r="T52" s="103" t="s">
        <v>109</v>
      </c>
      <c r="U52" s="98" t="s">
        <v>157</v>
      </c>
      <c r="W52" s="143">
        <v>42373</v>
      </c>
      <c r="X52" s="12">
        <v>48.74</v>
      </c>
      <c r="Y52" s="12">
        <v>49.78</v>
      </c>
      <c r="Z52" s="12">
        <v>48.11</v>
      </c>
      <c r="AA52" s="12">
        <v>49.76</v>
      </c>
      <c r="AB52" s="105">
        <v>434900</v>
      </c>
      <c r="AC52" s="12">
        <v>49.64</v>
      </c>
      <c r="AD52" s="2">
        <f t="shared" si="0"/>
        <v>1.6700000000000017</v>
      </c>
      <c r="AE52" s="148">
        <f t="shared" si="1"/>
        <v>2.0185708518369871E-3</v>
      </c>
    </row>
    <row r="53" spans="15:31" x14ac:dyDescent="0.25">
      <c r="O53" s="93">
        <v>1</v>
      </c>
      <c r="P53" s="93">
        <f t="shared" si="2"/>
        <v>51.08</v>
      </c>
      <c r="Q53" s="93"/>
      <c r="T53" s="103" t="s">
        <v>110</v>
      </c>
      <c r="U53" s="100">
        <v>214660</v>
      </c>
      <c r="W53" s="143">
        <v>42369</v>
      </c>
      <c r="X53" s="12">
        <v>50.65</v>
      </c>
      <c r="Y53" s="12">
        <v>50.74</v>
      </c>
      <c r="Z53" s="12">
        <v>49.64</v>
      </c>
      <c r="AA53" s="12">
        <v>49.66</v>
      </c>
      <c r="AB53" s="105">
        <v>316700</v>
      </c>
      <c r="AC53" s="12">
        <v>49.54</v>
      </c>
      <c r="AD53" s="2">
        <f t="shared" si="0"/>
        <v>1.1000000000000014</v>
      </c>
      <c r="AE53" s="148">
        <f t="shared" si="1"/>
        <v>-2.3264984227129304E-2</v>
      </c>
    </row>
    <row r="54" spans="15:31" x14ac:dyDescent="0.25">
      <c r="O54" s="93">
        <v>0.99</v>
      </c>
      <c r="P54" s="93">
        <f t="shared" si="2"/>
        <v>50.569199999999995</v>
      </c>
      <c r="Q54" s="93"/>
      <c r="T54" s="103" t="s">
        <v>113</v>
      </c>
      <c r="U54" s="100">
        <v>374584</v>
      </c>
      <c r="W54" s="143">
        <v>42368</v>
      </c>
      <c r="X54" s="12">
        <v>51.06</v>
      </c>
      <c r="Y54" s="12">
        <v>51.13</v>
      </c>
      <c r="Z54" s="12">
        <v>50.56</v>
      </c>
      <c r="AA54" s="12">
        <v>50.84</v>
      </c>
      <c r="AB54" s="105">
        <v>225200</v>
      </c>
      <c r="AC54" s="12">
        <v>50.72</v>
      </c>
      <c r="AD54" s="2">
        <f t="shared" si="0"/>
        <v>0.57000000000000028</v>
      </c>
      <c r="AE54" s="148">
        <f t="shared" si="1"/>
        <v>-2.9486927462157864E-3</v>
      </c>
    </row>
    <row r="55" spans="15:31" x14ac:dyDescent="0.25">
      <c r="O55" s="93">
        <v>0.98</v>
      </c>
      <c r="P55" s="93">
        <f t="shared" si="2"/>
        <v>50.058399999999999</v>
      </c>
      <c r="Q55" s="93"/>
      <c r="T55" s="103" t="s">
        <v>111</v>
      </c>
      <c r="U55" s="98" t="s">
        <v>326</v>
      </c>
      <c r="W55" s="143">
        <v>42367</v>
      </c>
      <c r="X55" s="12">
        <v>50.79</v>
      </c>
      <c r="Y55" s="12">
        <v>51.34</v>
      </c>
      <c r="Z55" s="12">
        <v>50.28</v>
      </c>
      <c r="AA55" s="12">
        <v>50.99</v>
      </c>
      <c r="AB55" s="105">
        <v>273400</v>
      </c>
      <c r="AC55" s="12">
        <v>50.87</v>
      </c>
      <c r="AD55" s="2">
        <f t="shared" si="0"/>
        <v>1.0600000000000023</v>
      </c>
      <c r="AE55" s="148">
        <f t="shared" si="1"/>
        <v>8.7249652984333625E-3</v>
      </c>
    </row>
    <row r="56" spans="15:31" x14ac:dyDescent="0.25">
      <c r="O56" s="93">
        <v>0.97</v>
      </c>
      <c r="P56" s="93">
        <f t="shared" si="2"/>
        <v>49.547599999999996</v>
      </c>
      <c r="Q56" s="93"/>
      <c r="T56" s="103" t="s">
        <v>114</v>
      </c>
      <c r="U56" s="98">
        <v>20.02</v>
      </c>
      <c r="W56" s="143">
        <v>42366</v>
      </c>
      <c r="X56" s="12">
        <v>50.79</v>
      </c>
      <c r="Y56" s="12">
        <v>50.79</v>
      </c>
      <c r="Z56" s="12">
        <v>50.12</v>
      </c>
      <c r="AA56" s="12">
        <v>50.55</v>
      </c>
      <c r="AB56" s="105">
        <v>194800</v>
      </c>
      <c r="AC56" s="12">
        <v>50.43</v>
      </c>
      <c r="AD56" s="2">
        <f t="shared" si="0"/>
        <v>0.67000000000000171</v>
      </c>
      <c r="AE56" s="148">
        <f t="shared" si="1"/>
        <v>-1.1370319545187191E-2</v>
      </c>
    </row>
    <row r="57" spans="15:31" x14ac:dyDescent="0.25">
      <c r="O57" s="93">
        <v>0.96</v>
      </c>
      <c r="P57" s="93">
        <f t="shared" si="2"/>
        <v>49.036799999999999</v>
      </c>
      <c r="Q57" s="93"/>
      <c r="T57" s="103" t="s">
        <v>115</v>
      </c>
      <c r="U57" s="98">
        <v>2.5</v>
      </c>
      <c r="W57" s="143">
        <v>42362</v>
      </c>
      <c r="X57" s="12">
        <v>50.62</v>
      </c>
      <c r="Y57" s="12">
        <v>51.28</v>
      </c>
      <c r="Z57" s="12">
        <v>50.62</v>
      </c>
      <c r="AA57" s="12">
        <v>51.13</v>
      </c>
      <c r="AB57" s="105">
        <v>113100</v>
      </c>
      <c r="AC57" s="12">
        <v>51.01</v>
      </c>
      <c r="AD57" s="2">
        <f t="shared" si="0"/>
        <v>0.66000000000000369</v>
      </c>
      <c r="AE57" s="148">
        <f t="shared" si="1"/>
        <v>8.501383946223795E-3</v>
      </c>
    </row>
    <row r="58" spans="15:31" x14ac:dyDescent="0.25">
      <c r="O58" s="93">
        <v>0.95</v>
      </c>
      <c r="P58" s="93">
        <f t="shared" si="2"/>
        <v>48.525999999999996</v>
      </c>
      <c r="Q58" s="93"/>
      <c r="T58" s="103" t="s">
        <v>112</v>
      </c>
      <c r="U58" s="98" t="s">
        <v>371</v>
      </c>
      <c r="W58" s="143">
        <v>42361</v>
      </c>
      <c r="X58" s="12">
        <v>50.24</v>
      </c>
      <c r="Y58" s="12">
        <v>50.91</v>
      </c>
      <c r="Z58" s="12">
        <v>50.03</v>
      </c>
      <c r="AA58" s="12">
        <v>50.7</v>
      </c>
      <c r="AB58" s="105">
        <v>211100</v>
      </c>
      <c r="AC58" s="12">
        <v>50.58</v>
      </c>
      <c r="AD58" s="2">
        <f t="shared" si="0"/>
        <v>0.87999999999999545</v>
      </c>
      <c r="AE58" s="148">
        <f t="shared" si="1"/>
        <v>1.3830426939266394E-2</v>
      </c>
    </row>
    <row r="59" spans="15:31" x14ac:dyDescent="0.25">
      <c r="O59" s="93">
        <v>0.94</v>
      </c>
      <c r="P59" s="93">
        <f t="shared" si="2"/>
        <v>48.015199999999993</v>
      </c>
      <c r="Q59" s="93"/>
      <c r="W59" s="143">
        <v>42360</v>
      </c>
      <c r="X59" s="12">
        <v>49.34</v>
      </c>
      <c r="Y59" s="12">
        <v>50.16</v>
      </c>
      <c r="Z59" s="12">
        <v>48.92</v>
      </c>
      <c r="AA59" s="12">
        <v>50.01</v>
      </c>
      <c r="AB59" s="105">
        <v>293200</v>
      </c>
      <c r="AC59" s="12">
        <v>49.89</v>
      </c>
      <c r="AD59" s="2">
        <f t="shared" si="0"/>
        <v>1.2399999999999949</v>
      </c>
      <c r="AE59" s="148">
        <f t="shared" si="1"/>
        <v>1.5882712278558309E-2</v>
      </c>
    </row>
    <row r="60" spans="15:31" x14ac:dyDescent="0.25">
      <c r="O60" s="93">
        <v>0.93</v>
      </c>
      <c r="P60" s="93">
        <f t="shared" si="2"/>
        <v>47.504400000000004</v>
      </c>
      <c r="Q60" s="93"/>
      <c r="W60" s="143">
        <v>42359</v>
      </c>
      <c r="X60" s="12">
        <v>49.5</v>
      </c>
      <c r="Y60" s="12">
        <v>50.09</v>
      </c>
      <c r="Z60" s="12">
        <v>48.94</v>
      </c>
      <c r="AA60" s="12">
        <v>49.22</v>
      </c>
      <c r="AB60" s="105">
        <v>487400</v>
      </c>
      <c r="AC60" s="12">
        <v>49.11</v>
      </c>
      <c r="AD60" s="2">
        <f t="shared" si="0"/>
        <v>1.1500000000000057</v>
      </c>
      <c r="AE60" s="148">
        <f t="shared" si="1"/>
        <v>3.4736411932978495E-3</v>
      </c>
    </row>
    <row r="61" spans="15:31" x14ac:dyDescent="0.25">
      <c r="O61" s="93">
        <v>0.92</v>
      </c>
      <c r="P61" s="93">
        <f t="shared" si="2"/>
        <v>46.993600000000001</v>
      </c>
      <c r="Q61" s="93"/>
      <c r="W61" s="143">
        <v>42356</v>
      </c>
      <c r="X61" s="12">
        <v>49.72</v>
      </c>
      <c r="Y61" s="12">
        <v>50.3</v>
      </c>
      <c r="Z61" s="12">
        <v>49.02</v>
      </c>
      <c r="AA61" s="12">
        <v>49.05</v>
      </c>
      <c r="AB61" s="105">
        <v>697500</v>
      </c>
      <c r="AC61" s="12">
        <v>48.94</v>
      </c>
      <c r="AD61" s="2">
        <f t="shared" si="0"/>
        <v>1.279999999999994</v>
      </c>
      <c r="AE61" s="148">
        <f t="shared" si="1"/>
        <v>-1.3107481347045868E-2</v>
      </c>
    </row>
    <row r="62" spans="15:31" x14ac:dyDescent="0.25">
      <c r="O62" s="93">
        <v>0.91</v>
      </c>
      <c r="P62" s="93">
        <f t="shared" si="2"/>
        <v>46.482799999999997</v>
      </c>
      <c r="Q62" s="93"/>
      <c r="W62" s="143">
        <v>42355</v>
      </c>
      <c r="X62" s="12">
        <v>50.21</v>
      </c>
      <c r="Y62" s="12">
        <v>50.21</v>
      </c>
      <c r="Z62" s="12">
        <v>49.58</v>
      </c>
      <c r="AA62" s="12">
        <v>49.71</v>
      </c>
      <c r="AB62" s="105">
        <v>431500</v>
      </c>
      <c r="AC62" s="12">
        <v>49.59</v>
      </c>
      <c r="AD62" s="2">
        <f t="shared" si="0"/>
        <v>0.63000000000000256</v>
      </c>
      <c r="AE62" s="148">
        <f t="shared" si="1"/>
        <v>-9.9820323417847412E-3</v>
      </c>
    </row>
    <row r="63" spans="15:31" x14ac:dyDescent="0.25">
      <c r="O63" s="93">
        <v>0.9</v>
      </c>
      <c r="P63" s="93">
        <f t="shared" si="2"/>
        <v>45.972000000000001</v>
      </c>
      <c r="Q63" s="93"/>
      <c r="W63" s="143">
        <v>42354</v>
      </c>
      <c r="X63" s="12">
        <v>49.63</v>
      </c>
      <c r="Y63" s="12">
        <v>50.36</v>
      </c>
      <c r="Z63" s="12">
        <v>49.11</v>
      </c>
      <c r="AA63" s="12">
        <v>50.21</v>
      </c>
      <c r="AB63" s="105">
        <v>383000</v>
      </c>
      <c r="AC63" s="12">
        <v>50.09</v>
      </c>
      <c r="AD63" s="2">
        <f t="shared" si="0"/>
        <v>1.25</v>
      </c>
      <c r="AE63" s="148">
        <f t="shared" si="1"/>
        <v>2.0994700366897767E-2</v>
      </c>
    </row>
    <row r="64" spans="15:31" x14ac:dyDescent="0.25">
      <c r="O64" s="37"/>
      <c r="W64" s="143">
        <v>42353</v>
      </c>
      <c r="X64" s="12">
        <v>49.12</v>
      </c>
      <c r="Y64" s="12">
        <v>49.37</v>
      </c>
      <c r="Z64" s="12">
        <v>48.58</v>
      </c>
      <c r="AA64" s="12">
        <v>49.17</v>
      </c>
      <c r="AB64" s="105">
        <v>291100</v>
      </c>
      <c r="AC64" s="12">
        <v>49.06</v>
      </c>
      <c r="AD64" s="2">
        <f t="shared" si="0"/>
        <v>0.78999999999999915</v>
      </c>
      <c r="AE64" s="148">
        <f t="shared" si="1"/>
        <v>9.4650205761317441E-3</v>
      </c>
    </row>
    <row r="65" spans="15:31" x14ac:dyDescent="0.25">
      <c r="O65" s="37"/>
      <c r="W65" s="143">
        <v>42352</v>
      </c>
      <c r="X65" s="12">
        <v>48.4</v>
      </c>
      <c r="Y65" s="12">
        <v>48.78</v>
      </c>
      <c r="Z65" s="12">
        <v>47.83</v>
      </c>
      <c r="AA65" s="12">
        <v>48.71</v>
      </c>
      <c r="AB65" s="105">
        <v>416900</v>
      </c>
      <c r="AC65" s="12">
        <v>48.6</v>
      </c>
      <c r="AD65" s="2">
        <f t="shared" si="0"/>
        <v>0.95000000000000284</v>
      </c>
      <c r="AE65" s="148">
        <f t="shared" si="1"/>
        <v>9.5554632322392141E-3</v>
      </c>
    </row>
    <row r="66" spans="15:31" x14ac:dyDescent="0.25">
      <c r="O66" s="37"/>
      <c r="W66" s="143">
        <v>42349</v>
      </c>
      <c r="X66" s="12">
        <v>47.48</v>
      </c>
      <c r="Y66" s="12">
        <v>48.51</v>
      </c>
      <c r="Z66" s="12">
        <v>47.48</v>
      </c>
      <c r="AA66" s="12">
        <v>48.25</v>
      </c>
      <c r="AB66" s="105">
        <v>444500</v>
      </c>
      <c r="AC66" s="12">
        <v>48.14</v>
      </c>
      <c r="AD66" s="2">
        <f t="shared" si="0"/>
        <v>1.0300000000000011</v>
      </c>
      <c r="AE66" s="148">
        <f t="shared" si="1"/>
        <v>-6.1932287365812355E-3</v>
      </c>
    </row>
    <row r="67" spans="15:31" x14ac:dyDescent="0.25">
      <c r="W67" s="143">
        <v>42348</v>
      </c>
      <c r="X67" s="12">
        <v>48.02</v>
      </c>
      <c r="Y67" s="12">
        <v>48.75</v>
      </c>
      <c r="Z67" s="12">
        <v>47.72</v>
      </c>
      <c r="AA67" s="12">
        <v>48.55</v>
      </c>
      <c r="AB67" s="105">
        <v>280700</v>
      </c>
      <c r="AC67" s="12">
        <v>48.44</v>
      </c>
      <c r="AD67" s="2">
        <f t="shared" ref="AD67:AD68" si="3">Y67-Z67</f>
        <v>1.0300000000000011</v>
      </c>
      <c r="AE67" s="148">
        <f t="shared" ref="AE67" si="4">AC67/AC68-1</f>
        <v>1.3177159590043841E-2</v>
      </c>
    </row>
    <row r="68" spans="15:31" x14ac:dyDescent="0.25">
      <c r="W68" s="143">
        <v>42347</v>
      </c>
      <c r="X68" s="12">
        <v>48.33</v>
      </c>
      <c r="Y68" s="12">
        <v>49.01</v>
      </c>
      <c r="Z68" s="12">
        <v>47.61</v>
      </c>
      <c r="AA68" s="12">
        <v>47.92</v>
      </c>
      <c r="AB68" s="105">
        <v>400000</v>
      </c>
      <c r="AC68" s="12">
        <v>47.81</v>
      </c>
      <c r="AD68" s="2">
        <f t="shared" si="3"/>
        <v>1.3999999999999986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216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61.39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61.39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183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8" t="s">
        <v>78</v>
      </c>
      <c r="P41" s="408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67.529000000000011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66.91510000000001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66.301200000000009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65.687300000000008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65.073400000000007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64.459500000000006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63.845600000000005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63.231700000000004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62.617800000000003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62.003900000000002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61.39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60.7761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60.162199999999999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59.548299999999998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58.934399999999997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58.320499999999996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57.706599999999995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57.092700000000001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56.4788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55.864900000000006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55.251000000000005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09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42444</v>
      </c>
      <c r="X2" s="12">
        <v>30.86</v>
      </c>
      <c r="Y2" s="12">
        <v>31.08</v>
      </c>
      <c r="Z2" s="12">
        <v>30.44</v>
      </c>
      <c r="AA2" s="12">
        <v>31.05</v>
      </c>
      <c r="AB2" s="105">
        <v>8983200</v>
      </c>
      <c r="AC2" s="12">
        <v>31.05</v>
      </c>
      <c r="AD2" s="2">
        <f>Y2-Z2</f>
        <v>0.63999999999999702</v>
      </c>
      <c r="AE2" s="148">
        <f>AC2/AC3-1</f>
        <v>-4.1693393200769036E-3</v>
      </c>
    </row>
    <row r="3" spans="1:31" x14ac:dyDescent="0.25">
      <c r="A3" s="26" t="s">
        <v>71</v>
      </c>
      <c r="B3" s="409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31.69</v>
      </c>
      <c r="T3" t="s">
        <v>86</v>
      </c>
      <c r="W3" s="143">
        <v>42443</v>
      </c>
      <c r="X3" s="12">
        <v>31.18</v>
      </c>
      <c r="Y3" s="12">
        <v>31.39</v>
      </c>
      <c r="Z3" s="12">
        <v>30.9</v>
      </c>
      <c r="AA3" s="12">
        <v>31.18</v>
      </c>
      <c r="AB3" s="105">
        <v>9071500</v>
      </c>
      <c r="AC3" s="12">
        <v>31.18</v>
      </c>
      <c r="AD3" s="2">
        <f t="shared" ref="AD3:AD66" si="0">Y3-Z3</f>
        <v>0.49000000000000199</v>
      </c>
      <c r="AE3" s="148">
        <f t="shared" ref="AE3:AE66" si="1">AC3/AC4-1</f>
        <v>-2.5591810620602118E-3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31.69</v>
      </c>
      <c r="W4" s="143">
        <v>42440</v>
      </c>
      <c r="X4" s="12">
        <v>31.05</v>
      </c>
      <c r="Y4" s="12">
        <v>31.33</v>
      </c>
      <c r="Z4" s="12">
        <v>30.98</v>
      </c>
      <c r="AA4" s="12">
        <v>31.26</v>
      </c>
      <c r="AB4" s="105">
        <v>13350500</v>
      </c>
      <c r="AC4" s="12">
        <v>31.26</v>
      </c>
      <c r="AD4" s="2">
        <f t="shared" si="0"/>
        <v>0.34999999999999787</v>
      </c>
      <c r="AE4" s="148">
        <f t="shared" si="1"/>
        <v>1.4276443867618394E-2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42439</v>
      </c>
      <c r="X5" s="12">
        <v>30.72</v>
      </c>
      <c r="Y5" s="12">
        <v>30.88</v>
      </c>
      <c r="Z5" s="12">
        <v>30.27</v>
      </c>
      <c r="AA5" s="12">
        <v>30.82</v>
      </c>
      <c r="AB5" s="105">
        <v>15088700</v>
      </c>
      <c r="AC5" s="12">
        <v>30.82</v>
      </c>
      <c r="AD5" s="2">
        <f t="shared" si="0"/>
        <v>0.60999999999999943</v>
      </c>
      <c r="AE5" s="148">
        <f t="shared" si="1"/>
        <v>9.1683038637853098E-3</v>
      </c>
    </row>
    <row r="6" spans="1:31" x14ac:dyDescent="0.25">
      <c r="O6" s="13" t="s">
        <v>64</v>
      </c>
      <c r="Q6" s="2">
        <f>Q3*Q2</f>
        <v>0</v>
      </c>
      <c r="W6" s="143">
        <v>42438</v>
      </c>
      <c r="X6" s="12">
        <v>30.47</v>
      </c>
      <c r="Y6" s="12">
        <v>30.63</v>
      </c>
      <c r="Z6" s="12">
        <v>30.2</v>
      </c>
      <c r="AA6" s="12">
        <v>30.54</v>
      </c>
      <c r="AB6" s="105">
        <v>12156100</v>
      </c>
      <c r="AC6" s="12">
        <v>30.54</v>
      </c>
      <c r="AD6" s="2">
        <f t="shared" si="0"/>
        <v>0.42999999999999972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42438</v>
      </c>
      <c r="X7" s="12" t="s">
        <v>278</v>
      </c>
      <c r="Y7" s="12"/>
      <c r="Z7" s="12"/>
      <c r="AA7" s="12"/>
      <c r="AB7" s="105"/>
      <c r="AC7" s="12"/>
      <c r="AD7" s="2">
        <f t="shared" si="0"/>
        <v>0</v>
      </c>
      <c r="AE7" s="148">
        <f t="shared" si="1"/>
        <v>-1</v>
      </c>
    </row>
    <row r="8" spans="1:31" x14ac:dyDescent="0.25">
      <c r="O8" s="13" t="s">
        <v>90</v>
      </c>
      <c r="Q8" s="148">
        <f>(Q4-Q3)/Q3</f>
        <v>0</v>
      </c>
      <c r="W8" s="143">
        <v>42437</v>
      </c>
      <c r="X8" s="12">
        <v>31.4</v>
      </c>
      <c r="Y8" s="12">
        <v>31.4</v>
      </c>
      <c r="Z8" s="12">
        <v>30.46</v>
      </c>
      <c r="AA8" s="12">
        <v>30.68</v>
      </c>
      <c r="AB8" s="105">
        <v>16794400</v>
      </c>
      <c r="AC8" s="12">
        <v>30.3</v>
      </c>
      <c r="AD8" s="2">
        <f t="shared" si="0"/>
        <v>0.93999999999999773</v>
      </c>
      <c r="AE8" s="148">
        <f t="shared" si="1"/>
        <v>-2.8846153846153855E-2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42436</v>
      </c>
      <c r="X9" s="12">
        <v>31.31</v>
      </c>
      <c r="Y9" s="12">
        <v>31.78</v>
      </c>
      <c r="Z9" s="12">
        <v>31.19</v>
      </c>
      <c r="AA9" s="12">
        <v>31.59</v>
      </c>
      <c r="AB9" s="105">
        <v>11373800</v>
      </c>
      <c r="AC9" s="12">
        <v>31.2</v>
      </c>
      <c r="AD9" s="2">
        <f t="shared" si="0"/>
        <v>0.58999999999999986</v>
      </c>
      <c r="AE9" s="148">
        <f t="shared" si="1"/>
        <v>7.1013557133634553E-3</v>
      </c>
    </row>
    <row r="10" spans="1:31" x14ac:dyDescent="0.25">
      <c r="W10" s="143">
        <v>42433</v>
      </c>
      <c r="X10" s="12">
        <v>31.22</v>
      </c>
      <c r="Y10" s="12">
        <v>31.74</v>
      </c>
      <c r="Z10" s="12">
        <v>31.06</v>
      </c>
      <c r="AA10" s="12">
        <v>31.37</v>
      </c>
      <c r="AB10" s="105">
        <v>13963200</v>
      </c>
      <c r="AC10" s="12">
        <v>30.98</v>
      </c>
      <c r="AD10" s="2">
        <f t="shared" si="0"/>
        <v>0.67999999999999972</v>
      </c>
      <c r="AE10" s="148">
        <f t="shared" si="1"/>
        <v>9.4493320299771089E-3</v>
      </c>
    </row>
    <row r="11" spans="1:31" x14ac:dyDescent="0.25">
      <c r="W11" s="143">
        <v>42432</v>
      </c>
      <c r="X11" s="12">
        <v>30.26</v>
      </c>
      <c r="Y11" s="12">
        <v>31.22</v>
      </c>
      <c r="Z11" s="12">
        <v>30.2</v>
      </c>
      <c r="AA11" s="12">
        <v>31.07</v>
      </c>
      <c r="AB11" s="105">
        <v>18341300</v>
      </c>
      <c r="AC11" s="12">
        <v>30.69</v>
      </c>
      <c r="AD11" s="2">
        <f t="shared" si="0"/>
        <v>1.0199999999999996</v>
      </c>
      <c r="AE11" s="148">
        <f t="shared" si="1"/>
        <v>3.0557421087978431E-2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183</v>
      </c>
      <c r="W12" s="143">
        <v>42431</v>
      </c>
      <c r="X12" s="12">
        <v>30</v>
      </c>
      <c r="Y12" s="12">
        <v>30.32</v>
      </c>
      <c r="Z12" s="12">
        <v>29.84</v>
      </c>
      <c r="AA12" s="12">
        <v>30.15</v>
      </c>
      <c r="AB12" s="105">
        <v>12094700</v>
      </c>
      <c r="AC12" s="12">
        <v>29.78</v>
      </c>
      <c r="AD12" s="2">
        <f t="shared" si="0"/>
        <v>0.48000000000000043</v>
      </c>
      <c r="AE12" s="148">
        <f t="shared" si="1"/>
        <v>4.7233468286100866E-3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42430</v>
      </c>
      <c r="X13" s="12">
        <v>30.02</v>
      </c>
      <c r="Y13" s="12">
        <v>30.23</v>
      </c>
      <c r="Z13" s="12">
        <v>28.92</v>
      </c>
      <c r="AA13" s="12">
        <v>30.01</v>
      </c>
      <c r="AB13" s="105">
        <v>21007300</v>
      </c>
      <c r="AC13" s="12">
        <v>29.64</v>
      </c>
      <c r="AD13" s="2">
        <f t="shared" si="0"/>
        <v>1.3099999999999987</v>
      </c>
      <c r="AE13" s="148">
        <f t="shared" si="1"/>
        <v>1.9257221458046869E-2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42429</v>
      </c>
      <c r="X14" s="12">
        <v>29.37</v>
      </c>
      <c r="Y14" s="12">
        <v>29.8</v>
      </c>
      <c r="Z14" s="12">
        <v>29.29</v>
      </c>
      <c r="AA14" s="12">
        <v>29.44</v>
      </c>
      <c r="AB14" s="105">
        <v>10329400</v>
      </c>
      <c r="AC14" s="12">
        <v>29.08</v>
      </c>
      <c r="AD14" s="2">
        <f t="shared" si="0"/>
        <v>0.51000000000000156</v>
      </c>
      <c r="AE14" s="148">
        <f t="shared" si="1"/>
        <v>-6.1517429938483525E-3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42426</v>
      </c>
      <c r="X15" s="12">
        <v>29.73</v>
      </c>
      <c r="Y15" s="12">
        <v>29.96</v>
      </c>
      <c r="Z15" s="12">
        <v>29.54</v>
      </c>
      <c r="AA15" s="12">
        <v>29.63</v>
      </c>
      <c r="AB15" s="105">
        <v>15778300</v>
      </c>
      <c r="AC15" s="12">
        <v>29.26</v>
      </c>
      <c r="AD15" s="2">
        <f t="shared" si="0"/>
        <v>0.42000000000000171</v>
      </c>
      <c r="AE15" s="148">
        <f t="shared" si="1"/>
        <v>4.462753175420664E-3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42425</v>
      </c>
      <c r="X16" s="12">
        <v>28.83</v>
      </c>
      <c r="Y16" s="12">
        <v>29.51</v>
      </c>
      <c r="Z16" s="12">
        <v>28.55</v>
      </c>
      <c r="AA16" s="12">
        <v>29.5</v>
      </c>
      <c r="AB16" s="105">
        <v>11904300</v>
      </c>
      <c r="AC16" s="12">
        <v>29.13</v>
      </c>
      <c r="AD16" s="2">
        <f t="shared" si="0"/>
        <v>0.96000000000000085</v>
      </c>
      <c r="AE16" s="148">
        <f t="shared" si="1"/>
        <v>2.2823033707865203E-2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42424</v>
      </c>
      <c r="X17" s="12">
        <v>28.72</v>
      </c>
      <c r="Y17" s="12">
        <v>28.9</v>
      </c>
      <c r="Z17" s="12">
        <v>27.81</v>
      </c>
      <c r="AA17" s="12">
        <v>28.84</v>
      </c>
      <c r="AB17" s="105">
        <v>20989100</v>
      </c>
      <c r="AC17" s="12">
        <v>28.48</v>
      </c>
      <c r="AD17" s="2">
        <f t="shared" si="0"/>
        <v>1.0899999999999999</v>
      </c>
      <c r="AE17" s="148">
        <f t="shared" si="1"/>
        <v>-1.860785665058573E-2</v>
      </c>
    </row>
    <row r="18" spans="2:31" x14ac:dyDescent="0.25">
      <c r="W18" s="143">
        <v>42423</v>
      </c>
      <c r="X18" s="12">
        <v>29.41</v>
      </c>
      <c r="Y18" s="12">
        <v>29.82</v>
      </c>
      <c r="Z18" s="12">
        <v>29.28</v>
      </c>
      <c r="AA18" s="12">
        <v>29.38</v>
      </c>
      <c r="AB18" s="105">
        <v>9949600</v>
      </c>
      <c r="AC18" s="12">
        <v>29.02</v>
      </c>
      <c r="AD18" s="2">
        <f t="shared" si="0"/>
        <v>0.53999999999999915</v>
      </c>
      <c r="AE18" s="148">
        <f t="shared" si="1"/>
        <v>-8.2023239917977664E-3</v>
      </c>
    </row>
    <row r="19" spans="2:31" x14ac:dyDescent="0.25">
      <c r="W19" s="143">
        <v>42422</v>
      </c>
      <c r="X19" s="12">
        <v>28.78</v>
      </c>
      <c r="Y19" s="12">
        <v>29.64</v>
      </c>
      <c r="Z19" s="12">
        <v>28.78</v>
      </c>
      <c r="AA19" s="12">
        <v>29.63</v>
      </c>
      <c r="AB19" s="105">
        <v>12215500</v>
      </c>
      <c r="AC19" s="12">
        <v>29.26</v>
      </c>
      <c r="AD19" s="2">
        <f t="shared" si="0"/>
        <v>0.85999999999999943</v>
      </c>
      <c r="AE19" s="148">
        <f t="shared" si="1"/>
        <v>2.9556650246305383E-2</v>
      </c>
    </row>
    <row r="20" spans="2:31" x14ac:dyDescent="0.25">
      <c r="W20" s="143">
        <v>42419</v>
      </c>
      <c r="X20" s="12">
        <v>28.88</v>
      </c>
      <c r="Y20" s="12">
        <v>28.98</v>
      </c>
      <c r="Z20" s="12">
        <v>28.38</v>
      </c>
      <c r="AA20" s="12">
        <v>28.78</v>
      </c>
      <c r="AB20" s="105">
        <v>12362300</v>
      </c>
      <c r="AC20" s="12">
        <v>28.42</v>
      </c>
      <c r="AD20" s="2">
        <f t="shared" si="0"/>
        <v>0.60000000000000142</v>
      </c>
      <c r="AE20" s="148">
        <f t="shared" si="1"/>
        <v>-8.7199162888036419E-3</v>
      </c>
    </row>
    <row r="21" spans="2:31" x14ac:dyDescent="0.25">
      <c r="W21" s="143">
        <v>42418</v>
      </c>
      <c r="X21" s="12">
        <v>29.45</v>
      </c>
      <c r="Y21" s="12">
        <v>29.55</v>
      </c>
      <c r="Z21" s="12">
        <v>28.92</v>
      </c>
      <c r="AA21" s="12">
        <v>29.03</v>
      </c>
      <c r="AB21" s="105">
        <v>12158600</v>
      </c>
      <c r="AC21" s="12">
        <v>28.67</v>
      </c>
      <c r="AD21" s="2">
        <f t="shared" si="0"/>
        <v>0.62999999999999901</v>
      </c>
      <c r="AE21" s="148">
        <f t="shared" si="1"/>
        <v>-8.3016257350396749E-3</v>
      </c>
    </row>
    <row r="22" spans="2:31" x14ac:dyDescent="0.25">
      <c r="W22" s="143">
        <v>42417</v>
      </c>
      <c r="X22" s="12">
        <v>28.86</v>
      </c>
      <c r="Y22" s="12">
        <v>29.35</v>
      </c>
      <c r="Z22" s="12">
        <v>28.7</v>
      </c>
      <c r="AA22" s="12">
        <v>29.27</v>
      </c>
      <c r="AB22" s="105">
        <v>13256100</v>
      </c>
      <c r="AC22" s="12">
        <v>28.91</v>
      </c>
      <c r="AD22" s="2">
        <f t="shared" si="0"/>
        <v>0.65000000000000213</v>
      </c>
      <c r="AE22" s="148">
        <f t="shared" si="1"/>
        <v>2.4087849805171757E-2</v>
      </c>
    </row>
    <row r="23" spans="2:31" x14ac:dyDescent="0.25">
      <c r="W23" s="143">
        <v>42416</v>
      </c>
      <c r="X23" s="12">
        <v>28</v>
      </c>
      <c r="Y23" s="12">
        <v>28.59</v>
      </c>
      <c r="Z23" s="12">
        <v>27.76</v>
      </c>
      <c r="AA23" s="12">
        <v>28.58</v>
      </c>
      <c r="AB23" s="105">
        <v>14627500</v>
      </c>
      <c r="AC23" s="12">
        <v>28.23</v>
      </c>
      <c r="AD23" s="2">
        <f t="shared" si="0"/>
        <v>0.82999999999999829</v>
      </c>
      <c r="AE23" s="148">
        <f t="shared" si="1"/>
        <v>3.1421264157837081E-2</v>
      </c>
    </row>
    <row r="24" spans="2:31" x14ac:dyDescent="0.25">
      <c r="W24" s="143">
        <v>42412</v>
      </c>
      <c r="X24" s="12">
        <v>27.23</v>
      </c>
      <c r="Y24" s="12">
        <v>27.74</v>
      </c>
      <c r="Z24" s="12">
        <v>27.05</v>
      </c>
      <c r="AA24" s="12">
        <v>27.71</v>
      </c>
      <c r="AB24" s="105">
        <v>11041000</v>
      </c>
      <c r="AC24" s="12">
        <v>27.37</v>
      </c>
      <c r="AD24" s="2">
        <f t="shared" si="0"/>
        <v>0.68999999999999773</v>
      </c>
      <c r="AE24" s="148">
        <f t="shared" si="1"/>
        <v>3.0109145652992053E-2</v>
      </c>
    </row>
    <row r="25" spans="2:31" x14ac:dyDescent="0.25">
      <c r="W25" s="143">
        <v>42411</v>
      </c>
      <c r="X25" s="12">
        <v>27.48</v>
      </c>
      <c r="Y25" s="12">
        <v>28.09</v>
      </c>
      <c r="Z25" s="12">
        <v>26.69</v>
      </c>
      <c r="AA25" s="12">
        <v>26.9</v>
      </c>
      <c r="AB25" s="105">
        <v>25164400</v>
      </c>
      <c r="AC25" s="12">
        <v>26.57</v>
      </c>
      <c r="AD25" s="2">
        <f t="shared" si="0"/>
        <v>1.3999999999999986</v>
      </c>
      <c r="AE25" s="148">
        <f t="shared" si="1"/>
        <v>-2.922908293752291E-2</v>
      </c>
    </row>
    <row r="26" spans="2:31" x14ac:dyDescent="0.25">
      <c r="W26" s="143">
        <v>42410</v>
      </c>
      <c r="X26" s="12">
        <v>28.12</v>
      </c>
      <c r="Y26" s="12">
        <v>28.64</v>
      </c>
      <c r="Z26" s="12">
        <v>27.69</v>
      </c>
      <c r="AA26" s="12">
        <v>27.71</v>
      </c>
      <c r="AB26" s="105">
        <v>15163800</v>
      </c>
      <c r="AC26" s="12">
        <v>27.37</v>
      </c>
      <c r="AD26" s="2">
        <f t="shared" si="0"/>
        <v>0.94999999999999929</v>
      </c>
      <c r="AE26" s="148">
        <f t="shared" si="1"/>
        <v>-5.4505813953488191E-3</v>
      </c>
    </row>
    <row r="27" spans="2:31" x14ac:dyDescent="0.25">
      <c r="W27" s="143">
        <v>42409</v>
      </c>
      <c r="X27" s="12">
        <v>28.13</v>
      </c>
      <c r="Y27" s="12">
        <v>28.87</v>
      </c>
      <c r="Z27" s="12">
        <v>27.77</v>
      </c>
      <c r="AA27" s="12">
        <v>27.87</v>
      </c>
      <c r="AB27" s="105">
        <v>21654100</v>
      </c>
      <c r="AC27" s="12">
        <v>27.52</v>
      </c>
      <c r="AD27" s="2">
        <f t="shared" si="0"/>
        <v>1.1000000000000014</v>
      </c>
      <c r="AE27" s="148">
        <f t="shared" si="1"/>
        <v>-2.8248587570621542E-2</v>
      </c>
    </row>
    <row r="28" spans="2:31" x14ac:dyDescent="0.25">
      <c r="W28" s="143">
        <v>42408</v>
      </c>
      <c r="X28" s="12">
        <v>28.28</v>
      </c>
      <c r="Y28" s="12">
        <v>28.84</v>
      </c>
      <c r="Z28" s="12">
        <v>28.05</v>
      </c>
      <c r="AA28" s="12">
        <v>28.68</v>
      </c>
      <c r="AB28" s="105">
        <v>19174000</v>
      </c>
      <c r="AC28" s="12">
        <v>28.32</v>
      </c>
      <c r="AD28" s="2">
        <f t="shared" si="0"/>
        <v>0.78999999999999915</v>
      </c>
      <c r="AE28" s="148">
        <f t="shared" si="1"/>
        <v>4.6115643845334731E-3</v>
      </c>
    </row>
    <row r="29" spans="2:31" x14ac:dyDescent="0.25">
      <c r="W29" s="143">
        <v>42405</v>
      </c>
      <c r="X29" s="12">
        <v>28.67</v>
      </c>
      <c r="Y29" s="12">
        <v>29.2</v>
      </c>
      <c r="Z29" s="12">
        <v>28.42</v>
      </c>
      <c r="AA29" s="12">
        <v>28.54</v>
      </c>
      <c r="AB29" s="105">
        <v>14125200</v>
      </c>
      <c r="AC29" s="12">
        <v>28.19</v>
      </c>
      <c r="AD29" s="2">
        <f t="shared" si="0"/>
        <v>0.77999999999999758</v>
      </c>
      <c r="AE29" s="148">
        <f t="shared" si="1"/>
        <v>-3.5348179568751581E-3</v>
      </c>
    </row>
    <row r="30" spans="2:31" x14ac:dyDescent="0.25">
      <c r="W30" s="143">
        <v>42404</v>
      </c>
      <c r="X30" s="12">
        <v>28.94</v>
      </c>
      <c r="Y30" s="12">
        <v>29.21</v>
      </c>
      <c r="Z30" s="12">
        <v>28.1</v>
      </c>
      <c r="AA30" s="12">
        <v>28.64</v>
      </c>
      <c r="AB30" s="105">
        <v>21002800</v>
      </c>
      <c r="AC30" s="12">
        <v>28.29</v>
      </c>
      <c r="AD30" s="2">
        <f t="shared" si="0"/>
        <v>1.1099999999999994</v>
      </c>
      <c r="AE30" s="148">
        <f t="shared" si="1"/>
        <v>-9.4537815126050084E-3</v>
      </c>
    </row>
    <row r="31" spans="2:31" x14ac:dyDescent="0.25">
      <c r="W31" s="143">
        <v>42403</v>
      </c>
      <c r="X31" s="12">
        <v>30.1</v>
      </c>
      <c r="Y31" s="12">
        <v>30.25</v>
      </c>
      <c r="Z31" s="12">
        <v>28.18</v>
      </c>
      <c r="AA31" s="12">
        <v>28.92</v>
      </c>
      <c r="AB31" s="105">
        <v>29069800</v>
      </c>
      <c r="AC31" s="12">
        <v>28.56</v>
      </c>
      <c r="AD31" s="2">
        <f t="shared" si="0"/>
        <v>2.0700000000000003</v>
      </c>
      <c r="AE31" s="148">
        <f t="shared" si="1"/>
        <v>-2.4590163934426257E-2</v>
      </c>
    </row>
    <row r="32" spans="2:31" x14ac:dyDescent="0.25">
      <c r="W32" s="143">
        <v>42402</v>
      </c>
      <c r="X32" s="12">
        <v>29.99</v>
      </c>
      <c r="Y32" s="12">
        <v>30.19</v>
      </c>
      <c r="Z32" s="12">
        <v>28.87</v>
      </c>
      <c r="AA32" s="12">
        <v>29.65</v>
      </c>
      <c r="AB32" s="105">
        <v>23777400</v>
      </c>
      <c r="AC32" s="12">
        <v>29.28</v>
      </c>
      <c r="AD32" s="2">
        <f t="shared" si="0"/>
        <v>1.3200000000000003</v>
      </c>
      <c r="AE32" s="148">
        <f t="shared" si="1"/>
        <v>-1.5467383994619999E-2</v>
      </c>
    </row>
    <row r="33" spans="4:31" x14ac:dyDescent="0.25">
      <c r="W33" s="143">
        <v>42401</v>
      </c>
      <c r="X33" s="12">
        <v>29.46</v>
      </c>
      <c r="Y33" s="12">
        <v>30.24</v>
      </c>
      <c r="Z33" s="12">
        <v>29.1</v>
      </c>
      <c r="AA33" s="12">
        <v>30.11</v>
      </c>
      <c r="AB33" s="105">
        <v>13831700</v>
      </c>
      <c r="AC33" s="12">
        <v>29.74</v>
      </c>
      <c r="AD33" s="2">
        <f t="shared" si="0"/>
        <v>1.139999999999997</v>
      </c>
      <c r="AE33" s="148">
        <f t="shared" si="1"/>
        <v>1.605739665186201E-2</v>
      </c>
    </row>
    <row r="34" spans="4:31" x14ac:dyDescent="0.25">
      <c r="W34" s="143">
        <v>42398</v>
      </c>
      <c r="X34" s="12">
        <v>29.17</v>
      </c>
      <c r="Y34" s="12">
        <v>29.64</v>
      </c>
      <c r="Z34" s="12">
        <v>29.02</v>
      </c>
      <c r="AA34" s="12">
        <v>29.64</v>
      </c>
      <c r="AB34" s="105">
        <v>13445800</v>
      </c>
      <c r="AC34" s="12">
        <v>29.27</v>
      </c>
      <c r="AD34" s="2">
        <f t="shared" si="0"/>
        <v>0.62000000000000099</v>
      </c>
      <c r="AE34" s="148">
        <f t="shared" si="1"/>
        <v>2.1284019539427712E-2</v>
      </c>
    </row>
    <row r="35" spans="4:31" x14ac:dyDescent="0.25">
      <c r="W35" s="143">
        <v>42397</v>
      </c>
      <c r="X35" s="12">
        <v>29.47</v>
      </c>
      <c r="Y35" s="12">
        <v>29.48</v>
      </c>
      <c r="Z35" s="12">
        <v>28.4</v>
      </c>
      <c r="AA35" s="12">
        <v>29.02</v>
      </c>
      <c r="AB35" s="105">
        <v>16421200</v>
      </c>
      <c r="AC35" s="12">
        <v>28.66</v>
      </c>
      <c r="AD35" s="2">
        <f t="shared" si="0"/>
        <v>1.0800000000000018</v>
      </c>
      <c r="AE35" s="148">
        <f t="shared" si="1"/>
        <v>-6.585788561525141E-3</v>
      </c>
    </row>
    <row r="36" spans="4:31" x14ac:dyDescent="0.25">
      <c r="W36" s="143">
        <v>42396</v>
      </c>
      <c r="X36" s="12">
        <v>29.72</v>
      </c>
      <c r="Y36" s="12">
        <v>29.9</v>
      </c>
      <c r="Z36" s="12">
        <v>29</v>
      </c>
      <c r="AA36" s="12">
        <v>29.21</v>
      </c>
      <c r="AB36" s="105">
        <v>12932300</v>
      </c>
      <c r="AC36" s="12">
        <v>28.85</v>
      </c>
      <c r="AD36" s="2">
        <f t="shared" si="0"/>
        <v>0.89999999999999858</v>
      </c>
      <c r="AE36" s="148">
        <f t="shared" si="1"/>
        <v>-1.4685792349726778E-2</v>
      </c>
    </row>
    <row r="37" spans="4:31" x14ac:dyDescent="0.25">
      <c r="W37" s="143">
        <v>42395</v>
      </c>
      <c r="X37" s="12">
        <v>29.41</v>
      </c>
      <c r="Y37" s="12">
        <v>29.75</v>
      </c>
      <c r="Z37" s="12">
        <v>29.04</v>
      </c>
      <c r="AA37" s="12">
        <v>29.65</v>
      </c>
      <c r="AB37" s="105">
        <v>11656700</v>
      </c>
      <c r="AC37" s="12">
        <v>29.28</v>
      </c>
      <c r="AD37" s="2">
        <f t="shared" si="0"/>
        <v>0.71000000000000085</v>
      </c>
      <c r="AE37" s="148">
        <f t="shared" si="1"/>
        <v>1.4201593349497665E-2</v>
      </c>
    </row>
    <row r="38" spans="4:31" x14ac:dyDescent="0.25">
      <c r="W38" s="143">
        <v>42394</v>
      </c>
      <c r="X38" s="12">
        <v>29.33</v>
      </c>
      <c r="Y38" s="12">
        <v>29.59</v>
      </c>
      <c r="Z38" s="12">
        <v>29.02</v>
      </c>
      <c r="AA38" s="12">
        <v>29.23</v>
      </c>
      <c r="AB38" s="105">
        <v>33627700</v>
      </c>
      <c r="AC38" s="12">
        <v>28.87</v>
      </c>
      <c r="AD38" s="2">
        <f t="shared" si="0"/>
        <v>0.57000000000000028</v>
      </c>
      <c r="AE38" s="148">
        <f t="shared" si="1"/>
        <v>-1.7289073305670755E-3</v>
      </c>
    </row>
    <row r="39" spans="4:31" x14ac:dyDescent="0.25">
      <c r="W39" s="143">
        <v>42391</v>
      </c>
      <c r="X39" s="12">
        <v>30.16</v>
      </c>
      <c r="Y39" s="12">
        <v>30.29</v>
      </c>
      <c r="Z39" s="12">
        <v>29.03</v>
      </c>
      <c r="AA39" s="12">
        <v>29.28</v>
      </c>
      <c r="AB39" s="105">
        <v>18302800</v>
      </c>
      <c r="AC39" s="12">
        <v>28.92</v>
      </c>
      <c r="AD39" s="2">
        <f t="shared" si="0"/>
        <v>1.259999999999998</v>
      </c>
      <c r="AE39" s="148">
        <f t="shared" si="1"/>
        <v>-8.9102124742973521E-3</v>
      </c>
    </row>
    <row r="40" spans="4:31" x14ac:dyDescent="0.25">
      <c r="D40"/>
      <c r="E40"/>
      <c r="W40" s="143">
        <v>42390</v>
      </c>
      <c r="X40" s="12">
        <v>29.46</v>
      </c>
      <c r="Y40" s="12">
        <v>30.14</v>
      </c>
      <c r="Z40" s="12">
        <v>29.07</v>
      </c>
      <c r="AA40" s="12">
        <v>29.55</v>
      </c>
      <c r="AB40" s="105">
        <v>15844000</v>
      </c>
      <c r="AC40" s="12">
        <v>29.18</v>
      </c>
      <c r="AD40" s="2">
        <f t="shared" si="0"/>
        <v>1.0700000000000003</v>
      </c>
      <c r="AE40" s="148">
        <f t="shared" si="1"/>
        <v>4.1293874741914482E-3</v>
      </c>
    </row>
    <row r="41" spans="4:31" ht="20.25" thickBot="1" x14ac:dyDescent="0.35">
      <c r="O41" s="408" t="s">
        <v>78</v>
      </c>
      <c r="P41" s="408"/>
      <c r="T41" s="101" t="s">
        <v>116</v>
      </c>
      <c r="W41" s="143">
        <v>42389</v>
      </c>
      <c r="X41" s="12">
        <v>28.86</v>
      </c>
      <c r="Y41" s="12">
        <v>29.9</v>
      </c>
      <c r="Z41" s="12">
        <v>28.32</v>
      </c>
      <c r="AA41" s="12">
        <v>29.42</v>
      </c>
      <c r="AB41" s="105">
        <v>21481000</v>
      </c>
      <c r="AC41" s="12">
        <v>29.06</v>
      </c>
      <c r="AD41" s="2">
        <f t="shared" si="0"/>
        <v>1.5799999999999983</v>
      </c>
      <c r="AE41" s="148">
        <f t="shared" si="1"/>
        <v>6.8870523415975882E-4</v>
      </c>
    </row>
    <row r="42" spans="4:31" ht="15.75" thickTop="1" x14ac:dyDescent="0.25">
      <c r="O42" s="93">
        <v>1.1000000000000001</v>
      </c>
      <c r="P42" s="93">
        <f>O42*$Q$4</f>
        <v>34.859000000000002</v>
      </c>
      <c r="Q42" s="2"/>
      <c r="T42" s="171" t="s">
        <v>101</v>
      </c>
      <c r="U42" s="171">
        <v>31.18</v>
      </c>
      <c r="W42" s="143">
        <v>42388</v>
      </c>
      <c r="X42" s="12">
        <v>29.93</v>
      </c>
      <c r="Y42" s="12">
        <v>30</v>
      </c>
      <c r="Z42" s="12">
        <v>28.91</v>
      </c>
      <c r="AA42" s="12">
        <v>29.4</v>
      </c>
      <c r="AB42" s="105">
        <v>17826600</v>
      </c>
      <c r="AC42" s="12">
        <v>29.04</v>
      </c>
      <c r="AD42" s="2">
        <f t="shared" si="0"/>
        <v>1.0899999999999999</v>
      </c>
      <c r="AE42" s="148">
        <f t="shared" si="1"/>
        <v>-5.479452054794498E-3</v>
      </c>
    </row>
    <row r="43" spans="4:31" x14ac:dyDescent="0.25">
      <c r="O43" s="93">
        <v>1.0900000000000001</v>
      </c>
      <c r="P43" s="93">
        <f t="shared" ref="P43:P62" si="3">O43*$Q$4</f>
        <v>34.542100000000005</v>
      </c>
      <c r="Q43" s="2"/>
      <c r="T43" s="12" t="s">
        <v>102</v>
      </c>
      <c r="U43" s="12">
        <v>30.86</v>
      </c>
      <c r="W43" s="143">
        <v>42384</v>
      </c>
      <c r="X43" s="12">
        <v>29.46</v>
      </c>
      <c r="Y43" s="12">
        <v>29.68</v>
      </c>
      <c r="Z43" s="12">
        <v>28.8</v>
      </c>
      <c r="AA43" s="12">
        <v>29.57</v>
      </c>
      <c r="AB43" s="105">
        <v>26698100</v>
      </c>
      <c r="AC43" s="12">
        <v>29.2</v>
      </c>
      <c r="AD43" s="2">
        <f t="shared" si="0"/>
        <v>0.87999999999999901</v>
      </c>
      <c r="AE43" s="148">
        <f t="shared" si="1"/>
        <v>-2.4064171122994749E-2</v>
      </c>
    </row>
    <row r="44" spans="4:31" x14ac:dyDescent="0.25">
      <c r="O44" s="93">
        <v>1.08</v>
      </c>
      <c r="P44" s="93">
        <f t="shared" si="3"/>
        <v>34.225200000000001</v>
      </c>
      <c r="Q44" s="2"/>
      <c r="T44" s="12" t="s">
        <v>103</v>
      </c>
      <c r="U44" s="12" t="s">
        <v>372</v>
      </c>
      <c r="W44" s="143">
        <v>42383</v>
      </c>
      <c r="X44" s="12">
        <v>30.81</v>
      </c>
      <c r="Y44" s="12">
        <v>30.89</v>
      </c>
      <c r="Z44" s="12">
        <v>29.45</v>
      </c>
      <c r="AA44" s="12">
        <v>30.3</v>
      </c>
      <c r="AB44" s="105">
        <v>27106700</v>
      </c>
      <c r="AC44" s="12">
        <v>29.92</v>
      </c>
      <c r="AD44" s="2">
        <f t="shared" si="0"/>
        <v>1.4400000000000013</v>
      </c>
      <c r="AE44" s="148">
        <f t="shared" si="1"/>
        <v>-6.3101959481899339E-3</v>
      </c>
    </row>
    <row r="45" spans="4:31" x14ac:dyDescent="0.25">
      <c r="O45" s="93">
        <v>1.07</v>
      </c>
      <c r="P45" s="93">
        <f t="shared" si="3"/>
        <v>33.908300000000004</v>
      </c>
      <c r="Q45" s="2"/>
      <c r="T45" s="12" t="s">
        <v>104</v>
      </c>
      <c r="U45" s="12" t="s">
        <v>373</v>
      </c>
      <c r="W45" s="143">
        <v>42382</v>
      </c>
      <c r="X45" s="12">
        <v>31.83</v>
      </c>
      <c r="Y45" s="12">
        <v>31.9</v>
      </c>
      <c r="Z45" s="12">
        <v>30.09</v>
      </c>
      <c r="AA45" s="12">
        <v>30.49</v>
      </c>
      <c r="AB45" s="105">
        <v>31586200</v>
      </c>
      <c r="AC45" s="12">
        <v>30.11</v>
      </c>
      <c r="AD45" s="2">
        <f t="shared" si="0"/>
        <v>1.8099999999999987</v>
      </c>
      <c r="AE45" s="148">
        <f t="shared" si="1"/>
        <v>6.350267379679142E-3</v>
      </c>
    </row>
    <row r="46" spans="4:31" x14ac:dyDescent="0.25">
      <c r="O46" s="93">
        <v>1.06</v>
      </c>
      <c r="P46" s="93">
        <f t="shared" si="3"/>
        <v>33.5914</v>
      </c>
      <c r="Q46" s="2"/>
      <c r="T46" s="12" t="s">
        <v>105</v>
      </c>
      <c r="U46" s="12">
        <v>37.76</v>
      </c>
      <c r="W46" s="143">
        <v>42381</v>
      </c>
      <c r="X46" s="12">
        <v>30.63</v>
      </c>
      <c r="Y46" s="12">
        <v>30.75</v>
      </c>
      <c r="Z46" s="12">
        <v>29.8</v>
      </c>
      <c r="AA46" s="12">
        <v>30.3</v>
      </c>
      <c r="AB46" s="105">
        <v>13398900</v>
      </c>
      <c r="AC46" s="12">
        <v>29.92</v>
      </c>
      <c r="AD46" s="2">
        <f t="shared" si="0"/>
        <v>0.94999999999999929</v>
      </c>
      <c r="AE46" s="148">
        <f t="shared" si="1"/>
        <v>1.3386880856760541E-3</v>
      </c>
    </row>
    <row r="47" spans="4:31" x14ac:dyDescent="0.25">
      <c r="O47" s="93">
        <v>1.05</v>
      </c>
      <c r="P47" s="93">
        <f t="shared" si="3"/>
        <v>33.274500000000003</v>
      </c>
      <c r="Q47" s="2"/>
      <c r="T47" s="12" t="s">
        <v>106</v>
      </c>
      <c r="U47" s="12">
        <v>1.6581999999999999</v>
      </c>
      <c r="W47" s="143">
        <v>42380</v>
      </c>
      <c r="X47" s="12">
        <v>30.37</v>
      </c>
      <c r="Y47" s="12">
        <v>30.48</v>
      </c>
      <c r="Z47" s="12">
        <v>29.68</v>
      </c>
      <c r="AA47" s="12">
        <v>30.25</v>
      </c>
      <c r="AB47" s="105">
        <v>16877400</v>
      </c>
      <c r="AC47" s="12">
        <v>29.88</v>
      </c>
      <c r="AD47" s="2">
        <f t="shared" si="0"/>
        <v>0.80000000000000071</v>
      </c>
      <c r="AE47" s="148">
        <f t="shared" si="1"/>
        <v>2.4691358024691246E-2</v>
      </c>
    </row>
    <row r="48" spans="4:31" x14ac:dyDescent="0.25">
      <c r="O48" s="93">
        <v>1.04</v>
      </c>
      <c r="P48" s="93">
        <f t="shared" si="3"/>
        <v>32.957599999999999</v>
      </c>
      <c r="Q48" s="2"/>
      <c r="T48" s="12" t="s">
        <v>126</v>
      </c>
      <c r="U48" s="12" t="s">
        <v>236</v>
      </c>
      <c r="W48" s="143">
        <v>42377</v>
      </c>
      <c r="X48" s="12">
        <v>30.46</v>
      </c>
      <c r="Y48" s="12">
        <v>30.7</v>
      </c>
      <c r="Z48" s="12">
        <v>29.42</v>
      </c>
      <c r="AA48" s="12">
        <v>29.53</v>
      </c>
      <c r="AB48" s="105">
        <v>16448000</v>
      </c>
      <c r="AC48" s="12">
        <v>29.16</v>
      </c>
      <c r="AD48" s="2">
        <f t="shared" si="0"/>
        <v>1.2799999999999976</v>
      </c>
      <c r="AE48" s="148">
        <f t="shared" si="1"/>
        <v>-1.5530047265361224E-2</v>
      </c>
    </row>
    <row r="49" spans="15:31" x14ac:dyDescent="0.25">
      <c r="O49" s="93">
        <v>1.03</v>
      </c>
      <c r="P49" s="93">
        <f t="shared" si="3"/>
        <v>32.640700000000002</v>
      </c>
      <c r="Q49" s="2"/>
      <c r="T49" s="12"/>
      <c r="U49" s="12"/>
      <c r="W49" s="143">
        <v>42376</v>
      </c>
      <c r="X49" s="12">
        <v>30.26</v>
      </c>
      <c r="Y49" s="12">
        <v>30.82</v>
      </c>
      <c r="Z49" s="12">
        <v>29.83</v>
      </c>
      <c r="AA49" s="12">
        <v>29.99</v>
      </c>
      <c r="AB49" s="105">
        <v>21046300</v>
      </c>
      <c r="AC49" s="12">
        <v>29.62</v>
      </c>
      <c r="AD49" s="2">
        <f t="shared" si="0"/>
        <v>0.99000000000000199</v>
      </c>
      <c r="AE49" s="148">
        <f t="shared" si="1"/>
        <v>-4.0803108808290078E-2</v>
      </c>
    </row>
    <row r="50" spans="15:31" x14ac:dyDescent="0.25">
      <c r="O50" s="93">
        <v>1.02</v>
      </c>
      <c r="P50" s="93">
        <f t="shared" si="3"/>
        <v>32.323799999999999</v>
      </c>
      <c r="Q50" s="2"/>
      <c r="T50" s="12" t="s">
        <v>108</v>
      </c>
      <c r="U50" s="12" t="s">
        <v>374</v>
      </c>
      <c r="W50" s="143">
        <v>42375</v>
      </c>
      <c r="X50" s="12">
        <v>31.95</v>
      </c>
      <c r="Y50" s="12">
        <v>31.98</v>
      </c>
      <c r="Z50" s="12">
        <v>31.01</v>
      </c>
      <c r="AA50" s="12">
        <v>31.27</v>
      </c>
      <c r="AB50" s="105">
        <v>27515200</v>
      </c>
      <c r="AC50" s="12">
        <v>30.88</v>
      </c>
      <c r="AD50" s="2">
        <f t="shared" si="0"/>
        <v>0.96999999999999886</v>
      </c>
      <c r="AE50" s="148">
        <f t="shared" si="1"/>
        <v>-3.5903840149859589E-2</v>
      </c>
    </row>
    <row r="51" spans="15:31" x14ac:dyDescent="0.25">
      <c r="O51" s="93">
        <v>1.01</v>
      </c>
      <c r="P51" s="93">
        <f t="shared" si="3"/>
        <v>32.006900000000002</v>
      </c>
      <c r="Q51" s="2"/>
      <c r="T51" s="12" t="s">
        <v>109</v>
      </c>
      <c r="U51" s="12" t="s">
        <v>153</v>
      </c>
      <c r="W51" s="143">
        <v>42374</v>
      </c>
      <c r="X51" s="12">
        <v>33.33</v>
      </c>
      <c r="Y51" s="12">
        <v>33.409999999999997</v>
      </c>
      <c r="Z51" s="12">
        <v>32.18</v>
      </c>
      <c r="AA51" s="12">
        <v>32.43</v>
      </c>
      <c r="AB51" s="105">
        <v>19777200</v>
      </c>
      <c r="AC51" s="12">
        <v>32.03</v>
      </c>
      <c r="AD51" s="2">
        <f t="shared" si="0"/>
        <v>1.2299999999999969</v>
      </c>
      <c r="AE51" s="148">
        <f t="shared" si="1"/>
        <v>-2.6443768996960437E-2</v>
      </c>
    </row>
    <row r="52" spans="15:31" x14ac:dyDescent="0.25">
      <c r="O52" s="93">
        <v>1</v>
      </c>
      <c r="P52" s="93">
        <f t="shared" si="3"/>
        <v>31.69</v>
      </c>
      <c r="Q52" s="2"/>
      <c r="T52" s="12" t="s">
        <v>110</v>
      </c>
      <c r="U52" s="105">
        <v>8983477</v>
      </c>
      <c r="W52" s="143">
        <v>42373</v>
      </c>
      <c r="X52" s="12">
        <v>33.450000000000003</v>
      </c>
      <c r="Y52" s="12">
        <v>33.54</v>
      </c>
      <c r="Z52" s="12">
        <v>32.840000000000003</v>
      </c>
      <c r="AA52" s="12">
        <v>33.31</v>
      </c>
      <c r="AB52" s="105">
        <v>14875500</v>
      </c>
      <c r="AC52" s="12">
        <v>32.9</v>
      </c>
      <c r="AD52" s="2">
        <f t="shared" si="0"/>
        <v>0.69999999999999574</v>
      </c>
      <c r="AE52" s="148">
        <f t="shared" si="1"/>
        <v>-2.0541827924977829E-2</v>
      </c>
    </row>
    <row r="53" spans="15:31" x14ac:dyDescent="0.25">
      <c r="O53" s="93">
        <v>0.99</v>
      </c>
      <c r="P53" s="93">
        <f t="shared" si="3"/>
        <v>31.373100000000001</v>
      </c>
      <c r="Q53" s="2"/>
      <c r="T53" s="12" t="s">
        <v>113</v>
      </c>
      <c r="U53" s="105">
        <v>15792100</v>
      </c>
      <c r="W53" s="143">
        <v>42369</v>
      </c>
      <c r="X53" s="12">
        <v>34.21</v>
      </c>
      <c r="Y53" s="12">
        <v>34.299999999999997</v>
      </c>
      <c r="Z53" s="12">
        <v>34</v>
      </c>
      <c r="AA53" s="12">
        <v>34.01</v>
      </c>
      <c r="AB53" s="105">
        <v>6586000</v>
      </c>
      <c r="AC53" s="12">
        <v>33.590000000000003</v>
      </c>
      <c r="AD53" s="2">
        <f t="shared" si="0"/>
        <v>0.29999999999999716</v>
      </c>
      <c r="AE53" s="148">
        <f t="shared" si="1"/>
        <v>-9.1445427728612527E-3</v>
      </c>
    </row>
    <row r="54" spans="15:31" x14ac:dyDescent="0.25">
      <c r="O54" s="93">
        <v>0.98</v>
      </c>
      <c r="P54" s="93">
        <f t="shared" si="3"/>
        <v>31.0562</v>
      </c>
      <c r="Q54" s="2"/>
      <c r="T54" s="12" t="s">
        <v>111</v>
      </c>
      <c r="U54" s="12" t="s">
        <v>375</v>
      </c>
      <c r="W54" s="143">
        <v>42368</v>
      </c>
      <c r="X54" s="12">
        <v>34.32</v>
      </c>
      <c r="Y54" s="12">
        <v>34.56</v>
      </c>
      <c r="Z54" s="12">
        <v>34.28</v>
      </c>
      <c r="AA54" s="12">
        <v>34.33</v>
      </c>
      <c r="AB54" s="105">
        <v>4694500</v>
      </c>
      <c r="AC54" s="12">
        <v>33.9</v>
      </c>
      <c r="AD54" s="2">
        <f t="shared" si="0"/>
        <v>0.28000000000000114</v>
      </c>
      <c r="AE54" s="148">
        <f t="shared" si="1"/>
        <v>-4.9897270325800491E-3</v>
      </c>
    </row>
    <row r="55" spans="15:31" x14ac:dyDescent="0.25">
      <c r="O55" s="93">
        <v>0.97</v>
      </c>
      <c r="P55" s="93">
        <f t="shared" si="3"/>
        <v>30.7393</v>
      </c>
      <c r="T55" s="12" t="s">
        <v>114</v>
      </c>
      <c r="U55" s="12">
        <v>5.26</v>
      </c>
      <c r="W55" s="143">
        <v>42367</v>
      </c>
      <c r="X55" s="12">
        <v>34.659999999999997</v>
      </c>
      <c r="Y55" s="12">
        <v>34.69</v>
      </c>
      <c r="Z55" s="12">
        <v>34.17</v>
      </c>
      <c r="AA55" s="12">
        <v>34.5</v>
      </c>
      <c r="AB55" s="105">
        <v>7056400</v>
      </c>
      <c r="AC55" s="12">
        <v>34.07</v>
      </c>
      <c r="AD55" s="2">
        <f t="shared" si="0"/>
        <v>0.51999999999999602</v>
      </c>
      <c r="AE55" s="148">
        <f t="shared" si="1"/>
        <v>-2.934272300468832E-4</v>
      </c>
    </row>
    <row r="56" spans="15:31" x14ac:dyDescent="0.25">
      <c r="O56" s="93">
        <v>0.96</v>
      </c>
      <c r="P56" s="93">
        <f t="shared" si="3"/>
        <v>30.4224</v>
      </c>
      <c r="T56" s="12" t="s">
        <v>115</v>
      </c>
      <c r="U56" s="12">
        <v>5.91</v>
      </c>
      <c r="W56" s="143">
        <v>42366</v>
      </c>
      <c r="X56" s="12">
        <v>34.53</v>
      </c>
      <c r="Y56" s="12">
        <v>34.67</v>
      </c>
      <c r="Z56" s="12">
        <v>34.299999999999997</v>
      </c>
      <c r="AA56" s="12">
        <v>34.51</v>
      </c>
      <c r="AB56" s="105">
        <v>5348600</v>
      </c>
      <c r="AC56" s="12">
        <v>34.08</v>
      </c>
      <c r="AD56" s="2">
        <f t="shared" si="0"/>
        <v>0.37000000000000455</v>
      </c>
      <c r="AE56" s="148">
        <f t="shared" si="1"/>
        <v>-2.6338893766463256E-3</v>
      </c>
    </row>
    <row r="57" spans="15:31" x14ac:dyDescent="0.25">
      <c r="O57" s="93">
        <v>0.95</v>
      </c>
      <c r="P57" s="93">
        <f t="shared" si="3"/>
        <v>30.105499999999999</v>
      </c>
      <c r="T57" s="12" t="s">
        <v>112</v>
      </c>
      <c r="U57" s="12" t="s">
        <v>376</v>
      </c>
      <c r="W57" s="143">
        <v>42362</v>
      </c>
      <c r="X57" s="12">
        <v>34.72</v>
      </c>
      <c r="Y57" s="12">
        <v>34.75</v>
      </c>
      <c r="Z57" s="12">
        <v>34.5</v>
      </c>
      <c r="AA57" s="12">
        <v>34.6</v>
      </c>
      <c r="AB57" s="105">
        <v>3134800</v>
      </c>
      <c r="AC57" s="12">
        <v>34.17</v>
      </c>
      <c r="AD57" s="2">
        <f t="shared" si="0"/>
        <v>0.25</v>
      </c>
      <c r="AE57" s="148">
        <f t="shared" si="1"/>
        <v>-5.2401746724890508E-3</v>
      </c>
    </row>
    <row r="58" spans="15:31" x14ac:dyDescent="0.25">
      <c r="O58" s="93">
        <v>0.94</v>
      </c>
      <c r="P58" s="93">
        <f t="shared" si="3"/>
        <v>29.788599999999999</v>
      </c>
      <c r="W58" s="143">
        <v>42361</v>
      </c>
      <c r="X58" s="12">
        <v>34.51</v>
      </c>
      <c r="Y58" s="12">
        <v>34.94</v>
      </c>
      <c r="Z58" s="12">
        <v>34.380000000000003</v>
      </c>
      <c r="AA58" s="12">
        <v>34.78</v>
      </c>
      <c r="AB58" s="105">
        <v>8816700</v>
      </c>
      <c r="AC58" s="12">
        <v>34.35</v>
      </c>
      <c r="AD58" s="2">
        <f t="shared" si="0"/>
        <v>0.55999999999999517</v>
      </c>
      <c r="AE58" s="148">
        <f t="shared" si="1"/>
        <v>1.417183348095663E-2</v>
      </c>
    </row>
    <row r="59" spans="15:31" x14ac:dyDescent="0.25">
      <c r="O59" s="93">
        <v>0.93</v>
      </c>
      <c r="P59" s="93">
        <f t="shared" si="3"/>
        <v>29.471700000000002</v>
      </c>
      <c r="W59" s="143">
        <v>42360</v>
      </c>
      <c r="X59" s="12">
        <v>34.21</v>
      </c>
      <c r="Y59" s="12">
        <v>34.49</v>
      </c>
      <c r="Z59" s="12">
        <v>34.07</v>
      </c>
      <c r="AA59" s="12">
        <v>34.29</v>
      </c>
      <c r="AB59" s="105">
        <v>9202900</v>
      </c>
      <c r="AC59" s="12">
        <v>33.869999999999997</v>
      </c>
      <c r="AD59" s="2">
        <f t="shared" si="0"/>
        <v>0.42000000000000171</v>
      </c>
      <c r="AE59" s="148">
        <f t="shared" si="1"/>
        <v>1.3768332834480645E-2</v>
      </c>
    </row>
    <row r="60" spans="15:31" x14ac:dyDescent="0.25">
      <c r="O60" s="93">
        <v>0.92</v>
      </c>
      <c r="P60" s="93">
        <f t="shared" si="3"/>
        <v>29.154800000000002</v>
      </c>
      <c r="W60" s="143">
        <v>42359</v>
      </c>
      <c r="X60" s="12">
        <v>33.79</v>
      </c>
      <c r="Y60" s="12">
        <v>34.06</v>
      </c>
      <c r="Z60" s="12">
        <v>33.590000000000003</v>
      </c>
      <c r="AA60" s="12">
        <v>33.83</v>
      </c>
      <c r="AB60" s="105">
        <v>12820000</v>
      </c>
      <c r="AC60" s="12">
        <v>33.409999999999997</v>
      </c>
      <c r="AD60" s="2">
        <f t="shared" si="0"/>
        <v>0.46999999999999886</v>
      </c>
      <c r="AE60" s="148">
        <f t="shared" si="1"/>
        <v>4.8120300751879341E-3</v>
      </c>
    </row>
    <row r="61" spans="15:31" x14ac:dyDescent="0.25">
      <c r="O61" s="93">
        <v>0.91</v>
      </c>
      <c r="P61" s="93">
        <f t="shared" si="3"/>
        <v>28.837900000000001</v>
      </c>
      <c r="W61" s="143">
        <v>42356</v>
      </c>
      <c r="X61" s="12">
        <v>33.96</v>
      </c>
      <c r="Y61" s="12">
        <v>34.06</v>
      </c>
      <c r="Z61" s="12">
        <v>33.54</v>
      </c>
      <c r="AA61" s="12">
        <v>33.67</v>
      </c>
      <c r="AB61" s="105">
        <v>19469500</v>
      </c>
      <c r="AC61" s="12">
        <v>33.25</v>
      </c>
      <c r="AD61" s="2">
        <f t="shared" si="0"/>
        <v>0.52000000000000313</v>
      </c>
      <c r="AE61" s="148">
        <f t="shared" si="1"/>
        <v>-1.3060255268625642E-2</v>
      </c>
    </row>
    <row r="62" spans="15:31" x14ac:dyDescent="0.25">
      <c r="O62" s="93">
        <v>0.9</v>
      </c>
      <c r="P62" s="93">
        <f t="shared" si="3"/>
        <v>28.521000000000001</v>
      </c>
      <c r="W62" s="143">
        <v>42355</v>
      </c>
      <c r="X62" s="12">
        <v>35.15</v>
      </c>
      <c r="Y62" s="12">
        <v>35.270000000000003</v>
      </c>
      <c r="Z62" s="12">
        <v>34.07</v>
      </c>
      <c r="AA62" s="12">
        <v>34.11</v>
      </c>
      <c r="AB62" s="105">
        <v>14448400</v>
      </c>
      <c r="AC62" s="12">
        <v>33.69</v>
      </c>
      <c r="AD62" s="2">
        <f t="shared" si="0"/>
        <v>1.2000000000000028</v>
      </c>
      <c r="AE62" s="148">
        <f t="shared" si="1"/>
        <v>-2.9106628242075105E-2</v>
      </c>
    </row>
    <row r="63" spans="15:31" x14ac:dyDescent="0.25">
      <c r="W63" s="143">
        <v>42354</v>
      </c>
      <c r="X63" s="12">
        <v>34.35</v>
      </c>
      <c r="Y63" s="12">
        <v>35.17</v>
      </c>
      <c r="Z63" s="12">
        <v>34.25</v>
      </c>
      <c r="AA63" s="12">
        <v>35.14</v>
      </c>
      <c r="AB63" s="105">
        <v>14771600</v>
      </c>
      <c r="AC63" s="12">
        <v>34.700000000000003</v>
      </c>
      <c r="AD63" s="2">
        <f t="shared" si="0"/>
        <v>0.92000000000000171</v>
      </c>
      <c r="AE63" s="148" t="e">
        <f t="shared" si="1"/>
        <v>#DIV/0!</v>
      </c>
    </row>
    <row r="64" spans="15:31" x14ac:dyDescent="0.25">
      <c r="W64" s="143">
        <v>42354</v>
      </c>
      <c r="X64" s="12" t="s">
        <v>154</v>
      </c>
      <c r="Y64" s="12"/>
      <c r="Z64" s="12"/>
      <c r="AA64" s="12"/>
      <c r="AB64" s="105"/>
      <c r="AC64" s="12"/>
      <c r="AD64" s="2">
        <f t="shared" si="0"/>
        <v>0</v>
      </c>
      <c r="AE64" s="148">
        <f t="shared" si="1"/>
        <v>-1</v>
      </c>
    </row>
    <row r="65" spans="23:31" x14ac:dyDescent="0.25">
      <c r="W65" s="143">
        <v>42353</v>
      </c>
      <c r="X65" s="12">
        <v>34.75</v>
      </c>
      <c r="Y65" s="12">
        <v>34.96</v>
      </c>
      <c r="Z65" s="12">
        <v>34.299999999999997</v>
      </c>
      <c r="AA65" s="12">
        <v>34.54</v>
      </c>
      <c r="AB65" s="105">
        <v>13834300</v>
      </c>
      <c r="AC65" s="12">
        <v>33.76</v>
      </c>
      <c r="AD65" s="2">
        <f t="shared" si="0"/>
        <v>0.66000000000000369</v>
      </c>
      <c r="AE65" s="148">
        <f t="shared" si="1"/>
        <v>4.4629574531389604E-3</v>
      </c>
    </row>
    <row r="66" spans="23:31" x14ac:dyDescent="0.25">
      <c r="W66" s="143">
        <v>42352</v>
      </c>
      <c r="X66" s="12">
        <v>34.78</v>
      </c>
      <c r="Y66" s="12">
        <v>34.840000000000003</v>
      </c>
      <c r="Z66" s="12">
        <v>34.049999999999997</v>
      </c>
      <c r="AA66" s="12">
        <v>34.39</v>
      </c>
      <c r="AB66" s="105">
        <v>13793100</v>
      </c>
      <c r="AC66" s="12">
        <v>33.61</v>
      </c>
      <c r="AD66" s="2">
        <f t="shared" si="0"/>
        <v>0.79000000000000625</v>
      </c>
      <c r="AE66" s="148">
        <f t="shared" si="1"/>
        <v>-4.7379330766954553E-3</v>
      </c>
    </row>
    <row r="67" spans="23:31" x14ac:dyDescent="0.25">
      <c r="W67" s="143">
        <v>42349</v>
      </c>
      <c r="X67" s="12">
        <v>35.14</v>
      </c>
      <c r="Y67" s="12">
        <v>35.409999999999997</v>
      </c>
      <c r="Z67" s="12">
        <v>34.270000000000003</v>
      </c>
      <c r="AA67" s="12">
        <v>34.549999999999997</v>
      </c>
      <c r="AB67" s="105">
        <v>16271200</v>
      </c>
      <c r="AC67" s="12">
        <v>33.770000000000003</v>
      </c>
      <c r="AD67" s="2">
        <f t="shared" ref="AD67:AD68" si="4">Y67-Z67</f>
        <v>1.1399999999999935</v>
      </c>
      <c r="AE67" s="148">
        <f t="shared" ref="AE67" si="5">AC67/AC68-1</f>
        <v>-3.015508328546801E-2</v>
      </c>
    </row>
    <row r="68" spans="23:31" x14ac:dyDescent="0.25">
      <c r="W68" s="143">
        <v>42348</v>
      </c>
      <c r="X68" s="12">
        <v>35.25</v>
      </c>
      <c r="Y68" s="12">
        <v>35.89</v>
      </c>
      <c r="Z68" s="12">
        <v>35.18</v>
      </c>
      <c r="AA68" s="12">
        <v>35.630000000000003</v>
      </c>
      <c r="AB68" s="105">
        <v>8827000</v>
      </c>
      <c r="AC68" s="12">
        <v>34.82</v>
      </c>
      <c r="AD68" s="2">
        <f t="shared" si="4"/>
        <v>0.71000000000000085</v>
      </c>
      <c r="AE68" s="148" t="e">
        <f>AC68/AC70-1</f>
        <v>#DIV/0!</v>
      </c>
    </row>
    <row r="69" spans="23:31" x14ac:dyDescent="0.25">
      <c r="W69" s="143">
        <v>42347</v>
      </c>
      <c r="X69" s="12">
        <v>35.299999999999997</v>
      </c>
      <c r="Y69" s="12">
        <v>35.700000000000003</v>
      </c>
      <c r="Z69" s="12">
        <v>34.86</v>
      </c>
      <c r="AA69" s="12">
        <v>35.450000000000003</v>
      </c>
      <c r="AB69" s="105">
        <v>11692000</v>
      </c>
      <c r="AC69" s="12">
        <v>34.65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42444</v>
      </c>
      <c r="X2" s="12">
        <v>138.59</v>
      </c>
      <c r="Y2" s="12">
        <v>138.77000000000001</v>
      </c>
      <c r="Z2" s="12">
        <v>137.03</v>
      </c>
      <c r="AA2" s="12">
        <v>138.26</v>
      </c>
      <c r="AB2" s="105">
        <v>1504200</v>
      </c>
      <c r="AC2" s="12">
        <v>138.26</v>
      </c>
      <c r="AD2" s="2"/>
      <c r="AE2" s="148"/>
      <c r="AP2" t="s">
        <v>189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139.08000000000001</v>
      </c>
      <c r="W3" s="143">
        <v>42443</v>
      </c>
      <c r="X3" s="12">
        <v>139.61000000000001</v>
      </c>
      <c r="Y3" s="12">
        <v>140.57</v>
      </c>
      <c r="Z3" s="12">
        <v>138.86000000000001</v>
      </c>
      <c r="AA3" s="12">
        <v>139.77000000000001</v>
      </c>
      <c r="AB3" s="105">
        <v>1124300</v>
      </c>
      <c r="AC3" s="12">
        <v>139.77000000000001</v>
      </c>
      <c r="AD3" s="2"/>
      <c r="AE3" s="148"/>
      <c r="AI3" t="s">
        <v>209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139.08000000000001</v>
      </c>
      <c r="W4" s="143">
        <v>42440</v>
      </c>
      <c r="X4" s="12">
        <v>138.88</v>
      </c>
      <c r="Y4" s="12">
        <v>140.86000000000001</v>
      </c>
      <c r="Z4" s="12">
        <v>138.80000000000001</v>
      </c>
      <c r="AA4" s="12">
        <v>140.22</v>
      </c>
      <c r="AB4" s="105">
        <v>2036100</v>
      </c>
      <c r="AC4" s="12">
        <v>140.22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42440</v>
      </c>
      <c r="X5" s="12" t="s">
        <v>231</v>
      </c>
      <c r="Y5" s="12"/>
      <c r="Z5" s="12"/>
      <c r="AA5" s="12"/>
      <c r="AB5" s="105"/>
      <c r="AC5" s="12"/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42439</v>
      </c>
      <c r="X6" s="12">
        <v>138.94</v>
      </c>
      <c r="Y6" s="12">
        <v>140.16</v>
      </c>
      <c r="Z6" s="12">
        <v>136.69999999999999</v>
      </c>
      <c r="AA6" s="12">
        <v>137.96</v>
      </c>
      <c r="AB6" s="105">
        <v>2398700</v>
      </c>
      <c r="AC6" s="12">
        <v>137.81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42438</v>
      </c>
      <c r="X7" s="12">
        <v>139.65</v>
      </c>
      <c r="Y7" s="12">
        <v>140.27000000000001</v>
      </c>
      <c r="Z7" s="12">
        <v>137.47</v>
      </c>
      <c r="AA7" s="12">
        <v>138.15</v>
      </c>
      <c r="AB7" s="105">
        <v>2588800</v>
      </c>
      <c r="AC7" s="12">
        <v>138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42437</v>
      </c>
      <c r="X8" s="12">
        <v>140.24</v>
      </c>
      <c r="Y8" s="12">
        <v>141.03</v>
      </c>
      <c r="Z8" s="12">
        <v>138.78</v>
      </c>
      <c r="AA8" s="12">
        <v>139.08000000000001</v>
      </c>
      <c r="AB8" s="105">
        <v>2202500</v>
      </c>
      <c r="AC8" s="12">
        <v>138.93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42436</v>
      </c>
      <c r="X9" s="12">
        <v>138.72</v>
      </c>
      <c r="Y9" s="12">
        <v>141.62</v>
      </c>
      <c r="Z9" s="12">
        <v>137.29</v>
      </c>
      <c r="AA9" s="12">
        <v>141.55000000000001</v>
      </c>
      <c r="AB9" s="105">
        <v>3182900</v>
      </c>
      <c r="AC9" s="12">
        <v>141.4</v>
      </c>
      <c r="AD9" s="2"/>
      <c r="AE9" s="148"/>
    </row>
    <row r="10" spans="1:43" x14ac:dyDescent="0.25">
      <c r="W10" s="143">
        <v>42433</v>
      </c>
      <c r="X10" s="12">
        <v>138.78</v>
      </c>
      <c r="Y10" s="12">
        <v>140.99</v>
      </c>
      <c r="Z10" s="12">
        <v>138.46</v>
      </c>
      <c r="AA10" s="12">
        <v>140.30000000000001</v>
      </c>
      <c r="AB10" s="105">
        <v>2355700</v>
      </c>
      <c r="AC10" s="12">
        <v>140.15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42432</v>
      </c>
      <c r="X11" s="12">
        <v>137.75</v>
      </c>
      <c r="Y11" s="12">
        <v>139.04</v>
      </c>
      <c r="Z11" s="12">
        <v>136.46</v>
      </c>
      <c r="AA11" s="12">
        <v>138.66999999999999</v>
      </c>
      <c r="AB11" s="105">
        <v>2122100</v>
      </c>
      <c r="AC11" s="12">
        <v>138.52000000000001</v>
      </c>
      <c r="AD11" s="2"/>
      <c r="AE11" s="148"/>
    </row>
    <row r="12" spans="1:43" x14ac:dyDescent="0.25">
      <c r="W12" s="143">
        <v>42431</v>
      </c>
      <c r="X12" s="12">
        <v>134.84</v>
      </c>
      <c r="Y12" s="12">
        <v>138.58000000000001</v>
      </c>
      <c r="Z12" s="12">
        <v>134.72</v>
      </c>
      <c r="AA12" s="12">
        <v>138.12</v>
      </c>
      <c r="AB12" s="105">
        <v>3278200</v>
      </c>
      <c r="AC12" s="12">
        <v>137.97</v>
      </c>
      <c r="AD12" s="2"/>
      <c r="AE12" s="148"/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183</v>
      </c>
      <c r="W13" s="143">
        <v>42430</v>
      </c>
      <c r="X13" s="12">
        <v>129.84</v>
      </c>
      <c r="Y13" s="12">
        <v>135.74</v>
      </c>
      <c r="Z13" s="12">
        <v>129.69999999999999</v>
      </c>
      <c r="AA13" s="12">
        <v>135.28</v>
      </c>
      <c r="AB13" s="105">
        <v>2598200</v>
      </c>
      <c r="AC13" s="12">
        <v>135.13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42429</v>
      </c>
      <c r="X14" s="12">
        <v>130.24</v>
      </c>
      <c r="Y14" s="12">
        <v>131.04</v>
      </c>
      <c r="Z14" s="12">
        <v>129.13</v>
      </c>
      <c r="AA14" s="12">
        <v>129.19</v>
      </c>
      <c r="AB14" s="105">
        <v>2237200</v>
      </c>
      <c r="AC14" s="12">
        <v>129.05000000000001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42426</v>
      </c>
      <c r="X15" s="12">
        <v>130.94</v>
      </c>
      <c r="Y15" s="12">
        <v>131.6</v>
      </c>
      <c r="Z15" s="12">
        <v>130.27000000000001</v>
      </c>
      <c r="AA15" s="12">
        <v>130.71</v>
      </c>
      <c r="AB15" s="105">
        <v>897200</v>
      </c>
      <c r="AC15" s="12">
        <v>130.57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42425</v>
      </c>
      <c r="X16" s="12">
        <v>130</v>
      </c>
      <c r="Y16" s="12">
        <v>130.99</v>
      </c>
      <c r="Z16" s="12">
        <v>129.08000000000001</v>
      </c>
      <c r="AA16" s="12">
        <v>130.57</v>
      </c>
      <c r="AB16" s="105">
        <v>1077700</v>
      </c>
      <c r="AC16" s="12">
        <v>130.43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42424</v>
      </c>
      <c r="X17" s="12">
        <v>128.38</v>
      </c>
      <c r="Y17" s="12">
        <v>130.07</v>
      </c>
      <c r="Z17" s="12">
        <v>127.65</v>
      </c>
      <c r="AA17" s="12">
        <v>129.77000000000001</v>
      </c>
      <c r="AB17" s="105">
        <v>924600</v>
      </c>
      <c r="AC17" s="12">
        <v>129.63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42423</v>
      </c>
      <c r="X18" s="12">
        <v>131.03</v>
      </c>
      <c r="Y18" s="12">
        <v>131.62</v>
      </c>
      <c r="Z18" s="12">
        <v>128.84</v>
      </c>
      <c r="AA18" s="12">
        <v>129.74</v>
      </c>
      <c r="AB18" s="105">
        <v>1244200</v>
      </c>
      <c r="AC18" s="12">
        <v>129.6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42422</v>
      </c>
      <c r="X19" s="12">
        <v>131</v>
      </c>
      <c r="Y19" s="12">
        <v>131.99</v>
      </c>
      <c r="Z19" s="12">
        <v>130.32</v>
      </c>
      <c r="AA19" s="12">
        <v>131.44</v>
      </c>
      <c r="AB19" s="105">
        <v>937100</v>
      </c>
      <c r="AC19" s="12">
        <v>131.30000000000001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42419</v>
      </c>
      <c r="X20" s="12">
        <v>129.52000000000001</v>
      </c>
      <c r="Y20" s="12">
        <v>130.76</v>
      </c>
      <c r="Z20" s="12">
        <v>128.31</v>
      </c>
      <c r="AA20" s="12">
        <v>130.16</v>
      </c>
      <c r="AB20" s="105">
        <v>1303300</v>
      </c>
      <c r="AC20" s="12">
        <v>130.02000000000001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42418</v>
      </c>
      <c r="X21" s="12">
        <v>130.26</v>
      </c>
      <c r="Y21" s="12">
        <v>131.37</v>
      </c>
      <c r="Z21" s="12">
        <v>129.29</v>
      </c>
      <c r="AA21" s="12">
        <v>129.69</v>
      </c>
      <c r="AB21" s="105">
        <v>1292900</v>
      </c>
      <c r="AC21" s="12">
        <v>129.55000000000001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42417</v>
      </c>
      <c r="X22" s="12">
        <v>128.16999999999999</v>
      </c>
      <c r="Y22" s="12">
        <v>131.61000000000001</v>
      </c>
      <c r="Z22" s="12">
        <v>127.56</v>
      </c>
      <c r="AA22" s="12">
        <v>130.69999999999999</v>
      </c>
      <c r="AB22" s="105">
        <v>1832400</v>
      </c>
      <c r="AC22" s="12">
        <v>130.56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42416</v>
      </c>
      <c r="X23" s="12">
        <v>127.72</v>
      </c>
      <c r="Y23" s="12">
        <v>128.41999999999999</v>
      </c>
      <c r="Z23" s="12">
        <v>126.42</v>
      </c>
      <c r="AA23" s="12">
        <v>127.42</v>
      </c>
      <c r="AB23" s="105">
        <v>2466400</v>
      </c>
      <c r="AC23" s="12">
        <v>127.28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42412</v>
      </c>
      <c r="X24" s="12">
        <v>124.52</v>
      </c>
      <c r="Y24" s="12">
        <v>126.55</v>
      </c>
      <c r="Z24" s="12">
        <v>123.96</v>
      </c>
      <c r="AA24" s="12">
        <v>126.48</v>
      </c>
      <c r="AB24" s="105">
        <v>1574400</v>
      </c>
      <c r="AC24" s="12">
        <v>126.34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42411</v>
      </c>
      <c r="X25" s="12">
        <v>122.86</v>
      </c>
      <c r="Y25" s="12">
        <v>124.29</v>
      </c>
      <c r="Z25" s="12">
        <v>122.25</v>
      </c>
      <c r="AA25" s="12">
        <v>123.3</v>
      </c>
      <c r="AB25" s="105">
        <v>1441900</v>
      </c>
      <c r="AC25" s="12">
        <v>123.17</v>
      </c>
      <c r="AD25" s="2"/>
      <c r="AE25" s="148"/>
    </row>
    <row r="26" spans="2:31" x14ac:dyDescent="0.25">
      <c r="W26" s="143">
        <v>42410</v>
      </c>
      <c r="X26" s="12">
        <v>126.07</v>
      </c>
      <c r="Y26" s="12">
        <v>129</v>
      </c>
      <c r="Z26" s="12">
        <v>125.22</v>
      </c>
      <c r="AA26" s="12">
        <v>125.46</v>
      </c>
      <c r="AB26" s="105">
        <v>1584400</v>
      </c>
      <c r="AC26" s="12">
        <v>125.32</v>
      </c>
      <c r="AD26" s="2"/>
      <c r="AE26" s="148"/>
    </row>
    <row r="27" spans="2:31" x14ac:dyDescent="0.25">
      <c r="W27" s="143">
        <v>42409</v>
      </c>
      <c r="X27" s="12">
        <v>121.03</v>
      </c>
      <c r="Y27" s="12">
        <v>125.47</v>
      </c>
      <c r="Z27" s="12">
        <v>120.73</v>
      </c>
      <c r="AA27" s="12">
        <v>124.45</v>
      </c>
      <c r="AB27" s="105">
        <v>2855100</v>
      </c>
      <c r="AC27" s="12">
        <v>124.31</v>
      </c>
      <c r="AD27" s="2"/>
      <c r="AE27" s="148"/>
    </row>
    <row r="28" spans="2:31" x14ac:dyDescent="0.25">
      <c r="W28" s="143">
        <v>42408</v>
      </c>
      <c r="X28" s="12">
        <v>121.75</v>
      </c>
      <c r="Y28" s="12">
        <v>122.82</v>
      </c>
      <c r="Z28" s="12">
        <v>119.75</v>
      </c>
      <c r="AA28" s="12">
        <v>121.94</v>
      </c>
      <c r="AB28" s="105">
        <v>2958400</v>
      </c>
      <c r="AC28" s="12">
        <v>121.81</v>
      </c>
      <c r="AD28" s="2"/>
      <c r="AE28" s="148"/>
    </row>
    <row r="29" spans="2:31" x14ac:dyDescent="0.25">
      <c r="W29" s="143">
        <v>42405</v>
      </c>
      <c r="X29" s="12">
        <v>127</v>
      </c>
      <c r="Y29" s="12">
        <v>127.25</v>
      </c>
      <c r="Z29" s="12">
        <v>121.3</v>
      </c>
      <c r="AA29" s="12">
        <v>123.18</v>
      </c>
      <c r="AB29" s="105">
        <v>4172100</v>
      </c>
      <c r="AC29" s="12">
        <v>123.05</v>
      </c>
      <c r="AD29" s="2"/>
      <c r="AE29" s="148"/>
    </row>
    <row r="30" spans="2:31" x14ac:dyDescent="0.25">
      <c r="W30" s="143">
        <v>42404</v>
      </c>
      <c r="X30" s="12">
        <v>126.36</v>
      </c>
      <c r="Y30" s="12">
        <v>128.61000000000001</v>
      </c>
      <c r="Z30" s="12">
        <v>125.95</v>
      </c>
      <c r="AA30" s="12">
        <v>127.8</v>
      </c>
      <c r="AB30" s="105">
        <v>2319000</v>
      </c>
      <c r="AC30" s="12">
        <v>127.66</v>
      </c>
      <c r="AD30" s="2"/>
      <c r="AE30" s="148"/>
    </row>
    <row r="31" spans="2:31" x14ac:dyDescent="0.25">
      <c r="W31" s="143">
        <v>42403</v>
      </c>
      <c r="X31" s="12">
        <v>127.94</v>
      </c>
      <c r="Y31" s="12">
        <v>127.94</v>
      </c>
      <c r="Z31" s="12">
        <v>123.19</v>
      </c>
      <c r="AA31" s="12">
        <v>126.05</v>
      </c>
      <c r="AB31" s="105">
        <v>2984400</v>
      </c>
      <c r="AC31" s="12">
        <v>125.91</v>
      </c>
      <c r="AD31" s="2"/>
      <c r="AE31" s="148"/>
    </row>
    <row r="32" spans="2:31" x14ac:dyDescent="0.25">
      <c r="W32" s="143">
        <v>42402</v>
      </c>
      <c r="X32" s="12">
        <v>129.31</v>
      </c>
      <c r="Y32" s="12">
        <v>129.86000000000001</v>
      </c>
      <c r="Z32" s="12">
        <v>126.53</v>
      </c>
      <c r="AA32" s="12">
        <v>126.89</v>
      </c>
      <c r="AB32" s="105">
        <v>1838100</v>
      </c>
      <c r="AC32" s="12">
        <v>126.75</v>
      </c>
      <c r="AD32" s="2"/>
      <c r="AE32" s="148"/>
    </row>
    <row r="33" spans="15:31" x14ac:dyDescent="0.25">
      <c r="W33" s="143">
        <v>42401</v>
      </c>
      <c r="X33" s="12">
        <v>131.26</v>
      </c>
      <c r="Y33" s="12">
        <v>132.1</v>
      </c>
      <c r="Z33" s="12">
        <v>129.63999999999999</v>
      </c>
      <c r="AA33" s="12">
        <v>130.69</v>
      </c>
      <c r="AB33" s="105">
        <v>1772100</v>
      </c>
      <c r="AC33" s="12">
        <v>130.55000000000001</v>
      </c>
      <c r="AD33" s="2"/>
      <c r="AE33" s="148"/>
    </row>
    <row r="34" spans="15:31" x14ac:dyDescent="0.25">
      <c r="W34" s="143">
        <v>42398</v>
      </c>
      <c r="X34" s="12">
        <v>129.07</v>
      </c>
      <c r="Y34" s="12">
        <v>132.06</v>
      </c>
      <c r="Z34" s="12">
        <v>128.6</v>
      </c>
      <c r="AA34" s="12">
        <v>132.06</v>
      </c>
      <c r="AB34" s="105">
        <v>3189500</v>
      </c>
      <c r="AC34" s="12">
        <v>131.91999999999999</v>
      </c>
      <c r="AD34" s="2"/>
      <c r="AE34" s="148"/>
    </row>
    <row r="35" spans="15:31" x14ac:dyDescent="0.25">
      <c r="W35" s="143">
        <v>42397</v>
      </c>
      <c r="X35" s="12">
        <v>130.86000000000001</v>
      </c>
      <c r="Y35" s="12">
        <v>133</v>
      </c>
      <c r="Z35" s="12">
        <v>127.18</v>
      </c>
      <c r="AA35" s="12">
        <v>128.16999999999999</v>
      </c>
      <c r="AB35" s="105">
        <v>4609900</v>
      </c>
      <c r="AC35" s="12">
        <v>128.03</v>
      </c>
      <c r="AD35" s="2"/>
      <c r="AE35" s="148"/>
    </row>
    <row r="36" spans="15:31" x14ac:dyDescent="0.25">
      <c r="W36" s="143">
        <v>42396</v>
      </c>
      <c r="X36" s="12">
        <v>134.05000000000001</v>
      </c>
      <c r="Y36" s="12">
        <v>137.21</v>
      </c>
      <c r="Z36" s="12">
        <v>133.34</v>
      </c>
      <c r="AA36" s="12">
        <v>135.83000000000001</v>
      </c>
      <c r="AB36" s="105">
        <v>3308900</v>
      </c>
      <c r="AC36" s="12">
        <v>135.68</v>
      </c>
      <c r="AD36" s="2"/>
      <c r="AE36" s="148"/>
    </row>
    <row r="37" spans="15:31" x14ac:dyDescent="0.25">
      <c r="W37" s="143">
        <v>42395</v>
      </c>
      <c r="X37" s="12">
        <v>134.59</v>
      </c>
      <c r="Y37" s="12">
        <v>135.06</v>
      </c>
      <c r="Z37" s="12">
        <v>132.07</v>
      </c>
      <c r="AA37" s="12">
        <v>134.1</v>
      </c>
      <c r="AB37" s="105">
        <v>1721600</v>
      </c>
      <c r="AC37" s="12">
        <v>133.94999999999999</v>
      </c>
      <c r="AD37" s="2"/>
      <c r="AE37" s="148"/>
    </row>
    <row r="38" spans="15:31" x14ac:dyDescent="0.25">
      <c r="W38" s="143">
        <v>42394</v>
      </c>
      <c r="X38" s="12">
        <v>134.72999999999999</v>
      </c>
      <c r="Y38" s="12">
        <v>136.25</v>
      </c>
      <c r="Z38" s="12">
        <v>134.28</v>
      </c>
      <c r="AA38" s="12">
        <v>134.72999999999999</v>
      </c>
      <c r="AB38" s="105">
        <v>1320500</v>
      </c>
      <c r="AC38" s="12">
        <v>134.58000000000001</v>
      </c>
      <c r="AD38" s="2"/>
      <c r="AE38" s="148"/>
    </row>
    <row r="39" spans="15:31" x14ac:dyDescent="0.25">
      <c r="W39" s="143">
        <v>42391</v>
      </c>
      <c r="X39" s="12">
        <v>133.59</v>
      </c>
      <c r="Y39" s="12">
        <v>135.4</v>
      </c>
      <c r="Z39" s="12">
        <v>132.91999999999999</v>
      </c>
      <c r="AA39" s="12">
        <v>135.31</v>
      </c>
      <c r="AB39" s="105">
        <v>1930000</v>
      </c>
      <c r="AC39" s="12">
        <v>135.16</v>
      </c>
      <c r="AD39" s="2"/>
      <c r="AE39" s="148"/>
    </row>
    <row r="40" spans="15:31" x14ac:dyDescent="0.25">
      <c r="W40" s="143">
        <v>42390</v>
      </c>
      <c r="X40" s="12">
        <v>133.47</v>
      </c>
      <c r="Y40" s="12">
        <v>133.61000000000001</v>
      </c>
      <c r="Z40" s="12">
        <v>130.74</v>
      </c>
      <c r="AA40" s="12">
        <v>131.68</v>
      </c>
      <c r="AB40" s="105">
        <v>2193500</v>
      </c>
      <c r="AC40" s="12">
        <v>131.54</v>
      </c>
      <c r="AD40" s="2"/>
      <c r="AE40" s="148"/>
    </row>
    <row r="41" spans="15:31" x14ac:dyDescent="0.25">
      <c r="W41" s="143">
        <v>42389</v>
      </c>
      <c r="X41" s="12">
        <v>132.66</v>
      </c>
      <c r="Y41" s="12">
        <v>134.66</v>
      </c>
      <c r="Z41" s="12">
        <v>129.54</v>
      </c>
      <c r="AA41" s="12">
        <v>133.05000000000001</v>
      </c>
      <c r="AB41" s="105">
        <v>2917500</v>
      </c>
      <c r="AC41" s="12">
        <v>132.91</v>
      </c>
      <c r="AD41" s="2"/>
      <c r="AE41" s="148"/>
    </row>
    <row r="42" spans="15:31" x14ac:dyDescent="0.25">
      <c r="W42" s="143">
        <v>42388</v>
      </c>
      <c r="X42" s="12">
        <v>134.57</v>
      </c>
      <c r="Y42" s="12">
        <v>135.65</v>
      </c>
      <c r="Z42" s="12">
        <v>132.9</v>
      </c>
      <c r="AA42" s="12">
        <v>134.91</v>
      </c>
      <c r="AB42" s="105">
        <v>3007200</v>
      </c>
      <c r="AC42" s="12">
        <v>134.76</v>
      </c>
      <c r="AD42" s="2"/>
      <c r="AE42" s="148"/>
    </row>
    <row r="43" spans="15:31" x14ac:dyDescent="0.25">
      <c r="W43" s="143">
        <v>42384</v>
      </c>
      <c r="X43" s="12">
        <v>134.59</v>
      </c>
      <c r="Y43" s="12">
        <v>135.19999999999999</v>
      </c>
      <c r="Z43" s="12">
        <v>130.65</v>
      </c>
      <c r="AA43" s="12">
        <v>132.76</v>
      </c>
      <c r="AB43" s="105">
        <v>3332600</v>
      </c>
      <c r="AC43" s="12">
        <v>132.62</v>
      </c>
      <c r="AD43" s="2"/>
      <c r="AE43" s="148"/>
    </row>
    <row r="44" spans="15:31" x14ac:dyDescent="0.25">
      <c r="W44" s="143">
        <v>42383</v>
      </c>
      <c r="X44" s="12">
        <v>133.63999999999999</v>
      </c>
      <c r="Y44" s="12">
        <v>137.36000000000001</v>
      </c>
      <c r="Z44" s="12">
        <v>133.44</v>
      </c>
      <c r="AA44" s="12">
        <v>135.79</v>
      </c>
      <c r="AB44" s="105">
        <v>2871200</v>
      </c>
      <c r="AC44" s="12">
        <v>135.63999999999999</v>
      </c>
      <c r="AD44" s="2"/>
      <c r="AE44" s="148"/>
    </row>
    <row r="45" spans="15:31" ht="20.25" thickBot="1" x14ac:dyDescent="0.35">
      <c r="O45" s="408" t="s">
        <v>78</v>
      </c>
      <c r="P45" s="408"/>
      <c r="T45" s="101" t="s">
        <v>116</v>
      </c>
      <c r="W45" s="143">
        <v>42382</v>
      </c>
      <c r="X45" s="12">
        <v>137.41999999999999</v>
      </c>
      <c r="Y45" s="12">
        <v>138.01</v>
      </c>
      <c r="Z45" s="12">
        <v>133</v>
      </c>
      <c r="AA45" s="12">
        <v>133.77000000000001</v>
      </c>
      <c r="AB45" s="105">
        <v>2521200</v>
      </c>
      <c r="AC45" s="12">
        <v>133.62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152.98800000000003</v>
      </c>
      <c r="Q46" s="2"/>
      <c r="T46" s="386" t="s">
        <v>101</v>
      </c>
      <c r="U46" s="386">
        <v>139.77000000000001</v>
      </c>
      <c r="W46" s="143">
        <v>42381</v>
      </c>
      <c r="X46" s="12">
        <v>136.29</v>
      </c>
      <c r="Y46" s="12">
        <v>137.9</v>
      </c>
      <c r="Z46" s="12">
        <v>135.54</v>
      </c>
      <c r="AA46" s="12">
        <v>136.97</v>
      </c>
      <c r="AB46" s="105">
        <v>3088000</v>
      </c>
      <c r="AC46" s="12">
        <v>136.82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151.59720000000002</v>
      </c>
      <c r="Q47" s="2"/>
      <c r="T47" s="110" t="s">
        <v>102</v>
      </c>
      <c r="U47" s="110">
        <v>138.27000000000001</v>
      </c>
      <c r="W47" s="143">
        <v>42380</v>
      </c>
      <c r="X47" s="12">
        <v>134.34</v>
      </c>
      <c r="Y47" s="12">
        <v>137.29</v>
      </c>
      <c r="Z47" s="12">
        <v>133.38999999999999</v>
      </c>
      <c r="AA47" s="12">
        <v>134.88</v>
      </c>
      <c r="AB47" s="105">
        <v>2407000</v>
      </c>
      <c r="AC47" s="12">
        <v>134.72999999999999</v>
      </c>
      <c r="AD47" s="2"/>
      <c r="AE47" s="148"/>
    </row>
    <row r="48" spans="15:31" x14ac:dyDescent="0.25">
      <c r="O48" s="93">
        <v>1.08</v>
      </c>
      <c r="P48" s="93">
        <f t="shared" si="0"/>
        <v>150.20640000000003</v>
      </c>
      <c r="Q48" s="2"/>
      <c r="T48" s="110" t="s">
        <v>103</v>
      </c>
      <c r="U48" s="110" t="s">
        <v>377</v>
      </c>
      <c r="W48" s="143">
        <v>42377</v>
      </c>
      <c r="X48" s="12">
        <v>135.6</v>
      </c>
      <c r="Y48" s="12">
        <v>137.01</v>
      </c>
      <c r="Z48" s="12">
        <v>133.82</v>
      </c>
      <c r="AA48" s="12">
        <v>134.16</v>
      </c>
      <c r="AB48" s="105">
        <v>2148100</v>
      </c>
      <c r="AC48" s="12">
        <v>134.01</v>
      </c>
      <c r="AD48" s="2"/>
      <c r="AE48" s="148"/>
    </row>
    <row r="49" spans="15:31" x14ac:dyDescent="0.25">
      <c r="O49" s="93">
        <v>1.07</v>
      </c>
      <c r="P49" s="93">
        <f t="shared" si="0"/>
        <v>148.81560000000002</v>
      </c>
      <c r="Q49" s="2"/>
      <c r="T49" s="110" t="s">
        <v>104</v>
      </c>
      <c r="U49" s="110" t="s">
        <v>378</v>
      </c>
      <c r="W49" s="143">
        <v>42376</v>
      </c>
      <c r="X49" s="12">
        <v>135</v>
      </c>
      <c r="Y49" s="12">
        <v>135.26</v>
      </c>
      <c r="Z49" s="12">
        <v>133.13999999999999</v>
      </c>
      <c r="AA49" s="12">
        <v>134.31</v>
      </c>
      <c r="AB49" s="105">
        <v>2470900</v>
      </c>
      <c r="AC49" s="12">
        <v>134.16</v>
      </c>
      <c r="AD49" s="2"/>
      <c r="AE49" s="148"/>
    </row>
    <row r="50" spans="15:31" x14ac:dyDescent="0.25">
      <c r="O50" s="93">
        <v>1.06</v>
      </c>
      <c r="P50" s="93">
        <f t="shared" si="0"/>
        <v>147.42480000000003</v>
      </c>
      <c r="Q50" s="2"/>
      <c r="T50" s="110" t="s">
        <v>105</v>
      </c>
      <c r="U50" s="110">
        <v>150.57</v>
      </c>
      <c r="W50" s="143">
        <v>42375</v>
      </c>
      <c r="X50" s="12">
        <v>136.55000000000001</v>
      </c>
      <c r="Y50" s="12">
        <v>138.44999999999999</v>
      </c>
      <c r="Z50" s="12">
        <v>136.55000000000001</v>
      </c>
      <c r="AA50" s="12">
        <v>137.44999999999999</v>
      </c>
      <c r="AB50" s="105">
        <v>2300800</v>
      </c>
      <c r="AC50" s="12">
        <v>137.30000000000001</v>
      </c>
      <c r="AD50" s="2"/>
      <c r="AE50" s="148"/>
    </row>
    <row r="51" spans="15:31" x14ac:dyDescent="0.25">
      <c r="O51" s="93">
        <v>1.05</v>
      </c>
      <c r="P51" s="93">
        <f t="shared" si="0"/>
        <v>146.03400000000002</v>
      </c>
      <c r="Q51" s="2"/>
      <c r="T51" s="110" t="s">
        <v>106</v>
      </c>
      <c r="U51" s="110">
        <v>0.97979799999999995</v>
      </c>
      <c r="W51" s="143">
        <v>42374</v>
      </c>
      <c r="X51" s="12">
        <v>139</v>
      </c>
      <c r="Y51" s="12">
        <v>140.94</v>
      </c>
      <c r="Z51" s="12">
        <v>138.37</v>
      </c>
      <c r="AA51" s="12">
        <v>138.51</v>
      </c>
      <c r="AB51" s="105">
        <v>3184400</v>
      </c>
      <c r="AC51" s="12">
        <v>138.36000000000001</v>
      </c>
      <c r="AD51" s="2"/>
      <c r="AE51" s="148"/>
    </row>
    <row r="52" spans="15:31" x14ac:dyDescent="0.25">
      <c r="O52" s="93">
        <v>1.04</v>
      </c>
      <c r="P52" s="93">
        <f t="shared" si="0"/>
        <v>144.64320000000001</v>
      </c>
      <c r="Q52" s="2"/>
      <c r="T52" s="110" t="s">
        <v>126</v>
      </c>
      <c r="U52" s="110" t="s">
        <v>232</v>
      </c>
      <c r="W52" s="143">
        <v>42373</v>
      </c>
      <c r="X52" s="12">
        <v>139.44999999999999</v>
      </c>
      <c r="Y52" s="12">
        <v>140.15</v>
      </c>
      <c r="Z52" s="12">
        <v>137.32</v>
      </c>
      <c r="AA52" s="12">
        <v>138.75</v>
      </c>
      <c r="AB52" s="105">
        <v>3287500</v>
      </c>
      <c r="AC52" s="12">
        <v>138.6</v>
      </c>
      <c r="AD52" s="2"/>
      <c r="AE52" s="148"/>
    </row>
    <row r="53" spans="15:31" x14ac:dyDescent="0.25">
      <c r="O53" s="93">
        <v>1.03</v>
      </c>
      <c r="P53" s="93">
        <f t="shared" si="0"/>
        <v>143.25240000000002</v>
      </c>
      <c r="Q53" s="2"/>
      <c r="T53" s="110"/>
      <c r="U53" s="110"/>
      <c r="W53" s="143">
        <v>42369</v>
      </c>
      <c r="X53" s="12">
        <v>141.97</v>
      </c>
      <c r="Y53" s="12">
        <v>143.21</v>
      </c>
      <c r="Z53" s="12">
        <v>141.84</v>
      </c>
      <c r="AA53" s="12">
        <v>141.85</v>
      </c>
      <c r="AB53" s="105">
        <v>1145000</v>
      </c>
      <c r="AC53" s="12">
        <v>141.69999999999999</v>
      </c>
      <c r="AD53" s="2"/>
      <c r="AE53" s="148"/>
    </row>
    <row r="54" spans="15:31" x14ac:dyDescent="0.25">
      <c r="O54" s="93">
        <v>1.02</v>
      </c>
      <c r="P54" s="93">
        <f t="shared" si="0"/>
        <v>141.86160000000001</v>
      </c>
      <c r="Q54" s="2"/>
      <c r="T54" s="110" t="s">
        <v>108</v>
      </c>
      <c r="U54" s="110" t="s">
        <v>379</v>
      </c>
      <c r="W54" s="143">
        <v>42368</v>
      </c>
      <c r="X54" s="12">
        <v>143.04</v>
      </c>
      <c r="Y54" s="12">
        <v>143.65</v>
      </c>
      <c r="Z54" s="12">
        <v>142.51</v>
      </c>
      <c r="AA54" s="12">
        <v>142.86000000000001</v>
      </c>
      <c r="AB54" s="105">
        <v>1057500</v>
      </c>
      <c r="AC54" s="12">
        <v>142.69999999999999</v>
      </c>
      <c r="AD54" s="2"/>
      <c r="AE54" s="148"/>
    </row>
    <row r="55" spans="15:31" x14ac:dyDescent="0.25">
      <c r="O55" s="93">
        <v>1.01</v>
      </c>
      <c r="P55" s="93">
        <f t="shared" si="0"/>
        <v>140.47080000000003</v>
      </c>
      <c r="Q55" s="2"/>
      <c r="T55" s="110" t="s">
        <v>109</v>
      </c>
      <c r="U55" s="110" t="s">
        <v>233</v>
      </c>
      <c r="W55" s="143">
        <v>42367</v>
      </c>
      <c r="X55" s="12">
        <v>141.58000000000001</v>
      </c>
      <c r="Y55" s="12">
        <v>143.5</v>
      </c>
      <c r="Z55" s="12">
        <v>141.38999999999999</v>
      </c>
      <c r="AA55" s="12">
        <v>143.03</v>
      </c>
      <c r="AB55" s="105">
        <v>1416200</v>
      </c>
      <c r="AC55" s="12">
        <v>142.87</v>
      </c>
      <c r="AD55" s="2"/>
      <c r="AE55" s="148"/>
    </row>
    <row r="56" spans="15:31" x14ac:dyDescent="0.25">
      <c r="O56" s="93">
        <v>1</v>
      </c>
      <c r="P56" s="93">
        <f t="shared" si="0"/>
        <v>139.08000000000001</v>
      </c>
      <c r="Q56" s="2"/>
      <c r="T56" s="110" t="s">
        <v>110</v>
      </c>
      <c r="U56" s="111">
        <v>1524201</v>
      </c>
      <c r="W56" s="143">
        <v>42366</v>
      </c>
      <c r="X56" s="12">
        <v>140.97</v>
      </c>
      <c r="Y56" s="12">
        <v>141.21</v>
      </c>
      <c r="Z56" s="12">
        <v>140.53</v>
      </c>
      <c r="AA56" s="12">
        <v>140.69999999999999</v>
      </c>
      <c r="AB56" s="105">
        <v>835700</v>
      </c>
      <c r="AC56" s="12">
        <v>140.55000000000001</v>
      </c>
      <c r="AD56" s="2"/>
      <c r="AE56" s="148"/>
    </row>
    <row r="57" spans="15:31" x14ac:dyDescent="0.25">
      <c r="O57" s="93">
        <v>0.99</v>
      </c>
      <c r="P57" s="93">
        <f t="shared" si="0"/>
        <v>137.6892</v>
      </c>
      <c r="Q57" s="2"/>
      <c r="T57" s="110" t="s">
        <v>113</v>
      </c>
      <c r="U57" s="111">
        <v>2133280</v>
      </c>
      <c r="W57" s="143">
        <v>42362</v>
      </c>
      <c r="X57" s="12">
        <v>140.94</v>
      </c>
      <c r="Y57" s="12">
        <v>141.75</v>
      </c>
      <c r="Z57" s="12">
        <v>140.75</v>
      </c>
      <c r="AA57" s="12">
        <v>141.32</v>
      </c>
      <c r="AB57" s="105">
        <v>370700</v>
      </c>
      <c r="AC57" s="12">
        <v>141.16999999999999</v>
      </c>
      <c r="AD57" s="2"/>
      <c r="AE57" s="148"/>
    </row>
    <row r="58" spans="15:31" x14ac:dyDescent="0.25">
      <c r="O58" s="93">
        <v>0.98</v>
      </c>
      <c r="P58" s="93">
        <f t="shared" si="0"/>
        <v>136.29840000000002</v>
      </c>
      <c r="Q58" s="2"/>
      <c r="T58" s="110" t="s">
        <v>111</v>
      </c>
      <c r="U58" s="110" t="s">
        <v>380</v>
      </c>
      <c r="W58" s="143">
        <v>42361</v>
      </c>
      <c r="X58" s="12">
        <v>140</v>
      </c>
      <c r="Y58" s="12">
        <v>141.44999999999999</v>
      </c>
      <c r="Z58" s="12">
        <v>139.63999999999999</v>
      </c>
      <c r="AA58" s="12">
        <v>141.02000000000001</v>
      </c>
      <c r="AB58" s="105">
        <v>1534800</v>
      </c>
      <c r="AC58" s="12">
        <v>140.87</v>
      </c>
      <c r="AD58" s="2"/>
      <c r="AE58" s="148"/>
    </row>
    <row r="59" spans="15:31" x14ac:dyDescent="0.25">
      <c r="O59" s="93">
        <v>0.97</v>
      </c>
      <c r="P59" s="93">
        <f t="shared" si="0"/>
        <v>134.9076</v>
      </c>
      <c r="T59" s="110" t="s">
        <v>114</v>
      </c>
      <c r="U59" s="110">
        <v>28.11</v>
      </c>
      <c r="W59" s="143">
        <v>42360</v>
      </c>
      <c r="X59" s="12">
        <v>138.1</v>
      </c>
      <c r="Y59" s="12">
        <v>139.69999999999999</v>
      </c>
      <c r="Z59" s="12">
        <v>137.19999999999999</v>
      </c>
      <c r="AA59" s="12">
        <v>139.53</v>
      </c>
      <c r="AB59" s="105">
        <v>1250700</v>
      </c>
      <c r="AC59" s="12">
        <v>139.38</v>
      </c>
      <c r="AD59" s="2"/>
      <c r="AE59" s="148"/>
    </row>
    <row r="60" spans="15:31" x14ac:dyDescent="0.25">
      <c r="O60" s="93">
        <v>0.96</v>
      </c>
      <c r="P60" s="93">
        <f t="shared" si="0"/>
        <v>133.51680000000002</v>
      </c>
      <c r="T60" s="110" t="s">
        <v>115</v>
      </c>
      <c r="U60" s="110">
        <v>4.92</v>
      </c>
      <c r="W60" s="143">
        <v>42359</v>
      </c>
      <c r="X60" s="12">
        <v>135.76</v>
      </c>
      <c r="Y60" s="12">
        <v>137.63999999999999</v>
      </c>
      <c r="Z60" s="12">
        <v>135.58000000000001</v>
      </c>
      <c r="AA60" s="12">
        <v>137.55000000000001</v>
      </c>
      <c r="AB60" s="105">
        <v>1325900</v>
      </c>
      <c r="AC60" s="12">
        <v>137.4</v>
      </c>
      <c r="AD60" s="2"/>
      <c r="AE60" s="148"/>
    </row>
    <row r="61" spans="15:31" x14ac:dyDescent="0.25">
      <c r="O61" s="93">
        <v>0.95</v>
      </c>
      <c r="P61" s="93">
        <f t="shared" si="0"/>
        <v>132.126</v>
      </c>
      <c r="T61" s="110" t="s">
        <v>112</v>
      </c>
      <c r="U61" s="110" t="s">
        <v>274</v>
      </c>
      <c r="W61" s="143">
        <v>42356</v>
      </c>
      <c r="X61" s="12">
        <v>137.26</v>
      </c>
      <c r="Y61" s="12">
        <v>137.44</v>
      </c>
      <c r="Z61" s="12">
        <v>134.51</v>
      </c>
      <c r="AA61" s="12">
        <v>134.51</v>
      </c>
      <c r="AB61" s="105">
        <v>2716600</v>
      </c>
      <c r="AC61" s="12">
        <v>134.36000000000001</v>
      </c>
      <c r="AD61" s="2"/>
      <c r="AE61" s="148"/>
    </row>
    <row r="62" spans="15:31" x14ac:dyDescent="0.25">
      <c r="O62" s="93">
        <v>0.94</v>
      </c>
      <c r="P62" s="93">
        <f t="shared" si="0"/>
        <v>130.73519999999999</v>
      </c>
      <c r="W62" s="143">
        <v>42355</v>
      </c>
      <c r="X62" s="12">
        <v>140.28</v>
      </c>
      <c r="Y62" s="12">
        <v>140.52000000000001</v>
      </c>
      <c r="Z62" s="12">
        <v>138.1</v>
      </c>
      <c r="AA62" s="12">
        <v>138.16</v>
      </c>
      <c r="AB62" s="105">
        <v>1863400</v>
      </c>
      <c r="AC62" s="12">
        <v>138.01</v>
      </c>
      <c r="AD62" s="2"/>
      <c r="AE62" s="148"/>
    </row>
    <row r="63" spans="15:31" x14ac:dyDescent="0.25">
      <c r="O63" s="93">
        <v>0.93</v>
      </c>
      <c r="P63" s="93">
        <f t="shared" si="0"/>
        <v>129.34440000000001</v>
      </c>
      <c r="W63" s="143">
        <v>42354</v>
      </c>
      <c r="X63" s="12">
        <v>138.68</v>
      </c>
      <c r="Y63" s="12">
        <v>140.74</v>
      </c>
      <c r="Z63" s="12">
        <v>138.29</v>
      </c>
      <c r="AA63" s="12">
        <v>140.44999999999999</v>
      </c>
      <c r="AB63" s="105">
        <v>1699000</v>
      </c>
      <c r="AC63" s="12">
        <v>140.30000000000001</v>
      </c>
      <c r="AD63" s="2"/>
      <c r="AE63" s="148"/>
    </row>
    <row r="64" spans="15:31" x14ac:dyDescent="0.25">
      <c r="O64" s="93">
        <v>0.92</v>
      </c>
      <c r="P64" s="93">
        <f t="shared" si="0"/>
        <v>127.95360000000002</v>
      </c>
      <c r="W64" s="143">
        <v>42353</v>
      </c>
      <c r="X64" s="12">
        <v>136.31</v>
      </c>
      <c r="Y64" s="12">
        <v>138.16</v>
      </c>
      <c r="Z64" s="12">
        <v>136.31</v>
      </c>
      <c r="AA64" s="12">
        <v>137.49</v>
      </c>
      <c r="AB64" s="105">
        <v>1717000</v>
      </c>
      <c r="AC64" s="12">
        <v>137.34</v>
      </c>
      <c r="AD64" s="2"/>
      <c r="AE64" s="148"/>
    </row>
    <row r="65" spans="15:31" x14ac:dyDescent="0.25">
      <c r="O65" s="93">
        <v>0.91</v>
      </c>
      <c r="P65" s="93">
        <f t="shared" si="0"/>
        <v>126.56280000000001</v>
      </c>
      <c r="W65" s="143">
        <v>42352</v>
      </c>
      <c r="X65" s="12">
        <v>133.85</v>
      </c>
      <c r="Y65" s="12">
        <v>135.57</v>
      </c>
      <c r="Z65" s="12">
        <v>133.41</v>
      </c>
      <c r="AA65" s="12">
        <v>135.41</v>
      </c>
      <c r="AB65" s="105">
        <v>1452500</v>
      </c>
      <c r="AC65" s="12">
        <v>135.26</v>
      </c>
      <c r="AD65" s="2"/>
      <c r="AE65" s="148"/>
    </row>
    <row r="66" spans="15:31" x14ac:dyDescent="0.25">
      <c r="O66" s="93">
        <v>0.9</v>
      </c>
      <c r="P66" s="93">
        <f t="shared" si="0"/>
        <v>125.17200000000001</v>
      </c>
      <c r="W66" s="143">
        <v>42349</v>
      </c>
      <c r="X66" s="12">
        <v>133.22999999999999</v>
      </c>
      <c r="Y66" s="12">
        <v>135.05000000000001</v>
      </c>
      <c r="Z66" s="12">
        <v>133.06</v>
      </c>
      <c r="AA66" s="12">
        <v>134.19999999999999</v>
      </c>
      <c r="AB66" s="105">
        <v>1542400</v>
      </c>
      <c r="AC66" s="12">
        <v>134.05000000000001</v>
      </c>
      <c r="AD66" s="2"/>
      <c r="AE66" s="148"/>
    </row>
    <row r="67" spans="15:31" x14ac:dyDescent="0.25">
      <c r="W67" s="143">
        <v>42349</v>
      </c>
      <c r="X67" s="12" t="s">
        <v>231</v>
      </c>
      <c r="Y67" s="12"/>
      <c r="Z67" s="12"/>
      <c r="AA67" s="12"/>
      <c r="AB67" s="105"/>
      <c r="AC67" s="12"/>
      <c r="AD67" s="2"/>
      <c r="AE67" s="148"/>
    </row>
    <row r="68" spans="15:31" x14ac:dyDescent="0.25">
      <c r="W68" s="143">
        <v>42348</v>
      </c>
      <c r="X68" s="12">
        <v>134.41999999999999</v>
      </c>
      <c r="Y68" s="12">
        <v>136.1</v>
      </c>
      <c r="Z68" s="12">
        <v>133.97999999999999</v>
      </c>
      <c r="AA68" s="12">
        <v>135.13</v>
      </c>
      <c r="AB68" s="105">
        <v>1056700</v>
      </c>
      <c r="AC68" s="12">
        <v>134.83000000000001</v>
      </c>
      <c r="AD68" s="2"/>
      <c r="AE68" s="148"/>
    </row>
    <row r="69" spans="15:31" x14ac:dyDescent="0.25">
      <c r="W69" s="143">
        <v>42347</v>
      </c>
      <c r="X69" s="12">
        <v>135.41999999999999</v>
      </c>
      <c r="Y69" s="12">
        <v>136.99</v>
      </c>
      <c r="Z69" s="12">
        <v>134.01</v>
      </c>
      <c r="AA69" s="12">
        <v>134.38999999999999</v>
      </c>
      <c r="AB69" s="105">
        <v>1525000</v>
      </c>
      <c r="AC69" s="12">
        <v>134.09</v>
      </c>
      <c r="AD69" s="2"/>
      <c r="AE69" s="148"/>
    </row>
    <row r="70" spans="15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1" priority="7">
      <formula>F18&gt;0</formula>
    </cfRule>
    <cfRule type="expression" dxfId="40" priority="8">
      <formula>F18&lt;0</formula>
    </cfRule>
  </conditionalFormatting>
  <conditionalFormatting sqref="H18:H25">
    <cfRule type="expression" dxfId="39" priority="5">
      <formula>H18&gt;0</formula>
    </cfRule>
    <cfRule type="expression" dxfId="38" priority="6">
      <formula>H18&lt;0</formula>
    </cfRule>
  </conditionalFormatting>
  <conditionalFormatting sqref="F14:F17">
    <cfRule type="expression" dxfId="37" priority="3">
      <formula>F14&gt;0</formula>
    </cfRule>
    <cfRule type="expression" dxfId="36" priority="4">
      <formula>F14&lt;0</formula>
    </cfRule>
  </conditionalFormatting>
  <conditionalFormatting sqref="H14:H17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42444</v>
      </c>
      <c r="X2" s="12">
        <v>30.77</v>
      </c>
      <c r="Y2" s="12">
        <v>30.79</v>
      </c>
      <c r="Z2" s="12">
        <v>30.14</v>
      </c>
      <c r="AA2" s="12">
        <v>30.5</v>
      </c>
      <c r="AB2" s="105">
        <v>731800</v>
      </c>
      <c r="AC2" s="12">
        <v>30.5</v>
      </c>
      <c r="AD2" s="2">
        <f>Y2-Z2</f>
        <v>0.64999999999999858</v>
      </c>
      <c r="AE2" s="148">
        <f>AC2/AC3-1</f>
        <v>-2.274911887215636E-2</v>
      </c>
      <c r="AP2" t="s">
        <v>189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31.38</v>
      </c>
      <c r="W3" s="143">
        <v>42443</v>
      </c>
      <c r="X3" s="12">
        <v>31.12</v>
      </c>
      <c r="Y3" s="12">
        <v>31.51</v>
      </c>
      <c r="Z3" s="12">
        <v>30.97</v>
      </c>
      <c r="AA3" s="12">
        <v>31.21</v>
      </c>
      <c r="AB3" s="105">
        <v>747700</v>
      </c>
      <c r="AC3" s="12">
        <v>31.21</v>
      </c>
      <c r="AD3" s="2">
        <f t="shared" ref="AD3:AD66" si="1">Y3-Z3</f>
        <v>0.5400000000000027</v>
      </c>
      <c r="AE3" s="148">
        <f t="shared" ref="AE3:AE66" si="2">AC3/AC4-1</f>
        <v>-3.5121328224776427E-3</v>
      </c>
      <c r="AI3" t="s">
        <v>209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31.38</v>
      </c>
      <c r="W4" s="143">
        <v>42440</v>
      </c>
      <c r="X4" s="12">
        <v>30.69</v>
      </c>
      <c r="Y4" s="12">
        <v>31.37</v>
      </c>
      <c r="Z4" s="12">
        <v>30.67</v>
      </c>
      <c r="AA4" s="12">
        <v>31.32</v>
      </c>
      <c r="AB4" s="105">
        <v>455300</v>
      </c>
      <c r="AC4" s="12">
        <v>31.32</v>
      </c>
      <c r="AD4" s="2">
        <f t="shared" si="1"/>
        <v>0.69999999999999929</v>
      </c>
      <c r="AE4" s="148">
        <f t="shared" si="2"/>
        <v>2.8909329829172048E-2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42439</v>
      </c>
      <c r="X5" s="12">
        <v>30.51</v>
      </c>
      <c r="Y5" s="12">
        <v>30.66</v>
      </c>
      <c r="Z5" s="12">
        <v>29.87</v>
      </c>
      <c r="AA5" s="12">
        <v>30.44</v>
      </c>
      <c r="AB5" s="105">
        <v>692300</v>
      </c>
      <c r="AC5" s="12">
        <v>30.44</v>
      </c>
      <c r="AD5" s="2">
        <f t="shared" si="1"/>
        <v>0.78999999999999915</v>
      </c>
      <c r="AE5" s="148">
        <f t="shared" si="2"/>
        <v>-3.2840722495885988E-4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42438</v>
      </c>
      <c r="X6" s="12">
        <v>30.78</v>
      </c>
      <c r="Y6" s="12">
        <v>30.95</v>
      </c>
      <c r="Z6" s="12">
        <v>30.26</v>
      </c>
      <c r="AA6" s="12">
        <v>30.45</v>
      </c>
      <c r="AB6" s="105">
        <v>754300</v>
      </c>
      <c r="AC6" s="12">
        <v>30.45</v>
      </c>
      <c r="AD6" s="2">
        <f t="shared" si="1"/>
        <v>0.68999999999999773</v>
      </c>
      <c r="AE6" s="148">
        <f t="shared" si="2"/>
        <v>-6.525285481239762E-3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42437</v>
      </c>
      <c r="X7" s="12">
        <v>31.63</v>
      </c>
      <c r="Y7" s="12">
        <v>31.75</v>
      </c>
      <c r="Z7" s="12">
        <v>30.58</v>
      </c>
      <c r="AA7" s="12">
        <v>30.65</v>
      </c>
      <c r="AB7" s="105">
        <v>800700</v>
      </c>
      <c r="AC7" s="12">
        <v>30.65</v>
      </c>
      <c r="AD7" s="2">
        <f t="shared" si="1"/>
        <v>1.1700000000000017</v>
      </c>
      <c r="AE7" s="148">
        <f t="shared" si="2"/>
        <v>-4.3980037429819152E-2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42436</v>
      </c>
      <c r="X8" s="12">
        <v>31.6</v>
      </c>
      <c r="Y8" s="12">
        <v>32.31</v>
      </c>
      <c r="Z8" s="12">
        <v>31.6</v>
      </c>
      <c r="AA8" s="12">
        <v>32.06</v>
      </c>
      <c r="AB8" s="105">
        <v>988200</v>
      </c>
      <c r="AC8" s="12">
        <v>32.06</v>
      </c>
      <c r="AD8" s="2">
        <f t="shared" si="1"/>
        <v>0.71000000000000085</v>
      </c>
      <c r="AE8" s="148">
        <f t="shared" si="2"/>
        <v>1.4556962025316533E-2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42433</v>
      </c>
      <c r="X9" s="12">
        <v>31.09</v>
      </c>
      <c r="Y9" s="12">
        <v>32.21</v>
      </c>
      <c r="Z9" s="12">
        <v>30.88</v>
      </c>
      <c r="AA9" s="12">
        <v>31.6</v>
      </c>
      <c r="AB9" s="105">
        <v>2331400</v>
      </c>
      <c r="AC9" s="12">
        <v>31.6</v>
      </c>
      <c r="AD9" s="2">
        <f t="shared" si="1"/>
        <v>1.3300000000000018</v>
      </c>
      <c r="AE9" s="148">
        <f t="shared" si="2"/>
        <v>2.3316062176165886E-2</v>
      </c>
    </row>
    <row r="10" spans="1:43" x14ac:dyDescent="0.25">
      <c r="W10" s="143">
        <v>42432</v>
      </c>
      <c r="X10" s="12">
        <v>30.86</v>
      </c>
      <c r="Y10" s="12">
        <v>31.14</v>
      </c>
      <c r="Z10" s="12">
        <v>30.58</v>
      </c>
      <c r="AA10" s="12">
        <v>30.88</v>
      </c>
      <c r="AB10" s="105">
        <v>890800</v>
      </c>
      <c r="AC10" s="12">
        <v>30.88</v>
      </c>
      <c r="AD10" s="2">
        <f t="shared" si="1"/>
        <v>0.56000000000000227</v>
      </c>
      <c r="AE10" s="148">
        <f t="shared" si="2"/>
        <v>1.6217969510217145E-3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42431</v>
      </c>
      <c r="X11" s="12">
        <v>30.81</v>
      </c>
      <c r="Y11" s="12">
        <v>31.19</v>
      </c>
      <c r="Z11" s="12">
        <v>30.17</v>
      </c>
      <c r="AA11" s="12">
        <v>30.83</v>
      </c>
      <c r="AB11" s="105">
        <v>1635800</v>
      </c>
      <c r="AC11" s="12">
        <v>30.83</v>
      </c>
      <c r="AD11" s="2">
        <f t="shared" si="1"/>
        <v>1.0199999999999996</v>
      </c>
      <c r="AE11" s="148">
        <f t="shared" si="2"/>
        <v>-1.9423761735190004E-3</v>
      </c>
    </row>
    <row r="12" spans="1:43" x14ac:dyDescent="0.25">
      <c r="W12" s="143">
        <v>42430</v>
      </c>
      <c r="X12" s="12">
        <v>30.2</v>
      </c>
      <c r="Y12" s="12">
        <v>31.09</v>
      </c>
      <c r="Z12" s="12">
        <v>29.82</v>
      </c>
      <c r="AA12" s="12">
        <v>30.89</v>
      </c>
      <c r="AB12" s="105">
        <v>1044800</v>
      </c>
      <c r="AC12" s="12">
        <v>30.89</v>
      </c>
      <c r="AD12" s="2">
        <f t="shared" si="1"/>
        <v>1.2699999999999996</v>
      </c>
      <c r="AE12" s="148">
        <f t="shared" si="2"/>
        <v>3.5534696614146988E-2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183</v>
      </c>
      <c r="W13" s="143">
        <v>42429</v>
      </c>
      <c r="X13" s="12">
        <v>30</v>
      </c>
      <c r="Y13" s="12">
        <v>30.17</v>
      </c>
      <c r="Z13" s="12">
        <v>29.81</v>
      </c>
      <c r="AA13" s="12">
        <v>29.83</v>
      </c>
      <c r="AB13" s="105">
        <v>617400</v>
      </c>
      <c r="AC13" s="12">
        <v>29.83</v>
      </c>
      <c r="AD13" s="2">
        <f t="shared" si="1"/>
        <v>0.36000000000000298</v>
      </c>
      <c r="AE13" s="148">
        <f t="shared" si="2"/>
        <v>3.3534540576796168E-4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42426</v>
      </c>
      <c r="X14" s="12">
        <v>30.11</v>
      </c>
      <c r="Y14" s="12">
        <v>30.13</v>
      </c>
      <c r="Z14" s="12">
        <v>29.62</v>
      </c>
      <c r="AA14" s="12">
        <v>29.82</v>
      </c>
      <c r="AB14" s="105">
        <v>616700</v>
      </c>
      <c r="AC14" s="12">
        <v>29.82</v>
      </c>
      <c r="AD14" s="2">
        <f t="shared" si="1"/>
        <v>0.50999999999999801</v>
      </c>
      <c r="AE14" s="148">
        <f t="shared" si="2"/>
        <v>1.6795431642593339E-3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42425</v>
      </c>
      <c r="X15" s="12">
        <v>30.13</v>
      </c>
      <c r="Y15" s="12">
        <v>30.31</v>
      </c>
      <c r="Z15" s="12">
        <v>29.23</v>
      </c>
      <c r="AA15" s="12">
        <v>29.77</v>
      </c>
      <c r="AB15" s="105">
        <v>996400</v>
      </c>
      <c r="AC15" s="12">
        <v>29.77</v>
      </c>
      <c r="AD15" s="2">
        <f t="shared" si="1"/>
        <v>1.0799999999999983</v>
      </c>
      <c r="AE15" s="148">
        <f t="shared" si="2"/>
        <v>-1.0305851063829752E-2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42424</v>
      </c>
      <c r="X16" s="12">
        <v>29.06</v>
      </c>
      <c r="Y16" s="12">
        <v>30.19</v>
      </c>
      <c r="Z16" s="12">
        <v>28.64</v>
      </c>
      <c r="AA16" s="12">
        <v>30.08</v>
      </c>
      <c r="AB16" s="105">
        <v>712300</v>
      </c>
      <c r="AC16" s="12">
        <v>30.08</v>
      </c>
      <c r="AD16" s="2">
        <f t="shared" si="1"/>
        <v>1.5500000000000007</v>
      </c>
      <c r="AE16" s="148">
        <f t="shared" si="2"/>
        <v>1.4160485502360043E-2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42423</v>
      </c>
      <c r="X17" s="12">
        <v>30.47</v>
      </c>
      <c r="Y17" s="12">
        <v>30.92</v>
      </c>
      <c r="Z17" s="12">
        <v>29.64</v>
      </c>
      <c r="AA17" s="12">
        <v>29.66</v>
      </c>
      <c r="AB17" s="105">
        <v>601100</v>
      </c>
      <c r="AC17" s="12">
        <v>29.66</v>
      </c>
      <c r="AD17" s="2">
        <f t="shared" si="1"/>
        <v>1.2800000000000011</v>
      </c>
      <c r="AE17" s="148">
        <f t="shared" si="2"/>
        <v>-3.3561420658194896E-2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42422</v>
      </c>
      <c r="X18" s="12">
        <v>30.59</v>
      </c>
      <c r="Y18" s="12">
        <v>31.15</v>
      </c>
      <c r="Z18" s="12">
        <v>30.42</v>
      </c>
      <c r="AA18" s="12">
        <v>30.69</v>
      </c>
      <c r="AB18" s="105">
        <v>693800</v>
      </c>
      <c r="AC18" s="12">
        <v>30.69</v>
      </c>
      <c r="AD18" s="2">
        <f t="shared" si="1"/>
        <v>0.72999999999999687</v>
      </c>
      <c r="AE18" s="148">
        <f t="shared" si="2"/>
        <v>1.8248175182481674E-2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42419</v>
      </c>
      <c r="X19" s="12">
        <v>30.23</v>
      </c>
      <c r="Y19" s="12">
        <v>30.4</v>
      </c>
      <c r="Z19" s="12">
        <v>29.57</v>
      </c>
      <c r="AA19" s="12">
        <v>30.14</v>
      </c>
      <c r="AB19" s="105">
        <v>986600</v>
      </c>
      <c r="AC19" s="12">
        <v>30.14</v>
      </c>
      <c r="AD19" s="2">
        <f t="shared" si="1"/>
        <v>0.82999999999999829</v>
      </c>
      <c r="AE19" s="148" t="e">
        <f t="shared" si="2"/>
        <v>#DIV/0!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42419</v>
      </c>
      <c r="X20" s="12" t="s">
        <v>146</v>
      </c>
      <c r="Y20" s="12"/>
      <c r="Z20" s="12"/>
      <c r="AA20" s="12"/>
      <c r="AB20" s="105"/>
      <c r="AC20" s="12"/>
      <c r="AD20" s="2">
        <f t="shared" si="1"/>
        <v>0</v>
      </c>
      <c r="AE20" s="148">
        <f t="shared" si="2"/>
        <v>-1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42418</v>
      </c>
      <c r="X21" s="12">
        <v>30.27</v>
      </c>
      <c r="Y21" s="12">
        <v>30.83</v>
      </c>
      <c r="Z21" s="12">
        <v>29.47</v>
      </c>
      <c r="AA21" s="12">
        <v>30.81</v>
      </c>
      <c r="AB21" s="105">
        <v>1507700</v>
      </c>
      <c r="AC21" s="12">
        <v>30.55</v>
      </c>
      <c r="AD21" s="2">
        <f t="shared" si="1"/>
        <v>1.3599999999999994</v>
      </c>
      <c r="AE21" s="148">
        <f t="shared" si="2"/>
        <v>3.284072249589487E-3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42417</v>
      </c>
      <c r="X22" s="12">
        <v>30.74</v>
      </c>
      <c r="Y22" s="12">
        <v>31.64</v>
      </c>
      <c r="Z22" s="12">
        <v>30.56</v>
      </c>
      <c r="AA22" s="12">
        <v>30.71</v>
      </c>
      <c r="AB22" s="105">
        <v>1467000</v>
      </c>
      <c r="AC22" s="12">
        <v>30.45</v>
      </c>
      <c r="AD22" s="2">
        <f t="shared" si="1"/>
        <v>1.0800000000000018</v>
      </c>
      <c r="AE22" s="148">
        <f t="shared" si="2"/>
        <v>1.1627906976744207E-2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42416</v>
      </c>
      <c r="X23" s="12">
        <v>30.45</v>
      </c>
      <c r="Y23" s="12">
        <v>30.77</v>
      </c>
      <c r="Z23" s="12">
        <v>29.7</v>
      </c>
      <c r="AA23" s="12">
        <v>30.36</v>
      </c>
      <c r="AB23" s="105">
        <v>1056500</v>
      </c>
      <c r="AC23" s="12">
        <v>30.1</v>
      </c>
      <c r="AD23" s="2">
        <f t="shared" si="1"/>
        <v>1.0700000000000003</v>
      </c>
      <c r="AE23" s="148">
        <f t="shared" si="2"/>
        <v>1.5519568151147078E-2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42412</v>
      </c>
      <c r="X24" s="12">
        <v>28.4</v>
      </c>
      <c r="Y24" s="12">
        <v>30.02</v>
      </c>
      <c r="Z24" s="12">
        <v>28.32</v>
      </c>
      <c r="AA24" s="12">
        <v>29.89</v>
      </c>
      <c r="AB24" s="105">
        <v>1182900</v>
      </c>
      <c r="AC24" s="12">
        <v>29.64</v>
      </c>
      <c r="AD24" s="2">
        <f t="shared" si="1"/>
        <v>1.6999999999999993</v>
      </c>
      <c r="AE24" s="148">
        <f t="shared" si="2"/>
        <v>6.3890882986360475E-2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42411</v>
      </c>
      <c r="X25" s="12">
        <v>27.75</v>
      </c>
      <c r="Y25" s="12">
        <v>28.58</v>
      </c>
      <c r="Z25" s="12">
        <v>27.63</v>
      </c>
      <c r="AA25" s="12">
        <v>28.1</v>
      </c>
      <c r="AB25" s="105">
        <v>965200</v>
      </c>
      <c r="AC25" s="12">
        <v>27.86</v>
      </c>
      <c r="AD25" s="2">
        <f t="shared" si="1"/>
        <v>0.94999999999999929</v>
      </c>
      <c r="AE25" s="148">
        <f t="shared" si="2"/>
        <v>-3.9327851269216341E-3</v>
      </c>
    </row>
    <row r="26" spans="2:31" x14ac:dyDescent="0.25">
      <c r="W26" s="143">
        <v>42410</v>
      </c>
      <c r="X26" s="12">
        <v>29</v>
      </c>
      <c r="Y26" s="12">
        <v>29.2</v>
      </c>
      <c r="Z26" s="12">
        <v>27.93</v>
      </c>
      <c r="AA26" s="12">
        <v>28.21</v>
      </c>
      <c r="AB26" s="105">
        <v>1155900</v>
      </c>
      <c r="AC26" s="12">
        <v>27.97</v>
      </c>
      <c r="AD26" s="2">
        <f t="shared" si="1"/>
        <v>1.2699999999999996</v>
      </c>
      <c r="AE26" s="148">
        <f t="shared" si="2"/>
        <v>-2.7468706536856846E-2</v>
      </c>
    </row>
    <row r="27" spans="2:31" x14ac:dyDescent="0.25">
      <c r="W27" s="143">
        <v>42409</v>
      </c>
      <c r="X27" s="12">
        <v>28.5</v>
      </c>
      <c r="Y27" s="12">
        <v>29.69</v>
      </c>
      <c r="Z27" s="12">
        <v>28.5</v>
      </c>
      <c r="AA27" s="12">
        <v>29</v>
      </c>
      <c r="AB27" s="105">
        <v>1178900</v>
      </c>
      <c r="AC27" s="12">
        <v>28.76</v>
      </c>
      <c r="AD27" s="2">
        <f t="shared" si="1"/>
        <v>1.1900000000000013</v>
      </c>
      <c r="AE27" s="148">
        <f t="shared" si="2"/>
        <v>-2.7739251040220791E-3</v>
      </c>
    </row>
    <row r="28" spans="2:31" x14ac:dyDescent="0.25">
      <c r="W28" s="143">
        <v>42408</v>
      </c>
      <c r="X28" s="12">
        <v>29.14</v>
      </c>
      <c r="Y28" s="12">
        <v>29.67</v>
      </c>
      <c r="Z28" s="12">
        <v>28.55</v>
      </c>
      <c r="AA28" s="12">
        <v>29.09</v>
      </c>
      <c r="AB28" s="105">
        <v>1122500</v>
      </c>
      <c r="AC28" s="12">
        <v>28.84</v>
      </c>
      <c r="AD28" s="2">
        <f t="shared" si="1"/>
        <v>1.120000000000001</v>
      </c>
      <c r="AE28" s="148">
        <f t="shared" si="2"/>
        <v>-1.4690809702767371E-2</v>
      </c>
    </row>
    <row r="29" spans="2:31" x14ac:dyDescent="0.25">
      <c r="W29" s="143">
        <v>42405</v>
      </c>
      <c r="X29" s="12">
        <v>29.28</v>
      </c>
      <c r="Y29" s="12">
        <v>30.26</v>
      </c>
      <c r="Z29" s="12">
        <v>29.04</v>
      </c>
      <c r="AA29" s="12">
        <v>29.52</v>
      </c>
      <c r="AB29" s="105">
        <v>1454100</v>
      </c>
      <c r="AC29" s="12">
        <v>29.27</v>
      </c>
      <c r="AD29" s="2">
        <f t="shared" si="1"/>
        <v>1.2200000000000024</v>
      </c>
      <c r="AE29" s="148">
        <f t="shared" si="2"/>
        <v>6.8799449604401985E-3</v>
      </c>
    </row>
    <row r="30" spans="2:31" x14ac:dyDescent="0.25">
      <c r="W30" s="143">
        <v>42404</v>
      </c>
      <c r="X30" s="12">
        <v>27.93</v>
      </c>
      <c r="Y30" s="12">
        <v>30.13</v>
      </c>
      <c r="Z30" s="12">
        <v>27.68</v>
      </c>
      <c r="AA30" s="12">
        <v>29.32</v>
      </c>
      <c r="AB30" s="105">
        <v>2103000</v>
      </c>
      <c r="AC30" s="12">
        <v>29.07</v>
      </c>
      <c r="AD30" s="2">
        <f t="shared" si="1"/>
        <v>2.4499999999999993</v>
      </c>
      <c r="AE30" s="148">
        <f t="shared" si="2"/>
        <v>4.643628509719222E-2</v>
      </c>
    </row>
    <row r="31" spans="2:31" x14ac:dyDescent="0.25">
      <c r="W31" s="143">
        <v>42403</v>
      </c>
      <c r="X31" s="12">
        <v>26.42</v>
      </c>
      <c r="Y31" s="12">
        <v>28.06</v>
      </c>
      <c r="Z31" s="12">
        <v>25.58</v>
      </c>
      <c r="AA31" s="12">
        <v>28.02</v>
      </c>
      <c r="AB31" s="105">
        <v>1776600</v>
      </c>
      <c r="AC31" s="12">
        <v>27.78</v>
      </c>
      <c r="AD31" s="2">
        <f t="shared" si="1"/>
        <v>2.4800000000000004</v>
      </c>
      <c r="AE31" s="148">
        <f t="shared" si="2"/>
        <v>9.8457888493475698E-2</v>
      </c>
    </row>
    <row r="32" spans="2:31" x14ac:dyDescent="0.25">
      <c r="W32" s="143">
        <v>42402</v>
      </c>
      <c r="X32" s="12">
        <v>25.66</v>
      </c>
      <c r="Y32" s="12">
        <v>25.73</v>
      </c>
      <c r="Z32" s="12">
        <v>25.12</v>
      </c>
      <c r="AA32" s="12">
        <v>25.51</v>
      </c>
      <c r="AB32" s="105">
        <v>1467900</v>
      </c>
      <c r="AC32" s="12">
        <v>25.29</v>
      </c>
      <c r="AD32" s="2">
        <f t="shared" si="1"/>
        <v>0.60999999999999943</v>
      </c>
      <c r="AE32" s="148">
        <f t="shared" si="2"/>
        <v>-2.4681835711531042E-2</v>
      </c>
    </row>
    <row r="33" spans="15:31" x14ac:dyDescent="0.25">
      <c r="W33" s="143">
        <v>42401</v>
      </c>
      <c r="X33" s="12">
        <v>26.08</v>
      </c>
      <c r="Y33" s="12">
        <v>26.31</v>
      </c>
      <c r="Z33" s="12">
        <v>25.58</v>
      </c>
      <c r="AA33" s="12">
        <v>26.15</v>
      </c>
      <c r="AB33" s="105">
        <v>837200</v>
      </c>
      <c r="AC33" s="12">
        <v>25.93</v>
      </c>
      <c r="AD33" s="2">
        <f t="shared" si="1"/>
        <v>0.73000000000000043</v>
      </c>
      <c r="AE33" s="148">
        <f t="shared" si="2"/>
        <v>-1.519179642992774E-2</v>
      </c>
    </row>
    <row r="34" spans="15:31" x14ac:dyDescent="0.25">
      <c r="W34" s="143">
        <v>42398</v>
      </c>
      <c r="X34" s="12">
        <v>25.49</v>
      </c>
      <c r="Y34" s="12">
        <v>26.56</v>
      </c>
      <c r="Z34" s="12">
        <v>25.49</v>
      </c>
      <c r="AA34" s="12">
        <v>26.55</v>
      </c>
      <c r="AB34" s="105">
        <v>1098700</v>
      </c>
      <c r="AC34" s="12">
        <v>26.33</v>
      </c>
      <c r="AD34" s="2">
        <f t="shared" si="1"/>
        <v>1.0700000000000003</v>
      </c>
      <c r="AE34" s="148">
        <f t="shared" si="2"/>
        <v>4.4841269841269904E-2</v>
      </c>
    </row>
    <row r="35" spans="15:31" x14ac:dyDescent="0.25">
      <c r="W35" s="143">
        <v>42397</v>
      </c>
      <c r="X35" s="12">
        <v>25.45</v>
      </c>
      <c r="Y35" s="12">
        <v>25.86</v>
      </c>
      <c r="Z35" s="12">
        <v>24.98</v>
      </c>
      <c r="AA35" s="12">
        <v>25.41</v>
      </c>
      <c r="AB35" s="105">
        <v>885700</v>
      </c>
      <c r="AC35" s="12">
        <v>25.2</v>
      </c>
      <c r="AD35" s="2">
        <f t="shared" si="1"/>
        <v>0.87999999999999901</v>
      </c>
      <c r="AE35" s="148">
        <f t="shared" si="2"/>
        <v>1.0425020048115297E-2</v>
      </c>
    </row>
    <row r="36" spans="15:31" x14ac:dyDescent="0.25">
      <c r="W36" s="143">
        <v>42396</v>
      </c>
      <c r="X36" s="12">
        <v>24.89</v>
      </c>
      <c r="Y36" s="12">
        <v>25.66</v>
      </c>
      <c r="Z36" s="12">
        <v>24.82</v>
      </c>
      <c r="AA36" s="12">
        <v>25.15</v>
      </c>
      <c r="AB36" s="105">
        <v>766500</v>
      </c>
      <c r="AC36" s="12">
        <v>24.94</v>
      </c>
      <c r="AD36" s="2">
        <f t="shared" si="1"/>
        <v>0.83999999999999986</v>
      </c>
      <c r="AE36" s="148">
        <f t="shared" si="2"/>
        <v>5.6451612903225534E-3</v>
      </c>
    </row>
    <row r="37" spans="15:31" x14ac:dyDescent="0.25">
      <c r="W37" s="143">
        <v>42395</v>
      </c>
      <c r="X37" s="12">
        <v>23.83</v>
      </c>
      <c r="Y37" s="12">
        <v>25.1</v>
      </c>
      <c r="Z37" s="12">
        <v>23.59</v>
      </c>
      <c r="AA37" s="12">
        <v>25.01</v>
      </c>
      <c r="AB37" s="105">
        <v>1276500</v>
      </c>
      <c r="AC37" s="12">
        <v>24.8</v>
      </c>
      <c r="AD37" s="2">
        <f t="shared" si="1"/>
        <v>1.5100000000000016</v>
      </c>
      <c r="AE37" s="148">
        <f t="shared" si="2"/>
        <v>5.7569296375266532E-2</v>
      </c>
    </row>
    <row r="38" spans="15:31" x14ac:dyDescent="0.25">
      <c r="W38" s="143">
        <v>42394</v>
      </c>
      <c r="X38" s="12">
        <v>24.1</v>
      </c>
      <c r="Y38" s="12">
        <v>24.33</v>
      </c>
      <c r="Z38" s="12">
        <v>23.57</v>
      </c>
      <c r="AA38" s="12">
        <v>23.65</v>
      </c>
      <c r="AB38" s="105">
        <v>543000</v>
      </c>
      <c r="AC38" s="12">
        <v>23.45</v>
      </c>
      <c r="AD38" s="2">
        <f t="shared" si="1"/>
        <v>0.75999999999999801</v>
      </c>
      <c r="AE38" s="148">
        <f t="shared" si="2"/>
        <v>-2.5353283458021569E-2</v>
      </c>
    </row>
    <row r="39" spans="15:31" x14ac:dyDescent="0.25">
      <c r="W39" s="143">
        <v>42391</v>
      </c>
      <c r="X39" s="12">
        <v>24.02</v>
      </c>
      <c r="Y39" s="12">
        <v>24.81</v>
      </c>
      <c r="Z39" s="12">
        <v>23.86</v>
      </c>
      <c r="AA39" s="12">
        <v>24.26</v>
      </c>
      <c r="AB39" s="105">
        <v>789700</v>
      </c>
      <c r="AC39" s="12">
        <v>24.06</v>
      </c>
      <c r="AD39" s="2">
        <f t="shared" si="1"/>
        <v>0.94999999999999929</v>
      </c>
      <c r="AE39" s="148">
        <f t="shared" si="2"/>
        <v>3.040685224839379E-2</v>
      </c>
    </row>
    <row r="40" spans="15:31" x14ac:dyDescent="0.25">
      <c r="W40" s="143">
        <v>42390</v>
      </c>
      <c r="X40" s="12">
        <v>23.45</v>
      </c>
      <c r="Y40" s="12">
        <v>24.01</v>
      </c>
      <c r="Z40" s="12">
        <v>23.14</v>
      </c>
      <c r="AA40" s="12">
        <v>23.55</v>
      </c>
      <c r="AB40" s="105">
        <v>709400</v>
      </c>
      <c r="AC40" s="12">
        <v>23.35</v>
      </c>
      <c r="AD40" s="2">
        <f t="shared" si="1"/>
        <v>0.87000000000000099</v>
      </c>
      <c r="AE40" s="148">
        <f t="shared" si="2"/>
        <v>6.0318828091339149E-3</v>
      </c>
    </row>
    <row r="41" spans="15:31" x14ac:dyDescent="0.25">
      <c r="W41" s="143">
        <v>42389</v>
      </c>
      <c r="X41" s="12">
        <v>22.69</v>
      </c>
      <c r="Y41" s="12">
        <v>23.62</v>
      </c>
      <c r="Z41" s="12">
        <v>22.22</v>
      </c>
      <c r="AA41" s="12">
        <v>23.41</v>
      </c>
      <c r="AB41" s="105">
        <v>1558900</v>
      </c>
      <c r="AC41" s="12">
        <v>23.21</v>
      </c>
      <c r="AD41" s="2">
        <f t="shared" si="1"/>
        <v>1.4000000000000021</v>
      </c>
      <c r="AE41" s="148">
        <f t="shared" si="2"/>
        <v>-3.8626609442059534E-3</v>
      </c>
    </row>
    <row r="42" spans="15:31" x14ac:dyDescent="0.25">
      <c r="W42" s="143">
        <v>42388</v>
      </c>
      <c r="X42" s="12">
        <v>24.37</v>
      </c>
      <c r="Y42" s="12">
        <v>24.7</v>
      </c>
      <c r="Z42" s="12">
        <v>23.22</v>
      </c>
      <c r="AA42" s="12">
        <v>23.5</v>
      </c>
      <c r="AB42" s="105">
        <v>991800</v>
      </c>
      <c r="AC42" s="12">
        <v>23.3</v>
      </c>
      <c r="AD42" s="2">
        <f t="shared" si="1"/>
        <v>1.4800000000000004</v>
      </c>
      <c r="AE42" s="148">
        <f t="shared" si="2"/>
        <v>-4.1546688605512028E-2</v>
      </c>
    </row>
    <row r="43" spans="15:31" x14ac:dyDescent="0.25">
      <c r="W43" s="143">
        <v>42384</v>
      </c>
      <c r="X43" s="12">
        <v>24.08</v>
      </c>
      <c r="Y43" s="12">
        <v>24.65</v>
      </c>
      <c r="Z43" s="12">
        <v>23.7</v>
      </c>
      <c r="AA43" s="12">
        <v>24.52</v>
      </c>
      <c r="AB43" s="105">
        <v>646200</v>
      </c>
      <c r="AC43" s="12">
        <v>24.31</v>
      </c>
      <c r="AD43" s="2">
        <f t="shared" si="1"/>
        <v>0.94999999999999929</v>
      </c>
      <c r="AE43" s="148">
        <f t="shared" si="2"/>
        <v>-1.0984540276647636E-2</v>
      </c>
    </row>
    <row r="44" spans="15:31" x14ac:dyDescent="0.25">
      <c r="W44" s="143">
        <v>42383</v>
      </c>
      <c r="X44" s="12">
        <v>24.99</v>
      </c>
      <c r="Y44" s="12">
        <v>25.05</v>
      </c>
      <c r="Z44" s="12">
        <v>24.18</v>
      </c>
      <c r="AA44" s="12">
        <v>24.79</v>
      </c>
      <c r="AB44" s="105">
        <v>976200</v>
      </c>
      <c r="AC44" s="12">
        <v>24.58</v>
      </c>
      <c r="AD44" s="2">
        <f t="shared" si="1"/>
        <v>0.87000000000000099</v>
      </c>
      <c r="AE44" s="148">
        <f t="shared" si="2"/>
        <v>0</v>
      </c>
    </row>
    <row r="45" spans="15:31" ht="20.25" thickBot="1" x14ac:dyDescent="0.35">
      <c r="O45" s="408" t="s">
        <v>78</v>
      </c>
      <c r="P45" s="408"/>
      <c r="T45" s="101" t="s">
        <v>116</v>
      </c>
      <c r="W45" s="143">
        <v>42382</v>
      </c>
      <c r="X45" s="12">
        <v>25.66</v>
      </c>
      <c r="Y45" s="12">
        <v>25.81</v>
      </c>
      <c r="Z45" s="12">
        <v>24.76</v>
      </c>
      <c r="AA45" s="12">
        <v>24.79</v>
      </c>
      <c r="AB45" s="105">
        <v>859500</v>
      </c>
      <c r="AC45" s="12">
        <v>24.58</v>
      </c>
      <c r="AD45" s="2">
        <f t="shared" si="1"/>
        <v>1.0499999999999972</v>
      </c>
      <c r="AE45" s="148">
        <f t="shared" si="2"/>
        <v>-2.7689873417721667E-2</v>
      </c>
    </row>
    <row r="46" spans="15:31" ht="15.75" thickTop="1" x14ac:dyDescent="0.25">
      <c r="O46" s="93">
        <v>1.1000000000000001</v>
      </c>
      <c r="P46" s="93">
        <f>O46*$Q$4</f>
        <v>34.518000000000001</v>
      </c>
      <c r="Q46" s="2"/>
      <c r="T46" s="199" t="s">
        <v>101</v>
      </c>
      <c r="U46" s="199">
        <v>31.21</v>
      </c>
      <c r="W46" s="143">
        <v>42381</v>
      </c>
      <c r="X46" s="12">
        <v>25.6</v>
      </c>
      <c r="Y46" s="12">
        <v>25.73</v>
      </c>
      <c r="Z46" s="12">
        <v>24.76</v>
      </c>
      <c r="AA46" s="12">
        <v>25.5</v>
      </c>
      <c r="AB46" s="105">
        <v>915700</v>
      </c>
      <c r="AC46" s="12">
        <v>25.28</v>
      </c>
      <c r="AD46" s="2">
        <f t="shared" si="1"/>
        <v>0.96999999999999886</v>
      </c>
      <c r="AE46" s="148">
        <f t="shared" si="2"/>
        <v>6.7702110712863917E-3</v>
      </c>
    </row>
    <row r="47" spans="15:31" x14ac:dyDescent="0.25">
      <c r="O47" s="93">
        <v>1.0900000000000001</v>
      </c>
      <c r="P47" s="93">
        <f t="shared" ref="P47:P66" si="5">O47*$Q$4</f>
        <v>34.2042</v>
      </c>
      <c r="Q47" s="2"/>
      <c r="T47" s="199" t="s">
        <v>102</v>
      </c>
      <c r="U47" s="199">
        <v>30.77</v>
      </c>
      <c r="W47" s="143">
        <v>42380</v>
      </c>
      <c r="X47" s="12">
        <v>25.91</v>
      </c>
      <c r="Y47" s="12">
        <v>26</v>
      </c>
      <c r="Z47" s="12">
        <v>25.06</v>
      </c>
      <c r="AA47" s="12">
        <v>25.32</v>
      </c>
      <c r="AB47" s="105">
        <v>1038700</v>
      </c>
      <c r="AC47" s="12">
        <v>25.11</v>
      </c>
      <c r="AD47" s="2">
        <f t="shared" si="1"/>
        <v>0.94000000000000128</v>
      </c>
      <c r="AE47" s="148">
        <f t="shared" si="2"/>
        <v>-1.6065830721003094E-2</v>
      </c>
    </row>
    <row r="48" spans="15:31" x14ac:dyDescent="0.25">
      <c r="O48" s="93">
        <v>1.08</v>
      </c>
      <c r="P48" s="93">
        <f t="shared" si="5"/>
        <v>33.8904</v>
      </c>
      <c r="Q48" s="2"/>
      <c r="T48" s="199" t="s">
        <v>103</v>
      </c>
      <c r="U48" s="199" t="s">
        <v>381</v>
      </c>
      <c r="W48" s="143">
        <v>42377</v>
      </c>
      <c r="X48" s="12">
        <v>26.88</v>
      </c>
      <c r="Y48" s="12">
        <v>27.09</v>
      </c>
      <c r="Z48" s="12">
        <v>25.69</v>
      </c>
      <c r="AA48" s="12">
        <v>25.74</v>
      </c>
      <c r="AB48" s="105">
        <v>1321500</v>
      </c>
      <c r="AC48" s="12">
        <v>25.52</v>
      </c>
      <c r="AD48" s="2">
        <f t="shared" si="1"/>
        <v>1.3999999999999986</v>
      </c>
      <c r="AE48" s="148">
        <f t="shared" si="2"/>
        <v>-3.5889686437476365E-2</v>
      </c>
    </row>
    <row r="49" spans="15:31" x14ac:dyDescent="0.25">
      <c r="O49" s="93">
        <v>1.07</v>
      </c>
      <c r="P49" s="93">
        <f t="shared" si="5"/>
        <v>33.576599999999999</v>
      </c>
      <c r="Q49" s="2"/>
      <c r="T49" s="199" t="s">
        <v>104</v>
      </c>
      <c r="U49" s="199" t="s">
        <v>382</v>
      </c>
      <c r="W49" s="143">
        <v>42376</v>
      </c>
      <c r="X49" s="12">
        <v>27.09</v>
      </c>
      <c r="Y49" s="12">
        <v>27.3</v>
      </c>
      <c r="Z49" s="12">
        <v>26.61</v>
      </c>
      <c r="AA49" s="12">
        <v>26.7</v>
      </c>
      <c r="AB49" s="105">
        <v>1566300</v>
      </c>
      <c r="AC49" s="12">
        <v>26.47</v>
      </c>
      <c r="AD49" s="2">
        <f t="shared" si="1"/>
        <v>0.69000000000000128</v>
      </c>
      <c r="AE49" s="148">
        <f t="shared" si="2"/>
        <v>-2.7910392948953366E-2</v>
      </c>
    </row>
    <row r="50" spans="15:31" x14ac:dyDescent="0.25">
      <c r="O50" s="93">
        <v>1.06</v>
      </c>
      <c r="P50" s="93">
        <f t="shared" si="5"/>
        <v>33.262799999999999</v>
      </c>
      <c r="Q50" s="2"/>
      <c r="T50" s="199" t="s">
        <v>105</v>
      </c>
      <c r="U50" s="199">
        <v>31.14</v>
      </c>
      <c r="W50" s="143">
        <v>42375</v>
      </c>
      <c r="X50" s="12">
        <v>27.11</v>
      </c>
      <c r="Y50" s="12">
        <v>27.64</v>
      </c>
      <c r="Z50" s="12">
        <v>27.06</v>
      </c>
      <c r="AA50" s="12">
        <v>27.46</v>
      </c>
      <c r="AB50" s="105">
        <v>933700</v>
      </c>
      <c r="AC50" s="12">
        <v>27.23</v>
      </c>
      <c r="AD50" s="2">
        <f t="shared" si="1"/>
        <v>0.58000000000000185</v>
      </c>
      <c r="AE50" s="148">
        <f t="shared" si="2"/>
        <v>-1.3048205871692642E-2</v>
      </c>
    </row>
    <row r="51" spans="15:31" x14ac:dyDescent="0.25">
      <c r="O51" s="93">
        <v>1.05</v>
      </c>
      <c r="P51" s="93">
        <f t="shared" si="5"/>
        <v>32.948999999999998</v>
      </c>
      <c r="Q51" s="2"/>
      <c r="T51" s="199" t="s">
        <v>106</v>
      </c>
      <c r="U51" s="199">
        <v>1.28583</v>
      </c>
      <c r="W51" s="143">
        <v>42374</v>
      </c>
      <c r="X51" s="12">
        <v>28.33</v>
      </c>
      <c r="Y51" s="12">
        <v>28.43</v>
      </c>
      <c r="Z51" s="12">
        <v>27.51</v>
      </c>
      <c r="AA51" s="12">
        <v>27.82</v>
      </c>
      <c r="AB51" s="105">
        <v>554900</v>
      </c>
      <c r="AC51" s="12">
        <v>27.59</v>
      </c>
      <c r="AD51" s="2">
        <f t="shared" si="1"/>
        <v>0.91999999999999815</v>
      </c>
      <c r="AE51" s="148">
        <f t="shared" si="2"/>
        <v>-1.7799928800284803E-2</v>
      </c>
    </row>
    <row r="52" spans="15:31" x14ac:dyDescent="0.25">
      <c r="O52" s="93">
        <v>1.04</v>
      </c>
      <c r="P52" s="93">
        <f t="shared" si="5"/>
        <v>32.635199999999998</v>
      </c>
      <c r="Q52" s="2"/>
      <c r="T52" s="199" t="s">
        <v>107</v>
      </c>
      <c r="U52" s="199" t="s">
        <v>134</v>
      </c>
      <c r="W52" s="143">
        <v>42373</v>
      </c>
      <c r="X52" s="12">
        <v>27.94</v>
      </c>
      <c r="Y52" s="12">
        <v>28.36</v>
      </c>
      <c r="Z52" s="12">
        <v>27.74</v>
      </c>
      <c r="AA52" s="12">
        <v>28.33</v>
      </c>
      <c r="AB52" s="105">
        <v>691300</v>
      </c>
      <c r="AC52" s="12">
        <v>28.09</v>
      </c>
      <c r="AD52" s="2">
        <f t="shared" si="1"/>
        <v>0.62000000000000099</v>
      </c>
      <c r="AE52" s="148">
        <f t="shared" si="2"/>
        <v>-9.1710758377425705E-3</v>
      </c>
    </row>
    <row r="53" spans="15:31" x14ac:dyDescent="0.25">
      <c r="O53" s="93">
        <v>1.03</v>
      </c>
      <c r="P53" s="93">
        <f t="shared" si="5"/>
        <v>32.321399999999997</v>
      </c>
      <c r="Q53" s="2"/>
      <c r="T53" s="199"/>
      <c r="U53" s="199"/>
      <c r="W53" s="143">
        <v>42369</v>
      </c>
      <c r="X53" s="12">
        <v>28.55</v>
      </c>
      <c r="Y53" s="12">
        <v>28.95</v>
      </c>
      <c r="Z53" s="12">
        <v>28.41</v>
      </c>
      <c r="AA53" s="12">
        <v>28.59</v>
      </c>
      <c r="AB53" s="105">
        <v>655500</v>
      </c>
      <c r="AC53" s="12">
        <v>28.35</v>
      </c>
      <c r="AD53" s="2">
        <f t="shared" si="1"/>
        <v>0.53999999999999915</v>
      </c>
      <c r="AE53" s="148">
        <f t="shared" si="2"/>
        <v>-2.4630541871921707E-3</v>
      </c>
    </row>
    <row r="54" spans="15:31" x14ac:dyDescent="0.25">
      <c r="O54" s="93">
        <v>1.02</v>
      </c>
      <c r="P54" s="93">
        <f t="shared" si="5"/>
        <v>32.007599999999996</v>
      </c>
      <c r="Q54" s="2"/>
      <c r="T54" s="199" t="s">
        <v>108</v>
      </c>
      <c r="U54" s="199" t="s">
        <v>383</v>
      </c>
      <c r="W54" s="143">
        <v>42368</v>
      </c>
      <c r="X54" s="12">
        <v>28.5</v>
      </c>
      <c r="Y54" s="12">
        <v>28.9</v>
      </c>
      <c r="Z54" s="12">
        <v>28.47</v>
      </c>
      <c r="AA54" s="12">
        <v>28.66</v>
      </c>
      <c r="AB54" s="105">
        <v>457700</v>
      </c>
      <c r="AC54" s="12">
        <v>28.42</v>
      </c>
      <c r="AD54" s="2">
        <f t="shared" si="1"/>
        <v>0.42999999999999972</v>
      </c>
      <c r="AE54" s="148">
        <f t="shared" si="2"/>
        <v>1.7624250969334732E-3</v>
      </c>
    </row>
    <row r="55" spans="15:31" x14ac:dyDescent="0.25">
      <c r="O55" s="93">
        <v>1.01</v>
      </c>
      <c r="P55" s="93">
        <f t="shared" si="5"/>
        <v>31.6938</v>
      </c>
      <c r="Q55" s="2"/>
      <c r="T55" s="199" t="s">
        <v>109</v>
      </c>
      <c r="U55" s="199" t="s">
        <v>266</v>
      </c>
      <c r="W55" s="143">
        <v>42367</v>
      </c>
      <c r="X55" s="12">
        <v>28.66</v>
      </c>
      <c r="Y55" s="12">
        <v>28.85</v>
      </c>
      <c r="Z55" s="12">
        <v>28.27</v>
      </c>
      <c r="AA55" s="12">
        <v>28.61</v>
      </c>
      <c r="AB55" s="105">
        <v>493600</v>
      </c>
      <c r="AC55" s="12">
        <v>28.37</v>
      </c>
      <c r="AD55" s="2">
        <f t="shared" si="1"/>
        <v>0.58000000000000185</v>
      </c>
      <c r="AE55" s="148">
        <f t="shared" si="2"/>
        <v>5.6717476072314366E-3</v>
      </c>
    </row>
    <row r="56" spans="15:31" x14ac:dyDescent="0.25">
      <c r="O56" s="93">
        <v>1</v>
      </c>
      <c r="P56" s="93">
        <f t="shared" si="5"/>
        <v>31.38</v>
      </c>
      <c r="Q56" s="2"/>
      <c r="T56" s="199" t="s">
        <v>110</v>
      </c>
      <c r="U56" s="200">
        <v>731843</v>
      </c>
      <c r="W56" s="143">
        <v>42366</v>
      </c>
      <c r="X56" s="12">
        <v>28.81</v>
      </c>
      <c r="Y56" s="12">
        <v>28.94</v>
      </c>
      <c r="Z56" s="12">
        <v>28.29</v>
      </c>
      <c r="AA56" s="12">
        <v>28.45</v>
      </c>
      <c r="AB56" s="105">
        <v>486700</v>
      </c>
      <c r="AC56" s="12">
        <v>28.21</v>
      </c>
      <c r="AD56" s="2">
        <f t="shared" si="1"/>
        <v>0.65000000000000213</v>
      </c>
      <c r="AE56" s="148">
        <f t="shared" si="2"/>
        <v>-1.8441196938065341E-2</v>
      </c>
    </row>
    <row r="57" spans="15:31" x14ac:dyDescent="0.25">
      <c r="O57" s="93">
        <v>0.99</v>
      </c>
      <c r="P57" s="93">
        <f t="shared" si="5"/>
        <v>31.066199999999998</v>
      </c>
      <c r="Q57" s="2"/>
      <c r="T57" s="199" t="s">
        <v>113</v>
      </c>
      <c r="U57" s="200">
        <v>971192</v>
      </c>
      <c r="W57" s="143">
        <v>42362</v>
      </c>
      <c r="X57" s="12">
        <v>28.77</v>
      </c>
      <c r="Y57" s="12">
        <v>29.19</v>
      </c>
      <c r="Z57" s="12">
        <v>28.77</v>
      </c>
      <c r="AA57" s="12">
        <v>28.98</v>
      </c>
      <c r="AB57" s="105">
        <v>248200</v>
      </c>
      <c r="AC57" s="12">
        <v>28.74</v>
      </c>
      <c r="AD57" s="2">
        <f t="shared" si="1"/>
        <v>0.42000000000000171</v>
      </c>
      <c r="AE57" s="148">
        <f t="shared" si="2"/>
        <v>4.895104895104696E-3</v>
      </c>
    </row>
    <row r="58" spans="15:31" x14ac:dyDescent="0.25">
      <c r="O58" s="93">
        <v>0.98</v>
      </c>
      <c r="P58" s="93">
        <f t="shared" si="5"/>
        <v>30.752399999999998</v>
      </c>
      <c r="Q58" s="2"/>
      <c r="T58" s="199" t="s">
        <v>111</v>
      </c>
      <c r="U58" s="199" t="s">
        <v>384</v>
      </c>
      <c r="W58" s="143">
        <v>42361</v>
      </c>
      <c r="X58" s="12">
        <v>28.09</v>
      </c>
      <c r="Y58" s="12">
        <v>28.89</v>
      </c>
      <c r="Z58" s="12">
        <v>28.09</v>
      </c>
      <c r="AA58" s="12">
        <v>28.84</v>
      </c>
      <c r="AB58" s="105">
        <v>957600</v>
      </c>
      <c r="AC58" s="12">
        <v>28.6</v>
      </c>
      <c r="AD58" s="2">
        <f t="shared" si="1"/>
        <v>0.80000000000000071</v>
      </c>
      <c r="AE58" s="148">
        <f t="shared" si="2"/>
        <v>3.3984092552422407E-2</v>
      </c>
    </row>
    <row r="59" spans="15:31" x14ac:dyDescent="0.25">
      <c r="O59" s="93">
        <v>0.97</v>
      </c>
      <c r="P59" s="93">
        <f t="shared" si="5"/>
        <v>30.438599999999997</v>
      </c>
      <c r="T59" s="199" t="s">
        <v>114</v>
      </c>
      <c r="U59" s="199" t="s">
        <v>134</v>
      </c>
      <c r="W59" s="143">
        <v>42360</v>
      </c>
      <c r="X59" s="12">
        <v>27.45</v>
      </c>
      <c r="Y59" s="12">
        <v>28.2</v>
      </c>
      <c r="Z59" s="12">
        <v>27.42</v>
      </c>
      <c r="AA59" s="12">
        <v>27.9</v>
      </c>
      <c r="AB59" s="105">
        <v>810500</v>
      </c>
      <c r="AC59" s="12">
        <v>27.66</v>
      </c>
      <c r="AD59" s="2">
        <f t="shared" si="1"/>
        <v>0.77999999999999758</v>
      </c>
      <c r="AE59" s="148">
        <f t="shared" si="2"/>
        <v>1.915991156963881E-2</v>
      </c>
    </row>
    <row r="60" spans="15:31" x14ac:dyDescent="0.25">
      <c r="O60" s="93">
        <v>0.96</v>
      </c>
      <c r="P60" s="93">
        <f t="shared" si="5"/>
        <v>30.124799999999997</v>
      </c>
      <c r="T60" s="199" t="s">
        <v>115</v>
      </c>
      <c r="U60" s="199">
        <v>-0.84</v>
      </c>
      <c r="W60" s="143">
        <v>42359</v>
      </c>
      <c r="X60" s="12">
        <v>27.25</v>
      </c>
      <c r="Y60" s="12">
        <v>27.49</v>
      </c>
      <c r="Z60" s="12">
        <v>27.06</v>
      </c>
      <c r="AA60" s="12">
        <v>27.37</v>
      </c>
      <c r="AB60" s="105">
        <v>572900</v>
      </c>
      <c r="AC60" s="12">
        <v>27.14</v>
      </c>
      <c r="AD60" s="2">
        <f t="shared" si="1"/>
        <v>0.42999999999999972</v>
      </c>
      <c r="AE60" s="148">
        <f t="shared" si="2"/>
        <v>1.0800744878957103E-2</v>
      </c>
    </row>
    <row r="61" spans="15:31" x14ac:dyDescent="0.25">
      <c r="O61" s="93">
        <v>0.95</v>
      </c>
      <c r="P61" s="93">
        <f t="shared" si="5"/>
        <v>29.810999999999996</v>
      </c>
      <c r="T61" s="199" t="s">
        <v>112</v>
      </c>
      <c r="U61" s="199" t="s">
        <v>385</v>
      </c>
      <c r="W61" s="143">
        <v>42356</v>
      </c>
      <c r="X61" s="12">
        <v>27.19</v>
      </c>
      <c r="Y61" s="12">
        <v>27.41</v>
      </c>
      <c r="Z61" s="12">
        <v>26.94</v>
      </c>
      <c r="AA61" s="12">
        <v>27.08</v>
      </c>
      <c r="AB61" s="105">
        <v>1035800</v>
      </c>
      <c r="AC61" s="12">
        <v>26.85</v>
      </c>
      <c r="AD61" s="2">
        <f t="shared" si="1"/>
        <v>0.46999999999999886</v>
      </c>
      <c r="AE61" s="148">
        <f t="shared" si="2"/>
        <v>-6.6592674805771024E-3</v>
      </c>
    </row>
    <row r="62" spans="15:31" x14ac:dyDescent="0.25">
      <c r="O62" s="93">
        <v>0.94</v>
      </c>
      <c r="P62" s="93">
        <f t="shared" si="5"/>
        <v>29.497199999999996</v>
      </c>
      <c r="W62" s="143">
        <v>42355</v>
      </c>
      <c r="X62" s="12">
        <v>28.1</v>
      </c>
      <c r="Y62" s="12">
        <v>28.12</v>
      </c>
      <c r="Z62" s="12">
        <v>27.25</v>
      </c>
      <c r="AA62" s="12">
        <v>27.26</v>
      </c>
      <c r="AB62" s="105">
        <v>928700</v>
      </c>
      <c r="AC62" s="12">
        <v>27.03</v>
      </c>
      <c r="AD62" s="2">
        <f t="shared" si="1"/>
        <v>0.87000000000000099</v>
      </c>
      <c r="AE62" s="148">
        <f t="shared" si="2"/>
        <v>-2.7347966894566311E-2</v>
      </c>
    </row>
    <row r="63" spans="15:31" x14ac:dyDescent="0.25">
      <c r="O63" s="93">
        <v>0.93</v>
      </c>
      <c r="P63" s="93">
        <f t="shared" si="5"/>
        <v>29.183399999999999</v>
      </c>
      <c r="W63" s="143">
        <v>42354</v>
      </c>
      <c r="X63" s="12">
        <v>28.14</v>
      </c>
      <c r="Y63" s="12">
        <v>28.57</v>
      </c>
      <c r="Z63" s="12">
        <v>27.75</v>
      </c>
      <c r="AA63" s="12">
        <v>28.03</v>
      </c>
      <c r="AB63" s="105">
        <v>889500</v>
      </c>
      <c r="AC63" s="12">
        <v>27.79</v>
      </c>
      <c r="AD63" s="2">
        <f t="shared" si="1"/>
        <v>0.82000000000000028</v>
      </c>
      <c r="AE63" s="148">
        <f t="shared" si="2"/>
        <v>2.887044388307336E-3</v>
      </c>
    </row>
    <row r="64" spans="15:31" x14ac:dyDescent="0.25">
      <c r="O64" s="93">
        <v>0.92</v>
      </c>
      <c r="P64" s="93">
        <f t="shared" si="5"/>
        <v>28.869600000000002</v>
      </c>
      <c r="W64" s="143">
        <v>42353</v>
      </c>
      <c r="X64" s="12">
        <v>28.58</v>
      </c>
      <c r="Y64" s="12">
        <v>28.58</v>
      </c>
      <c r="Z64" s="12">
        <v>27.75</v>
      </c>
      <c r="AA64" s="12">
        <v>27.95</v>
      </c>
      <c r="AB64" s="105">
        <v>1002000</v>
      </c>
      <c r="AC64" s="12">
        <v>27.71</v>
      </c>
      <c r="AD64" s="2">
        <f t="shared" si="1"/>
        <v>0.82999999999999829</v>
      </c>
      <c r="AE64" s="148">
        <f t="shared" si="2"/>
        <v>-1.9115044247787538E-2</v>
      </c>
    </row>
    <row r="65" spans="15:31" x14ac:dyDescent="0.25">
      <c r="O65" s="93">
        <v>0.91</v>
      </c>
      <c r="P65" s="93">
        <f t="shared" si="5"/>
        <v>28.555800000000001</v>
      </c>
      <c r="W65" s="143">
        <v>42352</v>
      </c>
      <c r="X65" s="12">
        <v>28.77</v>
      </c>
      <c r="Y65" s="12">
        <v>28.89</v>
      </c>
      <c r="Z65" s="12">
        <v>28.17</v>
      </c>
      <c r="AA65" s="12">
        <v>28.49</v>
      </c>
      <c r="AB65" s="105">
        <v>997700</v>
      </c>
      <c r="AC65" s="12">
        <v>28.25</v>
      </c>
      <c r="AD65" s="2">
        <f t="shared" si="1"/>
        <v>0.71999999999999886</v>
      </c>
      <c r="AE65" s="148">
        <f t="shared" si="2"/>
        <v>-1.0507880910682998E-2</v>
      </c>
    </row>
    <row r="66" spans="15:31" x14ac:dyDescent="0.25">
      <c r="O66" s="93">
        <v>0.9</v>
      </c>
      <c r="P66" s="93">
        <f t="shared" si="5"/>
        <v>28.242000000000001</v>
      </c>
      <c r="W66" s="143">
        <v>42349</v>
      </c>
      <c r="X66" s="12">
        <v>29.05</v>
      </c>
      <c r="Y66" s="12">
        <v>29.17</v>
      </c>
      <c r="Z66" s="12">
        <v>28.76</v>
      </c>
      <c r="AA66" s="12">
        <v>28.79</v>
      </c>
      <c r="AB66" s="105">
        <v>467000</v>
      </c>
      <c r="AC66" s="12">
        <v>28.55</v>
      </c>
      <c r="AD66" s="2">
        <f t="shared" si="1"/>
        <v>0.41000000000000014</v>
      </c>
      <c r="AE66" s="148">
        <f t="shared" si="2"/>
        <v>-2.3597811217510145E-2</v>
      </c>
    </row>
    <row r="67" spans="15:31" x14ac:dyDescent="0.25">
      <c r="W67" s="143">
        <v>42348</v>
      </c>
      <c r="X67" s="12">
        <v>29.67</v>
      </c>
      <c r="Y67" s="12">
        <v>29.97</v>
      </c>
      <c r="Z67" s="12">
        <v>29.41</v>
      </c>
      <c r="AA67" s="12">
        <v>29.49</v>
      </c>
      <c r="AB67" s="105">
        <v>730000</v>
      </c>
      <c r="AC67" s="12">
        <v>29.24</v>
      </c>
      <c r="AD67" s="2">
        <f t="shared" ref="AD67:AD68" si="6">Y67-Z67</f>
        <v>0.55999999999999872</v>
      </c>
      <c r="AE67" s="148">
        <f t="shared" ref="AE67" si="7">AC67/AC68-1</f>
        <v>-7.1307300509337868E-3</v>
      </c>
    </row>
    <row r="68" spans="15:31" x14ac:dyDescent="0.25">
      <c r="W68" s="143">
        <v>42347</v>
      </c>
      <c r="X68" s="12">
        <v>29.56</v>
      </c>
      <c r="Y68" s="12">
        <v>30.29</v>
      </c>
      <c r="Z68" s="12">
        <v>29.45</v>
      </c>
      <c r="AA68" s="12">
        <v>29.7</v>
      </c>
      <c r="AB68" s="105">
        <v>556600</v>
      </c>
      <c r="AC68" s="12">
        <v>29.45</v>
      </c>
      <c r="AD68" s="2">
        <f t="shared" si="6"/>
        <v>0.83999999999999986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42444</v>
      </c>
      <c r="X2" s="12">
        <v>96.06</v>
      </c>
      <c r="Y2" s="12">
        <v>96.7</v>
      </c>
      <c r="Z2" s="12">
        <v>95.88</v>
      </c>
      <c r="AA2" s="12">
        <v>96.29</v>
      </c>
      <c r="AB2" s="105">
        <v>2750100</v>
      </c>
      <c r="AC2" s="12">
        <v>96.29</v>
      </c>
      <c r="AD2" s="2">
        <f>Y2-Z2</f>
        <v>0.82000000000000739</v>
      </c>
      <c r="AE2" s="148">
        <f>AC2/AC3-1</f>
        <v>-5.5767840545284386E-3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97.49</v>
      </c>
      <c r="W3" s="143">
        <v>42443</v>
      </c>
      <c r="X3" s="12">
        <v>96.3</v>
      </c>
      <c r="Y3" s="12">
        <v>97.37</v>
      </c>
      <c r="Z3" s="12">
        <v>96.29</v>
      </c>
      <c r="AA3" s="12">
        <v>96.83</v>
      </c>
      <c r="AB3" s="105">
        <v>3972100</v>
      </c>
      <c r="AC3" s="12">
        <v>96.83</v>
      </c>
      <c r="AD3" s="2">
        <f t="shared" ref="AD3:AD66" si="0">Y3-Z3</f>
        <v>1.0799999999999983</v>
      </c>
      <c r="AE3" s="148">
        <f t="shared" ref="AE3:AE66" si="1">AC3/AC4-1</f>
        <v>8.268733850129717E-4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97.49</v>
      </c>
      <c r="W4" s="143">
        <v>42440</v>
      </c>
      <c r="X4" s="12">
        <v>97.18</v>
      </c>
      <c r="Y4" s="12">
        <v>97.65</v>
      </c>
      <c r="Z4" s="12">
        <v>96.47</v>
      </c>
      <c r="AA4" s="12">
        <v>96.75</v>
      </c>
      <c r="AB4" s="105">
        <v>4027800</v>
      </c>
      <c r="AC4" s="12">
        <v>96.75</v>
      </c>
      <c r="AD4" s="2">
        <f t="shared" si="0"/>
        <v>1.1800000000000068</v>
      </c>
      <c r="AE4" s="148">
        <f t="shared" si="1"/>
        <v>5.926388022457818E-3</v>
      </c>
    </row>
    <row r="5" spans="1:31" x14ac:dyDescent="0.25">
      <c r="O5" s="13" t="s">
        <v>67</v>
      </c>
      <c r="Q5" s="3">
        <f>Q4*Q2</f>
        <v>0</v>
      </c>
      <c r="W5" s="143">
        <v>42439</v>
      </c>
      <c r="X5" s="12">
        <v>96.6</v>
      </c>
      <c r="Y5" s="12">
        <v>97.12</v>
      </c>
      <c r="Z5" s="12">
        <v>95.05</v>
      </c>
      <c r="AA5" s="12">
        <v>96.18</v>
      </c>
      <c r="AB5" s="105">
        <v>4798300</v>
      </c>
      <c r="AC5" s="12">
        <v>96.18</v>
      </c>
      <c r="AD5" s="2">
        <f t="shared" si="0"/>
        <v>2.0700000000000074</v>
      </c>
      <c r="AE5" s="148">
        <f t="shared" si="1"/>
        <v>-4.3478260869563856E-3</v>
      </c>
    </row>
    <row r="6" spans="1:31" x14ac:dyDescent="0.25">
      <c r="O6" s="13" t="s">
        <v>64</v>
      </c>
      <c r="Q6" s="2">
        <f>Q3*Q2</f>
        <v>0</v>
      </c>
      <c r="W6" s="143">
        <v>42438</v>
      </c>
      <c r="X6" s="12">
        <v>97.32</v>
      </c>
      <c r="Y6" s="12">
        <v>97.48</v>
      </c>
      <c r="Z6" s="12">
        <v>96.4</v>
      </c>
      <c r="AA6" s="12">
        <v>96.6</v>
      </c>
      <c r="AB6" s="105">
        <v>4158900</v>
      </c>
      <c r="AC6" s="12">
        <v>96.6</v>
      </c>
      <c r="AD6" s="2">
        <f t="shared" si="0"/>
        <v>1.0799999999999983</v>
      </c>
      <c r="AE6" s="148">
        <f t="shared" si="1"/>
        <v>-3.0959752321982892E-3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42437</v>
      </c>
      <c r="X7" s="12">
        <v>96.14</v>
      </c>
      <c r="Y7" s="12">
        <v>97.49</v>
      </c>
      <c r="Z7" s="12">
        <v>96.13</v>
      </c>
      <c r="AA7" s="12">
        <v>96.9</v>
      </c>
      <c r="AB7" s="105">
        <v>5341900</v>
      </c>
      <c r="AC7" s="12">
        <v>96.9</v>
      </c>
      <c r="AD7" s="2">
        <f t="shared" si="0"/>
        <v>1.3599999999999994</v>
      </c>
      <c r="AE7" s="148">
        <f t="shared" si="1"/>
        <v>-2.0635575732563805E-4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42436</v>
      </c>
      <c r="X8" s="12">
        <v>96.55</v>
      </c>
      <c r="Y8" s="12">
        <v>97.46</v>
      </c>
      <c r="Z8" s="12">
        <v>96.05</v>
      </c>
      <c r="AA8" s="12">
        <v>96.92</v>
      </c>
      <c r="AB8" s="105">
        <v>6296100</v>
      </c>
      <c r="AC8" s="12">
        <v>96.92</v>
      </c>
      <c r="AD8" s="2">
        <f t="shared" si="0"/>
        <v>1.4099999999999966</v>
      </c>
      <c r="AE8" s="148">
        <f t="shared" si="1"/>
        <v>-8.2474226804118977E-4</v>
      </c>
    </row>
    <row r="9" spans="1:31" x14ac:dyDescent="0.25">
      <c r="W9" s="143">
        <v>42433</v>
      </c>
      <c r="X9" s="12">
        <v>96.17</v>
      </c>
      <c r="Y9" s="12">
        <v>97.3</v>
      </c>
      <c r="Z9" s="12">
        <v>95.78</v>
      </c>
      <c r="AA9" s="12">
        <v>97</v>
      </c>
      <c r="AB9" s="105">
        <v>4620600</v>
      </c>
      <c r="AC9" s="12">
        <v>97</v>
      </c>
      <c r="AD9" s="2">
        <f t="shared" si="0"/>
        <v>1.519999999999996</v>
      </c>
      <c r="AE9" s="148">
        <f t="shared" si="1"/>
        <v>9.2602226615337013E-3</v>
      </c>
    </row>
    <row r="10" spans="1:31" x14ac:dyDescent="0.25">
      <c r="W10" s="143">
        <v>42432</v>
      </c>
      <c r="X10" s="12">
        <v>95.2</v>
      </c>
      <c r="Y10" s="12">
        <v>96.15</v>
      </c>
      <c r="Z10" s="12">
        <v>95.07</v>
      </c>
      <c r="AA10" s="12">
        <v>96.11</v>
      </c>
      <c r="AB10" s="105">
        <v>4590100</v>
      </c>
      <c r="AC10" s="12">
        <v>96.11</v>
      </c>
      <c r="AD10" s="2">
        <f t="shared" si="0"/>
        <v>1.0800000000000125</v>
      </c>
      <c r="AE10" s="148">
        <f t="shared" si="1"/>
        <v>6.0713911860148517E-3</v>
      </c>
    </row>
    <row r="11" spans="1:31" x14ac:dyDescent="0.25">
      <c r="W11" s="143">
        <v>42431</v>
      </c>
      <c r="X11" s="12">
        <v>94.76</v>
      </c>
      <c r="Y11" s="12">
        <v>96</v>
      </c>
      <c r="Z11" s="12">
        <v>94.4</v>
      </c>
      <c r="AA11" s="12">
        <v>95.53</v>
      </c>
      <c r="AB11" s="105">
        <v>5419000</v>
      </c>
      <c r="AC11" s="12">
        <v>95.53</v>
      </c>
      <c r="AD11" s="2">
        <f t="shared" si="0"/>
        <v>1.5999999999999943</v>
      </c>
      <c r="AE11" s="148">
        <f t="shared" si="1"/>
        <v>5.0499736980536003E-3</v>
      </c>
    </row>
    <row r="12" spans="1:31" x14ac:dyDescent="0.25">
      <c r="W12" s="143">
        <v>42430</v>
      </c>
      <c r="X12" s="12">
        <v>92.22</v>
      </c>
      <c r="Y12" s="12">
        <v>95.05</v>
      </c>
      <c r="Z12" s="12">
        <v>92.07</v>
      </c>
      <c r="AA12" s="12">
        <v>95.05</v>
      </c>
      <c r="AB12" s="105">
        <v>12339800</v>
      </c>
      <c r="AC12" s="12">
        <v>95.05</v>
      </c>
      <c r="AD12" s="2">
        <f t="shared" si="0"/>
        <v>2.980000000000004</v>
      </c>
      <c r="AE12" s="148">
        <f t="shared" si="1"/>
        <v>-1.6249223763196152E-2</v>
      </c>
    </row>
    <row r="13" spans="1:31" x14ac:dyDescent="0.25">
      <c r="W13" s="143">
        <v>42429</v>
      </c>
      <c r="X13" s="12">
        <v>97.43</v>
      </c>
      <c r="Y13" s="12">
        <v>98.87</v>
      </c>
      <c r="Z13" s="12">
        <v>96.51</v>
      </c>
      <c r="AA13" s="12">
        <v>96.62</v>
      </c>
      <c r="AB13" s="105">
        <v>7911400</v>
      </c>
      <c r="AC13" s="12">
        <v>96.62</v>
      </c>
      <c r="AD13" s="2">
        <f t="shared" si="0"/>
        <v>2.3599999999999994</v>
      </c>
      <c r="AE13" s="148">
        <f t="shared" si="1"/>
        <v>-1.0953014638141023E-2</v>
      </c>
    </row>
    <row r="14" spans="1:31" x14ac:dyDescent="0.25">
      <c r="W14" s="143">
        <v>42426</v>
      </c>
      <c r="X14" s="12">
        <v>100.21</v>
      </c>
      <c r="Y14" s="12">
        <v>100.55</v>
      </c>
      <c r="Z14" s="12">
        <v>96.5</v>
      </c>
      <c r="AA14" s="12">
        <v>97.69</v>
      </c>
      <c r="AB14" s="105">
        <v>14653100</v>
      </c>
      <c r="AC14" s="12">
        <v>97.69</v>
      </c>
      <c r="AD14" s="2">
        <f t="shared" si="0"/>
        <v>4.0499999999999972</v>
      </c>
      <c r="AE14" s="148">
        <f t="shared" si="1"/>
        <v>-3.8747833180381441E-3</v>
      </c>
    </row>
    <row r="15" spans="1:31" x14ac:dyDescent="0.25">
      <c r="W15" s="143">
        <v>42425</v>
      </c>
      <c r="X15" s="12">
        <v>93.91</v>
      </c>
      <c r="Y15" s="12">
        <v>98.73</v>
      </c>
      <c r="Z15" s="12">
        <v>93.68</v>
      </c>
      <c r="AA15" s="12">
        <v>98.07</v>
      </c>
      <c r="AB15" s="105">
        <v>16832200</v>
      </c>
      <c r="AC15" s="12">
        <v>98.07</v>
      </c>
      <c r="AD15" s="2">
        <f t="shared" si="0"/>
        <v>5.0499999999999972</v>
      </c>
      <c r="AE15" s="148">
        <f t="shared" si="1"/>
        <v>4.7644482427090962E-2</v>
      </c>
    </row>
    <row r="16" spans="1:31" x14ac:dyDescent="0.25">
      <c r="W16" s="143">
        <v>42424</v>
      </c>
      <c r="X16" s="12">
        <v>91.11</v>
      </c>
      <c r="Y16" s="12">
        <v>94.15</v>
      </c>
      <c r="Z16" s="12">
        <v>91.11</v>
      </c>
      <c r="AA16" s="12">
        <v>93.61</v>
      </c>
      <c r="AB16" s="105">
        <v>16975100</v>
      </c>
      <c r="AC16" s="12">
        <v>93.61</v>
      </c>
      <c r="AD16" s="2">
        <f t="shared" si="0"/>
        <v>3.0400000000000063</v>
      </c>
      <c r="AE16" s="148">
        <f t="shared" si="1"/>
        <v>2.194323144104815E-2</v>
      </c>
    </row>
    <row r="17" spans="9:31" x14ac:dyDescent="0.25">
      <c r="W17" s="143">
        <v>42423</v>
      </c>
      <c r="X17" s="12">
        <v>92.23</v>
      </c>
      <c r="Y17" s="12">
        <v>92.43</v>
      </c>
      <c r="Z17" s="12">
        <v>90.49</v>
      </c>
      <c r="AA17" s="12">
        <v>91.6</v>
      </c>
      <c r="AB17" s="105">
        <v>11538700</v>
      </c>
      <c r="AC17" s="12">
        <v>91.6</v>
      </c>
      <c r="AD17" s="2">
        <f t="shared" si="0"/>
        <v>1.9400000000000119</v>
      </c>
      <c r="AE17" s="148">
        <f t="shared" si="1"/>
        <v>-8.3360398397749336E-3</v>
      </c>
    </row>
    <row r="18" spans="9:31" x14ac:dyDescent="0.25">
      <c r="W18" s="143">
        <v>42422</v>
      </c>
      <c r="X18" s="12">
        <v>89.19</v>
      </c>
      <c r="Y18" s="12">
        <v>94.91</v>
      </c>
      <c r="Z18" s="12">
        <v>88.87</v>
      </c>
      <c r="AA18" s="12">
        <v>92.37</v>
      </c>
      <c r="AB18" s="105">
        <v>21599700</v>
      </c>
      <c r="AC18" s="12">
        <v>92.37</v>
      </c>
      <c r="AD18" s="2">
        <f t="shared" si="0"/>
        <v>6.039999999999992</v>
      </c>
      <c r="AE18" s="148">
        <f t="shared" si="1"/>
        <v>4.6922815368922066E-2</v>
      </c>
    </row>
    <row r="19" spans="9:31" x14ac:dyDescent="0.25">
      <c r="I19" s="2"/>
      <c r="W19" s="143">
        <v>42419</v>
      </c>
      <c r="X19" s="12">
        <v>88.35</v>
      </c>
      <c r="Y19" s="12">
        <v>88.99</v>
      </c>
      <c r="Z19" s="12">
        <v>87.42</v>
      </c>
      <c r="AA19" s="12">
        <v>88.23</v>
      </c>
      <c r="AB19" s="105">
        <v>10641700</v>
      </c>
      <c r="AC19" s="12">
        <v>88.23</v>
      </c>
      <c r="AD19" s="2">
        <f t="shared" si="0"/>
        <v>1.5699999999999932</v>
      </c>
      <c r="AE19" s="148">
        <f t="shared" si="1"/>
        <v>-1.4712539610682862E-3</v>
      </c>
    </row>
    <row r="20" spans="9:31" x14ac:dyDescent="0.25">
      <c r="W20" s="143">
        <v>42418</v>
      </c>
      <c r="X20" s="12">
        <v>88.55</v>
      </c>
      <c r="Y20" s="12">
        <v>89.04</v>
      </c>
      <c r="Z20" s="12">
        <v>88.16</v>
      </c>
      <c r="AA20" s="12">
        <v>88.36</v>
      </c>
      <c r="AB20" s="105">
        <v>4997700</v>
      </c>
      <c r="AC20" s="12">
        <v>88.36</v>
      </c>
      <c r="AD20" s="2">
        <f t="shared" si="0"/>
        <v>0.88000000000000966</v>
      </c>
      <c r="AE20" s="148">
        <f t="shared" si="1"/>
        <v>2.7235587834770758E-3</v>
      </c>
    </row>
    <row r="21" spans="9:31" x14ac:dyDescent="0.25">
      <c r="W21" s="143">
        <v>42417</v>
      </c>
      <c r="X21" s="12">
        <v>86.71</v>
      </c>
      <c r="Y21" s="12">
        <v>88.49</v>
      </c>
      <c r="Z21" s="12">
        <v>86.64</v>
      </c>
      <c r="AA21" s="12">
        <v>88.12</v>
      </c>
      <c r="AB21" s="105">
        <v>5141100</v>
      </c>
      <c r="AC21" s="12">
        <v>88.12</v>
      </c>
      <c r="AD21" s="2">
        <f t="shared" si="0"/>
        <v>1.8499999999999943</v>
      </c>
      <c r="AE21" s="148" t="e">
        <f t="shared" si="1"/>
        <v>#DIV/0!</v>
      </c>
    </row>
    <row r="22" spans="9:31" x14ac:dyDescent="0.25">
      <c r="W22" s="143">
        <v>42417</v>
      </c>
      <c r="X22" s="12" t="s">
        <v>156</v>
      </c>
      <c r="Y22" s="12"/>
      <c r="Z22" s="12"/>
      <c r="AA22" s="12"/>
      <c r="AB22" s="105"/>
      <c r="AC22" s="12"/>
      <c r="AD22" s="2">
        <f t="shared" si="0"/>
        <v>0</v>
      </c>
      <c r="AE22" s="148">
        <f t="shared" si="1"/>
        <v>-1</v>
      </c>
    </row>
    <row r="23" spans="9:31" x14ac:dyDescent="0.25">
      <c r="W23" s="143">
        <v>42416</v>
      </c>
      <c r="X23" s="12">
        <v>87.34</v>
      </c>
      <c r="Y23" s="12">
        <v>87.5</v>
      </c>
      <c r="Z23" s="12">
        <v>85.56</v>
      </c>
      <c r="AA23" s="12">
        <v>86.48</v>
      </c>
      <c r="AB23" s="105">
        <v>6960400</v>
      </c>
      <c r="AC23" s="12">
        <v>85.84</v>
      </c>
      <c r="AD23" s="2">
        <f t="shared" si="0"/>
        <v>1.9399999999999977</v>
      </c>
      <c r="AE23" s="148">
        <f t="shared" si="1"/>
        <v>6.2126362677294988E-3</v>
      </c>
    </row>
    <row r="24" spans="9:31" x14ac:dyDescent="0.25">
      <c r="W24" s="143">
        <v>42412</v>
      </c>
      <c r="X24" s="12">
        <v>84.99</v>
      </c>
      <c r="Y24" s="12">
        <v>86.13</v>
      </c>
      <c r="Z24" s="12">
        <v>84.9</v>
      </c>
      <c r="AA24" s="12">
        <v>85.95</v>
      </c>
      <c r="AB24" s="105">
        <v>5886300</v>
      </c>
      <c r="AC24" s="12">
        <v>85.31</v>
      </c>
      <c r="AD24" s="2">
        <f t="shared" si="0"/>
        <v>1.2299999999999898</v>
      </c>
      <c r="AE24" s="148">
        <f t="shared" si="1"/>
        <v>1.5232655004165263E-2</v>
      </c>
    </row>
    <row r="25" spans="9:31" x14ac:dyDescent="0.25">
      <c r="W25" s="143">
        <v>42411</v>
      </c>
      <c r="X25" s="12">
        <v>85.39</v>
      </c>
      <c r="Y25" s="12">
        <v>86.55</v>
      </c>
      <c r="Z25" s="12">
        <v>83.85</v>
      </c>
      <c r="AA25" s="12">
        <v>84.66</v>
      </c>
      <c r="AB25" s="105">
        <v>7711800</v>
      </c>
      <c r="AC25" s="12">
        <v>84.03</v>
      </c>
      <c r="AD25" s="2">
        <f t="shared" si="0"/>
        <v>2.7000000000000028</v>
      </c>
      <c r="AE25" s="148">
        <f t="shared" si="1"/>
        <v>-2.6529193697868325E-2</v>
      </c>
    </row>
    <row r="26" spans="9:31" x14ac:dyDescent="0.25">
      <c r="W26" s="143">
        <v>42410</v>
      </c>
      <c r="X26" s="12">
        <v>87.36</v>
      </c>
      <c r="Y26" s="12">
        <v>88.45</v>
      </c>
      <c r="Z26" s="12">
        <v>86.74</v>
      </c>
      <c r="AA26" s="12">
        <v>86.96</v>
      </c>
      <c r="AB26" s="105">
        <v>3618800</v>
      </c>
      <c r="AC26" s="12">
        <v>86.32</v>
      </c>
      <c r="AD26" s="2">
        <f t="shared" si="0"/>
        <v>1.710000000000008</v>
      </c>
      <c r="AE26" s="148">
        <f t="shared" si="1"/>
        <v>-3.1181429726298004E-3</v>
      </c>
    </row>
    <row r="27" spans="9:31" x14ac:dyDescent="0.25">
      <c r="W27" s="143">
        <v>42409</v>
      </c>
      <c r="X27" s="12">
        <v>86.26</v>
      </c>
      <c r="Y27" s="12">
        <v>87.77</v>
      </c>
      <c r="Z27" s="12">
        <v>85.93</v>
      </c>
      <c r="AA27" s="12">
        <v>87.24</v>
      </c>
      <c r="AB27" s="105">
        <v>7360900</v>
      </c>
      <c r="AC27" s="12">
        <v>86.59</v>
      </c>
      <c r="AD27" s="2">
        <f t="shared" si="0"/>
        <v>1.8399999999999892</v>
      </c>
      <c r="AE27" s="148">
        <f t="shared" si="1"/>
        <v>5.224053865799938E-3</v>
      </c>
    </row>
    <row r="28" spans="9:31" x14ac:dyDescent="0.25">
      <c r="W28" s="143">
        <v>42408</v>
      </c>
      <c r="X28" s="12">
        <v>87.34</v>
      </c>
      <c r="Y28" s="12">
        <v>87.4</v>
      </c>
      <c r="Z28" s="12">
        <v>85.82</v>
      </c>
      <c r="AA28" s="12">
        <v>86.78</v>
      </c>
      <c r="AB28" s="105">
        <v>6858400</v>
      </c>
      <c r="AC28" s="12">
        <v>86.14</v>
      </c>
      <c r="AD28" s="2">
        <f t="shared" si="0"/>
        <v>1.5800000000000125</v>
      </c>
      <c r="AE28" s="148">
        <f t="shared" si="1"/>
        <v>-1.2042665443284695E-2</v>
      </c>
    </row>
    <row r="29" spans="9:31" x14ac:dyDescent="0.25">
      <c r="W29" s="143">
        <v>42405</v>
      </c>
      <c r="X29" s="12">
        <v>88.04</v>
      </c>
      <c r="Y29" s="12">
        <v>88.51</v>
      </c>
      <c r="Z29" s="12">
        <v>87.44</v>
      </c>
      <c r="AA29" s="12">
        <v>87.84</v>
      </c>
      <c r="AB29" s="105">
        <v>5216800</v>
      </c>
      <c r="AC29" s="12">
        <v>87.19</v>
      </c>
      <c r="AD29" s="2">
        <f t="shared" si="0"/>
        <v>1.0700000000000074</v>
      </c>
      <c r="AE29" s="148">
        <f t="shared" si="1"/>
        <v>-3.2010975191494317E-3</v>
      </c>
    </row>
    <row r="30" spans="9:31" x14ac:dyDescent="0.25">
      <c r="W30" s="143">
        <v>42404</v>
      </c>
      <c r="X30" s="12">
        <v>86.09</v>
      </c>
      <c r="Y30" s="12">
        <v>88.71</v>
      </c>
      <c r="Z30" s="12">
        <v>86.03</v>
      </c>
      <c r="AA30" s="12">
        <v>88.12</v>
      </c>
      <c r="AB30" s="105">
        <v>5921700</v>
      </c>
      <c r="AC30" s="12">
        <v>87.47</v>
      </c>
      <c r="AD30" s="2">
        <f t="shared" si="0"/>
        <v>2.6799999999999926</v>
      </c>
      <c r="AE30" s="148">
        <f t="shared" si="1"/>
        <v>2.5199249882794206E-2</v>
      </c>
    </row>
    <row r="31" spans="9:31" x14ac:dyDescent="0.25">
      <c r="W31" s="143">
        <v>42403</v>
      </c>
      <c r="X31" s="12">
        <v>85.99</v>
      </c>
      <c r="Y31" s="12">
        <v>86.37</v>
      </c>
      <c r="Z31" s="12">
        <v>84.29</v>
      </c>
      <c r="AA31" s="12">
        <v>85.96</v>
      </c>
      <c r="AB31" s="105">
        <v>8305500</v>
      </c>
      <c r="AC31" s="12">
        <v>85.32</v>
      </c>
      <c r="AD31" s="2">
        <f t="shared" si="0"/>
        <v>2.0799999999999983</v>
      </c>
      <c r="AE31" s="148">
        <f t="shared" si="1"/>
        <v>6.250737115225613E-3</v>
      </c>
    </row>
    <row r="32" spans="9:31" x14ac:dyDescent="0.25">
      <c r="W32" s="143">
        <v>42402</v>
      </c>
      <c r="X32" s="12">
        <v>86.17</v>
      </c>
      <c r="Y32" s="12">
        <v>86.73</v>
      </c>
      <c r="Z32" s="12">
        <v>85.08</v>
      </c>
      <c r="AA32" s="12">
        <v>85.42</v>
      </c>
      <c r="AB32" s="105">
        <v>7397700</v>
      </c>
      <c r="AC32" s="12">
        <v>84.79</v>
      </c>
      <c r="AD32" s="2">
        <f t="shared" si="0"/>
        <v>1.6500000000000057</v>
      </c>
      <c r="AE32" s="148">
        <f t="shared" si="1"/>
        <v>-2.4393050281900752E-2</v>
      </c>
    </row>
    <row r="33" spans="15:31" x14ac:dyDescent="0.25">
      <c r="W33" s="143">
        <v>42401</v>
      </c>
      <c r="X33" s="12">
        <v>87.06</v>
      </c>
      <c r="Y33" s="12">
        <v>87.84</v>
      </c>
      <c r="Z33" s="12">
        <v>86.45</v>
      </c>
      <c r="AA33" s="12">
        <v>87.56</v>
      </c>
      <c r="AB33" s="105">
        <v>5036900</v>
      </c>
      <c r="AC33" s="12">
        <v>86.91</v>
      </c>
      <c r="AD33" s="2">
        <f t="shared" si="0"/>
        <v>1.3900000000000006</v>
      </c>
      <c r="AE33" s="148">
        <f t="shared" si="1"/>
        <v>-1.4935661764706731E-3</v>
      </c>
    </row>
    <row r="34" spans="15:31" x14ac:dyDescent="0.25">
      <c r="W34" s="143">
        <v>42398</v>
      </c>
      <c r="X34" s="12">
        <v>86.87</v>
      </c>
      <c r="Y34" s="12">
        <v>87.69</v>
      </c>
      <c r="Z34" s="12">
        <v>86.76</v>
      </c>
      <c r="AA34" s="12">
        <v>87.69</v>
      </c>
      <c r="AB34" s="105">
        <v>7887500</v>
      </c>
      <c r="AC34" s="12">
        <v>87.04</v>
      </c>
      <c r="AD34" s="2">
        <f t="shared" si="0"/>
        <v>0.92999999999999261</v>
      </c>
      <c r="AE34" s="148">
        <f t="shared" si="1"/>
        <v>1.4333993707027259E-2</v>
      </c>
    </row>
    <row r="35" spans="15:31" x14ac:dyDescent="0.25">
      <c r="W35" s="143">
        <v>42397</v>
      </c>
      <c r="X35" s="12">
        <v>86.3</v>
      </c>
      <c r="Y35" s="12">
        <v>87.2</v>
      </c>
      <c r="Z35" s="12">
        <v>85.92</v>
      </c>
      <c r="AA35" s="12">
        <v>86.45</v>
      </c>
      <c r="AB35" s="105">
        <v>5757200</v>
      </c>
      <c r="AC35" s="12">
        <v>85.81</v>
      </c>
      <c r="AD35" s="2">
        <f t="shared" si="0"/>
        <v>1.2800000000000011</v>
      </c>
      <c r="AE35" s="148">
        <f t="shared" si="1"/>
        <v>7.5143829987085464E-3</v>
      </c>
    </row>
    <row r="36" spans="15:31" x14ac:dyDescent="0.25">
      <c r="W36" s="143">
        <v>42396</v>
      </c>
      <c r="X36" s="12">
        <v>85.7</v>
      </c>
      <c r="Y36" s="12">
        <v>87.57</v>
      </c>
      <c r="Z36" s="12">
        <v>84.75</v>
      </c>
      <c r="AA36" s="12">
        <v>85.81</v>
      </c>
      <c r="AB36" s="105">
        <v>8083900</v>
      </c>
      <c r="AC36" s="12">
        <v>85.17</v>
      </c>
      <c r="AD36" s="2">
        <f t="shared" si="0"/>
        <v>2.8199999999999932</v>
      </c>
      <c r="AE36" s="148">
        <f t="shared" si="1"/>
        <v>1.7642907551165266E-3</v>
      </c>
    </row>
    <row r="37" spans="15:31" x14ac:dyDescent="0.25">
      <c r="W37" s="143">
        <v>42395</v>
      </c>
      <c r="X37" s="12">
        <v>85.29</v>
      </c>
      <c r="Y37" s="12">
        <v>86.47</v>
      </c>
      <c r="Z37" s="12">
        <v>85.21</v>
      </c>
      <c r="AA37" s="12">
        <v>85.65</v>
      </c>
      <c r="AB37" s="105">
        <v>7393800</v>
      </c>
      <c r="AC37" s="12">
        <v>85.02</v>
      </c>
      <c r="AD37" s="2">
        <f t="shared" si="0"/>
        <v>1.2600000000000051</v>
      </c>
      <c r="AE37" s="148">
        <f t="shared" si="1"/>
        <v>8.8999644001424016E-3</v>
      </c>
    </row>
    <row r="38" spans="15:31" x14ac:dyDescent="0.25">
      <c r="W38" s="143">
        <v>42394</v>
      </c>
      <c r="X38" s="12">
        <v>85.98</v>
      </c>
      <c r="Y38" s="12">
        <v>86.15</v>
      </c>
      <c r="Z38" s="12">
        <v>84.69</v>
      </c>
      <c r="AA38" s="12">
        <v>84.9</v>
      </c>
      <c r="AB38" s="105">
        <v>10444000</v>
      </c>
      <c r="AC38" s="12">
        <v>84.27</v>
      </c>
      <c r="AD38" s="2">
        <f t="shared" si="0"/>
        <v>1.460000000000008</v>
      </c>
      <c r="AE38" s="148">
        <f t="shared" si="1"/>
        <v>-1.6800840042002108E-2</v>
      </c>
    </row>
    <row r="39" spans="15:31" ht="20.25" thickBot="1" x14ac:dyDescent="0.35">
      <c r="P39" s="408" t="s">
        <v>78</v>
      </c>
      <c r="Q39" s="408"/>
      <c r="T39" s="101" t="s">
        <v>116</v>
      </c>
      <c r="W39" s="143">
        <v>42391</v>
      </c>
      <c r="X39" s="12">
        <v>86.95</v>
      </c>
      <c r="Y39" s="12">
        <v>87.38</v>
      </c>
      <c r="Z39" s="12">
        <v>85.88</v>
      </c>
      <c r="AA39" s="12">
        <v>86.35</v>
      </c>
      <c r="AB39" s="105">
        <v>4647400</v>
      </c>
      <c r="AC39" s="12">
        <v>85.71</v>
      </c>
      <c r="AD39" s="2">
        <f t="shared" si="0"/>
        <v>1.5</v>
      </c>
      <c r="AE39" s="148">
        <f t="shared" si="1"/>
        <v>9.065222510006965E-3</v>
      </c>
    </row>
    <row r="40" spans="15:31" ht="15.75" thickTop="1" x14ac:dyDescent="0.25">
      <c r="O40" s="2"/>
      <c r="P40" s="93">
        <v>1.1000000000000001</v>
      </c>
      <c r="Q40" s="93">
        <f>P40*$Q$4</f>
        <v>107.239</v>
      </c>
      <c r="T40" s="138" t="s">
        <v>101</v>
      </c>
      <c r="U40" s="108">
        <v>96.83</v>
      </c>
      <c r="W40" s="143">
        <v>42390</v>
      </c>
      <c r="X40" s="12">
        <v>84.83</v>
      </c>
      <c r="Y40" s="12">
        <v>86.79</v>
      </c>
      <c r="Z40" s="12">
        <v>84.54</v>
      </c>
      <c r="AA40" s="12">
        <v>85.57</v>
      </c>
      <c r="AB40" s="105">
        <v>5742900</v>
      </c>
      <c r="AC40" s="12">
        <v>84.94</v>
      </c>
      <c r="AD40" s="2">
        <f t="shared" si="0"/>
        <v>2.25</v>
      </c>
      <c r="AE40" s="148">
        <f t="shared" si="1"/>
        <v>8.7885985748217266E-3</v>
      </c>
    </row>
    <row r="41" spans="15:31" x14ac:dyDescent="0.25">
      <c r="O41" s="2"/>
      <c r="P41" s="93">
        <v>1.0900000000000001</v>
      </c>
      <c r="Q41" s="93">
        <f t="shared" ref="Q41:Q60" si="2">P41*$Q$4</f>
        <v>106.2641</v>
      </c>
      <c r="T41" s="103" t="s">
        <v>102</v>
      </c>
      <c r="U41" s="98">
        <v>96.06</v>
      </c>
      <c r="W41" s="143">
        <v>42389</v>
      </c>
      <c r="X41" s="12">
        <v>84.44</v>
      </c>
      <c r="Y41" s="12">
        <v>85.58</v>
      </c>
      <c r="Z41" s="12">
        <v>83.39</v>
      </c>
      <c r="AA41" s="12">
        <v>84.83</v>
      </c>
      <c r="AB41" s="105">
        <v>9601200</v>
      </c>
      <c r="AC41" s="12">
        <v>84.2</v>
      </c>
      <c r="AD41" s="2">
        <f t="shared" si="0"/>
        <v>2.1899999999999977</v>
      </c>
      <c r="AE41" s="148">
        <f t="shared" si="1"/>
        <v>-4.845762912185303E-3</v>
      </c>
    </row>
    <row r="42" spans="15:31" x14ac:dyDescent="0.25">
      <c r="O42" s="2"/>
      <c r="P42" s="93">
        <v>1.08</v>
      </c>
      <c r="Q42" s="93">
        <f t="shared" si="2"/>
        <v>105.28920000000001</v>
      </c>
      <c r="T42" s="103" t="s">
        <v>103</v>
      </c>
      <c r="U42" s="98" t="s">
        <v>386</v>
      </c>
      <c r="W42" s="143">
        <v>42388</v>
      </c>
      <c r="X42" s="12">
        <v>86.35</v>
      </c>
      <c r="Y42" s="12">
        <v>86.35</v>
      </c>
      <c r="Z42" s="12">
        <v>84.47</v>
      </c>
      <c r="AA42" s="12">
        <v>85.24</v>
      </c>
      <c r="AB42" s="105">
        <v>7470000</v>
      </c>
      <c r="AC42" s="12">
        <v>84.61</v>
      </c>
      <c r="AD42" s="2">
        <f t="shared" si="0"/>
        <v>1.8799999999999955</v>
      </c>
      <c r="AE42" s="148">
        <f t="shared" si="1"/>
        <v>-4.5882352941176707E-3</v>
      </c>
    </row>
    <row r="43" spans="15:31" x14ac:dyDescent="0.25">
      <c r="O43" s="2"/>
      <c r="P43" s="93">
        <v>1.07</v>
      </c>
      <c r="Q43" s="93">
        <f t="shared" si="2"/>
        <v>104.3143</v>
      </c>
      <c r="T43" s="103" t="s">
        <v>104</v>
      </c>
      <c r="U43" s="98" t="s">
        <v>387</v>
      </c>
      <c r="W43" s="143">
        <v>42384</v>
      </c>
      <c r="X43" s="12">
        <v>86.99</v>
      </c>
      <c r="Y43" s="12">
        <v>88.06</v>
      </c>
      <c r="Z43" s="12">
        <v>85.47</v>
      </c>
      <c r="AA43" s="12">
        <v>85.63</v>
      </c>
      <c r="AB43" s="105">
        <v>10485600</v>
      </c>
      <c r="AC43" s="12">
        <v>85</v>
      </c>
      <c r="AD43" s="2">
        <f t="shared" si="0"/>
        <v>2.5900000000000034</v>
      </c>
      <c r="AE43" s="148">
        <f t="shared" si="1"/>
        <v>-3.791737408036211E-2</v>
      </c>
    </row>
    <row r="44" spans="15:31" x14ac:dyDescent="0.25">
      <c r="O44" s="2"/>
      <c r="P44" s="93">
        <v>1.06</v>
      </c>
      <c r="Q44" s="93">
        <f t="shared" si="2"/>
        <v>103.3394</v>
      </c>
      <c r="T44" s="103" t="s">
        <v>105</v>
      </c>
      <c r="U44" s="98">
        <v>104.79</v>
      </c>
      <c r="W44" s="143">
        <v>42383</v>
      </c>
      <c r="X44" s="12">
        <v>89.08</v>
      </c>
      <c r="Y44" s="12">
        <v>89.58</v>
      </c>
      <c r="Z44" s="12">
        <v>87.86</v>
      </c>
      <c r="AA44" s="12">
        <v>89.01</v>
      </c>
      <c r="AB44" s="105">
        <v>7395900</v>
      </c>
      <c r="AC44" s="12">
        <v>88.35</v>
      </c>
      <c r="AD44" s="2">
        <f t="shared" si="0"/>
        <v>1.7199999999999989</v>
      </c>
      <c r="AE44" s="148">
        <f t="shared" si="1"/>
        <v>2.0415107179312386E-3</v>
      </c>
    </row>
    <row r="45" spans="15:31" x14ac:dyDescent="0.25">
      <c r="O45" s="2"/>
      <c r="P45" s="93">
        <v>1.05</v>
      </c>
      <c r="Q45" s="93">
        <f t="shared" si="2"/>
        <v>102.36449999999999</v>
      </c>
      <c r="T45" s="103" t="s">
        <v>106</v>
      </c>
      <c r="U45" s="98">
        <v>1.1395900000000001</v>
      </c>
      <c r="W45" s="143">
        <v>42382</v>
      </c>
      <c r="X45" s="12">
        <v>90.67</v>
      </c>
      <c r="Y45" s="12">
        <v>90.67</v>
      </c>
      <c r="Z45" s="12">
        <v>88.41</v>
      </c>
      <c r="AA45" s="12">
        <v>88.83</v>
      </c>
      <c r="AB45" s="105">
        <v>8588800</v>
      </c>
      <c r="AC45" s="12">
        <v>88.17</v>
      </c>
      <c r="AD45" s="2">
        <f t="shared" si="0"/>
        <v>2.2600000000000051</v>
      </c>
      <c r="AE45" s="148">
        <f t="shared" si="1"/>
        <v>-1.8479349883112506E-2</v>
      </c>
    </row>
    <row r="46" spans="15:31" x14ac:dyDescent="0.25">
      <c r="O46" s="2"/>
      <c r="P46" s="93">
        <v>1.04</v>
      </c>
      <c r="Q46" s="93">
        <f t="shared" si="2"/>
        <v>101.3896</v>
      </c>
      <c r="T46" s="103" t="s">
        <v>126</v>
      </c>
      <c r="U46" s="98" t="s">
        <v>225</v>
      </c>
      <c r="W46" s="143">
        <v>42381</v>
      </c>
      <c r="X46" s="12">
        <v>90.99</v>
      </c>
      <c r="Y46" s="12">
        <v>91.15</v>
      </c>
      <c r="Z46" s="12">
        <v>89.67</v>
      </c>
      <c r="AA46" s="12">
        <v>90.5</v>
      </c>
      <c r="AB46" s="105">
        <v>7697300</v>
      </c>
      <c r="AC46" s="12">
        <v>89.83</v>
      </c>
      <c r="AD46" s="2">
        <f t="shared" si="0"/>
        <v>1.480000000000004</v>
      </c>
      <c r="AE46" s="148">
        <f t="shared" si="1"/>
        <v>0</v>
      </c>
    </row>
    <row r="47" spans="15:31" x14ac:dyDescent="0.25">
      <c r="O47" s="2"/>
      <c r="P47" s="93">
        <v>1.03</v>
      </c>
      <c r="Q47" s="93">
        <f t="shared" si="2"/>
        <v>100.4147</v>
      </c>
      <c r="T47" s="103"/>
      <c r="U47" s="98"/>
      <c r="W47" s="143">
        <v>42380</v>
      </c>
      <c r="X47" s="12">
        <v>91.09</v>
      </c>
      <c r="Y47" s="12">
        <v>91.4</v>
      </c>
      <c r="Z47" s="12">
        <v>89.92</v>
      </c>
      <c r="AA47" s="12">
        <v>90.5</v>
      </c>
      <c r="AB47" s="105">
        <v>7185200</v>
      </c>
      <c r="AC47" s="12">
        <v>89.83</v>
      </c>
      <c r="AD47" s="2">
        <f t="shared" si="0"/>
        <v>1.480000000000004</v>
      </c>
      <c r="AE47" s="148">
        <f t="shared" si="1"/>
        <v>1.1144544745347318E-3</v>
      </c>
    </row>
    <row r="48" spans="15:31" x14ac:dyDescent="0.25">
      <c r="O48" s="2"/>
      <c r="P48" s="93">
        <v>1.02</v>
      </c>
      <c r="Q48" s="93">
        <f t="shared" si="2"/>
        <v>99.439799999999991</v>
      </c>
      <c r="T48" s="103" t="s">
        <v>108</v>
      </c>
      <c r="U48" s="98" t="s">
        <v>388</v>
      </c>
      <c r="W48" s="143">
        <v>42377</v>
      </c>
      <c r="X48" s="12">
        <v>91.57</v>
      </c>
      <c r="Y48" s="12">
        <v>91.88</v>
      </c>
      <c r="Z48" s="12">
        <v>90.22</v>
      </c>
      <c r="AA48" s="12">
        <v>90.4</v>
      </c>
      <c r="AB48" s="105">
        <v>7501300</v>
      </c>
      <c r="AC48" s="12">
        <v>89.73</v>
      </c>
      <c r="AD48" s="2">
        <f t="shared" si="0"/>
        <v>1.6599999999999966</v>
      </c>
      <c r="AE48" s="148">
        <f t="shared" si="1"/>
        <v>-1.6334137250602843E-2</v>
      </c>
    </row>
    <row r="49" spans="15:31" x14ac:dyDescent="0.25">
      <c r="O49" s="2"/>
      <c r="P49" s="93">
        <v>1.01</v>
      </c>
      <c r="Q49" s="93">
        <f t="shared" si="2"/>
        <v>98.4649</v>
      </c>
      <c r="T49" s="103" t="s">
        <v>109</v>
      </c>
      <c r="U49" s="98" t="s">
        <v>284</v>
      </c>
      <c r="W49" s="143">
        <v>42376</v>
      </c>
      <c r="X49" s="12">
        <v>91.47</v>
      </c>
      <c r="Y49" s="12">
        <v>93.35</v>
      </c>
      <c r="Z49" s="12">
        <v>91.43</v>
      </c>
      <c r="AA49" s="12">
        <v>91.9</v>
      </c>
      <c r="AB49" s="105">
        <v>6984800</v>
      </c>
      <c r="AC49" s="12">
        <v>91.22</v>
      </c>
      <c r="AD49" s="2">
        <f t="shared" si="0"/>
        <v>1.9199999999999875</v>
      </c>
      <c r="AE49" s="148">
        <f t="shared" si="1"/>
        <v>-1.3090987774532215E-2</v>
      </c>
    </row>
    <row r="50" spans="15:31" x14ac:dyDescent="0.25">
      <c r="O50" s="2"/>
      <c r="P50" s="93">
        <v>1</v>
      </c>
      <c r="Q50" s="93">
        <f t="shared" si="2"/>
        <v>97.49</v>
      </c>
      <c r="T50" s="103" t="s">
        <v>110</v>
      </c>
      <c r="U50" s="100">
        <v>2750288</v>
      </c>
      <c r="W50" s="143">
        <v>42375</v>
      </c>
      <c r="X50" s="12">
        <v>93.9</v>
      </c>
      <c r="Y50" s="12">
        <v>94.64</v>
      </c>
      <c r="Z50" s="12">
        <v>92.54</v>
      </c>
      <c r="AA50" s="12">
        <v>93.12</v>
      </c>
      <c r="AB50" s="105">
        <v>8300600</v>
      </c>
      <c r="AC50" s="12">
        <v>92.43</v>
      </c>
      <c r="AD50" s="2">
        <f t="shared" si="0"/>
        <v>2.0999999999999943</v>
      </c>
      <c r="AE50" s="148">
        <f t="shared" si="1"/>
        <v>-2.715503631196714E-2</v>
      </c>
    </row>
    <row r="51" spans="15:31" x14ac:dyDescent="0.25">
      <c r="O51" s="2"/>
      <c r="P51" s="93">
        <v>0.99</v>
      </c>
      <c r="Q51" s="93">
        <f t="shared" si="2"/>
        <v>96.51509999999999</v>
      </c>
      <c r="T51" s="103" t="s">
        <v>113</v>
      </c>
      <c r="U51" s="100">
        <v>7180550</v>
      </c>
      <c r="W51" s="143">
        <v>42374</v>
      </c>
      <c r="X51" s="12">
        <v>95.14</v>
      </c>
      <c r="Y51" s="12">
        <v>96</v>
      </c>
      <c r="Z51" s="12">
        <v>94.8</v>
      </c>
      <c r="AA51" s="12">
        <v>95.72</v>
      </c>
      <c r="AB51" s="105">
        <v>4253100</v>
      </c>
      <c r="AC51" s="12">
        <v>95.01</v>
      </c>
      <c r="AD51" s="2">
        <f t="shared" si="0"/>
        <v>1.2000000000000028</v>
      </c>
      <c r="AE51" s="148">
        <f t="shared" si="1"/>
        <v>1.5812776723593824E-3</v>
      </c>
    </row>
    <row r="52" spans="15:31" x14ac:dyDescent="0.25">
      <c r="O52" s="2"/>
      <c r="P52" s="93">
        <v>0.98</v>
      </c>
      <c r="Q52" s="93">
        <f t="shared" si="2"/>
        <v>95.540199999999999</v>
      </c>
      <c r="T52" s="103" t="s">
        <v>111</v>
      </c>
      <c r="U52" s="98" t="s">
        <v>389</v>
      </c>
      <c r="W52" s="143">
        <v>42373</v>
      </c>
      <c r="X52" s="12">
        <v>94.45</v>
      </c>
      <c r="Y52" s="12">
        <v>95.64</v>
      </c>
      <c r="Z52" s="12">
        <v>93.96</v>
      </c>
      <c r="AA52" s="12">
        <v>95.57</v>
      </c>
      <c r="AB52" s="105">
        <v>5382200</v>
      </c>
      <c r="AC52" s="12">
        <v>94.86</v>
      </c>
      <c r="AD52" s="2">
        <f t="shared" si="0"/>
        <v>1.6800000000000068</v>
      </c>
      <c r="AE52" s="148">
        <f t="shared" si="1"/>
        <v>-5.2432885906040783E-3</v>
      </c>
    </row>
    <row r="53" spans="15:31" x14ac:dyDescent="0.25">
      <c r="P53" s="93">
        <v>0.97</v>
      </c>
      <c r="Q53" s="93">
        <f t="shared" si="2"/>
        <v>94.565299999999993</v>
      </c>
      <c r="T53" s="103" t="s">
        <v>114</v>
      </c>
      <c r="U53" s="98">
        <v>11.17</v>
      </c>
      <c r="W53" s="143">
        <v>42369</v>
      </c>
      <c r="X53" s="12">
        <v>96.41</v>
      </c>
      <c r="Y53" s="12">
        <v>96.68</v>
      </c>
      <c r="Z53" s="12">
        <v>95.71</v>
      </c>
      <c r="AA53" s="12">
        <v>96.07</v>
      </c>
      <c r="AB53" s="105">
        <v>2951000</v>
      </c>
      <c r="AC53" s="12">
        <v>95.36</v>
      </c>
      <c r="AD53" s="2">
        <f t="shared" si="0"/>
        <v>0.97000000000001307</v>
      </c>
      <c r="AE53" s="148">
        <f t="shared" si="1"/>
        <v>-8.5256810147640305E-3</v>
      </c>
    </row>
    <row r="54" spans="15:31" x14ac:dyDescent="0.25">
      <c r="P54" s="93">
        <v>0.96</v>
      </c>
      <c r="Q54" s="93">
        <f t="shared" si="2"/>
        <v>93.590399999999988</v>
      </c>
      <c r="T54" s="103" t="s">
        <v>115</v>
      </c>
      <c r="U54" s="98">
        <v>8.6199999999999992</v>
      </c>
      <c r="W54" s="143">
        <v>42368</v>
      </c>
      <c r="X54" s="12">
        <v>96.92</v>
      </c>
      <c r="Y54" s="12">
        <v>97.5</v>
      </c>
      <c r="Z54" s="12">
        <v>96.52</v>
      </c>
      <c r="AA54" s="12">
        <v>96.9</v>
      </c>
      <c r="AB54" s="105">
        <v>3161600</v>
      </c>
      <c r="AC54" s="12">
        <v>96.18</v>
      </c>
      <c r="AD54" s="2">
        <f t="shared" si="0"/>
        <v>0.98000000000000398</v>
      </c>
      <c r="AE54" s="148">
        <f t="shared" si="1"/>
        <v>-3.8322112894871863E-3</v>
      </c>
    </row>
    <row r="55" spans="15:31" x14ac:dyDescent="0.25">
      <c r="P55" s="93">
        <v>0.95</v>
      </c>
      <c r="Q55" s="93">
        <f t="shared" si="2"/>
        <v>92.615499999999997</v>
      </c>
      <c r="T55" s="103" t="s">
        <v>112</v>
      </c>
      <c r="U55" s="98" t="s">
        <v>390</v>
      </c>
      <c r="W55" s="143">
        <v>42367</v>
      </c>
      <c r="X55" s="12">
        <v>96.67</v>
      </c>
      <c r="Y55" s="12">
        <v>97.77</v>
      </c>
      <c r="Z55" s="12">
        <v>96.35</v>
      </c>
      <c r="AA55" s="12">
        <v>97.27</v>
      </c>
      <c r="AB55" s="105">
        <v>3291400</v>
      </c>
      <c r="AC55" s="12">
        <v>96.55</v>
      </c>
      <c r="AD55" s="2">
        <f t="shared" si="0"/>
        <v>1.4200000000000017</v>
      </c>
      <c r="AE55" s="148">
        <f t="shared" si="1"/>
        <v>1.226672258335082E-2</v>
      </c>
    </row>
    <row r="56" spans="15:31" x14ac:dyDescent="0.25">
      <c r="P56" s="93">
        <v>0.94</v>
      </c>
      <c r="Q56" s="93">
        <f t="shared" si="2"/>
        <v>91.640599999999992</v>
      </c>
      <c r="W56" s="143">
        <v>42366</v>
      </c>
      <c r="X56" s="12">
        <v>95.98</v>
      </c>
      <c r="Y56" s="12">
        <v>96.31</v>
      </c>
      <c r="Z56" s="12">
        <v>95.7</v>
      </c>
      <c r="AA56" s="12">
        <v>96.09</v>
      </c>
      <c r="AB56" s="105">
        <v>3606800</v>
      </c>
      <c r="AC56" s="12">
        <v>95.38</v>
      </c>
      <c r="AD56" s="2">
        <f t="shared" si="0"/>
        <v>0.60999999999999943</v>
      </c>
      <c r="AE56" s="148">
        <f t="shared" si="1"/>
        <v>-2.1968825190920027E-3</v>
      </c>
    </row>
    <row r="57" spans="15:31" x14ac:dyDescent="0.25">
      <c r="P57" s="93">
        <v>0.93</v>
      </c>
      <c r="Q57" s="93">
        <f t="shared" si="2"/>
        <v>90.665700000000001</v>
      </c>
      <c r="W57" s="143">
        <v>42362</v>
      </c>
      <c r="X57" s="12">
        <v>95.89</v>
      </c>
      <c r="Y57" s="12">
        <v>96.52</v>
      </c>
      <c r="Z57" s="12">
        <v>95.87</v>
      </c>
      <c r="AA57" s="12">
        <v>96.3</v>
      </c>
      <c r="AB57" s="105">
        <v>1382700</v>
      </c>
      <c r="AC57" s="12">
        <v>95.59</v>
      </c>
      <c r="AD57" s="2">
        <f t="shared" si="0"/>
        <v>0.64999999999999147</v>
      </c>
      <c r="AE57" s="148">
        <f t="shared" si="1"/>
        <v>0</v>
      </c>
    </row>
    <row r="58" spans="15:31" x14ac:dyDescent="0.25">
      <c r="P58" s="93">
        <v>0.92</v>
      </c>
      <c r="Q58" s="93">
        <f t="shared" si="2"/>
        <v>89.690799999999996</v>
      </c>
      <c r="W58" s="143">
        <v>42361</v>
      </c>
      <c r="X58" s="12">
        <v>95.5</v>
      </c>
      <c r="Y58" s="12">
        <v>96.6</v>
      </c>
      <c r="Z58" s="12">
        <v>95.43</v>
      </c>
      <c r="AA58" s="12">
        <v>96.3</v>
      </c>
      <c r="AB58" s="105">
        <v>4677200</v>
      </c>
      <c r="AC58" s="12">
        <v>95.59</v>
      </c>
      <c r="AD58" s="2">
        <f t="shared" si="0"/>
        <v>1.1699999999999875</v>
      </c>
      <c r="AE58" s="148">
        <f t="shared" si="1"/>
        <v>1.5079112243814308E-2</v>
      </c>
    </row>
    <row r="59" spans="15:31" x14ac:dyDescent="0.25">
      <c r="P59" s="93">
        <v>0.91</v>
      </c>
      <c r="Q59" s="93">
        <f t="shared" si="2"/>
        <v>88.715900000000005</v>
      </c>
      <c r="W59" s="143">
        <v>42360</v>
      </c>
      <c r="X59" s="12">
        <v>94.31</v>
      </c>
      <c r="Y59" s="12">
        <v>95.41</v>
      </c>
      <c r="Z59" s="12">
        <v>94</v>
      </c>
      <c r="AA59" s="12">
        <v>94.87</v>
      </c>
      <c r="AB59" s="105">
        <v>4644100</v>
      </c>
      <c r="AC59" s="12">
        <v>94.17</v>
      </c>
      <c r="AD59" s="2">
        <f t="shared" si="0"/>
        <v>1.4099999999999966</v>
      </c>
      <c r="AE59" s="148">
        <f t="shared" si="1"/>
        <v>1.3452432199741793E-2</v>
      </c>
    </row>
    <row r="60" spans="15:31" x14ac:dyDescent="0.25">
      <c r="P60" s="93">
        <v>0.9</v>
      </c>
      <c r="Q60" s="93">
        <f t="shared" si="2"/>
        <v>87.741</v>
      </c>
      <c r="W60" s="143">
        <v>42359</v>
      </c>
      <c r="X60" s="12">
        <v>93.02</v>
      </c>
      <c r="Y60" s="12">
        <v>93.89</v>
      </c>
      <c r="Z60" s="12">
        <v>92.69</v>
      </c>
      <c r="AA60" s="12">
        <v>93.61</v>
      </c>
      <c r="AB60" s="105">
        <v>8708800</v>
      </c>
      <c r="AC60" s="12">
        <v>92.92</v>
      </c>
      <c r="AD60" s="2">
        <f t="shared" si="0"/>
        <v>1.2000000000000028</v>
      </c>
      <c r="AE60" s="148">
        <f t="shared" si="1"/>
        <v>1.3746454287584697E-2</v>
      </c>
    </row>
    <row r="61" spans="15:31" x14ac:dyDescent="0.25">
      <c r="W61" s="143">
        <v>42356</v>
      </c>
      <c r="X61" s="12">
        <v>93.31</v>
      </c>
      <c r="Y61" s="12">
        <v>94.33</v>
      </c>
      <c r="Z61" s="12">
        <v>92.34</v>
      </c>
      <c r="AA61" s="12">
        <v>92.34</v>
      </c>
      <c r="AB61" s="105">
        <v>8665800</v>
      </c>
      <c r="AC61" s="12">
        <v>91.66</v>
      </c>
      <c r="AD61" s="2">
        <f t="shared" si="0"/>
        <v>1.9899999999999949</v>
      </c>
      <c r="AE61" s="148">
        <f t="shared" si="1"/>
        <v>-1.6312513414896035E-2</v>
      </c>
    </row>
    <row r="62" spans="15:31" x14ac:dyDescent="0.25">
      <c r="W62" s="143">
        <v>42355</v>
      </c>
      <c r="X62" s="12">
        <v>95.13</v>
      </c>
      <c r="Y62" s="12">
        <v>95.73</v>
      </c>
      <c r="Z62" s="12">
        <v>93.84</v>
      </c>
      <c r="AA62" s="12">
        <v>93.87</v>
      </c>
      <c r="AB62" s="105">
        <v>4802300</v>
      </c>
      <c r="AC62" s="12">
        <v>93.18</v>
      </c>
      <c r="AD62" s="2">
        <f t="shared" si="0"/>
        <v>1.8900000000000006</v>
      </c>
      <c r="AE62" s="148">
        <f t="shared" si="1"/>
        <v>-1.3237318648734564E-2</v>
      </c>
    </row>
    <row r="63" spans="15:31" x14ac:dyDescent="0.25">
      <c r="W63" s="143">
        <v>42354</v>
      </c>
      <c r="X63" s="12">
        <v>93.97</v>
      </c>
      <c r="Y63" s="12">
        <v>95.43</v>
      </c>
      <c r="Z63" s="12">
        <v>93.44</v>
      </c>
      <c r="AA63" s="12">
        <v>95.13</v>
      </c>
      <c r="AB63" s="105">
        <v>9868300</v>
      </c>
      <c r="AC63" s="12">
        <v>94.43</v>
      </c>
      <c r="AD63" s="2">
        <f t="shared" si="0"/>
        <v>1.9900000000000091</v>
      </c>
      <c r="AE63" s="148">
        <f t="shared" si="1"/>
        <v>2.0092902668251256E-2</v>
      </c>
    </row>
    <row r="64" spans="15:31" x14ac:dyDescent="0.25">
      <c r="W64" s="143">
        <v>42353</v>
      </c>
      <c r="X64" s="12">
        <v>93.68</v>
      </c>
      <c r="Y64" s="12">
        <v>94.66</v>
      </c>
      <c r="Z64" s="12">
        <v>93.23</v>
      </c>
      <c r="AA64" s="12">
        <v>93.26</v>
      </c>
      <c r="AB64" s="105">
        <v>6618000</v>
      </c>
      <c r="AC64" s="12">
        <v>92.57</v>
      </c>
      <c r="AD64" s="2">
        <f t="shared" si="0"/>
        <v>1.4299999999999926</v>
      </c>
      <c r="AE64" s="148">
        <f t="shared" si="1"/>
        <v>2.4907948884556053E-3</v>
      </c>
    </row>
    <row r="65" spans="23:31" x14ac:dyDescent="0.25">
      <c r="W65" s="143">
        <v>42352</v>
      </c>
      <c r="X65" s="12">
        <v>93.3</v>
      </c>
      <c r="Y65" s="12">
        <v>93.57</v>
      </c>
      <c r="Z65" s="12">
        <v>92.2</v>
      </c>
      <c r="AA65" s="12">
        <v>93.03</v>
      </c>
      <c r="AB65" s="105">
        <v>6748200</v>
      </c>
      <c r="AC65" s="12">
        <v>92.34</v>
      </c>
      <c r="AD65" s="2">
        <f t="shared" si="0"/>
        <v>1.3699999999999903</v>
      </c>
      <c r="AE65" s="148">
        <f t="shared" si="1"/>
        <v>-2.9154518950437192E-3</v>
      </c>
    </row>
    <row r="66" spans="23:31" x14ac:dyDescent="0.25">
      <c r="W66" s="143">
        <v>42349</v>
      </c>
      <c r="X66" s="12">
        <v>93.01</v>
      </c>
      <c r="Y66" s="12">
        <v>94.63</v>
      </c>
      <c r="Z66" s="12">
        <v>92.93</v>
      </c>
      <c r="AA66" s="12">
        <v>93.3</v>
      </c>
      <c r="AB66" s="105">
        <v>9942600</v>
      </c>
      <c r="AC66" s="12">
        <v>92.61</v>
      </c>
      <c r="AD66" s="2">
        <f t="shared" si="0"/>
        <v>1.6999999999999886</v>
      </c>
      <c r="AE66" s="148">
        <f t="shared" si="1"/>
        <v>-6.1171925305860686E-3</v>
      </c>
    </row>
    <row r="67" spans="23:31" x14ac:dyDescent="0.25">
      <c r="W67" s="143">
        <v>42348</v>
      </c>
      <c r="X67" s="12">
        <v>94.07</v>
      </c>
      <c r="Y67" s="12">
        <v>94.67</v>
      </c>
      <c r="Z67" s="12">
        <v>91.63</v>
      </c>
      <c r="AA67" s="12">
        <v>93.87</v>
      </c>
      <c r="AB67" s="105">
        <v>5814100</v>
      </c>
      <c r="AC67" s="12">
        <v>93.18</v>
      </c>
      <c r="AD67" s="2">
        <f t="shared" ref="AD67:AD68" si="3">Y67-Z67</f>
        <v>3.0400000000000063</v>
      </c>
      <c r="AE67" s="148">
        <f t="shared" ref="AE67" si="4">AC67/AC68-1</f>
        <v>-2.9959340894498698E-3</v>
      </c>
    </row>
    <row r="68" spans="23:31" x14ac:dyDescent="0.25">
      <c r="W68" s="143">
        <v>42347</v>
      </c>
      <c r="X68" s="12">
        <v>93.58</v>
      </c>
      <c r="Y68" s="12">
        <v>95.58</v>
      </c>
      <c r="Z68" s="12">
        <v>93.21</v>
      </c>
      <c r="AA68" s="12">
        <v>94.16</v>
      </c>
      <c r="AB68" s="105">
        <v>6911400</v>
      </c>
      <c r="AC68" s="12">
        <v>93.46</v>
      </c>
      <c r="AD68" s="2">
        <f t="shared" si="3"/>
        <v>2.3700000000000045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184</v>
      </c>
      <c r="AJ1" s="13" t="s">
        <v>185</v>
      </c>
      <c r="AK1" s="13" t="s">
        <v>186</v>
      </c>
      <c r="AL1" s="13" t="s">
        <v>187</v>
      </c>
      <c r="AO1" s="13" t="s">
        <v>188</v>
      </c>
      <c r="AP1" s="13" t="s">
        <v>59</v>
      </c>
      <c r="AQ1" s="13" t="s">
        <v>190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42444</v>
      </c>
      <c r="X2" s="12">
        <v>124.54</v>
      </c>
      <c r="Y2" s="12">
        <v>125.47</v>
      </c>
      <c r="Z2" s="12">
        <v>124.08</v>
      </c>
      <c r="AA2" s="12">
        <v>124.85</v>
      </c>
      <c r="AB2" s="105">
        <v>2601300</v>
      </c>
      <c r="AC2" s="12">
        <v>124.85</v>
      </c>
      <c r="AD2" s="2">
        <f>Y2-Z2</f>
        <v>1.3900000000000006</v>
      </c>
      <c r="AE2" s="148">
        <f>AC2/AC3-1</f>
        <v>-2.9547995527871018E-3</v>
      </c>
      <c r="AP2" t="s">
        <v>189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124.9</v>
      </c>
      <c r="W3" s="143">
        <v>42443</v>
      </c>
      <c r="X3" s="12">
        <v>124.8</v>
      </c>
      <c r="Y3" s="12">
        <v>126.02</v>
      </c>
      <c r="Z3" s="12">
        <v>124.36</v>
      </c>
      <c r="AA3" s="12">
        <v>125.22</v>
      </c>
      <c r="AB3" s="105">
        <v>2853200</v>
      </c>
      <c r="AC3" s="12">
        <v>125.22</v>
      </c>
      <c r="AD3" s="2">
        <f t="shared" ref="AD3:AD66" si="1">Y3-Z3</f>
        <v>1.6599999999999966</v>
      </c>
      <c r="AE3" s="148">
        <f t="shared" ref="AE3:AE66" si="2">AC3/AC4-1</f>
        <v>9.5923261390895576E-4</v>
      </c>
      <c r="AI3" t="s">
        <v>200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124.9</v>
      </c>
      <c r="W4" s="143">
        <v>42440</v>
      </c>
      <c r="X4" s="12">
        <v>122.47</v>
      </c>
      <c r="Y4" s="12">
        <v>125.32</v>
      </c>
      <c r="Z4" s="12">
        <v>122.25</v>
      </c>
      <c r="AA4" s="12">
        <v>125.1</v>
      </c>
      <c r="AB4" s="105">
        <v>3707700</v>
      </c>
      <c r="AC4" s="12">
        <v>125.1</v>
      </c>
      <c r="AD4" s="2">
        <f t="shared" si="1"/>
        <v>3.0699999999999932</v>
      </c>
      <c r="AE4" s="148">
        <f t="shared" si="2"/>
        <v>2.465394381194197E-2</v>
      </c>
      <c r="AI4" t="s">
        <v>201</v>
      </c>
      <c r="AJ4">
        <v>-10</v>
      </c>
      <c r="AK4" t="s">
        <v>193</v>
      </c>
      <c r="AL4" t="s">
        <v>193</v>
      </c>
      <c r="AO4" s="263">
        <v>-1153.98</v>
      </c>
      <c r="AP4" t="s">
        <v>193</v>
      </c>
      <c r="AQ4" t="s">
        <v>193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42439</v>
      </c>
      <c r="X5" s="12">
        <v>121.2</v>
      </c>
      <c r="Y5" s="12">
        <v>122.76</v>
      </c>
      <c r="Z5" s="12">
        <v>120.41</v>
      </c>
      <c r="AA5" s="12">
        <v>122.09</v>
      </c>
      <c r="AB5" s="105">
        <v>2638200</v>
      </c>
      <c r="AC5" s="12">
        <v>122.09</v>
      </c>
      <c r="AD5" s="2">
        <f t="shared" si="1"/>
        <v>2.3500000000000085</v>
      </c>
      <c r="AE5" s="148">
        <f t="shared" si="2"/>
        <v>8.1750619322873419E-3</v>
      </c>
      <c r="AI5" t="s">
        <v>197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42438</v>
      </c>
      <c r="X6" s="12">
        <v>121.88</v>
      </c>
      <c r="Y6" s="12">
        <v>122.12</v>
      </c>
      <c r="Z6" s="12">
        <v>120.45</v>
      </c>
      <c r="AA6" s="12">
        <v>121.1</v>
      </c>
      <c r="AB6" s="105">
        <v>2094000</v>
      </c>
      <c r="AC6" s="12">
        <v>121.1</v>
      </c>
      <c r="AD6" s="2">
        <f t="shared" si="1"/>
        <v>1.6700000000000017</v>
      </c>
      <c r="AE6" s="148" t="e">
        <f t="shared" si="2"/>
        <v>#DIV/0!</v>
      </c>
      <c r="AI6" t="s">
        <v>192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42438</v>
      </c>
      <c r="X7" s="12" t="s">
        <v>155</v>
      </c>
      <c r="Y7" s="12"/>
      <c r="Z7" s="12"/>
      <c r="AA7" s="12"/>
      <c r="AB7" s="105"/>
      <c r="AC7" s="12"/>
      <c r="AD7" s="2">
        <f t="shared" si="1"/>
        <v>0</v>
      </c>
      <c r="AE7" s="148">
        <f t="shared" si="2"/>
        <v>-1</v>
      </c>
    </row>
    <row r="8" spans="1:43" x14ac:dyDescent="0.25">
      <c r="O8" s="13" t="s">
        <v>90</v>
      </c>
      <c r="Q8" s="148">
        <f>(Q4-Q3)/Q3</f>
        <v>0</v>
      </c>
      <c r="W8" s="143">
        <v>42437</v>
      </c>
      <c r="X8" s="12">
        <v>121.28</v>
      </c>
      <c r="Y8" s="12">
        <v>122.32</v>
      </c>
      <c r="Z8" s="12">
        <v>120.73</v>
      </c>
      <c r="AA8" s="12">
        <v>121.66</v>
      </c>
      <c r="AB8" s="105">
        <v>2522000</v>
      </c>
      <c r="AC8" s="12">
        <v>121.16</v>
      </c>
      <c r="AD8" s="2">
        <f t="shared" si="1"/>
        <v>1.5899999999999892</v>
      </c>
      <c r="AE8" s="148">
        <f t="shared" si="2"/>
        <v>-8.246742536698326E-4</v>
      </c>
    </row>
    <row r="9" spans="1:43" x14ac:dyDescent="0.25">
      <c r="W9" s="143">
        <v>42436</v>
      </c>
      <c r="X9" s="12">
        <v>121.08</v>
      </c>
      <c r="Y9" s="12">
        <v>122.74</v>
      </c>
      <c r="Z9" s="12">
        <v>120.9</v>
      </c>
      <c r="AA9" s="12">
        <v>121.76</v>
      </c>
      <c r="AB9" s="105">
        <v>2315400</v>
      </c>
      <c r="AC9" s="12">
        <v>121.26</v>
      </c>
      <c r="AD9" s="2">
        <f t="shared" si="1"/>
        <v>1.8399999999999892</v>
      </c>
      <c r="AE9" s="148">
        <f t="shared" si="2"/>
        <v>-3.297609233304799E-4</v>
      </c>
    </row>
    <row r="10" spans="1:43" x14ac:dyDescent="0.25">
      <c r="W10" s="143">
        <v>42433</v>
      </c>
      <c r="X10" s="12">
        <v>121.32</v>
      </c>
      <c r="Y10" s="12">
        <v>122.19</v>
      </c>
      <c r="Z10" s="12">
        <v>120.74</v>
      </c>
      <c r="AA10" s="12">
        <v>121.8</v>
      </c>
      <c r="AB10" s="105">
        <v>2873900</v>
      </c>
      <c r="AC10" s="12">
        <v>121.3</v>
      </c>
      <c r="AD10" s="2">
        <f t="shared" si="1"/>
        <v>1.4500000000000028</v>
      </c>
      <c r="AE10" s="148">
        <f t="shared" si="2"/>
        <v>-1.6485328058024606E-4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42432</v>
      </c>
      <c r="X11" s="12">
        <v>120.86</v>
      </c>
      <c r="Y11" s="12">
        <v>121.86</v>
      </c>
      <c r="Z11" s="12">
        <v>120.09</v>
      </c>
      <c r="AA11" s="12">
        <v>121.82</v>
      </c>
      <c r="AB11" s="105">
        <v>3064100</v>
      </c>
      <c r="AC11" s="12">
        <v>121.32</v>
      </c>
      <c r="AD11" s="2">
        <f t="shared" si="1"/>
        <v>1.769999999999996</v>
      </c>
      <c r="AE11" s="148">
        <f t="shared" si="2"/>
        <v>4.5541111203113438E-3</v>
      </c>
    </row>
    <row r="12" spans="1:43" x14ac:dyDescent="0.25">
      <c r="W12" s="143">
        <v>42431</v>
      </c>
      <c r="X12" s="12">
        <v>121.23</v>
      </c>
      <c r="Y12" s="12">
        <v>121.84</v>
      </c>
      <c r="Z12" s="12">
        <v>120.37</v>
      </c>
      <c r="AA12" s="12">
        <v>121.27</v>
      </c>
      <c r="AB12" s="105">
        <v>2670900</v>
      </c>
      <c r="AC12" s="12">
        <v>120.77</v>
      </c>
      <c r="AD12" s="2">
        <f t="shared" si="1"/>
        <v>1.4699999999999989</v>
      </c>
      <c r="AE12" s="148">
        <f t="shared" si="2"/>
        <v>-3.3011471486341648E-3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W13" s="143">
        <v>42430</v>
      </c>
      <c r="X13" s="12">
        <v>119.49</v>
      </c>
      <c r="Y13" s="12">
        <v>122.22</v>
      </c>
      <c r="Z13" s="12">
        <v>119.37</v>
      </c>
      <c r="AA13" s="12">
        <v>121.67</v>
      </c>
      <c r="AB13" s="105">
        <v>3295600</v>
      </c>
      <c r="AC13" s="12">
        <v>121.17</v>
      </c>
      <c r="AD13" s="2">
        <f t="shared" si="1"/>
        <v>2.8499999999999943</v>
      </c>
      <c r="AE13" s="148">
        <f t="shared" si="2"/>
        <v>2.1583340359160319E-2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42429</v>
      </c>
      <c r="X14" s="12">
        <v>121.1</v>
      </c>
      <c r="Y14" s="12">
        <v>121.82</v>
      </c>
      <c r="Z14" s="12">
        <v>118.97</v>
      </c>
      <c r="AA14" s="12">
        <v>119.1</v>
      </c>
      <c r="AB14" s="105">
        <v>4526300</v>
      </c>
      <c r="AC14" s="12">
        <v>118.61</v>
      </c>
      <c r="AD14" s="2">
        <f t="shared" si="1"/>
        <v>2.8499999999999943</v>
      </c>
      <c r="AE14" s="148">
        <f t="shared" si="2"/>
        <v>-1.8372920632293344E-2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42426</v>
      </c>
      <c r="X15" s="12">
        <v>121.48</v>
      </c>
      <c r="Y15" s="12">
        <v>122.26</v>
      </c>
      <c r="Z15" s="12">
        <v>120.89</v>
      </c>
      <c r="AA15" s="12">
        <v>121.33</v>
      </c>
      <c r="AB15" s="105">
        <v>2877500</v>
      </c>
      <c r="AC15" s="12">
        <v>120.83</v>
      </c>
      <c r="AD15" s="2">
        <f t="shared" si="1"/>
        <v>1.3700000000000045</v>
      </c>
      <c r="AE15" s="148">
        <f t="shared" si="2"/>
        <v>1.0770505385251372E-3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42425</v>
      </c>
      <c r="X16" s="12">
        <v>120.2</v>
      </c>
      <c r="Y16" s="12">
        <v>121.23</v>
      </c>
      <c r="Z16" s="12">
        <v>119.82</v>
      </c>
      <c r="AA16" s="12">
        <v>121.2</v>
      </c>
      <c r="AB16" s="105">
        <v>2281700</v>
      </c>
      <c r="AC16" s="12">
        <v>120.7</v>
      </c>
      <c r="AD16" s="2">
        <f t="shared" si="1"/>
        <v>1.4100000000000108</v>
      </c>
      <c r="AE16" s="148">
        <f t="shared" si="2"/>
        <v>8.2699857990142789E-3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42424</v>
      </c>
      <c r="X17" s="12">
        <v>119.93</v>
      </c>
      <c r="Y17" s="12">
        <v>120.32</v>
      </c>
      <c r="Z17" s="12">
        <v>117.83</v>
      </c>
      <c r="AA17" s="12">
        <v>120.2</v>
      </c>
      <c r="AB17" s="105">
        <v>2559700</v>
      </c>
      <c r="AC17" s="12">
        <v>119.71</v>
      </c>
      <c r="AD17" s="2">
        <f t="shared" si="1"/>
        <v>2.4899999999999949</v>
      </c>
      <c r="AE17" s="148">
        <f t="shared" si="2"/>
        <v>-7.7911313717364816E-3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42423</v>
      </c>
      <c r="X18" s="12">
        <v>120.64</v>
      </c>
      <c r="Y18" s="12">
        <v>121.8</v>
      </c>
      <c r="Z18" s="12">
        <v>120.27</v>
      </c>
      <c r="AA18" s="12">
        <v>121.15</v>
      </c>
      <c r="AB18" s="105">
        <v>2804400</v>
      </c>
      <c r="AC18" s="12">
        <v>120.65</v>
      </c>
      <c r="AD18" s="2">
        <f t="shared" si="1"/>
        <v>1.5300000000000011</v>
      </c>
      <c r="AE18" s="148">
        <f t="shared" si="2"/>
        <v>-9.9362424443150132E-4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42422</v>
      </c>
      <c r="X19" s="12">
        <v>119.1</v>
      </c>
      <c r="Y19" s="12">
        <v>122.14</v>
      </c>
      <c r="Z19" s="12">
        <v>118.96</v>
      </c>
      <c r="AA19" s="12">
        <v>121.27</v>
      </c>
      <c r="AB19" s="105">
        <v>5054800</v>
      </c>
      <c r="AC19" s="12">
        <v>120.77</v>
      </c>
      <c r="AD19" s="2">
        <f t="shared" si="1"/>
        <v>3.1800000000000068</v>
      </c>
      <c r="AE19" s="148">
        <f t="shared" si="2"/>
        <v>3.046075085324218E-2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42419</v>
      </c>
      <c r="X20" s="12">
        <v>117.5</v>
      </c>
      <c r="Y20" s="12">
        <v>118.55</v>
      </c>
      <c r="Z20" s="12">
        <v>116.02</v>
      </c>
      <c r="AA20" s="12">
        <v>117.68</v>
      </c>
      <c r="AB20" s="105">
        <v>4481400</v>
      </c>
      <c r="AC20" s="12">
        <v>117.2</v>
      </c>
      <c r="AD20" s="2">
        <f t="shared" si="1"/>
        <v>2.5300000000000011</v>
      </c>
      <c r="AE20" s="148">
        <f t="shared" si="2"/>
        <v>1.9663161494400949E-3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42418</v>
      </c>
      <c r="X21" s="12">
        <v>118.5</v>
      </c>
      <c r="Y21" s="12">
        <v>120</v>
      </c>
      <c r="Z21" s="12">
        <v>117.06</v>
      </c>
      <c r="AA21" s="12">
        <v>117.45</v>
      </c>
      <c r="AB21" s="105">
        <v>3847100</v>
      </c>
      <c r="AC21" s="12">
        <v>116.97</v>
      </c>
      <c r="AD21" s="2">
        <f t="shared" si="1"/>
        <v>2.9399999999999977</v>
      </c>
      <c r="AE21" s="148">
        <f t="shared" si="2"/>
        <v>-7.1301247771836662E-3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42417</v>
      </c>
      <c r="X22" s="12">
        <v>115.5</v>
      </c>
      <c r="Y22" s="12">
        <v>118.39</v>
      </c>
      <c r="Z22" s="12">
        <v>115.2</v>
      </c>
      <c r="AA22" s="12">
        <v>118.3</v>
      </c>
      <c r="AB22" s="105">
        <v>4466000</v>
      </c>
      <c r="AC22" s="12">
        <v>117.81</v>
      </c>
      <c r="AD22" s="2">
        <f t="shared" si="1"/>
        <v>3.1899999999999977</v>
      </c>
      <c r="AE22" s="148">
        <f t="shared" si="2"/>
        <v>2.7293337983955279E-2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42416</v>
      </c>
      <c r="X23" s="12">
        <v>112.63</v>
      </c>
      <c r="Y23" s="12">
        <v>115.27</v>
      </c>
      <c r="Z23" s="12">
        <v>112.53</v>
      </c>
      <c r="AA23" s="12">
        <v>115.15</v>
      </c>
      <c r="AB23" s="105">
        <v>3445700</v>
      </c>
      <c r="AC23" s="12">
        <v>114.68</v>
      </c>
      <c r="AD23" s="2">
        <f t="shared" si="1"/>
        <v>2.7399999999999949</v>
      </c>
      <c r="AE23" s="148">
        <f t="shared" si="2"/>
        <v>2.9813218390804641E-2</v>
      </c>
    </row>
    <row r="24" spans="2:31" x14ac:dyDescent="0.25">
      <c r="G24" s="3"/>
      <c r="H24" s="262"/>
      <c r="W24" s="143">
        <v>42412</v>
      </c>
      <c r="X24" s="12">
        <v>111.2</v>
      </c>
      <c r="Y24" s="12">
        <v>111.91</v>
      </c>
      <c r="Z24" s="12">
        <v>110.21</v>
      </c>
      <c r="AA24" s="12">
        <v>111.82</v>
      </c>
      <c r="AB24" s="105">
        <v>2552100</v>
      </c>
      <c r="AC24" s="12">
        <v>111.36</v>
      </c>
      <c r="AD24" s="2">
        <f t="shared" si="1"/>
        <v>1.7000000000000028</v>
      </c>
      <c r="AE24" s="148">
        <f t="shared" si="2"/>
        <v>1.0801488608514154E-2</v>
      </c>
    </row>
    <row r="25" spans="2:31" x14ac:dyDescent="0.25">
      <c r="W25" s="143">
        <v>42411</v>
      </c>
      <c r="X25" s="12">
        <v>111.32</v>
      </c>
      <c r="Y25" s="12">
        <v>111.69</v>
      </c>
      <c r="Z25" s="12">
        <v>110.09</v>
      </c>
      <c r="AA25" s="12">
        <v>110.62</v>
      </c>
      <c r="AB25" s="105">
        <v>3955000</v>
      </c>
      <c r="AC25" s="12">
        <v>110.17</v>
      </c>
      <c r="AD25" s="2">
        <f t="shared" si="1"/>
        <v>1.5999999999999943</v>
      </c>
      <c r="AE25" s="148">
        <f t="shared" si="2"/>
        <v>-1.879230495190598E-2</v>
      </c>
    </row>
    <row r="26" spans="2:31" x14ac:dyDescent="0.25">
      <c r="W26" s="143">
        <v>42410</v>
      </c>
      <c r="X26" s="12">
        <v>111.33</v>
      </c>
      <c r="Y26" s="12">
        <v>114.48</v>
      </c>
      <c r="Z26" s="12">
        <v>111.33</v>
      </c>
      <c r="AA26" s="12">
        <v>112.74</v>
      </c>
      <c r="AB26" s="105">
        <v>3023200</v>
      </c>
      <c r="AC26" s="12">
        <v>112.28</v>
      </c>
      <c r="AD26" s="2">
        <f t="shared" si="1"/>
        <v>3.1500000000000057</v>
      </c>
      <c r="AE26" s="148">
        <f t="shared" si="2"/>
        <v>1.4272809394760611E-2</v>
      </c>
    </row>
    <row r="27" spans="2:31" x14ac:dyDescent="0.25">
      <c r="W27" s="143">
        <v>42409</v>
      </c>
      <c r="X27" s="12">
        <v>109.37</v>
      </c>
      <c r="Y27" s="12">
        <v>112.28</v>
      </c>
      <c r="Z27" s="12">
        <v>109.14</v>
      </c>
      <c r="AA27" s="12">
        <v>111.16</v>
      </c>
      <c r="AB27" s="105">
        <v>3680200</v>
      </c>
      <c r="AC27" s="12">
        <v>110.7</v>
      </c>
      <c r="AD27" s="2">
        <f t="shared" si="1"/>
        <v>3.1400000000000006</v>
      </c>
      <c r="AE27" s="148">
        <f t="shared" si="2"/>
        <v>1.0313041891028663E-2</v>
      </c>
    </row>
    <row r="28" spans="2:31" x14ac:dyDescent="0.25">
      <c r="W28" s="143">
        <v>42408</v>
      </c>
      <c r="X28" s="12">
        <v>110.5</v>
      </c>
      <c r="Y28" s="12">
        <v>111.12</v>
      </c>
      <c r="Z28" s="12">
        <v>108.83</v>
      </c>
      <c r="AA28" s="12">
        <v>110.02</v>
      </c>
      <c r="AB28" s="105">
        <v>5050200</v>
      </c>
      <c r="AC28" s="12">
        <v>109.57</v>
      </c>
      <c r="AD28" s="2">
        <f t="shared" si="1"/>
        <v>2.2900000000000063</v>
      </c>
      <c r="AE28" s="148">
        <f t="shared" si="2"/>
        <v>-1.5189645874528201E-2</v>
      </c>
    </row>
    <row r="29" spans="2:31" x14ac:dyDescent="0.25">
      <c r="W29" s="143">
        <v>42405</v>
      </c>
      <c r="X29" s="12">
        <v>114.07</v>
      </c>
      <c r="Y29" s="12">
        <v>114.21</v>
      </c>
      <c r="Z29" s="12">
        <v>110.9</v>
      </c>
      <c r="AA29" s="12">
        <v>111.72</v>
      </c>
      <c r="AB29" s="105">
        <v>3330800</v>
      </c>
      <c r="AC29" s="12">
        <v>111.26</v>
      </c>
      <c r="AD29" s="2">
        <f t="shared" si="1"/>
        <v>3.3099999999999881</v>
      </c>
      <c r="AE29" s="148">
        <f t="shared" si="2"/>
        <v>-2.1718104282071549E-2</v>
      </c>
    </row>
    <row r="30" spans="2:31" x14ac:dyDescent="0.25">
      <c r="W30" s="143">
        <v>42404</v>
      </c>
      <c r="X30" s="12">
        <v>112.67</v>
      </c>
      <c r="Y30" s="12">
        <v>114.55</v>
      </c>
      <c r="Z30" s="12">
        <v>112.04</v>
      </c>
      <c r="AA30" s="12">
        <v>114.2</v>
      </c>
      <c r="AB30" s="105">
        <v>3608300</v>
      </c>
      <c r="AC30" s="12">
        <v>113.73</v>
      </c>
      <c r="AD30" s="2">
        <f t="shared" si="1"/>
        <v>2.5099999999999909</v>
      </c>
      <c r="AE30" s="148">
        <f t="shared" si="2"/>
        <v>1.282393801763293E-2</v>
      </c>
    </row>
    <row r="31" spans="2:31" x14ac:dyDescent="0.25">
      <c r="W31" s="143">
        <v>42403</v>
      </c>
      <c r="X31" s="12">
        <v>114.37</v>
      </c>
      <c r="Y31" s="12">
        <v>114.37</v>
      </c>
      <c r="Z31" s="12">
        <v>110.3</v>
      </c>
      <c r="AA31" s="12">
        <v>112.75</v>
      </c>
      <c r="AB31" s="105">
        <v>3462300</v>
      </c>
      <c r="AC31" s="12">
        <v>112.29</v>
      </c>
      <c r="AD31" s="2">
        <f t="shared" si="1"/>
        <v>4.0700000000000074</v>
      </c>
      <c r="AE31" s="148">
        <f t="shared" si="2"/>
        <v>-9.875672339299757E-3</v>
      </c>
    </row>
    <row r="32" spans="2:31" x14ac:dyDescent="0.25">
      <c r="W32" s="143">
        <v>42402</v>
      </c>
      <c r="X32" s="12">
        <v>114.95</v>
      </c>
      <c r="Y32" s="12">
        <v>115.39</v>
      </c>
      <c r="Z32" s="12">
        <v>113.27</v>
      </c>
      <c r="AA32" s="12">
        <v>113.88</v>
      </c>
      <c r="AB32" s="105">
        <v>2997700</v>
      </c>
      <c r="AC32" s="12">
        <v>113.41</v>
      </c>
      <c r="AD32" s="2">
        <f t="shared" si="1"/>
        <v>2.1200000000000045</v>
      </c>
      <c r="AE32" s="148">
        <f t="shared" si="2"/>
        <v>-1.7329520838748835E-2</v>
      </c>
    </row>
    <row r="33" spans="15:31" x14ac:dyDescent="0.25">
      <c r="W33" s="143">
        <v>42401</v>
      </c>
      <c r="X33" s="12">
        <v>114.83</v>
      </c>
      <c r="Y33" s="12">
        <v>116.15</v>
      </c>
      <c r="Z33" s="12">
        <v>114.11</v>
      </c>
      <c r="AA33" s="12">
        <v>115.89</v>
      </c>
      <c r="AB33" s="105">
        <v>4333500</v>
      </c>
      <c r="AC33" s="12">
        <v>115.41</v>
      </c>
      <c r="AD33" s="2">
        <f t="shared" si="1"/>
        <v>2.0400000000000063</v>
      </c>
      <c r="AE33" s="148">
        <f t="shared" si="2"/>
        <v>6.2777923097043775E-3</v>
      </c>
    </row>
    <row r="34" spans="15:31" x14ac:dyDescent="0.25">
      <c r="W34" s="143">
        <v>42398</v>
      </c>
      <c r="X34" s="12">
        <v>111.93</v>
      </c>
      <c r="Y34" s="12">
        <v>115.16</v>
      </c>
      <c r="Z34" s="12">
        <v>110.62</v>
      </c>
      <c r="AA34" s="12">
        <v>115.16</v>
      </c>
      <c r="AB34" s="105">
        <v>5280800</v>
      </c>
      <c r="AC34" s="12">
        <v>114.69</v>
      </c>
      <c r="AD34" s="2">
        <f t="shared" si="1"/>
        <v>4.539999999999992</v>
      </c>
      <c r="AE34" s="148">
        <f t="shared" si="2"/>
        <v>3.3988460151460398E-2</v>
      </c>
    </row>
    <row r="35" spans="15:31" x14ac:dyDescent="0.25">
      <c r="W35" s="143">
        <v>42397</v>
      </c>
      <c r="X35" s="12">
        <v>112.29</v>
      </c>
      <c r="Y35" s="12">
        <v>113.25</v>
      </c>
      <c r="Z35" s="12">
        <v>110.61</v>
      </c>
      <c r="AA35" s="12">
        <v>111.38</v>
      </c>
      <c r="AB35" s="105">
        <v>3525600</v>
      </c>
      <c r="AC35" s="12">
        <v>110.92</v>
      </c>
      <c r="AD35" s="2">
        <f t="shared" si="1"/>
        <v>2.6400000000000006</v>
      </c>
      <c r="AE35" s="148">
        <f t="shared" si="2"/>
        <v>-8.4919996424421829E-3</v>
      </c>
    </row>
    <row r="36" spans="15:31" x14ac:dyDescent="0.25">
      <c r="W36" s="143">
        <v>42396</v>
      </c>
      <c r="X36" s="12">
        <v>114.43</v>
      </c>
      <c r="Y36" s="12">
        <v>114.81</v>
      </c>
      <c r="Z36" s="12">
        <v>111.84</v>
      </c>
      <c r="AA36" s="12">
        <v>112.33</v>
      </c>
      <c r="AB36" s="105">
        <v>4720300</v>
      </c>
      <c r="AC36" s="12">
        <v>111.87</v>
      </c>
      <c r="AD36" s="2">
        <f t="shared" si="1"/>
        <v>2.9699999999999989</v>
      </c>
      <c r="AE36" s="148">
        <f t="shared" si="2"/>
        <v>-1.4274385408405976E-2</v>
      </c>
    </row>
    <row r="37" spans="15:31" x14ac:dyDescent="0.25">
      <c r="W37" s="143">
        <v>42395</v>
      </c>
      <c r="X37" s="12">
        <v>112.91</v>
      </c>
      <c r="Y37" s="12">
        <v>114.18</v>
      </c>
      <c r="Z37" s="12">
        <v>111.76</v>
      </c>
      <c r="AA37" s="12">
        <v>113.96</v>
      </c>
      <c r="AB37" s="105">
        <v>4592500</v>
      </c>
      <c r="AC37" s="12">
        <v>113.49</v>
      </c>
      <c r="AD37" s="2">
        <f t="shared" si="1"/>
        <v>2.4200000000000017</v>
      </c>
      <c r="AE37" s="148">
        <f t="shared" si="2"/>
        <v>5.136834647063937E-3</v>
      </c>
    </row>
    <row r="38" spans="15:31" x14ac:dyDescent="0.25">
      <c r="W38" s="143">
        <v>42394</v>
      </c>
      <c r="X38" s="12">
        <v>114.52</v>
      </c>
      <c r="Y38" s="12">
        <v>115.31</v>
      </c>
      <c r="Z38" s="12">
        <v>112.85</v>
      </c>
      <c r="AA38" s="12">
        <v>113.38</v>
      </c>
      <c r="AB38" s="105">
        <v>2908500</v>
      </c>
      <c r="AC38" s="12">
        <v>112.91</v>
      </c>
      <c r="AD38" s="2">
        <f t="shared" si="1"/>
        <v>2.460000000000008</v>
      </c>
      <c r="AE38" s="148">
        <f t="shared" si="2"/>
        <v>-8.3435798348849843E-3</v>
      </c>
    </row>
    <row r="39" spans="15:31" x14ac:dyDescent="0.25">
      <c r="W39" s="143">
        <v>42391</v>
      </c>
      <c r="X39" s="12">
        <v>114.67</v>
      </c>
      <c r="Y39" s="12">
        <v>115.15</v>
      </c>
      <c r="Z39" s="12">
        <v>113.89</v>
      </c>
      <c r="AA39" s="12">
        <v>114.33</v>
      </c>
      <c r="AB39" s="105">
        <v>3622200</v>
      </c>
      <c r="AC39" s="12">
        <v>113.86</v>
      </c>
      <c r="AD39" s="2">
        <f t="shared" si="1"/>
        <v>1.2600000000000051</v>
      </c>
      <c r="AE39" s="148">
        <f t="shared" si="2"/>
        <v>7.3431832256922736E-3</v>
      </c>
    </row>
    <row r="40" spans="15:31" x14ac:dyDescent="0.25">
      <c r="O40" s="37"/>
      <c r="W40" s="143">
        <v>42390</v>
      </c>
      <c r="X40" s="12">
        <v>114.67</v>
      </c>
      <c r="Y40" s="12">
        <v>115.48</v>
      </c>
      <c r="Z40" s="12">
        <v>112.26</v>
      </c>
      <c r="AA40" s="12">
        <v>113.5</v>
      </c>
      <c r="AB40" s="105">
        <v>5413900</v>
      </c>
      <c r="AC40" s="12">
        <v>113.03</v>
      </c>
      <c r="AD40" s="2">
        <f t="shared" si="1"/>
        <v>3.2199999999999989</v>
      </c>
      <c r="AE40" s="148">
        <f t="shared" si="2"/>
        <v>-1.128411476557023E-2</v>
      </c>
    </row>
    <row r="41" spans="15:31" ht="20.25" thickBot="1" x14ac:dyDescent="0.35">
      <c r="O41" s="408" t="s">
        <v>78</v>
      </c>
      <c r="P41" s="408"/>
      <c r="Q41" s="37"/>
      <c r="T41" s="101" t="s">
        <v>116</v>
      </c>
      <c r="W41" s="143">
        <v>42389</v>
      </c>
      <c r="X41" s="12">
        <v>112.09</v>
      </c>
      <c r="Y41" s="12">
        <v>115.74</v>
      </c>
      <c r="Z41" s="12">
        <v>110.15</v>
      </c>
      <c r="AA41" s="12">
        <v>114.79</v>
      </c>
      <c r="AB41" s="105">
        <v>8380700</v>
      </c>
      <c r="AC41" s="12">
        <v>114.32</v>
      </c>
      <c r="AD41" s="2">
        <f t="shared" si="1"/>
        <v>5.5899999999999892</v>
      </c>
      <c r="AE41" s="148">
        <f t="shared" si="2"/>
        <v>1.9621833749553952E-2</v>
      </c>
    </row>
    <row r="42" spans="15:31" ht="15.75" thickTop="1" x14ac:dyDescent="0.25">
      <c r="O42" s="93">
        <v>1.1000000000000001</v>
      </c>
      <c r="P42" s="93">
        <f>O42*$Q$4</f>
        <v>137.39000000000001</v>
      </c>
      <c r="Q42" s="37"/>
      <c r="T42" s="138" t="s">
        <v>101</v>
      </c>
      <c r="U42" s="108">
        <v>125.22</v>
      </c>
      <c r="W42" s="143">
        <v>42388</v>
      </c>
      <c r="X42" s="12">
        <v>111.49</v>
      </c>
      <c r="Y42" s="12">
        <v>114.16</v>
      </c>
      <c r="Z42" s="12">
        <v>109.6</v>
      </c>
      <c r="AA42" s="12">
        <v>112.58</v>
      </c>
      <c r="AB42" s="105">
        <v>7122800</v>
      </c>
      <c r="AC42" s="12">
        <v>112.12</v>
      </c>
      <c r="AD42" s="2">
        <f t="shared" si="1"/>
        <v>4.5600000000000023</v>
      </c>
      <c r="AE42" s="148">
        <f t="shared" si="2"/>
        <v>3.032530784782228E-2</v>
      </c>
    </row>
    <row r="43" spans="15:31" x14ac:dyDescent="0.25">
      <c r="O43" s="93">
        <v>1.0900000000000001</v>
      </c>
      <c r="P43" s="93">
        <f t="shared" ref="P43:P62" si="5">O43*$Q$4</f>
        <v>136.14100000000002</v>
      </c>
      <c r="Q43" s="37"/>
      <c r="T43" s="103" t="s">
        <v>102</v>
      </c>
      <c r="U43" s="98">
        <v>124.54</v>
      </c>
      <c r="W43" s="143">
        <v>42384</v>
      </c>
      <c r="X43" s="12">
        <v>109.08</v>
      </c>
      <c r="Y43" s="12">
        <v>110.65</v>
      </c>
      <c r="Z43" s="12">
        <v>107.79</v>
      </c>
      <c r="AA43" s="12">
        <v>109.27</v>
      </c>
      <c r="AB43" s="105">
        <v>6357000</v>
      </c>
      <c r="AC43" s="12">
        <v>108.82</v>
      </c>
      <c r="AD43" s="2">
        <f t="shared" si="1"/>
        <v>2.8599999999999994</v>
      </c>
      <c r="AE43" s="148">
        <f t="shared" si="2"/>
        <v>-1.341795104261112E-2</v>
      </c>
    </row>
    <row r="44" spans="15:31" x14ac:dyDescent="0.25">
      <c r="O44" s="93">
        <v>1.08</v>
      </c>
      <c r="P44" s="93">
        <f t="shared" si="5"/>
        <v>134.89200000000002</v>
      </c>
      <c r="Q44" s="37"/>
      <c r="T44" s="103" t="s">
        <v>103</v>
      </c>
      <c r="U44" s="98" t="s">
        <v>391</v>
      </c>
      <c r="W44" s="143">
        <v>42383</v>
      </c>
      <c r="X44" s="12">
        <v>108.74</v>
      </c>
      <c r="Y44" s="12">
        <v>111.8</v>
      </c>
      <c r="Z44" s="12">
        <v>107.51</v>
      </c>
      <c r="AA44" s="12">
        <v>110.76</v>
      </c>
      <c r="AB44" s="105">
        <v>4238200</v>
      </c>
      <c r="AC44" s="12">
        <v>110.3</v>
      </c>
      <c r="AD44" s="2">
        <f t="shared" si="1"/>
        <v>4.289999999999992</v>
      </c>
      <c r="AE44" s="148">
        <f t="shared" si="2"/>
        <v>1.3973156830299649E-2</v>
      </c>
    </row>
    <row r="45" spans="15:31" x14ac:dyDescent="0.25">
      <c r="O45" s="93">
        <v>1.07</v>
      </c>
      <c r="P45" s="93">
        <f t="shared" si="5"/>
        <v>133.643</v>
      </c>
      <c r="Q45" s="93"/>
      <c r="T45" s="103" t="s">
        <v>104</v>
      </c>
      <c r="U45" s="98" t="s">
        <v>392</v>
      </c>
      <c r="W45" s="143">
        <v>42382</v>
      </c>
      <c r="X45" s="12">
        <v>112.41</v>
      </c>
      <c r="Y45" s="12">
        <v>113.04</v>
      </c>
      <c r="Z45" s="12">
        <v>108.93</v>
      </c>
      <c r="AA45" s="12">
        <v>109.23</v>
      </c>
      <c r="AB45" s="105">
        <v>3434300</v>
      </c>
      <c r="AC45" s="12">
        <v>108.78</v>
      </c>
      <c r="AD45" s="2">
        <f t="shared" si="1"/>
        <v>4.1099999999999994</v>
      </c>
      <c r="AE45" s="148">
        <f t="shared" si="2"/>
        <v>-2.7012522361359537E-2</v>
      </c>
    </row>
    <row r="46" spans="15:31" x14ac:dyDescent="0.25">
      <c r="O46" s="93">
        <v>1.06</v>
      </c>
      <c r="P46" s="93">
        <f t="shared" si="5"/>
        <v>132.39400000000001</v>
      </c>
      <c r="Q46" s="93"/>
      <c r="T46" s="103" t="s">
        <v>105</v>
      </c>
      <c r="U46" s="98">
        <v>141.58000000000001</v>
      </c>
      <c r="W46" s="143">
        <v>42381</v>
      </c>
      <c r="X46" s="12">
        <v>110.36</v>
      </c>
      <c r="Y46" s="12">
        <v>113.13</v>
      </c>
      <c r="Z46" s="12">
        <v>110.05</v>
      </c>
      <c r="AA46" s="12">
        <v>112.26</v>
      </c>
      <c r="AB46" s="105">
        <v>4037800</v>
      </c>
      <c r="AC46" s="12">
        <v>111.8</v>
      </c>
      <c r="AD46" s="2">
        <f t="shared" si="1"/>
        <v>3.0799999999999983</v>
      </c>
      <c r="AE46" s="148">
        <f t="shared" si="2"/>
        <v>2.446623293319905E-2</v>
      </c>
    </row>
    <row r="47" spans="15:31" x14ac:dyDescent="0.25">
      <c r="O47" s="93">
        <v>1.05</v>
      </c>
      <c r="P47" s="93">
        <f t="shared" si="5"/>
        <v>131.14500000000001</v>
      </c>
      <c r="Q47" s="93"/>
      <c r="T47" s="103" t="s">
        <v>106</v>
      </c>
      <c r="U47" s="98">
        <v>0.62180000000000002</v>
      </c>
      <c r="W47" s="143">
        <v>42380</v>
      </c>
      <c r="X47" s="12">
        <v>110.51</v>
      </c>
      <c r="Y47" s="12">
        <v>110.62</v>
      </c>
      <c r="Z47" s="12">
        <v>108.19</v>
      </c>
      <c r="AA47" s="12">
        <v>109.58</v>
      </c>
      <c r="AB47" s="105">
        <v>4525800</v>
      </c>
      <c r="AC47" s="12">
        <v>109.13</v>
      </c>
      <c r="AD47" s="2">
        <f t="shared" si="1"/>
        <v>2.4300000000000068</v>
      </c>
      <c r="AE47" s="148">
        <f t="shared" si="2"/>
        <v>-5.28666484367879E-3</v>
      </c>
    </row>
    <row r="48" spans="15:31" x14ac:dyDescent="0.25">
      <c r="O48" s="93">
        <v>1.04</v>
      </c>
      <c r="P48" s="93">
        <f t="shared" si="5"/>
        <v>129.89600000000002</v>
      </c>
      <c r="Q48" s="93"/>
      <c r="T48" s="103" t="s">
        <v>107</v>
      </c>
      <c r="U48" s="98" t="s">
        <v>134</v>
      </c>
      <c r="W48" s="143">
        <v>42377</v>
      </c>
      <c r="X48" s="12">
        <v>112.35</v>
      </c>
      <c r="Y48" s="12">
        <v>113</v>
      </c>
      <c r="Z48" s="12">
        <v>109.76</v>
      </c>
      <c r="AA48" s="12">
        <v>110.16</v>
      </c>
      <c r="AB48" s="105">
        <v>4422400</v>
      </c>
      <c r="AC48" s="12">
        <v>109.71</v>
      </c>
      <c r="AD48" s="2">
        <f t="shared" si="1"/>
        <v>3.2399999999999949</v>
      </c>
      <c r="AE48" s="148">
        <f t="shared" si="2"/>
        <v>-1.7199677506046784E-2</v>
      </c>
    </row>
    <row r="49" spans="15:31" x14ac:dyDescent="0.25">
      <c r="O49" s="93">
        <v>1.03</v>
      </c>
      <c r="P49" s="93">
        <f t="shared" si="5"/>
        <v>128.64700000000002</v>
      </c>
      <c r="Q49" s="93"/>
      <c r="T49" s="103"/>
      <c r="U49" s="98"/>
      <c r="W49" s="143">
        <v>42376</v>
      </c>
      <c r="X49" s="12">
        <v>113.63</v>
      </c>
      <c r="Y49" s="12">
        <v>114.09</v>
      </c>
      <c r="Z49" s="12">
        <v>111.42</v>
      </c>
      <c r="AA49" s="12">
        <v>112.09</v>
      </c>
      <c r="AB49" s="105">
        <v>5277200</v>
      </c>
      <c r="AC49" s="12">
        <v>111.63</v>
      </c>
      <c r="AD49" s="2">
        <f t="shared" si="1"/>
        <v>2.6700000000000017</v>
      </c>
      <c r="AE49" s="148">
        <f t="shared" si="2"/>
        <v>-2.9473135106937942E-2</v>
      </c>
    </row>
    <row r="50" spans="15:31" x14ac:dyDescent="0.25">
      <c r="O50" s="93">
        <v>1.02</v>
      </c>
      <c r="P50" s="93">
        <f t="shared" si="5"/>
        <v>127.39800000000001</v>
      </c>
      <c r="Q50" s="93"/>
      <c r="T50" s="103" t="s">
        <v>108</v>
      </c>
      <c r="U50" s="98" t="s">
        <v>393</v>
      </c>
      <c r="W50" s="143">
        <v>42375</v>
      </c>
      <c r="X50" s="12">
        <v>115.78</v>
      </c>
      <c r="Y50" s="12">
        <v>116.65</v>
      </c>
      <c r="Z50" s="12">
        <v>114.5</v>
      </c>
      <c r="AA50" s="12">
        <v>115.49</v>
      </c>
      <c r="AB50" s="105">
        <v>2677300</v>
      </c>
      <c r="AC50" s="12">
        <v>115.02</v>
      </c>
      <c r="AD50" s="2">
        <f t="shared" si="1"/>
        <v>2.1500000000000057</v>
      </c>
      <c r="AE50" s="148">
        <f t="shared" si="2"/>
        <v>-1.0154905335628239E-2</v>
      </c>
    </row>
    <row r="51" spans="15:31" x14ac:dyDescent="0.25">
      <c r="O51" s="93">
        <v>1.01</v>
      </c>
      <c r="P51" s="93">
        <f t="shared" si="5"/>
        <v>126.149</v>
      </c>
      <c r="Q51" s="93"/>
      <c r="T51" s="103" t="s">
        <v>109</v>
      </c>
      <c r="U51" s="98" t="s">
        <v>181</v>
      </c>
      <c r="W51" s="143">
        <v>42374</v>
      </c>
      <c r="X51" s="12">
        <v>116.72</v>
      </c>
      <c r="Y51" s="12">
        <v>117.89</v>
      </c>
      <c r="Z51" s="12">
        <v>116.21</v>
      </c>
      <c r="AA51" s="12">
        <v>116.68</v>
      </c>
      <c r="AB51" s="105">
        <v>2816800</v>
      </c>
      <c r="AC51" s="12">
        <v>116.2</v>
      </c>
      <c r="AD51" s="2">
        <f t="shared" si="1"/>
        <v>1.6800000000000068</v>
      </c>
      <c r="AE51" s="148">
        <f t="shared" si="2"/>
        <v>1.8968787722020153E-3</v>
      </c>
    </row>
    <row r="52" spans="15:31" x14ac:dyDescent="0.25">
      <c r="O52" s="93">
        <v>1</v>
      </c>
      <c r="P52" s="93">
        <f t="shared" si="5"/>
        <v>124.9</v>
      </c>
      <c r="Q52" s="93"/>
      <c r="T52" s="103" t="s">
        <v>110</v>
      </c>
      <c r="U52" s="100">
        <v>2610268</v>
      </c>
      <c r="W52" s="143">
        <v>42373</v>
      </c>
      <c r="X52" s="12">
        <v>116.91</v>
      </c>
      <c r="Y52" s="12">
        <v>116.91</v>
      </c>
      <c r="Z52" s="12">
        <v>114.53</v>
      </c>
      <c r="AA52" s="12">
        <v>116.46</v>
      </c>
      <c r="AB52" s="105">
        <v>4991000</v>
      </c>
      <c r="AC52" s="12">
        <v>115.98</v>
      </c>
      <c r="AD52" s="2">
        <f t="shared" si="1"/>
        <v>2.3799999999999955</v>
      </c>
      <c r="AE52" s="148">
        <f t="shared" si="2"/>
        <v>-1.007169682485487E-2</v>
      </c>
    </row>
    <row r="53" spans="15:31" x14ac:dyDescent="0.25">
      <c r="O53" s="93">
        <v>0.99</v>
      </c>
      <c r="P53" s="93">
        <f t="shared" si="5"/>
        <v>123.65100000000001</v>
      </c>
      <c r="Q53" s="93"/>
      <c r="T53" s="103" t="s">
        <v>113</v>
      </c>
      <c r="U53" s="100">
        <v>3664510</v>
      </c>
      <c r="W53" s="143">
        <v>42369</v>
      </c>
      <c r="X53" s="12">
        <v>118.64</v>
      </c>
      <c r="Y53" s="12">
        <v>119.37</v>
      </c>
      <c r="Z53" s="12">
        <v>117.36</v>
      </c>
      <c r="AA53" s="12">
        <v>117.64</v>
      </c>
      <c r="AB53" s="105">
        <v>2372500</v>
      </c>
      <c r="AC53" s="12">
        <v>117.16</v>
      </c>
      <c r="AD53" s="2">
        <f t="shared" si="1"/>
        <v>2.0100000000000051</v>
      </c>
      <c r="AE53" s="148">
        <f t="shared" si="2"/>
        <v>-1.072363421430389E-2</v>
      </c>
    </row>
    <row r="54" spans="15:31" x14ac:dyDescent="0.25">
      <c r="O54" s="93">
        <v>0.98</v>
      </c>
      <c r="P54" s="93">
        <f t="shared" si="5"/>
        <v>122.402</v>
      </c>
      <c r="Q54" s="93"/>
      <c r="T54" s="103" t="s">
        <v>111</v>
      </c>
      <c r="U54" s="98" t="s">
        <v>394</v>
      </c>
      <c r="W54" s="143">
        <v>42368</v>
      </c>
      <c r="X54" s="12">
        <v>120.03</v>
      </c>
      <c r="Y54" s="12">
        <v>120.11</v>
      </c>
      <c r="Z54" s="12">
        <v>118.66</v>
      </c>
      <c r="AA54" s="12">
        <v>118.92</v>
      </c>
      <c r="AB54" s="105">
        <v>1747700</v>
      </c>
      <c r="AC54" s="12">
        <v>118.43</v>
      </c>
      <c r="AD54" s="2">
        <f t="shared" si="1"/>
        <v>1.4500000000000028</v>
      </c>
      <c r="AE54" s="148">
        <f t="shared" si="2"/>
        <v>-7.5421101148076541E-3</v>
      </c>
    </row>
    <row r="55" spans="15:31" x14ac:dyDescent="0.25">
      <c r="O55" s="93">
        <v>0.97</v>
      </c>
      <c r="P55" s="93">
        <f t="shared" si="5"/>
        <v>121.15300000000001</v>
      </c>
      <c r="Q55" s="93"/>
      <c r="T55" s="103" t="s">
        <v>114</v>
      </c>
      <c r="U55" s="98">
        <v>20.77</v>
      </c>
      <c r="W55" s="143">
        <v>42367</v>
      </c>
      <c r="X55" s="12">
        <v>118.87</v>
      </c>
      <c r="Y55" s="12">
        <v>120.41</v>
      </c>
      <c r="Z55" s="12">
        <v>118.7</v>
      </c>
      <c r="AA55" s="12">
        <v>119.82</v>
      </c>
      <c r="AB55" s="105">
        <v>2027600</v>
      </c>
      <c r="AC55" s="12">
        <v>119.33</v>
      </c>
      <c r="AD55" s="2">
        <f t="shared" si="1"/>
        <v>1.7099999999999937</v>
      </c>
      <c r="AE55" s="148">
        <f t="shared" si="2"/>
        <v>1.2644263408010836E-2</v>
      </c>
    </row>
    <row r="56" spans="15:31" x14ac:dyDescent="0.25">
      <c r="O56" s="93">
        <v>0.96</v>
      </c>
      <c r="P56" s="93">
        <f t="shared" si="5"/>
        <v>119.904</v>
      </c>
      <c r="Q56" s="93"/>
      <c r="T56" s="103" t="s">
        <v>115</v>
      </c>
      <c r="U56" s="98">
        <v>6.01</v>
      </c>
      <c r="W56" s="143">
        <v>42366</v>
      </c>
      <c r="X56" s="12">
        <v>118.26</v>
      </c>
      <c r="Y56" s="12">
        <v>118.61</v>
      </c>
      <c r="Z56" s="12">
        <v>117.38</v>
      </c>
      <c r="AA56" s="12">
        <v>118.33</v>
      </c>
      <c r="AB56" s="105">
        <v>1582600</v>
      </c>
      <c r="AC56" s="12">
        <v>117.84</v>
      </c>
      <c r="AD56" s="2">
        <f t="shared" si="1"/>
        <v>1.230000000000004</v>
      </c>
      <c r="AE56" s="148">
        <f t="shared" si="2"/>
        <v>-8.485362749244274E-5</v>
      </c>
    </row>
    <row r="57" spans="15:31" x14ac:dyDescent="0.25">
      <c r="O57" s="93">
        <v>0.95</v>
      </c>
      <c r="P57" s="93">
        <f t="shared" si="5"/>
        <v>118.655</v>
      </c>
      <c r="Q57" s="93"/>
      <c r="T57" s="103" t="s">
        <v>112</v>
      </c>
      <c r="U57" s="98" t="s">
        <v>395</v>
      </c>
      <c r="W57" s="143">
        <v>42362</v>
      </c>
      <c r="X57" s="12">
        <v>118.53</v>
      </c>
      <c r="Y57" s="12">
        <v>119.18</v>
      </c>
      <c r="Z57" s="12">
        <v>118.29</v>
      </c>
      <c r="AA57" s="12">
        <v>118.34</v>
      </c>
      <c r="AB57" s="105">
        <v>900100</v>
      </c>
      <c r="AC57" s="12">
        <v>117.85</v>
      </c>
      <c r="AD57" s="2">
        <f t="shared" si="1"/>
        <v>0.89000000000000057</v>
      </c>
      <c r="AE57" s="148">
        <f t="shared" si="2"/>
        <v>-2.9610829103215996E-3</v>
      </c>
    </row>
    <row r="58" spans="15:31" x14ac:dyDescent="0.25">
      <c r="O58" s="93">
        <v>0.94</v>
      </c>
      <c r="P58" s="93">
        <f t="shared" si="5"/>
        <v>117.40599999999999</v>
      </c>
      <c r="Q58" s="93"/>
      <c r="W58" s="143">
        <v>42361</v>
      </c>
      <c r="X58" s="12">
        <v>117.9</v>
      </c>
      <c r="Y58" s="12">
        <v>118.83</v>
      </c>
      <c r="Z58" s="12">
        <v>117.55</v>
      </c>
      <c r="AA58" s="12">
        <v>118.69</v>
      </c>
      <c r="AB58" s="105">
        <v>2479600</v>
      </c>
      <c r="AC58" s="12">
        <v>118.2</v>
      </c>
      <c r="AD58" s="2">
        <f t="shared" si="1"/>
        <v>1.2800000000000011</v>
      </c>
      <c r="AE58" s="148">
        <f t="shared" si="2"/>
        <v>1.0601915184678568E-2</v>
      </c>
    </row>
    <row r="59" spans="15:31" x14ac:dyDescent="0.25">
      <c r="O59" s="93">
        <v>0.93</v>
      </c>
      <c r="P59" s="93">
        <f t="shared" si="5"/>
        <v>116.15700000000001</v>
      </c>
      <c r="Q59" s="93"/>
      <c r="W59" s="143">
        <v>42360</v>
      </c>
      <c r="X59" s="12">
        <v>118.19</v>
      </c>
      <c r="Y59" s="12">
        <v>118.34</v>
      </c>
      <c r="Z59" s="12">
        <v>116.21</v>
      </c>
      <c r="AA59" s="12">
        <v>117.44</v>
      </c>
      <c r="AB59" s="105">
        <v>2821600</v>
      </c>
      <c r="AC59" s="12">
        <v>116.96</v>
      </c>
      <c r="AD59" s="2">
        <f t="shared" si="1"/>
        <v>2.1300000000000097</v>
      </c>
      <c r="AE59" s="148">
        <f t="shared" si="2"/>
        <v>2.565637560931755E-4</v>
      </c>
    </row>
    <row r="60" spans="15:31" x14ac:dyDescent="0.25">
      <c r="O60" s="93">
        <v>0.92</v>
      </c>
      <c r="P60" s="93">
        <f t="shared" si="5"/>
        <v>114.90800000000002</v>
      </c>
      <c r="Q60" s="93"/>
      <c r="W60" s="143">
        <v>42359</v>
      </c>
      <c r="X60" s="12">
        <v>116.57</v>
      </c>
      <c r="Y60" s="12">
        <v>117.77</v>
      </c>
      <c r="Z60" s="12">
        <v>116</v>
      </c>
      <c r="AA60" s="12">
        <v>117.41</v>
      </c>
      <c r="AB60" s="105">
        <v>3185200</v>
      </c>
      <c r="AC60" s="12">
        <v>116.93</v>
      </c>
      <c r="AD60" s="2">
        <f t="shared" si="1"/>
        <v>1.769999999999996</v>
      </c>
      <c r="AE60" s="148">
        <f t="shared" si="2"/>
        <v>1.3785330327726664E-2</v>
      </c>
    </row>
    <row r="61" spans="15:31" x14ac:dyDescent="0.25">
      <c r="O61" s="93">
        <v>0.91</v>
      </c>
      <c r="P61" s="93">
        <f t="shared" si="5"/>
        <v>113.65900000000001</v>
      </c>
      <c r="Q61" s="93"/>
      <c r="W61" s="143">
        <v>42356</v>
      </c>
      <c r="X61" s="12">
        <v>118.61</v>
      </c>
      <c r="Y61" s="12">
        <v>118.86</v>
      </c>
      <c r="Z61" s="12">
        <v>115.82</v>
      </c>
      <c r="AA61" s="12">
        <v>115.82</v>
      </c>
      <c r="AB61" s="105">
        <v>7574800</v>
      </c>
      <c r="AC61" s="12">
        <v>115.34</v>
      </c>
      <c r="AD61" s="2">
        <f t="shared" si="1"/>
        <v>3.0400000000000063</v>
      </c>
      <c r="AE61" s="148">
        <f t="shared" si="2"/>
        <v>-2.8552177208793106E-2</v>
      </c>
    </row>
    <row r="62" spans="15:31" x14ac:dyDescent="0.25">
      <c r="O62" s="93">
        <v>0.9</v>
      </c>
      <c r="P62" s="93">
        <f t="shared" si="5"/>
        <v>112.41000000000001</v>
      </c>
      <c r="Q62" s="93"/>
      <c r="W62" s="143">
        <v>42355</v>
      </c>
      <c r="X62" s="12">
        <v>118.83</v>
      </c>
      <c r="Y62" s="12">
        <v>121.09</v>
      </c>
      <c r="Z62" s="12">
        <v>118.64</v>
      </c>
      <c r="AA62" s="12">
        <v>119.22</v>
      </c>
      <c r="AB62" s="105">
        <v>3945800</v>
      </c>
      <c r="AC62" s="12">
        <v>118.73</v>
      </c>
      <c r="AD62" s="2">
        <f t="shared" si="1"/>
        <v>2.4500000000000028</v>
      </c>
      <c r="AE62" s="148">
        <f t="shared" si="2"/>
        <v>3.2955889809025418E-3</v>
      </c>
    </row>
    <row r="63" spans="15:31" x14ac:dyDescent="0.25">
      <c r="O63" s="37"/>
      <c r="W63" s="143">
        <v>42354</v>
      </c>
      <c r="X63" s="12">
        <v>118.3</v>
      </c>
      <c r="Y63" s="12">
        <v>119.76</v>
      </c>
      <c r="Z63" s="12">
        <v>116.9</v>
      </c>
      <c r="AA63" s="12">
        <v>118.83</v>
      </c>
      <c r="AB63" s="105">
        <v>3516900</v>
      </c>
      <c r="AC63" s="12">
        <v>118.34</v>
      </c>
      <c r="AD63" s="2">
        <f t="shared" si="1"/>
        <v>2.8599999999999994</v>
      </c>
      <c r="AE63" s="148">
        <f t="shared" si="2"/>
        <v>1.0330402117305626E-2</v>
      </c>
    </row>
    <row r="64" spans="15:31" x14ac:dyDescent="0.25">
      <c r="O64" s="37"/>
      <c r="W64" s="143">
        <v>42353</v>
      </c>
      <c r="X64" s="12">
        <v>116.87</v>
      </c>
      <c r="Y64" s="12">
        <v>118.5</v>
      </c>
      <c r="Z64" s="12">
        <v>116.66</v>
      </c>
      <c r="AA64" s="12">
        <v>117.61</v>
      </c>
      <c r="AB64" s="105">
        <v>3098100</v>
      </c>
      <c r="AC64" s="12">
        <v>117.13</v>
      </c>
      <c r="AD64" s="2">
        <f t="shared" si="1"/>
        <v>1.8400000000000034</v>
      </c>
      <c r="AE64" s="148">
        <f t="shared" si="2"/>
        <v>1.525526566698443E-2</v>
      </c>
    </row>
    <row r="65" spans="23:31" x14ac:dyDescent="0.25">
      <c r="W65" s="143">
        <v>42352</v>
      </c>
      <c r="X65" s="12">
        <v>115.88</v>
      </c>
      <c r="Y65" s="12">
        <v>116.74</v>
      </c>
      <c r="Z65" s="12">
        <v>114.43</v>
      </c>
      <c r="AA65" s="12">
        <v>115.85</v>
      </c>
      <c r="AB65" s="105">
        <v>3867200</v>
      </c>
      <c r="AC65" s="12">
        <v>115.37</v>
      </c>
      <c r="AD65" s="2">
        <f t="shared" si="1"/>
        <v>2.3099999999999881</v>
      </c>
      <c r="AE65" s="148">
        <f t="shared" si="2"/>
        <v>-1.1255411255410852E-3</v>
      </c>
    </row>
    <row r="66" spans="23:31" x14ac:dyDescent="0.25">
      <c r="W66" s="143">
        <v>42349</v>
      </c>
      <c r="X66" s="12">
        <v>116.21</v>
      </c>
      <c r="Y66" s="12">
        <v>117.34</v>
      </c>
      <c r="Z66" s="12">
        <v>114.62</v>
      </c>
      <c r="AA66" s="12">
        <v>115.98</v>
      </c>
      <c r="AB66" s="105">
        <v>3830800</v>
      </c>
      <c r="AC66" s="12">
        <v>115.5</v>
      </c>
      <c r="AD66" s="2">
        <f t="shared" si="1"/>
        <v>2.7199999999999989</v>
      </c>
      <c r="AE66" s="148">
        <f t="shared" si="2"/>
        <v>-1.9873844292750409E-3</v>
      </c>
    </row>
    <row r="67" spans="23:31" x14ac:dyDescent="0.25">
      <c r="W67" s="143">
        <v>42348</v>
      </c>
      <c r="X67" s="12">
        <v>115.05</v>
      </c>
      <c r="Y67" s="12">
        <v>117.05</v>
      </c>
      <c r="Z67" s="12">
        <v>114.34</v>
      </c>
      <c r="AA67" s="12">
        <v>116.21</v>
      </c>
      <c r="AB67" s="105">
        <v>3202600</v>
      </c>
      <c r="AC67" s="12">
        <v>115.73</v>
      </c>
      <c r="AD67" s="2">
        <f t="shared" ref="AD67:AD68" si="6">Y67-Z67</f>
        <v>2.7099999999999937</v>
      </c>
      <c r="AE67" s="148">
        <f t="shared" ref="AE67" si="7">AC67/AC68-1</f>
        <v>1.0036655611799672E-2</v>
      </c>
    </row>
    <row r="68" spans="23:31" x14ac:dyDescent="0.25">
      <c r="W68" s="143">
        <v>42347</v>
      </c>
      <c r="X68" s="12">
        <v>115.4</v>
      </c>
      <c r="Y68" s="12">
        <v>116.82</v>
      </c>
      <c r="Z68" s="12">
        <v>114.66</v>
      </c>
      <c r="AA68" s="12">
        <v>115.05</v>
      </c>
      <c r="AB68" s="105">
        <v>3839100</v>
      </c>
      <c r="AC68" s="12">
        <v>114.58</v>
      </c>
      <c r="AD68" s="2">
        <f t="shared" si="6"/>
        <v>2.1599999999999966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184</v>
      </c>
      <c r="AI1" s="13" t="s">
        <v>185</v>
      </c>
      <c r="AJ1" s="13" t="s">
        <v>186</v>
      </c>
      <c r="AK1" s="13" t="s">
        <v>187</v>
      </c>
      <c r="AN1" s="13" t="s">
        <v>188</v>
      </c>
      <c r="AO1" s="13" t="s">
        <v>59</v>
      </c>
      <c r="AP1" s="13" t="s">
        <v>190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f>B2+30</f>
        <v>42438</v>
      </c>
      <c r="H2" s="198"/>
      <c r="I2" s="3"/>
      <c r="J2" s="3"/>
      <c r="K2" s="3"/>
      <c r="L2" s="4"/>
      <c r="O2" s="13" t="s">
        <v>57</v>
      </c>
      <c r="Q2">
        <f>C18-H18</f>
        <v>5</v>
      </c>
      <c r="W2" s="143">
        <v>42444</v>
      </c>
      <c r="X2" s="12">
        <v>257.47000000000003</v>
      </c>
      <c r="Y2" s="12">
        <v>257.92</v>
      </c>
      <c r="Z2" s="12">
        <v>248.54</v>
      </c>
      <c r="AA2" s="12">
        <v>250.33</v>
      </c>
      <c r="AB2" s="105">
        <v>1944300</v>
      </c>
      <c r="AC2" s="12">
        <v>250.33</v>
      </c>
      <c r="AD2" s="2">
        <f>Y2-Z2</f>
        <v>9.3800000000000239</v>
      </c>
      <c r="AE2" s="148">
        <f>AC2/AC3-1</f>
        <v>-2.8862939830080925E-2</v>
      </c>
      <c r="AO2" t="s">
        <v>189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42443</v>
      </c>
      <c r="X3" s="12">
        <v>258.91000000000003</v>
      </c>
      <c r="Y3" s="12">
        <v>259.89</v>
      </c>
      <c r="Z3" s="12">
        <v>256.89999999999998</v>
      </c>
      <c r="AA3" s="12">
        <v>257.77</v>
      </c>
      <c r="AB3" s="105">
        <v>1241700</v>
      </c>
      <c r="AC3" s="12">
        <v>257.77</v>
      </c>
      <c r="AD3" s="2">
        <f t="shared" ref="AD3:AD66" si="0">Y3-Z3</f>
        <v>2.9900000000000091</v>
      </c>
      <c r="AE3" s="148">
        <f t="shared" ref="AE3:AE66" si="1">AC3/AC4-1</f>
        <v>-7.5845075845076826E-3</v>
      </c>
      <c r="AG3" s="1">
        <v>42336</v>
      </c>
      <c r="AH3" t="s">
        <v>195</v>
      </c>
      <c r="AI3">
        <v>5</v>
      </c>
      <c r="AJ3">
        <v>298.81</v>
      </c>
      <c r="AK3" s="263">
        <v>1494.05</v>
      </c>
      <c r="AN3" s="263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198"/>
      <c r="I4" s="3"/>
      <c r="J4" s="3"/>
      <c r="K4" s="3"/>
      <c r="L4" s="4"/>
      <c r="O4" s="13" t="s">
        <v>66</v>
      </c>
      <c r="Q4" s="59">
        <v>250.84</v>
      </c>
      <c r="T4" s="1"/>
      <c r="W4" s="143">
        <v>42440</v>
      </c>
      <c r="X4" s="12">
        <v>255.98</v>
      </c>
      <c r="Y4" s="12">
        <v>260.04000000000002</v>
      </c>
      <c r="Z4" s="12">
        <v>255.1</v>
      </c>
      <c r="AA4" s="12">
        <v>259.74</v>
      </c>
      <c r="AB4" s="105">
        <v>1749900</v>
      </c>
      <c r="AC4" s="12">
        <v>259.74</v>
      </c>
      <c r="AD4" s="2">
        <f t="shared" si="0"/>
        <v>4.9400000000000261</v>
      </c>
      <c r="AE4" s="148">
        <f t="shared" si="1"/>
        <v>3.0837004405286361E-2</v>
      </c>
      <c r="AH4" t="s">
        <v>196</v>
      </c>
      <c r="AI4">
        <v>10</v>
      </c>
      <c r="AJ4">
        <v>262.25</v>
      </c>
      <c r="AK4" s="263">
        <v>2622.5</v>
      </c>
      <c r="AN4" s="263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1254.2</v>
      </c>
      <c r="T5" s="1"/>
      <c r="W5" s="143">
        <v>42439</v>
      </c>
      <c r="X5" s="12">
        <v>257</v>
      </c>
      <c r="Y5" s="12">
        <v>260.57</v>
      </c>
      <c r="Z5" s="12">
        <v>251</v>
      </c>
      <c r="AA5" s="12">
        <v>251.97</v>
      </c>
      <c r="AB5" s="105">
        <v>1962100</v>
      </c>
      <c r="AC5" s="12">
        <v>251.97</v>
      </c>
      <c r="AD5" s="2">
        <f t="shared" si="0"/>
        <v>9.5699999999999932</v>
      </c>
      <c r="AE5" s="148">
        <f t="shared" si="1"/>
        <v>-1.4433231635766264E-2</v>
      </c>
      <c r="AH5" t="s">
        <v>197</v>
      </c>
      <c r="AI5">
        <v>5</v>
      </c>
      <c r="AJ5">
        <v>274</v>
      </c>
      <c r="AK5" s="263">
        <v>1370</v>
      </c>
      <c r="AN5" s="263">
        <v>1466.05</v>
      </c>
      <c r="AO5">
        <v>96.05</v>
      </c>
      <c r="AP5">
        <v>7.01</v>
      </c>
    </row>
    <row r="6" spans="1:42" x14ac:dyDescent="0.25">
      <c r="B6" s="410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1257.5</v>
      </c>
      <c r="W6" s="143">
        <v>42438</v>
      </c>
      <c r="X6" s="12">
        <v>261.26</v>
      </c>
      <c r="Y6" s="12">
        <v>263.27999999999997</v>
      </c>
      <c r="Z6" s="12">
        <v>252.38</v>
      </c>
      <c r="AA6" s="12">
        <v>255.66</v>
      </c>
      <c r="AB6" s="105">
        <v>1888300</v>
      </c>
      <c r="AC6" s="12">
        <v>255.66</v>
      </c>
      <c r="AD6" s="2">
        <f t="shared" si="0"/>
        <v>10.899999999999977</v>
      </c>
      <c r="AE6" s="148">
        <f t="shared" si="1"/>
        <v>-2.1509491733006647E-2</v>
      </c>
      <c r="AH6" t="s">
        <v>197</v>
      </c>
      <c r="AI6">
        <v>10</v>
      </c>
      <c r="AJ6">
        <v>269.8</v>
      </c>
      <c r="AK6" s="263">
        <v>2698</v>
      </c>
      <c r="AN6" s="263">
        <v>2932.1</v>
      </c>
      <c r="AO6">
        <v>234.1</v>
      </c>
      <c r="AP6">
        <v>8.68</v>
      </c>
    </row>
    <row r="7" spans="1:42" ht="15.75" x14ac:dyDescent="0.25">
      <c r="B7" s="410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251</v>
      </c>
      <c r="Q7" s="2">
        <f>IF(Q2=0, K18-F18,Q5-Q6) + M33</f>
        <v>1370.3500000000088</v>
      </c>
      <c r="R7" s="254"/>
      <c r="W7" s="143">
        <v>42437</v>
      </c>
      <c r="X7" s="12">
        <v>267.24</v>
      </c>
      <c r="Y7" s="12">
        <v>269.02</v>
      </c>
      <c r="Z7" s="12">
        <v>260.77999999999997</v>
      </c>
      <c r="AA7" s="12">
        <v>261.27999999999997</v>
      </c>
      <c r="AB7" s="105">
        <v>1492300</v>
      </c>
      <c r="AC7" s="12">
        <v>261.27999999999997</v>
      </c>
      <c r="AD7" s="2">
        <f t="shared" si="0"/>
        <v>8.2400000000000091</v>
      </c>
      <c r="AE7" s="148">
        <f t="shared" si="1"/>
        <v>-3.0572870287919329E-2</v>
      </c>
      <c r="AH7" t="s">
        <v>198</v>
      </c>
      <c r="AI7">
        <v>5</v>
      </c>
      <c r="AJ7">
        <v>283</v>
      </c>
      <c r="AK7" s="263">
        <v>1415</v>
      </c>
      <c r="AN7" s="263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42436</v>
      </c>
      <c r="X8" s="12">
        <v>262.14</v>
      </c>
      <c r="Y8" s="12">
        <v>272.44</v>
      </c>
      <c r="Z8" s="12">
        <v>261.2</v>
      </c>
      <c r="AA8" s="12">
        <v>269.52</v>
      </c>
      <c r="AB8" s="105">
        <v>1678700</v>
      </c>
      <c r="AC8" s="12">
        <v>269.52</v>
      </c>
      <c r="AD8" s="2">
        <f t="shared" si="0"/>
        <v>11.240000000000009</v>
      </c>
      <c r="AE8" s="148">
        <f t="shared" si="1"/>
        <v>2.1141168447374348E-2</v>
      </c>
      <c r="AH8" t="s">
        <v>199</v>
      </c>
      <c r="AI8">
        <v>5</v>
      </c>
      <c r="AJ8">
        <v>299.60000000000002</v>
      </c>
      <c r="AK8" s="263">
        <v>1497.99</v>
      </c>
      <c r="AN8" s="263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42433</v>
      </c>
      <c r="X9" s="12">
        <v>269.64</v>
      </c>
      <c r="Y9" s="12">
        <v>269.68</v>
      </c>
      <c r="Z9" s="12">
        <v>263.13</v>
      </c>
      <c r="AA9" s="12">
        <v>263.94</v>
      </c>
      <c r="AB9" s="105">
        <v>1635400</v>
      </c>
      <c r="AC9" s="12">
        <v>263.94</v>
      </c>
      <c r="AD9" s="2">
        <f t="shared" si="0"/>
        <v>6.5500000000000114</v>
      </c>
      <c r="AE9" s="148">
        <f t="shared" si="1"/>
        <v>-1.7495533055390089E-2</v>
      </c>
      <c r="AH9" t="s">
        <v>192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260</v>
      </c>
      <c r="Q10" s="2">
        <f>IF(Q2=0,K18-F18,Q5-Q6)</f>
        <v>-3.2999999999999545</v>
      </c>
      <c r="W10" s="143">
        <v>42432</v>
      </c>
      <c r="X10" s="12">
        <v>272.22000000000003</v>
      </c>
      <c r="Y10" s="12">
        <v>272.82</v>
      </c>
      <c r="Z10" s="12">
        <v>266.14</v>
      </c>
      <c r="AA10" s="12">
        <v>268.64</v>
      </c>
      <c r="AB10" s="105">
        <v>1430900</v>
      </c>
      <c r="AC10" s="12">
        <v>268.64</v>
      </c>
      <c r="AD10" s="2">
        <f t="shared" si="0"/>
        <v>6.6800000000000068</v>
      </c>
      <c r="AE10" s="148">
        <f t="shared" si="1"/>
        <v>-1.8343930424614574E-2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42431</v>
      </c>
      <c r="X11" s="12">
        <v>270.17</v>
      </c>
      <c r="Y11" s="12">
        <v>274.57</v>
      </c>
      <c r="Z11" s="12">
        <v>268.66000000000003</v>
      </c>
      <c r="AA11" s="12">
        <v>273.66000000000003</v>
      </c>
      <c r="AB11" s="105">
        <v>1651000</v>
      </c>
      <c r="AC11" s="12">
        <v>273.66000000000003</v>
      </c>
      <c r="AD11" s="2">
        <f t="shared" si="0"/>
        <v>5.9099999999999682</v>
      </c>
      <c r="AE11" s="148">
        <f t="shared" si="1"/>
        <v>1.0188261351052219E-2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42430</v>
      </c>
      <c r="X12" s="12">
        <v>261.37</v>
      </c>
      <c r="Y12" s="12">
        <v>271.01</v>
      </c>
      <c r="Z12" s="12">
        <v>259.25</v>
      </c>
      <c r="AA12" s="12">
        <v>270.89999999999998</v>
      </c>
      <c r="AB12" s="105">
        <v>1924300</v>
      </c>
      <c r="AC12" s="12">
        <v>270.89999999999998</v>
      </c>
      <c r="AD12" s="2">
        <f t="shared" si="0"/>
        <v>11.759999999999991</v>
      </c>
      <c r="AE12" s="148">
        <f t="shared" si="1"/>
        <v>4.4252563410685175E-2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42429</v>
      </c>
      <c r="X13" s="12">
        <v>262.68</v>
      </c>
      <c r="Y13" s="12">
        <v>265.60000000000002</v>
      </c>
      <c r="Z13" s="12">
        <v>259.18</v>
      </c>
      <c r="AA13" s="12">
        <v>259.42</v>
      </c>
      <c r="AB13" s="105">
        <v>1766500</v>
      </c>
      <c r="AC13" s="12">
        <v>259.42</v>
      </c>
      <c r="AD13" s="2">
        <f t="shared" si="0"/>
        <v>6.4200000000000159</v>
      </c>
      <c r="AE13" s="148">
        <f t="shared" si="1"/>
        <v>-1.9168966690612077E-2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42426</v>
      </c>
      <c r="X14" s="12">
        <v>264.06</v>
      </c>
      <c r="Y14" s="12">
        <v>266.47000000000003</v>
      </c>
      <c r="Z14" s="12">
        <v>260.88</v>
      </c>
      <c r="AA14" s="12">
        <v>264.49</v>
      </c>
      <c r="AB14" s="105">
        <v>1603200</v>
      </c>
      <c r="AC14" s="12">
        <v>264.49</v>
      </c>
      <c r="AD14" s="2">
        <f t="shared" si="0"/>
        <v>5.5900000000000318</v>
      </c>
      <c r="AE14" s="148">
        <f t="shared" si="1"/>
        <v>8.1570421193062348E-3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42425</v>
      </c>
      <c r="X15" s="12">
        <v>261.89999999999998</v>
      </c>
      <c r="Y15" s="12">
        <v>262.83999999999997</v>
      </c>
      <c r="Z15" s="12">
        <v>259.16000000000003</v>
      </c>
      <c r="AA15" s="12">
        <v>262.35000000000002</v>
      </c>
      <c r="AB15" s="105">
        <v>1516000</v>
      </c>
      <c r="AC15" s="12">
        <v>262.35000000000002</v>
      </c>
      <c r="AD15" s="2">
        <f t="shared" si="0"/>
        <v>3.67999999999995</v>
      </c>
      <c r="AE15" s="148">
        <f t="shared" si="1"/>
        <v>1.9944016794961383E-2</v>
      </c>
    </row>
    <row r="16" spans="1:42" x14ac:dyDescent="0.25">
      <c r="G16" s="1"/>
      <c r="W16" s="143">
        <v>42424</v>
      </c>
      <c r="X16" s="12">
        <v>256.35000000000002</v>
      </c>
      <c r="Y16" s="12">
        <v>257.68</v>
      </c>
      <c r="Z16" s="12">
        <v>249.01</v>
      </c>
      <c r="AA16" s="12">
        <v>257.22000000000003</v>
      </c>
      <c r="AB16" s="105">
        <v>1427700</v>
      </c>
      <c r="AC16" s="12">
        <v>257.22000000000003</v>
      </c>
      <c r="AD16" s="2">
        <f t="shared" si="0"/>
        <v>8.6700000000000159</v>
      </c>
      <c r="AE16" s="148">
        <f t="shared" si="1"/>
        <v>-6.834240704274186E-3</v>
      </c>
    </row>
    <row r="17" spans="1:31" x14ac:dyDescent="0.25">
      <c r="G17" s="1"/>
      <c r="W17" s="143">
        <v>42423</v>
      </c>
      <c r="X17" s="12">
        <v>264.81</v>
      </c>
      <c r="Y17" s="12">
        <v>265.86</v>
      </c>
      <c r="Z17" s="12">
        <v>257.89999999999998</v>
      </c>
      <c r="AA17" s="12">
        <v>258.99</v>
      </c>
      <c r="AB17" s="105">
        <v>1530200</v>
      </c>
      <c r="AC17" s="12">
        <v>258.99</v>
      </c>
      <c r="AD17" s="2">
        <f t="shared" si="0"/>
        <v>7.9600000000000364</v>
      </c>
      <c r="AE17" s="148">
        <f t="shared" si="1"/>
        <v>-2.5730730165895443E-2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42422</v>
      </c>
      <c r="X18" s="12">
        <v>265.26</v>
      </c>
      <c r="Y18" s="12">
        <v>266</v>
      </c>
      <c r="Z18" s="12">
        <v>261.33999999999997</v>
      </c>
      <c r="AA18" s="12">
        <v>265.83</v>
      </c>
      <c r="AB18" s="105">
        <v>1217000</v>
      </c>
      <c r="AC18" s="12">
        <v>265.83</v>
      </c>
      <c r="AD18" s="2">
        <f t="shared" si="0"/>
        <v>4.660000000000025</v>
      </c>
      <c r="AE18" s="148">
        <f t="shared" si="1"/>
        <v>1.6947207345065163E-2</v>
      </c>
    </row>
    <row r="19" spans="1:31" x14ac:dyDescent="0.25">
      <c r="N19" s="2"/>
      <c r="W19" s="143">
        <v>42419</v>
      </c>
      <c r="X19" s="12">
        <v>257.36</v>
      </c>
      <c r="Y19" s="12">
        <v>263</v>
      </c>
      <c r="Z19" s="12">
        <v>255.12</v>
      </c>
      <c r="AA19" s="12">
        <v>261.39999999999998</v>
      </c>
      <c r="AB19" s="105">
        <v>1448000</v>
      </c>
      <c r="AC19" s="12">
        <v>261.39999999999998</v>
      </c>
      <c r="AD19" s="2">
        <f t="shared" si="0"/>
        <v>7.8799999999999955</v>
      </c>
      <c r="AE19" s="148">
        <f t="shared" si="1"/>
        <v>9.0716077977224252E-3</v>
      </c>
    </row>
    <row r="20" spans="1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3" t="s">
        <v>65</v>
      </c>
      <c r="G20" s="253" t="s">
        <v>175</v>
      </c>
      <c r="H20" s="213" t="s">
        <v>90</v>
      </c>
      <c r="W20" s="143">
        <v>42418</v>
      </c>
      <c r="X20" s="12">
        <v>266.60000000000002</v>
      </c>
      <c r="Y20" s="12">
        <v>266.95999999999998</v>
      </c>
      <c r="Z20" s="12">
        <v>258.51</v>
      </c>
      <c r="AA20" s="12">
        <v>259.05</v>
      </c>
      <c r="AB20" s="105">
        <v>1522400</v>
      </c>
      <c r="AC20" s="12">
        <v>259.05</v>
      </c>
      <c r="AD20" s="2">
        <f t="shared" si="0"/>
        <v>8.4499999999999886</v>
      </c>
      <c r="AE20" s="148">
        <f t="shared" si="1"/>
        <v>-2.4771298422617827E-2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W21" s="143">
        <v>42417</v>
      </c>
      <c r="X21" s="12">
        <v>256.29000000000002</v>
      </c>
      <c r="Y21" s="12">
        <v>265.86</v>
      </c>
      <c r="Z21" s="12">
        <v>256.08</v>
      </c>
      <c r="AA21" s="12">
        <v>265.63</v>
      </c>
      <c r="AB21" s="105">
        <v>1908900</v>
      </c>
      <c r="AC21" s="12">
        <v>265.63</v>
      </c>
      <c r="AD21" s="2">
        <f t="shared" si="0"/>
        <v>9.7800000000000296</v>
      </c>
      <c r="AE21" s="148">
        <f t="shared" si="1"/>
        <v>3.5513800093559977E-2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0">
        <f t="shared" ref="H22:H23" si="4">(E22-D22)/D22</f>
        <v>5.6978131212723597E-2</v>
      </c>
      <c r="W22" s="143">
        <v>42416</v>
      </c>
      <c r="X22" s="12">
        <v>249</v>
      </c>
      <c r="Y22" s="12">
        <v>257.42</v>
      </c>
      <c r="Z22" s="12">
        <v>249</v>
      </c>
      <c r="AA22" s="12">
        <v>256.52</v>
      </c>
      <c r="AB22" s="105">
        <v>2069700</v>
      </c>
      <c r="AC22" s="12">
        <v>256.52</v>
      </c>
      <c r="AD22" s="2">
        <f t="shared" si="0"/>
        <v>8.4200000000000159</v>
      </c>
      <c r="AE22" s="148">
        <f t="shared" si="1"/>
        <v>3.76183156702532E-2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0">
        <f t="shared" si="4"/>
        <v>8.8111332007952389E-2</v>
      </c>
      <c r="W23" s="143">
        <v>42412</v>
      </c>
      <c r="X23" s="12">
        <v>248.78</v>
      </c>
      <c r="Y23" s="12">
        <v>249.2</v>
      </c>
      <c r="Z23" s="12">
        <v>242.07</v>
      </c>
      <c r="AA23" s="12">
        <v>247.22</v>
      </c>
      <c r="AB23" s="105">
        <v>2110700</v>
      </c>
      <c r="AC23" s="12">
        <v>247.22</v>
      </c>
      <c r="AD23" s="2">
        <f t="shared" si="0"/>
        <v>7.1299999999999955</v>
      </c>
      <c r="AE23" s="148">
        <f t="shared" si="1"/>
        <v>8.6083799110603376E-3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26" si="5">C24*(E24-D24)</f>
        <v>62.199999999999989</v>
      </c>
      <c r="G24" s="43">
        <f t="shared" ref="G24:G26" si="6">D24*C24</f>
        <v>1257.5</v>
      </c>
      <c r="H24" s="260">
        <f t="shared" ref="H24:H26" si="7">(E24-D24)/D24</f>
        <v>4.9463220675944324E-2</v>
      </c>
      <c r="W24" s="143">
        <v>42411</v>
      </c>
      <c r="X24" s="12">
        <v>246.31</v>
      </c>
      <c r="Y24" s="12">
        <v>250.02</v>
      </c>
      <c r="Z24" s="12">
        <v>243.03</v>
      </c>
      <c r="AA24" s="12">
        <v>245.11</v>
      </c>
      <c r="AB24" s="105">
        <v>2162100</v>
      </c>
      <c r="AC24" s="12">
        <v>245.11</v>
      </c>
      <c r="AD24" s="2">
        <f t="shared" si="0"/>
        <v>6.9900000000000091</v>
      </c>
      <c r="AE24" s="148">
        <f t="shared" si="1"/>
        <v>-2.8112609040443992E-2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5"/>
        <v>2.3499999999999943</v>
      </c>
      <c r="G25" s="43">
        <f t="shared" si="6"/>
        <v>1257.5</v>
      </c>
      <c r="H25" s="261">
        <f t="shared" si="7"/>
        <v>1.8687872763419437E-3</v>
      </c>
      <c r="W25" s="143">
        <v>42410</v>
      </c>
      <c r="X25" s="12">
        <v>253.35</v>
      </c>
      <c r="Y25" s="12">
        <v>257.37</v>
      </c>
      <c r="Z25" s="12">
        <v>249.28</v>
      </c>
      <c r="AA25" s="12">
        <v>252.2</v>
      </c>
      <c r="AB25" s="105">
        <v>1745100</v>
      </c>
      <c r="AC25" s="12">
        <v>252.2</v>
      </c>
      <c r="AD25" s="2">
        <f t="shared" si="0"/>
        <v>8.0900000000000034</v>
      </c>
      <c r="AE25" s="148">
        <f t="shared" si="1"/>
        <v>8.8403536141445915E-3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5"/>
        <v>-5.8499999999999375</v>
      </c>
      <c r="G26" s="43">
        <f t="shared" si="6"/>
        <v>1257.5</v>
      </c>
      <c r="H26" s="261">
        <f t="shared" si="7"/>
        <v>-4.6520874751490556E-3</v>
      </c>
      <c r="W26" s="143">
        <v>42409</v>
      </c>
      <c r="X26" s="12">
        <v>246.54</v>
      </c>
      <c r="Y26" s="12">
        <v>255</v>
      </c>
      <c r="Z26" s="12">
        <v>243.85</v>
      </c>
      <c r="AA26" s="12">
        <v>249.99</v>
      </c>
      <c r="AB26" s="105">
        <v>2362600</v>
      </c>
      <c r="AC26" s="12">
        <v>249.99</v>
      </c>
      <c r="AD26" s="2">
        <f t="shared" si="0"/>
        <v>11.150000000000006</v>
      </c>
      <c r="AE26" s="148">
        <f t="shared" si="1"/>
        <v>-3.1104199066873672E-3</v>
      </c>
    </row>
    <row r="27" spans="1:31" x14ac:dyDescent="0.25">
      <c r="B27" s="211"/>
      <c r="C27" s="12"/>
      <c r="D27" s="43"/>
      <c r="E27" s="43"/>
      <c r="F27" s="43"/>
      <c r="G27" s="43"/>
      <c r="H27" s="261"/>
      <c r="W27" s="143">
        <v>42408</v>
      </c>
      <c r="X27" s="12">
        <v>260.45</v>
      </c>
      <c r="Y27" s="12">
        <v>260.45</v>
      </c>
      <c r="Z27" s="12">
        <v>248.16</v>
      </c>
      <c r="AA27" s="12">
        <v>250.77</v>
      </c>
      <c r="AB27" s="105">
        <v>2741600</v>
      </c>
      <c r="AC27" s="12">
        <v>250.77</v>
      </c>
      <c r="AD27" s="2">
        <f t="shared" si="0"/>
        <v>12.289999999999992</v>
      </c>
      <c r="AE27" s="148">
        <f t="shared" si="1"/>
        <v>-4.9609641476540567E-2</v>
      </c>
    </row>
    <row r="28" spans="1:31" x14ac:dyDescent="0.25">
      <c r="B28" s="12"/>
      <c r="C28" s="12"/>
      <c r="D28" s="43"/>
      <c r="E28" s="43"/>
      <c r="F28" s="43"/>
      <c r="G28" s="43"/>
      <c r="H28" s="261"/>
      <c r="W28" s="143">
        <v>42405</v>
      </c>
      <c r="X28" s="12">
        <v>271.10000000000002</v>
      </c>
      <c r="Y28" s="12">
        <v>272.67</v>
      </c>
      <c r="Z28" s="12">
        <v>258.45999999999998</v>
      </c>
      <c r="AA28" s="12">
        <v>263.86</v>
      </c>
      <c r="AB28" s="105">
        <v>2836800</v>
      </c>
      <c r="AC28" s="12">
        <v>263.86</v>
      </c>
      <c r="AD28" s="2">
        <f t="shared" si="0"/>
        <v>14.210000000000036</v>
      </c>
      <c r="AE28" s="148">
        <f t="shared" si="1"/>
        <v>-3.4434808065283318E-2</v>
      </c>
    </row>
    <row r="29" spans="1:31" x14ac:dyDescent="0.25">
      <c r="B29" s="12"/>
      <c r="C29" s="12"/>
      <c r="D29" s="43"/>
      <c r="E29" s="43"/>
      <c r="F29" s="43"/>
      <c r="G29" s="43"/>
      <c r="H29" s="261"/>
      <c r="W29" s="143">
        <v>42404</v>
      </c>
      <c r="X29" s="12">
        <v>270.16000000000003</v>
      </c>
      <c r="Y29" s="12">
        <v>279.38</v>
      </c>
      <c r="Z29" s="12">
        <v>269.11</v>
      </c>
      <c r="AA29" s="12">
        <v>273.27</v>
      </c>
      <c r="AB29" s="105">
        <v>2067500</v>
      </c>
      <c r="AC29" s="12">
        <v>273.27</v>
      </c>
      <c r="AD29" s="2">
        <f t="shared" si="0"/>
        <v>10.269999999999982</v>
      </c>
      <c r="AE29" s="148">
        <f t="shared" si="1"/>
        <v>1.0501793440076845E-2</v>
      </c>
    </row>
    <row r="30" spans="1:31" x14ac:dyDescent="0.25">
      <c r="W30" s="143">
        <v>42403</v>
      </c>
      <c r="X30" s="12">
        <v>267.58</v>
      </c>
      <c r="Y30" s="12">
        <v>270.74</v>
      </c>
      <c r="Z30" s="12">
        <v>261</v>
      </c>
      <c r="AA30" s="12">
        <v>270.43</v>
      </c>
      <c r="AB30" s="105">
        <v>2085800</v>
      </c>
      <c r="AC30" s="12">
        <v>270.43</v>
      </c>
      <c r="AD30" s="2">
        <f t="shared" si="0"/>
        <v>9.7400000000000091</v>
      </c>
      <c r="AE30" s="148">
        <f t="shared" si="1"/>
        <v>1.6424866571450147E-2</v>
      </c>
    </row>
    <row r="31" spans="1:31" x14ac:dyDescent="0.25">
      <c r="W31" s="143">
        <v>42402</v>
      </c>
      <c r="X31" s="12">
        <v>267.74</v>
      </c>
      <c r="Y31" s="12">
        <v>271.2</v>
      </c>
      <c r="Z31" s="12">
        <v>265.16000000000003</v>
      </c>
      <c r="AA31" s="12">
        <v>266.06</v>
      </c>
      <c r="AB31" s="105">
        <v>1920200</v>
      </c>
      <c r="AC31" s="12">
        <v>266.06</v>
      </c>
      <c r="AD31" s="2">
        <f t="shared" si="0"/>
        <v>6.0399999999999636</v>
      </c>
      <c r="AE31" s="148">
        <f t="shared" si="1"/>
        <v>-2.7025050283415619E-2</v>
      </c>
    </row>
    <row r="32" spans="1:31" x14ac:dyDescent="0.25">
      <c r="W32" s="143">
        <v>42401</v>
      </c>
      <c r="X32" s="12">
        <v>270.33999999999997</v>
      </c>
      <c r="Y32" s="12">
        <v>275.83</v>
      </c>
      <c r="Z32" s="12">
        <v>269.58</v>
      </c>
      <c r="AA32" s="12">
        <v>273.45</v>
      </c>
      <c r="AB32" s="105">
        <v>1842500</v>
      </c>
      <c r="AC32" s="12">
        <v>273.45</v>
      </c>
      <c r="AD32" s="2">
        <f t="shared" si="0"/>
        <v>6.25</v>
      </c>
      <c r="AE32" s="148">
        <f t="shared" si="1"/>
        <v>1.4282575258184327E-3</v>
      </c>
    </row>
    <row r="33" spans="1:31" x14ac:dyDescent="0.25">
      <c r="A33" s="299"/>
      <c r="B33" s="299"/>
      <c r="C33" s="299"/>
      <c r="D33" s="300"/>
      <c r="E33" s="300"/>
      <c r="F33" s="300"/>
      <c r="G33" s="299"/>
      <c r="H33" s="299"/>
      <c r="I33" s="299"/>
      <c r="J33" s="299"/>
      <c r="K33" s="301" t="s">
        <v>137</v>
      </c>
      <c r="L33" s="299"/>
      <c r="M33" s="300">
        <f>K51+M51-F51</f>
        <v>1373.6500000000087</v>
      </c>
      <c r="W33" s="143">
        <v>42398</v>
      </c>
      <c r="X33" s="12">
        <v>268.42</v>
      </c>
      <c r="Y33" s="12">
        <v>273.89999999999998</v>
      </c>
      <c r="Z33" s="12">
        <v>265.7</v>
      </c>
      <c r="AA33" s="12">
        <v>273.06</v>
      </c>
      <c r="AB33" s="105">
        <v>3067900</v>
      </c>
      <c r="AC33" s="12">
        <v>273.06</v>
      </c>
      <c r="AD33" s="2">
        <f t="shared" si="0"/>
        <v>8.1999999999999886</v>
      </c>
      <c r="AE33" s="148">
        <f t="shared" si="1"/>
        <v>2.6695743720860365E-2</v>
      </c>
    </row>
    <row r="34" spans="1:31" x14ac:dyDescent="0.25">
      <c r="A34" s="301" t="s">
        <v>1</v>
      </c>
      <c r="B34" s="301" t="s">
        <v>2</v>
      </c>
      <c r="C34" s="301" t="s">
        <v>4</v>
      </c>
      <c r="D34" s="302" t="s">
        <v>5</v>
      </c>
      <c r="E34" s="302" t="s">
        <v>96</v>
      </c>
      <c r="F34" s="302" t="s">
        <v>60</v>
      </c>
      <c r="G34" s="301" t="s">
        <v>3</v>
      </c>
      <c r="H34" s="301" t="s">
        <v>6</v>
      </c>
      <c r="I34" s="301" t="s">
        <v>7</v>
      </c>
      <c r="J34" s="301" t="s">
        <v>97</v>
      </c>
      <c r="K34" s="302" t="s">
        <v>61</v>
      </c>
      <c r="L34" s="301" t="s">
        <v>77</v>
      </c>
      <c r="M34" s="301" t="s">
        <v>38</v>
      </c>
      <c r="W34" s="143">
        <v>42397</v>
      </c>
      <c r="X34" s="12">
        <v>275.77</v>
      </c>
      <c r="Y34" s="12">
        <v>276.97000000000003</v>
      </c>
      <c r="Z34" s="12">
        <v>261.7</v>
      </c>
      <c r="AA34" s="12">
        <v>265.95999999999998</v>
      </c>
      <c r="AB34" s="105">
        <v>3054900</v>
      </c>
      <c r="AC34" s="12">
        <v>265.95999999999998</v>
      </c>
      <c r="AD34" s="2">
        <f t="shared" si="0"/>
        <v>15.270000000000039</v>
      </c>
      <c r="AE34" s="148">
        <f t="shared" si="1"/>
        <v>-2.6714484373856484E-2</v>
      </c>
    </row>
    <row r="35" spans="1:31" x14ac:dyDescent="0.25">
      <c r="A35" s="303" t="s">
        <v>62</v>
      </c>
      <c r="B35" s="304">
        <v>42222</v>
      </c>
      <c r="C35" s="299">
        <v>5</v>
      </c>
      <c r="D35" s="300">
        <v>320</v>
      </c>
      <c r="E35" s="300">
        <v>0</v>
      </c>
      <c r="F35" s="300">
        <f>C35*D35 + E35</f>
        <v>1600</v>
      </c>
      <c r="G35" s="304">
        <v>42257</v>
      </c>
      <c r="H35" s="305">
        <v>5</v>
      </c>
      <c r="I35" s="300">
        <v>303.60000000000002</v>
      </c>
      <c r="J35" s="300">
        <v>0.03</v>
      </c>
      <c r="K35" s="300">
        <f t="shared" ref="K35:K42" si="8">H35*I35-J35</f>
        <v>1517.97</v>
      </c>
      <c r="L35" s="299" t="s">
        <v>80</v>
      </c>
      <c r="M35" s="299"/>
      <c r="W35" s="143">
        <v>42396</v>
      </c>
      <c r="X35" s="12">
        <v>275.05</v>
      </c>
      <c r="Y35" s="12">
        <v>285.27999999999997</v>
      </c>
      <c r="Z35" s="12">
        <v>270.33999999999997</v>
      </c>
      <c r="AA35" s="12">
        <v>273.26</v>
      </c>
      <c r="AB35" s="105">
        <v>5140100</v>
      </c>
      <c r="AC35" s="12">
        <v>273.26</v>
      </c>
      <c r="AD35" s="2">
        <f t="shared" si="0"/>
        <v>14.939999999999998</v>
      </c>
      <c r="AE35" s="148">
        <f t="shared" si="1"/>
        <v>5.1525762881440729E-2</v>
      </c>
    </row>
    <row r="36" spans="1:31" x14ac:dyDescent="0.25">
      <c r="A36" s="306"/>
      <c r="B36" s="304">
        <v>42247</v>
      </c>
      <c r="C36" s="299">
        <v>5</v>
      </c>
      <c r="D36" s="300">
        <v>298.7</v>
      </c>
      <c r="E36" s="300">
        <v>0</v>
      </c>
      <c r="F36" s="300">
        <f>C36*D36 + E36</f>
        <v>1493.5</v>
      </c>
      <c r="G36" s="304">
        <v>42290</v>
      </c>
      <c r="H36" s="305">
        <v>5</v>
      </c>
      <c r="I36" s="300">
        <v>280.2</v>
      </c>
      <c r="J36" s="300">
        <v>0.03</v>
      </c>
      <c r="K36" s="300">
        <f t="shared" si="8"/>
        <v>1400.97</v>
      </c>
      <c r="L36" s="299"/>
      <c r="M36" s="299"/>
      <c r="W36" s="143">
        <v>42395</v>
      </c>
      <c r="X36" s="12">
        <v>262.76</v>
      </c>
      <c r="Y36" s="12">
        <v>264.48</v>
      </c>
      <c r="Z36" s="12">
        <v>257.77999999999997</v>
      </c>
      <c r="AA36" s="12">
        <v>259.87</v>
      </c>
      <c r="AB36" s="105">
        <v>2105800</v>
      </c>
      <c r="AC36" s="12">
        <v>259.87</v>
      </c>
      <c r="AD36" s="2">
        <f t="shared" si="0"/>
        <v>6.7000000000000455</v>
      </c>
      <c r="AE36" s="148">
        <f t="shared" si="1"/>
        <v>-8.5082029759634414E-3</v>
      </c>
    </row>
    <row r="37" spans="1:31" x14ac:dyDescent="0.25">
      <c r="A37" s="299"/>
      <c r="B37" s="304">
        <v>42271</v>
      </c>
      <c r="C37" s="299">
        <v>10</v>
      </c>
      <c r="D37" s="300">
        <v>297</v>
      </c>
      <c r="E37" s="300">
        <v>0</v>
      </c>
      <c r="F37" s="300">
        <f>C37*D37 + E37</f>
        <v>2970</v>
      </c>
      <c r="G37" s="304">
        <v>42303</v>
      </c>
      <c r="H37" s="305">
        <v>10</v>
      </c>
      <c r="I37" s="300">
        <v>290</v>
      </c>
      <c r="J37" s="300">
        <v>0.05</v>
      </c>
      <c r="K37" s="300">
        <f t="shared" si="8"/>
        <v>2899.95</v>
      </c>
      <c r="L37" s="299"/>
      <c r="M37" s="299"/>
      <c r="W37" s="143">
        <v>42394</v>
      </c>
      <c r="X37" s="12">
        <v>269.45999999999998</v>
      </c>
      <c r="Y37" s="12">
        <v>271.20999999999998</v>
      </c>
      <c r="Z37" s="12">
        <v>261.3</v>
      </c>
      <c r="AA37" s="12">
        <v>262.10000000000002</v>
      </c>
      <c r="AB37" s="105">
        <v>1775100</v>
      </c>
      <c r="AC37" s="12">
        <v>262.10000000000002</v>
      </c>
      <c r="AD37" s="2">
        <f t="shared" si="0"/>
        <v>9.9099999999999682</v>
      </c>
      <c r="AE37" s="148">
        <f t="shared" si="1"/>
        <v>-2.5360702067529384E-2</v>
      </c>
    </row>
    <row r="38" spans="1:31" x14ac:dyDescent="0.25">
      <c r="A38" s="299"/>
      <c r="B38" s="304">
        <v>42285</v>
      </c>
      <c r="C38" s="299">
        <v>15</v>
      </c>
      <c r="D38" s="300">
        <v>283</v>
      </c>
      <c r="E38" s="300">
        <v>0</v>
      </c>
      <c r="F38" s="300">
        <f t="shared" ref="F38:F47" si="9">C38*D38 + E38</f>
        <v>4245</v>
      </c>
      <c r="G38" s="304">
        <v>42307</v>
      </c>
      <c r="H38" s="305">
        <v>10</v>
      </c>
      <c r="I38" s="300">
        <v>289.35000000000002</v>
      </c>
      <c r="J38" s="300">
        <v>7</v>
      </c>
      <c r="K38" s="300">
        <f t="shared" si="8"/>
        <v>2886.5</v>
      </c>
      <c r="L38" s="299"/>
      <c r="M38" s="299"/>
      <c r="W38" s="143">
        <v>42391</v>
      </c>
      <c r="X38" s="12">
        <v>266.36</v>
      </c>
      <c r="Y38" s="12">
        <v>269.48</v>
      </c>
      <c r="Z38" s="12">
        <v>264.62</v>
      </c>
      <c r="AA38" s="12">
        <v>268.92</v>
      </c>
      <c r="AB38" s="105">
        <v>2110000</v>
      </c>
      <c r="AC38" s="12">
        <v>268.92</v>
      </c>
      <c r="AD38" s="2">
        <f t="shared" si="0"/>
        <v>4.8600000000000136</v>
      </c>
      <c r="AE38" s="148">
        <f t="shared" si="1"/>
        <v>2.6098901098901228E-2</v>
      </c>
    </row>
    <row r="39" spans="1:31" x14ac:dyDescent="0.25">
      <c r="A39" s="299"/>
      <c r="B39" s="415">
        <v>42286</v>
      </c>
      <c r="C39" s="299">
        <v>5</v>
      </c>
      <c r="D39" s="300">
        <v>278.5</v>
      </c>
      <c r="E39" s="300">
        <v>0</v>
      </c>
      <c r="F39" s="300">
        <f t="shared" si="9"/>
        <v>1392.5</v>
      </c>
      <c r="G39" s="304">
        <v>42313</v>
      </c>
      <c r="H39" s="305">
        <v>10</v>
      </c>
      <c r="I39" s="300">
        <v>300</v>
      </c>
      <c r="J39" s="300">
        <v>0.06</v>
      </c>
      <c r="K39" s="300">
        <f t="shared" si="8"/>
        <v>2999.94</v>
      </c>
      <c r="L39" s="299"/>
      <c r="M39" s="299"/>
      <c r="W39" s="143">
        <v>42390</v>
      </c>
      <c r="X39" s="12">
        <v>269.67</v>
      </c>
      <c r="Y39" s="12">
        <v>271.05</v>
      </c>
      <c r="Z39" s="12">
        <v>261.02</v>
      </c>
      <c r="AA39" s="12">
        <v>262.08</v>
      </c>
      <c r="AB39" s="105">
        <v>2529400</v>
      </c>
      <c r="AC39" s="12">
        <v>262.08</v>
      </c>
      <c r="AD39" s="2">
        <f t="shared" si="0"/>
        <v>10.03000000000003</v>
      </c>
      <c r="AE39" s="148">
        <f t="shared" si="1"/>
        <v>-2.6990904028216245E-2</v>
      </c>
    </row>
    <row r="40" spans="1:31" x14ac:dyDescent="0.25">
      <c r="A40" s="299"/>
      <c r="B40" s="415"/>
      <c r="C40" s="299">
        <v>5</v>
      </c>
      <c r="D40" s="300">
        <v>278.5</v>
      </c>
      <c r="E40" s="300">
        <v>0</v>
      </c>
      <c r="F40" s="300">
        <f t="shared" si="9"/>
        <v>1392.5</v>
      </c>
      <c r="G40" s="304">
        <v>42331</v>
      </c>
      <c r="H40" s="305">
        <v>40</v>
      </c>
      <c r="I40" s="300">
        <v>287.99</v>
      </c>
      <c r="J40" s="300">
        <v>0.21</v>
      </c>
      <c r="K40" s="300">
        <f t="shared" si="8"/>
        <v>11519.390000000001</v>
      </c>
      <c r="L40" s="299"/>
      <c r="M40" s="299"/>
      <c r="W40" s="143">
        <v>42389</v>
      </c>
      <c r="X40" s="12">
        <v>263.25</v>
      </c>
      <c r="Y40" s="12">
        <v>272.77999999999997</v>
      </c>
      <c r="Z40" s="12">
        <v>257.66000000000003</v>
      </c>
      <c r="AA40" s="12">
        <v>269.35000000000002</v>
      </c>
      <c r="AB40" s="105">
        <v>2367400</v>
      </c>
      <c r="AC40" s="12">
        <v>269.35000000000002</v>
      </c>
      <c r="AD40" s="2">
        <f t="shared" si="0"/>
        <v>15.119999999999948</v>
      </c>
      <c r="AE40" s="148">
        <f t="shared" si="1"/>
        <v>-1.8528812303131303E-3</v>
      </c>
    </row>
    <row r="41" spans="1:31" x14ac:dyDescent="0.25">
      <c r="A41" s="299"/>
      <c r="B41" s="304">
        <v>42286</v>
      </c>
      <c r="C41" s="299">
        <v>10</v>
      </c>
      <c r="D41" s="300">
        <v>274</v>
      </c>
      <c r="E41" s="300">
        <v>0</v>
      </c>
      <c r="F41" s="300">
        <f t="shared" si="9"/>
        <v>2740</v>
      </c>
      <c r="G41" s="304">
        <v>42347</v>
      </c>
      <c r="H41" s="305">
        <v>35</v>
      </c>
      <c r="I41" s="300">
        <v>282.99</v>
      </c>
      <c r="J41" s="300">
        <v>0.18</v>
      </c>
      <c r="K41" s="300">
        <f t="shared" si="8"/>
        <v>9904.4699999999993</v>
      </c>
      <c r="L41" s="299"/>
      <c r="M41" s="299"/>
      <c r="W41" s="143">
        <v>42388</v>
      </c>
      <c r="X41" s="12">
        <v>276.98</v>
      </c>
      <c r="Y41" s="12">
        <v>276.99</v>
      </c>
      <c r="Z41" s="12">
        <v>264.72000000000003</v>
      </c>
      <c r="AA41" s="12">
        <v>269.85000000000002</v>
      </c>
      <c r="AB41" s="105">
        <v>2187900</v>
      </c>
      <c r="AC41" s="12">
        <v>269.85000000000002</v>
      </c>
      <c r="AD41" s="2">
        <f t="shared" si="0"/>
        <v>12.269999999999982</v>
      </c>
      <c r="AE41" s="148">
        <f t="shared" si="1"/>
        <v>-1.2731862583689857E-2</v>
      </c>
    </row>
    <row r="42" spans="1:31" ht="20.25" thickBot="1" x14ac:dyDescent="0.35">
      <c r="A42" s="299"/>
      <c r="B42" s="304">
        <v>42286</v>
      </c>
      <c r="C42" s="299">
        <v>10</v>
      </c>
      <c r="D42" s="300">
        <v>269.8</v>
      </c>
      <c r="E42" s="300">
        <v>0</v>
      </c>
      <c r="F42" s="300">
        <f t="shared" si="9"/>
        <v>2698</v>
      </c>
      <c r="G42" s="304">
        <v>42359</v>
      </c>
      <c r="H42" s="305">
        <v>25</v>
      </c>
      <c r="I42" s="300">
        <v>295</v>
      </c>
      <c r="J42" s="300">
        <v>0.14000000000000001</v>
      </c>
      <c r="K42" s="300">
        <f t="shared" si="8"/>
        <v>7374.86</v>
      </c>
      <c r="L42" s="299"/>
      <c r="M42" s="299"/>
      <c r="O42" s="408" t="s">
        <v>78</v>
      </c>
      <c r="P42" s="408"/>
      <c r="T42" s="122" t="s">
        <v>116</v>
      </c>
      <c r="U42" s="11"/>
      <c r="W42" s="143">
        <v>42384</v>
      </c>
      <c r="X42" s="12">
        <v>271.01</v>
      </c>
      <c r="Y42" s="12">
        <v>279.89</v>
      </c>
      <c r="Z42" s="12">
        <v>269.25</v>
      </c>
      <c r="AA42" s="12">
        <v>273.33</v>
      </c>
      <c r="AB42" s="105">
        <v>2568900</v>
      </c>
      <c r="AC42" s="12">
        <v>273.33</v>
      </c>
      <c r="AD42" s="2">
        <f t="shared" si="0"/>
        <v>10.639999999999986</v>
      </c>
      <c r="AE42" s="148">
        <f t="shared" si="1"/>
        <v>-2.5804612039776242E-2</v>
      </c>
    </row>
    <row r="43" spans="1:31" ht="15.75" thickTop="1" x14ac:dyDescent="0.25">
      <c r="A43" s="299"/>
      <c r="B43" s="304">
        <v>42292</v>
      </c>
      <c r="C43" s="299">
        <v>25</v>
      </c>
      <c r="D43" s="300">
        <v>268.5</v>
      </c>
      <c r="E43" s="300">
        <v>0</v>
      </c>
      <c r="F43" s="300">
        <f t="shared" si="9"/>
        <v>6712.5</v>
      </c>
      <c r="G43" s="304"/>
      <c r="H43" s="299"/>
      <c r="I43" s="299"/>
      <c r="J43" s="299"/>
      <c r="K43" s="300"/>
      <c r="L43" s="299"/>
      <c r="M43" s="299"/>
      <c r="O43" s="93">
        <v>1.1000000000000001</v>
      </c>
      <c r="P43" s="93">
        <f>O43*$Q$4</f>
        <v>275.92400000000004</v>
      </c>
      <c r="Q43" s="2"/>
      <c r="T43" s="199" t="s">
        <v>101</v>
      </c>
      <c r="U43" s="199">
        <v>257.77</v>
      </c>
      <c r="W43" s="143">
        <v>42383</v>
      </c>
      <c r="X43" s="12">
        <v>268.57</v>
      </c>
      <c r="Y43" s="12">
        <v>283.3</v>
      </c>
      <c r="Z43" s="12">
        <v>265.37</v>
      </c>
      <c r="AA43" s="12">
        <v>280.57</v>
      </c>
      <c r="AB43" s="105">
        <v>2391600</v>
      </c>
      <c r="AC43" s="12">
        <v>280.57</v>
      </c>
      <c r="AD43" s="2">
        <f t="shared" si="0"/>
        <v>17.930000000000007</v>
      </c>
      <c r="AE43" s="148">
        <f t="shared" si="1"/>
        <v>4.9840972871842748E-2</v>
      </c>
    </row>
    <row r="44" spans="1:31" x14ac:dyDescent="0.25">
      <c r="A44" s="299"/>
      <c r="B44" s="304">
        <v>42293</v>
      </c>
      <c r="C44" s="299">
        <v>10</v>
      </c>
      <c r="D44" s="300">
        <v>262.25</v>
      </c>
      <c r="E44" s="300">
        <v>0</v>
      </c>
      <c r="F44" s="300">
        <f t="shared" si="9"/>
        <v>2622.5</v>
      </c>
      <c r="G44" s="304"/>
      <c r="H44" s="299"/>
      <c r="I44" s="299"/>
      <c r="J44" s="299"/>
      <c r="K44" s="300"/>
      <c r="L44" s="299"/>
      <c r="M44" s="299"/>
      <c r="O44" s="93">
        <v>1.0900000000000001</v>
      </c>
      <c r="P44" s="93">
        <f t="shared" ref="P44:P63" si="10">O44*$Q$4</f>
        <v>273.41560000000004</v>
      </c>
      <c r="Q44" s="2"/>
      <c r="T44" s="199" t="s">
        <v>102</v>
      </c>
      <c r="U44" s="199">
        <v>257.47000000000003</v>
      </c>
      <c r="W44" s="143">
        <v>42382</v>
      </c>
      <c r="X44" s="12">
        <v>279.42</v>
      </c>
      <c r="Y44" s="12">
        <v>281.99</v>
      </c>
      <c r="Z44" s="12">
        <v>267</v>
      </c>
      <c r="AA44" s="12">
        <v>267.25</v>
      </c>
      <c r="AB44" s="105">
        <v>2061700</v>
      </c>
      <c r="AC44" s="12">
        <v>267.25</v>
      </c>
      <c r="AD44" s="2">
        <f t="shared" si="0"/>
        <v>14.990000000000009</v>
      </c>
      <c r="AE44" s="148">
        <f t="shared" si="1"/>
        <v>-4.0980371048193298E-2</v>
      </c>
    </row>
    <row r="45" spans="1:31" x14ac:dyDescent="0.25">
      <c r="A45" s="299"/>
      <c r="B45" s="304">
        <v>42293</v>
      </c>
      <c r="C45" s="299">
        <v>10</v>
      </c>
      <c r="D45" s="300">
        <v>255.4</v>
      </c>
      <c r="E45" s="300">
        <v>0</v>
      </c>
      <c r="F45" s="300">
        <f t="shared" si="9"/>
        <v>2554</v>
      </c>
      <c r="G45" s="304"/>
      <c r="H45" s="299"/>
      <c r="I45" s="299"/>
      <c r="J45" s="299"/>
      <c r="K45" s="300"/>
      <c r="L45" s="299"/>
      <c r="M45" s="299"/>
      <c r="O45" s="93">
        <v>1.08</v>
      </c>
      <c r="P45" s="93">
        <f t="shared" si="10"/>
        <v>270.90720000000005</v>
      </c>
      <c r="Q45" s="2"/>
      <c r="T45" s="199" t="s">
        <v>103</v>
      </c>
      <c r="U45" s="199" t="s">
        <v>419</v>
      </c>
      <c r="W45" s="143">
        <v>42381</v>
      </c>
      <c r="X45" s="12">
        <v>281.18</v>
      </c>
      <c r="Y45" s="12">
        <v>285.56</v>
      </c>
      <c r="Z45" s="12">
        <v>271</v>
      </c>
      <c r="AA45" s="12">
        <v>278.67</v>
      </c>
      <c r="AB45" s="105">
        <v>1833900</v>
      </c>
      <c r="AC45" s="12">
        <v>278.67</v>
      </c>
      <c r="AD45" s="2">
        <f t="shared" si="0"/>
        <v>14.560000000000002</v>
      </c>
      <c r="AE45" s="148">
        <f t="shared" si="1"/>
        <v>4.667193221798982E-4</v>
      </c>
    </row>
    <row r="46" spans="1:31" x14ac:dyDescent="0.25">
      <c r="A46" s="299"/>
      <c r="B46" s="304">
        <v>42314</v>
      </c>
      <c r="C46" s="299">
        <v>10</v>
      </c>
      <c r="D46" s="300">
        <v>298.81</v>
      </c>
      <c r="E46" s="300">
        <v>0</v>
      </c>
      <c r="F46" s="300">
        <f t="shared" si="9"/>
        <v>2988.1</v>
      </c>
      <c r="G46" s="304"/>
      <c r="H46" s="299"/>
      <c r="I46" s="300"/>
      <c r="J46" s="299"/>
      <c r="K46" s="300"/>
      <c r="L46" s="299"/>
      <c r="M46" s="299"/>
      <c r="O46" s="93">
        <v>1.07</v>
      </c>
      <c r="P46" s="93">
        <f t="shared" si="10"/>
        <v>268.39879999999999</v>
      </c>
      <c r="Q46" s="2"/>
      <c r="T46" s="199" t="s">
        <v>104</v>
      </c>
      <c r="U46" s="199" t="s">
        <v>420</v>
      </c>
      <c r="W46" s="143">
        <v>42380</v>
      </c>
      <c r="X46" s="12">
        <v>280.58999999999997</v>
      </c>
      <c r="Y46" s="12">
        <v>283.95</v>
      </c>
      <c r="Z46" s="12">
        <v>271.66000000000003</v>
      </c>
      <c r="AA46" s="12">
        <v>278.54000000000002</v>
      </c>
      <c r="AB46" s="105">
        <v>2109600</v>
      </c>
      <c r="AC46" s="12">
        <v>278.54000000000002</v>
      </c>
      <c r="AD46" s="2">
        <f t="shared" si="0"/>
        <v>12.289999999999964</v>
      </c>
      <c r="AE46" s="148">
        <f t="shared" si="1"/>
        <v>-7.3060337146725329E-3</v>
      </c>
    </row>
    <row r="47" spans="1:31" x14ac:dyDescent="0.25">
      <c r="A47" s="299"/>
      <c r="B47" s="304">
        <v>42341</v>
      </c>
      <c r="C47" s="299">
        <v>20</v>
      </c>
      <c r="D47" s="300">
        <v>286.08999999999997</v>
      </c>
      <c r="E47" s="300">
        <v>0</v>
      </c>
      <c r="F47" s="300">
        <f t="shared" si="9"/>
        <v>5721.7999999999993</v>
      </c>
      <c r="G47" s="304"/>
      <c r="H47" s="299"/>
      <c r="I47" s="299"/>
      <c r="J47" s="299"/>
      <c r="K47" s="300"/>
      <c r="L47" s="299"/>
      <c r="M47" s="299"/>
      <c r="O47" s="93">
        <v>1.06</v>
      </c>
      <c r="P47" s="93">
        <f t="shared" si="10"/>
        <v>265.8904</v>
      </c>
      <c r="Q47" s="2"/>
      <c r="T47" s="199" t="s">
        <v>105</v>
      </c>
      <c r="U47" s="199">
        <v>351.89</v>
      </c>
      <c r="W47" s="143">
        <v>42377</v>
      </c>
      <c r="X47" s="12">
        <v>284.64999999999998</v>
      </c>
      <c r="Y47" s="12">
        <v>288.11</v>
      </c>
      <c r="Z47" s="12">
        <v>280</v>
      </c>
      <c r="AA47" s="12">
        <v>280.58999999999997</v>
      </c>
      <c r="AB47" s="105">
        <v>1803900</v>
      </c>
      <c r="AC47" s="12">
        <v>280.58999999999997</v>
      </c>
      <c r="AD47" s="2">
        <f t="shared" si="0"/>
        <v>8.1100000000000136</v>
      </c>
      <c r="AE47" s="148">
        <f t="shared" si="1"/>
        <v>-1.2041829513045332E-2</v>
      </c>
    </row>
    <row r="48" spans="1:31" x14ac:dyDescent="0.25">
      <c r="A48" s="299"/>
      <c r="B48" s="304"/>
      <c r="C48" s="299"/>
      <c r="D48" s="300"/>
      <c r="E48" s="300"/>
      <c r="F48" s="300"/>
      <c r="G48" s="304"/>
      <c r="H48" s="299"/>
      <c r="I48" s="299"/>
      <c r="J48" s="299"/>
      <c r="K48" s="300"/>
      <c r="L48" s="299"/>
      <c r="M48" s="299"/>
      <c r="O48" s="93">
        <v>1.05</v>
      </c>
      <c r="P48" s="93">
        <f t="shared" si="10"/>
        <v>263.38200000000001</v>
      </c>
      <c r="Q48" s="2"/>
      <c r="T48" s="199" t="s">
        <v>106</v>
      </c>
      <c r="U48" s="199">
        <v>0.52827500000000005</v>
      </c>
      <c r="W48" s="143">
        <v>42376</v>
      </c>
      <c r="X48" s="12">
        <v>286.52</v>
      </c>
      <c r="Y48" s="12">
        <v>289.99</v>
      </c>
      <c r="Z48" s="12">
        <v>283.02999999999997</v>
      </c>
      <c r="AA48" s="12">
        <v>284.01</v>
      </c>
      <c r="AB48" s="105">
        <v>1844900</v>
      </c>
      <c r="AC48" s="12">
        <v>284.01</v>
      </c>
      <c r="AD48" s="2">
        <f t="shared" si="0"/>
        <v>6.9600000000000364</v>
      </c>
      <c r="AE48" s="148">
        <f t="shared" si="1"/>
        <v>-3.2926995369109258E-2</v>
      </c>
    </row>
    <row r="49" spans="1:31" x14ac:dyDescent="0.25">
      <c r="A49" s="299"/>
      <c r="B49" s="299"/>
      <c r="C49" s="299"/>
      <c r="D49" s="300"/>
      <c r="E49" s="300"/>
      <c r="F49" s="300"/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0"/>
        <v>260.87360000000001</v>
      </c>
      <c r="Q49" s="2"/>
      <c r="T49" s="199" t="s">
        <v>126</v>
      </c>
      <c r="U49" s="199" t="s">
        <v>226</v>
      </c>
      <c r="W49" s="143">
        <v>42375</v>
      </c>
      <c r="X49" s="12">
        <v>292.60000000000002</v>
      </c>
      <c r="Y49" s="12">
        <v>296.58</v>
      </c>
      <c r="Z49" s="12">
        <v>291.01</v>
      </c>
      <c r="AA49" s="12">
        <v>293.68</v>
      </c>
      <c r="AB49" s="105">
        <v>1540200</v>
      </c>
      <c r="AC49" s="12">
        <v>293.68</v>
      </c>
      <c r="AD49" s="2">
        <f t="shared" si="0"/>
        <v>5.5699999999999932</v>
      </c>
      <c r="AE49" s="148">
        <f t="shared" si="1"/>
        <v>-1.0178631614425337E-2</v>
      </c>
    </row>
    <row r="50" spans="1:31" x14ac:dyDescent="0.25">
      <c r="A50" s="299"/>
      <c r="B50" s="299"/>
      <c r="C50" s="299"/>
      <c r="D50" s="300"/>
      <c r="E50" s="300"/>
      <c r="F50" s="300"/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0"/>
        <v>258.36520000000002</v>
      </c>
      <c r="Q50" s="2"/>
      <c r="T50" s="199"/>
      <c r="U50" s="199"/>
      <c r="W50" s="143">
        <v>42374</v>
      </c>
      <c r="X50" s="12">
        <v>295.38</v>
      </c>
      <c r="Y50" s="12">
        <v>298.64</v>
      </c>
      <c r="Z50" s="12">
        <v>293.56</v>
      </c>
      <c r="AA50" s="12">
        <v>296.7</v>
      </c>
      <c r="AB50" s="105">
        <v>1261600</v>
      </c>
      <c r="AC50" s="12">
        <v>296.7</v>
      </c>
      <c r="AD50" s="2">
        <f t="shared" si="0"/>
        <v>5.0799999999999841</v>
      </c>
      <c r="AE50" s="148">
        <f t="shared" si="1"/>
        <v>7.0599416197134612E-3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0"/>
        <v>255.85680000000002</v>
      </c>
      <c r="Q51" s="2"/>
      <c r="T51" s="199" t="s">
        <v>108</v>
      </c>
      <c r="U51" s="199" t="s">
        <v>396</v>
      </c>
      <c r="W51" s="143">
        <v>42373</v>
      </c>
      <c r="X51" s="12">
        <v>300.33999999999997</v>
      </c>
      <c r="Y51" s="12">
        <v>301.02</v>
      </c>
      <c r="Z51" s="12">
        <v>291.39999999999998</v>
      </c>
      <c r="AA51" s="12">
        <v>294.62</v>
      </c>
      <c r="AB51" s="105">
        <v>2451100</v>
      </c>
      <c r="AC51" s="12">
        <v>294.62</v>
      </c>
      <c r="AD51" s="2">
        <f t="shared" si="0"/>
        <v>9.6200000000000045</v>
      </c>
      <c r="AE51" s="148">
        <f t="shared" si="1"/>
        <v>-3.8289538110004906E-2</v>
      </c>
    </row>
    <row r="52" spans="1:31" x14ac:dyDescent="0.25">
      <c r="O52" s="93">
        <v>1.01</v>
      </c>
      <c r="P52" s="93">
        <f t="shared" si="10"/>
        <v>253.3484</v>
      </c>
      <c r="Q52" s="2"/>
      <c r="T52" s="199" t="s">
        <v>109</v>
      </c>
      <c r="U52" s="199" t="s">
        <v>238</v>
      </c>
      <c r="W52" s="143">
        <v>42369</v>
      </c>
      <c r="X52" s="12">
        <v>306.10000000000002</v>
      </c>
      <c r="Y52" s="12">
        <v>309.33</v>
      </c>
      <c r="Z52" s="12">
        <v>306.10000000000002</v>
      </c>
      <c r="AA52" s="12">
        <v>306.35000000000002</v>
      </c>
      <c r="AB52" s="105">
        <v>1044200</v>
      </c>
      <c r="AC52" s="12">
        <v>306.35000000000002</v>
      </c>
      <c r="AD52" s="2">
        <f t="shared" si="0"/>
        <v>3.2299999999999613</v>
      </c>
      <c r="AE52" s="148">
        <f t="shared" si="1"/>
        <v>-6.45391450995636E-3</v>
      </c>
    </row>
    <row r="53" spans="1:31" x14ac:dyDescent="0.25">
      <c r="O53" s="93">
        <v>1</v>
      </c>
      <c r="P53" s="93">
        <f t="shared" si="10"/>
        <v>250.84</v>
      </c>
      <c r="Q53" s="2"/>
      <c r="T53" s="199" t="s">
        <v>110</v>
      </c>
      <c r="U53" s="200">
        <v>1954790</v>
      </c>
      <c r="W53" s="143">
        <v>42368</v>
      </c>
      <c r="X53" s="12">
        <v>309.98</v>
      </c>
      <c r="Y53" s="12">
        <v>310.29000000000002</v>
      </c>
      <c r="Z53" s="12">
        <v>307</v>
      </c>
      <c r="AA53" s="12">
        <v>308.33999999999997</v>
      </c>
      <c r="AB53" s="105">
        <v>802500</v>
      </c>
      <c r="AC53" s="12">
        <v>308.33999999999997</v>
      </c>
      <c r="AD53" s="2">
        <f t="shared" si="0"/>
        <v>3.2900000000000205</v>
      </c>
      <c r="AE53" s="148">
        <f t="shared" si="1"/>
        <v>-4.2948945651823944E-3</v>
      </c>
    </row>
    <row r="54" spans="1:31" x14ac:dyDescent="0.25">
      <c r="B54" s="307" t="s">
        <v>117</v>
      </c>
      <c r="C54" s="307" t="s">
        <v>170</v>
      </c>
      <c r="D54" s="308" t="s">
        <v>169</v>
      </c>
      <c r="E54" s="309" t="s">
        <v>171</v>
      </c>
      <c r="F54" s="310" t="s">
        <v>65</v>
      </c>
      <c r="G54" s="311" t="s">
        <v>175</v>
      </c>
      <c r="H54" s="310" t="s">
        <v>90</v>
      </c>
      <c r="O54" s="93">
        <v>0.99</v>
      </c>
      <c r="P54" s="93">
        <f t="shared" si="10"/>
        <v>248.33160000000001</v>
      </c>
      <c r="Q54" s="2"/>
      <c r="T54" s="199" t="s">
        <v>113</v>
      </c>
      <c r="U54" s="200">
        <v>1894750</v>
      </c>
      <c r="W54" s="143">
        <v>42367</v>
      </c>
      <c r="X54" s="12">
        <v>304.99</v>
      </c>
      <c r="Y54" s="12">
        <v>311.64999999999998</v>
      </c>
      <c r="Z54" s="12">
        <v>304.77</v>
      </c>
      <c r="AA54" s="12">
        <v>309.67</v>
      </c>
      <c r="AB54" s="105">
        <v>1223300</v>
      </c>
      <c r="AC54" s="12">
        <v>309.67</v>
      </c>
      <c r="AD54" s="2">
        <f t="shared" si="0"/>
        <v>6.8799999999999955</v>
      </c>
      <c r="AE54" s="148">
        <f t="shared" si="1"/>
        <v>1.9187730384413015E-2</v>
      </c>
    </row>
    <row r="55" spans="1:31" x14ac:dyDescent="0.25">
      <c r="B55" s="304">
        <v>42304</v>
      </c>
      <c r="C55" s="299">
        <v>80</v>
      </c>
      <c r="D55" s="300">
        <v>271.44</v>
      </c>
      <c r="E55" s="300">
        <v>293.69</v>
      </c>
      <c r="F55" s="300">
        <v>1780.09</v>
      </c>
      <c r="G55" s="300">
        <f>IF(C55=0, 0,D55*C55)</f>
        <v>21715.200000000001</v>
      </c>
      <c r="H55" s="312">
        <f>IF(C55=0, D55, (E55-D55)/D55)</f>
        <v>8.1970232832301801E-2</v>
      </c>
      <c r="O55" s="93">
        <v>0.98</v>
      </c>
      <c r="P55" s="93">
        <f t="shared" si="10"/>
        <v>245.82319999999999</v>
      </c>
      <c r="Q55" s="2"/>
      <c r="T55" s="199" t="s">
        <v>111</v>
      </c>
      <c r="U55" s="199" t="s">
        <v>397</v>
      </c>
      <c r="W55" s="143">
        <v>42366</v>
      </c>
      <c r="X55" s="12">
        <v>302.02999999999997</v>
      </c>
      <c r="Y55" s="12">
        <v>304.98</v>
      </c>
      <c r="Z55" s="12">
        <v>301.5</v>
      </c>
      <c r="AA55" s="12">
        <v>303.83999999999997</v>
      </c>
      <c r="AB55" s="105">
        <v>848400</v>
      </c>
      <c r="AC55" s="12">
        <v>303.83999999999997</v>
      </c>
      <c r="AD55" s="2">
        <f t="shared" si="0"/>
        <v>3.4800000000000182</v>
      </c>
      <c r="AE55" s="148">
        <f t="shared" si="1"/>
        <v>5.1275265473549325E-3</v>
      </c>
    </row>
    <row r="56" spans="1:31" x14ac:dyDescent="0.25">
      <c r="B56" s="304">
        <v>42310</v>
      </c>
      <c r="C56" s="299">
        <v>70</v>
      </c>
      <c r="D56" s="300">
        <v>267.36</v>
      </c>
      <c r="E56" s="300">
        <v>303.08</v>
      </c>
      <c r="F56" s="300">
        <v>2500.4299999999998</v>
      </c>
      <c r="G56" s="300">
        <f t="shared" ref="G56:G60" si="11">IF(C56=0, 0,D56*C56)</f>
        <v>18715.2</v>
      </c>
      <c r="H56" s="312">
        <f t="shared" ref="H56:H60" si="12">IF(C56=0, D56, (E56-D56)/D56)</f>
        <v>0.1336026331538</v>
      </c>
      <c r="O56" s="93">
        <v>0.97</v>
      </c>
      <c r="P56" s="93">
        <f t="shared" si="10"/>
        <v>243.31479999999999</v>
      </c>
      <c r="T56" s="199" t="s">
        <v>114</v>
      </c>
      <c r="U56" s="199">
        <v>16.32</v>
      </c>
      <c r="W56" s="143">
        <v>42362</v>
      </c>
      <c r="X56" s="12">
        <v>300.29000000000002</v>
      </c>
      <c r="Y56" s="12">
        <v>303.87</v>
      </c>
      <c r="Z56" s="12">
        <v>299.5</v>
      </c>
      <c r="AA56" s="12">
        <v>302.29000000000002</v>
      </c>
      <c r="AB56" s="105">
        <v>537100</v>
      </c>
      <c r="AC56" s="12">
        <v>302.29000000000002</v>
      </c>
      <c r="AD56" s="2">
        <f t="shared" si="0"/>
        <v>4.3700000000000045</v>
      </c>
      <c r="AE56" s="148">
        <f t="shared" si="1"/>
        <v>6.995569472667329E-3</v>
      </c>
    </row>
    <row r="57" spans="1:31" x14ac:dyDescent="0.25">
      <c r="B57" s="304">
        <v>42314</v>
      </c>
      <c r="C57" s="299">
        <v>80</v>
      </c>
      <c r="D57" s="300">
        <v>271.29000000000002</v>
      </c>
      <c r="E57" s="300">
        <v>299.14</v>
      </c>
      <c r="F57" s="300">
        <v>2227.9299999999998</v>
      </c>
      <c r="G57" s="300">
        <f t="shared" si="11"/>
        <v>21703.200000000001</v>
      </c>
      <c r="H57" s="312">
        <f t="shared" si="12"/>
        <v>0.10265767260127526</v>
      </c>
      <c r="O57" s="93">
        <v>0.96</v>
      </c>
      <c r="P57" s="93">
        <f t="shared" si="10"/>
        <v>240.8064</v>
      </c>
      <c r="T57" s="199" t="s">
        <v>115</v>
      </c>
      <c r="U57" s="199">
        <v>15.34</v>
      </c>
      <c r="W57" s="143">
        <v>42361</v>
      </c>
      <c r="X57" s="12">
        <v>303.79000000000002</v>
      </c>
      <c r="Y57" s="12">
        <v>303.79000000000002</v>
      </c>
      <c r="Z57" s="12">
        <v>299.16000000000003</v>
      </c>
      <c r="AA57" s="12">
        <v>300.19</v>
      </c>
      <c r="AB57" s="105">
        <v>958900</v>
      </c>
      <c r="AC57" s="12">
        <v>300.19</v>
      </c>
      <c r="AD57" s="2">
        <f t="shared" si="0"/>
        <v>4.6299999999999955</v>
      </c>
      <c r="AE57" s="148">
        <f t="shared" si="1"/>
        <v>-1.9283838148751453E-3</v>
      </c>
    </row>
    <row r="58" spans="1:31" x14ac:dyDescent="0.25">
      <c r="B58" s="304">
        <v>42326</v>
      </c>
      <c r="C58" s="299">
        <v>40</v>
      </c>
      <c r="D58" s="300">
        <v>254.6</v>
      </c>
      <c r="E58" s="300">
        <v>291.98</v>
      </c>
      <c r="F58" s="300">
        <v>1495.32</v>
      </c>
      <c r="G58" s="300">
        <f t="shared" si="11"/>
        <v>10184</v>
      </c>
      <c r="H58" s="312">
        <f t="shared" si="12"/>
        <v>0.14681853888452484</v>
      </c>
      <c r="O58" s="93">
        <v>0.95</v>
      </c>
      <c r="P58" s="93">
        <f t="shared" si="10"/>
        <v>238.298</v>
      </c>
      <c r="T58" s="199" t="s">
        <v>112</v>
      </c>
      <c r="U58" s="199" t="s">
        <v>127</v>
      </c>
      <c r="W58" s="143">
        <v>42360</v>
      </c>
      <c r="X58" s="12">
        <v>298</v>
      </c>
      <c r="Y58" s="12">
        <v>301.83999999999997</v>
      </c>
      <c r="Z58" s="12">
        <v>296.35000000000002</v>
      </c>
      <c r="AA58" s="12">
        <v>300.77</v>
      </c>
      <c r="AB58" s="105">
        <v>1211900</v>
      </c>
      <c r="AC58" s="12">
        <v>300.77</v>
      </c>
      <c r="AD58" s="2">
        <f t="shared" si="0"/>
        <v>5.4899999999999523</v>
      </c>
      <c r="AE58" s="148">
        <f t="shared" si="1"/>
        <v>1.0787740287673042E-2</v>
      </c>
    </row>
    <row r="59" spans="1:31" x14ac:dyDescent="0.25">
      <c r="B59" s="304">
        <v>42338</v>
      </c>
      <c r="C59" s="299">
        <v>60</v>
      </c>
      <c r="D59" s="300">
        <v>265.08999999999997</v>
      </c>
      <c r="E59" s="300">
        <v>286.86</v>
      </c>
      <c r="F59" s="300">
        <v>1305.92</v>
      </c>
      <c r="G59" s="300">
        <f t="shared" si="11"/>
        <v>15905.399999999998</v>
      </c>
      <c r="H59" s="312">
        <f t="shared" si="12"/>
        <v>8.2123052548191328E-2</v>
      </c>
      <c r="O59" s="93">
        <v>0.94</v>
      </c>
      <c r="P59" s="93">
        <f t="shared" si="10"/>
        <v>235.78959999999998</v>
      </c>
      <c r="W59" s="143">
        <v>42359</v>
      </c>
      <c r="X59" s="12">
        <v>294.83999999999997</v>
      </c>
      <c r="Y59" s="12">
        <v>297.86</v>
      </c>
      <c r="Z59" s="12">
        <v>293.5</v>
      </c>
      <c r="AA59" s="12">
        <v>297.56</v>
      </c>
      <c r="AB59" s="105">
        <v>1137600</v>
      </c>
      <c r="AC59" s="12">
        <v>297.56</v>
      </c>
      <c r="AD59" s="2">
        <f t="shared" si="0"/>
        <v>4.3600000000000136</v>
      </c>
      <c r="AE59" s="148">
        <f t="shared" si="1"/>
        <v>1.428230562088828E-2</v>
      </c>
    </row>
    <row r="60" spans="1:31" x14ac:dyDescent="0.25">
      <c r="B60" s="304">
        <v>42342</v>
      </c>
      <c r="C60" s="299">
        <v>25</v>
      </c>
      <c r="D60" s="300">
        <v>240.05</v>
      </c>
      <c r="E60" s="300">
        <v>284.45</v>
      </c>
      <c r="F60" s="300">
        <v>1110</v>
      </c>
      <c r="G60" s="300">
        <f t="shared" si="11"/>
        <v>6001.25</v>
      </c>
      <c r="H60" s="312">
        <f t="shared" si="12"/>
        <v>0.18496146636117466</v>
      </c>
      <c r="O60" s="93">
        <v>0.93</v>
      </c>
      <c r="P60" s="93">
        <f t="shared" si="10"/>
        <v>233.28120000000001</v>
      </c>
      <c r="W60" s="143">
        <v>42356</v>
      </c>
      <c r="X60" s="12">
        <v>294.8</v>
      </c>
      <c r="Y60" s="12">
        <v>299.82</v>
      </c>
      <c r="Z60" s="12">
        <v>293.05</v>
      </c>
      <c r="AA60" s="12">
        <v>293.37</v>
      </c>
      <c r="AB60" s="105">
        <v>2762600</v>
      </c>
      <c r="AC60" s="12">
        <v>293.37</v>
      </c>
      <c r="AD60" s="2">
        <f t="shared" si="0"/>
        <v>6.7699999999999818</v>
      </c>
      <c r="AE60" s="148">
        <f t="shared" si="1"/>
        <v>-1.2787293468385141E-2</v>
      </c>
    </row>
    <row r="61" spans="1:31" x14ac:dyDescent="0.25">
      <c r="B61" s="304">
        <v>42355</v>
      </c>
      <c r="C61" s="299">
        <v>0</v>
      </c>
      <c r="D61" s="300">
        <v>0</v>
      </c>
      <c r="E61" s="300">
        <v>297.17</v>
      </c>
      <c r="F61" s="300">
        <v>1373.65</v>
      </c>
      <c r="G61" s="300"/>
      <c r="H61" s="312"/>
      <c r="O61" s="93">
        <v>0.92</v>
      </c>
      <c r="P61" s="93">
        <f t="shared" si="10"/>
        <v>230.77280000000002</v>
      </c>
      <c r="W61" s="143">
        <v>42355</v>
      </c>
      <c r="X61" s="12">
        <v>299.04000000000002</v>
      </c>
      <c r="Y61" s="12">
        <v>300.87</v>
      </c>
      <c r="Z61" s="12">
        <v>296.38</v>
      </c>
      <c r="AA61" s="12">
        <v>297.17</v>
      </c>
      <c r="AB61" s="105">
        <v>1705300</v>
      </c>
      <c r="AC61" s="12">
        <v>297.17</v>
      </c>
      <c r="AD61" s="2">
        <f t="shared" si="0"/>
        <v>4.4900000000000091</v>
      </c>
      <c r="AE61" s="148">
        <f t="shared" si="1"/>
        <v>-7.0834307861940005E-3</v>
      </c>
    </row>
    <row r="62" spans="1:31" x14ac:dyDescent="0.25">
      <c r="B62" s="304"/>
      <c r="C62" s="299"/>
      <c r="D62" s="300"/>
      <c r="E62" s="300"/>
      <c r="F62" s="300"/>
      <c r="G62" s="300"/>
      <c r="H62" s="312"/>
      <c r="O62" s="93">
        <v>0.91</v>
      </c>
      <c r="P62" s="93">
        <f t="shared" si="10"/>
        <v>228.26440000000002</v>
      </c>
      <c r="W62" s="143">
        <v>42354</v>
      </c>
      <c r="X62" s="12">
        <v>292.23</v>
      </c>
      <c r="Y62" s="12">
        <v>299.68</v>
      </c>
      <c r="Z62" s="12">
        <v>290</v>
      </c>
      <c r="AA62" s="12">
        <v>299.29000000000002</v>
      </c>
      <c r="AB62" s="105">
        <v>2093200</v>
      </c>
      <c r="AC62" s="12">
        <v>299.29000000000002</v>
      </c>
      <c r="AD62" s="2">
        <f t="shared" si="0"/>
        <v>9.6800000000000068</v>
      </c>
      <c r="AE62" s="148">
        <f t="shared" si="1"/>
        <v>3.5211511189512601E-2</v>
      </c>
    </row>
    <row r="63" spans="1:31" x14ac:dyDescent="0.25">
      <c r="B63" s="299"/>
      <c r="C63" s="299"/>
      <c r="D63" s="300"/>
      <c r="E63" s="300"/>
      <c r="F63" s="300"/>
      <c r="G63" s="300"/>
      <c r="H63" s="312"/>
      <c r="O63" s="93">
        <v>0.9</v>
      </c>
      <c r="P63" s="93">
        <f t="shared" si="10"/>
        <v>225.756</v>
      </c>
      <c r="W63" s="143">
        <v>42353</v>
      </c>
      <c r="X63" s="12">
        <v>285.01</v>
      </c>
      <c r="Y63" s="12">
        <v>291.69</v>
      </c>
      <c r="Z63" s="12">
        <v>282.56</v>
      </c>
      <c r="AA63" s="12">
        <v>289.11</v>
      </c>
      <c r="AB63" s="105">
        <v>1614800</v>
      </c>
      <c r="AC63" s="12">
        <v>289.11</v>
      </c>
      <c r="AD63" s="2">
        <f t="shared" si="0"/>
        <v>9.1299999999999955</v>
      </c>
      <c r="AE63" s="148">
        <f t="shared" si="1"/>
        <v>2.3796876659938571E-2</v>
      </c>
    </row>
    <row r="64" spans="1:31" x14ac:dyDescent="0.25">
      <c r="B64" s="299"/>
      <c r="C64" s="299"/>
      <c r="D64" s="300"/>
      <c r="E64" s="300"/>
      <c r="F64" s="300"/>
      <c r="G64" s="300"/>
      <c r="H64" s="312"/>
      <c r="W64" s="143">
        <v>42352</v>
      </c>
      <c r="X64" s="12">
        <v>283.77</v>
      </c>
      <c r="Y64" s="12">
        <v>285</v>
      </c>
      <c r="Z64" s="12">
        <v>276.43</v>
      </c>
      <c r="AA64" s="12">
        <v>282.39</v>
      </c>
      <c r="AB64" s="105">
        <v>1649800</v>
      </c>
      <c r="AC64" s="12">
        <v>282.39</v>
      </c>
      <c r="AD64" s="2">
        <f t="shared" si="0"/>
        <v>8.5699999999999932</v>
      </c>
      <c r="AE64" s="148">
        <f t="shared" si="1"/>
        <v>-3.7747830381711367E-3</v>
      </c>
    </row>
    <row r="65" spans="23:31" x14ac:dyDescent="0.25">
      <c r="W65" s="143">
        <v>42349</v>
      </c>
      <c r="X65" s="12">
        <v>285.54000000000002</v>
      </c>
      <c r="Y65" s="12">
        <v>288.58999999999997</v>
      </c>
      <c r="Z65" s="12">
        <v>282.23</v>
      </c>
      <c r="AA65" s="12">
        <v>283.45999999999998</v>
      </c>
      <c r="AB65" s="105">
        <v>1990800</v>
      </c>
      <c r="AC65" s="12">
        <v>283.45999999999998</v>
      </c>
      <c r="AD65" s="2">
        <f t="shared" si="0"/>
        <v>6.3599999999999568</v>
      </c>
      <c r="AE65" s="148">
        <f t="shared" si="1"/>
        <v>-2.2147095349799972E-2</v>
      </c>
    </row>
    <row r="66" spans="23:31" x14ac:dyDescent="0.25">
      <c r="W66" s="143">
        <v>42348</v>
      </c>
      <c r="X66" s="12">
        <v>285.36</v>
      </c>
      <c r="Y66" s="12">
        <v>291.22000000000003</v>
      </c>
      <c r="Z66" s="12">
        <v>284.68</v>
      </c>
      <c r="AA66" s="12">
        <v>289.88</v>
      </c>
      <c r="AB66" s="105">
        <v>1420300</v>
      </c>
      <c r="AC66" s="12">
        <v>289.88</v>
      </c>
      <c r="AD66" s="2">
        <f t="shared" si="0"/>
        <v>6.5400000000000205</v>
      </c>
      <c r="AE66" s="148">
        <f t="shared" si="1"/>
        <v>1.8516566529636957E-2</v>
      </c>
    </row>
    <row r="67" spans="23:31" x14ac:dyDescent="0.25">
      <c r="W67" s="143">
        <v>42347</v>
      </c>
      <c r="X67" s="12">
        <v>286.20999999999998</v>
      </c>
      <c r="Y67" s="12">
        <v>290.08999999999997</v>
      </c>
      <c r="Z67" s="12">
        <v>283.02</v>
      </c>
      <c r="AA67" s="12">
        <v>284.61</v>
      </c>
      <c r="AB67" s="105">
        <v>1520000</v>
      </c>
      <c r="AC67" s="12">
        <v>284.61</v>
      </c>
      <c r="AD67" s="2">
        <f t="shared" ref="AD67:AD68" si="13">Y67-Z67</f>
        <v>7.0699999999999932</v>
      </c>
      <c r="AE67" s="148" t="e">
        <f t="shared" ref="AE67:AE68" si="14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3"/>
        <v>0</v>
      </c>
      <c r="AE68" s="148" t="e">
        <f t="shared" si="14"/>
        <v>#DIV/0!</v>
      </c>
    </row>
  </sheetData>
  <mergeCells count="3">
    <mergeCell ref="O42:P42"/>
    <mergeCell ref="B6:B7"/>
    <mergeCell ref="B39:B40"/>
  </mergeCells>
  <conditionalFormatting sqref="Q7 F25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5:H27">
    <cfRule type="expression" dxfId="11" priority="15">
      <formula>H25&gt;0</formula>
    </cfRule>
    <cfRule type="expression" dxfId="10" priority="16">
      <formula>H25&lt;0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4">
    <cfRule type="expression" dxfId="3" priority="7">
      <formula>F21&gt;0</formula>
    </cfRule>
    <cfRule type="expression" dxfId="2" priority="8">
      <formula>F21&lt;0</formula>
    </cfRule>
  </conditionalFormatting>
  <conditionalFormatting sqref="H21:H24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2016-03-17T03:39:33Z</dcterms:modified>
</cp:coreProperties>
</file>