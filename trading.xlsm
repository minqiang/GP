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9665" windowHeight="7890" tabRatio="892" activeTab="1"/>
  </bookViews>
  <sheets>
    <sheet name="CLOSED" sheetId="1" r:id="rId1"/>
    <sheet name="ACTIVE" sheetId="35" r:id="rId2"/>
    <sheet name="MRO" sheetId="25" state="hidden" r:id="rId3"/>
    <sheet name="CPN" sheetId="7" state="hidden" r:id="rId4"/>
    <sheet name="MU" sheetId="17" state="hidden" r:id="rId5"/>
    <sheet name="INTC" sheetId="13" state="hidden" r:id="rId6"/>
    <sheet name="HES" sheetId="10" state="hidden" r:id="rId7"/>
    <sheet name="UNP" sheetId="20" state="hidden" r:id="rId8"/>
    <sheet name="PINC" sheetId="11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ONCS" sheetId="12" state="hidden" r:id="rId14"/>
    <sheet name="NSC" sheetId="24" state="hidden" r:id="rId15"/>
    <sheet name="CAH" sheetId="27" r:id="rId16"/>
    <sheet name="SCTY" sheetId="18" state="hidden" r:id="rId17"/>
    <sheet name="ATE" sheetId="14" state="hidden" r:id="rId18"/>
    <sheet name="CTWS" sheetId="9" state="hidden" r:id="rId19"/>
    <sheet name="AVGO" sheetId="15" state="hidden" r:id="rId20"/>
    <sheet name="DIS" sheetId="34" state="hidden" r:id="rId21"/>
    <sheet name="GILD" sheetId="31" state="hidden" r:id="rId22"/>
    <sheet name="WWD" sheetId="28" state="hidden" r:id="rId23"/>
    <sheet name="GM" sheetId="29" state="hidden" r:id="rId24"/>
    <sheet name="TCO" sheetId="21" state="hidden" r:id="rId25"/>
    <sheet name="TKR" sheetId="32" state="hidden" r:id="rId26"/>
    <sheet name="UTX" sheetId="30" state="hidden" r:id="rId27"/>
    <sheet name="UNH" sheetId="26" state="hidden" r:id="rId28"/>
    <sheet name="BIIB" sheetId="33" state="hidden" r:id="rId29"/>
    <sheet name="AAVL" sheetId="8" state="hidden" r:id="rId30"/>
    <sheet name="BLUE" sheetId="4" state="hidden" r:id="rId31"/>
  </sheets>
  <functionGroups builtInGroupCount="18"/>
  <definedNames>
    <definedName name="PL" localSheetId="9">AA!$Q$7</definedName>
    <definedName name="PL" localSheetId="29">AAVL!$Q$7</definedName>
    <definedName name="PL" localSheetId="2">MRO!$Q$7</definedName>
    <definedName name="PL">AAVL!$Q$7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7" i="35"/>
  <c r="L29" i="35"/>
  <c r="L26" i="35"/>
  <c r="L25" i="35"/>
  <c r="L14" i="35"/>
  <c r="L30" i="35"/>
  <c r="L13" i="35"/>
  <c r="L12" i="35"/>
  <c r="L6" i="35"/>
  <c r="L11" i="35"/>
  <c r="L5" i="35"/>
  <c r="L24" i="35"/>
  <c r="L9" i="35"/>
  <c r="L21" i="35"/>
  <c r="L22" i="35"/>
  <c r="L4" i="35"/>
  <c r="L18" i="35"/>
  <c r="L17" i="35"/>
  <c r="L2" i="35"/>
  <c r="L23" i="35"/>
  <c r="L28" i="35"/>
  <c r="L15" i="35"/>
  <c r="L16" i="35"/>
  <c r="L20" i="35"/>
  <c r="L10" i="35"/>
  <c r="L19" i="35"/>
  <c r="E142" i="1" l="1"/>
  <c r="E143" i="1"/>
  <c r="E144" i="1"/>
  <c r="E145" i="1"/>
  <c r="F3" i="12" l="1"/>
  <c r="F4" i="12"/>
  <c r="F5" i="12"/>
  <c r="F6" i="12"/>
  <c r="F7" i="12" s="1"/>
  <c r="F2" i="12"/>
  <c r="K2" i="12"/>
  <c r="C7" i="12"/>
  <c r="H26" i="25"/>
  <c r="C26" i="25"/>
  <c r="Q5" i="3" l="1"/>
  <c r="V4" i="26"/>
  <c r="V5" i="26" l="1"/>
  <c r="F13" i="10"/>
  <c r="K3" i="10" l="1"/>
  <c r="K2" i="10"/>
  <c r="F3" i="10"/>
  <c r="F4" i="10"/>
  <c r="F5" i="10"/>
  <c r="F6" i="10"/>
  <c r="F7" i="10"/>
  <c r="F8" i="10"/>
  <c r="F9" i="10"/>
  <c r="F10" i="10"/>
  <c r="F11" i="10"/>
  <c r="F12" i="10"/>
  <c r="F14" i="10"/>
  <c r="F15" i="10"/>
  <c r="F2" i="10"/>
  <c r="C16" i="10" l="1"/>
  <c r="F25" i="25"/>
  <c r="F24" i="25"/>
  <c r="F11" i="13"/>
  <c r="F12" i="13"/>
  <c r="C12" i="13"/>
  <c r="F10" i="13"/>
  <c r="F5" i="32"/>
  <c r="F6" i="32"/>
  <c r="F7" i="32"/>
  <c r="F12" i="5"/>
  <c r="F13" i="5"/>
  <c r="C13" i="5"/>
  <c r="F7" i="15"/>
  <c r="F8" i="15"/>
  <c r="C8" i="15"/>
  <c r="I6" i="4"/>
  <c r="K10" i="4"/>
  <c r="F10" i="4"/>
  <c r="C10" i="4"/>
  <c r="F9" i="4"/>
  <c r="F37" i="17"/>
  <c r="F38" i="17"/>
  <c r="C38" i="17"/>
  <c r="F36" i="17"/>
  <c r="F35" i="17"/>
  <c r="C13" i="3"/>
  <c r="F13" i="3"/>
  <c r="F12" i="3"/>
  <c r="I2" i="30" l="1"/>
  <c r="F34" i="17"/>
  <c r="F33" i="17"/>
  <c r="O17" i="22" l="1"/>
  <c r="O18" i="22"/>
  <c r="O19" i="22"/>
  <c r="O20" i="22"/>
  <c r="O21" i="22"/>
  <c r="O22" i="22"/>
  <c r="O23" i="22"/>
  <c r="O24" i="22"/>
  <c r="O25" i="22"/>
  <c r="O26" i="22"/>
  <c r="O27" i="22"/>
  <c r="O28" i="22"/>
  <c r="O29" i="22"/>
  <c r="F32" i="17"/>
  <c r="E141" i="1"/>
  <c r="I3" i="17" l="1"/>
  <c r="I4" i="17"/>
  <c r="I5" i="17"/>
  <c r="I2" i="17"/>
  <c r="I6" i="17"/>
  <c r="I3" i="4"/>
  <c r="I4" i="4"/>
  <c r="I5" i="4"/>
  <c r="I2" i="4"/>
  <c r="F31" i="17"/>
  <c r="F30" i="17"/>
  <c r="F2" i="25"/>
  <c r="K2" i="25"/>
  <c r="F3" i="25"/>
  <c r="K3" i="25"/>
  <c r="F4" i="25"/>
  <c r="K4" i="25"/>
  <c r="F5" i="25"/>
  <c r="K5" i="25"/>
  <c r="K26" i="25" l="1"/>
  <c r="O22" i="29"/>
  <c r="Q22" i="29" s="1"/>
  <c r="O23" i="29"/>
  <c r="Q23" i="29" s="1"/>
  <c r="O24" i="29"/>
  <c r="Q24" i="29" s="1"/>
  <c r="O25" i="29"/>
  <c r="Q25" i="29" s="1"/>
  <c r="O29" i="9"/>
  <c r="Q29" i="9" s="1"/>
  <c r="O28" i="9"/>
  <c r="Q28" i="9" s="1"/>
  <c r="O27" i="9"/>
  <c r="Q27" i="9" s="1"/>
  <c r="O26" i="9"/>
  <c r="Q26" i="9" s="1"/>
  <c r="O25" i="9"/>
  <c r="Q25" i="9" s="1"/>
  <c r="O24" i="9"/>
  <c r="Q24" i="9" s="1"/>
  <c r="O23" i="9"/>
  <c r="Q23" i="9" s="1"/>
  <c r="O22" i="9"/>
  <c r="Q22" i="9" s="1"/>
  <c r="O21" i="9"/>
  <c r="Q21" i="9" s="1"/>
  <c r="O20" i="9"/>
  <c r="Q20" i="9" s="1"/>
  <c r="O19" i="9"/>
  <c r="Q19" i="9" s="1"/>
  <c r="O18" i="9"/>
  <c r="Q18" i="9" s="1"/>
  <c r="O17" i="9"/>
  <c r="Q17" i="9" s="1"/>
  <c r="O31" i="11"/>
  <c r="Q31" i="11" s="1"/>
  <c r="O30" i="11"/>
  <c r="Q30" i="11" s="1"/>
  <c r="O29" i="11"/>
  <c r="Q29" i="11" s="1"/>
  <c r="O28" i="11"/>
  <c r="Q28" i="11" s="1"/>
  <c r="O27" i="11"/>
  <c r="Q27" i="11" s="1"/>
  <c r="O26" i="11"/>
  <c r="Q26" i="11" s="1"/>
  <c r="O25" i="11"/>
  <c r="Q25" i="11" s="1"/>
  <c r="O24" i="11"/>
  <c r="Q24" i="11" s="1"/>
  <c r="O23" i="11"/>
  <c r="Q23" i="11" s="1"/>
  <c r="O22" i="11"/>
  <c r="Q22" i="11" s="1"/>
  <c r="O21" i="11"/>
  <c r="Q21" i="11" s="1"/>
  <c r="O20" i="11"/>
  <c r="Q20" i="11" s="1"/>
  <c r="O19" i="11"/>
  <c r="Q19" i="11" s="1"/>
  <c r="O32" i="27"/>
  <c r="Q32" i="27" s="1"/>
  <c r="O31" i="27"/>
  <c r="Q31" i="27" s="1"/>
  <c r="O30" i="27"/>
  <c r="Q30" i="27" s="1"/>
  <c r="O29" i="27"/>
  <c r="Q29" i="27" s="1"/>
  <c r="O28" i="27"/>
  <c r="Q28" i="27" s="1"/>
  <c r="O27" i="27"/>
  <c r="Q27" i="27" s="1"/>
  <c r="O26" i="27"/>
  <c r="Q26" i="27" s="1"/>
  <c r="O25" i="27"/>
  <c r="Q25" i="27" s="1"/>
  <c r="O24" i="27"/>
  <c r="Q24" i="27" s="1"/>
  <c r="O23" i="27"/>
  <c r="Q23" i="27" s="1"/>
  <c r="O22" i="27"/>
  <c r="Q22" i="27" s="1"/>
  <c r="O21" i="27"/>
  <c r="Q21" i="27" s="1"/>
  <c r="O20" i="27"/>
  <c r="Q20" i="27" s="1"/>
  <c r="O29" i="21"/>
  <c r="Q29" i="21" s="1"/>
  <c r="O28" i="21"/>
  <c r="Q28" i="21" s="1"/>
  <c r="O27" i="21"/>
  <c r="Q27" i="21" s="1"/>
  <c r="O26" i="21"/>
  <c r="Q26" i="21" s="1"/>
  <c r="O25" i="21"/>
  <c r="Q25" i="21" s="1"/>
  <c r="O24" i="21"/>
  <c r="Q24" i="21" s="1"/>
  <c r="O23" i="21"/>
  <c r="Q23" i="21" s="1"/>
  <c r="O22" i="21"/>
  <c r="Q22" i="21" s="1"/>
  <c r="O21" i="21"/>
  <c r="Q21" i="21" s="1"/>
  <c r="O20" i="21"/>
  <c r="Q20" i="21" s="1"/>
  <c r="O19" i="21"/>
  <c r="Q19" i="21" s="1"/>
  <c r="O18" i="21"/>
  <c r="Q18" i="21" s="1"/>
  <c r="O17" i="21"/>
  <c r="Q17" i="21" s="1"/>
  <c r="O31" i="18"/>
  <c r="Q31" i="18" s="1"/>
  <c r="O30" i="18"/>
  <c r="Q30" i="18" s="1"/>
  <c r="O29" i="18"/>
  <c r="Q29" i="18" s="1"/>
  <c r="O28" i="18"/>
  <c r="Q28" i="18" s="1"/>
  <c r="O27" i="18"/>
  <c r="Q27" i="18" s="1"/>
  <c r="O26" i="18"/>
  <c r="Q26" i="18" s="1"/>
  <c r="O25" i="18"/>
  <c r="Q25" i="18" s="1"/>
  <c r="O24" i="18"/>
  <c r="Q24" i="18" s="1"/>
  <c r="O23" i="18"/>
  <c r="Q23" i="18" s="1"/>
  <c r="O22" i="18"/>
  <c r="Q22" i="18" s="1"/>
  <c r="O21" i="18"/>
  <c r="Q21" i="18" s="1"/>
  <c r="O20" i="18"/>
  <c r="Q20" i="18" s="1"/>
  <c r="O19" i="18"/>
  <c r="Q19" i="18" s="1"/>
  <c r="O29" i="31"/>
  <c r="Q29" i="31" s="1"/>
  <c r="O28" i="31"/>
  <c r="Q28" i="31" s="1"/>
  <c r="O27" i="31"/>
  <c r="Q27" i="31" s="1"/>
  <c r="O26" i="31"/>
  <c r="Q26" i="31" s="1"/>
  <c r="O25" i="31"/>
  <c r="Q25" i="31" s="1"/>
  <c r="O24" i="31"/>
  <c r="Q24" i="31" s="1"/>
  <c r="O23" i="31"/>
  <c r="Q23" i="31" s="1"/>
  <c r="O22" i="31"/>
  <c r="Q22" i="31" s="1"/>
  <c r="O21" i="31"/>
  <c r="Q21" i="31" s="1"/>
  <c r="O20" i="31"/>
  <c r="Q20" i="31" s="1"/>
  <c r="O19" i="31"/>
  <c r="Q19" i="31" s="1"/>
  <c r="O18" i="31"/>
  <c r="Q18" i="31" s="1"/>
  <c r="O17" i="31"/>
  <c r="Q17" i="31" s="1"/>
  <c r="O32" i="26"/>
  <c r="Q32" i="26" s="1"/>
  <c r="O31" i="26"/>
  <c r="Q31" i="26" s="1"/>
  <c r="O30" i="26"/>
  <c r="Q30" i="26" s="1"/>
  <c r="O29" i="26"/>
  <c r="Q29" i="26" s="1"/>
  <c r="O28" i="26"/>
  <c r="Q28" i="26" s="1"/>
  <c r="O27" i="26"/>
  <c r="Q27" i="26" s="1"/>
  <c r="O26" i="26"/>
  <c r="Q26" i="26" s="1"/>
  <c r="O25" i="26"/>
  <c r="Q25" i="26" s="1"/>
  <c r="O24" i="26"/>
  <c r="Q24" i="26" s="1"/>
  <c r="O23" i="26"/>
  <c r="Q23" i="26" s="1"/>
  <c r="O22" i="26"/>
  <c r="Q22" i="26" s="1"/>
  <c r="O21" i="26"/>
  <c r="Q21" i="26" s="1"/>
  <c r="O20" i="26"/>
  <c r="Q20" i="26" s="1"/>
  <c r="O30" i="28"/>
  <c r="Q30" i="28" s="1"/>
  <c r="O29" i="28"/>
  <c r="Q29" i="28" s="1"/>
  <c r="O28" i="28"/>
  <c r="Q28" i="28" s="1"/>
  <c r="O27" i="28"/>
  <c r="Q27" i="28" s="1"/>
  <c r="O26" i="28"/>
  <c r="Q26" i="28" s="1"/>
  <c r="O25" i="28"/>
  <c r="Q25" i="28" s="1"/>
  <c r="O24" i="28"/>
  <c r="Q24" i="28" s="1"/>
  <c r="O23" i="28"/>
  <c r="Q23" i="28" s="1"/>
  <c r="O22" i="28"/>
  <c r="Q22" i="28" s="1"/>
  <c r="O21" i="28"/>
  <c r="Q21" i="28" s="1"/>
  <c r="O20" i="28"/>
  <c r="Q20" i="28" s="1"/>
  <c r="O19" i="28"/>
  <c r="Q19" i="28" s="1"/>
  <c r="O18" i="28"/>
  <c r="Q18" i="28" s="1"/>
  <c r="O34" i="29"/>
  <c r="Q34" i="29" s="1"/>
  <c r="O33" i="29"/>
  <c r="Q33" i="29" s="1"/>
  <c r="O32" i="29"/>
  <c r="Q32" i="29" s="1"/>
  <c r="O31" i="29"/>
  <c r="Q31" i="29" s="1"/>
  <c r="O30" i="29"/>
  <c r="Q30" i="29" s="1"/>
  <c r="O29" i="29"/>
  <c r="Q29" i="29" s="1"/>
  <c r="O28" i="29"/>
  <c r="Q28" i="29" s="1"/>
  <c r="O27" i="29"/>
  <c r="Q27" i="29" s="1"/>
  <c r="O26" i="29"/>
  <c r="Q26" i="29" s="1"/>
  <c r="O32" i="30"/>
  <c r="Q32" i="30" s="1"/>
  <c r="O31" i="30"/>
  <c r="Q31" i="30" s="1"/>
  <c r="O30" i="30"/>
  <c r="Q30" i="30" s="1"/>
  <c r="O29" i="30"/>
  <c r="Q29" i="30" s="1"/>
  <c r="O28" i="30"/>
  <c r="Q28" i="30" s="1"/>
  <c r="O27" i="30"/>
  <c r="Q27" i="30" s="1"/>
  <c r="O26" i="30"/>
  <c r="Q26" i="30" s="1"/>
  <c r="O25" i="30"/>
  <c r="Q25" i="30" s="1"/>
  <c r="O24" i="30"/>
  <c r="Q24" i="30" s="1"/>
  <c r="O23" i="30"/>
  <c r="Q23" i="30" s="1"/>
  <c r="O22" i="30"/>
  <c r="Q22" i="30" s="1"/>
  <c r="O21" i="30"/>
  <c r="Q21" i="30" s="1"/>
  <c r="O20" i="30"/>
  <c r="Q20" i="30" s="1"/>
  <c r="O35" i="12"/>
  <c r="Q35" i="12" s="1"/>
  <c r="O34" i="12"/>
  <c r="Q34" i="12" s="1"/>
  <c r="O33" i="12"/>
  <c r="Q33" i="12" s="1"/>
  <c r="O32" i="12"/>
  <c r="Q32" i="12" s="1"/>
  <c r="O31" i="12"/>
  <c r="Q31" i="12" s="1"/>
  <c r="O30" i="12"/>
  <c r="Q30" i="12" s="1"/>
  <c r="O29" i="12"/>
  <c r="Q29" i="12" s="1"/>
  <c r="O28" i="12"/>
  <c r="Q28" i="12" s="1"/>
  <c r="O27" i="12"/>
  <c r="Q27" i="12" s="1"/>
  <c r="O26" i="12"/>
  <c r="Q26" i="12" s="1"/>
  <c r="O25" i="12"/>
  <c r="Q25" i="12" s="1"/>
  <c r="O24" i="12"/>
  <c r="Q24" i="12" s="1"/>
  <c r="O23" i="12"/>
  <c r="Q23" i="12" s="1"/>
  <c r="O32" i="33"/>
  <c r="Q32" i="33" s="1"/>
  <c r="O31" i="33"/>
  <c r="Q31" i="33" s="1"/>
  <c r="O30" i="33"/>
  <c r="Q30" i="33" s="1"/>
  <c r="O29" i="33"/>
  <c r="Q29" i="33" s="1"/>
  <c r="O28" i="33"/>
  <c r="Q28" i="33" s="1"/>
  <c r="O27" i="33"/>
  <c r="Q27" i="33" s="1"/>
  <c r="O26" i="33"/>
  <c r="Q26" i="33" s="1"/>
  <c r="O25" i="33"/>
  <c r="Q25" i="33" s="1"/>
  <c r="O24" i="33"/>
  <c r="Q24" i="33" s="1"/>
  <c r="O23" i="33"/>
  <c r="Q23" i="33" s="1"/>
  <c r="O22" i="33"/>
  <c r="Q22" i="33" s="1"/>
  <c r="O21" i="33"/>
  <c r="Q21" i="33" s="1"/>
  <c r="O20" i="33"/>
  <c r="Q20" i="33" s="1"/>
  <c r="O33" i="32"/>
  <c r="Q33" i="32" s="1"/>
  <c r="O32" i="32"/>
  <c r="Q32" i="32" s="1"/>
  <c r="O31" i="32"/>
  <c r="Q31" i="32" s="1"/>
  <c r="O30" i="32"/>
  <c r="Q30" i="32" s="1"/>
  <c r="O29" i="32"/>
  <c r="Q29" i="32" s="1"/>
  <c r="O28" i="32"/>
  <c r="Q28" i="32" s="1"/>
  <c r="O27" i="32"/>
  <c r="Q27" i="32" s="1"/>
  <c r="O26" i="32"/>
  <c r="Q26" i="32" s="1"/>
  <c r="O25" i="32"/>
  <c r="Q25" i="32" s="1"/>
  <c r="O24" i="32"/>
  <c r="Q24" i="32" s="1"/>
  <c r="O23" i="32"/>
  <c r="Q23" i="32" s="1"/>
  <c r="O22" i="32"/>
  <c r="Q22" i="32" s="1"/>
  <c r="O21" i="32"/>
  <c r="Q21" i="32" s="1"/>
  <c r="O30" i="34"/>
  <c r="Q30" i="34" s="1"/>
  <c r="O29" i="34"/>
  <c r="Q29" i="34" s="1"/>
  <c r="O28" i="34"/>
  <c r="Q28" i="34" s="1"/>
  <c r="O27" i="34"/>
  <c r="Q27" i="34" s="1"/>
  <c r="O26" i="34"/>
  <c r="Q26" i="34" s="1"/>
  <c r="O25" i="34"/>
  <c r="Q25" i="34" s="1"/>
  <c r="O24" i="34"/>
  <c r="Q24" i="34" s="1"/>
  <c r="O23" i="34"/>
  <c r="Q23" i="34" s="1"/>
  <c r="O22" i="34"/>
  <c r="Q22" i="34" s="1"/>
  <c r="O21" i="34"/>
  <c r="Q21" i="34" s="1"/>
  <c r="O20" i="34"/>
  <c r="Q20" i="34" s="1"/>
  <c r="O19" i="34"/>
  <c r="Q19" i="34" s="1"/>
  <c r="O18" i="34"/>
  <c r="Q18" i="34" s="1"/>
  <c r="O32" i="5"/>
  <c r="Q32" i="5" s="1"/>
  <c r="O31" i="5"/>
  <c r="Q31" i="5" s="1"/>
  <c r="O30" i="5"/>
  <c r="Q30" i="5" s="1"/>
  <c r="O29" i="5"/>
  <c r="Q29" i="5" s="1"/>
  <c r="O28" i="5"/>
  <c r="Q28" i="5" s="1"/>
  <c r="O27" i="5"/>
  <c r="Q27" i="5" s="1"/>
  <c r="O26" i="5"/>
  <c r="Q26" i="5" s="1"/>
  <c r="O25" i="5"/>
  <c r="Q25" i="5" s="1"/>
  <c r="O24" i="5"/>
  <c r="Q24" i="5" s="1"/>
  <c r="O23" i="5"/>
  <c r="Q23" i="5" s="1"/>
  <c r="O22" i="5"/>
  <c r="Q22" i="5" s="1"/>
  <c r="O21" i="5"/>
  <c r="Q21" i="5" s="1"/>
  <c r="O20" i="5"/>
  <c r="Q20" i="5" s="1"/>
  <c r="O30" i="15"/>
  <c r="Q30" i="15" s="1"/>
  <c r="O29" i="15"/>
  <c r="Q29" i="15" s="1"/>
  <c r="O28" i="15"/>
  <c r="Q28" i="15" s="1"/>
  <c r="O27" i="15"/>
  <c r="Q27" i="15" s="1"/>
  <c r="O26" i="15"/>
  <c r="Q26" i="15" s="1"/>
  <c r="O25" i="15"/>
  <c r="Q25" i="15" s="1"/>
  <c r="O24" i="15"/>
  <c r="Q24" i="15" s="1"/>
  <c r="O23" i="15"/>
  <c r="Q23" i="15" s="1"/>
  <c r="O22" i="15"/>
  <c r="Q22" i="15" s="1"/>
  <c r="O21" i="15"/>
  <c r="Q21" i="15" s="1"/>
  <c r="O20" i="15"/>
  <c r="Q20" i="15" s="1"/>
  <c r="O19" i="15"/>
  <c r="Q19" i="15" s="1"/>
  <c r="O18" i="15"/>
  <c r="Q18" i="15" s="1"/>
  <c r="O27" i="14"/>
  <c r="Q27" i="14" s="1"/>
  <c r="O26" i="14"/>
  <c r="Q26" i="14" s="1"/>
  <c r="O25" i="14"/>
  <c r="Q25" i="14" s="1"/>
  <c r="O24" i="14"/>
  <c r="Q24" i="14" s="1"/>
  <c r="O23" i="14"/>
  <c r="Q23" i="14" s="1"/>
  <c r="O22" i="14"/>
  <c r="Q22" i="14" s="1"/>
  <c r="O21" i="14"/>
  <c r="Q21" i="14" s="1"/>
  <c r="O20" i="14"/>
  <c r="Q20" i="14" s="1"/>
  <c r="O19" i="14"/>
  <c r="Q19" i="14" s="1"/>
  <c r="O18" i="14"/>
  <c r="Q18" i="14" s="1"/>
  <c r="O17" i="14"/>
  <c r="Q17" i="14" s="1"/>
  <c r="O16" i="14"/>
  <c r="Q16" i="14" s="1"/>
  <c r="O15" i="14"/>
  <c r="Q15" i="14" s="1"/>
  <c r="O30" i="24"/>
  <c r="Q30" i="24" s="1"/>
  <c r="O29" i="24"/>
  <c r="Q29" i="24" s="1"/>
  <c r="O28" i="24"/>
  <c r="Q28" i="24" s="1"/>
  <c r="O27" i="24"/>
  <c r="Q27" i="24" s="1"/>
  <c r="O26" i="24"/>
  <c r="Q26" i="24" s="1"/>
  <c r="O25" i="24"/>
  <c r="Q25" i="24" s="1"/>
  <c r="O24" i="24"/>
  <c r="Q24" i="24" s="1"/>
  <c r="O23" i="24"/>
  <c r="Q23" i="24" s="1"/>
  <c r="O22" i="24"/>
  <c r="Q22" i="24" s="1"/>
  <c r="O21" i="24"/>
  <c r="Q21" i="24" s="1"/>
  <c r="O20" i="24"/>
  <c r="Q20" i="24" s="1"/>
  <c r="O19" i="24"/>
  <c r="Q19" i="24" s="1"/>
  <c r="O18" i="24"/>
  <c r="Q18" i="24" s="1"/>
  <c r="O34" i="16"/>
  <c r="Q34" i="16" s="1"/>
  <c r="O33" i="16"/>
  <c r="Q33" i="16" s="1"/>
  <c r="O32" i="16"/>
  <c r="Q32" i="16" s="1"/>
  <c r="O31" i="16"/>
  <c r="Q31" i="16" s="1"/>
  <c r="O30" i="16"/>
  <c r="Q30" i="16" s="1"/>
  <c r="O29" i="16"/>
  <c r="Q29" i="16" s="1"/>
  <c r="O28" i="16"/>
  <c r="Q28" i="16" s="1"/>
  <c r="O27" i="16"/>
  <c r="Q27" i="16" s="1"/>
  <c r="O26" i="16"/>
  <c r="Q26" i="16" s="1"/>
  <c r="O25" i="16"/>
  <c r="Q25" i="16" s="1"/>
  <c r="O24" i="16"/>
  <c r="Q24" i="16" s="1"/>
  <c r="O23" i="16"/>
  <c r="Q23" i="16" s="1"/>
  <c r="O22" i="16"/>
  <c r="Q22" i="16" s="1"/>
  <c r="O29" i="20"/>
  <c r="Q29" i="20" s="1"/>
  <c r="O28" i="20"/>
  <c r="Q28" i="20" s="1"/>
  <c r="O27" i="20"/>
  <c r="Q27" i="20" s="1"/>
  <c r="O26" i="20"/>
  <c r="Q26" i="20" s="1"/>
  <c r="O25" i="20"/>
  <c r="Q25" i="20" s="1"/>
  <c r="O24" i="20"/>
  <c r="Q24" i="20" s="1"/>
  <c r="O23" i="20"/>
  <c r="Q23" i="20" s="1"/>
  <c r="O22" i="20"/>
  <c r="Q22" i="20" s="1"/>
  <c r="O21" i="20"/>
  <c r="Q21" i="20" s="1"/>
  <c r="O20" i="20"/>
  <c r="Q20" i="20" s="1"/>
  <c r="O19" i="20"/>
  <c r="Q19" i="20" s="1"/>
  <c r="O18" i="20"/>
  <c r="Q18" i="20" s="1"/>
  <c r="O17" i="20"/>
  <c r="Q17" i="20" s="1"/>
  <c r="O35" i="10"/>
  <c r="Q35" i="10" s="1"/>
  <c r="O34" i="10"/>
  <c r="Q34" i="10" s="1"/>
  <c r="O33" i="10"/>
  <c r="Q33" i="10" s="1"/>
  <c r="O32" i="10"/>
  <c r="Q32" i="10" s="1"/>
  <c r="O31" i="10"/>
  <c r="Q31" i="10" s="1"/>
  <c r="O30" i="10"/>
  <c r="Q30" i="10" s="1"/>
  <c r="O29" i="10"/>
  <c r="Q29" i="10" s="1"/>
  <c r="O28" i="10"/>
  <c r="Q28" i="10" s="1"/>
  <c r="O27" i="10"/>
  <c r="Q27" i="10" s="1"/>
  <c r="O26" i="10"/>
  <c r="Q26" i="10" s="1"/>
  <c r="O25" i="10"/>
  <c r="Q25" i="10" s="1"/>
  <c r="O24" i="10"/>
  <c r="Q24" i="10" s="1"/>
  <c r="O23" i="10"/>
  <c r="Q23" i="10" s="1"/>
  <c r="O34" i="13"/>
  <c r="Q34" i="13" s="1"/>
  <c r="O33" i="13"/>
  <c r="Q33" i="13" s="1"/>
  <c r="O32" i="13"/>
  <c r="Q32" i="13" s="1"/>
  <c r="O31" i="13"/>
  <c r="Q31" i="13" s="1"/>
  <c r="O30" i="13"/>
  <c r="Q30" i="13" s="1"/>
  <c r="O29" i="13"/>
  <c r="Q29" i="13" s="1"/>
  <c r="O28" i="13"/>
  <c r="Q28" i="13" s="1"/>
  <c r="O27" i="13"/>
  <c r="Q27" i="13" s="1"/>
  <c r="O26" i="13"/>
  <c r="Q26" i="13" s="1"/>
  <c r="O25" i="13"/>
  <c r="Q25" i="13" s="1"/>
  <c r="O24" i="13"/>
  <c r="Q24" i="13" s="1"/>
  <c r="O23" i="13"/>
  <c r="Q23" i="13" s="1"/>
  <c r="O22" i="13"/>
  <c r="Q22" i="13" s="1"/>
  <c r="O33" i="3"/>
  <c r="Q33" i="3" s="1"/>
  <c r="O32" i="3"/>
  <c r="Q32" i="3" s="1"/>
  <c r="O31" i="3"/>
  <c r="Q31" i="3" s="1"/>
  <c r="O30" i="3"/>
  <c r="Q30" i="3" s="1"/>
  <c r="O29" i="3"/>
  <c r="Q29" i="3" s="1"/>
  <c r="O28" i="3"/>
  <c r="Q28" i="3" s="1"/>
  <c r="O27" i="3"/>
  <c r="Q27" i="3" s="1"/>
  <c r="O26" i="3"/>
  <c r="Q26" i="3" s="1"/>
  <c r="O25" i="3"/>
  <c r="Q25" i="3" s="1"/>
  <c r="O24" i="3"/>
  <c r="Q24" i="3" s="1"/>
  <c r="O23" i="3"/>
  <c r="Q23" i="3" s="1"/>
  <c r="O22" i="3"/>
  <c r="Q22" i="3" s="1"/>
  <c r="O21" i="3"/>
  <c r="Q21" i="3" s="1"/>
  <c r="O30" i="4"/>
  <c r="Q30" i="4" s="1"/>
  <c r="O29" i="4"/>
  <c r="Q29" i="4" s="1"/>
  <c r="O28" i="4"/>
  <c r="Q28" i="4" s="1"/>
  <c r="O27" i="4"/>
  <c r="Q27" i="4" s="1"/>
  <c r="O26" i="4"/>
  <c r="Q26" i="4" s="1"/>
  <c r="O25" i="4"/>
  <c r="Q25" i="4" s="1"/>
  <c r="O24" i="4"/>
  <c r="Q24" i="4" s="1"/>
  <c r="O23" i="4"/>
  <c r="Q23" i="4" s="1"/>
  <c r="O22" i="4"/>
  <c r="Q22" i="4" s="1"/>
  <c r="O21" i="4"/>
  <c r="Q21" i="4" s="1"/>
  <c r="O20" i="4"/>
  <c r="Q20" i="4" s="1"/>
  <c r="O19" i="4"/>
  <c r="Q19" i="4" s="1"/>
  <c r="O18" i="4"/>
  <c r="Q18" i="4" s="1"/>
  <c r="O28" i="8"/>
  <c r="Q28" i="8" s="1"/>
  <c r="O27" i="8"/>
  <c r="Q27" i="8" s="1"/>
  <c r="O26" i="8"/>
  <c r="Q26" i="8" s="1"/>
  <c r="O25" i="8"/>
  <c r="Q25" i="8" s="1"/>
  <c r="O24" i="8"/>
  <c r="Q24" i="8" s="1"/>
  <c r="O23" i="8"/>
  <c r="Q23" i="8" s="1"/>
  <c r="O22" i="8"/>
  <c r="Q22" i="8" s="1"/>
  <c r="O21" i="8"/>
  <c r="Q21" i="8" s="1"/>
  <c r="O20" i="8"/>
  <c r="Q20" i="8" s="1"/>
  <c r="O19" i="8"/>
  <c r="Q19" i="8" s="1"/>
  <c r="O18" i="8"/>
  <c r="Q18" i="8" s="1"/>
  <c r="O17" i="8"/>
  <c r="Q17" i="8" s="1"/>
  <c r="O16" i="8"/>
  <c r="Q16" i="8" s="1"/>
  <c r="C25" i="7"/>
  <c r="O30" i="7"/>
  <c r="Q30" i="7" s="1"/>
  <c r="O29" i="7"/>
  <c r="Q29" i="7" s="1"/>
  <c r="O28" i="7"/>
  <c r="Q28" i="7" s="1"/>
  <c r="O27" i="7"/>
  <c r="Q27" i="7" s="1"/>
  <c r="O26" i="7"/>
  <c r="Q26" i="7" s="1"/>
  <c r="O25" i="7"/>
  <c r="Q25" i="7" s="1"/>
  <c r="O24" i="7"/>
  <c r="Q24" i="7" s="1"/>
  <c r="O23" i="7"/>
  <c r="Q23" i="7" s="1"/>
  <c r="O22" i="7"/>
  <c r="Q22" i="7" s="1"/>
  <c r="O21" i="7"/>
  <c r="Q21" i="7" s="1"/>
  <c r="O20" i="7"/>
  <c r="Q20" i="7" s="1"/>
  <c r="O19" i="7"/>
  <c r="Q19" i="7" s="1"/>
  <c r="O18" i="7"/>
  <c r="Q18" i="7" s="1"/>
  <c r="O28" i="17"/>
  <c r="Q28" i="17" s="1"/>
  <c r="O27" i="17"/>
  <c r="Q27" i="17" s="1"/>
  <c r="O26" i="17"/>
  <c r="Q26" i="17" s="1"/>
  <c r="O25" i="17"/>
  <c r="Q25" i="17" s="1"/>
  <c r="O24" i="17"/>
  <c r="Q24" i="17" s="1"/>
  <c r="O23" i="17"/>
  <c r="Q23" i="17" s="1"/>
  <c r="O22" i="17"/>
  <c r="Q22" i="17" s="1"/>
  <c r="O21" i="17"/>
  <c r="Q21" i="17" s="1"/>
  <c r="O20" i="17"/>
  <c r="Q20" i="17" s="1"/>
  <c r="O19" i="17"/>
  <c r="Q19" i="17" s="1"/>
  <c r="O18" i="17"/>
  <c r="Q18" i="17" s="1"/>
  <c r="O17" i="17"/>
  <c r="Q17" i="17" s="1"/>
  <c r="O16" i="17"/>
  <c r="Q16" i="17" s="1"/>
  <c r="Q29" i="22" l="1"/>
  <c r="Q28" i="22"/>
  <c r="Q27" i="22"/>
  <c r="Q26" i="22"/>
  <c r="Q25" i="22"/>
  <c r="Q24" i="22"/>
  <c r="Q23" i="22"/>
  <c r="Q22" i="22"/>
  <c r="Q21" i="22"/>
  <c r="Q20" i="22"/>
  <c r="Q19" i="22"/>
  <c r="Q18" i="22"/>
  <c r="Q17" i="22"/>
  <c r="O30" i="25" l="1"/>
  <c r="O18" i="25"/>
  <c r="O20" i="25"/>
  <c r="O21" i="25"/>
  <c r="O22" i="25"/>
  <c r="O23" i="25"/>
  <c r="O24" i="25"/>
  <c r="O25" i="25"/>
  <c r="O26" i="25"/>
  <c r="O27" i="25"/>
  <c r="O28" i="25"/>
  <c r="O29" i="25"/>
  <c r="O19" i="25"/>
  <c r="G6" i="1"/>
  <c r="F3" i="30" l="1"/>
  <c r="F8" i="30" s="1"/>
  <c r="F2" i="30"/>
  <c r="K8" i="30"/>
  <c r="H8" i="30"/>
  <c r="C8" i="30"/>
  <c r="K8" i="32"/>
  <c r="H8" i="32"/>
  <c r="F8" i="32"/>
  <c r="C8" i="32"/>
  <c r="Q2" i="32" s="1"/>
  <c r="Q5" i="32" s="1"/>
  <c r="F3" i="29"/>
  <c r="Q3" i="31"/>
  <c r="Q2" i="31"/>
  <c r="F2" i="31"/>
  <c r="F10" i="31" s="1"/>
  <c r="C10" i="31"/>
  <c r="Q5" i="31"/>
  <c r="H6" i="34"/>
  <c r="K6" i="34"/>
  <c r="M6" i="34"/>
  <c r="C6" i="34"/>
  <c r="F3" i="15"/>
  <c r="F4" i="15"/>
  <c r="F5" i="15"/>
  <c r="F6" i="15"/>
  <c r="F5" i="9"/>
  <c r="M26" i="25"/>
  <c r="M16" i="10"/>
  <c r="F24" i="17"/>
  <c r="F29" i="17"/>
  <c r="F27" i="17"/>
  <c r="F2" i="15"/>
  <c r="I2" i="15"/>
  <c r="M8" i="15"/>
  <c r="H8" i="15"/>
  <c r="K8" i="15"/>
  <c r="Q6" i="26"/>
  <c r="Q5" i="26"/>
  <c r="Q7" i="26" s="1"/>
  <c r="Q3" i="26"/>
  <c r="F6" i="26"/>
  <c r="Q2" i="26"/>
  <c r="F3" i="26"/>
  <c r="F2" i="26"/>
  <c r="C6" i="26"/>
  <c r="F2" i="33"/>
  <c r="F5" i="33" s="1"/>
  <c r="Q3" i="33" s="1"/>
  <c r="C5" i="33"/>
  <c r="Q2" i="33" s="1"/>
  <c r="Q5" i="33" s="1"/>
  <c r="F4" i="8"/>
  <c r="F5" i="8"/>
  <c r="F3" i="8"/>
  <c r="F2" i="8"/>
  <c r="C6" i="8"/>
  <c r="Q2" i="8" s="1"/>
  <c r="E112" i="1"/>
  <c r="I112" i="1"/>
  <c r="E113" i="1"/>
  <c r="I113" i="1"/>
  <c r="E114" i="1"/>
  <c r="E115" i="1"/>
  <c r="E116" i="1"/>
  <c r="E117" i="1"/>
  <c r="E118" i="1"/>
  <c r="C119" i="1"/>
  <c r="G119" i="1"/>
  <c r="E121" i="1"/>
  <c r="I121" i="1"/>
  <c r="E122" i="1"/>
  <c r="I122" i="1"/>
  <c r="Q5" i="21"/>
  <c r="Q5" i="18"/>
  <c r="F4" i="32"/>
  <c r="Q5" i="28"/>
  <c r="Q3" i="24"/>
  <c r="Q2" i="24"/>
  <c r="Q6" i="24" s="1"/>
  <c r="F6" i="24"/>
  <c r="C6" i="24"/>
  <c r="F3" i="24"/>
  <c r="F4" i="24"/>
  <c r="F5" i="24"/>
  <c r="F2" i="24"/>
  <c r="Q5" i="16"/>
  <c r="Q5" i="11"/>
  <c r="F21" i="17"/>
  <c r="F20" i="17"/>
  <c r="F19" i="17"/>
  <c r="Q2" i="30" l="1"/>
  <c r="Q5" i="30" s="1"/>
  <c r="Q3" i="30"/>
  <c r="Q6" i="30" s="1"/>
  <c r="Q3" i="32"/>
  <c r="Q6" i="32" s="1"/>
  <c r="Q7" i="32" s="1"/>
  <c r="Q6" i="31"/>
  <c r="Q7" i="31"/>
  <c r="Q2" i="15"/>
  <c r="Q6" i="33"/>
  <c r="Q7" i="33" s="1"/>
  <c r="F6" i="8"/>
  <c r="Q3" i="8" s="1"/>
  <c r="Q6" i="8"/>
  <c r="Q5" i="8"/>
  <c r="E119" i="1"/>
  <c r="I119" i="1"/>
  <c r="Q5" i="24"/>
  <c r="Q7" i="24" s="1"/>
  <c r="Q7" i="30" l="1"/>
  <c r="Q5" i="15"/>
  <c r="Q3" i="15"/>
  <c r="Q6" i="15" s="1"/>
  <c r="Q7" i="8"/>
  <c r="L119" i="1"/>
  <c r="M119" i="1" s="1"/>
  <c r="K3" i="22"/>
  <c r="F23" i="25"/>
  <c r="F8" i="4"/>
  <c r="K3" i="7"/>
  <c r="F22" i="25"/>
  <c r="F28" i="17"/>
  <c r="G35" i="1"/>
  <c r="C35" i="1"/>
  <c r="E34" i="1"/>
  <c r="I33" i="1"/>
  <c r="E33" i="1"/>
  <c r="I32" i="1"/>
  <c r="E32" i="1"/>
  <c r="F26" i="17"/>
  <c r="K3" i="3"/>
  <c r="H25" i="7"/>
  <c r="K2" i="7"/>
  <c r="K25" i="7" s="1"/>
  <c r="C8" i="14"/>
  <c r="Q7" i="15" l="1"/>
  <c r="I35" i="1"/>
  <c r="E35" i="1"/>
  <c r="K3" i="18"/>
  <c r="F24" i="7"/>
  <c r="L35" i="1" l="1"/>
  <c r="M35" i="1" s="1"/>
  <c r="F21" i="25"/>
  <c r="F20" i="25"/>
  <c r="F25" i="17"/>
  <c r="F6" i="14"/>
  <c r="F5" i="14"/>
  <c r="F4" i="14"/>
  <c r="F3" i="14"/>
  <c r="F2" i="14"/>
  <c r="H8" i="14"/>
  <c r="Q2" i="14" s="1"/>
  <c r="Q5" i="14" s="1"/>
  <c r="K2" i="14"/>
  <c r="K8" i="14" s="1"/>
  <c r="F6" i="18"/>
  <c r="F8" i="18"/>
  <c r="C8" i="18"/>
  <c r="F5" i="18"/>
  <c r="H5" i="28"/>
  <c r="C5" i="28"/>
  <c r="F3" i="28"/>
  <c r="K2" i="28"/>
  <c r="K5" i="28" s="1"/>
  <c r="F2" i="28"/>
  <c r="H6" i="29"/>
  <c r="C6" i="29"/>
  <c r="Q2" i="29" s="1"/>
  <c r="Q5" i="29" s="1"/>
  <c r="K2" i="29"/>
  <c r="K6" i="29" s="1"/>
  <c r="F4" i="29"/>
  <c r="F5" i="29"/>
  <c r="F2" i="29"/>
  <c r="F6" i="29" s="1"/>
  <c r="F23" i="7"/>
  <c r="F11" i="3"/>
  <c r="F8" i="14" l="1"/>
  <c r="Q3" i="14" s="1"/>
  <c r="Q6" i="14" s="1"/>
  <c r="Q7" i="14" s="1"/>
  <c r="Q3" i="29"/>
  <c r="Q6" i="29" s="1"/>
  <c r="Q7" i="29" s="1"/>
  <c r="Q2" i="28"/>
  <c r="F5" i="28"/>
  <c r="F10" i="3"/>
  <c r="K6" i="11"/>
  <c r="Q3" i="11" s="1"/>
  <c r="Q6" i="11" s="1"/>
  <c r="Q7" i="11" s="1"/>
  <c r="K3" i="11"/>
  <c r="Q2" i="11"/>
  <c r="H6" i="11"/>
  <c r="F6" i="11"/>
  <c r="C6" i="11"/>
  <c r="K2" i="11"/>
  <c r="F3" i="11"/>
  <c r="F4" i="11"/>
  <c r="F5" i="11"/>
  <c r="F2" i="11"/>
  <c r="F23" i="17"/>
  <c r="Q3" i="21"/>
  <c r="Q6" i="21" s="1"/>
  <c r="Q7" i="21" s="1"/>
  <c r="Q2" i="21"/>
  <c r="K4" i="21"/>
  <c r="H4" i="21"/>
  <c r="K2" i="21"/>
  <c r="F22" i="7"/>
  <c r="F22" i="17"/>
  <c r="K80" i="1"/>
  <c r="G80" i="1"/>
  <c r="C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I59" i="1"/>
  <c r="E59" i="1"/>
  <c r="I58" i="1"/>
  <c r="E58" i="1"/>
  <c r="I57" i="1"/>
  <c r="E57" i="1"/>
  <c r="I56" i="1"/>
  <c r="E56" i="1"/>
  <c r="I55" i="1"/>
  <c r="E55" i="1"/>
  <c r="I54" i="1"/>
  <c r="E54" i="1"/>
  <c r="I53" i="1"/>
  <c r="E53" i="1"/>
  <c r="I52" i="1"/>
  <c r="E52" i="1"/>
  <c r="I51" i="1"/>
  <c r="E51" i="1"/>
  <c r="I50" i="1"/>
  <c r="E50" i="1"/>
  <c r="Q2" i="18"/>
  <c r="K8" i="18"/>
  <c r="H8" i="18"/>
  <c r="F3" i="18"/>
  <c r="F4" i="18"/>
  <c r="K2" i="18"/>
  <c r="F2" i="18"/>
  <c r="I80" i="1" l="1"/>
  <c r="E80" i="1"/>
  <c r="Q3" i="18"/>
  <c r="Q6" i="18" s="1"/>
  <c r="Q7" i="18" s="1"/>
  <c r="Q3" i="28"/>
  <c r="Q6" i="28" s="1"/>
  <c r="Q7" i="28" s="1"/>
  <c r="K2" i="9"/>
  <c r="K7" i="9" s="1"/>
  <c r="H7" i="9"/>
  <c r="I7" i="9"/>
  <c r="M7" i="9"/>
  <c r="F3" i="9"/>
  <c r="F4" i="9"/>
  <c r="F6" i="9"/>
  <c r="F2" i="9"/>
  <c r="C7" i="9"/>
  <c r="L80" i="1" l="1"/>
  <c r="M80" i="1" s="1"/>
  <c r="Q2" i="9"/>
  <c r="Q5" i="9" s="1"/>
  <c r="F7" i="9"/>
  <c r="F19" i="25"/>
  <c r="F21" i="7"/>
  <c r="F18" i="25"/>
  <c r="K3" i="16"/>
  <c r="F18" i="17"/>
  <c r="F5" i="34"/>
  <c r="F4" i="34"/>
  <c r="F2" i="34"/>
  <c r="Q2" i="34"/>
  <c r="Q5" i="34" s="1"/>
  <c r="F3" i="34"/>
  <c r="F17" i="25"/>
  <c r="F16" i="25"/>
  <c r="F15" i="25"/>
  <c r="F10" i="20"/>
  <c r="C11" i="20"/>
  <c r="H7" i="12"/>
  <c r="K7" i="12"/>
  <c r="H13" i="5"/>
  <c r="F3" i="5"/>
  <c r="F4" i="5"/>
  <c r="F5" i="5"/>
  <c r="F6" i="5"/>
  <c r="F7" i="5"/>
  <c r="F8" i="5"/>
  <c r="F9" i="5"/>
  <c r="F10" i="5"/>
  <c r="F11" i="5"/>
  <c r="K2" i="5"/>
  <c r="K13" i="5" s="1"/>
  <c r="F2" i="5"/>
  <c r="Q2" i="5"/>
  <c r="Q5" i="5" s="1"/>
  <c r="Q2" i="13"/>
  <c r="Q5" i="13" s="1"/>
  <c r="F3" i="13"/>
  <c r="F4" i="13"/>
  <c r="F5" i="13"/>
  <c r="F6" i="13"/>
  <c r="F7" i="13"/>
  <c r="F8" i="13"/>
  <c r="F9" i="13"/>
  <c r="F2" i="13"/>
  <c r="Q2" i="16"/>
  <c r="K10" i="16"/>
  <c r="H10" i="16"/>
  <c r="F10" i="16"/>
  <c r="F3" i="16"/>
  <c r="F4" i="16"/>
  <c r="F5" i="16"/>
  <c r="F6" i="16"/>
  <c r="F7" i="16"/>
  <c r="F8" i="16"/>
  <c r="F9" i="16"/>
  <c r="K2" i="16"/>
  <c r="F2" i="16"/>
  <c r="C10" i="16"/>
  <c r="H13" i="3"/>
  <c r="Q2" i="3" s="1"/>
  <c r="F3" i="3"/>
  <c r="F4" i="3"/>
  <c r="F5" i="3"/>
  <c r="F6" i="3"/>
  <c r="F7" i="3"/>
  <c r="F8" i="3"/>
  <c r="F9" i="3"/>
  <c r="K2" i="3"/>
  <c r="K13" i="3" s="1"/>
  <c r="F2" i="3"/>
  <c r="F8" i="27"/>
  <c r="C10" i="27"/>
  <c r="F5" i="22"/>
  <c r="F6" i="22"/>
  <c r="F7" i="22"/>
  <c r="C8" i="22"/>
  <c r="F20" i="7"/>
  <c r="H8" i="22"/>
  <c r="F4" i="22"/>
  <c r="F17" i="17"/>
  <c r="F3" i="22"/>
  <c r="K2" i="22"/>
  <c r="K8" i="22" s="1"/>
  <c r="F2" i="22"/>
  <c r="Q2" i="7"/>
  <c r="Q6" i="7" s="1"/>
  <c r="F19" i="7"/>
  <c r="F18" i="7"/>
  <c r="F14" i="25"/>
  <c r="Q2" i="12" l="1"/>
  <c r="Q5" i="12" s="1"/>
  <c r="F8" i="22"/>
  <c r="F6" i="34"/>
  <c r="Q3" i="13"/>
  <c r="Q6" i="13" s="1"/>
  <c r="Q7" i="13" s="1"/>
  <c r="Q3" i="3"/>
  <c r="Q6" i="3" s="1"/>
  <c r="Q3" i="9"/>
  <c r="Q6" i="9" s="1"/>
  <c r="Q7" i="9" s="1"/>
  <c r="Q3" i="16"/>
  <c r="Q6" i="16" s="1"/>
  <c r="Q7" i="16" s="1"/>
  <c r="Q3" i="34"/>
  <c r="Q6" i="34" s="1"/>
  <c r="Q7" i="34" s="1"/>
  <c r="Q3" i="5"/>
  <c r="Q6" i="5" s="1"/>
  <c r="Q7" i="5" s="1"/>
  <c r="Q2" i="22"/>
  <c r="K16" i="10"/>
  <c r="H16" i="10"/>
  <c r="Q2" i="10" s="1"/>
  <c r="F13" i="7"/>
  <c r="F17" i="7"/>
  <c r="F16" i="7"/>
  <c r="Q3" i="12" l="1"/>
  <c r="Q6" i="12" s="1"/>
  <c r="Q7" i="12" s="1"/>
  <c r="F16" i="10"/>
  <c r="Q3" i="10" s="1"/>
  <c r="Q6" i="10" s="1"/>
  <c r="Q5" i="10"/>
  <c r="Q3" i="22"/>
  <c r="Q6" i="22" s="1"/>
  <c r="Q5" i="22"/>
  <c r="Q7" i="3"/>
  <c r="F3" i="27"/>
  <c r="K10" i="27"/>
  <c r="H10" i="27"/>
  <c r="Q2" i="27"/>
  <c r="Q5" i="27" s="1"/>
  <c r="K2" i="27"/>
  <c r="F4" i="27"/>
  <c r="F5" i="27"/>
  <c r="F6" i="27"/>
  <c r="F7" i="27"/>
  <c r="F2" i="27"/>
  <c r="F10" i="27" s="1"/>
  <c r="F16" i="17"/>
  <c r="F13" i="25"/>
  <c r="F15" i="17"/>
  <c r="F14" i="17"/>
  <c r="Q7" i="22" l="1"/>
  <c r="Q7" i="10"/>
  <c r="Q3" i="27"/>
  <c r="Q6" i="27" s="1"/>
  <c r="Q7" i="27" s="1"/>
  <c r="H38" i="17"/>
  <c r="Q2" i="17" s="1"/>
  <c r="Q5" i="17" s="1"/>
  <c r="F3" i="17"/>
  <c r="F4" i="17"/>
  <c r="F5" i="17"/>
  <c r="F6" i="17"/>
  <c r="F7" i="17"/>
  <c r="F8" i="17"/>
  <c r="F9" i="17"/>
  <c r="F10" i="17"/>
  <c r="F11" i="17"/>
  <c r="F12" i="17"/>
  <c r="F13" i="17"/>
  <c r="F2" i="17"/>
  <c r="I41" i="1"/>
  <c r="I42" i="1" s="1"/>
  <c r="E41" i="1"/>
  <c r="E42" i="1" s="1"/>
  <c r="G42" i="1"/>
  <c r="C42" i="1"/>
  <c r="F9" i="20"/>
  <c r="Q2" i="20"/>
  <c r="Q5" i="20" s="1"/>
  <c r="F8" i="20"/>
  <c r="H11" i="20"/>
  <c r="K3" i="20"/>
  <c r="F3" i="20"/>
  <c r="F4" i="20"/>
  <c r="F5" i="20"/>
  <c r="F6" i="20"/>
  <c r="F7" i="20"/>
  <c r="K2" i="20"/>
  <c r="K11" i="20" s="1"/>
  <c r="F2" i="20"/>
  <c r="H10" i="4"/>
  <c r="Q2" i="4" s="1"/>
  <c r="F3" i="4"/>
  <c r="F4" i="4"/>
  <c r="F5" i="4"/>
  <c r="F6" i="4"/>
  <c r="F7" i="4"/>
  <c r="F2" i="4"/>
  <c r="F3" i="7"/>
  <c r="F4" i="7"/>
  <c r="F5" i="7"/>
  <c r="F6" i="7"/>
  <c r="F7" i="7"/>
  <c r="F8" i="7"/>
  <c r="F9" i="7"/>
  <c r="F10" i="7"/>
  <c r="F11" i="7"/>
  <c r="F12" i="7"/>
  <c r="F14" i="7"/>
  <c r="F15" i="7"/>
  <c r="F2" i="7"/>
  <c r="G100" i="1"/>
  <c r="C100" i="1"/>
  <c r="G110" i="1"/>
  <c r="C110" i="1"/>
  <c r="G9" i="1"/>
  <c r="C9" i="1"/>
  <c r="G97" i="1"/>
  <c r="C97" i="1"/>
  <c r="F3" i="32"/>
  <c r="F2" i="32"/>
  <c r="G87" i="1"/>
  <c r="C87" i="1"/>
  <c r="G39" i="1"/>
  <c r="C39" i="1"/>
  <c r="G129" i="1"/>
  <c r="C129" i="1"/>
  <c r="G17" i="1"/>
  <c r="C17" i="1"/>
  <c r="G14" i="1"/>
  <c r="E13" i="1"/>
  <c r="C14" i="1"/>
  <c r="G104" i="1"/>
  <c r="C104" i="1"/>
  <c r="G94" i="1"/>
  <c r="K94" i="1"/>
  <c r="C94" i="1"/>
  <c r="G83" i="1"/>
  <c r="C83" i="1"/>
  <c r="G48" i="1"/>
  <c r="C48" i="1"/>
  <c r="G126" i="1"/>
  <c r="C126" i="1"/>
  <c r="C6" i="1"/>
  <c r="E27" i="1"/>
  <c r="G30" i="1"/>
  <c r="C30" i="1"/>
  <c r="G107" i="1"/>
  <c r="C107" i="1"/>
  <c r="K30" i="1"/>
  <c r="K107" i="1"/>
  <c r="I19" i="1"/>
  <c r="I20" i="1"/>
  <c r="I2" i="1"/>
  <c r="I3" i="1"/>
  <c r="I4" i="1"/>
  <c r="I5" i="1"/>
  <c r="I123" i="1"/>
  <c r="I44" i="1"/>
  <c r="I45" i="1"/>
  <c r="I46" i="1"/>
  <c r="I47" i="1"/>
  <c r="I82" i="1"/>
  <c r="I83" i="1" s="1"/>
  <c r="I89" i="1"/>
  <c r="I91" i="1"/>
  <c r="I92" i="1"/>
  <c r="I93" i="1"/>
  <c r="I102" i="1"/>
  <c r="I103" i="1"/>
  <c r="I11" i="1"/>
  <c r="I14" i="1" s="1"/>
  <c r="I16" i="1"/>
  <c r="I17" i="1" s="1"/>
  <c r="I128" i="1"/>
  <c r="I129" i="1" s="1"/>
  <c r="I37" i="1"/>
  <c r="I39" i="1" s="1"/>
  <c r="I85" i="1"/>
  <c r="I86" i="1"/>
  <c r="I96" i="1"/>
  <c r="I97" i="1" s="1"/>
  <c r="I8" i="1"/>
  <c r="I9" i="1" s="1"/>
  <c r="I109" i="1"/>
  <c r="I110" i="1" s="1"/>
  <c r="I99" i="1"/>
  <c r="I100" i="1" s="1"/>
  <c r="I106" i="1"/>
  <c r="I107" i="1" s="1"/>
  <c r="E19" i="1"/>
  <c r="E20" i="1"/>
  <c r="E21" i="1"/>
  <c r="E22" i="1"/>
  <c r="E23" i="1"/>
  <c r="E24" i="1"/>
  <c r="E25" i="1"/>
  <c r="E26" i="1"/>
  <c r="E28" i="1"/>
  <c r="E29" i="1"/>
  <c r="E2" i="1"/>
  <c r="E3" i="1"/>
  <c r="E4" i="1"/>
  <c r="E5" i="1"/>
  <c r="E89" i="1"/>
  <c r="E123" i="1"/>
  <c r="E124" i="1"/>
  <c r="E125" i="1"/>
  <c r="E44" i="1"/>
  <c r="E45" i="1"/>
  <c r="E46" i="1"/>
  <c r="E47" i="1"/>
  <c r="E82" i="1"/>
  <c r="E83" i="1" s="1"/>
  <c r="E90" i="1"/>
  <c r="E91" i="1"/>
  <c r="E92" i="1"/>
  <c r="E93" i="1"/>
  <c r="E102" i="1"/>
  <c r="E103" i="1"/>
  <c r="E11" i="1"/>
  <c r="E12" i="1"/>
  <c r="E16" i="1"/>
  <c r="E17" i="1" s="1"/>
  <c r="E128" i="1"/>
  <c r="E129" i="1" s="1"/>
  <c r="E37" i="1"/>
  <c r="E38" i="1"/>
  <c r="E85" i="1"/>
  <c r="E86" i="1"/>
  <c r="E96" i="1"/>
  <c r="E97" i="1" s="1"/>
  <c r="E8" i="1"/>
  <c r="E9" i="1" s="1"/>
  <c r="E109" i="1"/>
  <c r="E110" i="1" s="1"/>
  <c r="E99" i="1"/>
  <c r="E100" i="1" s="1"/>
  <c r="E106" i="1"/>
  <c r="E107" i="1" s="1"/>
  <c r="F4" i="21"/>
  <c r="F3" i="21"/>
  <c r="F2" i="21"/>
  <c r="C4" i="21"/>
  <c r="Q2" i="25"/>
  <c r="Q5" i="25" s="1"/>
  <c r="F6" i="25"/>
  <c r="F7" i="25"/>
  <c r="F8" i="25"/>
  <c r="F9" i="25"/>
  <c r="F10" i="25"/>
  <c r="F11" i="25"/>
  <c r="F12" i="25"/>
  <c r="F26" i="25" l="1"/>
  <c r="Q3" i="4"/>
  <c r="Q6" i="4" s="1"/>
  <c r="Q5" i="4"/>
  <c r="F25" i="7"/>
  <c r="Q3" i="25"/>
  <c r="Q6" i="25" s="1"/>
  <c r="Q7" i="25" s="1"/>
  <c r="L17" i="1"/>
  <c r="M17" i="1" s="1"/>
  <c r="L100" i="1"/>
  <c r="M100" i="1" s="1"/>
  <c r="L83" i="1"/>
  <c r="M83" i="1" s="1"/>
  <c r="L110" i="1"/>
  <c r="M110" i="1" s="1"/>
  <c r="L42" i="1"/>
  <c r="M42" i="1" s="1"/>
  <c r="L9" i="1"/>
  <c r="M9" i="1" s="1"/>
  <c r="L107" i="1"/>
  <c r="M107" i="1" s="1"/>
  <c r="L97" i="1"/>
  <c r="M97" i="1" s="1"/>
  <c r="L129" i="1"/>
  <c r="M129" i="1" s="1"/>
  <c r="K38" i="17"/>
  <c r="F11" i="20"/>
  <c r="Q3" i="20"/>
  <c r="Q6" i="20" s="1"/>
  <c r="Q7" i="20" s="1"/>
  <c r="I87" i="1"/>
  <c r="E39" i="1"/>
  <c r="E87" i="1"/>
  <c r="E14" i="1"/>
  <c r="I104" i="1"/>
  <c r="I94" i="1"/>
  <c r="E104" i="1"/>
  <c r="E94" i="1"/>
  <c r="E48" i="1"/>
  <c r="I126" i="1"/>
  <c r="I48" i="1"/>
  <c r="E126" i="1"/>
  <c r="E6" i="1"/>
  <c r="I6" i="1"/>
  <c r="I30" i="1"/>
  <c r="E30" i="1"/>
  <c r="Q7" i="4" l="1"/>
  <c r="Q3" i="17"/>
  <c r="Q6" i="17" s="1"/>
  <c r="Q7" i="17" s="1"/>
  <c r="Q5" i="7"/>
  <c r="Q7" i="7" s="1"/>
  <c r="Q3" i="7"/>
  <c r="L30" i="1"/>
  <c r="M30" i="1" s="1"/>
  <c r="L48" i="1"/>
  <c r="L6" i="1"/>
  <c r="L104" i="1"/>
  <c r="M104" i="1" s="1"/>
  <c r="L87" i="1"/>
  <c r="M87" i="1" s="1"/>
  <c r="L126" i="1"/>
  <c r="M126" i="1" s="1"/>
  <c r="L94" i="1"/>
  <c r="M94" i="1" s="1"/>
  <c r="L39" i="1"/>
  <c r="L14" i="1"/>
  <c r="M14" i="1" s="1"/>
  <c r="M48" i="1"/>
  <c r="L134" i="1" l="1"/>
  <c r="M6" i="1"/>
  <c r="M39" i="1"/>
</calcChain>
</file>

<file path=xl/sharedStrings.xml><?xml version="1.0" encoding="utf-8"?>
<sst xmlns="http://schemas.openxmlformats.org/spreadsheetml/2006/main" count="834" uniqueCount="174">
  <si>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</si>
  <si>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</si>
  <si>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</si>
  <si>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</si>
  <si>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</si>
  <si>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</si>
  <si>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</si>
  <si>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</si>
  <si>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</si>
  <si>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</si>
  <si>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</si>
  <si>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</si>
  <si>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</si>
  <si>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</si>
  <si>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</si>
  <si>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</si>
  <si>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</si>
  <si>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</si>
  <si>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</si>
  <si>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</si>
  <si>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</si>
  <si>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</si>
  <si>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</si>
  <si>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</si>
  <si>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</si>
  <si>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</si>
  <si>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</si>
  <si>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</si>
  <si>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</si>
  <si>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</si>
  <si>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</si>
  <si>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</si>
  <si>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</si>
  <si>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</si>
  <si>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</si>
  <si>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</si>
  <si>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</si>
  <si>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</si>
  <si>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</si>
  <si>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</si>
  <si>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</si>
  <si>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</si>
  <si>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</si>
  <si>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</si>
  <si>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</si>
  <si>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</si>
  <si>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</si>
  <si>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</si>
  <si>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</si>
  <si>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</si>
  <si>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</si>
  <si>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</si>
  <si>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</si>
  <si>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</si>
  <si>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</si>
  <si>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</si>
  <si>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</si>
  <si>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</si>
  <si>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</si>
  <si>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</si>
  <si>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</si>
  <si>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</si>
  <si>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</si>
  <si>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</si>
  <si>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</si>
  <si>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</si>
  <si>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</si>
  <si>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</si>
  <si>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</si>
  <si>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</si>
  <si>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</si>
  <si>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Ex-Date</t>
  </si>
  <si>
    <t>Payable</t>
  </si>
  <si>
    <t>Type</t>
  </si>
  <si>
    <t>Notes</t>
  </si>
  <si>
    <t>Ex/Eff Date</t>
  </si>
  <si>
    <t>Cash Amount</t>
  </si>
  <si>
    <t>Declaration Date</t>
  </si>
  <si>
    <t>Record Date</t>
  </si>
  <si>
    <t>Payment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</si>
  <si>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</si>
  <si>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</si>
  <si>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</si>
  <si>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</si>
  <si>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</si>
  <si>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</si>
  <si>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</si>
  <si>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</si>
  <si>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</si>
  <si>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</si>
  <si>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Competitors (size, revenue, past stock performance, M/A, etc)</t>
  </si>
  <si>
    <t>Positive Catalysts</t>
  </si>
  <si>
    <t>Negative factors</t>
  </si>
  <si>
    <t>Insiders</t>
  </si>
  <si>
    <t>Institutions</t>
  </si>
  <si>
    <t>Analysts</t>
  </si>
  <si>
    <t>Earnings</t>
  </si>
  <si>
    <t>Litigation?</t>
  </si>
  <si>
    <t>Recent news</t>
  </si>
  <si>
    <t>Plot vs SPX, beta</t>
  </si>
  <si>
    <t>volatility</t>
  </si>
  <si>
    <t>Headquarter</t>
  </si>
  <si>
    <t>Company history</t>
  </si>
  <si>
    <t>main lines of business</t>
  </si>
  <si>
    <t>Supply chain</t>
  </si>
  <si>
    <t>market cap</t>
  </si>
  <si>
    <t>debt ratio over assets</t>
  </si>
  <si>
    <t>default prob</t>
  </si>
  <si>
    <t>Next ER date</t>
  </si>
  <si>
    <t>52 week L/H</t>
  </si>
  <si>
    <t>Upcoming events</t>
  </si>
  <si>
    <t>No dividend</t>
  </si>
  <si>
    <t>insider sold @20, bought @17.15</t>
  </si>
  <si>
    <t>No div</t>
  </si>
  <si>
    <t>Sum</t>
  </si>
  <si>
    <t>sell 10</t>
  </si>
  <si>
    <t>sell 100</t>
  </si>
  <si>
    <t>buy 100</t>
  </si>
  <si>
    <t>~10/13 ER</t>
  </si>
  <si>
    <t>~10/29 ER</t>
  </si>
  <si>
    <t>Declaration</t>
  </si>
  <si>
    <t>Forecast</t>
  </si>
  <si>
    <t>BDVD</t>
  </si>
  <si>
    <t>~9/29</t>
  </si>
  <si>
    <t>A lot of sell by present</t>
  </si>
  <si>
    <t>buy 40</t>
  </si>
  <si>
    <t>~9/30</t>
  </si>
  <si>
    <t>permanently cutting hundreds of management positions as coal shipment slumps</t>
  </si>
  <si>
    <t>ER</t>
  </si>
  <si>
    <t>buy 15</t>
  </si>
  <si>
    <t>June</t>
  </si>
  <si>
    <t>Greenlight purchased 3.6m shares @42</t>
  </si>
  <si>
    <t>buy 20</t>
  </si>
  <si>
    <t>~9/10</t>
  </si>
  <si>
    <t>sell 10 @ 124.23</t>
  </si>
  <si>
    <t>ER after market 5:00, confirmed on website</t>
  </si>
  <si>
    <t>insider sell @132</t>
  </si>
  <si>
    <t>Disney to Build ‘Star Wars’ Themed Lands in Two Parks</t>
  </si>
  <si>
    <t>insider sell @118</t>
  </si>
  <si>
    <t>semi-annual</t>
  </si>
  <si>
    <t>sell</t>
  </si>
  <si>
    <t>buy 5</t>
  </si>
  <si>
    <t>need to find out what cars GM makes</t>
  </si>
  <si>
    <t>investor day</t>
  </si>
  <si>
    <t>ER after market, est 0.361/261.57, confirmed from web</t>
  </si>
  <si>
    <t>ex-div, 0.21</t>
  </si>
  <si>
    <t>div pay, 0.21</t>
  </si>
  <si>
    <t>3 downgrades in a row by BoA, Wedbush, etc</t>
  </si>
  <si>
    <t>tech conference call</t>
  </si>
  <si>
    <t>Future Events</t>
  </si>
  <si>
    <t>Past Events</t>
  </si>
  <si>
    <t>~8/25</t>
  </si>
  <si>
    <t>Ex-div, 0.03</t>
  </si>
  <si>
    <t>ex-div</t>
  </si>
  <si>
    <t>Recent Events</t>
  </si>
  <si>
    <t>Div payment, 0.55</t>
  </si>
  <si>
    <t>Balance Log</t>
  </si>
  <si>
    <t>balance</t>
  </si>
  <si>
    <t>daily P/L</t>
  </si>
  <si>
    <t>date</t>
  </si>
  <si>
    <t xml:space="preserve"> investment</t>
  </si>
  <si>
    <t>%P/L</t>
  </si>
  <si>
    <t>SellFee</t>
  </si>
  <si>
    <t>BuyFee</t>
  </si>
  <si>
    <t>Actions</t>
  </si>
  <si>
    <t>8/30/2015–9/3/2015, VMworld – San Francisco, California</t>
  </si>
  <si>
    <t>10/12/2015–10/15/2015, VMworld Europe – Barcelona, Spain</t>
  </si>
  <si>
    <t>10/18/2015–10/20/2015, Gartner Symposium ITxpo – Orlando, Florida</t>
  </si>
  <si>
    <t>11/16/2015–11/19/2015, Super Computing – Austin, Texas </t>
  </si>
  <si>
    <t>12/7/2015–12/10/2015, Gartner Data Center – Las Vegas, Nevada</t>
  </si>
  <si>
    <t>ex-div, 0.2675</t>
  </si>
  <si>
    <t>~9/15</t>
  </si>
  <si>
    <t>Yahoo</t>
  </si>
  <si>
    <t>introduced the fastest fully integrated memory test card in history, the HSM16G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</si>
</sst>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yy;@"/>
    <numFmt numFmtId="165" formatCode="mm/dd/yy;@"/>
  </numFmts>
  <fonts count="1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sz val="11"/>
      <color rgb="FF333333"/>
      <name val="Calibri"/>
      <family val="2"/>
      <scheme val="minor"/>
    </font>
    <font>
      <b/>
      <sz val="24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16" fontId="0" fillId="0" borderId="0" xfId="0" applyNumberFormat="1"/>
    <xf numFmtId="2" fontId="0" fillId="0" borderId="0" xfId="0" applyNumberFormat="1"/>
    <xf numFmtId="0" fontId="0" fillId="2" borderId="0" xfId="0" applyFill="1"/>
    <xf numFmtId="2" fontId="0" fillId="2" borderId="0" xfId="0" applyNumberFormat="1" applyFill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6" borderId="0" xfId="0" applyFill="1"/>
    <xf numFmtId="0" fontId="0" fillId="0" borderId="0" xfId="0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5" fillId="0" borderId="0" xfId="0" applyFont="1"/>
    <xf numFmtId="0" fontId="0" fillId="7" borderId="1" xfId="0" applyFill="1" applyBorder="1"/>
    <xf numFmtId="2" fontId="0" fillId="4" borderId="0" xfId="0" applyNumberFormat="1" applyFill="1"/>
    <xf numFmtId="2" fontId="0" fillId="6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14" fontId="4" fillId="0" borderId="0" xfId="0" applyNumberFormat="1" applyFont="1" applyFill="1"/>
    <xf numFmtId="2" fontId="0" fillId="7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6" fillId="0" borderId="0" xfId="1"/>
    <xf numFmtId="0" fontId="7" fillId="0" borderId="0" xfId="0" applyFont="1" applyFill="1" applyAlignment="1">
      <alignment horizontal="center" vertical="center"/>
    </xf>
    <xf numFmtId="2" fontId="8" fillId="0" borderId="2" xfId="0" applyNumberFormat="1" applyFont="1" applyFill="1" applyBorder="1" applyAlignment="1">
      <alignment horizontal="right" vertical="center"/>
    </xf>
    <xf numFmtId="2" fontId="8" fillId="2" borderId="2" xfId="0" applyNumberFormat="1" applyFont="1" applyFill="1" applyBorder="1" applyAlignment="1">
      <alignment horizontal="right" vertical="center"/>
    </xf>
    <xf numFmtId="0" fontId="8" fillId="2" borderId="2" xfId="0" applyFont="1" applyFill="1" applyBorder="1" applyAlignment="1">
      <alignment horizontal="right" vertical="center"/>
    </xf>
    <xf numFmtId="0" fontId="8" fillId="0" borderId="2" xfId="0" applyFont="1" applyFill="1" applyBorder="1" applyAlignment="1">
      <alignment horizontal="right" vertical="center"/>
    </xf>
    <xf numFmtId="16" fontId="8" fillId="0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16" fontId="8" fillId="2" borderId="2" xfId="0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right" vertical="center"/>
    </xf>
    <xf numFmtId="2" fontId="8" fillId="0" borderId="0" xfId="0" applyNumberFormat="1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10" fontId="8" fillId="0" borderId="2" xfId="0" applyNumberFormat="1" applyFont="1" applyFill="1" applyBorder="1" applyAlignment="1">
      <alignment horizontal="right" vertical="center"/>
    </xf>
    <xf numFmtId="10" fontId="8" fillId="2" borderId="2" xfId="0" applyNumberFormat="1" applyFont="1" applyFill="1" applyBorder="1" applyAlignment="1">
      <alignment horizontal="right" vertical="center"/>
    </xf>
    <xf numFmtId="10" fontId="8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7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5" fillId="0" borderId="0" xfId="0" applyNumberFormat="1" applyFont="1" applyFill="1"/>
    <xf numFmtId="14" fontId="3" fillId="0" borderId="0" xfId="0" applyNumberFormat="1" applyFont="1"/>
    <xf numFmtId="164" fontId="0" fillId="0" borderId="0" xfId="0" applyNumberFormat="1"/>
    <xf numFmtId="0" fontId="3" fillId="2" borderId="3" xfId="0" applyFont="1" applyFill="1" applyBorder="1"/>
    <xf numFmtId="0" fontId="0" fillId="2" borderId="3" xfId="0" applyFill="1" applyBorder="1"/>
    <xf numFmtId="2" fontId="0" fillId="12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11" borderId="0" xfId="0" applyNumberFormat="1" applyFill="1"/>
    <xf numFmtId="2" fontId="5" fillId="0" borderId="0" xfId="0" applyNumberFormat="1" applyFont="1"/>
    <xf numFmtId="2" fontId="0" fillId="9" borderId="0" xfId="0" applyNumberFormat="1" applyFill="1"/>
    <xf numFmtId="165" fontId="5" fillId="0" borderId="0" xfId="0" applyNumberFormat="1" applyFont="1"/>
    <xf numFmtId="165" fontId="0" fillId="0" borderId="0" xfId="0" applyNumberFormat="1"/>
    <xf numFmtId="165" fontId="3" fillId="0" borderId="0" xfId="0" applyNumberFormat="1" applyFont="1"/>
    <xf numFmtId="165" fontId="0" fillId="0" borderId="0" xfId="0" applyNumberFormat="1" applyFont="1"/>
    <xf numFmtId="0" fontId="0" fillId="0" borderId="0" xfId="0" applyFont="1"/>
    <xf numFmtId="165" fontId="10" fillId="0" borderId="0" xfId="0" applyNumberFormat="1" applyFont="1"/>
    <xf numFmtId="2" fontId="0" fillId="8" borderId="0" xfId="0" applyNumberFormat="1" applyFill="1"/>
    <xf numFmtId="2" fontId="0" fillId="10" borderId="0" xfId="0" applyNumberFormat="1" applyFill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0" fontId="3" fillId="2" borderId="0" xfId="0" applyFont="1" applyFill="1"/>
    <xf numFmtId="2" fontId="4" fillId="3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12" fillId="13" borderId="4" xfId="0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right" vertical="center"/>
    </xf>
    <xf numFmtId="2" fontId="13" fillId="13" borderId="4" xfId="0" applyNumberFormat="1" applyFont="1" applyFill="1" applyBorder="1" applyAlignment="1">
      <alignment horizontal="right" vertical="center"/>
    </xf>
    <xf numFmtId="2" fontId="8" fillId="0" borderId="0" xfId="0" applyNumberFormat="1" applyFont="1" applyFill="1" applyAlignment="1">
      <alignment vertical="center"/>
    </xf>
    <xf numFmtId="2" fontId="0" fillId="0" borderId="0" xfId="0" applyNumberFormat="1" applyBorder="1"/>
    <xf numFmtId="0" fontId="0" fillId="14" borderId="0" xfId="0" applyFill="1"/>
    <xf numFmtId="2" fontId="0" fillId="14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16" fillId="0" borderId="0" xfId="0" applyFont="1"/>
    <xf numFmtId="0" fontId="15" fillId="15" borderId="0" xfId="1" applyFont="1" applyFill="1"/>
    <xf numFmtId="0" fontId="16" fillId="15" borderId="0" xfId="0" applyFont="1" applyFill="1"/>
    <xf numFmtId="0" fontId="16" fillId="0" borderId="0" xfId="0" applyFont="1" applyFill="1"/>
    <xf numFmtId="0" fontId="15" fillId="0" borderId="0" xfId="1" applyFont="1" applyFill="1"/>
    <xf numFmtId="0" fontId="14" fillId="0" borderId="0" xfId="0" applyFont="1"/>
    <xf numFmtId="2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wrapText="1"/>
    </xf>
    <xf numFmtId="0" fontId="17" fillId="15" borderId="0" xfId="0" applyFont="1" applyFill="1" applyAlignment="1">
      <alignment horizontal="center" vertical="center"/>
    </xf>
    <xf numFmtId="2" fontId="17" fillId="15" borderId="0" xfId="0" applyNumberFormat="1" applyFont="1" applyFill="1" applyAlignment="1">
      <alignment horizontal="center" vertical="center"/>
    </xf>
    <xf numFmtId="10" fontId="17" fillId="15" borderId="0" xfId="0" applyNumberFormat="1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7" fillId="15" borderId="0" xfId="0" applyFont="1" applyFill="1" applyBorder="1" applyAlignment="1">
      <alignment horizontal="center" vertical="center"/>
    </xf>
    <xf numFmtId="0" fontId="16" fillId="15" borderId="0" xfId="0" applyFont="1" applyFill="1" applyBorder="1"/>
    <xf numFmtId="0" fontId="15" fillId="15" borderId="0" xfId="1" applyFont="1" applyFill="1" applyBorder="1"/>
    <xf numFmtId="0" fontId="16" fillId="0" borderId="0" xfId="0" applyFont="1" applyBorder="1"/>
    <xf numFmtId="10" fontId="6" fillId="0" borderId="0" xfId="1" applyNumberFormat="1"/>
    <xf numFmtId="0" fontId="6" fillId="0" borderId="0" xfId="1" applyAlignment="1">
      <alignment horizontal="center"/>
    </xf>
    <xf numFmtId="0" fontId="16" fillId="0" borderId="0" xfId="0" applyFont="1" applyAlignment="1">
      <alignment horizontal="center"/>
    </xf>
    <xf numFmtId="0" fontId="11" fillId="0" borderId="5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16" fontId="0" fillId="0" borderId="0" xfId="0" applyNumberFormat="1" applyAlignment="1">
      <alignment horizontal="right" vertical="center"/>
    </xf>
  </cellXfs>
  <cellStyles count="2">
    <cellStyle name="Hyperlink" xfId="1" builtinId="8"/>
    <cellStyle name="Normal" xfId="0" builtinId="0"/>
  </cellStyles>
  <dxfs count="60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69667271982034"/>
          <c:y val="0.13756140782270393"/>
          <c:w val="0.83588089103034235"/>
          <c:h val="0.776399596056115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CLOSED!$C$139</c:f>
              <c:strCache>
                <c:ptCount val="1"/>
                <c:pt idx="0">
                  <c:v>balance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CLOSED!$B$140:$B$205</c:f>
              <c:numCache>
                <c:formatCode>m/d/yyyy</c:formatCode>
                <c:ptCount val="66"/>
                <c:pt idx="1">
                  <c:v>42233</c:v>
                </c:pt>
                <c:pt idx="2">
                  <c:v>42234</c:v>
                </c:pt>
                <c:pt idx="3">
                  <c:v>42235</c:v>
                </c:pt>
                <c:pt idx="4">
                  <c:v>42236</c:v>
                </c:pt>
                <c:pt idx="5">
                  <c:v>42237</c:v>
                </c:pt>
                <c:pt idx="6">
                  <c:v>42238</c:v>
                </c:pt>
                <c:pt idx="7">
                  <c:v>42239</c:v>
                </c:pt>
                <c:pt idx="8">
                  <c:v>42240</c:v>
                </c:pt>
                <c:pt idx="9">
                  <c:v>42241</c:v>
                </c:pt>
                <c:pt idx="10">
                  <c:v>42242</c:v>
                </c:pt>
                <c:pt idx="11">
                  <c:v>42243</c:v>
                </c:pt>
                <c:pt idx="12">
                  <c:v>42244</c:v>
                </c:pt>
                <c:pt idx="13">
                  <c:v>42245</c:v>
                </c:pt>
                <c:pt idx="14">
                  <c:v>42246</c:v>
                </c:pt>
                <c:pt idx="15">
                  <c:v>42247</c:v>
                </c:pt>
                <c:pt idx="16">
                  <c:v>42248</c:v>
                </c:pt>
                <c:pt idx="17">
                  <c:v>42249</c:v>
                </c:pt>
                <c:pt idx="18">
                  <c:v>42250</c:v>
                </c:pt>
                <c:pt idx="19">
                  <c:v>42251</c:v>
                </c:pt>
                <c:pt idx="20">
                  <c:v>42252</c:v>
                </c:pt>
                <c:pt idx="21">
                  <c:v>42253</c:v>
                </c:pt>
                <c:pt idx="22">
                  <c:v>42254</c:v>
                </c:pt>
                <c:pt idx="23">
                  <c:v>42255</c:v>
                </c:pt>
                <c:pt idx="24">
                  <c:v>42256</c:v>
                </c:pt>
                <c:pt idx="25">
                  <c:v>42257</c:v>
                </c:pt>
                <c:pt idx="26">
                  <c:v>42258</c:v>
                </c:pt>
                <c:pt idx="27">
                  <c:v>42259</c:v>
                </c:pt>
                <c:pt idx="28">
                  <c:v>42260</c:v>
                </c:pt>
                <c:pt idx="29">
                  <c:v>42261</c:v>
                </c:pt>
                <c:pt idx="30">
                  <c:v>42262</c:v>
                </c:pt>
              </c:numCache>
            </c:numRef>
          </c:xVal>
          <c:yVal>
            <c:numRef>
              <c:f>CLOSED!$C$140:$C$205</c:f>
              <c:numCache>
                <c:formatCode>0.00</c:formatCode>
                <c:ptCount val="66"/>
                <c:pt idx="1">
                  <c:v>322588.21000000002</c:v>
                </c:pt>
                <c:pt idx="2">
                  <c:v>319994.03000000003</c:v>
                </c:pt>
                <c:pt idx="3">
                  <c:v>311839.78000000003</c:v>
                </c:pt>
                <c:pt idx="4">
                  <c:v>301697.40999999997</c:v>
                </c:pt>
                <c:pt idx="5">
                  <c:v>295093.56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04536"/>
        <c:axId val="185362408"/>
      </c:scatterChart>
      <c:valAx>
        <c:axId val="184504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362408"/>
        <c:crosses val="autoZero"/>
        <c:crossBetween val="midCat"/>
      </c:valAx>
      <c:valAx>
        <c:axId val="185362408"/>
        <c:scaling>
          <c:orientation val="minMax"/>
          <c:max val="4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04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e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image" Target="../media/image27.png"/><Relationship Id="rId7" Type="http://schemas.openxmlformats.org/officeDocument/2006/relationships/image" Target="../media/image31.jpe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30.png"/><Relationship Id="rId11" Type="http://schemas.openxmlformats.org/officeDocument/2006/relationships/image" Target="../media/image35.jpeg"/><Relationship Id="rId5" Type="http://schemas.openxmlformats.org/officeDocument/2006/relationships/image" Target="../media/image29.png"/><Relationship Id="rId10" Type="http://schemas.openxmlformats.org/officeDocument/2006/relationships/image" Target="../media/image34.jpeg"/><Relationship Id="rId4" Type="http://schemas.openxmlformats.org/officeDocument/2006/relationships/image" Target="../media/image28.png"/><Relationship Id="rId9" Type="http://schemas.openxmlformats.org/officeDocument/2006/relationships/image" Target="../media/image33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9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1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833436</xdr:colOff>
      <xdr:row>144</xdr:row>
      <xdr:rowOff>80962</xdr:rowOff>
    </xdr:from>
    <xdr:to>
      <xdr:col>13</xdr:col>
      <xdr:colOff>523874</xdr:colOff>
      <xdr:row>159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21</xdr:row>
      <xdr:rowOff>47625</xdr:rowOff>
    </xdr:from>
    <xdr:to>
      <xdr:col>2</xdr:col>
      <xdr:colOff>600075</xdr:colOff>
      <xdr:row>25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8</xdr:row>
      <xdr:rowOff>133350</xdr:rowOff>
    </xdr:from>
    <xdr:to>
      <xdr:col>2</xdr:col>
      <xdr:colOff>514350</xdr:colOff>
      <xdr:row>14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9526</xdr:colOff>
      <xdr:row>8</xdr:row>
      <xdr:rowOff>0</xdr:rowOff>
    </xdr:from>
    <xdr:to>
      <xdr:col>17</xdr:col>
      <xdr:colOff>600075</xdr:colOff>
      <xdr:row>13</xdr:row>
      <xdr:rowOff>72884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9976" y="1552575"/>
          <a:ext cx="2447924" cy="1025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445347</xdr:colOff>
      <xdr:row>13</xdr:row>
      <xdr:rowOff>171451</xdr:rowOff>
    </xdr:to>
    <xdr:pic>
      <xdr:nvPicPr>
        <xdr:cNvPr id="2" name="Picture 1" descr="Black horizontal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0</xdr:rowOff>
    </xdr:from>
    <xdr:to>
      <xdr:col>16</xdr:col>
      <xdr:colOff>425245</xdr:colOff>
      <xdr:row>12</xdr:row>
      <xdr:rowOff>76200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0"/>
          <a:ext cx="164444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9524</xdr:colOff>
      <xdr:row>8</xdr:row>
      <xdr:rowOff>171450</xdr:rowOff>
    </xdr:from>
    <xdr:to>
      <xdr:col>18</xdr:col>
      <xdr:colOff>3253</xdr:colOff>
      <xdr:row>14</xdr:row>
      <xdr:rowOff>123826</xdr:rowOff>
    </xdr:to>
    <xdr:pic>
      <xdr:nvPicPr>
        <xdr:cNvPr id="3" name="Picture 2" descr="https://d1ewxbznfa539k.cloudfront.net/s/_logo/d8e6061d7f1c780f45b2af6aa24e1d6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4" y="1695450"/>
          <a:ext cx="2432129" cy="10953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17</xdr:col>
      <xdr:colOff>419100</xdr:colOff>
      <xdr:row>15</xdr:row>
      <xdr:rowOff>142875</xdr:rowOff>
    </xdr:to>
    <xdr:pic>
      <xdr:nvPicPr>
        <xdr:cNvPr id="4" name="Picture 3" descr="http://img2.wikia.nocookie.net/__cb20120428100518/logopedia/images/0/0c/Alcoa_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304800</xdr:colOff>
      <xdr:row>9</xdr:row>
      <xdr:rowOff>38100</xdr:rowOff>
    </xdr:from>
    <xdr:to>
      <xdr:col>17</xdr:col>
      <xdr:colOff>257175</xdr:colOff>
      <xdr:row>18</xdr:row>
      <xdr:rowOff>16914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1752600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18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409575</xdr:colOff>
      <xdr:row>8</xdr:row>
      <xdr:rowOff>66675</xdr:rowOff>
    </xdr:from>
    <xdr:to>
      <xdr:col>17</xdr:col>
      <xdr:colOff>485775</xdr:colOff>
      <xdr:row>18</xdr:row>
      <xdr:rowOff>66675</xdr:rowOff>
    </xdr:to>
    <xdr:pic>
      <xdr:nvPicPr>
        <xdr:cNvPr id="2" name="Picture 1" descr="http://stockwiki.org/images/a/a4/OncoSec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24775" y="1590675"/>
          <a:ext cx="1905000" cy="190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18</xdr:col>
      <xdr:colOff>3847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10</xdr:row>
      <xdr:rowOff>9525</xdr:rowOff>
    </xdr:from>
    <xdr:to>
      <xdr:col>18</xdr:col>
      <xdr:colOff>19050</xdr:colOff>
      <xdr:row>16</xdr:row>
      <xdr:rowOff>39709</xdr:rowOff>
    </xdr:to>
    <xdr:pic>
      <xdr:nvPicPr>
        <xdr:cNvPr id="2" name="Picture 1" descr="http://www.yashrajinc.com/images/logos/cardinal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05675" y="1914525"/>
          <a:ext cx="2466975" cy="1173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9524</xdr:colOff>
      <xdr:row>9</xdr:row>
      <xdr:rowOff>0</xdr:rowOff>
    </xdr:from>
    <xdr:to>
      <xdr:col>18</xdr:col>
      <xdr:colOff>13801</xdr:colOff>
      <xdr:row>12</xdr:row>
      <xdr:rowOff>9525</xdr:rowOff>
    </xdr:to>
    <xdr:pic>
      <xdr:nvPicPr>
        <xdr:cNvPr id="2" name="Picture 1" descr="http://www.annualreports.com/HostedData/CompanyLogos/4414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4" y="1714500"/>
          <a:ext cx="2442677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45</xdr:row>
      <xdr:rowOff>28574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123825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44</xdr:row>
      <xdr:rowOff>66674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180975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104775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142876</xdr:colOff>
      <xdr:row>39</xdr:row>
      <xdr:rowOff>9524</xdr:rowOff>
    </xdr:from>
    <xdr:to>
      <xdr:col>14</xdr:col>
      <xdr:colOff>549810</xdr:colOff>
      <xdr:row>45</xdr:row>
      <xdr:rowOff>76199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6" y="7439024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190500</xdr:colOff>
      <xdr:row>39</xdr:row>
      <xdr:rowOff>85725</xdr:rowOff>
    </xdr:from>
    <xdr:to>
      <xdr:col>17</xdr:col>
      <xdr:colOff>190089</xdr:colOff>
      <xdr:row>45</xdr:row>
      <xdr:rowOff>76199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300" y="7515225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381000</xdr:colOff>
      <xdr:row>40</xdr:row>
      <xdr:rowOff>0</xdr:rowOff>
    </xdr:from>
    <xdr:to>
      <xdr:col>19</xdr:col>
      <xdr:colOff>346690</xdr:colOff>
      <xdr:row>45</xdr:row>
      <xdr:rowOff>76200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762000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123825</xdr:colOff>
      <xdr:row>41</xdr:row>
      <xdr:rowOff>116171</xdr:rowOff>
    </xdr:from>
    <xdr:to>
      <xdr:col>22</xdr:col>
      <xdr:colOff>476250</xdr:colOff>
      <xdr:row>42</xdr:row>
      <xdr:rowOff>133350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79266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152400</xdr:colOff>
      <xdr:row>41</xdr:row>
      <xdr:rowOff>86970</xdr:rowOff>
    </xdr:from>
    <xdr:to>
      <xdr:col>26</xdr:col>
      <xdr:colOff>361950</xdr:colOff>
      <xdr:row>43</xdr:row>
      <xdr:rowOff>47625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0" y="789747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281041</xdr:colOff>
      <xdr:row>13</xdr:row>
      <xdr:rowOff>95251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70"/>
  <sheetViews>
    <sheetView workbookViewId="0">
      <pane ySplit="1" topLeftCell="A132" activePane="bottomLeft" state="frozen"/>
      <selection activeCell="E5" sqref="E5"/>
      <selection pane="bottomLeft" activeCell="O112" sqref="O112"/>
    </sheetView>
  </sheetViews>
  <sheetFormatPr defaultRowHeight="18" customHeight="1" outlineLevelRow="1" x14ac:dyDescent="0.25"/>
  <cols>
    <col min="1" max="1" width="9.140625" style="37"/>
    <col min="2" max="2" width="11.28515625" style="44" customWidth="1"/>
    <col min="3" max="3" width="13.85546875" style="50" customWidth="1"/>
    <col min="4" max="4" width="12.5703125" style="44" customWidth="1"/>
    <col min="5" max="5" width="12.5703125" style="48" customWidth="1"/>
    <col min="6" max="6" width="13.7109375" style="44" customWidth="1"/>
    <col min="7" max="7" width="11.7109375" style="50" customWidth="1"/>
    <col min="8" max="8" width="12.42578125" style="44" customWidth="1"/>
    <col min="9" max="9" width="12.42578125" style="48" customWidth="1"/>
    <col min="10" max="10" width="9.28515625" style="44" bestFit="1" customWidth="1"/>
    <col min="11" max="11" width="9.28515625" style="48" bestFit="1" customWidth="1"/>
    <col min="12" max="12" width="11.42578125" style="50" bestFit="1" customWidth="1"/>
    <col min="13" max="13" width="9.28515625" style="50" bestFit="1" customWidth="1"/>
    <col min="14" max="16384" width="9.140625" style="44"/>
  </cols>
  <sheetData>
    <row r="1" spans="1:13" s="37" customFormat="1" ht="18" customHeight="1" x14ac:dyDescent="0.25">
      <c r="A1" s="37" t="s">
        <v>1</v>
      </c>
      <c r="B1" s="37" t="s">
        <v>2</v>
      </c>
      <c r="C1" s="47" t="s">
        <v>4</v>
      </c>
      <c r="D1" s="37" t="s">
        <v>5</v>
      </c>
      <c r="E1" s="51" t="s">
        <v>60</v>
      </c>
      <c r="F1" s="37" t="s">
        <v>3</v>
      </c>
      <c r="G1" s="47" t="s">
        <v>6</v>
      </c>
      <c r="H1" s="37" t="s">
        <v>7</v>
      </c>
      <c r="I1" s="51" t="s">
        <v>61</v>
      </c>
      <c r="J1" s="37" t="s">
        <v>88</v>
      </c>
      <c r="K1" s="51" t="s">
        <v>38</v>
      </c>
      <c r="L1" s="47" t="s">
        <v>59</v>
      </c>
      <c r="M1" s="47" t="s">
        <v>87</v>
      </c>
    </row>
    <row r="2" spans="1:13" ht="18" customHeight="1" outlineLevel="1" x14ac:dyDescent="0.25">
      <c r="A2" s="121" t="s">
        <v>12</v>
      </c>
      <c r="B2" s="42">
        <v>42151</v>
      </c>
      <c r="C2" s="41">
        <v>5</v>
      </c>
      <c r="D2" s="43">
        <v>42.7</v>
      </c>
      <c r="E2" s="38">
        <f>C2*D2</f>
        <v>213.5</v>
      </c>
      <c r="F2" s="42">
        <v>42181</v>
      </c>
      <c r="G2" s="41">
        <v>5</v>
      </c>
      <c r="H2" s="43">
        <v>43.35</v>
      </c>
      <c r="I2" s="38">
        <f>G2*H2</f>
        <v>216.75</v>
      </c>
      <c r="J2" s="43"/>
      <c r="K2" s="38"/>
      <c r="L2" s="38"/>
      <c r="M2" s="52"/>
    </row>
    <row r="3" spans="1:13" ht="18" customHeight="1" outlineLevel="1" x14ac:dyDescent="0.25">
      <c r="A3" s="121"/>
      <c r="B3" s="42">
        <v>42153</v>
      </c>
      <c r="C3" s="41">
        <v>25</v>
      </c>
      <c r="D3" s="43">
        <v>41.6</v>
      </c>
      <c r="E3" s="38">
        <f>C3*D3</f>
        <v>1040</v>
      </c>
      <c r="F3" s="42">
        <v>42200</v>
      </c>
      <c r="G3" s="41">
        <v>10</v>
      </c>
      <c r="H3" s="43">
        <v>41.64</v>
      </c>
      <c r="I3" s="38">
        <f>G3*H3</f>
        <v>416.4</v>
      </c>
      <c r="J3" s="43"/>
      <c r="K3" s="38"/>
      <c r="L3" s="38"/>
      <c r="M3" s="52"/>
    </row>
    <row r="4" spans="1:13" ht="18" customHeight="1" outlineLevel="1" x14ac:dyDescent="0.25">
      <c r="A4" s="121"/>
      <c r="B4" s="42">
        <v>42166</v>
      </c>
      <c r="C4" s="41">
        <v>10</v>
      </c>
      <c r="D4" s="43">
        <v>40</v>
      </c>
      <c r="E4" s="38">
        <f>C4*D4</f>
        <v>400</v>
      </c>
      <c r="F4" s="42">
        <v>42201</v>
      </c>
      <c r="G4" s="41">
        <v>125</v>
      </c>
      <c r="H4" s="43">
        <v>42.6</v>
      </c>
      <c r="I4" s="38">
        <f>G4*H4</f>
        <v>5325</v>
      </c>
      <c r="J4" s="43"/>
      <c r="K4" s="38"/>
      <c r="L4" s="38"/>
      <c r="M4" s="52"/>
    </row>
    <row r="5" spans="1:13" ht="18" customHeight="1" outlineLevel="1" x14ac:dyDescent="0.25">
      <c r="A5" s="121"/>
      <c r="B5" s="42">
        <v>42166</v>
      </c>
      <c r="C5" s="41">
        <v>100</v>
      </c>
      <c r="D5" s="43">
        <v>39.799999999999997</v>
      </c>
      <c r="E5" s="38">
        <f>C5*D5</f>
        <v>3979.9999999999995</v>
      </c>
      <c r="F5" s="43"/>
      <c r="G5" s="41"/>
      <c r="H5" s="43"/>
      <c r="I5" s="38">
        <f>G5*H5</f>
        <v>0</v>
      </c>
      <c r="J5" s="43"/>
      <c r="K5" s="38"/>
      <c r="L5" s="38"/>
      <c r="M5" s="52"/>
    </row>
    <row r="6" spans="1:13" ht="18" customHeight="1" x14ac:dyDescent="0.25">
      <c r="A6" s="121"/>
      <c r="B6" s="42"/>
      <c r="C6" s="41">
        <f>SUM(C2:C5)</f>
        <v>140</v>
      </c>
      <c r="D6" s="43"/>
      <c r="E6" s="38">
        <f>SUM(E2:E5)</f>
        <v>5633.5</v>
      </c>
      <c r="F6" s="43"/>
      <c r="G6" s="41">
        <f t="shared" ref="G6" si="0">SUM(G2:G5)</f>
        <v>140</v>
      </c>
      <c r="H6" s="43"/>
      <c r="I6" s="38">
        <f>SUM(I2:I5)</f>
        <v>5958.15</v>
      </c>
      <c r="J6" s="43"/>
      <c r="K6" s="38"/>
      <c r="L6" s="38">
        <f>I6-E6</f>
        <v>324.64999999999964</v>
      </c>
      <c r="M6" s="52">
        <f>(L6+K6)/E6</f>
        <v>5.7628472530398447E-2</v>
      </c>
    </row>
    <row r="7" spans="1:13" ht="18" hidden="1" customHeight="1" outlineLevel="1" x14ac:dyDescent="0.25">
      <c r="A7" s="122" t="s">
        <v>48</v>
      </c>
      <c r="B7" s="45"/>
      <c r="C7" s="40"/>
      <c r="D7" s="45"/>
      <c r="E7" s="39"/>
      <c r="F7" s="45"/>
      <c r="G7" s="40"/>
      <c r="H7" s="45"/>
      <c r="I7" s="39"/>
      <c r="J7" s="45"/>
      <c r="K7" s="39"/>
      <c r="L7" s="39"/>
      <c r="M7" s="53"/>
    </row>
    <row r="8" spans="1:13" ht="18" hidden="1" customHeight="1" outlineLevel="1" x14ac:dyDescent="0.25">
      <c r="A8" s="122"/>
      <c r="B8" s="46">
        <v>42186</v>
      </c>
      <c r="C8" s="40">
        <v>10</v>
      </c>
      <c r="D8" s="45">
        <v>101.7</v>
      </c>
      <c r="E8" s="39">
        <f>C8*D8</f>
        <v>1017</v>
      </c>
      <c r="F8" s="46">
        <v>42186</v>
      </c>
      <c r="G8" s="40">
        <v>10</v>
      </c>
      <c r="H8" s="45">
        <v>103</v>
      </c>
      <c r="I8" s="39">
        <f>G8*H8</f>
        <v>1030</v>
      </c>
      <c r="J8" s="45"/>
      <c r="K8" s="39"/>
      <c r="L8" s="39"/>
      <c r="M8" s="53"/>
    </row>
    <row r="9" spans="1:13" ht="18" customHeight="1" collapsed="1" x14ac:dyDescent="0.25">
      <c r="A9" s="122"/>
      <c r="B9" s="46"/>
      <c r="C9" s="40">
        <f>SUM(C8)</f>
        <v>10</v>
      </c>
      <c r="D9" s="45"/>
      <c r="E9" s="39">
        <f>SUM(E8)</f>
        <v>1017</v>
      </c>
      <c r="F9" s="45"/>
      <c r="G9" s="40">
        <f>SUM(G8)</f>
        <v>10</v>
      </c>
      <c r="H9" s="45"/>
      <c r="I9" s="39">
        <f>SUM(I8)</f>
        <v>1030</v>
      </c>
      <c r="J9" s="45"/>
      <c r="K9" s="39"/>
      <c r="L9" s="39">
        <f>I9-E9</f>
        <v>13</v>
      </c>
      <c r="M9" s="53">
        <f>(L9+K9)/E9</f>
        <v>1.2782694198623401E-2</v>
      </c>
    </row>
    <row r="10" spans="1:13" ht="18" customHeight="1" outlineLevel="1" x14ac:dyDescent="0.25">
      <c r="A10" s="121" t="s">
        <v>29</v>
      </c>
      <c r="B10" s="43"/>
      <c r="C10" s="41"/>
      <c r="D10" s="43"/>
      <c r="E10" s="38"/>
      <c r="F10" s="43"/>
      <c r="G10" s="41"/>
      <c r="H10" s="43"/>
      <c r="I10" s="38"/>
      <c r="J10" s="43"/>
      <c r="K10" s="38"/>
      <c r="L10" s="38"/>
      <c r="M10" s="52"/>
    </row>
    <row r="11" spans="1:13" ht="18" customHeight="1" outlineLevel="1" x14ac:dyDescent="0.25">
      <c r="A11" s="121"/>
      <c r="B11" s="42">
        <v>42164</v>
      </c>
      <c r="C11" s="41">
        <v>5</v>
      </c>
      <c r="D11" s="43">
        <v>45.9</v>
      </c>
      <c r="E11" s="38">
        <f>C11*D11</f>
        <v>229.5</v>
      </c>
      <c r="F11" s="42">
        <v>42195</v>
      </c>
      <c r="G11" s="41">
        <v>20</v>
      </c>
      <c r="H11" s="43">
        <v>46.15</v>
      </c>
      <c r="I11" s="38">
        <f>G11*H11</f>
        <v>923</v>
      </c>
      <c r="J11" s="43"/>
      <c r="K11" s="38"/>
      <c r="L11" s="38"/>
      <c r="M11" s="52"/>
    </row>
    <row r="12" spans="1:13" ht="18" customHeight="1" outlineLevel="1" x14ac:dyDescent="0.25">
      <c r="A12" s="121"/>
      <c r="B12" s="42">
        <v>42184</v>
      </c>
      <c r="C12" s="41">
        <v>5</v>
      </c>
      <c r="D12" s="43">
        <v>44.5</v>
      </c>
      <c r="E12" s="38">
        <f>C12*D12</f>
        <v>222.5</v>
      </c>
      <c r="F12" s="43"/>
      <c r="G12" s="41"/>
      <c r="H12" s="43"/>
      <c r="I12" s="38"/>
      <c r="J12" s="43"/>
      <c r="K12" s="38"/>
      <c r="L12" s="38"/>
      <c r="M12" s="52"/>
    </row>
    <row r="13" spans="1:13" ht="18" customHeight="1" outlineLevel="1" x14ac:dyDescent="0.25">
      <c r="A13" s="121"/>
      <c r="B13" s="42">
        <v>42184</v>
      </c>
      <c r="C13" s="41">
        <v>10</v>
      </c>
      <c r="D13" s="43">
        <v>44.35</v>
      </c>
      <c r="E13" s="38">
        <f>C13*D13</f>
        <v>443.5</v>
      </c>
      <c r="F13" s="43"/>
      <c r="G13" s="41"/>
      <c r="H13" s="43"/>
      <c r="I13" s="38"/>
      <c r="J13" s="43"/>
      <c r="K13" s="38"/>
      <c r="L13" s="38"/>
      <c r="M13" s="52"/>
    </row>
    <row r="14" spans="1:13" ht="18" customHeight="1" x14ac:dyDescent="0.25">
      <c r="A14" s="121"/>
      <c r="B14" s="42"/>
      <c r="C14" s="41">
        <f>SUM(C11:C13)</f>
        <v>20</v>
      </c>
      <c r="D14" s="43"/>
      <c r="E14" s="38">
        <f t="shared" ref="E14:I14" si="1">SUM(E11:E13)</f>
        <v>895.5</v>
      </c>
      <c r="F14" s="43"/>
      <c r="G14" s="41">
        <f t="shared" si="1"/>
        <v>20</v>
      </c>
      <c r="H14" s="43"/>
      <c r="I14" s="38">
        <f t="shared" si="1"/>
        <v>923</v>
      </c>
      <c r="J14" s="43"/>
      <c r="K14" s="38"/>
      <c r="L14" s="38">
        <f>I14-E14</f>
        <v>27.5</v>
      </c>
      <c r="M14" s="52">
        <f>(L14+K14)/E14</f>
        <v>3.0709101060859854E-2</v>
      </c>
    </row>
    <row r="15" spans="1:13" ht="18" hidden="1" customHeight="1" outlineLevel="1" x14ac:dyDescent="0.25">
      <c r="A15" s="122" t="s">
        <v>30</v>
      </c>
      <c r="B15" s="45"/>
      <c r="C15" s="40"/>
      <c r="D15" s="45"/>
      <c r="E15" s="39"/>
      <c r="F15" s="45"/>
      <c r="G15" s="40"/>
      <c r="H15" s="45"/>
      <c r="I15" s="39"/>
      <c r="J15" s="45"/>
      <c r="K15" s="39"/>
      <c r="L15" s="39"/>
      <c r="M15" s="53"/>
    </row>
    <row r="16" spans="1:13" ht="18" hidden="1" customHeight="1" outlineLevel="1" x14ac:dyDescent="0.25">
      <c r="A16" s="122"/>
      <c r="B16" s="46">
        <v>42164</v>
      </c>
      <c r="C16" s="40">
        <v>10</v>
      </c>
      <c r="D16" s="45">
        <v>141.4</v>
      </c>
      <c r="E16" s="39">
        <f>C16*D16</f>
        <v>1414</v>
      </c>
      <c r="F16" s="46">
        <v>42216</v>
      </c>
      <c r="G16" s="40">
        <v>10</v>
      </c>
      <c r="H16" s="45">
        <v>143.35</v>
      </c>
      <c r="I16" s="39">
        <f>G16*H16</f>
        <v>1433.5</v>
      </c>
      <c r="J16" s="45"/>
      <c r="K16" s="39"/>
      <c r="L16" s="39"/>
      <c r="M16" s="53"/>
    </row>
    <row r="17" spans="1:13" ht="18" customHeight="1" collapsed="1" x14ac:dyDescent="0.25">
      <c r="A17" s="122"/>
      <c r="B17" s="46"/>
      <c r="C17" s="40">
        <f>SUM(C16)</f>
        <v>10</v>
      </c>
      <c r="D17" s="45"/>
      <c r="E17" s="39">
        <f>SUM(E16)</f>
        <v>1414</v>
      </c>
      <c r="F17" s="45"/>
      <c r="G17" s="40">
        <f>SUM(G16)</f>
        <v>10</v>
      </c>
      <c r="H17" s="45"/>
      <c r="I17" s="39">
        <f>SUM(I16)</f>
        <v>1433.5</v>
      </c>
      <c r="J17" s="45"/>
      <c r="K17" s="39"/>
      <c r="L17" s="39">
        <f>I17-E17</f>
        <v>19.5</v>
      </c>
      <c r="M17" s="53">
        <f>(L17+K17)/E17</f>
        <v>1.3790664780763792E-2</v>
      </c>
    </row>
    <row r="18" spans="1:13" ht="18" customHeight="1" outlineLevel="1" x14ac:dyDescent="0.25">
      <c r="A18" s="121" t="s">
        <v>8</v>
      </c>
      <c r="B18" s="43"/>
      <c r="C18" s="41"/>
      <c r="D18" s="43"/>
      <c r="E18" s="38"/>
      <c r="F18" s="43"/>
      <c r="G18" s="41"/>
      <c r="H18" s="43"/>
      <c r="I18" s="38"/>
      <c r="J18" s="43"/>
      <c r="K18" s="38"/>
      <c r="L18" s="38"/>
      <c r="M18" s="52"/>
    </row>
    <row r="19" spans="1:13" ht="18" customHeight="1" outlineLevel="1" x14ac:dyDescent="0.25">
      <c r="A19" s="121"/>
      <c r="B19" s="42">
        <v>42145</v>
      </c>
      <c r="C19" s="41">
        <v>50</v>
      </c>
      <c r="D19" s="43">
        <v>61.7</v>
      </c>
      <c r="E19" s="38">
        <f t="shared" ref="E19:E29" si="2">C19*D19</f>
        <v>3085</v>
      </c>
      <c r="F19" s="42">
        <v>42187</v>
      </c>
      <c r="G19" s="41">
        <v>300</v>
      </c>
      <c r="H19" s="43">
        <v>57.78</v>
      </c>
      <c r="I19" s="38">
        <f>G19*H19</f>
        <v>17334</v>
      </c>
      <c r="J19" s="42">
        <v>42185</v>
      </c>
      <c r="K19" s="38">
        <v>44.61</v>
      </c>
      <c r="L19" s="38"/>
      <c r="M19" s="52"/>
    </row>
    <row r="20" spans="1:13" ht="18" customHeight="1" outlineLevel="1" x14ac:dyDescent="0.25">
      <c r="A20" s="121"/>
      <c r="B20" s="42">
        <v>42146</v>
      </c>
      <c r="C20" s="41">
        <v>10</v>
      </c>
      <c r="D20" s="43">
        <v>61.37</v>
      </c>
      <c r="E20" s="38">
        <f t="shared" si="2"/>
        <v>613.69999999999993</v>
      </c>
      <c r="F20" s="42">
        <v>42216</v>
      </c>
      <c r="G20" s="41">
        <v>300</v>
      </c>
      <c r="H20" s="43">
        <v>62</v>
      </c>
      <c r="I20" s="38">
        <f>G20*H20</f>
        <v>18600</v>
      </c>
      <c r="J20" s="43"/>
      <c r="K20" s="38"/>
      <c r="L20" s="38"/>
      <c r="M20" s="52"/>
    </row>
    <row r="21" spans="1:13" ht="18" customHeight="1" outlineLevel="1" x14ac:dyDescent="0.25">
      <c r="A21" s="121"/>
      <c r="B21" s="42">
        <v>42146</v>
      </c>
      <c r="C21" s="41">
        <v>20</v>
      </c>
      <c r="D21" s="43">
        <v>61.12</v>
      </c>
      <c r="E21" s="38">
        <f t="shared" si="2"/>
        <v>1222.3999999999999</v>
      </c>
      <c r="F21" s="43"/>
      <c r="G21" s="41"/>
      <c r="H21" s="43"/>
      <c r="I21" s="38"/>
      <c r="J21" s="43"/>
      <c r="K21" s="38"/>
      <c r="L21" s="38"/>
      <c r="M21" s="52"/>
    </row>
    <row r="22" spans="1:13" ht="18" customHeight="1" outlineLevel="1" x14ac:dyDescent="0.25">
      <c r="A22" s="121"/>
      <c r="B22" s="42">
        <v>42146</v>
      </c>
      <c r="C22" s="41">
        <v>20</v>
      </c>
      <c r="D22" s="43">
        <v>61.1</v>
      </c>
      <c r="E22" s="38">
        <f t="shared" si="2"/>
        <v>1222</v>
      </c>
      <c r="F22" s="43"/>
      <c r="G22" s="41"/>
      <c r="H22" s="43"/>
      <c r="I22" s="38"/>
      <c r="J22" s="43"/>
      <c r="K22" s="38"/>
      <c r="L22" s="38"/>
      <c r="M22" s="52"/>
    </row>
    <row r="23" spans="1:13" ht="18" customHeight="1" outlineLevel="1" x14ac:dyDescent="0.25">
      <c r="A23" s="121"/>
      <c r="B23" s="42">
        <v>42146</v>
      </c>
      <c r="C23" s="41">
        <v>10</v>
      </c>
      <c r="D23" s="43">
        <v>60.8</v>
      </c>
      <c r="E23" s="38">
        <f t="shared" si="2"/>
        <v>608</v>
      </c>
      <c r="F23" s="43"/>
      <c r="G23" s="41"/>
      <c r="H23" s="43"/>
      <c r="I23" s="38"/>
      <c r="J23" s="43"/>
      <c r="K23" s="38"/>
      <c r="L23" s="38"/>
      <c r="M23" s="52"/>
    </row>
    <row r="24" spans="1:13" ht="18" customHeight="1" outlineLevel="1" x14ac:dyDescent="0.25">
      <c r="A24" s="121"/>
      <c r="B24" s="42">
        <v>42146</v>
      </c>
      <c r="C24" s="41">
        <v>20</v>
      </c>
      <c r="D24" s="43">
        <v>60.7</v>
      </c>
      <c r="E24" s="38">
        <f t="shared" si="2"/>
        <v>1214</v>
      </c>
      <c r="F24" s="43"/>
      <c r="G24" s="41"/>
      <c r="H24" s="43"/>
      <c r="I24" s="38"/>
      <c r="J24" s="43"/>
      <c r="K24" s="38"/>
      <c r="L24" s="38"/>
      <c r="M24" s="52"/>
    </row>
    <row r="25" spans="1:13" ht="18" customHeight="1" outlineLevel="1" x14ac:dyDescent="0.25">
      <c r="A25" s="121"/>
      <c r="B25" s="42">
        <v>42150</v>
      </c>
      <c r="C25" s="41">
        <v>20</v>
      </c>
      <c r="D25" s="43">
        <v>60.6</v>
      </c>
      <c r="E25" s="38">
        <f t="shared" si="2"/>
        <v>1212</v>
      </c>
      <c r="F25" s="43"/>
      <c r="G25" s="41"/>
      <c r="H25" s="43"/>
      <c r="I25" s="38"/>
      <c r="J25" s="43"/>
      <c r="K25" s="38"/>
      <c r="L25" s="38"/>
      <c r="M25" s="52"/>
    </row>
    <row r="26" spans="1:13" ht="18" customHeight="1" outlineLevel="1" x14ac:dyDescent="0.25">
      <c r="A26" s="121"/>
      <c r="B26" s="42">
        <v>42152</v>
      </c>
      <c r="C26" s="41">
        <v>30</v>
      </c>
      <c r="D26" s="43">
        <v>60.33</v>
      </c>
      <c r="E26" s="38">
        <f t="shared" si="2"/>
        <v>1809.8999999999999</v>
      </c>
      <c r="F26" s="43"/>
      <c r="G26" s="41"/>
      <c r="H26" s="43"/>
      <c r="I26" s="38"/>
      <c r="J26" s="43"/>
      <c r="K26" s="38"/>
      <c r="L26" s="38"/>
      <c r="M26" s="52"/>
    </row>
    <row r="27" spans="1:13" ht="18" customHeight="1" outlineLevel="1" x14ac:dyDescent="0.25">
      <c r="A27" s="121"/>
      <c r="B27" s="42">
        <v>42152</v>
      </c>
      <c r="C27" s="41">
        <v>30</v>
      </c>
      <c r="D27" s="43">
        <v>60.39</v>
      </c>
      <c r="E27" s="38">
        <f t="shared" si="2"/>
        <v>1811.7</v>
      </c>
      <c r="F27" s="43"/>
      <c r="G27" s="41"/>
      <c r="H27" s="43"/>
      <c r="I27" s="38"/>
      <c r="J27" s="43"/>
      <c r="K27" s="38"/>
      <c r="L27" s="38"/>
      <c r="M27" s="52"/>
    </row>
    <row r="28" spans="1:13" ht="18" customHeight="1" outlineLevel="1" x14ac:dyDescent="0.25">
      <c r="A28" s="121"/>
      <c r="B28" s="42">
        <v>42166</v>
      </c>
      <c r="C28" s="41">
        <v>100</v>
      </c>
      <c r="D28" s="43">
        <v>58</v>
      </c>
      <c r="E28" s="38">
        <f t="shared" si="2"/>
        <v>5800</v>
      </c>
      <c r="F28" s="43"/>
      <c r="G28" s="41"/>
      <c r="H28" s="43"/>
      <c r="I28" s="38"/>
      <c r="J28" s="43"/>
      <c r="K28" s="38"/>
      <c r="L28" s="38"/>
      <c r="M28" s="52"/>
    </row>
    <row r="29" spans="1:13" ht="18" customHeight="1" outlineLevel="1" x14ac:dyDescent="0.25">
      <c r="A29" s="121"/>
      <c r="B29" s="42">
        <v>42187</v>
      </c>
      <c r="C29" s="41">
        <v>290</v>
      </c>
      <c r="D29" s="43">
        <v>57.85</v>
      </c>
      <c r="E29" s="38">
        <f t="shared" si="2"/>
        <v>16776.5</v>
      </c>
      <c r="F29" s="43"/>
      <c r="G29" s="41"/>
      <c r="H29" s="43"/>
      <c r="I29" s="38"/>
      <c r="J29" s="43"/>
      <c r="K29" s="38"/>
      <c r="L29" s="38"/>
      <c r="M29" s="52"/>
    </row>
    <row r="30" spans="1:13" ht="18" customHeight="1" x14ac:dyDescent="0.25">
      <c r="A30" s="121"/>
      <c r="B30" s="42"/>
      <c r="C30" s="41">
        <f>SUM(C19:C29)</f>
        <v>600</v>
      </c>
      <c r="D30" s="43"/>
      <c r="E30" s="38">
        <f>SUM(E19:E29)</f>
        <v>35375.199999999997</v>
      </c>
      <c r="F30" s="43"/>
      <c r="G30" s="41">
        <f>SUM(G19:G29)</f>
        <v>600</v>
      </c>
      <c r="H30" s="43"/>
      <c r="I30" s="38">
        <f>SUM(I19:I29)</f>
        <v>35934</v>
      </c>
      <c r="J30" s="43"/>
      <c r="K30" s="38">
        <f>SUM(K19:K29)</f>
        <v>44.61</v>
      </c>
      <c r="L30" s="38">
        <f>I30-E30</f>
        <v>558.80000000000291</v>
      </c>
      <c r="M30" s="52">
        <f>(L30+K30)/E30</f>
        <v>1.7057430063999721E-2</v>
      </c>
    </row>
    <row r="31" spans="1:13" ht="18" hidden="1" customHeight="1" outlineLevel="1" x14ac:dyDescent="0.25">
      <c r="A31" s="122" t="s">
        <v>40</v>
      </c>
      <c r="B31" s="45"/>
      <c r="C31" s="40"/>
      <c r="D31" s="45"/>
      <c r="E31" s="39"/>
      <c r="F31" s="45"/>
      <c r="G31" s="40"/>
      <c r="H31" s="45"/>
      <c r="I31" s="39"/>
      <c r="J31" s="45"/>
      <c r="K31" s="39"/>
      <c r="L31" s="39"/>
      <c r="M31" s="53"/>
    </row>
    <row r="32" spans="1:13" ht="18" hidden="1" customHeight="1" outlineLevel="1" x14ac:dyDescent="0.25">
      <c r="A32" s="122"/>
      <c r="B32" s="46">
        <v>42184</v>
      </c>
      <c r="C32" s="40">
        <v>20</v>
      </c>
      <c r="D32" s="45">
        <v>164.18</v>
      </c>
      <c r="E32" s="39">
        <f>C32*D32</f>
        <v>3283.6000000000004</v>
      </c>
      <c r="F32" s="46">
        <v>42216</v>
      </c>
      <c r="G32" s="40">
        <v>20</v>
      </c>
      <c r="H32" s="45">
        <v>158</v>
      </c>
      <c r="I32" s="39">
        <f>G32*H32</f>
        <v>3160</v>
      </c>
      <c r="J32" s="45"/>
      <c r="K32" s="39"/>
      <c r="L32" s="39"/>
      <c r="M32" s="40"/>
    </row>
    <row r="33" spans="1:13" ht="18" hidden="1" customHeight="1" outlineLevel="1" x14ac:dyDescent="0.25">
      <c r="A33" s="122"/>
      <c r="B33" s="46">
        <v>42209</v>
      </c>
      <c r="C33" s="40">
        <v>10</v>
      </c>
      <c r="D33" s="45">
        <v>148</v>
      </c>
      <c r="E33" s="39">
        <f>C33*D33</f>
        <v>1480</v>
      </c>
      <c r="F33" s="46">
        <v>42235</v>
      </c>
      <c r="G33" s="40">
        <v>20</v>
      </c>
      <c r="H33" s="45">
        <v>159.80000000000001</v>
      </c>
      <c r="I33" s="39">
        <f>G33*H33</f>
        <v>3196</v>
      </c>
      <c r="J33" s="45"/>
      <c r="K33" s="39"/>
      <c r="L33" s="39"/>
      <c r="M33" s="40"/>
    </row>
    <row r="34" spans="1:13" ht="18" hidden="1" customHeight="1" outlineLevel="1" x14ac:dyDescent="0.25">
      <c r="A34" s="122"/>
      <c r="B34" s="46">
        <v>42209</v>
      </c>
      <c r="C34" s="40">
        <v>10</v>
      </c>
      <c r="D34" s="45">
        <v>146.69999999999999</v>
      </c>
      <c r="E34" s="39">
        <f>C34*D34</f>
        <v>1467</v>
      </c>
      <c r="F34" s="45"/>
      <c r="G34" s="40"/>
      <c r="H34" s="45"/>
      <c r="I34" s="39"/>
      <c r="J34" s="45"/>
      <c r="K34" s="39"/>
      <c r="L34" s="39"/>
      <c r="M34" s="40"/>
    </row>
    <row r="35" spans="1:13" ht="18" customHeight="1" collapsed="1" x14ac:dyDescent="0.25">
      <c r="A35" s="122"/>
      <c r="B35" s="45"/>
      <c r="C35" s="40">
        <f>SUM(C32:C34)</f>
        <v>40</v>
      </c>
      <c r="D35" s="45"/>
      <c r="E35" s="39">
        <f>SUM(E32:E34)</f>
        <v>6230.6</v>
      </c>
      <c r="F35" s="45"/>
      <c r="G35" s="40">
        <f>SUM(G32:G34)</f>
        <v>40</v>
      </c>
      <c r="H35" s="45"/>
      <c r="I35" s="39">
        <f>SUM(I32:I34)</f>
        <v>6356</v>
      </c>
      <c r="J35" s="45"/>
      <c r="K35" s="39"/>
      <c r="L35" s="39">
        <f t="shared" ref="L35" si="3">I35-E35</f>
        <v>125.39999999999964</v>
      </c>
      <c r="M35" s="53">
        <f>(L35+K35)/E35</f>
        <v>2.012647257085989E-2</v>
      </c>
    </row>
    <row r="36" spans="1:13" ht="18" customHeight="1" outlineLevel="1" x14ac:dyDescent="0.25">
      <c r="A36" s="121" t="s">
        <v>32</v>
      </c>
      <c r="B36" s="43"/>
      <c r="C36" s="41"/>
      <c r="D36" s="43"/>
      <c r="E36" s="38"/>
      <c r="F36" s="43"/>
      <c r="G36" s="41"/>
      <c r="H36" s="43"/>
      <c r="I36" s="38"/>
      <c r="J36" s="43"/>
      <c r="K36" s="38"/>
      <c r="L36" s="38"/>
      <c r="M36" s="52"/>
    </row>
    <row r="37" spans="1:13" ht="18" customHeight="1" outlineLevel="1" x14ac:dyDescent="0.25">
      <c r="A37" s="121"/>
      <c r="B37" s="42">
        <v>42166</v>
      </c>
      <c r="C37" s="41">
        <v>25</v>
      </c>
      <c r="D37" s="43">
        <v>41.2</v>
      </c>
      <c r="E37" s="38">
        <f>C37*D37</f>
        <v>1030</v>
      </c>
      <c r="F37" s="42">
        <v>42200</v>
      </c>
      <c r="G37" s="41">
        <v>50</v>
      </c>
      <c r="H37" s="43">
        <v>42.08</v>
      </c>
      <c r="I37" s="38">
        <f>G37*H37</f>
        <v>2104</v>
      </c>
      <c r="J37" s="43"/>
      <c r="K37" s="38"/>
      <c r="L37" s="38"/>
      <c r="M37" s="52"/>
    </row>
    <row r="38" spans="1:13" ht="18" customHeight="1" outlineLevel="1" x14ac:dyDescent="0.25">
      <c r="A38" s="121"/>
      <c r="B38" s="42">
        <v>42167</v>
      </c>
      <c r="C38" s="41">
        <v>25</v>
      </c>
      <c r="D38" s="43">
        <v>39.1</v>
      </c>
      <c r="E38" s="38">
        <f>C38*D38</f>
        <v>977.5</v>
      </c>
      <c r="F38" s="43"/>
      <c r="G38" s="41"/>
      <c r="H38" s="43"/>
      <c r="I38" s="38"/>
      <c r="J38" s="43"/>
      <c r="K38" s="38"/>
      <c r="L38" s="38"/>
      <c r="M38" s="52"/>
    </row>
    <row r="39" spans="1:13" ht="18" customHeight="1" x14ac:dyDescent="0.25">
      <c r="A39" s="121"/>
      <c r="B39" s="42"/>
      <c r="C39" s="41">
        <f>SUM(C37:C38)</f>
        <v>50</v>
      </c>
      <c r="D39" s="43"/>
      <c r="E39" s="38">
        <f>SUM(E37:E38)</f>
        <v>2007.5</v>
      </c>
      <c r="F39" s="43"/>
      <c r="G39" s="41">
        <f>SUM(G37:G38)</f>
        <v>50</v>
      </c>
      <c r="H39" s="43"/>
      <c r="I39" s="38">
        <f>SUM(I37:I38)</f>
        <v>2104</v>
      </c>
      <c r="J39" s="43"/>
      <c r="K39" s="38"/>
      <c r="L39" s="38">
        <f>I39-E39</f>
        <v>96.5</v>
      </c>
      <c r="M39" s="52">
        <f>(L39+K39)/E39</f>
        <v>4.8069738480697385E-2</v>
      </c>
    </row>
    <row r="40" spans="1:13" ht="18" hidden="1" customHeight="1" outlineLevel="1" x14ac:dyDescent="0.25">
      <c r="A40" s="122" t="s">
        <v>16</v>
      </c>
      <c r="B40" s="45"/>
      <c r="C40" s="40"/>
      <c r="D40" s="45"/>
      <c r="E40" s="39"/>
      <c r="F40" s="45"/>
      <c r="G40" s="40"/>
      <c r="H40" s="45"/>
      <c r="I40" s="39"/>
      <c r="J40" s="45"/>
      <c r="K40" s="39"/>
      <c r="L40" s="39"/>
      <c r="M40" s="53"/>
    </row>
    <row r="41" spans="1:13" ht="18" hidden="1" customHeight="1" outlineLevel="1" x14ac:dyDescent="0.25">
      <c r="A41" s="122"/>
      <c r="B41" s="46">
        <v>42153</v>
      </c>
      <c r="C41" s="40">
        <v>1</v>
      </c>
      <c r="D41" s="45">
        <v>20.3</v>
      </c>
      <c r="E41" s="39">
        <f>C41*D41</f>
        <v>20.3</v>
      </c>
      <c r="F41" s="46">
        <v>42187</v>
      </c>
      <c r="G41" s="40">
        <v>1</v>
      </c>
      <c r="H41" s="45">
        <v>28.5</v>
      </c>
      <c r="I41" s="39">
        <f>G41*H41</f>
        <v>28.5</v>
      </c>
      <c r="J41" s="45"/>
      <c r="K41" s="39"/>
      <c r="L41" s="39"/>
      <c r="M41" s="53"/>
    </row>
    <row r="42" spans="1:13" ht="18" customHeight="1" collapsed="1" x14ac:dyDescent="0.25">
      <c r="A42" s="122"/>
      <c r="B42" s="45"/>
      <c r="C42" s="40">
        <f>SUM(C41)</f>
        <v>1</v>
      </c>
      <c r="D42" s="45"/>
      <c r="E42" s="39">
        <f>SUM(E41)</f>
        <v>20.3</v>
      </c>
      <c r="F42" s="45"/>
      <c r="G42" s="40">
        <f>SUM(G41)</f>
        <v>1</v>
      </c>
      <c r="H42" s="45"/>
      <c r="I42" s="39">
        <f>SUM(I41)</f>
        <v>28.5</v>
      </c>
      <c r="J42" s="45"/>
      <c r="K42" s="39"/>
      <c r="L42" s="39">
        <f>I42-E42</f>
        <v>8.1999999999999993</v>
      </c>
      <c r="M42" s="53">
        <f>(L42+K42)/E42</f>
        <v>0.40394088669950734</v>
      </c>
    </row>
    <row r="43" spans="1:13" ht="18" hidden="1" customHeight="1" outlineLevel="1" x14ac:dyDescent="0.25">
      <c r="A43" s="121" t="s">
        <v>21</v>
      </c>
      <c r="B43" s="43"/>
      <c r="C43" s="41"/>
      <c r="D43" s="43"/>
      <c r="E43" s="38"/>
      <c r="F43" s="43"/>
      <c r="G43" s="41"/>
      <c r="H43" s="43"/>
      <c r="I43" s="38"/>
      <c r="J43" s="43"/>
      <c r="K43" s="38"/>
      <c r="L43" s="38"/>
      <c r="M43" s="52"/>
    </row>
    <row r="44" spans="1:13" ht="18" hidden="1" customHeight="1" outlineLevel="1" x14ac:dyDescent="0.25">
      <c r="A44" s="121"/>
      <c r="B44" s="42">
        <v>42153</v>
      </c>
      <c r="C44" s="41">
        <v>10</v>
      </c>
      <c r="D44" s="43">
        <v>17.399999999999999</v>
      </c>
      <c r="E44" s="38">
        <f>C44*D44</f>
        <v>174</v>
      </c>
      <c r="F44" s="42">
        <v>42186</v>
      </c>
      <c r="G44" s="41">
        <v>10</v>
      </c>
      <c r="H44" s="43">
        <v>24.2</v>
      </c>
      <c r="I44" s="38">
        <f>G44*H44</f>
        <v>242</v>
      </c>
      <c r="J44" s="43"/>
      <c r="K44" s="38"/>
      <c r="L44" s="38"/>
      <c r="M44" s="52"/>
    </row>
    <row r="45" spans="1:13" ht="18" hidden="1" customHeight="1" outlineLevel="1" x14ac:dyDescent="0.25">
      <c r="A45" s="121"/>
      <c r="B45" s="42">
        <v>42187</v>
      </c>
      <c r="C45" s="41">
        <v>1000</v>
      </c>
      <c r="D45" s="43">
        <v>22.12</v>
      </c>
      <c r="E45" s="38">
        <f>C45*D45</f>
        <v>22120</v>
      </c>
      <c r="F45" s="42">
        <v>42187</v>
      </c>
      <c r="G45" s="41">
        <v>4000</v>
      </c>
      <c r="H45" s="43">
        <v>21.81</v>
      </c>
      <c r="I45" s="38">
        <f>G45*H45</f>
        <v>87240</v>
      </c>
      <c r="J45" s="43"/>
      <c r="K45" s="38"/>
      <c r="L45" s="38"/>
      <c r="M45" s="52"/>
    </row>
    <row r="46" spans="1:13" ht="18" hidden="1" customHeight="1" outlineLevel="1" x14ac:dyDescent="0.25">
      <c r="A46" s="121"/>
      <c r="B46" s="42">
        <v>42187</v>
      </c>
      <c r="C46" s="41">
        <v>1000</v>
      </c>
      <c r="D46" s="43">
        <v>21.7</v>
      </c>
      <c r="E46" s="38">
        <f>C46*D46</f>
        <v>21700</v>
      </c>
      <c r="F46" s="42"/>
      <c r="G46" s="41"/>
      <c r="H46" s="43"/>
      <c r="I46" s="38">
        <f>G46*H46</f>
        <v>0</v>
      </c>
      <c r="J46" s="43"/>
      <c r="K46" s="38"/>
      <c r="L46" s="38"/>
      <c r="M46" s="52"/>
    </row>
    <row r="47" spans="1:13" ht="18" hidden="1" customHeight="1" outlineLevel="1" x14ac:dyDescent="0.25">
      <c r="A47" s="121"/>
      <c r="B47" s="42">
        <v>42187</v>
      </c>
      <c r="C47" s="41">
        <v>2000</v>
      </c>
      <c r="D47" s="43">
        <v>21.49</v>
      </c>
      <c r="E47" s="38">
        <f>C47*D47</f>
        <v>42980</v>
      </c>
      <c r="F47" s="42"/>
      <c r="G47" s="41"/>
      <c r="H47" s="43"/>
      <c r="I47" s="38">
        <f>G47*H47</f>
        <v>0</v>
      </c>
      <c r="J47" s="43"/>
      <c r="K47" s="38"/>
      <c r="L47" s="38"/>
      <c r="M47" s="52"/>
    </row>
    <row r="48" spans="1:13" ht="18" customHeight="1" collapsed="1" x14ac:dyDescent="0.25">
      <c r="A48" s="121"/>
      <c r="B48" s="42"/>
      <c r="C48" s="41">
        <f>SUM(C44:C47)</f>
        <v>4010</v>
      </c>
      <c r="D48" s="43"/>
      <c r="E48" s="38">
        <f>SUM(E44:E47)</f>
        <v>86974</v>
      </c>
      <c r="F48" s="43"/>
      <c r="G48" s="41">
        <f>SUM(G44:G47)</f>
        <v>4010</v>
      </c>
      <c r="H48" s="43"/>
      <c r="I48" s="38">
        <f>SUM(I44:I47)</f>
        <v>87482</v>
      </c>
      <c r="J48" s="43"/>
      <c r="K48" s="38"/>
      <c r="L48" s="38">
        <f>I48-E48</f>
        <v>508</v>
      </c>
      <c r="M48" s="52">
        <f>(L48+K48)/E48</f>
        <v>5.8408259939752112E-3</v>
      </c>
    </row>
    <row r="49" spans="1:13" ht="18" hidden="1" customHeight="1" outlineLevel="1" x14ac:dyDescent="0.25">
      <c r="A49" s="122" t="s">
        <v>9</v>
      </c>
      <c r="B49" s="45"/>
      <c r="C49" s="40"/>
      <c r="D49" s="45"/>
      <c r="E49" s="39"/>
      <c r="F49" s="45"/>
      <c r="G49" s="40"/>
      <c r="H49" s="45"/>
      <c r="I49" s="39"/>
      <c r="J49" s="45"/>
      <c r="K49" s="39"/>
      <c r="L49" s="40"/>
      <c r="M49" s="40"/>
    </row>
    <row r="50" spans="1:13" ht="18" hidden="1" customHeight="1" outlineLevel="1" x14ac:dyDescent="0.25">
      <c r="A50" s="122"/>
      <c r="B50" s="46">
        <v>42145</v>
      </c>
      <c r="C50" s="40">
        <v>100</v>
      </c>
      <c r="D50" s="45">
        <v>5.55</v>
      </c>
      <c r="E50" s="39">
        <f>C50*D50</f>
        <v>555</v>
      </c>
      <c r="F50" s="46">
        <v>42187</v>
      </c>
      <c r="G50" s="40">
        <v>4200</v>
      </c>
      <c r="H50" s="45">
        <v>5.0199999999999996</v>
      </c>
      <c r="I50" s="39">
        <f>G50*H50</f>
        <v>21084</v>
      </c>
      <c r="J50" s="46">
        <v>42185</v>
      </c>
      <c r="K50" s="39">
        <v>656.25</v>
      </c>
      <c r="L50" s="40"/>
      <c r="M50" s="40"/>
    </row>
    <row r="51" spans="1:13" ht="18" hidden="1" customHeight="1" outlineLevel="1" x14ac:dyDescent="0.25">
      <c r="A51" s="122"/>
      <c r="B51" s="46">
        <v>42146</v>
      </c>
      <c r="C51" s="40">
        <v>100</v>
      </c>
      <c r="D51" s="45">
        <v>5.47</v>
      </c>
      <c r="E51" s="39">
        <f t="shared" ref="E51:E79" si="4">C51*D51</f>
        <v>547</v>
      </c>
      <c r="F51" s="46">
        <v>42207</v>
      </c>
      <c r="G51" s="40">
        <v>1000</v>
      </c>
      <c r="H51" s="45">
        <v>5.12</v>
      </c>
      <c r="I51" s="39">
        <f t="shared" ref="I51:I59" si="5">G51*H51</f>
        <v>5120</v>
      </c>
      <c r="J51" s="45"/>
      <c r="K51" s="39"/>
      <c r="L51" s="40"/>
      <c r="M51" s="40"/>
    </row>
    <row r="52" spans="1:13" ht="18" hidden="1" customHeight="1" outlineLevel="1" x14ac:dyDescent="0.25">
      <c r="A52" s="122"/>
      <c r="B52" s="46">
        <v>42146</v>
      </c>
      <c r="C52" s="40">
        <v>100</v>
      </c>
      <c r="D52" s="45">
        <v>5.43</v>
      </c>
      <c r="E52" s="39">
        <f t="shared" si="4"/>
        <v>543</v>
      </c>
      <c r="F52" s="46">
        <v>42207</v>
      </c>
      <c r="G52" s="40">
        <v>2000</v>
      </c>
      <c r="H52" s="45">
        <v>5.16</v>
      </c>
      <c r="I52" s="39">
        <f t="shared" si="5"/>
        <v>10320</v>
      </c>
      <c r="J52" s="45"/>
      <c r="K52" s="39"/>
      <c r="L52" s="40"/>
      <c r="M52" s="40"/>
    </row>
    <row r="53" spans="1:13" ht="18" hidden="1" customHeight="1" outlineLevel="1" x14ac:dyDescent="0.25">
      <c r="A53" s="122"/>
      <c r="B53" s="46">
        <v>42146</v>
      </c>
      <c r="C53" s="40">
        <v>100</v>
      </c>
      <c r="D53" s="45">
        <v>5.4</v>
      </c>
      <c r="E53" s="39">
        <f t="shared" si="4"/>
        <v>540</v>
      </c>
      <c r="F53" s="46">
        <v>42207</v>
      </c>
      <c r="G53" s="40">
        <v>1000</v>
      </c>
      <c r="H53" s="45">
        <v>5.07</v>
      </c>
      <c r="I53" s="39">
        <f t="shared" si="5"/>
        <v>5070</v>
      </c>
      <c r="J53" s="45"/>
      <c r="K53" s="39"/>
      <c r="L53" s="40"/>
      <c r="M53" s="40"/>
    </row>
    <row r="54" spans="1:13" ht="18" hidden="1" customHeight="1" outlineLevel="1" x14ac:dyDescent="0.25">
      <c r="A54" s="122"/>
      <c r="B54" s="46">
        <v>42146</v>
      </c>
      <c r="C54" s="40">
        <v>200</v>
      </c>
      <c r="D54" s="45">
        <v>5.35</v>
      </c>
      <c r="E54" s="39">
        <f t="shared" si="4"/>
        <v>1070</v>
      </c>
      <c r="F54" s="46">
        <v>42207</v>
      </c>
      <c r="G54" s="40">
        <v>1000</v>
      </c>
      <c r="H54" s="45">
        <v>5.09</v>
      </c>
      <c r="I54" s="39">
        <f t="shared" si="5"/>
        <v>5090</v>
      </c>
      <c r="J54" s="45"/>
      <c r="K54" s="39"/>
      <c r="L54" s="40"/>
      <c r="M54" s="40"/>
    </row>
    <row r="55" spans="1:13" ht="18" hidden="1" customHeight="1" outlineLevel="1" x14ac:dyDescent="0.25">
      <c r="A55" s="122"/>
      <c r="B55" s="46">
        <v>42152</v>
      </c>
      <c r="C55" s="40">
        <v>250</v>
      </c>
      <c r="D55" s="45">
        <v>5.3</v>
      </c>
      <c r="E55" s="39">
        <f t="shared" si="4"/>
        <v>1325</v>
      </c>
      <c r="F55" s="46">
        <v>42207</v>
      </c>
      <c r="G55" s="40">
        <v>2000</v>
      </c>
      <c r="H55" s="45">
        <v>5.23</v>
      </c>
      <c r="I55" s="39">
        <f t="shared" si="5"/>
        <v>10460</v>
      </c>
      <c r="J55" s="45"/>
      <c r="K55" s="39"/>
      <c r="L55" s="40"/>
      <c r="M55" s="40"/>
    </row>
    <row r="56" spans="1:13" ht="18" hidden="1" customHeight="1" outlineLevel="1" x14ac:dyDescent="0.25">
      <c r="A56" s="122"/>
      <c r="B56" s="46">
        <v>42152</v>
      </c>
      <c r="C56" s="40">
        <v>200</v>
      </c>
      <c r="D56" s="45">
        <v>5.26</v>
      </c>
      <c r="E56" s="39">
        <f t="shared" si="4"/>
        <v>1052</v>
      </c>
      <c r="F56" s="46">
        <v>42222</v>
      </c>
      <c r="G56" s="40">
        <v>5000</v>
      </c>
      <c r="H56" s="45">
        <v>5.12</v>
      </c>
      <c r="I56" s="39">
        <f t="shared" si="5"/>
        <v>25600</v>
      </c>
      <c r="J56" s="45"/>
      <c r="K56" s="39"/>
      <c r="L56" s="40"/>
      <c r="M56" s="40"/>
    </row>
    <row r="57" spans="1:13" ht="18" hidden="1" customHeight="1" outlineLevel="1" x14ac:dyDescent="0.25">
      <c r="A57" s="122"/>
      <c r="B57" s="46">
        <v>42152</v>
      </c>
      <c r="C57" s="40">
        <v>200</v>
      </c>
      <c r="D57" s="45">
        <v>5.22</v>
      </c>
      <c r="E57" s="39">
        <f t="shared" si="4"/>
        <v>1044</v>
      </c>
      <c r="F57" s="46">
        <v>42222</v>
      </c>
      <c r="G57" s="40">
        <v>1000</v>
      </c>
      <c r="H57" s="45">
        <v>5.1100000000000003</v>
      </c>
      <c r="I57" s="39">
        <f t="shared" si="5"/>
        <v>5110</v>
      </c>
      <c r="J57" s="45"/>
      <c r="K57" s="39"/>
      <c r="L57" s="40"/>
      <c r="M57" s="40"/>
    </row>
    <row r="58" spans="1:13" ht="18" hidden="1" customHeight="1" outlineLevel="1" x14ac:dyDescent="0.25">
      <c r="A58" s="122"/>
      <c r="B58" s="46">
        <v>42152</v>
      </c>
      <c r="C58" s="40">
        <v>1000</v>
      </c>
      <c r="D58" s="45">
        <v>5.19</v>
      </c>
      <c r="E58" s="39">
        <f t="shared" si="4"/>
        <v>5190</v>
      </c>
      <c r="F58" s="46">
        <v>42223</v>
      </c>
      <c r="G58" s="40">
        <v>1950</v>
      </c>
      <c r="H58" s="45">
        <v>5.2</v>
      </c>
      <c r="I58" s="39">
        <f t="shared" si="5"/>
        <v>10140</v>
      </c>
      <c r="J58" s="45"/>
      <c r="K58" s="39"/>
      <c r="L58" s="40"/>
      <c r="M58" s="40"/>
    </row>
    <row r="59" spans="1:13" ht="18" hidden="1" customHeight="1" outlineLevel="1" x14ac:dyDescent="0.25">
      <c r="A59" s="122"/>
      <c r="B59" s="46">
        <v>42152</v>
      </c>
      <c r="C59" s="40">
        <v>2000</v>
      </c>
      <c r="D59" s="45">
        <v>5.17</v>
      </c>
      <c r="E59" s="39">
        <f t="shared" si="4"/>
        <v>10340</v>
      </c>
      <c r="F59" s="46">
        <v>42229</v>
      </c>
      <c r="G59" s="40">
        <v>50</v>
      </c>
      <c r="H59" s="45">
        <v>5.28</v>
      </c>
      <c r="I59" s="39">
        <f t="shared" si="5"/>
        <v>264</v>
      </c>
      <c r="J59" s="45"/>
      <c r="K59" s="39"/>
      <c r="L59" s="40"/>
      <c r="M59" s="40"/>
    </row>
    <row r="60" spans="1:13" ht="18" hidden="1" customHeight="1" outlineLevel="1" x14ac:dyDescent="0.25">
      <c r="A60" s="122"/>
      <c r="B60" s="46">
        <v>42152</v>
      </c>
      <c r="C60" s="40">
        <v>2000</v>
      </c>
      <c r="D60" s="45">
        <v>5.15</v>
      </c>
      <c r="E60" s="39">
        <f t="shared" si="4"/>
        <v>10300</v>
      </c>
      <c r="F60" s="45"/>
      <c r="G60" s="40"/>
      <c r="H60" s="45"/>
      <c r="I60" s="39"/>
      <c r="J60" s="45"/>
      <c r="K60" s="39"/>
      <c r="L60" s="40"/>
      <c r="M60" s="40"/>
    </row>
    <row r="61" spans="1:13" ht="18" hidden="1" customHeight="1" outlineLevel="1" x14ac:dyDescent="0.25">
      <c r="A61" s="122"/>
      <c r="B61" s="46">
        <v>42158</v>
      </c>
      <c r="C61" s="40">
        <v>500</v>
      </c>
      <c r="D61" s="45">
        <v>5.09</v>
      </c>
      <c r="E61" s="39">
        <f t="shared" si="4"/>
        <v>2545</v>
      </c>
      <c r="F61" s="45"/>
      <c r="G61" s="40"/>
      <c r="H61" s="45"/>
      <c r="I61" s="39"/>
      <c r="J61" s="45"/>
      <c r="K61" s="39"/>
      <c r="L61" s="40"/>
      <c r="M61" s="40"/>
    </row>
    <row r="62" spans="1:13" ht="18" hidden="1" customHeight="1" outlineLevel="1" x14ac:dyDescent="0.25">
      <c r="A62" s="122"/>
      <c r="B62" s="46">
        <v>42158</v>
      </c>
      <c r="C62" s="40">
        <v>1000</v>
      </c>
      <c r="D62" s="45">
        <v>5.04</v>
      </c>
      <c r="E62" s="39">
        <f t="shared" si="4"/>
        <v>5040</v>
      </c>
      <c r="F62" s="45"/>
      <c r="G62" s="40"/>
      <c r="H62" s="45"/>
      <c r="I62" s="39"/>
      <c r="J62" s="45"/>
      <c r="K62" s="39"/>
      <c r="L62" s="40"/>
      <c r="M62" s="40"/>
    </row>
    <row r="63" spans="1:13" ht="18" hidden="1" customHeight="1" outlineLevel="1" x14ac:dyDescent="0.25">
      <c r="A63" s="122"/>
      <c r="B63" s="46">
        <v>42158</v>
      </c>
      <c r="C63" s="40">
        <v>200</v>
      </c>
      <c r="D63" s="45">
        <v>5.05</v>
      </c>
      <c r="E63" s="39">
        <f t="shared" si="4"/>
        <v>1010</v>
      </c>
      <c r="F63" s="45"/>
      <c r="G63" s="40"/>
      <c r="H63" s="45"/>
      <c r="I63" s="39"/>
      <c r="J63" s="45"/>
      <c r="K63" s="39"/>
      <c r="L63" s="40"/>
      <c r="M63" s="40"/>
    </row>
    <row r="64" spans="1:13" ht="18" hidden="1" customHeight="1" outlineLevel="1" x14ac:dyDescent="0.25">
      <c r="A64" s="122"/>
      <c r="B64" s="46">
        <v>42164</v>
      </c>
      <c r="C64" s="40">
        <v>500</v>
      </c>
      <c r="D64" s="45">
        <v>5.07</v>
      </c>
      <c r="E64" s="39">
        <f t="shared" si="4"/>
        <v>2535</v>
      </c>
      <c r="F64" s="45"/>
      <c r="G64" s="40"/>
      <c r="H64" s="45"/>
      <c r="I64" s="39"/>
      <c r="J64" s="45"/>
      <c r="K64" s="39"/>
      <c r="L64" s="40"/>
      <c r="M64" s="40"/>
    </row>
    <row r="65" spans="1:13" ht="18" hidden="1" customHeight="1" outlineLevel="1" x14ac:dyDescent="0.25">
      <c r="A65" s="122"/>
      <c r="B65" s="46">
        <v>42164</v>
      </c>
      <c r="C65" s="40">
        <v>1000</v>
      </c>
      <c r="D65" s="45">
        <v>5.04</v>
      </c>
      <c r="E65" s="39">
        <f t="shared" si="4"/>
        <v>5040</v>
      </c>
      <c r="F65" s="45"/>
      <c r="G65" s="40"/>
      <c r="H65" s="45"/>
      <c r="I65" s="39"/>
      <c r="J65" s="45"/>
      <c r="K65" s="39"/>
      <c r="L65" s="40"/>
      <c r="M65" s="40"/>
    </row>
    <row r="66" spans="1:13" ht="18" hidden="1" customHeight="1" outlineLevel="1" x14ac:dyDescent="0.25">
      <c r="A66" s="122"/>
      <c r="B66" s="46">
        <v>42164</v>
      </c>
      <c r="C66" s="40">
        <v>1000</v>
      </c>
      <c r="D66" s="45">
        <v>5.01</v>
      </c>
      <c r="E66" s="39">
        <f t="shared" si="4"/>
        <v>5010</v>
      </c>
      <c r="F66" s="45"/>
      <c r="G66" s="40"/>
      <c r="H66" s="45"/>
      <c r="I66" s="39"/>
      <c r="J66" s="45"/>
      <c r="K66" s="39"/>
      <c r="L66" s="40"/>
      <c r="M66" s="40"/>
    </row>
    <row r="67" spans="1:13" ht="18" hidden="1" customHeight="1" outlineLevel="1" x14ac:dyDescent="0.25">
      <c r="A67" s="122"/>
      <c r="B67" s="46">
        <v>42173</v>
      </c>
      <c r="C67" s="40">
        <v>500</v>
      </c>
      <c r="D67" s="45">
        <v>4.88</v>
      </c>
      <c r="E67" s="39">
        <f t="shared" si="4"/>
        <v>2440</v>
      </c>
      <c r="F67" s="45"/>
      <c r="G67" s="40"/>
      <c r="H67" s="45"/>
      <c r="I67" s="39"/>
      <c r="J67" s="45"/>
      <c r="K67" s="39"/>
      <c r="L67" s="40"/>
      <c r="M67" s="40"/>
    </row>
    <row r="68" spans="1:13" ht="18" hidden="1" customHeight="1" outlineLevel="1" x14ac:dyDescent="0.25">
      <c r="A68" s="122"/>
      <c r="B68" s="46">
        <v>42187</v>
      </c>
      <c r="C68" s="40">
        <v>2000</v>
      </c>
      <c r="D68" s="45">
        <v>4.9800000000000004</v>
      </c>
      <c r="E68" s="39">
        <f t="shared" si="4"/>
        <v>9960</v>
      </c>
      <c r="F68" s="45"/>
      <c r="G68" s="40"/>
      <c r="H68" s="45"/>
      <c r="I68" s="39"/>
      <c r="J68" s="45"/>
      <c r="K68" s="39"/>
      <c r="L68" s="40"/>
      <c r="M68" s="40"/>
    </row>
    <row r="69" spans="1:13" ht="18" hidden="1" customHeight="1" outlineLevel="1" x14ac:dyDescent="0.25">
      <c r="A69" s="122"/>
      <c r="B69" s="46">
        <v>42187</v>
      </c>
      <c r="C69" s="40">
        <v>100</v>
      </c>
      <c r="D69" s="45">
        <v>4.9800000000000004</v>
      </c>
      <c r="E69" s="39">
        <f t="shared" si="4"/>
        <v>498.00000000000006</v>
      </c>
      <c r="F69" s="45"/>
      <c r="G69" s="40"/>
      <c r="H69" s="45"/>
      <c r="I69" s="39"/>
      <c r="J69" s="45"/>
      <c r="K69" s="39"/>
      <c r="L69" s="40"/>
      <c r="M69" s="40"/>
    </row>
    <row r="70" spans="1:13" ht="18" hidden="1" customHeight="1" outlineLevel="1" x14ac:dyDescent="0.25">
      <c r="A70" s="122"/>
      <c r="B70" s="46">
        <v>42187</v>
      </c>
      <c r="C70" s="40">
        <v>100</v>
      </c>
      <c r="D70" s="45">
        <v>4.9800000000000004</v>
      </c>
      <c r="E70" s="39">
        <f t="shared" si="4"/>
        <v>498.00000000000006</v>
      </c>
      <c r="F70" s="45"/>
      <c r="G70" s="40"/>
      <c r="H70" s="45"/>
      <c r="I70" s="39"/>
      <c r="J70" s="45"/>
      <c r="K70" s="39"/>
      <c r="L70" s="40"/>
      <c r="M70" s="40"/>
    </row>
    <row r="71" spans="1:13" ht="18" hidden="1" customHeight="1" outlineLevel="1" x14ac:dyDescent="0.25">
      <c r="A71" s="122"/>
      <c r="B71" s="46">
        <v>42187</v>
      </c>
      <c r="C71" s="40">
        <v>2000</v>
      </c>
      <c r="D71" s="45">
        <v>4.97</v>
      </c>
      <c r="E71" s="39">
        <f t="shared" si="4"/>
        <v>9940</v>
      </c>
      <c r="F71" s="45"/>
      <c r="G71" s="40"/>
      <c r="H71" s="45"/>
      <c r="I71" s="39"/>
      <c r="J71" s="45"/>
      <c r="K71" s="39"/>
      <c r="L71" s="40"/>
      <c r="M71" s="40"/>
    </row>
    <row r="72" spans="1:13" ht="18" hidden="1" customHeight="1" outlineLevel="1" x14ac:dyDescent="0.25">
      <c r="A72" s="122"/>
      <c r="B72" s="46">
        <v>42199</v>
      </c>
      <c r="C72" s="40">
        <v>500</v>
      </c>
      <c r="D72" s="45">
        <v>4.8</v>
      </c>
      <c r="E72" s="39">
        <f t="shared" si="4"/>
        <v>2400</v>
      </c>
      <c r="F72" s="45"/>
      <c r="G72" s="40"/>
      <c r="H72" s="45"/>
      <c r="I72" s="39"/>
      <c r="J72" s="45"/>
      <c r="K72" s="39"/>
      <c r="L72" s="40"/>
      <c r="M72" s="40"/>
    </row>
    <row r="73" spans="1:13" ht="18" hidden="1" customHeight="1" outlineLevel="1" x14ac:dyDescent="0.25">
      <c r="A73" s="122"/>
      <c r="B73" s="46">
        <v>42212</v>
      </c>
      <c r="C73" s="40">
        <v>300</v>
      </c>
      <c r="D73" s="45">
        <v>4.76</v>
      </c>
      <c r="E73" s="39">
        <f t="shared" si="4"/>
        <v>1428</v>
      </c>
      <c r="F73" s="45"/>
      <c r="G73" s="40"/>
      <c r="H73" s="45"/>
      <c r="I73" s="39"/>
      <c r="J73" s="45"/>
      <c r="K73" s="39"/>
      <c r="L73" s="40"/>
      <c r="M73" s="40"/>
    </row>
    <row r="74" spans="1:13" ht="18" hidden="1" customHeight="1" outlineLevel="1" x14ac:dyDescent="0.25">
      <c r="A74" s="122"/>
      <c r="B74" s="46">
        <v>42212</v>
      </c>
      <c r="C74" s="40">
        <v>1700</v>
      </c>
      <c r="D74" s="45">
        <v>4.76</v>
      </c>
      <c r="E74" s="39">
        <f t="shared" si="4"/>
        <v>8092</v>
      </c>
      <c r="F74" s="45"/>
      <c r="G74" s="40"/>
      <c r="H74" s="45"/>
      <c r="I74" s="39"/>
      <c r="J74" s="45"/>
      <c r="K74" s="39"/>
      <c r="L74" s="40"/>
      <c r="M74" s="40"/>
    </row>
    <row r="75" spans="1:13" ht="18" hidden="1" customHeight="1" outlineLevel="1" x14ac:dyDescent="0.25">
      <c r="A75" s="122"/>
      <c r="B75" s="46">
        <v>42214</v>
      </c>
      <c r="C75" s="40">
        <v>500</v>
      </c>
      <c r="D75" s="45">
        <v>4.68</v>
      </c>
      <c r="E75" s="39">
        <f t="shared" si="4"/>
        <v>2340</v>
      </c>
      <c r="F75" s="45"/>
      <c r="G75" s="40"/>
      <c r="H75" s="45"/>
      <c r="I75" s="39"/>
      <c r="J75" s="45"/>
      <c r="K75" s="39"/>
      <c r="L75" s="40"/>
      <c r="M75" s="40"/>
    </row>
    <row r="76" spans="1:13" ht="18" hidden="1" customHeight="1" outlineLevel="1" x14ac:dyDescent="0.25">
      <c r="A76" s="122"/>
      <c r="B76" s="46">
        <v>42214</v>
      </c>
      <c r="C76" s="40">
        <v>50</v>
      </c>
      <c r="D76" s="45">
        <v>4.6500000000000004</v>
      </c>
      <c r="E76" s="39">
        <f t="shared" si="4"/>
        <v>232.50000000000003</v>
      </c>
      <c r="F76" s="45"/>
      <c r="G76" s="40"/>
      <c r="H76" s="45"/>
      <c r="I76" s="39"/>
      <c r="J76" s="45"/>
      <c r="K76" s="39"/>
      <c r="L76" s="40"/>
      <c r="M76" s="40"/>
    </row>
    <row r="77" spans="1:13" ht="18" hidden="1" customHeight="1" outlineLevel="1" x14ac:dyDescent="0.25">
      <c r="A77" s="122"/>
      <c r="B77" s="46">
        <v>42214</v>
      </c>
      <c r="C77" s="40">
        <v>200</v>
      </c>
      <c r="D77" s="45">
        <v>4.63</v>
      </c>
      <c r="E77" s="39">
        <f t="shared" si="4"/>
        <v>926</v>
      </c>
      <c r="F77" s="45"/>
      <c r="G77" s="40"/>
      <c r="H77" s="45"/>
      <c r="I77" s="39"/>
      <c r="J77" s="45"/>
      <c r="K77" s="39"/>
      <c r="L77" s="40"/>
      <c r="M77" s="40"/>
    </row>
    <row r="78" spans="1:13" ht="18" hidden="1" customHeight="1" outlineLevel="1" x14ac:dyDescent="0.25">
      <c r="A78" s="122"/>
      <c r="B78" s="46">
        <v>42214</v>
      </c>
      <c r="C78" s="40">
        <v>300</v>
      </c>
      <c r="D78" s="45">
        <v>4.59</v>
      </c>
      <c r="E78" s="39">
        <f t="shared" si="4"/>
        <v>1377</v>
      </c>
      <c r="F78" s="45"/>
      <c r="G78" s="40"/>
      <c r="H78" s="45"/>
      <c r="I78" s="39"/>
      <c r="J78" s="45"/>
      <c r="K78" s="39"/>
      <c r="L78" s="40"/>
      <c r="M78" s="40"/>
    </row>
    <row r="79" spans="1:13" ht="18" hidden="1" customHeight="1" outlineLevel="1" x14ac:dyDescent="0.25">
      <c r="A79" s="122"/>
      <c r="B79" s="46">
        <v>42214</v>
      </c>
      <c r="C79" s="40">
        <v>500</v>
      </c>
      <c r="D79" s="45">
        <v>4.54</v>
      </c>
      <c r="E79" s="39">
        <f t="shared" si="4"/>
        <v>2270</v>
      </c>
      <c r="F79" s="45"/>
      <c r="G79" s="40"/>
      <c r="H79" s="45"/>
      <c r="I79" s="39"/>
      <c r="J79" s="45"/>
      <c r="K79" s="39"/>
      <c r="L79" s="40"/>
      <c r="M79" s="40"/>
    </row>
    <row r="80" spans="1:13" ht="18" customHeight="1" collapsed="1" x14ac:dyDescent="0.25">
      <c r="A80" s="122"/>
      <c r="B80" s="45"/>
      <c r="C80" s="40">
        <f>SUM(C50:C79)</f>
        <v>19200</v>
      </c>
      <c r="D80" s="45"/>
      <c r="E80" s="39">
        <f>SUM(E50:E79)</f>
        <v>96087.5</v>
      </c>
      <c r="F80" s="45"/>
      <c r="G80" s="40">
        <f>SUM(G50:G79)</f>
        <v>19200</v>
      </c>
      <c r="H80" s="45"/>
      <c r="I80" s="39">
        <f>SUM(I50:I79)</f>
        <v>98258</v>
      </c>
      <c r="J80" s="45"/>
      <c r="K80" s="39">
        <f>SUM(K50:K79)</f>
        <v>656.25</v>
      </c>
      <c r="L80" s="39">
        <f>I80-E80</f>
        <v>2170.5</v>
      </c>
      <c r="M80" s="53">
        <f>(L80+K80)/E80</f>
        <v>2.9418498764147261E-2</v>
      </c>
    </row>
    <row r="81" spans="1:13" ht="18" hidden="1" customHeight="1" outlineLevel="1" x14ac:dyDescent="0.25">
      <c r="A81" s="121" t="s">
        <v>25</v>
      </c>
      <c r="B81" s="43"/>
      <c r="C81" s="41"/>
      <c r="D81" s="43"/>
      <c r="E81" s="38"/>
      <c r="F81" s="43"/>
      <c r="G81" s="41"/>
      <c r="H81" s="43"/>
      <c r="I81" s="38"/>
      <c r="J81" s="43"/>
      <c r="K81" s="38"/>
      <c r="L81" s="38"/>
      <c r="M81" s="52"/>
    </row>
    <row r="82" spans="1:13" ht="18" hidden="1" customHeight="1" outlineLevel="1" x14ac:dyDescent="0.25">
      <c r="A82" s="121"/>
      <c r="B82" s="42">
        <v>42163</v>
      </c>
      <c r="C82" s="41">
        <v>1</v>
      </c>
      <c r="D82" s="43">
        <v>117.3</v>
      </c>
      <c r="E82" s="38">
        <f>C82*D82</f>
        <v>117.3</v>
      </c>
      <c r="F82" s="42">
        <v>42186</v>
      </c>
      <c r="G82" s="41">
        <v>1</v>
      </c>
      <c r="H82" s="43">
        <v>121.6</v>
      </c>
      <c r="I82" s="38">
        <f>G82*H82</f>
        <v>121.6</v>
      </c>
      <c r="J82" s="43"/>
      <c r="K82" s="38"/>
      <c r="L82" s="38"/>
      <c r="M82" s="52"/>
    </row>
    <row r="83" spans="1:13" ht="18" customHeight="1" collapsed="1" x14ac:dyDescent="0.25">
      <c r="A83" s="121"/>
      <c r="B83" s="42"/>
      <c r="C83" s="41">
        <f>SUM(C82)</f>
        <v>1</v>
      </c>
      <c r="D83" s="43"/>
      <c r="E83" s="38">
        <f>SUM(E82)</f>
        <v>117.3</v>
      </c>
      <c r="F83" s="43"/>
      <c r="G83" s="41">
        <f>SUM(G82)</f>
        <v>1</v>
      </c>
      <c r="H83" s="43"/>
      <c r="I83" s="38">
        <f>SUM(I82)</f>
        <v>121.6</v>
      </c>
      <c r="J83" s="43"/>
      <c r="K83" s="38"/>
      <c r="L83" s="38">
        <f>I83-E83</f>
        <v>4.2999999999999972</v>
      </c>
      <c r="M83" s="52">
        <f>(L83+K83)/E83</f>
        <v>3.6658141517476532E-2</v>
      </c>
    </row>
    <row r="84" spans="1:13" ht="18" customHeight="1" outlineLevel="1" x14ac:dyDescent="0.25">
      <c r="A84" s="122" t="s">
        <v>36</v>
      </c>
      <c r="B84" s="45"/>
      <c r="C84" s="40"/>
      <c r="D84" s="45"/>
      <c r="E84" s="39"/>
      <c r="F84" s="45"/>
      <c r="G84" s="40"/>
      <c r="H84" s="45"/>
      <c r="I84" s="39"/>
      <c r="J84" s="45"/>
      <c r="K84" s="39"/>
      <c r="L84" s="39"/>
      <c r="M84" s="53"/>
    </row>
    <row r="85" spans="1:13" ht="18" customHeight="1" outlineLevel="1" x14ac:dyDescent="0.25">
      <c r="A85" s="122"/>
      <c r="B85" s="46">
        <v>42167</v>
      </c>
      <c r="C85" s="40">
        <v>25</v>
      </c>
      <c r="D85" s="45">
        <v>34.15</v>
      </c>
      <c r="E85" s="39">
        <f>C85*D85</f>
        <v>853.75</v>
      </c>
      <c r="F85" s="46">
        <v>42186</v>
      </c>
      <c r="G85" s="40">
        <v>35</v>
      </c>
      <c r="H85" s="45">
        <v>34.799999999999997</v>
      </c>
      <c r="I85" s="39">
        <f>G85*H85</f>
        <v>1218</v>
      </c>
      <c r="J85" s="45"/>
      <c r="K85" s="39"/>
      <c r="L85" s="39"/>
      <c r="M85" s="53"/>
    </row>
    <row r="86" spans="1:13" ht="18" customHeight="1" outlineLevel="1" x14ac:dyDescent="0.25">
      <c r="A86" s="122"/>
      <c r="B86" s="46">
        <v>42178</v>
      </c>
      <c r="C86" s="40">
        <v>10</v>
      </c>
      <c r="D86" s="45">
        <v>33.119999999999997</v>
      </c>
      <c r="E86" s="39">
        <f>C86*D86</f>
        <v>331.2</v>
      </c>
      <c r="F86" s="45"/>
      <c r="G86" s="40"/>
      <c r="H86" s="45"/>
      <c r="I86" s="39">
        <f>G86*H86</f>
        <v>0</v>
      </c>
      <c r="J86" s="45"/>
      <c r="K86" s="39"/>
      <c r="L86" s="39"/>
      <c r="M86" s="53"/>
    </row>
    <row r="87" spans="1:13" ht="18" customHeight="1" x14ac:dyDescent="0.25">
      <c r="A87" s="122"/>
      <c r="B87" s="46"/>
      <c r="C87" s="40">
        <f>SUM(C85:C86)</f>
        <v>35</v>
      </c>
      <c r="D87" s="45"/>
      <c r="E87" s="39">
        <f>SUM(E85:E86)</f>
        <v>1184.95</v>
      </c>
      <c r="F87" s="45"/>
      <c r="G87" s="40">
        <f>SUM(G85:G86)</f>
        <v>35</v>
      </c>
      <c r="H87" s="45"/>
      <c r="I87" s="39">
        <f>SUM(I85:I86)</f>
        <v>1218</v>
      </c>
      <c r="J87" s="45"/>
      <c r="K87" s="39"/>
      <c r="L87" s="39">
        <f>I87-E87</f>
        <v>33.049999999999955</v>
      </c>
      <c r="M87" s="53">
        <f>(L87+K87)/E87</f>
        <v>2.7891472214017429E-2</v>
      </c>
    </row>
    <row r="88" spans="1:13" ht="18" customHeight="1" outlineLevel="1" x14ac:dyDescent="0.25">
      <c r="A88" s="121" t="s">
        <v>14</v>
      </c>
      <c r="B88" s="43"/>
      <c r="C88" s="41"/>
      <c r="D88" s="43"/>
      <c r="E88" s="38"/>
      <c r="F88" s="43"/>
      <c r="G88" s="41"/>
      <c r="H88" s="43"/>
      <c r="I88" s="38"/>
      <c r="J88" s="43"/>
      <c r="K88" s="38"/>
      <c r="L88" s="38"/>
      <c r="M88" s="52"/>
    </row>
    <row r="89" spans="1:13" ht="18" customHeight="1" outlineLevel="1" x14ac:dyDescent="0.25">
      <c r="A89" s="121"/>
      <c r="B89" s="42">
        <v>42152</v>
      </c>
      <c r="C89" s="41">
        <v>2</v>
      </c>
      <c r="D89" s="43">
        <v>51.22</v>
      </c>
      <c r="E89" s="38">
        <f>C89*D89</f>
        <v>102.44</v>
      </c>
      <c r="F89" s="42">
        <v>42187</v>
      </c>
      <c r="G89" s="41">
        <v>150</v>
      </c>
      <c r="H89" s="43">
        <v>48.92</v>
      </c>
      <c r="I89" s="38">
        <f>G89*H89</f>
        <v>7338</v>
      </c>
      <c r="J89" s="42">
        <v>42195</v>
      </c>
      <c r="K89" s="38">
        <v>52</v>
      </c>
      <c r="L89" s="38"/>
      <c r="M89" s="52"/>
    </row>
    <row r="90" spans="1:13" ht="18" customHeight="1" outlineLevel="1" x14ac:dyDescent="0.25">
      <c r="A90" s="121"/>
      <c r="B90" s="42">
        <v>42164</v>
      </c>
      <c r="C90" s="41">
        <v>48</v>
      </c>
      <c r="D90" s="43">
        <v>49.9</v>
      </c>
      <c r="E90" s="38">
        <f>C90*D90</f>
        <v>2395.1999999999998</v>
      </c>
      <c r="F90" s="43"/>
      <c r="G90" s="41"/>
      <c r="H90" s="43"/>
      <c r="I90" s="38"/>
      <c r="J90" s="43"/>
      <c r="K90" s="38"/>
      <c r="L90" s="38"/>
      <c r="M90" s="52"/>
    </row>
    <row r="91" spans="1:13" ht="18" customHeight="1" outlineLevel="1" x14ac:dyDescent="0.25">
      <c r="A91" s="121"/>
      <c r="B91" s="42">
        <v>42165</v>
      </c>
      <c r="C91" s="41">
        <v>50</v>
      </c>
      <c r="D91" s="43">
        <v>48.6</v>
      </c>
      <c r="E91" s="38">
        <f>C91*D91</f>
        <v>2430</v>
      </c>
      <c r="F91" s="43"/>
      <c r="G91" s="41"/>
      <c r="H91" s="43"/>
      <c r="I91" s="38">
        <f>G91*H91</f>
        <v>0</v>
      </c>
      <c r="J91" s="43"/>
      <c r="K91" s="38"/>
      <c r="L91" s="38"/>
      <c r="M91" s="52"/>
    </row>
    <row r="92" spans="1:13" ht="18" customHeight="1" outlineLevel="1" x14ac:dyDescent="0.25">
      <c r="A92" s="121"/>
      <c r="B92" s="42">
        <v>42173</v>
      </c>
      <c r="C92" s="41">
        <v>25</v>
      </c>
      <c r="D92" s="43">
        <v>47.62</v>
      </c>
      <c r="E92" s="38">
        <f>C92*D92</f>
        <v>1190.5</v>
      </c>
      <c r="F92" s="43"/>
      <c r="G92" s="41"/>
      <c r="H92" s="43"/>
      <c r="I92" s="38">
        <f>G92*H92</f>
        <v>0</v>
      </c>
      <c r="J92" s="43"/>
      <c r="K92" s="38"/>
      <c r="L92" s="38"/>
      <c r="M92" s="52"/>
    </row>
    <row r="93" spans="1:13" ht="18" customHeight="1" outlineLevel="1" x14ac:dyDescent="0.25">
      <c r="A93" s="121"/>
      <c r="B93" s="42">
        <v>42173</v>
      </c>
      <c r="C93" s="41">
        <v>25</v>
      </c>
      <c r="D93" s="43">
        <v>47.54</v>
      </c>
      <c r="E93" s="38">
        <f>C93*D93</f>
        <v>1188.5</v>
      </c>
      <c r="F93" s="43"/>
      <c r="G93" s="41"/>
      <c r="H93" s="43"/>
      <c r="I93" s="38">
        <f>G93*H93</f>
        <v>0</v>
      </c>
      <c r="J93" s="43"/>
      <c r="K93" s="38"/>
      <c r="L93" s="38"/>
      <c r="M93" s="52"/>
    </row>
    <row r="94" spans="1:13" ht="18" customHeight="1" x14ac:dyDescent="0.25">
      <c r="A94" s="121"/>
      <c r="B94" s="42"/>
      <c r="C94" s="41">
        <f>SUM(C89:C93)</f>
        <v>150</v>
      </c>
      <c r="D94" s="43"/>
      <c r="E94" s="38">
        <f t="shared" ref="E94:K94" si="6">SUM(E89:E93)</f>
        <v>7306.6399999999994</v>
      </c>
      <c r="F94" s="43"/>
      <c r="G94" s="41">
        <f t="shared" si="6"/>
        <v>150</v>
      </c>
      <c r="H94" s="43"/>
      <c r="I94" s="38">
        <f t="shared" si="6"/>
        <v>7338</v>
      </c>
      <c r="J94" s="43"/>
      <c r="K94" s="38">
        <f t="shared" si="6"/>
        <v>52</v>
      </c>
      <c r="L94" s="38">
        <f>I94-E94</f>
        <v>31.360000000000582</v>
      </c>
      <c r="M94" s="52">
        <f>(L94+K94)/E94</f>
        <v>1.1408800762046657E-2</v>
      </c>
    </row>
    <row r="95" spans="1:13" ht="18" customHeight="1" outlineLevel="1" x14ac:dyDescent="0.25">
      <c r="A95" s="122" t="s">
        <v>41</v>
      </c>
      <c r="B95" s="45"/>
      <c r="C95" s="40"/>
      <c r="D95" s="45"/>
      <c r="E95" s="39"/>
      <c r="F95" s="45"/>
      <c r="G95" s="40"/>
      <c r="H95" s="45"/>
      <c r="I95" s="39"/>
      <c r="J95" s="45"/>
      <c r="K95" s="39"/>
      <c r="L95" s="39"/>
      <c r="M95" s="53"/>
    </row>
    <row r="96" spans="1:13" ht="18" customHeight="1" outlineLevel="1" x14ac:dyDescent="0.25">
      <c r="A96" s="122"/>
      <c r="B96" s="46">
        <v>42184</v>
      </c>
      <c r="C96" s="40">
        <v>10</v>
      </c>
      <c r="D96" s="45">
        <v>66</v>
      </c>
      <c r="E96" s="39">
        <f>C96*D96</f>
        <v>660</v>
      </c>
      <c r="F96" s="46">
        <v>42219</v>
      </c>
      <c r="G96" s="40">
        <v>10</v>
      </c>
      <c r="H96" s="45">
        <v>70.45</v>
      </c>
      <c r="I96" s="39">
        <f>G96*H96</f>
        <v>704.5</v>
      </c>
      <c r="J96" s="45"/>
      <c r="K96" s="39"/>
      <c r="L96" s="39"/>
      <c r="M96" s="53"/>
    </row>
    <row r="97" spans="1:13" ht="18" customHeight="1" x14ac:dyDescent="0.25">
      <c r="A97" s="122"/>
      <c r="B97" s="46"/>
      <c r="C97" s="40">
        <f>SUM(C96)</f>
        <v>10</v>
      </c>
      <c r="D97" s="45"/>
      <c r="E97" s="39">
        <f>SUM(E96)</f>
        <v>660</v>
      </c>
      <c r="F97" s="45"/>
      <c r="G97" s="40">
        <f>SUM(G96)</f>
        <v>10</v>
      </c>
      <c r="H97" s="45"/>
      <c r="I97" s="39">
        <f>SUM(I96)</f>
        <v>704.5</v>
      </c>
      <c r="J97" s="45"/>
      <c r="K97" s="39"/>
      <c r="L97" s="39">
        <f>I97-E97</f>
        <v>44.5</v>
      </c>
      <c r="M97" s="53">
        <f>(L97+K97)/E97</f>
        <v>6.7424242424242428E-2</v>
      </c>
    </row>
    <row r="98" spans="1:13" ht="18" customHeight="1" outlineLevel="1" x14ac:dyDescent="0.25">
      <c r="A98" s="121" t="s">
        <v>46</v>
      </c>
      <c r="B98" s="43"/>
      <c r="C98" s="41"/>
      <c r="D98" s="43"/>
      <c r="E98" s="38"/>
      <c r="F98" s="43"/>
      <c r="G98" s="41"/>
      <c r="H98" s="43"/>
      <c r="I98" s="38"/>
      <c r="J98" s="43"/>
      <c r="K98" s="38"/>
      <c r="L98" s="38"/>
      <c r="M98" s="52"/>
    </row>
    <row r="99" spans="1:13" ht="18" customHeight="1" outlineLevel="1" x14ac:dyDescent="0.25">
      <c r="A99" s="121"/>
      <c r="B99" s="42">
        <v>42185</v>
      </c>
      <c r="C99" s="41">
        <v>20</v>
      </c>
      <c r="D99" s="43">
        <v>28.2</v>
      </c>
      <c r="E99" s="38">
        <f>C99*D99</f>
        <v>564</v>
      </c>
      <c r="F99" s="42">
        <v>42187</v>
      </c>
      <c r="G99" s="41">
        <v>20</v>
      </c>
      <c r="H99" s="43">
        <v>28.75</v>
      </c>
      <c r="I99" s="38">
        <f>G99*H99</f>
        <v>575</v>
      </c>
      <c r="J99" s="43"/>
      <c r="K99" s="38"/>
      <c r="L99" s="38"/>
      <c r="M99" s="52"/>
    </row>
    <row r="100" spans="1:13" ht="18" customHeight="1" x14ac:dyDescent="0.25">
      <c r="A100" s="121"/>
      <c r="B100" s="43"/>
      <c r="C100" s="41">
        <f>SUM(C99)</f>
        <v>20</v>
      </c>
      <c r="D100" s="43"/>
      <c r="E100" s="38">
        <f>SUM(E99)</f>
        <v>564</v>
      </c>
      <c r="F100" s="43"/>
      <c r="G100" s="41">
        <f>SUM(G99)</f>
        <v>20</v>
      </c>
      <c r="H100" s="43"/>
      <c r="I100" s="38">
        <f>SUM(I99)</f>
        <v>575</v>
      </c>
      <c r="J100" s="43"/>
      <c r="K100" s="38"/>
      <c r="L100" s="38">
        <f>I100-E100</f>
        <v>11</v>
      </c>
      <c r="M100" s="52">
        <f>(L100+K100)/E100</f>
        <v>1.9503546099290781E-2</v>
      </c>
    </row>
    <row r="101" spans="1:13" ht="18" customHeight="1" outlineLevel="1" x14ac:dyDescent="0.25">
      <c r="A101" s="122" t="s">
        <v>28</v>
      </c>
      <c r="B101" s="45"/>
      <c r="C101" s="40"/>
      <c r="D101" s="45"/>
      <c r="E101" s="39"/>
      <c r="F101" s="45"/>
      <c r="G101" s="40"/>
      <c r="H101" s="45"/>
      <c r="I101" s="39"/>
      <c r="J101" s="45"/>
      <c r="K101" s="39"/>
      <c r="L101" s="39"/>
      <c r="M101" s="53"/>
    </row>
    <row r="102" spans="1:13" ht="18" customHeight="1" outlineLevel="1" x14ac:dyDescent="0.25">
      <c r="A102" s="122"/>
      <c r="B102" s="46">
        <v>42164</v>
      </c>
      <c r="C102" s="40">
        <v>20</v>
      </c>
      <c r="D102" s="45">
        <v>29.9</v>
      </c>
      <c r="E102" s="39">
        <f>C102*D102</f>
        <v>598</v>
      </c>
      <c r="F102" s="46">
        <v>42187</v>
      </c>
      <c r="G102" s="40">
        <v>40</v>
      </c>
      <c r="H102" s="45">
        <v>30.4</v>
      </c>
      <c r="I102" s="39">
        <f>G102*H102</f>
        <v>1216</v>
      </c>
      <c r="J102" s="45"/>
      <c r="K102" s="39"/>
      <c r="L102" s="39"/>
      <c r="M102" s="53"/>
    </row>
    <row r="103" spans="1:13" ht="18" customHeight="1" outlineLevel="1" x14ac:dyDescent="0.25">
      <c r="A103" s="122"/>
      <c r="B103" s="46">
        <v>42166</v>
      </c>
      <c r="C103" s="40">
        <v>20</v>
      </c>
      <c r="D103" s="45">
        <v>29.3</v>
      </c>
      <c r="E103" s="39">
        <f>C103*D103</f>
        <v>586</v>
      </c>
      <c r="F103" s="45"/>
      <c r="G103" s="40"/>
      <c r="H103" s="45"/>
      <c r="I103" s="39">
        <f>G103*H103</f>
        <v>0</v>
      </c>
      <c r="J103" s="45"/>
      <c r="K103" s="39"/>
      <c r="L103" s="39"/>
      <c r="M103" s="53"/>
    </row>
    <row r="104" spans="1:13" ht="18" customHeight="1" x14ac:dyDescent="0.25">
      <c r="A104" s="122"/>
      <c r="B104" s="46"/>
      <c r="C104" s="40">
        <f>SUM(C102:C103)</f>
        <v>40</v>
      </c>
      <c r="D104" s="45"/>
      <c r="E104" s="39">
        <f>SUM(E102:E103)</f>
        <v>1184</v>
      </c>
      <c r="F104" s="45"/>
      <c r="G104" s="40">
        <f>SUM(G102:G103)</f>
        <v>40</v>
      </c>
      <c r="H104" s="45"/>
      <c r="I104" s="39">
        <f>SUM(I102:I103)</f>
        <v>1216</v>
      </c>
      <c r="J104" s="45"/>
      <c r="K104" s="39"/>
      <c r="L104" s="39">
        <f>I104-E104</f>
        <v>32</v>
      </c>
      <c r="M104" s="53">
        <f>(L104+K104)/E104</f>
        <v>2.7027027027027029E-2</v>
      </c>
    </row>
    <row r="105" spans="1:13" ht="18" hidden="1" customHeight="1" outlineLevel="1" x14ac:dyDescent="0.25">
      <c r="A105" s="121" t="s">
        <v>0</v>
      </c>
      <c r="B105" s="43"/>
      <c r="C105" s="41"/>
      <c r="D105" s="43"/>
      <c r="E105" s="38"/>
      <c r="F105" s="43"/>
      <c r="G105" s="41"/>
      <c r="H105" s="43"/>
      <c r="I105" s="38"/>
      <c r="J105" s="43"/>
      <c r="K105" s="38"/>
      <c r="L105" s="38"/>
      <c r="M105" s="52"/>
    </row>
    <row r="106" spans="1:13" ht="18" hidden="1" customHeight="1" outlineLevel="1" x14ac:dyDescent="0.25">
      <c r="A106" s="121"/>
      <c r="B106" s="42">
        <v>42144</v>
      </c>
      <c r="C106" s="41">
        <v>50</v>
      </c>
      <c r="D106" s="43">
        <v>130.16999999999999</v>
      </c>
      <c r="E106" s="38">
        <f>C106*D106</f>
        <v>6508.4999999999991</v>
      </c>
      <c r="F106" s="42">
        <v>42186</v>
      </c>
      <c r="G106" s="41">
        <v>50</v>
      </c>
      <c r="H106" s="43">
        <v>133.5</v>
      </c>
      <c r="I106" s="38">
        <f>G106*H106</f>
        <v>6675</v>
      </c>
      <c r="J106" s="42">
        <v>42200</v>
      </c>
      <c r="K106" s="38">
        <v>7.5</v>
      </c>
      <c r="L106" s="41"/>
      <c r="M106" s="41"/>
    </row>
    <row r="107" spans="1:13" ht="18" customHeight="1" collapsed="1" x14ac:dyDescent="0.25">
      <c r="A107" s="121"/>
      <c r="B107" s="42"/>
      <c r="C107" s="41">
        <f>SUM(C106)</f>
        <v>50</v>
      </c>
      <c r="D107" s="43"/>
      <c r="E107" s="38">
        <f>SUM(E106)</f>
        <v>6508.4999999999991</v>
      </c>
      <c r="F107" s="43"/>
      <c r="G107" s="41">
        <f>SUM(G106)</f>
        <v>50</v>
      </c>
      <c r="H107" s="43"/>
      <c r="I107" s="38">
        <f>SUM(I106)</f>
        <v>6675</v>
      </c>
      <c r="J107" s="43"/>
      <c r="K107" s="38">
        <f>SUM(K106)</f>
        <v>7.5</v>
      </c>
      <c r="L107" s="38">
        <f>I107-E107</f>
        <v>166.50000000000091</v>
      </c>
      <c r="M107" s="52">
        <f>(L107+K107)/E107</f>
        <v>2.6734270569255734E-2</v>
      </c>
    </row>
    <row r="108" spans="1:13" ht="18" hidden="1" customHeight="1" outlineLevel="1" x14ac:dyDescent="0.25">
      <c r="A108" s="122" t="s">
        <v>49</v>
      </c>
      <c r="B108" s="45"/>
      <c r="C108" s="40"/>
      <c r="D108" s="45"/>
      <c r="E108" s="39"/>
      <c r="F108" s="45"/>
      <c r="G108" s="40"/>
      <c r="H108" s="45"/>
      <c r="I108" s="39"/>
      <c r="J108" s="45"/>
      <c r="K108" s="39"/>
      <c r="L108" s="39"/>
      <c r="M108" s="53"/>
    </row>
    <row r="109" spans="1:13" ht="18" hidden="1" customHeight="1" outlineLevel="1" x14ac:dyDescent="0.25">
      <c r="A109" s="122"/>
      <c r="B109" s="46">
        <v>42186</v>
      </c>
      <c r="C109" s="40">
        <v>100</v>
      </c>
      <c r="D109" s="45">
        <v>27.5</v>
      </c>
      <c r="E109" s="39">
        <f>C109*D109</f>
        <v>2750</v>
      </c>
      <c r="F109" s="46">
        <v>42219</v>
      </c>
      <c r="G109" s="40">
        <v>100</v>
      </c>
      <c r="H109" s="45">
        <v>29.5</v>
      </c>
      <c r="I109" s="39">
        <f>G109*H109</f>
        <v>2950</v>
      </c>
      <c r="J109" s="45"/>
      <c r="K109" s="39"/>
      <c r="L109" s="39"/>
      <c r="M109" s="53"/>
    </row>
    <row r="110" spans="1:13" ht="18" customHeight="1" collapsed="1" x14ac:dyDescent="0.25">
      <c r="A110" s="122"/>
      <c r="B110" s="46"/>
      <c r="C110" s="40">
        <f>SUM(C109)</f>
        <v>100</v>
      </c>
      <c r="D110" s="45"/>
      <c r="E110" s="39">
        <f>SUM(E109)</f>
        <v>2750</v>
      </c>
      <c r="F110" s="45"/>
      <c r="G110" s="40">
        <f>SUM(G109)</f>
        <v>100</v>
      </c>
      <c r="H110" s="45"/>
      <c r="I110" s="39">
        <f>SUM(I109)</f>
        <v>2950</v>
      </c>
      <c r="J110" s="45"/>
      <c r="K110" s="39"/>
      <c r="L110" s="39">
        <f>I110-E110</f>
        <v>200</v>
      </c>
      <c r="M110" s="53">
        <f>(L110+K110)/E110</f>
        <v>7.2727272727272724E-2</v>
      </c>
    </row>
    <row r="111" spans="1:13" ht="18" customHeight="1" outlineLevel="1" x14ac:dyDescent="0.25">
      <c r="A111" s="121" t="s">
        <v>13</v>
      </c>
      <c r="B111" s="43"/>
      <c r="C111" s="41"/>
      <c r="D111" s="43"/>
      <c r="E111" s="38"/>
      <c r="F111" s="43"/>
      <c r="G111" s="41"/>
      <c r="H111" s="43"/>
      <c r="I111" s="38"/>
      <c r="J111" s="43"/>
      <c r="K111" s="38"/>
      <c r="L111" s="38"/>
      <c r="M111" s="41"/>
    </row>
    <row r="112" spans="1:13" ht="18" customHeight="1" outlineLevel="1" x14ac:dyDescent="0.25">
      <c r="A112" s="121"/>
      <c r="B112" s="42">
        <v>42151</v>
      </c>
      <c r="C112" s="41">
        <v>5</v>
      </c>
      <c r="D112" s="43">
        <v>54.2</v>
      </c>
      <c r="E112" s="38">
        <f t="shared" ref="E112:E118" si="7">C112*D112</f>
        <v>271</v>
      </c>
      <c r="F112" s="42">
        <v>42181</v>
      </c>
      <c r="G112" s="41">
        <v>25</v>
      </c>
      <c r="H112" s="43">
        <v>55.4</v>
      </c>
      <c r="I112" s="38">
        <f>G112*H112</f>
        <v>1385</v>
      </c>
      <c r="J112" s="43"/>
      <c r="K112" s="38"/>
      <c r="L112" s="38"/>
      <c r="M112" s="52"/>
    </row>
    <row r="113" spans="1:13" ht="18" customHeight="1" outlineLevel="1" x14ac:dyDescent="0.25">
      <c r="A113" s="121"/>
      <c r="B113" s="42">
        <v>42152</v>
      </c>
      <c r="C113" s="41">
        <v>20</v>
      </c>
      <c r="D113" s="43">
        <v>53.35</v>
      </c>
      <c r="E113" s="38">
        <f t="shared" si="7"/>
        <v>1067</v>
      </c>
      <c r="F113" s="42">
        <v>42200</v>
      </c>
      <c r="G113" s="41">
        <v>225</v>
      </c>
      <c r="H113" s="43">
        <v>55.56</v>
      </c>
      <c r="I113" s="38">
        <f>G113*H113</f>
        <v>12501</v>
      </c>
      <c r="J113" s="43"/>
      <c r="K113" s="38"/>
      <c r="L113" s="38"/>
      <c r="M113" s="52"/>
    </row>
    <row r="114" spans="1:13" ht="18" customHeight="1" outlineLevel="1" x14ac:dyDescent="0.25">
      <c r="A114" s="121"/>
      <c r="B114" s="42">
        <v>42153</v>
      </c>
      <c r="C114" s="41">
        <v>25</v>
      </c>
      <c r="D114" s="43">
        <v>52.35</v>
      </c>
      <c r="E114" s="38">
        <f t="shared" si="7"/>
        <v>1308.75</v>
      </c>
      <c r="F114" s="43"/>
      <c r="G114" s="41"/>
      <c r="H114" s="43"/>
      <c r="I114" s="38"/>
      <c r="J114" s="43"/>
      <c r="K114" s="38"/>
      <c r="L114" s="38"/>
      <c r="M114" s="52"/>
    </row>
    <row r="115" spans="1:13" ht="18" customHeight="1" outlineLevel="1" x14ac:dyDescent="0.25">
      <c r="A115" s="121"/>
      <c r="B115" s="42">
        <v>42153</v>
      </c>
      <c r="C115" s="41">
        <v>25</v>
      </c>
      <c r="D115" s="43">
        <v>51.75</v>
      </c>
      <c r="E115" s="38">
        <f t="shared" si="7"/>
        <v>1293.75</v>
      </c>
      <c r="F115" s="43"/>
      <c r="G115" s="41"/>
      <c r="H115" s="43"/>
      <c r="I115" s="38"/>
      <c r="J115" s="43"/>
      <c r="K115" s="38"/>
      <c r="L115" s="38"/>
      <c r="M115" s="52"/>
    </row>
    <row r="116" spans="1:13" ht="18" customHeight="1" outlineLevel="1" x14ac:dyDescent="0.25">
      <c r="A116" s="121"/>
      <c r="B116" s="42">
        <v>42166</v>
      </c>
      <c r="C116" s="41">
        <v>25</v>
      </c>
      <c r="D116" s="43">
        <v>52.1</v>
      </c>
      <c r="E116" s="38">
        <f t="shared" si="7"/>
        <v>1302.5</v>
      </c>
      <c r="F116" s="43"/>
      <c r="G116" s="41"/>
      <c r="H116" s="43"/>
      <c r="I116" s="38"/>
      <c r="J116" s="43"/>
      <c r="K116" s="38"/>
      <c r="L116" s="38"/>
      <c r="M116" s="52"/>
    </row>
    <row r="117" spans="1:13" ht="18" customHeight="1" outlineLevel="1" x14ac:dyDescent="0.25">
      <c r="A117" s="121"/>
      <c r="B117" s="42">
        <v>42166</v>
      </c>
      <c r="C117" s="41">
        <v>50</v>
      </c>
      <c r="D117" s="43">
        <v>51.5</v>
      </c>
      <c r="E117" s="38">
        <f t="shared" si="7"/>
        <v>2575</v>
      </c>
      <c r="F117" s="43"/>
      <c r="G117" s="41"/>
      <c r="H117" s="43"/>
      <c r="I117" s="38"/>
      <c r="J117" s="43"/>
      <c r="K117" s="38"/>
      <c r="L117" s="38"/>
      <c r="M117" s="52"/>
    </row>
    <row r="118" spans="1:13" ht="18" customHeight="1" outlineLevel="1" x14ac:dyDescent="0.25">
      <c r="A118" s="121"/>
      <c r="B118" s="42">
        <v>42166</v>
      </c>
      <c r="C118" s="41">
        <v>100</v>
      </c>
      <c r="D118" s="43">
        <v>51.35</v>
      </c>
      <c r="E118" s="38">
        <f t="shared" si="7"/>
        <v>5135</v>
      </c>
      <c r="F118" s="43"/>
      <c r="G118" s="41"/>
      <c r="H118" s="43"/>
      <c r="I118" s="38"/>
      <c r="J118" s="43"/>
      <c r="K118" s="38"/>
      <c r="L118" s="38"/>
      <c r="M118" s="52"/>
    </row>
    <row r="119" spans="1:13" ht="18" customHeight="1" x14ac:dyDescent="0.25">
      <c r="A119" s="121"/>
      <c r="B119" s="42"/>
      <c r="C119" s="41">
        <f>SUM(C112:C118)</f>
        <v>250</v>
      </c>
      <c r="D119" s="43"/>
      <c r="E119" s="38">
        <f>SUM(E112:E118)</f>
        <v>12953</v>
      </c>
      <c r="F119" s="43"/>
      <c r="G119" s="41">
        <f>SUM(G112:G118)</f>
        <v>250</v>
      </c>
      <c r="H119" s="43"/>
      <c r="I119" s="38">
        <f>SUM(I112:I118)</f>
        <v>13886</v>
      </c>
      <c r="J119" s="43"/>
      <c r="K119" s="38"/>
      <c r="L119" s="38">
        <f>I119-E119</f>
        <v>933</v>
      </c>
      <c r="M119" s="52">
        <f>(L119+K119)/E119</f>
        <v>7.202964564193623E-2</v>
      </c>
    </row>
    <row r="120" spans="1:13" ht="18" hidden="1" customHeight="1" outlineLevel="1" x14ac:dyDescent="0.25">
      <c r="A120" s="122" t="s">
        <v>20</v>
      </c>
      <c r="B120" s="45"/>
      <c r="C120" s="40"/>
      <c r="D120" s="45"/>
      <c r="E120" s="39"/>
      <c r="F120" s="45"/>
      <c r="G120" s="40"/>
      <c r="H120" s="45"/>
      <c r="I120" s="39"/>
      <c r="J120" s="45"/>
      <c r="K120" s="39"/>
      <c r="L120" s="39"/>
      <c r="M120" s="53"/>
    </row>
    <row r="121" spans="1:13" ht="18" hidden="1" customHeight="1" outlineLevel="1" x14ac:dyDescent="0.25">
      <c r="A121" s="122"/>
      <c r="B121" s="46">
        <v>42153</v>
      </c>
      <c r="C121" s="40">
        <v>50</v>
      </c>
      <c r="D121" s="45">
        <v>20.99</v>
      </c>
      <c r="E121" s="39">
        <f>C121*D121</f>
        <v>1049.5</v>
      </c>
      <c r="F121" s="46">
        <v>42186</v>
      </c>
      <c r="G121" s="40">
        <v>297</v>
      </c>
      <c r="H121" s="45">
        <v>19.399999999999999</v>
      </c>
      <c r="I121" s="39">
        <f>G121*H121</f>
        <v>5761.7999999999993</v>
      </c>
      <c r="J121" s="45"/>
      <c r="K121" s="39"/>
      <c r="L121" s="39"/>
      <c r="M121" s="53"/>
    </row>
    <row r="122" spans="1:13" ht="18" hidden="1" customHeight="1" outlineLevel="1" x14ac:dyDescent="0.25">
      <c r="A122" s="122"/>
      <c r="B122" s="46">
        <v>42185</v>
      </c>
      <c r="C122" s="40">
        <v>100</v>
      </c>
      <c r="D122" s="45">
        <v>20.6</v>
      </c>
      <c r="E122" s="39">
        <f>C122*D122</f>
        <v>2060</v>
      </c>
      <c r="F122" s="46">
        <v>42186</v>
      </c>
      <c r="G122" s="40">
        <v>300</v>
      </c>
      <c r="H122" s="45">
        <v>20.28</v>
      </c>
      <c r="I122" s="39">
        <f>G122*H122</f>
        <v>6084</v>
      </c>
      <c r="J122" s="45"/>
      <c r="K122" s="39"/>
      <c r="L122" s="39"/>
      <c r="M122" s="53"/>
    </row>
    <row r="123" spans="1:13" ht="18" hidden="1" customHeight="1" outlineLevel="1" x14ac:dyDescent="0.25">
      <c r="A123" s="122"/>
      <c r="B123" s="46">
        <v>42186</v>
      </c>
      <c r="C123" s="40">
        <v>150</v>
      </c>
      <c r="D123" s="45">
        <v>19.95</v>
      </c>
      <c r="E123" s="39">
        <f>C123*D123</f>
        <v>2992.5</v>
      </c>
      <c r="F123" s="46">
        <v>42186</v>
      </c>
      <c r="G123" s="40">
        <v>300</v>
      </c>
      <c r="H123" s="45">
        <v>19.75</v>
      </c>
      <c r="I123" s="39">
        <f>G123*H123</f>
        <v>5925</v>
      </c>
      <c r="J123" s="45"/>
      <c r="K123" s="39"/>
      <c r="L123" s="39"/>
      <c r="M123" s="53"/>
    </row>
    <row r="124" spans="1:13" ht="18" hidden="1" customHeight="1" outlineLevel="1" x14ac:dyDescent="0.25">
      <c r="A124" s="122"/>
      <c r="B124" s="46">
        <v>42186</v>
      </c>
      <c r="C124" s="40">
        <v>300</v>
      </c>
      <c r="D124" s="45">
        <v>19.7</v>
      </c>
      <c r="E124" s="39">
        <f>C124*D124</f>
        <v>5910</v>
      </c>
      <c r="F124" s="45"/>
      <c r="G124" s="40"/>
      <c r="H124" s="45"/>
      <c r="I124" s="39"/>
      <c r="J124" s="45"/>
      <c r="K124" s="39"/>
      <c r="L124" s="39"/>
      <c r="M124" s="53"/>
    </row>
    <row r="125" spans="1:13" ht="18" hidden="1" customHeight="1" outlineLevel="1" x14ac:dyDescent="0.25">
      <c r="A125" s="122"/>
      <c r="B125" s="46">
        <v>42186</v>
      </c>
      <c r="C125" s="40">
        <v>297</v>
      </c>
      <c r="D125" s="45">
        <v>19.13</v>
      </c>
      <c r="E125" s="39">
        <f>C125*D125</f>
        <v>5681.61</v>
      </c>
      <c r="F125" s="45"/>
      <c r="G125" s="40"/>
      <c r="H125" s="45"/>
      <c r="I125" s="39"/>
      <c r="J125" s="45"/>
      <c r="K125" s="39"/>
      <c r="L125" s="39"/>
      <c r="M125" s="53"/>
    </row>
    <row r="126" spans="1:13" ht="18" customHeight="1" collapsed="1" x14ac:dyDescent="0.25">
      <c r="A126" s="122"/>
      <c r="B126" s="46"/>
      <c r="C126" s="40">
        <f>SUM(C121:C125)</f>
        <v>897</v>
      </c>
      <c r="D126" s="45"/>
      <c r="E126" s="39">
        <f>SUM(E121:E125)</f>
        <v>17693.61</v>
      </c>
      <c r="F126" s="45"/>
      <c r="G126" s="40">
        <f>SUM(G121:G125)</f>
        <v>897</v>
      </c>
      <c r="H126" s="45"/>
      <c r="I126" s="39">
        <f>SUM(I121:I125)</f>
        <v>17770.8</v>
      </c>
      <c r="J126" s="45"/>
      <c r="K126" s="39"/>
      <c r="L126" s="39">
        <f>I126-E126</f>
        <v>77.18999999999869</v>
      </c>
      <c r="M126" s="53">
        <f>(L126+K126)/E126</f>
        <v>4.362591918777383E-3</v>
      </c>
    </row>
    <row r="127" spans="1:13" ht="18" hidden="1" customHeight="1" outlineLevel="1" x14ac:dyDescent="0.25">
      <c r="A127" s="121" t="s">
        <v>31</v>
      </c>
      <c r="B127" s="43"/>
      <c r="C127" s="41"/>
      <c r="D127" s="43"/>
      <c r="E127" s="38"/>
      <c r="F127" s="43"/>
      <c r="G127" s="41"/>
      <c r="H127" s="43"/>
      <c r="I127" s="38"/>
      <c r="J127" s="43"/>
      <c r="K127" s="38"/>
      <c r="L127" s="38"/>
      <c r="M127" s="52"/>
    </row>
    <row r="128" spans="1:13" ht="18" hidden="1" customHeight="1" outlineLevel="1" x14ac:dyDescent="0.25">
      <c r="A128" s="121"/>
      <c r="B128" s="42">
        <v>42165</v>
      </c>
      <c r="C128" s="41">
        <v>1</v>
      </c>
      <c r="D128" s="43">
        <v>73.03</v>
      </c>
      <c r="E128" s="38">
        <f>C128*D128</f>
        <v>73.03</v>
      </c>
      <c r="F128" s="42">
        <v>42195</v>
      </c>
      <c r="G128" s="41">
        <v>1</v>
      </c>
      <c r="H128" s="43">
        <v>73.5</v>
      </c>
      <c r="I128" s="38">
        <f>G128*H128</f>
        <v>73.5</v>
      </c>
      <c r="J128" s="43"/>
      <c r="K128" s="38"/>
      <c r="L128" s="38"/>
      <c r="M128" s="52"/>
    </row>
    <row r="129" spans="1:14" ht="18" customHeight="1" collapsed="1" x14ac:dyDescent="0.25">
      <c r="A129" s="121"/>
      <c r="B129" s="42"/>
      <c r="C129" s="41">
        <f>SUM(C128)</f>
        <v>1</v>
      </c>
      <c r="D129" s="43"/>
      <c r="E129" s="38">
        <f>SUM(E128)</f>
        <v>73.03</v>
      </c>
      <c r="F129" s="43"/>
      <c r="G129" s="41">
        <f>SUM(G128)</f>
        <v>1</v>
      </c>
      <c r="H129" s="43"/>
      <c r="I129" s="38">
        <f>SUM(I128)</f>
        <v>73.5</v>
      </c>
      <c r="J129" s="43"/>
      <c r="K129" s="38"/>
      <c r="L129" s="38">
        <f>I129-E129</f>
        <v>0.46999999999999886</v>
      </c>
      <c r="M129" s="52">
        <f>(L129+K129)/E129</f>
        <v>6.435711351499368E-3</v>
      </c>
    </row>
    <row r="130" spans="1:14" ht="18" customHeight="1" x14ac:dyDescent="0.25">
      <c r="L130" s="48"/>
      <c r="M130" s="54"/>
    </row>
    <row r="134" spans="1:14" ht="18" customHeight="1" x14ac:dyDescent="0.25">
      <c r="K134" s="51" t="s">
        <v>70</v>
      </c>
      <c r="L134" s="49">
        <f>SUM(L1:L129)</f>
        <v>5385.4200000000028</v>
      </c>
    </row>
    <row r="135" spans="1:14" ht="18" customHeight="1" x14ac:dyDescent="0.25">
      <c r="A135" s="88"/>
      <c r="B135" s="89"/>
      <c r="C135" s="90"/>
      <c r="D135" s="89"/>
      <c r="E135" s="91"/>
      <c r="F135" s="89"/>
      <c r="G135" s="90"/>
      <c r="H135" s="89"/>
      <c r="I135" s="91"/>
      <c r="J135" s="89"/>
      <c r="K135" s="91"/>
      <c r="L135" s="90"/>
      <c r="M135" s="90"/>
      <c r="N135" s="89"/>
    </row>
    <row r="136" spans="1:14" ht="18" customHeight="1" x14ac:dyDescent="0.25">
      <c r="A136" s="119" t="s">
        <v>156</v>
      </c>
      <c r="B136" s="119"/>
      <c r="C136" s="119"/>
      <c r="D136" s="119"/>
      <c r="E136" s="119"/>
      <c r="F136" s="119"/>
    </row>
    <row r="137" spans="1:14" ht="18" customHeight="1" x14ac:dyDescent="0.25">
      <c r="A137" s="120"/>
      <c r="B137" s="120"/>
      <c r="C137" s="120"/>
      <c r="D137" s="120"/>
      <c r="E137" s="120"/>
      <c r="F137" s="120"/>
    </row>
    <row r="138" spans="1:14" ht="18" customHeight="1" x14ac:dyDescent="0.25">
      <c r="A138" s="86"/>
      <c r="B138" s="86"/>
      <c r="C138" s="86"/>
      <c r="D138" s="86"/>
      <c r="E138" s="86"/>
      <c r="F138" s="86"/>
    </row>
    <row r="139" spans="1:14" ht="18" customHeight="1" x14ac:dyDescent="0.25">
      <c r="A139" s="86"/>
      <c r="B139" s="37" t="s">
        <v>159</v>
      </c>
      <c r="C139" s="87" t="s">
        <v>157</v>
      </c>
      <c r="D139" s="37" t="s">
        <v>160</v>
      </c>
      <c r="E139" s="51" t="s">
        <v>158</v>
      </c>
      <c r="F139" s="86"/>
    </row>
    <row r="140" spans="1:14" ht="18" customHeight="1" x14ac:dyDescent="0.25">
      <c r="A140" s="44"/>
      <c r="B140" s="85"/>
      <c r="C140" s="48"/>
      <c r="D140" s="48"/>
    </row>
    <row r="141" spans="1:14" ht="18" customHeight="1" x14ac:dyDescent="0.25">
      <c r="A141" s="44"/>
      <c r="B141" s="85">
        <v>42233</v>
      </c>
      <c r="C141" s="92">
        <v>322588.21000000002</v>
      </c>
      <c r="D141" s="48">
        <v>360000</v>
      </c>
      <c r="E141" s="48">
        <f>C141-D141</f>
        <v>-37411.789999999979</v>
      </c>
    </row>
    <row r="142" spans="1:14" ht="18" customHeight="1" x14ac:dyDescent="0.25">
      <c r="A142" s="44"/>
      <c r="B142" s="85">
        <v>42234</v>
      </c>
      <c r="C142" s="92">
        <v>319994.03000000003</v>
      </c>
      <c r="D142" s="48">
        <v>360000</v>
      </c>
      <c r="E142" s="48">
        <f t="shared" ref="E142:E145" si="8">C142-D142</f>
        <v>-40005.969999999972</v>
      </c>
    </row>
    <row r="143" spans="1:14" ht="18" customHeight="1" x14ac:dyDescent="0.25">
      <c r="A143" s="44"/>
      <c r="B143" s="85">
        <v>42235</v>
      </c>
      <c r="C143" s="92">
        <v>311839.78000000003</v>
      </c>
      <c r="D143" s="48">
        <v>360000</v>
      </c>
      <c r="E143" s="48">
        <f t="shared" si="8"/>
        <v>-48160.219999999972</v>
      </c>
    </row>
    <row r="144" spans="1:14" ht="18" customHeight="1" x14ac:dyDescent="0.25">
      <c r="A144" s="44"/>
      <c r="B144" s="85">
        <v>42236</v>
      </c>
      <c r="C144" s="92">
        <v>301697.40999999997</v>
      </c>
      <c r="D144" s="48">
        <v>360000</v>
      </c>
      <c r="E144" s="48">
        <f t="shared" si="8"/>
        <v>-58302.590000000026</v>
      </c>
    </row>
    <row r="145" spans="1:5" ht="18" customHeight="1" x14ac:dyDescent="0.25">
      <c r="A145" s="44"/>
      <c r="B145" s="85">
        <v>42237</v>
      </c>
      <c r="C145" s="92">
        <v>295093.56</v>
      </c>
      <c r="D145" s="48">
        <v>360000</v>
      </c>
      <c r="E145" s="48">
        <f t="shared" si="8"/>
        <v>-64906.44</v>
      </c>
    </row>
    <row r="146" spans="1:5" ht="18" customHeight="1" x14ac:dyDescent="0.25">
      <c r="A146" s="44"/>
      <c r="B146" s="85">
        <v>42238</v>
      </c>
      <c r="C146" s="92"/>
      <c r="D146" s="48">
        <v>360000</v>
      </c>
    </row>
    <row r="147" spans="1:5" ht="18" customHeight="1" x14ac:dyDescent="0.25">
      <c r="A147" s="44"/>
      <c r="B147" s="85">
        <v>42239</v>
      </c>
      <c r="C147" s="92"/>
      <c r="D147" s="48">
        <v>360000</v>
      </c>
    </row>
    <row r="148" spans="1:5" ht="18" customHeight="1" x14ac:dyDescent="0.25">
      <c r="A148" s="44"/>
      <c r="B148" s="85">
        <v>42240</v>
      </c>
      <c r="C148" s="92"/>
      <c r="D148" s="48">
        <v>360000</v>
      </c>
    </row>
    <row r="149" spans="1:5" ht="18" customHeight="1" x14ac:dyDescent="0.25">
      <c r="A149" s="44"/>
      <c r="B149" s="85">
        <v>42241</v>
      </c>
      <c r="C149" s="92"/>
      <c r="D149" s="48">
        <v>360000</v>
      </c>
    </row>
    <row r="150" spans="1:5" ht="18" customHeight="1" x14ac:dyDescent="0.25">
      <c r="A150" s="44"/>
      <c r="B150" s="85">
        <v>42242</v>
      </c>
      <c r="C150" s="92"/>
      <c r="D150" s="48">
        <v>360000</v>
      </c>
    </row>
    <row r="151" spans="1:5" ht="18" customHeight="1" x14ac:dyDescent="0.25">
      <c r="A151" s="44"/>
      <c r="B151" s="85">
        <v>42243</v>
      </c>
      <c r="C151" s="92"/>
      <c r="D151" s="48">
        <v>360000</v>
      </c>
    </row>
    <row r="152" spans="1:5" ht="18" customHeight="1" x14ac:dyDescent="0.25">
      <c r="A152" s="44"/>
      <c r="B152" s="85">
        <v>42244</v>
      </c>
      <c r="C152" s="92"/>
      <c r="D152" s="48">
        <v>360000</v>
      </c>
    </row>
    <row r="153" spans="1:5" ht="18" customHeight="1" x14ac:dyDescent="0.25">
      <c r="A153" s="44"/>
      <c r="B153" s="85">
        <v>42245</v>
      </c>
      <c r="C153" s="92"/>
      <c r="D153" s="48">
        <v>360000</v>
      </c>
    </row>
    <row r="154" spans="1:5" ht="18" customHeight="1" x14ac:dyDescent="0.25">
      <c r="A154" s="44"/>
      <c r="B154" s="85">
        <v>42246</v>
      </c>
      <c r="C154" s="92"/>
      <c r="D154" s="48">
        <v>360000</v>
      </c>
    </row>
    <row r="155" spans="1:5" ht="18" customHeight="1" x14ac:dyDescent="0.25">
      <c r="A155" s="44"/>
      <c r="B155" s="85">
        <v>42247</v>
      </c>
      <c r="C155" s="92"/>
      <c r="D155" s="48">
        <v>360000</v>
      </c>
    </row>
    <row r="156" spans="1:5" ht="18" customHeight="1" x14ac:dyDescent="0.25">
      <c r="A156" s="44"/>
      <c r="B156" s="85">
        <v>42248</v>
      </c>
      <c r="C156" s="92"/>
      <c r="D156" s="48">
        <v>360000</v>
      </c>
    </row>
    <row r="157" spans="1:5" ht="18" customHeight="1" x14ac:dyDescent="0.25">
      <c r="A157" s="44"/>
      <c r="B157" s="85">
        <v>42249</v>
      </c>
      <c r="C157" s="92"/>
      <c r="D157" s="48">
        <v>360000</v>
      </c>
    </row>
    <row r="158" spans="1:5" ht="18" customHeight="1" x14ac:dyDescent="0.25">
      <c r="A158" s="44"/>
      <c r="B158" s="85">
        <v>42250</v>
      </c>
      <c r="C158" s="92"/>
      <c r="D158" s="48">
        <v>360000</v>
      </c>
    </row>
    <row r="159" spans="1:5" ht="18" customHeight="1" x14ac:dyDescent="0.25">
      <c r="A159" s="44"/>
      <c r="B159" s="85">
        <v>42251</v>
      </c>
      <c r="C159" s="92"/>
      <c r="D159" s="48">
        <v>360000</v>
      </c>
    </row>
    <row r="160" spans="1:5" ht="18" customHeight="1" x14ac:dyDescent="0.25">
      <c r="A160" s="44"/>
      <c r="B160" s="85">
        <v>42252</v>
      </c>
      <c r="C160" s="92"/>
      <c r="D160" s="48">
        <v>360000</v>
      </c>
    </row>
    <row r="161" spans="1:4" ht="18" customHeight="1" x14ac:dyDescent="0.25">
      <c r="A161" s="44"/>
      <c r="B161" s="85">
        <v>42253</v>
      </c>
      <c r="C161" s="92"/>
      <c r="D161" s="48">
        <v>360000</v>
      </c>
    </row>
    <row r="162" spans="1:4" ht="18" customHeight="1" x14ac:dyDescent="0.25">
      <c r="A162" s="44"/>
      <c r="B162" s="85">
        <v>42254</v>
      </c>
      <c r="C162" s="92"/>
      <c r="D162" s="48">
        <v>360000</v>
      </c>
    </row>
    <row r="163" spans="1:4" ht="18" customHeight="1" x14ac:dyDescent="0.25">
      <c r="A163" s="44"/>
      <c r="B163" s="85">
        <v>42255</v>
      </c>
      <c r="C163" s="92"/>
      <c r="D163" s="48">
        <v>360000</v>
      </c>
    </row>
    <row r="164" spans="1:4" ht="18" customHeight="1" x14ac:dyDescent="0.25">
      <c r="A164" s="44"/>
      <c r="B164" s="85">
        <v>42256</v>
      </c>
      <c r="C164" s="92"/>
      <c r="D164" s="48">
        <v>360000</v>
      </c>
    </row>
    <row r="165" spans="1:4" ht="18" customHeight="1" x14ac:dyDescent="0.25">
      <c r="A165" s="44"/>
      <c r="B165" s="85">
        <v>42257</v>
      </c>
      <c r="C165" s="92"/>
      <c r="D165" s="48">
        <v>360000</v>
      </c>
    </row>
    <row r="166" spans="1:4" ht="18" customHeight="1" x14ac:dyDescent="0.25">
      <c r="A166" s="44"/>
      <c r="B166" s="85">
        <v>42258</v>
      </c>
      <c r="C166" s="92"/>
      <c r="D166" s="48">
        <v>360000</v>
      </c>
    </row>
    <row r="167" spans="1:4" ht="18" customHeight="1" x14ac:dyDescent="0.25">
      <c r="A167" s="44"/>
      <c r="B167" s="85">
        <v>42259</v>
      </c>
      <c r="C167" s="92"/>
      <c r="D167" s="48">
        <v>360000</v>
      </c>
    </row>
    <row r="168" spans="1:4" ht="18" customHeight="1" x14ac:dyDescent="0.25">
      <c r="A168" s="44"/>
      <c r="B168" s="85">
        <v>42260</v>
      </c>
      <c r="C168" s="92"/>
      <c r="D168" s="48">
        <v>360000</v>
      </c>
    </row>
    <row r="169" spans="1:4" ht="18" customHeight="1" x14ac:dyDescent="0.25">
      <c r="A169" s="44"/>
      <c r="B169" s="85">
        <v>42261</v>
      </c>
      <c r="C169" s="92"/>
      <c r="D169" s="48">
        <v>360000</v>
      </c>
    </row>
    <row r="170" spans="1:4" ht="18" customHeight="1" x14ac:dyDescent="0.25">
      <c r="A170" s="44"/>
      <c r="B170" s="85">
        <v>42262</v>
      </c>
      <c r="C170" s="92"/>
      <c r="D170" s="48">
        <v>360000</v>
      </c>
    </row>
  </sheetData>
  <mergeCells count="22">
    <mergeCell ref="A43:A48"/>
    <mergeCell ref="A2:A6"/>
    <mergeCell ref="A7:A9"/>
    <mergeCell ref="A10:A14"/>
    <mergeCell ref="A15:A17"/>
    <mergeCell ref="A18:A30"/>
    <mergeCell ref="A31:A35"/>
    <mergeCell ref="A36:A39"/>
    <mergeCell ref="A40:A42"/>
    <mergeCell ref="A136:F137"/>
    <mergeCell ref="A127:A129"/>
    <mergeCell ref="A49:A80"/>
    <mergeCell ref="A81:A83"/>
    <mergeCell ref="A84:A87"/>
    <mergeCell ref="A88:A94"/>
    <mergeCell ref="A95:A97"/>
    <mergeCell ref="A98:A100"/>
    <mergeCell ref="A101:A104"/>
    <mergeCell ref="A105:A107"/>
    <mergeCell ref="A108:A110"/>
    <mergeCell ref="A111:A119"/>
    <mergeCell ref="A120:A126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4"/>
  <sheetViews>
    <sheetView tabSelected="1" workbookViewId="0">
      <pane ySplit="1" topLeftCell="A2" activePane="bottomLeft" state="frozen"/>
      <selection pane="bottomLeft" activeCell="L31" sqref="L31"/>
    </sheetView>
  </sheetViews>
  <sheetFormatPr defaultRowHeight="18.95" customHeight="1" x14ac:dyDescent="0.25"/>
  <cols>
    <col min="1" max="1" width="9.140625" style="103"/>
    <col min="2" max="2" width="8.28515625" style="103" bestFit="1" customWidth="1"/>
    <col min="3" max="3" width="9.140625" style="103"/>
    <col min="4" max="4" width="9.140625" style="100"/>
    <col min="5" max="5" width="6.85546875" style="105" bestFit="1" customWidth="1"/>
    <col min="6" max="6" width="13.42578125" style="99" bestFit="1" customWidth="1"/>
    <col min="7" max="7" width="10.7109375" style="99" bestFit="1" customWidth="1"/>
    <col min="8" max="8" width="7.42578125" style="100" bestFit="1" customWidth="1"/>
    <col min="9" max="9" width="10.7109375" style="99" bestFit="1" customWidth="1"/>
    <col min="10" max="10" width="10.28515625" style="99" bestFit="1" customWidth="1"/>
    <col min="11" max="11" width="7.85546875" style="98" bestFit="1" customWidth="1"/>
    <col min="12" max="12" width="7.140625" style="118" bestFit="1" customWidth="1"/>
    <col min="13" max="16384" width="9.140625" style="100"/>
  </cols>
  <sheetData>
    <row r="1" spans="1:15" s="111" customFormat="1" ht="30" customHeight="1" x14ac:dyDescent="0.25">
      <c r="A1" s="112"/>
      <c r="B1" s="112" t="s">
        <v>164</v>
      </c>
      <c r="C1" s="112"/>
      <c r="D1" s="108"/>
      <c r="E1" s="108" t="s">
        <v>82</v>
      </c>
      <c r="F1" s="109" t="s">
        <v>85</v>
      </c>
      <c r="G1" s="109" t="s">
        <v>83</v>
      </c>
      <c r="H1" s="108" t="s">
        <v>57</v>
      </c>
      <c r="I1" s="109" t="s">
        <v>84</v>
      </c>
      <c r="J1" s="109" t="s">
        <v>65</v>
      </c>
      <c r="K1" s="110" t="s">
        <v>161</v>
      </c>
      <c r="L1" s="110" t="s">
        <v>172</v>
      </c>
    </row>
    <row r="2" spans="1:15" ht="18.95" customHeight="1" x14ac:dyDescent="0.25">
      <c r="A2" s="101"/>
      <c r="B2" s="101"/>
      <c r="C2" s="102"/>
      <c r="D2" s="103"/>
      <c r="E2" s="36" t="s">
        <v>10</v>
      </c>
      <c r="F2" s="99">
        <v>8.73</v>
      </c>
      <c r="G2" s="99">
        <v>11.06817142857143</v>
      </c>
      <c r="H2" s="100">
        <v>700</v>
      </c>
      <c r="I2" s="99">
        <v>7747.7200000000012</v>
      </c>
      <c r="J2" s="99">
        <v>-1636.7200000000012</v>
      </c>
      <c r="K2" s="116">
        <v>-0.21125182634375025</v>
      </c>
      <c r="L2" s="117" t="str">
        <f>HYPERLINK("http://finance.yahoo.com/q?s=" &amp; E2, "Link")</f>
        <v>Link</v>
      </c>
      <c r="N2" s="115"/>
      <c r="O2" s="115"/>
    </row>
    <row r="3" spans="1:15" ht="18.95" customHeight="1" x14ac:dyDescent="0.25">
      <c r="A3" s="101"/>
      <c r="B3" s="101"/>
      <c r="C3" s="102"/>
      <c r="D3" s="103"/>
      <c r="E3" s="36" t="s">
        <v>18</v>
      </c>
      <c r="F3" s="99">
        <v>10.62</v>
      </c>
      <c r="G3" s="99">
        <v>29.640625</v>
      </c>
      <c r="H3" s="100">
        <v>80</v>
      </c>
      <c r="I3" s="99">
        <v>2371.25</v>
      </c>
      <c r="J3" s="99">
        <v>-1521.65</v>
      </c>
      <c r="K3" s="116">
        <v>-0.64170795993674234</v>
      </c>
      <c r="L3" s="117" t="str">
        <f>HYPERLINK("http://finance.yahoo.com/q?s=" &amp; E3, "Link")</f>
        <v>Link</v>
      </c>
      <c r="N3" s="115"/>
      <c r="O3" s="115"/>
    </row>
    <row r="4" spans="1:15" ht="18.95" customHeight="1" x14ac:dyDescent="0.25">
      <c r="A4" s="101"/>
      <c r="B4" s="101"/>
      <c r="C4" s="102"/>
      <c r="D4" s="103"/>
      <c r="E4" s="36" t="s">
        <v>45</v>
      </c>
      <c r="F4" s="99">
        <v>61.25</v>
      </c>
      <c r="G4" s="99">
        <v>62.165999999999997</v>
      </c>
      <c r="H4" s="100">
        <v>100</v>
      </c>
      <c r="I4" s="99">
        <v>6216.5999999999995</v>
      </c>
      <c r="J4" s="99">
        <v>-91.599999999999454</v>
      </c>
      <c r="K4" s="116">
        <v>-1.4734742463726101E-2</v>
      </c>
      <c r="L4" s="117" t="str">
        <f>HYPERLINK("http://finance.yahoo.com/q?s=" &amp; E4, "Link")</f>
        <v>Link</v>
      </c>
      <c r="N4" s="115"/>
      <c r="O4" s="115"/>
    </row>
    <row r="5" spans="1:15" ht="18.95" customHeight="1" x14ac:dyDescent="0.25">
      <c r="A5" s="102"/>
      <c r="B5" s="102"/>
      <c r="C5" s="102"/>
      <c r="D5" s="103"/>
      <c r="E5" s="36" t="s">
        <v>68</v>
      </c>
      <c r="F5" s="99">
        <v>7.91</v>
      </c>
      <c r="G5" s="99">
        <v>10.082500000000001</v>
      </c>
      <c r="H5" s="100">
        <v>120</v>
      </c>
      <c r="I5" s="99">
        <v>1209.9000000000001</v>
      </c>
      <c r="J5" s="99">
        <v>-260.70000000000005</v>
      </c>
      <c r="K5" s="116">
        <v>-0.21547235308703208</v>
      </c>
      <c r="L5" s="117" t="str">
        <f>HYPERLINK("http://finance.yahoo.com/q?s=" &amp; E5, "Link")</f>
        <v>Link</v>
      </c>
    </row>
    <row r="6" spans="1:15" ht="18.95" customHeight="1" x14ac:dyDescent="0.25">
      <c r="A6" s="101"/>
      <c r="B6" s="101"/>
      <c r="C6" s="102"/>
      <c r="D6" s="103"/>
      <c r="E6" s="36" t="s">
        <v>33</v>
      </c>
      <c r="F6" s="99">
        <v>111.45</v>
      </c>
      <c r="G6" s="99">
        <v>124.15200000000002</v>
      </c>
      <c r="H6" s="100">
        <v>60</v>
      </c>
      <c r="I6" s="99">
        <v>7449.1200000000008</v>
      </c>
      <c r="J6" s="99">
        <v>-758.1200000000008</v>
      </c>
      <c r="K6" s="116">
        <v>-0.10231007152522723</v>
      </c>
      <c r="L6" s="117" t="str">
        <f>HYPERLINK("http://finance.yahoo.com/q?s=" &amp; E6, "Link")</f>
        <v>Link</v>
      </c>
    </row>
    <row r="7" spans="1:15" ht="18.95" customHeight="1" x14ac:dyDescent="0.25">
      <c r="A7" s="113"/>
      <c r="B7" s="114"/>
      <c r="C7" s="113"/>
      <c r="D7" s="103"/>
      <c r="E7" s="36" t="s">
        <v>62</v>
      </c>
      <c r="F7" s="99">
        <v>295.64</v>
      </c>
      <c r="G7" s="99">
        <v>320</v>
      </c>
      <c r="H7" s="100">
        <v>5</v>
      </c>
      <c r="I7" s="99">
        <v>1600</v>
      </c>
      <c r="J7" s="99">
        <v>-121.80000000000018</v>
      </c>
      <c r="K7" s="116">
        <v>-7.612500000000004E-2</v>
      </c>
      <c r="L7" s="117" t="str">
        <f>HYPERLINK("http://finance.yahoo.com/q?s=" &amp; E7, "Link")</f>
        <v>Link</v>
      </c>
    </row>
    <row r="8" spans="1:15" ht="18.95" customHeight="1" x14ac:dyDescent="0.25">
      <c r="A8" s="101"/>
      <c r="B8" s="101"/>
      <c r="C8" s="102"/>
      <c r="D8" s="103"/>
      <c r="E8" s="36" t="s">
        <v>11</v>
      </c>
      <c r="F8" s="99">
        <v>123.79</v>
      </c>
      <c r="G8" s="99">
        <v>150.67140000000001</v>
      </c>
      <c r="H8" s="100">
        <v>50</v>
      </c>
      <c r="I8" s="99">
        <v>7533.5700000000006</v>
      </c>
      <c r="J8" s="99">
        <v>-1344.0700000000006</v>
      </c>
      <c r="K8" s="116">
        <v>-0.17841076674139883</v>
      </c>
      <c r="L8" s="117" t="str">
        <f>HYPERLINK("http://finance.yahoo.com/q?s=" &amp; E8, "Link")</f>
        <v>Link</v>
      </c>
    </row>
    <row r="9" spans="1:15" ht="18.95" customHeight="1" x14ac:dyDescent="0.25">
      <c r="A9" s="101"/>
      <c r="B9" s="101"/>
      <c r="C9" s="102"/>
      <c r="D9" s="103"/>
      <c r="E9" s="36" t="s">
        <v>52</v>
      </c>
      <c r="F9" s="99">
        <v>80.599999999999994</v>
      </c>
      <c r="G9" s="99">
        <v>82.314999999999998</v>
      </c>
      <c r="H9" s="100">
        <v>40</v>
      </c>
      <c r="I9" s="99">
        <v>3292.6</v>
      </c>
      <c r="J9" s="99">
        <v>-68.599999999999909</v>
      </c>
      <c r="K9" s="116">
        <v>-2.0834598797303084E-2</v>
      </c>
      <c r="L9" s="117" t="str">
        <f>HYPERLINK("http://finance.yahoo.com/q?s=" &amp; E9, "Link")</f>
        <v>Link</v>
      </c>
      <c r="N9" s="115"/>
      <c r="O9" s="115"/>
    </row>
    <row r="10" spans="1:15" ht="18.95" customHeight="1" x14ac:dyDescent="0.25">
      <c r="A10" s="101"/>
      <c r="B10" s="101"/>
      <c r="C10" s="102"/>
      <c r="D10" s="103"/>
      <c r="E10" s="36" t="s">
        <v>17</v>
      </c>
      <c r="F10" s="99">
        <v>16.5</v>
      </c>
      <c r="G10" s="99">
        <v>18.1795875</v>
      </c>
      <c r="H10" s="100">
        <v>4000</v>
      </c>
      <c r="I10" s="99">
        <v>66000</v>
      </c>
      <c r="J10" s="99">
        <v>-6718.3500000000058</v>
      </c>
      <c r="K10" s="116">
        <v>-9.238864743218185E-2</v>
      </c>
      <c r="L10" s="117" t="str">
        <f>HYPERLINK("http://finance.yahoo.com/q?s=" &amp; E10, "Link")</f>
        <v>Link</v>
      </c>
    </row>
    <row r="11" spans="1:15" ht="18.95" customHeight="1" x14ac:dyDescent="0.25">
      <c r="A11" s="101"/>
      <c r="B11" s="101"/>
      <c r="C11" s="102"/>
      <c r="D11" s="103"/>
      <c r="E11" s="36" t="s">
        <v>19</v>
      </c>
      <c r="F11" s="99">
        <v>35.1</v>
      </c>
      <c r="G11" s="99">
        <v>32.507843137254902</v>
      </c>
      <c r="H11" s="100">
        <v>51</v>
      </c>
      <c r="I11" s="99">
        <v>1657.9</v>
      </c>
      <c r="J11" s="99">
        <v>139.93000000000004</v>
      </c>
      <c r="K11" s="116">
        <v>7.9739429398636874E-2</v>
      </c>
      <c r="L11" s="117" t="str">
        <f>HYPERLINK("http://finance.yahoo.com/q?s=" &amp; E11, "Link")</f>
        <v>Link</v>
      </c>
      <c r="N11" s="115"/>
      <c r="O11" s="115"/>
    </row>
    <row r="12" spans="1:15" ht="18.95" customHeight="1" x14ac:dyDescent="0.25">
      <c r="A12" s="101"/>
      <c r="B12" s="102"/>
      <c r="C12" s="102"/>
      <c r="D12" s="103"/>
      <c r="E12" s="36" t="s">
        <v>63</v>
      </c>
      <c r="F12" s="99">
        <v>98.84</v>
      </c>
      <c r="G12" s="99">
        <v>110.09500000000001</v>
      </c>
      <c r="H12" s="100">
        <v>30</v>
      </c>
      <c r="I12" s="99">
        <v>3302.8500000000004</v>
      </c>
      <c r="J12" s="99">
        <v>-337.65000000000009</v>
      </c>
      <c r="K12" s="116">
        <v>-0.10222989236568426</v>
      </c>
      <c r="L12" s="117" t="str">
        <f>HYPERLINK("http://finance.yahoo.com/q?s=" &amp; E12, "Link")</f>
        <v>Link</v>
      </c>
      <c r="N12" s="115"/>
      <c r="O12" s="115"/>
    </row>
    <row r="13" spans="1:15" ht="18.95" customHeight="1" x14ac:dyDescent="0.25">
      <c r="A13" s="101"/>
      <c r="B13" s="101"/>
      <c r="C13" s="102"/>
      <c r="D13" s="103"/>
      <c r="E13" s="36" t="s">
        <v>55</v>
      </c>
      <c r="F13" s="99">
        <v>105.33</v>
      </c>
      <c r="G13" s="99">
        <v>113.01000000000002</v>
      </c>
      <c r="H13" s="100">
        <v>10</v>
      </c>
      <c r="I13" s="99">
        <v>1130.1000000000001</v>
      </c>
      <c r="J13" s="99">
        <v>-76.800000000000182</v>
      </c>
      <c r="K13" s="116">
        <v>-6.7958587735598791E-2</v>
      </c>
      <c r="L13" s="117" t="str">
        <f>HYPERLINK("http://finance.yahoo.com/q?s=" &amp; E13, "Link")</f>
        <v>Link</v>
      </c>
    </row>
    <row r="14" spans="1:15" ht="18.95" customHeight="1" x14ac:dyDescent="0.25">
      <c r="A14" s="101"/>
      <c r="B14" s="101"/>
      <c r="C14" s="102"/>
      <c r="D14" s="103"/>
      <c r="E14" s="36" t="s">
        <v>56</v>
      </c>
      <c r="F14" s="99">
        <v>29.6</v>
      </c>
      <c r="G14" s="99">
        <v>30.987500000000001</v>
      </c>
      <c r="H14" s="100">
        <v>40</v>
      </c>
      <c r="I14" s="99">
        <v>1239.5</v>
      </c>
      <c r="J14" s="99">
        <v>-55.5</v>
      </c>
      <c r="K14" s="116">
        <v>-4.4776119402985051E-2</v>
      </c>
      <c r="L14" s="117" t="str">
        <f>HYPERLINK("http://finance.yahoo.com/q?s=" &amp; E14, "Link")</f>
        <v>Link</v>
      </c>
    </row>
    <row r="15" spans="1:15" ht="18.95" customHeight="1" x14ac:dyDescent="0.25">
      <c r="A15" s="101"/>
      <c r="B15" s="101"/>
      <c r="C15" s="102"/>
      <c r="D15" s="103"/>
      <c r="E15" s="36" t="s">
        <v>22</v>
      </c>
      <c r="F15" s="99">
        <v>54.99</v>
      </c>
      <c r="G15" s="99">
        <v>59.963000000000008</v>
      </c>
      <c r="H15" s="100">
        <v>180</v>
      </c>
      <c r="I15" s="99">
        <v>10793.340000000002</v>
      </c>
      <c r="J15" s="99">
        <v>-890.14000000000124</v>
      </c>
      <c r="K15" s="116">
        <v>-8.2934476260360643E-2</v>
      </c>
      <c r="L15" s="117" t="str">
        <f>HYPERLINK("http://finance.yahoo.com/q?s=" &amp; E15, "Link")</f>
        <v>Link</v>
      </c>
    </row>
    <row r="16" spans="1:15" ht="18.95" customHeight="1" x14ac:dyDescent="0.25">
      <c r="A16" s="101"/>
      <c r="B16" s="101"/>
      <c r="C16" s="102"/>
      <c r="D16" s="103"/>
      <c r="E16" s="36" t="s">
        <v>27</v>
      </c>
      <c r="F16" s="99">
        <v>26.56</v>
      </c>
      <c r="G16" s="99">
        <v>29.974374999999998</v>
      </c>
      <c r="H16" s="100">
        <v>800</v>
      </c>
      <c r="I16" s="99">
        <v>23979.5</v>
      </c>
      <c r="J16" s="99">
        <v>-2731.5</v>
      </c>
      <c r="K16" s="116">
        <v>-0.11390979795241769</v>
      </c>
      <c r="L16" s="117" t="str">
        <f>HYPERLINK("http://finance.yahoo.com/q?s=" &amp; E16, "Link")</f>
        <v>Link</v>
      </c>
      <c r="O16" s="115"/>
    </row>
    <row r="17" spans="1:15" ht="18.95" customHeight="1" x14ac:dyDescent="0.25">
      <c r="A17" s="101"/>
      <c r="B17" s="101"/>
      <c r="C17" s="102"/>
      <c r="D17" s="103"/>
      <c r="E17" s="36" t="s">
        <v>15</v>
      </c>
      <c r="F17" s="99">
        <v>18.46</v>
      </c>
      <c r="G17" s="99">
        <v>21.353833333333331</v>
      </c>
      <c r="H17" s="100">
        <v>120</v>
      </c>
      <c r="I17" s="99">
        <v>2562.4599999999996</v>
      </c>
      <c r="J17" s="99">
        <v>-347.25999999999931</v>
      </c>
      <c r="K17" s="116">
        <v>-0.13551821296722666</v>
      </c>
      <c r="L17" s="117" t="str">
        <f>HYPERLINK("http://finance.yahoo.com/q?s=" &amp; E17, "Link")</f>
        <v>Link</v>
      </c>
    </row>
    <row r="18" spans="1:15" ht="18.95" customHeight="1" x14ac:dyDescent="0.25">
      <c r="A18" s="101"/>
      <c r="B18" s="101"/>
      <c r="C18" s="102"/>
      <c r="D18" s="103"/>
      <c r="E18" s="36" t="s">
        <v>24</v>
      </c>
      <c r="F18" s="99">
        <v>40.08</v>
      </c>
      <c r="G18" s="99">
        <v>48.684999999999988</v>
      </c>
      <c r="H18" s="100">
        <v>40</v>
      </c>
      <c r="I18" s="99">
        <v>1947.3999999999996</v>
      </c>
      <c r="J18" s="99">
        <v>-344.19999999999982</v>
      </c>
      <c r="K18" s="116">
        <v>-0.17674848515969996</v>
      </c>
      <c r="L18" s="117" t="str">
        <f>HYPERLINK("http://finance.yahoo.com/q?s=" &amp; E18, "Link")</f>
        <v>Link</v>
      </c>
    </row>
    <row r="19" spans="1:15" ht="18.95" customHeight="1" x14ac:dyDescent="0.25">
      <c r="A19" s="101"/>
      <c r="B19" s="101"/>
      <c r="C19" s="102"/>
      <c r="D19" s="103"/>
      <c r="E19" s="36" t="s">
        <v>50</v>
      </c>
      <c r="F19" s="99">
        <v>15.73</v>
      </c>
      <c r="G19" s="99">
        <v>24.810221176470588</v>
      </c>
      <c r="H19" s="100">
        <v>4250</v>
      </c>
      <c r="I19" s="99">
        <v>105443.44</v>
      </c>
      <c r="J19" s="99">
        <v>-38590.94</v>
      </c>
      <c r="K19" s="116">
        <v>-0.36598711119439953</v>
      </c>
      <c r="L19" s="117" t="str">
        <f>HYPERLINK("http://finance.yahoo.com/q?s=" &amp; E19, "Link")</f>
        <v>Link</v>
      </c>
    </row>
    <row r="20" spans="1:15" ht="18.95" customHeight="1" x14ac:dyDescent="0.25">
      <c r="A20" s="101"/>
      <c r="B20" s="101"/>
      <c r="C20" s="102"/>
      <c r="D20" s="103"/>
      <c r="E20" s="36" t="s">
        <v>34</v>
      </c>
      <c r="F20" s="99">
        <v>14.53</v>
      </c>
      <c r="G20" s="99">
        <v>18.088346253229975</v>
      </c>
      <c r="H20" s="100">
        <v>3870</v>
      </c>
      <c r="I20" s="99">
        <v>70001.900000000009</v>
      </c>
      <c r="J20" s="99">
        <v>-13770.80000000001</v>
      </c>
      <c r="K20" s="116">
        <v>-0.19672037473268592</v>
      </c>
      <c r="L20" s="117" t="str">
        <f>HYPERLINK("http://finance.yahoo.com/q?s=" &amp; E20, "Link")</f>
        <v>Link</v>
      </c>
      <c r="O20" s="36"/>
    </row>
    <row r="21" spans="1:15" ht="18.95" customHeight="1" x14ac:dyDescent="0.25">
      <c r="A21" s="101"/>
      <c r="B21" s="102"/>
      <c r="C21" s="102"/>
      <c r="D21" s="103"/>
      <c r="E21" s="36" t="s">
        <v>47</v>
      </c>
      <c r="F21" s="99">
        <v>77.98</v>
      </c>
      <c r="G21" s="99">
        <v>84.788333333333341</v>
      </c>
      <c r="H21" s="100">
        <v>60</v>
      </c>
      <c r="I21" s="99">
        <v>5087.3</v>
      </c>
      <c r="J21" s="99">
        <v>-408.5</v>
      </c>
      <c r="K21" s="116">
        <v>-8.0297996972854002E-2</v>
      </c>
      <c r="L21" s="117" t="str">
        <f>HYPERLINK("http://finance.yahoo.com/q?s=" &amp; E21, "Link")</f>
        <v>Link</v>
      </c>
      <c r="N21" s="115"/>
      <c r="O21" s="115"/>
    </row>
    <row r="22" spans="1:15" ht="18.95" customHeight="1" x14ac:dyDescent="0.25">
      <c r="A22" s="101"/>
      <c r="B22" s="101"/>
      <c r="C22" s="102"/>
      <c r="D22" s="103"/>
      <c r="E22" s="36" t="s">
        <v>26</v>
      </c>
      <c r="F22" s="99">
        <v>5.76</v>
      </c>
      <c r="G22" s="99">
        <v>5.8967111111111112</v>
      </c>
      <c r="H22" s="100">
        <v>450</v>
      </c>
      <c r="I22" s="99">
        <v>2653.52</v>
      </c>
      <c r="J22" s="99">
        <v>-61.519999999999982</v>
      </c>
      <c r="K22" s="116">
        <v>-2.3184298592058908E-2</v>
      </c>
      <c r="L22" s="117" t="str">
        <f>HYPERLINK("http://finance.yahoo.com/q?s=" &amp; E22, "Link")</f>
        <v>Link</v>
      </c>
    </row>
    <row r="23" spans="1:15" ht="18.95" customHeight="1" x14ac:dyDescent="0.25">
      <c r="A23" s="101"/>
      <c r="B23" s="101"/>
      <c r="C23" s="102"/>
      <c r="D23" s="103"/>
      <c r="E23" s="36" t="s">
        <v>23</v>
      </c>
      <c r="F23" s="99">
        <v>36.299999999999997</v>
      </c>
      <c r="G23" s="99">
        <v>33.880000000000017</v>
      </c>
      <c r="H23" s="100">
        <v>40</v>
      </c>
      <c r="I23" s="99">
        <v>1355.2000000000007</v>
      </c>
      <c r="J23" s="99">
        <v>96.799999999999272</v>
      </c>
      <c r="K23" s="116">
        <v>7.1428571428570814E-2</v>
      </c>
      <c r="L23" s="117" t="str">
        <f>HYPERLINK("http://finance.yahoo.com/q?s=" &amp; E23, "Link")</f>
        <v>Link</v>
      </c>
    </row>
    <row r="24" spans="1:15" ht="18.95" customHeight="1" x14ac:dyDescent="0.25">
      <c r="A24" s="101"/>
      <c r="B24" s="101"/>
      <c r="C24" s="102"/>
      <c r="D24" s="103"/>
      <c r="E24" s="36" t="s">
        <v>35</v>
      </c>
      <c r="F24" s="99">
        <v>40.99</v>
      </c>
      <c r="G24" s="99">
        <v>47.585714285714289</v>
      </c>
      <c r="H24" s="100">
        <v>35</v>
      </c>
      <c r="I24" s="99">
        <v>1665.5</v>
      </c>
      <c r="J24" s="99">
        <v>-230.84999999999991</v>
      </c>
      <c r="K24" s="116">
        <v>-0.13860702491744223</v>
      </c>
      <c r="L24" s="117" t="str">
        <f>HYPERLINK("http://finance.yahoo.com/q?s=" &amp; E24, "Link")</f>
        <v>Link</v>
      </c>
    </row>
    <row r="25" spans="1:15" ht="18.95" customHeight="1" x14ac:dyDescent="0.25">
      <c r="A25" s="101"/>
      <c r="B25" s="101"/>
      <c r="C25" s="102"/>
      <c r="D25" s="103"/>
      <c r="E25" s="36" t="s">
        <v>44</v>
      </c>
      <c r="F25" s="99">
        <v>71.62</v>
      </c>
      <c r="G25" s="99">
        <v>62.05</v>
      </c>
      <c r="H25" s="100">
        <v>5</v>
      </c>
      <c r="I25" s="99">
        <v>310.25</v>
      </c>
      <c r="J25" s="99">
        <v>47.850000000000023</v>
      </c>
      <c r="K25" s="116">
        <v>0.1542304593070106</v>
      </c>
      <c r="L25" s="117" t="str">
        <f>HYPERLINK("http://finance.yahoo.com/q?s=" &amp; E25, "Link")</f>
        <v>Link</v>
      </c>
    </row>
    <row r="26" spans="1:15" ht="18.95" customHeight="1" x14ac:dyDescent="0.25">
      <c r="A26" s="101"/>
      <c r="B26" s="101"/>
      <c r="C26" s="102"/>
      <c r="D26" s="103"/>
      <c r="E26" s="36" t="s">
        <v>39</v>
      </c>
      <c r="F26" s="99">
        <v>31.22</v>
      </c>
      <c r="G26" s="99">
        <v>33.587499999999999</v>
      </c>
      <c r="H26" s="100">
        <v>80</v>
      </c>
      <c r="I26" s="99">
        <v>2687</v>
      </c>
      <c r="J26" s="99">
        <v>-189.40000000000009</v>
      </c>
      <c r="K26" s="116">
        <v>-7.0487532564197986E-2</v>
      </c>
      <c r="L26" s="117" t="str">
        <f>HYPERLINK("http://finance.yahoo.com/q?s=" &amp; E26, "Link")</f>
        <v>Link</v>
      </c>
    </row>
    <row r="27" spans="1:15" ht="18.95" customHeight="1" x14ac:dyDescent="0.25">
      <c r="A27" s="101"/>
      <c r="B27" s="101"/>
      <c r="C27" s="102"/>
      <c r="D27" s="103"/>
      <c r="E27" s="36" t="s">
        <v>51</v>
      </c>
      <c r="F27" s="99">
        <v>116.28</v>
      </c>
      <c r="G27" s="99">
        <v>119.52666666666667</v>
      </c>
      <c r="H27" s="100">
        <v>15</v>
      </c>
      <c r="I27" s="99">
        <v>1792.9</v>
      </c>
      <c r="J27" s="99">
        <v>-48.700000000000045</v>
      </c>
      <c r="K27" s="116">
        <v>-2.7162697306040519E-2</v>
      </c>
      <c r="L27" s="117" t="str">
        <f>HYPERLINK("http://finance.yahoo.com/q?s=" &amp; E27, "Link")</f>
        <v>Link</v>
      </c>
    </row>
    <row r="28" spans="1:15" ht="18.95" customHeight="1" x14ac:dyDescent="0.25">
      <c r="A28" s="102"/>
      <c r="B28" s="101"/>
      <c r="C28" s="102"/>
      <c r="D28" s="103"/>
      <c r="E28" s="36" t="s">
        <v>42</v>
      </c>
      <c r="F28" s="99">
        <v>86.45</v>
      </c>
      <c r="G28" s="99">
        <v>96.710833333333326</v>
      </c>
      <c r="H28" s="100">
        <v>60</v>
      </c>
      <c r="I28" s="99">
        <v>5802.65</v>
      </c>
      <c r="J28" s="99">
        <v>-615.64999999999964</v>
      </c>
      <c r="K28" s="116">
        <v>-0.10609807587912409</v>
      </c>
      <c r="L28" s="117" t="str">
        <f>HYPERLINK("http://finance.yahoo.com/q?s=" &amp; E28, "Link")</f>
        <v>Link</v>
      </c>
      <c r="N28" s="115"/>
      <c r="O28" s="115"/>
    </row>
    <row r="29" spans="1:15" ht="18.95" customHeight="1" x14ac:dyDescent="0.25">
      <c r="A29" s="101"/>
      <c r="B29" s="101"/>
      <c r="C29" s="102"/>
      <c r="D29" s="103"/>
      <c r="E29" s="36" t="s">
        <v>54</v>
      </c>
      <c r="F29" s="99">
        <v>93.01</v>
      </c>
      <c r="G29" s="99">
        <v>97.993999999999986</v>
      </c>
      <c r="H29" s="100">
        <v>5</v>
      </c>
      <c r="I29" s="99">
        <v>489.96999999999991</v>
      </c>
      <c r="J29" s="99">
        <v>-24.919999999999902</v>
      </c>
      <c r="K29" s="116">
        <v>-5.0860256750413099E-2</v>
      </c>
      <c r="L29" s="117" t="str">
        <f>HYPERLINK("http://finance.yahoo.com/q?s=" &amp; E29, "Link")</f>
        <v>Link</v>
      </c>
      <c r="N29" s="115"/>
      <c r="O29" s="115"/>
    </row>
    <row r="30" spans="1:15" ht="18.95" customHeight="1" x14ac:dyDescent="0.25">
      <c r="A30" s="101"/>
      <c r="B30" s="101"/>
      <c r="C30" s="102"/>
      <c r="D30" s="103"/>
      <c r="E30" s="36" t="s">
        <v>53</v>
      </c>
      <c r="F30" s="99">
        <v>45.17</v>
      </c>
      <c r="G30" s="99">
        <v>47.628571428571426</v>
      </c>
      <c r="H30" s="100">
        <v>35</v>
      </c>
      <c r="I30" s="99">
        <v>1667</v>
      </c>
      <c r="J30" s="99">
        <v>-86.049999999999955</v>
      </c>
      <c r="K30" s="116">
        <v>-5.1619676064786964E-2</v>
      </c>
      <c r="L30" s="117" t="str">
        <f>HYPERLINK("http://finance.yahoo.com/q?s=" &amp; E30, "Link")</f>
        <v>Link</v>
      </c>
    </row>
    <row r="31" spans="1:15" ht="18.95" customHeight="1" x14ac:dyDescent="0.25">
      <c r="A31" s="101"/>
      <c r="B31" s="101"/>
      <c r="C31" s="102"/>
      <c r="D31" s="103"/>
      <c r="E31" s="36"/>
      <c r="K31" s="116"/>
      <c r="L31" s="117"/>
      <c r="N31" s="115"/>
      <c r="O31" s="115"/>
    </row>
    <row r="32" spans="1:15" ht="18.95" customHeight="1" x14ac:dyDescent="0.25">
      <c r="A32" s="104"/>
      <c r="D32" s="103"/>
    </row>
    <row r="33" spans="1:4" ht="18.95" customHeight="1" x14ac:dyDescent="0.25">
      <c r="A33" s="104"/>
      <c r="D33" s="103"/>
    </row>
    <row r="34" spans="1:4" ht="18.95" customHeight="1" x14ac:dyDescent="0.25">
      <c r="A34" s="104"/>
    </row>
  </sheetData>
  <sortState ref="A2:O34">
    <sortCondition ref="E1"/>
  </sortState>
  <conditionalFormatting sqref="J2:J30">
    <cfRule type="expression" dxfId="1" priority="6">
      <formula>$J2&lt;0</formula>
    </cfRule>
  </conditionalFormatting>
  <conditionalFormatting sqref="J2:J30">
    <cfRule type="expression" dxfId="0" priority="5">
      <formula>$J2&gt;0</formula>
    </cfRule>
  </conditionalFormatting>
  <conditionalFormatting sqref="K1:K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E19" location="MRO!A1" display="MRO"/>
    <hyperlink ref="E10" location="CPN!A1" display="CPN"/>
    <hyperlink ref="E20" location="MU!A1" display="MU"/>
    <hyperlink ref="E16" location="INTC!A1" display="INTC"/>
    <hyperlink ref="E15" location="HES!A1" display="HES"/>
    <hyperlink ref="E28" location="UNP!A1" display="UNP"/>
    <hyperlink ref="E23" location="PINC!A1" display="PINC"/>
    <hyperlink ref="E2" location="AA!A1" display="AA"/>
    <hyperlink ref="E17" location="KATE!A1" display="KATE"/>
    <hyperlink ref="E18" location="KORS!A1" display="KORS"/>
    <hyperlink ref="E4" location="ALL!A1" display="ALL"/>
    <hyperlink ref="E22" location="ONCS!A1" display="ONCS"/>
    <hyperlink ref="E21" location="NSC!A1" display="NSC"/>
    <hyperlink ref="E9" location="CAH!A1" display="CAH"/>
    <hyperlink ref="E24" location="SCTY!A1" display="SCTY"/>
    <hyperlink ref="E5" location="ATE!A1" display="ATE"/>
    <hyperlink ref="E11" location="CTWS!A1" display="CTWS"/>
    <hyperlink ref="E6" location="AVGO!A1" display="AVGO"/>
    <hyperlink ref="E12" location="DIS!A1" display="DIS"/>
    <hyperlink ref="E13" location="GILD!A1" display="GILD"/>
    <hyperlink ref="E30" location="WWD!A1" display="WWD"/>
    <hyperlink ref="E14" location="GM!A1" display="GM"/>
    <hyperlink ref="E25" location="TCO!A1" display="TCO"/>
    <hyperlink ref="E26" location="TKR!A1" display="TKR"/>
    <hyperlink ref="E29" location="UTX!A1" display="UTX"/>
    <hyperlink ref="E27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6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9.140625" style="2"/>
    <col min="10" max="11" width="9.140625" style="2"/>
    <col min="17" max="17" width="9.5703125" bestFit="1" customWidth="1"/>
    <col min="20" max="20" width="9.140625" style="7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163</v>
      </c>
      <c r="F1" s="34" t="s">
        <v>60</v>
      </c>
      <c r="G1" s="20" t="s">
        <v>3</v>
      </c>
      <c r="H1" s="34" t="s">
        <v>6</v>
      </c>
      <c r="I1" s="20" t="s">
        <v>162</v>
      </c>
      <c r="J1" s="34" t="s">
        <v>7</v>
      </c>
      <c r="K1" s="34" t="s">
        <v>61</v>
      </c>
      <c r="L1" s="20" t="s">
        <v>37</v>
      </c>
      <c r="M1" s="20" t="s">
        <v>38</v>
      </c>
      <c r="T1" s="73" t="s">
        <v>74</v>
      </c>
    </row>
    <row r="2" spans="1:21" x14ac:dyDescent="0.25">
      <c r="A2" s="8" t="s">
        <v>50</v>
      </c>
      <c r="B2" s="1">
        <v>42187</v>
      </c>
      <c r="C2" s="9">
        <v>1000</v>
      </c>
      <c r="D2" s="79">
        <v>27.25</v>
      </c>
      <c r="E2" s="79"/>
      <c r="F2" s="2">
        <f>C2*D2</f>
        <v>27250</v>
      </c>
      <c r="G2" s="1">
        <v>42187</v>
      </c>
      <c r="H2" s="79">
        <v>2000</v>
      </c>
      <c r="I2" s="9"/>
      <c r="J2" s="79">
        <v>27.34</v>
      </c>
      <c r="K2" s="2">
        <f>H2*J2</f>
        <v>54680</v>
      </c>
      <c r="O2" s="20" t="s">
        <v>57</v>
      </c>
      <c r="Q2">
        <f>C26-H26</f>
        <v>4250</v>
      </c>
      <c r="T2" s="72">
        <v>42233</v>
      </c>
      <c r="U2" t="s">
        <v>145</v>
      </c>
    </row>
    <row r="3" spans="1:21" x14ac:dyDescent="0.25">
      <c r="A3" s="36" t="s">
        <v>81</v>
      </c>
      <c r="B3" s="1">
        <v>42187</v>
      </c>
      <c r="C3">
        <v>80</v>
      </c>
      <c r="D3" s="2">
        <v>27.15</v>
      </c>
      <c r="F3" s="2">
        <f t="shared" ref="F3:F25" si="0">C3*D3</f>
        <v>2172</v>
      </c>
      <c r="G3" s="1">
        <v>42199</v>
      </c>
      <c r="H3" s="25">
        <v>102</v>
      </c>
      <c r="I3" s="10"/>
      <c r="J3" s="25">
        <v>25.28</v>
      </c>
      <c r="K3" s="2">
        <f>H3*J3</f>
        <v>2578.56</v>
      </c>
      <c r="O3" s="20" t="s">
        <v>58</v>
      </c>
      <c r="Q3" s="2">
        <f>(F26-K26)/Q2</f>
        <v>24.810221176470588</v>
      </c>
      <c r="T3" s="72">
        <v>42257</v>
      </c>
      <c r="U3" t="s">
        <v>146</v>
      </c>
    </row>
    <row r="4" spans="1:21" x14ac:dyDescent="0.25">
      <c r="B4" s="1">
        <v>42187</v>
      </c>
      <c r="C4" s="9">
        <v>1000</v>
      </c>
      <c r="D4" s="79">
        <v>27.1</v>
      </c>
      <c r="E4" s="79"/>
      <c r="F4" s="2">
        <f t="shared" si="0"/>
        <v>27100</v>
      </c>
      <c r="G4" s="1">
        <v>42227</v>
      </c>
      <c r="H4" s="80">
        <v>200</v>
      </c>
      <c r="I4" s="11"/>
      <c r="J4" s="80">
        <v>19.649999999999999</v>
      </c>
      <c r="K4" s="2">
        <f>H4*J4</f>
        <v>3929.9999999999995</v>
      </c>
      <c r="O4" s="20" t="s">
        <v>66</v>
      </c>
      <c r="Q4" s="106">
        <v>15.73</v>
      </c>
      <c r="T4" s="72">
        <v>42311</v>
      </c>
      <c r="U4" t="s">
        <v>128</v>
      </c>
    </row>
    <row r="5" spans="1:21" x14ac:dyDescent="0.25">
      <c r="B5" s="1">
        <v>42187</v>
      </c>
      <c r="C5">
        <v>3000</v>
      </c>
      <c r="D5" s="2">
        <v>27.04</v>
      </c>
      <c r="F5" s="2">
        <f t="shared" si="0"/>
        <v>81120</v>
      </c>
      <c r="G5" s="1">
        <v>42227</v>
      </c>
      <c r="H5" s="80">
        <v>200</v>
      </c>
      <c r="I5" s="11"/>
      <c r="J5" s="80">
        <v>18.7</v>
      </c>
      <c r="K5" s="2">
        <f>H5*J5</f>
        <v>3740</v>
      </c>
      <c r="O5" s="20" t="s">
        <v>67</v>
      </c>
      <c r="Q5" s="5">
        <f>Q4*Q2</f>
        <v>66852.5</v>
      </c>
    </row>
    <row r="6" spans="1:21" x14ac:dyDescent="0.25">
      <c r="B6" s="1">
        <v>42198</v>
      </c>
      <c r="C6">
        <v>100</v>
      </c>
      <c r="D6" s="2">
        <v>24.77</v>
      </c>
      <c r="F6" s="2">
        <f t="shared" si="0"/>
        <v>2477</v>
      </c>
      <c r="O6" s="20" t="s">
        <v>64</v>
      </c>
      <c r="Q6" s="2">
        <f>Q3*Q2</f>
        <v>105443.44</v>
      </c>
    </row>
    <row r="7" spans="1:21" x14ac:dyDescent="0.25">
      <c r="B7" s="1">
        <v>42205</v>
      </c>
      <c r="C7" s="10">
        <v>50</v>
      </c>
      <c r="D7" s="25">
        <v>24.35</v>
      </c>
      <c r="E7" s="25"/>
      <c r="F7" s="2">
        <f t="shared" si="0"/>
        <v>1217.5</v>
      </c>
      <c r="O7" s="20" t="s">
        <v>65</v>
      </c>
      <c r="Q7" s="2">
        <f>Q5-Q6+M26</f>
        <v>-38590.94</v>
      </c>
    </row>
    <row r="8" spans="1:21" x14ac:dyDescent="0.25">
      <c r="B8" s="1">
        <v>42207</v>
      </c>
      <c r="C8" s="10">
        <v>20</v>
      </c>
      <c r="D8" s="25">
        <v>24.02</v>
      </c>
      <c r="E8" s="25"/>
      <c r="F8" s="2">
        <f t="shared" si="0"/>
        <v>480.4</v>
      </c>
      <c r="G8" s="2"/>
    </row>
    <row r="9" spans="1:21" x14ac:dyDescent="0.25">
      <c r="B9" s="1">
        <v>42207</v>
      </c>
      <c r="C9" s="10">
        <v>20</v>
      </c>
      <c r="D9" s="25">
        <v>23.91</v>
      </c>
      <c r="E9" s="25"/>
      <c r="F9" s="2">
        <f t="shared" si="0"/>
        <v>478.2</v>
      </c>
    </row>
    <row r="10" spans="1:21" x14ac:dyDescent="0.25">
      <c r="B10" s="1">
        <v>42207</v>
      </c>
      <c r="C10">
        <v>20</v>
      </c>
      <c r="D10" s="2">
        <v>23.7</v>
      </c>
      <c r="F10" s="2">
        <f t="shared" si="0"/>
        <v>474</v>
      </c>
    </row>
    <row r="11" spans="1:21" x14ac:dyDescent="0.25">
      <c r="B11" s="1">
        <v>42207</v>
      </c>
      <c r="C11">
        <v>20</v>
      </c>
      <c r="D11" s="2">
        <v>23.6</v>
      </c>
      <c r="F11" s="2">
        <f t="shared" si="0"/>
        <v>472</v>
      </c>
    </row>
    <row r="12" spans="1:21" x14ac:dyDescent="0.25">
      <c r="B12" s="1">
        <v>42209</v>
      </c>
      <c r="C12">
        <v>40</v>
      </c>
      <c r="D12" s="2">
        <v>22.3</v>
      </c>
      <c r="F12" s="2">
        <f t="shared" si="0"/>
        <v>892</v>
      </c>
    </row>
    <row r="13" spans="1:21" x14ac:dyDescent="0.25">
      <c r="B13" s="1">
        <v>42221</v>
      </c>
      <c r="C13" s="10">
        <v>12</v>
      </c>
      <c r="D13" s="25">
        <v>20.95</v>
      </c>
      <c r="E13" s="25"/>
      <c r="F13" s="2">
        <f t="shared" si="0"/>
        <v>251.39999999999998</v>
      </c>
    </row>
    <row r="14" spans="1:21" x14ac:dyDescent="0.25">
      <c r="B14" s="1">
        <v>42223</v>
      </c>
      <c r="C14">
        <v>100</v>
      </c>
      <c r="D14" s="2">
        <v>20.399999999999999</v>
      </c>
      <c r="F14" s="2">
        <f t="shared" si="0"/>
        <v>2039.9999999999998</v>
      </c>
    </row>
    <row r="15" spans="1:21" x14ac:dyDescent="0.25">
      <c r="B15" s="1">
        <v>42226</v>
      </c>
      <c r="C15">
        <v>200</v>
      </c>
      <c r="D15" s="2">
        <v>19.95</v>
      </c>
      <c r="F15" s="2">
        <f t="shared" si="0"/>
        <v>3990</v>
      </c>
    </row>
    <row r="16" spans="1:21" x14ac:dyDescent="0.25">
      <c r="B16" s="1">
        <v>42226</v>
      </c>
      <c r="C16">
        <v>50</v>
      </c>
      <c r="D16" s="2">
        <v>20.010000000000002</v>
      </c>
      <c r="F16" s="2">
        <f t="shared" si="0"/>
        <v>1000.5000000000001</v>
      </c>
    </row>
    <row r="17" spans="1:17" x14ac:dyDescent="0.25">
      <c r="B17" s="1">
        <v>42226</v>
      </c>
      <c r="C17">
        <v>100</v>
      </c>
      <c r="D17" s="2">
        <v>20.2</v>
      </c>
      <c r="F17" s="2">
        <f t="shared" si="0"/>
        <v>2020</v>
      </c>
      <c r="P17" t="s">
        <v>89</v>
      </c>
    </row>
    <row r="18" spans="1:17" x14ac:dyDescent="0.25">
      <c r="B18" s="1">
        <v>42227</v>
      </c>
      <c r="C18" s="11">
        <v>200</v>
      </c>
      <c r="D18" s="80">
        <v>18.399999999999999</v>
      </c>
      <c r="E18" s="80"/>
      <c r="F18" s="2">
        <f t="shared" si="0"/>
        <v>3679.9999999999995</v>
      </c>
      <c r="O18" s="2">
        <f t="shared" ref="O18:O30" si="1">$Q$4</f>
        <v>15.73</v>
      </c>
      <c r="P18">
        <v>1.1000000000000001</v>
      </c>
      <c r="Q18" s="2"/>
    </row>
    <row r="19" spans="1:17" x14ac:dyDescent="0.25">
      <c r="B19" s="1">
        <v>42227</v>
      </c>
      <c r="C19" s="11">
        <v>200</v>
      </c>
      <c r="D19" s="80">
        <v>19.55</v>
      </c>
      <c r="E19" s="80"/>
      <c r="F19" s="2">
        <f t="shared" si="0"/>
        <v>3910</v>
      </c>
      <c r="O19" s="2">
        <f t="shared" si="1"/>
        <v>15.73</v>
      </c>
      <c r="P19">
        <v>1.05</v>
      </c>
      <c r="Q19" s="2"/>
    </row>
    <row r="20" spans="1:17" x14ac:dyDescent="0.25">
      <c r="B20" s="1">
        <v>42234</v>
      </c>
      <c r="C20">
        <v>40</v>
      </c>
      <c r="D20" s="2">
        <v>18.149999999999999</v>
      </c>
      <c r="F20" s="2">
        <f t="shared" si="0"/>
        <v>726</v>
      </c>
      <c r="O20" s="2">
        <f t="shared" si="1"/>
        <v>15.73</v>
      </c>
      <c r="P20">
        <v>1.04</v>
      </c>
      <c r="Q20" s="2"/>
    </row>
    <row r="21" spans="1:17" x14ac:dyDescent="0.25">
      <c r="B21" s="1">
        <v>42234</v>
      </c>
      <c r="C21">
        <v>100</v>
      </c>
      <c r="D21" s="2">
        <v>18</v>
      </c>
      <c r="F21" s="2">
        <f t="shared" si="0"/>
        <v>1800</v>
      </c>
      <c r="O21" s="2">
        <f t="shared" si="1"/>
        <v>15.73</v>
      </c>
      <c r="P21" s="2">
        <v>1.03</v>
      </c>
      <c r="Q21" s="2"/>
    </row>
    <row r="22" spans="1:17" x14ac:dyDescent="0.25">
      <c r="B22" s="1">
        <v>42235</v>
      </c>
      <c r="C22">
        <v>100</v>
      </c>
      <c r="D22" s="2">
        <v>17.78</v>
      </c>
      <c r="F22" s="2">
        <f t="shared" si="0"/>
        <v>1778</v>
      </c>
      <c r="O22" s="2">
        <f t="shared" si="1"/>
        <v>15.73</v>
      </c>
      <c r="P22" s="2">
        <v>1.02</v>
      </c>
      <c r="Q22" s="2"/>
    </row>
    <row r="23" spans="1:17" x14ac:dyDescent="0.25">
      <c r="B23" s="1">
        <v>42235</v>
      </c>
      <c r="C23">
        <v>100</v>
      </c>
      <c r="D23" s="2">
        <v>17.68</v>
      </c>
      <c r="F23" s="2">
        <f t="shared" si="0"/>
        <v>1768</v>
      </c>
      <c r="O23" s="2">
        <f t="shared" si="1"/>
        <v>15.73</v>
      </c>
      <c r="P23" s="2">
        <v>1.01</v>
      </c>
      <c r="Q23" s="2"/>
    </row>
    <row r="24" spans="1:17" x14ac:dyDescent="0.25">
      <c r="B24" s="1">
        <v>42240</v>
      </c>
      <c r="C24">
        <v>100</v>
      </c>
      <c r="D24" s="2">
        <v>16.649999999999999</v>
      </c>
      <c r="F24" s="2">
        <f t="shared" si="0"/>
        <v>1664.9999999999998</v>
      </c>
      <c r="O24" s="2">
        <f t="shared" si="1"/>
        <v>15.73</v>
      </c>
      <c r="P24" s="2">
        <v>1</v>
      </c>
      <c r="Q24" s="2"/>
    </row>
    <row r="25" spans="1:17" x14ac:dyDescent="0.25">
      <c r="B25" s="1">
        <v>42240</v>
      </c>
      <c r="C25">
        <v>100</v>
      </c>
      <c r="D25" s="2">
        <v>16.100000000000001</v>
      </c>
      <c r="F25" s="2">
        <f t="shared" si="0"/>
        <v>1610.0000000000002</v>
      </c>
      <c r="O25" s="2">
        <f t="shared" si="1"/>
        <v>15.73</v>
      </c>
      <c r="P25" s="2">
        <v>0.99</v>
      </c>
      <c r="Q25" s="2"/>
    </row>
    <row r="26" spans="1:17" x14ac:dyDescent="0.25">
      <c r="A26" s="57" t="s">
        <v>114</v>
      </c>
      <c r="B26" s="24"/>
      <c r="C26" s="24">
        <f>SUM(C2:C25)</f>
        <v>6752</v>
      </c>
      <c r="D26" s="24"/>
      <c r="E26" s="24"/>
      <c r="F26" s="24">
        <f t="shared" ref="F26:K26" si="2">SUM(F2:F25)</f>
        <v>170372</v>
      </c>
      <c r="G26" s="24"/>
      <c r="H26" s="31">
        <f t="shared" si="2"/>
        <v>2502</v>
      </c>
      <c r="I26" s="24"/>
      <c r="J26" s="24"/>
      <c r="K26" s="24">
        <f t="shared" si="2"/>
        <v>64928.56</v>
      </c>
      <c r="L26" s="24"/>
      <c r="M26" s="24">
        <f>SUM(M2:M12)</f>
        <v>0</v>
      </c>
      <c r="O26" s="2">
        <f t="shared" si="1"/>
        <v>15.73</v>
      </c>
      <c r="P26" s="2">
        <v>0.98</v>
      </c>
      <c r="Q26" s="2"/>
    </row>
    <row r="27" spans="1:17" x14ac:dyDescent="0.25">
      <c r="O27" s="2">
        <f t="shared" si="1"/>
        <v>15.73</v>
      </c>
      <c r="P27" s="2">
        <v>0.97</v>
      </c>
      <c r="Q27" s="2"/>
    </row>
    <row r="28" spans="1:17" x14ac:dyDescent="0.25">
      <c r="O28" s="2">
        <f t="shared" si="1"/>
        <v>15.73</v>
      </c>
      <c r="P28" s="2">
        <v>0.96</v>
      </c>
      <c r="Q28" s="2"/>
    </row>
    <row r="29" spans="1:17" x14ac:dyDescent="0.25">
      <c r="O29" s="2">
        <f t="shared" si="1"/>
        <v>15.73</v>
      </c>
      <c r="P29" s="2">
        <v>0.95</v>
      </c>
      <c r="Q29" s="2"/>
    </row>
    <row r="30" spans="1:17" x14ac:dyDescent="0.25">
      <c r="O30" s="2">
        <f t="shared" si="1"/>
        <v>15.73</v>
      </c>
      <c r="P30" s="2">
        <v>0.9</v>
      </c>
      <c r="Q30" s="2"/>
    </row>
    <row r="31" spans="1:17" x14ac:dyDescent="0.25">
      <c r="Q31" s="2"/>
    </row>
    <row r="32" spans="1:17" x14ac:dyDescent="0.25">
      <c r="Q32" s="2"/>
    </row>
    <row r="42" spans="1:1" x14ac:dyDescent="0.25">
      <c r="A42" t="s">
        <v>90</v>
      </c>
    </row>
    <row r="43" spans="1:1" x14ac:dyDescent="0.25">
      <c r="A43" t="s">
        <v>91</v>
      </c>
    </row>
    <row r="44" spans="1:1" x14ac:dyDescent="0.25">
      <c r="A44" t="s">
        <v>92</v>
      </c>
    </row>
    <row r="45" spans="1:1" x14ac:dyDescent="0.25">
      <c r="A45" t="s">
        <v>93</v>
      </c>
    </row>
    <row r="46" spans="1:1" x14ac:dyDescent="0.25">
      <c r="A46" t="s">
        <v>94</v>
      </c>
    </row>
    <row r="47" spans="1:1" x14ac:dyDescent="0.25">
      <c r="A47" t="s">
        <v>95</v>
      </c>
    </row>
    <row r="48" spans="1:1" x14ac:dyDescent="0.25">
      <c r="A48" t="s">
        <v>96</v>
      </c>
    </row>
    <row r="49" spans="1:1" x14ac:dyDescent="0.25">
      <c r="A49" t="s">
        <v>97</v>
      </c>
    </row>
    <row r="50" spans="1:1" x14ac:dyDescent="0.25">
      <c r="A50" t="s">
        <v>98</v>
      </c>
    </row>
    <row r="52" spans="1:1" x14ac:dyDescent="0.25">
      <c r="A52" t="s">
        <v>99</v>
      </c>
    </row>
    <row r="53" spans="1:1" x14ac:dyDescent="0.25">
      <c r="A53" t="s">
        <v>100</v>
      </c>
    </row>
    <row r="54" spans="1:1" x14ac:dyDescent="0.25">
      <c r="A54" t="s">
        <v>101</v>
      </c>
    </row>
    <row r="55" spans="1:1" x14ac:dyDescent="0.25">
      <c r="A55" t="s">
        <v>102</v>
      </c>
    </row>
    <row r="56" spans="1:1" x14ac:dyDescent="0.25">
      <c r="A56" t="s">
        <v>103</v>
      </c>
    </row>
    <row r="57" spans="1:1" x14ac:dyDescent="0.25">
      <c r="A57" t="s">
        <v>104</v>
      </c>
    </row>
    <row r="58" spans="1:1" x14ac:dyDescent="0.25">
      <c r="A58" t="s">
        <v>105</v>
      </c>
    </row>
    <row r="59" spans="1:1" x14ac:dyDescent="0.25">
      <c r="A59" t="s">
        <v>106</v>
      </c>
    </row>
    <row r="60" spans="1:1" x14ac:dyDescent="0.25">
      <c r="A60" t="s">
        <v>107</v>
      </c>
    </row>
    <row r="61" spans="1:1" x14ac:dyDescent="0.25">
      <c r="A61" t="s">
        <v>38</v>
      </c>
    </row>
    <row r="62" spans="1:1" x14ac:dyDescent="0.25">
      <c r="A62" t="s">
        <v>108</v>
      </c>
    </row>
    <row r="63" spans="1:1" x14ac:dyDescent="0.25">
      <c r="A63" t="s">
        <v>109</v>
      </c>
    </row>
    <row r="64" spans="1:1" x14ac:dyDescent="0.25">
      <c r="A64" t="s">
        <v>110</v>
      </c>
    </row>
  </sheetData>
  <conditionalFormatting sqref="Q7">
    <cfRule type="expression" dxfId="59" priority="2">
      <formula>Q7&gt;0</formula>
    </cfRule>
    <cfRule type="expression" dxfId="58" priority="3">
      <formula>Q7&lt;0</formula>
    </cfRule>
  </conditionalFormatting>
  <conditionalFormatting sqref="P18:P3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3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7" t="s">
        <v>37</v>
      </c>
      <c r="M1" s="27" t="s">
        <v>38</v>
      </c>
    </row>
    <row r="2" spans="1:23" x14ac:dyDescent="0.25">
      <c r="A2" s="8" t="s">
        <v>17</v>
      </c>
      <c r="B2" s="1">
        <v>42153</v>
      </c>
      <c r="C2">
        <v>1</v>
      </c>
      <c r="D2" s="2">
        <v>20.3</v>
      </c>
      <c r="F2" s="2">
        <f>C2*D2</f>
        <v>20.3</v>
      </c>
      <c r="G2" s="1">
        <v>42235</v>
      </c>
      <c r="H2" s="10">
        <v>600</v>
      </c>
      <c r="I2" s="25">
        <v>17.55</v>
      </c>
      <c r="J2" s="25"/>
      <c r="K2" s="25">
        <f>H2*I2</f>
        <v>10530</v>
      </c>
      <c r="L2" t="s">
        <v>113</v>
      </c>
      <c r="O2" s="20" t="s">
        <v>57</v>
      </c>
      <c r="Q2">
        <f>C25-H25</f>
        <v>4000</v>
      </c>
      <c r="U2" s="20" t="s">
        <v>150</v>
      </c>
    </row>
    <row r="3" spans="1:23" x14ac:dyDescent="0.25">
      <c r="A3" s="36" t="s">
        <v>81</v>
      </c>
      <c r="B3" s="1">
        <v>42164</v>
      </c>
      <c r="C3">
        <v>10</v>
      </c>
      <c r="D3" s="2">
        <v>19.79</v>
      </c>
      <c r="F3" s="2">
        <f t="shared" ref="F3:F24" si="0">C3*D3</f>
        <v>197.89999999999998</v>
      </c>
      <c r="G3" s="1">
        <v>42235</v>
      </c>
      <c r="H3" s="10">
        <v>400</v>
      </c>
      <c r="I3" s="25">
        <v>17.559999999999999</v>
      </c>
      <c r="J3" s="25"/>
      <c r="K3" s="25">
        <f>H3*I3</f>
        <v>7023.9999999999991</v>
      </c>
      <c r="O3" s="20" t="s">
        <v>86</v>
      </c>
      <c r="Q3" s="2">
        <f>(F25-K25)/Q2</f>
        <v>18.1795875</v>
      </c>
    </row>
    <row r="4" spans="1:23" x14ac:dyDescent="0.25">
      <c r="B4" s="1">
        <v>42164</v>
      </c>
      <c r="C4">
        <v>50</v>
      </c>
      <c r="D4" s="2">
        <v>19.7</v>
      </c>
      <c r="F4" s="2">
        <f t="shared" si="0"/>
        <v>985</v>
      </c>
      <c r="O4" s="20" t="s">
        <v>66</v>
      </c>
      <c r="Q4" s="107">
        <v>16.5</v>
      </c>
    </row>
    <row r="5" spans="1:23" x14ac:dyDescent="0.25">
      <c r="B5" s="1">
        <v>42166</v>
      </c>
      <c r="C5">
        <v>39</v>
      </c>
      <c r="D5" s="2">
        <v>19.25</v>
      </c>
      <c r="F5" s="2">
        <f t="shared" si="0"/>
        <v>750.75</v>
      </c>
      <c r="O5" s="20" t="s">
        <v>67</v>
      </c>
      <c r="Q5" s="2">
        <f>F25-K25</f>
        <v>72718.350000000006</v>
      </c>
    </row>
    <row r="6" spans="1:23" x14ac:dyDescent="0.25">
      <c r="B6" s="1">
        <v>42174</v>
      </c>
      <c r="C6">
        <v>20</v>
      </c>
      <c r="D6" s="2">
        <v>19.059999999999999</v>
      </c>
      <c r="F6" s="2">
        <f t="shared" si="0"/>
        <v>381.2</v>
      </c>
      <c r="O6" s="20" t="s">
        <v>64</v>
      </c>
      <c r="Q6" s="2">
        <f>Q4*Q2</f>
        <v>66000</v>
      </c>
    </row>
    <row r="7" spans="1:23" x14ac:dyDescent="0.25">
      <c r="B7" s="1">
        <v>42177</v>
      </c>
      <c r="C7">
        <v>20</v>
      </c>
      <c r="D7" s="2">
        <v>18.899999999999999</v>
      </c>
      <c r="F7" s="2">
        <f t="shared" si="0"/>
        <v>378</v>
      </c>
      <c r="O7" s="20" t="s">
        <v>65</v>
      </c>
      <c r="Q7" s="82">
        <f>Q6-Q5</f>
        <v>-6718.3500000000058</v>
      </c>
    </row>
    <row r="8" spans="1:23" x14ac:dyDescent="0.25">
      <c r="B8" s="1">
        <v>42185</v>
      </c>
      <c r="C8">
        <v>50</v>
      </c>
      <c r="D8" s="2">
        <v>18.72</v>
      </c>
      <c r="F8" s="2">
        <f t="shared" si="0"/>
        <v>936</v>
      </c>
    </row>
    <row r="9" spans="1:23" x14ac:dyDescent="0.25">
      <c r="B9" s="1">
        <v>42187</v>
      </c>
      <c r="C9">
        <v>1000</v>
      </c>
      <c r="D9" s="2">
        <v>18.45</v>
      </c>
      <c r="F9" s="2">
        <f t="shared" si="0"/>
        <v>18450</v>
      </c>
    </row>
    <row r="10" spans="1:23" x14ac:dyDescent="0.25">
      <c r="B10" s="1">
        <v>42187</v>
      </c>
      <c r="C10">
        <v>2000</v>
      </c>
      <c r="D10" s="2">
        <v>18.399999999999999</v>
      </c>
      <c r="F10" s="2">
        <f t="shared" si="0"/>
        <v>36800</v>
      </c>
    </row>
    <row r="11" spans="1:23" x14ac:dyDescent="0.25">
      <c r="B11" s="1">
        <v>42187</v>
      </c>
      <c r="C11">
        <v>210</v>
      </c>
      <c r="D11" s="2">
        <v>18.12</v>
      </c>
      <c r="F11" s="2">
        <f t="shared" si="0"/>
        <v>3805.2000000000003</v>
      </c>
      <c r="U11" s="20" t="s">
        <v>149</v>
      </c>
    </row>
    <row r="12" spans="1:23" x14ac:dyDescent="0.25">
      <c r="B12" s="1">
        <v>42207</v>
      </c>
      <c r="C12">
        <v>30</v>
      </c>
      <c r="D12" s="2">
        <v>17.3</v>
      </c>
      <c r="F12" s="2">
        <f t="shared" si="0"/>
        <v>519</v>
      </c>
    </row>
    <row r="13" spans="1:23" x14ac:dyDescent="0.25">
      <c r="B13" s="1">
        <v>42207</v>
      </c>
      <c r="C13">
        <v>20</v>
      </c>
      <c r="D13" s="2">
        <v>17.399999999999999</v>
      </c>
      <c r="F13" s="2">
        <f t="shared" si="0"/>
        <v>348</v>
      </c>
    </row>
    <row r="14" spans="1:23" x14ac:dyDescent="0.25">
      <c r="B14" s="1">
        <v>42208</v>
      </c>
      <c r="C14">
        <v>100</v>
      </c>
      <c r="D14" s="2">
        <v>17.100000000000001</v>
      </c>
      <c r="F14" s="2">
        <f t="shared" si="0"/>
        <v>1710.0000000000002</v>
      </c>
    </row>
    <row r="15" spans="1:23" x14ac:dyDescent="0.25">
      <c r="B15" s="1">
        <v>42208</v>
      </c>
      <c r="C15">
        <v>50</v>
      </c>
      <c r="D15" s="2">
        <v>16.96</v>
      </c>
      <c r="F15" s="2">
        <f t="shared" si="0"/>
        <v>848</v>
      </c>
      <c r="W15" s="2"/>
    </row>
    <row r="16" spans="1:23" x14ac:dyDescent="0.25">
      <c r="B16" s="1">
        <v>42222</v>
      </c>
      <c r="C16">
        <v>200</v>
      </c>
      <c r="D16" s="2">
        <v>17.739999999999998</v>
      </c>
      <c r="F16" s="2">
        <f t="shared" si="0"/>
        <v>3547.9999999999995</v>
      </c>
      <c r="W16" s="2"/>
    </row>
    <row r="17" spans="1:23" x14ac:dyDescent="0.25">
      <c r="B17" s="1">
        <v>42222</v>
      </c>
      <c r="C17" s="10">
        <v>200</v>
      </c>
      <c r="D17" s="25">
        <v>17.850000000000001</v>
      </c>
      <c r="E17" s="25"/>
      <c r="F17" s="25">
        <f t="shared" si="0"/>
        <v>3570.0000000000005</v>
      </c>
      <c r="P17" t="s">
        <v>89</v>
      </c>
      <c r="W17" s="2"/>
    </row>
    <row r="18" spans="1:23" x14ac:dyDescent="0.25">
      <c r="B18" s="1">
        <v>42223</v>
      </c>
      <c r="C18" s="10">
        <v>300</v>
      </c>
      <c r="D18" s="25">
        <v>17.149999999999999</v>
      </c>
      <c r="E18" s="25"/>
      <c r="F18" s="25">
        <f t="shared" si="0"/>
        <v>5145</v>
      </c>
      <c r="O18" s="2">
        <f>$Q$4</f>
        <v>16.5</v>
      </c>
      <c r="P18">
        <v>1.1000000000000001</v>
      </c>
      <c r="Q18" s="2">
        <f t="shared" ref="Q18:Q30" si="1">P18*O18</f>
        <v>18.150000000000002</v>
      </c>
      <c r="W18" s="2"/>
    </row>
    <row r="19" spans="1:23" x14ac:dyDescent="0.25">
      <c r="B19" s="1">
        <v>42223</v>
      </c>
      <c r="C19" s="10">
        <v>200</v>
      </c>
      <c r="D19" s="25">
        <v>17.170000000000002</v>
      </c>
      <c r="E19" s="25"/>
      <c r="F19" s="25">
        <f t="shared" si="0"/>
        <v>3434.0000000000005</v>
      </c>
      <c r="O19" s="2">
        <f>$Q$4</f>
        <v>16.5</v>
      </c>
      <c r="P19">
        <v>1.05</v>
      </c>
      <c r="Q19" s="2">
        <f t="shared" si="1"/>
        <v>17.324999999999999</v>
      </c>
    </row>
    <row r="20" spans="1:23" x14ac:dyDescent="0.25">
      <c r="B20" s="1">
        <v>42223</v>
      </c>
      <c r="C20" s="10">
        <v>100</v>
      </c>
      <c r="D20" s="25">
        <v>17.37</v>
      </c>
      <c r="E20" s="25"/>
      <c r="F20" s="25">
        <f t="shared" si="0"/>
        <v>1737</v>
      </c>
      <c r="O20" s="2">
        <f t="shared" ref="O20:O30" si="2">$Q$4</f>
        <v>16.5</v>
      </c>
      <c r="P20">
        <v>1.04</v>
      </c>
      <c r="Q20" s="2">
        <f t="shared" si="1"/>
        <v>17.16</v>
      </c>
    </row>
    <row r="21" spans="1:23" x14ac:dyDescent="0.25">
      <c r="B21" s="1">
        <v>42227</v>
      </c>
      <c r="C21" s="10">
        <v>100</v>
      </c>
      <c r="D21" s="25">
        <v>17.100000000000001</v>
      </c>
      <c r="E21" s="25"/>
      <c r="F21" s="25">
        <f t="shared" si="0"/>
        <v>1710.0000000000002</v>
      </c>
      <c r="O21" s="2">
        <f t="shared" si="2"/>
        <v>16.5</v>
      </c>
      <c r="P21" s="2">
        <v>1.03</v>
      </c>
      <c r="Q21" s="2">
        <f t="shared" si="1"/>
        <v>16.995000000000001</v>
      </c>
    </row>
    <row r="22" spans="1:23" x14ac:dyDescent="0.25">
      <c r="B22" s="1">
        <v>42229</v>
      </c>
      <c r="C22" s="10">
        <v>100</v>
      </c>
      <c r="D22" s="25">
        <v>16.89</v>
      </c>
      <c r="E22" s="25"/>
      <c r="F22" s="25">
        <f t="shared" si="0"/>
        <v>1689</v>
      </c>
      <c r="O22" s="2">
        <f t="shared" si="2"/>
        <v>16.5</v>
      </c>
      <c r="P22" s="2">
        <v>1.02</v>
      </c>
      <c r="Q22" s="2">
        <f t="shared" si="1"/>
        <v>16.830000000000002</v>
      </c>
    </row>
    <row r="23" spans="1:23" x14ac:dyDescent="0.25">
      <c r="B23" s="1">
        <v>42233</v>
      </c>
      <c r="C23" s="6">
        <v>100</v>
      </c>
      <c r="D23" s="5">
        <v>16.5</v>
      </c>
      <c r="E23" s="5"/>
      <c r="F23" s="5">
        <f t="shared" si="0"/>
        <v>1650</v>
      </c>
      <c r="O23" s="2">
        <f t="shared" si="2"/>
        <v>16.5</v>
      </c>
      <c r="P23" s="2">
        <v>1.01</v>
      </c>
      <c r="Q23" s="2">
        <f t="shared" si="1"/>
        <v>16.664999999999999</v>
      </c>
    </row>
    <row r="24" spans="1:23" x14ac:dyDescent="0.25">
      <c r="B24" s="1">
        <v>42234</v>
      </c>
      <c r="C24" s="6">
        <v>100</v>
      </c>
      <c r="D24" s="5">
        <v>16.600000000000001</v>
      </c>
      <c r="E24" s="5"/>
      <c r="F24" s="5">
        <f t="shared" si="0"/>
        <v>1660.0000000000002</v>
      </c>
      <c r="O24" s="2">
        <f t="shared" si="2"/>
        <v>16.5</v>
      </c>
      <c r="P24" s="2">
        <v>1</v>
      </c>
      <c r="Q24" s="2">
        <f t="shared" si="1"/>
        <v>16.5</v>
      </c>
    </row>
    <row r="25" spans="1:23" x14ac:dyDescent="0.25">
      <c r="A25" s="57" t="s">
        <v>114</v>
      </c>
      <c r="B25" s="24"/>
      <c r="C25" s="24">
        <f>SUM(C2:C24)</f>
        <v>5000</v>
      </c>
      <c r="D25" s="31"/>
      <c r="E25" s="31"/>
      <c r="F25" s="31">
        <f>SUM(F2:F24)</f>
        <v>90272.35</v>
      </c>
      <c r="G25" s="24"/>
      <c r="H25" s="24">
        <f>SUM(H2:H24)</f>
        <v>1000</v>
      </c>
      <c r="I25" s="31"/>
      <c r="J25" s="31"/>
      <c r="K25" s="31">
        <f>SUM(K2:K24)</f>
        <v>17554</v>
      </c>
      <c r="L25" s="24"/>
      <c r="M25" s="24"/>
      <c r="O25" s="2">
        <f t="shared" si="2"/>
        <v>16.5</v>
      </c>
      <c r="P25" s="2">
        <v>0.99</v>
      </c>
      <c r="Q25" s="2">
        <f t="shared" si="1"/>
        <v>16.335000000000001</v>
      </c>
    </row>
    <row r="26" spans="1:23" x14ac:dyDescent="0.25">
      <c r="O26" s="2">
        <f t="shared" si="2"/>
        <v>16.5</v>
      </c>
      <c r="P26" s="2">
        <v>0.98</v>
      </c>
      <c r="Q26" s="2">
        <f t="shared" si="1"/>
        <v>16.169999999999998</v>
      </c>
    </row>
    <row r="27" spans="1:23" x14ac:dyDescent="0.25">
      <c r="O27" s="2">
        <f t="shared" si="2"/>
        <v>16.5</v>
      </c>
      <c r="P27" s="2">
        <v>0.97</v>
      </c>
      <c r="Q27" s="2">
        <f t="shared" si="1"/>
        <v>16.004999999999999</v>
      </c>
    </row>
    <row r="28" spans="1:23" x14ac:dyDescent="0.25">
      <c r="O28" s="2">
        <f t="shared" si="2"/>
        <v>16.5</v>
      </c>
      <c r="P28" s="2">
        <v>0.96</v>
      </c>
      <c r="Q28" s="2">
        <f t="shared" si="1"/>
        <v>15.84</v>
      </c>
    </row>
    <row r="29" spans="1:23" x14ac:dyDescent="0.25">
      <c r="O29" s="2">
        <f t="shared" si="2"/>
        <v>16.5</v>
      </c>
      <c r="P29" s="2">
        <v>0.95</v>
      </c>
      <c r="Q29" s="2">
        <f t="shared" si="1"/>
        <v>15.674999999999999</v>
      </c>
    </row>
    <row r="30" spans="1:23" x14ac:dyDescent="0.25">
      <c r="O30" s="2">
        <f t="shared" si="2"/>
        <v>16.5</v>
      </c>
      <c r="P30" s="2">
        <v>0.9</v>
      </c>
      <c r="Q30" s="2">
        <f t="shared" si="1"/>
        <v>14.85</v>
      </c>
    </row>
  </sheetData>
  <conditionalFormatting sqref="Q12">
    <cfRule type="expression" dxfId="57" priority="2">
      <formula>Q12&gt;0</formula>
    </cfRule>
    <cfRule type="expression" dxfId="56" priority="3">
      <formula>Q12&lt;0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3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9" max="11" width="9.140625" style="2"/>
  </cols>
  <sheetData>
    <row r="1" spans="1:25" s="28" customFormat="1" x14ac:dyDescent="0.25">
      <c r="A1" s="27" t="s">
        <v>1</v>
      </c>
      <c r="B1" s="27" t="s">
        <v>2</v>
      </c>
      <c r="C1" s="27" t="s">
        <v>4</v>
      </c>
      <c r="D1" s="27" t="s">
        <v>5</v>
      </c>
      <c r="E1" s="27"/>
      <c r="F1" s="27" t="s">
        <v>60</v>
      </c>
      <c r="G1" s="27" t="s">
        <v>3</v>
      </c>
      <c r="H1" s="27" t="s">
        <v>6</v>
      </c>
      <c r="I1" s="81" t="s">
        <v>7</v>
      </c>
      <c r="J1" s="81"/>
      <c r="K1" s="81" t="s">
        <v>61</v>
      </c>
      <c r="L1" s="27" t="s">
        <v>37</v>
      </c>
      <c r="M1" s="27" t="s">
        <v>38</v>
      </c>
    </row>
    <row r="2" spans="1:25" x14ac:dyDescent="0.25">
      <c r="A2" s="8" t="s">
        <v>34</v>
      </c>
      <c r="B2" s="1">
        <v>42166</v>
      </c>
      <c r="C2" s="9">
        <v>5</v>
      </c>
      <c r="D2" s="79">
        <v>26.04</v>
      </c>
      <c r="E2" s="79"/>
      <c r="F2" s="79">
        <f>C2*D2</f>
        <v>130.19999999999999</v>
      </c>
      <c r="G2" s="1">
        <v>42186</v>
      </c>
      <c r="H2" s="10">
        <v>185</v>
      </c>
      <c r="I2" s="25">
        <f>K2/H2</f>
        <v>19.75</v>
      </c>
      <c r="J2" s="25"/>
      <c r="K2" s="25">
        <v>3653.75</v>
      </c>
      <c r="L2" t="s">
        <v>111</v>
      </c>
      <c r="O2" s="20" t="s">
        <v>57</v>
      </c>
      <c r="Q2">
        <f>C38-H38</f>
        <v>3870</v>
      </c>
      <c r="T2" s="28" t="s">
        <v>150</v>
      </c>
      <c r="U2" s="28"/>
      <c r="V2" s="28"/>
      <c r="W2" s="28"/>
      <c r="X2" s="28"/>
      <c r="Y2" s="28"/>
    </row>
    <row r="3" spans="1:25" x14ac:dyDescent="0.25">
      <c r="A3" s="36" t="s">
        <v>81</v>
      </c>
      <c r="B3" s="1">
        <v>42167</v>
      </c>
      <c r="C3" s="9">
        <v>10</v>
      </c>
      <c r="D3" s="79">
        <v>25.1</v>
      </c>
      <c r="E3" s="79"/>
      <c r="F3" s="79">
        <f t="shared" ref="F3:F24" si="0">C3*D3</f>
        <v>251</v>
      </c>
      <c r="G3" s="1">
        <v>42207</v>
      </c>
      <c r="H3" s="10">
        <v>20</v>
      </c>
      <c r="I3" s="25">
        <f t="shared" ref="I3:I5" si="1">K3/H3</f>
        <v>19.899999999999999</v>
      </c>
      <c r="J3" s="25"/>
      <c r="K3" s="25">
        <v>398</v>
      </c>
      <c r="O3" s="20" t="s">
        <v>58</v>
      </c>
      <c r="Q3" s="2">
        <f>(F38-K38)/Q2</f>
        <v>18.088346253229975</v>
      </c>
      <c r="T3" t="s">
        <v>112</v>
      </c>
    </row>
    <row r="4" spans="1:25" x14ac:dyDescent="0.25">
      <c r="B4" s="1">
        <v>42179</v>
      </c>
      <c r="C4" s="9">
        <v>15</v>
      </c>
      <c r="D4" s="79">
        <v>24.51</v>
      </c>
      <c r="E4" s="79"/>
      <c r="F4" s="79">
        <f t="shared" si="0"/>
        <v>367.65000000000003</v>
      </c>
      <c r="G4" s="1">
        <v>42207</v>
      </c>
      <c r="H4" s="10">
        <v>95</v>
      </c>
      <c r="I4" s="25">
        <f t="shared" si="1"/>
        <v>20.02</v>
      </c>
      <c r="J4" s="25"/>
      <c r="K4" s="25">
        <v>1901.8999999999999</v>
      </c>
      <c r="O4" s="20" t="s">
        <v>66</v>
      </c>
      <c r="Q4" s="106">
        <v>14.53</v>
      </c>
      <c r="T4" s="1">
        <v>42233</v>
      </c>
      <c r="U4" t="s">
        <v>147</v>
      </c>
    </row>
    <row r="5" spans="1:25" x14ac:dyDescent="0.25">
      <c r="B5" s="1">
        <v>42180</v>
      </c>
      <c r="C5" s="10">
        <v>100</v>
      </c>
      <c r="D5" s="25">
        <v>23.92</v>
      </c>
      <c r="E5" s="25"/>
      <c r="F5" s="25">
        <f t="shared" si="0"/>
        <v>2392</v>
      </c>
      <c r="G5" s="1">
        <v>42216</v>
      </c>
      <c r="H5" s="10">
        <v>165</v>
      </c>
      <c r="I5" s="25">
        <f t="shared" si="1"/>
        <v>19.899999999999999</v>
      </c>
      <c r="J5" s="25"/>
      <c r="K5" s="25">
        <v>3283.4999999999995</v>
      </c>
      <c r="O5" s="20" t="s">
        <v>67</v>
      </c>
      <c r="Q5" s="5">
        <f>Q4*Q2</f>
        <v>56231.1</v>
      </c>
    </row>
    <row r="6" spans="1:25" x14ac:dyDescent="0.25">
      <c r="B6" s="1">
        <v>42185</v>
      </c>
      <c r="C6" s="6">
        <v>50</v>
      </c>
      <c r="D6" s="5">
        <v>21.21</v>
      </c>
      <c r="E6" s="5"/>
      <c r="F6" s="5">
        <f t="shared" si="0"/>
        <v>1060.5</v>
      </c>
      <c r="G6" s="1">
        <v>42236</v>
      </c>
      <c r="H6" s="9">
        <v>630</v>
      </c>
      <c r="I6" s="79">
        <f>K6/H6</f>
        <v>17.199682539682538</v>
      </c>
      <c r="J6" s="79"/>
      <c r="K6" s="79">
        <v>10835.8</v>
      </c>
      <c r="O6" s="20" t="s">
        <v>64</v>
      </c>
      <c r="Q6" s="2">
        <f>Q3*Q2</f>
        <v>70001.900000000009</v>
      </c>
    </row>
    <row r="7" spans="1:25" x14ac:dyDescent="0.25">
      <c r="B7" s="1">
        <v>42186</v>
      </c>
      <c r="C7" s="6">
        <v>50</v>
      </c>
      <c r="D7" s="5">
        <v>20.5</v>
      </c>
      <c r="E7" s="5"/>
      <c r="F7" s="5">
        <f t="shared" si="0"/>
        <v>1025</v>
      </c>
      <c r="O7" s="20" t="s">
        <v>65</v>
      </c>
      <c r="Q7" s="2">
        <f>Q5-Q6</f>
        <v>-13770.80000000001</v>
      </c>
    </row>
    <row r="8" spans="1:25" x14ac:dyDescent="0.25">
      <c r="B8" s="1">
        <v>42186</v>
      </c>
      <c r="C8" s="6">
        <v>170</v>
      </c>
      <c r="D8" s="5">
        <v>19.600000000000001</v>
      </c>
      <c r="E8" s="5"/>
      <c r="F8" s="5">
        <f t="shared" si="0"/>
        <v>3332.0000000000005</v>
      </c>
    </row>
    <row r="9" spans="1:25" x14ac:dyDescent="0.25">
      <c r="B9" s="1">
        <v>42187</v>
      </c>
      <c r="C9" s="6">
        <v>1000</v>
      </c>
      <c r="D9" s="5">
        <v>19.2</v>
      </c>
      <c r="E9" s="5"/>
      <c r="F9" s="5">
        <f t="shared" si="0"/>
        <v>19200</v>
      </c>
    </row>
    <row r="10" spans="1:25" x14ac:dyDescent="0.25">
      <c r="B10" s="1">
        <v>42199</v>
      </c>
      <c r="C10">
        <v>100</v>
      </c>
      <c r="D10" s="2">
        <v>17.25</v>
      </c>
      <c r="E10" s="2"/>
      <c r="F10" s="2">
        <f t="shared" si="0"/>
        <v>1725</v>
      </c>
      <c r="T10" s="20" t="s">
        <v>149</v>
      </c>
    </row>
    <row r="11" spans="1:25" x14ac:dyDescent="0.25">
      <c r="B11" s="1">
        <v>42205</v>
      </c>
      <c r="C11" s="6">
        <v>20</v>
      </c>
      <c r="D11" s="5">
        <v>18.850000000000001</v>
      </c>
      <c r="E11" s="5"/>
      <c r="F11" s="5">
        <f t="shared" si="0"/>
        <v>377</v>
      </c>
      <c r="T11" s="1">
        <v>42240</v>
      </c>
      <c r="U11" t="s">
        <v>148</v>
      </c>
    </row>
    <row r="12" spans="1:25" x14ac:dyDescent="0.25">
      <c r="B12" s="1">
        <v>42208</v>
      </c>
      <c r="C12" s="6">
        <v>80</v>
      </c>
      <c r="D12" s="5">
        <v>18.95</v>
      </c>
      <c r="E12" s="5"/>
      <c r="F12" s="5">
        <f t="shared" si="0"/>
        <v>1516</v>
      </c>
      <c r="T12" s="1">
        <v>42272</v>
      </c>
      <c r="U12" t="s">
        <v>128</v>
      </c>
    </row>
    <row r="13" spans="1:25" x14ac:dyDescent="0.25">
      <c r="B13" s="1">
        <v>42212</v>
      </c>
      <c r="C13" s="6">
        <v>100</v>
      </c>
      <c r="D13" s="5">
        <v>17.95</v>
      </c>
      <c r="E13" s="5"/>
      <c r="F13" s="5">
        <f t="shared" si="0"/>
        <v>1795</v>
      </c>
      <c r="T13" t="s">
        <v>165</v>
      </c>
    </row>
    <row r="14" spans="1:25" x14ac:dyDescent="0.25">
      <c r="B14" s="1">
        <v>42221</v>
      </c>
      <c r="C14" s="10">
        <v>65</v>
      </c>
      <c r="D14" s="25">
        <v>19.100000000000001</v>
      </c>
      <c r="E14" s="25"/>
      <c r="F14" s="25">
        <f t="shared" si="0"/>
        <v>1241.5</v>
      </c>
      <c r="T14" t="s">
        <v>166</v>
      </c>
    </row>
    <row r="15" spans="1:25" x14ac:dyDescent="0.25">
      <c r="B15" s="1">
        <v>42221</v>
      </c>
      <c r="C15" s="10">
        <v>300</v>
      </c>
      <c r="D15" s="25">
        <v>18.600000000000001</v>
      </c>
      <c r="E15" s="25"/>
      <c r="F15" s="25">
        <f t="shared" si="0"/>
        <v>5580</v>
      </c>
      <c r="P15" t="s">
        <v>89</v>
      </c>
      <c r="T15" t="s">
        <v>167</v>
      </c>
    </row>
    <row r="16" spans="1:25" x14ac:dyDescent="0.25">
      <c r="B16" s="1">
        <v>42221</v>
      </c>
      <c r="C16">
        <v>200</v>
      </c>
      <c r="D16" s="2">
        <v>18.5</v>
      </c>
      <c r="E16" s="2"/>
      <c r="F16" s="2">
        <f t="shared" si="0"/>
        <v>3700</v>
      </c>
      <c r="O16" s="2">
        <f>$Q$4</f>
        <v>14.53</v>
      </c>
      <c r="P16" s="2">
        <v>1.1000000000000001</v>
      </c>
      <c r="Q16" s="2">
        <f t="shared" ref="Q16:Q28" si="2">P16*O16</f>
        <v>15.983000000000001</v>
      </c>
      <c r="T16" t="s">
        <v>168</v>
      </c>
    </row>
    <row r="17" spans="2:20" x14ac:dyDescent="0.25">
      <c r="B17" s="1">
        <v>42223</v>
      </c>
      <c r="C17">
        <v>50</v>
      </c>
      <c r="D17" s="2">
        <v>18.75</v>
      </c>
      <c r="E17" s="2"/>
      <c r="F17" s="2">
        <f t="shared" si="0"/>
        <v>937.5</v>
      </c>
      <c r="O17" s="2">
        <f>$Q$4</f>
        <v>14.53</v>
      </c>
      <c r="P17" s="2">
        <v>1.05</v>
      </c>
      <c r="Q17" s="2">
        <f t="shared" si="2"/>
        <v>15.256500000000001</v>
      </c>
      <c r="T17" t="s">
        <v>169</v>
      </c>
    </row>
    <row r="18" spans="2:20" x14ac:dyDescent="0.25">
      <c r="B18" s="1">
        <v>42227</v>
      </c>
      <c r="C18">
        <v>50</v>
      </c>
      <c r="D18" s="2">
        <v>18.45</v>
      </c>
      <c r="E18" s="2"/>
      <c r="F18" s="2">
        <f t="shared" si="0"/>
        <v>922.5</v>
      </c>
      <c r="O18" s="2">
        <f t="shared" ref="O18:O28" si="3">$Q$4</f>
        <v>14.53</v>
      </c>
      <c r="P18" s="2">
        <v>1.04</v>
      </c>
      <c r="Q18" s="2">
        <f t="shared" si="2"/>
        <v>15.1112</v>
      </c>
    </row>
    <row r="19" spans="2:20" x14ac:dyDescent="0.25">
      <c r="B19" s="1">
        <v>42228</v>
      </c>
      <c r="C19" s="13">
        <v>100</v>
      </c>
      <c r="D19" s="26">
        <v>18.45</v>
      </c>
      <c r="E19" s="26"/>
      <c r="F19" s="26">
        <f t="shared" si="0"/>
        <v>1845</v>
      </c>
      <c r="O19" s="2">
        <f t="shared" si="3"/>
        <v>14.53</v>
      </c>
      <c r="P19" s="2">
        <v>1.03</v>
      </c>
      <c r="Q19" s="2">
        <f t="shared" si="2"/>
        <v>14.9659</v>
      </c>
    </row>
    <row r="20" spans="2:20" x14ac:dyDescent="0.25">
      <c r="B20" s="1">
        <v>42228</v>
      </c>
      <c r="C20">
        <v>200</v>
      </c>
      <c r="D20" s="2">
        <v>18.190000000000001</v>
      </c>
      <c r="E20" s="2"/>
      <c r="F20" s="2">
        <f t="shared" si="0"/>
        <v>3638.0000000000005</v>
      </c>
      <c r="O20" s="2">
        <f t="shared" si="3"/>
        <v>14.53</v>
      </c>
      <c r="P20" s="2">
        <v>1.02</v>
      </c>
      <c r="Q20" s="2">
        <f t="shared" si="2"/>
        <v>14.820599999999999</v>
      </c>
    </row>
    <row r="21" spans="2:20" x14ac:dyDescent="0.25">
      <c r="B21" s="1">
        <v>42228</v>
      </c>
      <c r="C21">
        <v>200</v>
      </c>
      <c r="D21" s="2">
        <v>18.100000000000001</v>
      </c>
      <c r="E21" s="2"/>
      <c r="F21" s="2">
        <f t="shared" si="0"/>
        <v>3620.0000000000005</v>
      </c>
      <c r="O21" s="2">
        <f t="shared" si="3"/>
        <v>14.53</v>
      </c>
      <c r="P21" s="2">
        <v>1.01</v>
      </c>
      <c r="Q21" s="2">
        <f t="shared" si="2"/>
        <v>14.6753</v>
      </c>
    </row>
    <row r="22" spans="2:20" x14ac:dyDescent="0.25">
      <c r="B22" s="1">
        <v>42229</v>
      </c>
      <c r="C22">
        <v>100</v>
      </c>
      <c r="D22" s="2">
        <v>18.329999999999998</v>
      </c>
      <c r="E22" s="2"/>
      <c r="F22" s="2">
        <f t="shared" si="0"/>
        <v>1832.9999999999998</v>
      </c>
      <c r="O22" s="2">
        <f t="shared" si="3"/>
        <v>14.53</v>
      </c>
      <c r="P22" s="2">
        <v>1</v>
      </c>
      <c r="Q22" s="2">
        <f t="shared" si="2"/>
        <v>14.53</v>
      </c>
    </row>
    <row r="23" spans="2:20" x14ac:dyDescent="0.25">
      <c r="B23" s="1">
        <v>42230</v>
      </c>
      <c r="C23">
        <v>100</v>
      </c>
      <c r="D23" s="2">
        <v>18</v>
      </c>
      <c r="E23" s="2"/>
      <c r="F23" s="2">
        <f>C23*D23</f>
        <v>1800</v>
      </c>
      <c r="O23" s="2">
        <f t="shared" si="3"/>
        <v>14.53</v>
      </c>
      <c r="P23" s="2">
        <v>0.99</v>
      </c>
      <c r="Q23" s="2">
        <f t="shared" si="2"/>
        <v>14.384699999999999</v>
      </c>
    </row>
    <row r="24" spans="2:20" x14ac:dyDescent="0.25">
      <c r="B24" s="1">
        <v>42230</v>
      </c>
      <c r="C24">
        <v>200</v>
      </c>
      <c r="D24" s="2">
        <v>17.78</v>
      </c>
      <c r="E24" s="2"/>
      <c r="F24" s="2">
        <f t="shared" si="0"/>
        <v>3556</v>
      </c>
      <c r="O24" s="2">
        <f t="shared" si="3"/>
        <v>14.53</v>
      </c>
      <c r="P24" s="2">
        <v>0.98</v>
      </c>
      <c r="Q24" s="2">
        <f t="shared" si="2"/>
        <v>14.2394</v>
      </c>
    </row>
    <row r="25" spans="2:20" x14ac:dyDescent="0.25">
      <c r="B25" s="1">
        <v>42234</v>
      </c>
      <c r="C25" s="6">
        <v>100</v>
      </c>
      <c r="D25" s="5">
        <v>17.75</v>
      </c>
      <c r="E25" s="5"/>
      <c r="F25" s="5">
        <f t="shared" ref="F25:F30" si="4">C25*D25</f>
        <v>1775</v>
      </c>
      <c r="O25" s="2">
        <f t="shared" si="3"/>
        <v>14.53</v>
      </c>
      <c r="P25" s="2">
        <v>0.97</v>
      </c>
      <c r="Q25" s="2">
        <f t="shared" si="2"/>
        <v>14.094099999999999</v>
      </c>
    </row>
    <row r="26" spans="2:20" x14ac:dyDescent="0.25">
      <c r="B26" s="1">
        <v>42235</v>
      </c>
      <c r="C26" s="6">
        <v>100</v>
      </c>
      <c r="D26" s="5">
        <v>17.350000000000001</v>
      </c>
      <c r="E26" s="5"/>
      <c r="F26" s="5">
        <f t="shared" si="4"/>
        <v>1735.0000000000002</v>
      </c>
      <c r="O26" s="2">
        <f t="shared" si="3"/>
        <v>14.53</v>
      </c>
      <c r="P26" s="2">
        <v>0.96</v>
      </c>
      <c r="Q26" s="2">
        <f t="shared" si="2"/>
        <v>13.948799999999999</v>
      </c>
    </row>
    <row r="27" spans="2:20" x14ac:dyDescent="0.25">
      <c r="B27" s="1">
        <v>42235</v>
      </c>
      <c r="C27" s="9">
        <v>100</v>
      </c>
      <c r="D27" s="79">
        <v>17.55</v>
      </c>
      <c r="E27" s="79"/>
      <c r="F27" s="79">
        <f t="shared" si="4"/>
        <v>1755</v>
      </c>
      <c r="O27" s="2">
        <f t="shared" si="3"/>
        <v>14.53</v>
      </c>
      <c r="P27" s="2">
        <v>0.95</v>
      </c>
      <c r="Q27" s="2">
        <f t="shared" si="2"/>
        <v>13.803499999999998</v>
      </c>
    </row>
    <row r="28" spans="2:20" x14ac:dyDescent="0.25">
      <c r="B28" s="1">
        <v>42235</v>
      </c>
      <c r="C28" s="9">
        <v>100</v>
      </c>
      <c r="D28" s="79">
        <v>17.170000000000002</v>
      </c>
      <c r="E28" s="79"/>
      <c r="F28" s="79">
        <f t="shared" si="4"/>
        <v>1717.0000000000002</v>
      </c>
      <c r="O28" s="2">
        <f t="shared" si="3"/>
        <v>14.53</v>
      </c>
      <c r="P28" s="2">
        <v>0.9</v>
      </c>
      <c r="Q28" s="2">
        <f t="shared" si="2"/>
        <v>13.077</v>
      </c>
    </row>
    <row r="29" spans="2:20" x14ac:dyDescent="0.25">
      <c r="B29" s="1">
        <v>42235</v>
      </c>
      <c r="C29" s="9">
        <v>100</v>
      </c>
      <c r="D29" s="79">
        <v>17</v>
      </c>
      <c r="E29" s="79"/>
      <c r="F29" s="79">
        <f t="shared" si="4"/>
        <v>1700</v>
      </c>
    </row>
    <row r="30" spans="2:20" x14ac:dyDescent="0.25">
      <c r="B30" s="1">
        <v>42236</v>
      </c>
      <c r="C30" s="9">
        <v>100</v>
      </c>
      <c r="D30" s="79">
        <v>16.559999999999999</v>
      </c>
      <c r="E30" s="79"/>
      <c r="F30" s="79">
        <f t="shared" si="4"/>
        <v>1655.9999999999998</v>
      </c>
    </row>
    <row r="31" spans="2:20" x14ac:dyDescent="0.25">
      <c r="B31" s="1">
        <v>42236</v>
      </c>
      <c r="C31" s="9">
        <v>200</v>
      </c>
      <c r="D31" s="79">
        <v>16.21</v>
      </c>
      <c r="E31" s="79"/>
      <c r="F31" s="79">
        <f t="shared" ref="F31:F37" si="5">C31*D31</f>
        <v>3242</v>
      </c>
    </row>
    <row r="32" spans="2:20" x14ac:dyDescent="0.25">
      <c r="B32" s="1">
        <v>42236</v>
      </c>
      <c r="C32" s="6">
        <v>100</v>
      </c>
      <c r="D32" s="5">
        <v>16.399999999999999</v>
      </c>
      <c r="E32" s="5"/>
      <c r="F32" s="5">
        <f t="shared" si="5"/>
        <v>1639.9999999999998</v>
      </c>
    </row>
    <row r="33" spans="1:13" x14ac:dyDescent="0.25">
      <c r="B33" s="1">
        <v>42237</v>
      </c>
      <c r="C33" s="6">
        <v>200</v>
      </c>
      <c r="D33" s="5">
        <v>16.32</v>
      </c>
      <c r="E33" s="5"/>
      <c r="F33" s="5">
        <f t="shared" si="5"/>
        <v>3264</v>
      </c>
    </row>
    <row r="34" spans="1:13" x14ac:dyDescent="0.25">
      <c r="B34" s="1">
        <v>42237</v>
      </c>
      <c r="C34" s="6">
        <v>100</v>
      </c>
      <c r="D34" s="5">
        <v>16.420000000000002</v>
      </c>
      <c r="E34" s="5"/>
      <c r="F34" s="5">
        <f t="shared" si="5"/>
        <v>1642.0000000000002</v>
      </c>
    </row>
    <row r="35" spans="1:13" x14ac:dyDescent="0.25">
      <c r="B35" s="1">
        <v>42240</v>
      </c>
      <c r="C35" s="6">
        <v>200</v>
      </c>
      <c r="D35" s="5">
        <v>16.27</v>
      </c>
      <c r="E35" s="5"/>
      <c r="F35" s="5">
        <f t="shared" si="5"/>
        <v>3254</v>
      </c>
    </row>
    <row r="36" spans="1:13" x14ac:dyDescent="0.25">
      <c r="B36" s="1">
        <v>42240</v>
      </c>
      <c r="C36" s="6">
        <v>200</v>
      </c>
      <c r="D36" s="5">
        <v>16.2</v>
      </c>
      <c r="E36" s="5"/>
      <c r="F36" s="5">
        <f t="shared" si="5"/>
        <v>3240</v>
      </c>
    </row>
    <row r="37" spans="1:13" x14ac:dyDescent="0.25">
      <c r="B37" s="1">
        <v>42240</v>
      </c>
      <c r="C37" s="6">
        <v>100</v>
      </c>
      <c r="D37" s="5">
        <v>16.100000000000001</v>
      </c>
      <c r="E37" s="5"/>
      <c r="F37" s="5">
        <f t="shared" si="5"/>
        <v>1610.0000000000002</v>
      </c>
    </row>
    <row r="38" spans="1:13" x14ac:dyDescent="0.25">
      <c r="A38" s="35" t="s">
        <v>114</v>
      </c>
      <c r="B38" s="21"/>
      <c r="C38" s="21">
        <f>SUM(C2:C37)</f>
        <v>4965</v>
      </c>
      <c r="D38" s="21"/>
      <c r="E38" s="21"/>
      <c r="F38" s="21">
        <f>SUM(F2:F37)</f>
        <v>90074.85</v>
      </c>
      <c r="G38" s="21"/>
      <c r="H38" s="21">
        <f>SUM(H2:H13)</f>
        <v>1095</v>
      </c>
      <c r="I38" s="22"/>
      <c r="J38" s="22"/>
      <c r="K38" s="22">
        <f>SUM(K2:K13)</f>
        <v>20072.949999999997</v>
      </c>
      <c r="L38" s="21"/>
      <c r="M38" s="21"/>
    </row>
  </sheetData>
  <conditionalFormatting sqref="Q7">
    <cfRule type="expression" dxfId="55" priority="2">
      <formula>Q7&gt;0</formula>
    </cfRule>
    <cfRule type="expression" dxfId="54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2" style="59" customWidth="1"/>
    <col min="20" max="20" width="13.140625" customWidth="1"/>
    <col min="22" max="22" width="14.140625" customWidth="1"/>
  </cols>
  <sheetData>
    <row r="1" spans="1:24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 t="s">
        <v>163</v>
      </c>
      <c r="F1" s="20" t="s">
        <v>60</v>
      </c>
      <c r="G1" s="20" t="s">
        <v>3</v>
      </c>
      <c r="H1" s="20" t="s">
        <v>6</v>
      </c>
      <c r="I1" s="20" t="s">
        <v>7</v>
      </c>
      <c r="J1" s="20" t="s">
        <v>162</v>
      </c>
      <c r="K1" s="20" t="s">
        <v>61</v>
      </c>
      <c r="L1" s="20" t="s">
        <v>88</v>
      </c>
      <c r="M1" s="20" t="s">
        <v>38</v>
      </c>
      <c r="R1" s="58"/>
      <c r="S1" s="20" t="s">
        <v>74</v>
      </c>
    </row>
    <row r="2" spans="1:24" x14ac:dyDescent="0.25">
      <c r="A2" s="8" t="s">
        <v>27</v>
      </c>
      <c r="B2" s="1">
        <v>42164</v>
      </c>
      <c r="C2">
        <v>30</v>
      </c>
      <c r="D2" s="2">
        <v>32.200000000000003</v>
      </c>
      <c r="E2" s="2"/>
      <c r="F2" s="2">
        <f>C2*D2</f>
        <v>966.00000000000011</v>
      </c>
      <c r="O2" s="20" t="s">
        <v>57</v>
      </c>
      <c r="Q2">
        <f>C12-H12</f>
        <v>800</v>
      </c>
      <c r="S2" s="29" t="s">
        <v>75</v>
      </c>
      <c r="T2" s="29" t="s">
        <v>73</v>
      </c>
      <c r="U2" s="29" t="s">
        <v>76</v>
      </c>
      <c r="V2" s="29" t="s">
        <v>77</v>
      </c>
      <c r="W2" s="29" t="s">
        <v>78</v>
      </c>
      <c r="X2" s="29" t="s">
        <v>79</v>
      </c>
    </row>
    <row r="3" spans="1:24" x14ac:dyDescent="0.25">
      <c r="A3" s="36" t="s">
        <v>81</v>
      </c>
      <c r="B3" s="1">
        <v>42166</v>
      </c>
      <c r="C3">
        <v>30</v>
      </c>
      <c r="D3" s="2">
        <v>31.3</v>
      </c>
      <c r="E3" s="2"/>
      <c r="F3" s="2">
        <f t="shared" ref="F3:F11" si="0">C3*D3</f>
        <v>939</v>
      </c>
      <c r="O3" s="20" t="s">
        <v>58</v>
      </c>
      <c r="Q3" s="2">
        <f>(F12-K12)/Q2</f>
        <v>29.974374999999998</v>
      </c>
      <c r="S3" s="30">
        <v>42221</v>
      </c>
      <c r="T3" s="29" t="s">
        <v>80</v>
      </c>
      <c r="U3" s="29">
        <v>0.24</v>
      </c>
      <c r="V3" s="30">
        <v>42207</v>
      </c>
      <c r="W3" s="30">
        <v>42223</v>
      </c>
      <c r="X3" s="60">
        <v>42248</v>
      </c>
    </row>
    <row r="4" spans="1:24" x14ac:dyDescent="0.25">
      <c r="B4" s="1">
        <v>42186</v>
      </c>
      <c r="C4">
        <v>140</v>
      </c>
      <c r="D4" s="2">
        <v>31.1</v>
      </c>
      <c r="E4" s="2"/>
      <c r="F4" s="2">
        <f t="shared" si="0"/>
        <v>4354</v>
      </c>
      <c r="O4" s="20" t="s">
        <v>66</v>
      </c>
      <c r="Q4" s="106">
        <v>26.56</v>
      </c>
      <c r="S4" t="s">
        <v>118</v>
      </c>
    </row>
    <row r="5" spans="1:24" x14ac:dyDescent="0.25">
      <c r="B5" s="1">
        <v>42186</v>
      </c>
      <c r="C5">
        <v>200</v>
      </c>
      <c r="D5" s="2">
        <v>30.9</v>
      </c>
      <c r="E5" s="2"/>
      <c r="F5" s="2">
        <f t="shared" si="0"/>
        <v>6180</v>
      </c>
      <c r="O5" s="20" t="s">
        <v>67</v>
      </c>
      <c r="Q5" s="5">
        <f>Q4*Q2</f>
        <v>21248</v>
      </c>
    </row>
    <row r="6" spans="1:24" x14ac:dyDescent="0.25">
      <c r="B6" s="1">
        <v>42194</v>
      </c>
      <c r="C6">
        <v>100</v>
      </c>
      <c r="D6" s="2">
        <v>29.8</v>
      </c>
      <c r="E6" s="2"/>
      <c r="F6" s="2">
        <f t="shared" si="0"/>
        <v>2980</v>
      </c>
      <c r="O6" s="20" t="s">
        <v>64</v>
      </c>
      <c r="Q6" s="2">
        <f>Q3*Q2</f>
        <v>23979.5</v>
      </c>
    </row>
    <row r="7" spans="1:24" x14ac:dyDescent="0.25">
      <c r="B7" s="1">
        <v>42207</v>
      </c>
      <c r="C7">
        <v>50</v>
      </c>
      <c r="D7" s="2">
        <v>29.32</v>
      </c>
      <c r="E7" s="2"/>
      <c r="F7" s="2">
        <f t="shared" si="0"/>
        <v>1466</v>
      </c>
      <c r="O7" s="20" t="s">
        <v>65</v>
      </c>
      <c r="Q7" s="2">
        <f>Q5-Q6</f>
        <v>-2731.5</v>
      </c>
    </row>
    <row r="8" spans="1:24" x14ac:dyDescent="0.25">
      <c r="B8" s="1">
        <v>42209</v>
      </c>
      <c r="C8">
        <v>50</v>
      </c>
      <c r="D8" s="2">
        <v>28.6</v>
      </c>
      <c r="E8" s="2"/>
      <c r="F8" s="2">
        <f t="shared" si="0"/>
        <v>1430</v>
      </c>
    </row>
    <row r="9" spans="1:24" x14ac:dyDescent="0.25">
      <c r="B9" s="1">
        <v>42214</v>
      </c>
      <c r="C9">
        <v>50</v>
      </c>
      <c r="D9" s="2">
        <v>28.19</v>
      </c>
      <c r="E9" s="2"/>
      <c r="F9" s="2">
        <f t="shared" si="0"/>
        <v>1409.5</v>
      </c>
    </row>
    <row r="10" spans="1:24" x14ac:dyDescent="0.25">
      <c r="B10" s="1">
        <v>42240</v>
      </c>
      <c r="C10">
        <v>100</v>
      </c>
      <c r="D10" s="2">
        <v>28.4</v>
      </c>
      <c r="E10" s="2"/>
      <c r="F10" s="2">
        <f t="shared" si="0"/>
        <v>2840</v>
      </c>
    </row>
    <row r="11" spans="1:24" x14ac:dyDescent="0.25">
      <c r="B11" s="1">
        <v>42240</v>
      </c>
      <c r="C11">
        <v>50</v>
      </c>
      <c r="D11" s="2">
        <v>28.3</v>
      </c>
      <c r="E11" s="2"/>
      <c r="F11" s="2">
        <f t="shared" si="0"/>
        <v>1415</v>
      </c>
    </row>
    <row r="12" spans="1:24" x14ac:dyDescent="0.25">
      <c r="A12" s="35" t="s">
        <v>114</v>
      </c>
      <c r="B12" s="21"/>
      <c r="C12" s="21">
        <f>SUM(C2:C11)</f>
        <v>800</v>
      </c>
      <c r="D12" s="21"/>
      <c r="E12" s="21"/>
      <c r="F12" s="22">
        <f>SUM(F2:F11)</f>
        <v>23979.5</v>
      </c>
      <c r="G12" s="21"/>
      <c r="H12" s="21"/>
      <c r="I12" s="21"/>
      <c r="J12" s="21"/>
      <c r="K12" s="21"/>
      <c r="L12" s="21"/>
      <c r="M12" s="21"/>
    </row>
    <row r="21" spans="15:17" x14ac:dyDescent="0.25">
      <c r="P21" t="s">
        <v>89</v>
      </c>
    </row>
    <row r="22" spans="15:17" x14ac:dyDescent="0.25">
      <c r="O22" s="2">
        <f>$Q$4</f>
        <v>26.56</v>
      </c>
      <c r="P22">
        <v>1.1000000000000001</v>
      </c>
      <c r="Q22" s="2">
        <f t="shared" ref="Q22:Q34" si="1">P22*O22</f>
        <v>29.216000000000001</v>
      </c>
    </row>
    <row r="23" spans="15:17" x14ac:dyDescent="0.25">
      <c r="O23" s="2">
        <f>$Q$4</f>
        <v>26.56</v>
      </c>
      <c r="P23">
        <v>1.05</v>
      </c>
      <c r="Q23" s="2">
        <f t="shared" si="1"/>
        <v>27.887999999999998</v>
      </c>
    </row>
    <row r="24" spans="15:17" x14ac:dyDescent="0.25">
      <c r="O24" s="2">
        <f t="shared" ref="O24:O34" si="2">$Q$4</f>
        <v>26.56</v>
      </c>
      <c r="P24">
        <v>1.04</v>
      </c>
      <c r="Q24" s="2">
        <f t="shared" si="1"/>
        <v>27.622399999999999</v>
      </c>
    </row>
    <row r="25" spans="15:17" x14ac:dyDescent="0.25">
      <c r="O25" s="2">
        <f t="shared" si="2"/>
        <v>26.56</v>
      </c>
      <c r="P25" s="2">
        <v>1.03</v>
      </c>
      <c r="Q25" s="2">
        <f t="shared" si="1"/>
        <v>27.3568</v>
      </c>
    </row>
    <row r="26" spans="15:17" x14ac:dyDescent="0.25">
      <c r="O26" s="2">
        <f t="shared" si="2"/>
        <v>26.56</v>
      </c>
      <c r="P26" s="2">
        <v>1.02</v>
      </c>
      <c r="Q26" s="2">
        <f t="shared" si="1"/>
        <v>27.091200000000001</v>
      </c>
    </row>
    <row r="27" spans="15:17" x14ac:dyDescent="0.25">
      <c r="O27" s="2">
        <f t="shared" si="2"/>
        <v>26.56</v>
      </c>
      <c r="P27" s="2">
        <v>1.01</v>
      </c>
      <c r="Q27" s="2">
        <f t="shared" si="1"/>
        <v>26.825599999999998</v>
      </c>
    </row>
    <row r="28" spans="15:17" x14ac:dyDescent="0.25">
      <c r="O28" s="2">
        <f t="shared" si="2"/>
        <v>26.56</v>
      </c>
      <c r="P28" s="2">
        <v>1</v>
      </c>
      <c r="Q28" s="2">
        <f t="shared" si="1"/>
        <v>26.56</v>
      </c>
    </row>
    <row r="29" spans="15:17" x14ac:dyDescent="0.25">
      <c r="O29" s="2">
        <f t="shared" si="2"/>
        <v>26.56</v>
      </c>
      <c r="P29" s="2">
        <v>0.99</v>
      </c>
      <c r="Q29" s="2">
        <f t="shared" si="1"/>
        <v>26.2944</v>
      </c>
    </row>
    <row r="30" spans="15:17" x14ac:dyDescent="0.25">
      <c r="O30" s="2">
        <f t="shared" si="2"/>
        <v>26.56</v>
      </c>
      <c r="P30" s="2">
        <v>0.98</v>
      </c>
      <c r="Q30" s="2">
        <f t="shared" si="1"/>
        <v>26.028799999999997</v>
      </c>
    </row>
    <row r="31" spans="15:17" x14ac:dyDescent="0.25">
      <c r="O31" s="2">
        <f t="shared" si="2"/>
        <v>26.56</v>
      </c>
      <c r="P31" s="2">
        <v>0.97</v>
      </c>
      <c r="Q31" s="2">
        <f t="shared" si="1"/>
        <v>25.763199999999998</v>
      </c>
    </row>
    <row r="32" spans="15:17" x14ac:dyDescent="0.25">
      <c r="O32" s="2">
        <f t="shared" si="2"/>
        <v>26.56</v>
      </c>
      <c r="P32" s="2">
        <v>0.96</v>
      </c>
      <c r="Q32" s="2">
        <f t="shared" si="1"/>
        <v>25.497599999999998</v>
      </c>
    </row>
    <row r="33" spans="15:17" x14ac:dyDescent="0.25">
      <c r="O33" s="2">
        <f t="shared" si="2"/>
        <v>26.56</v>
      </c>
      <c r="P33" s="2">
        <v>0.95</v>
      </c>
      <c r="Q33" s="2">
        <f t="shared" si="1"/>
        <v>25.231999999999999</v>
      </c>
    </row>
    <row r="34" spans="15:17" x14ac:dyDescent="0.25">
      <c r="O34" s="2">
        <f t="shared" si="2"/>
        <v>26.56</v>
      </c>
      <c r="P34" s="2">
        <v>0.9</v>
      </c>
      <c r="Q34" s="2">
        <f t="shared" si="1"/>
        <v>23.904</v>
      </c>
    </row>
  </sheetData>
  <conditionalFormatting sqref="Q7">
    <cfRule type="expression" dxfId="53" priority="4">
      <formula>Q7&gt;0</formula>
    </cfRule>
    <cfRule type="expression" dxfId="52" priority="5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35"/>
  <sheetViews>
    <sheetView workbookViewId="0">
      <selection activeCell="A3" sqref="A3"/>
    </sheetView>
  </sheetViews>
  <sheetFormatPr defaultRowHeight="15" x14ac:dyDescent="0.25"/>
  <cols>
    <col min="3" max="3" width="11.5703125" customWidth="1"/>
    <col min="4" max="5" width="9.140625" style="2"/>
    <col min="6" max="6" width="12.140625" style="2" bestFit="1" customWidth="1"/>
    <col min="9" max="11" width="9.140625" style="2"/>
    <col min="18" max="18" width="14.7109375" customWidth="1"/>
    <col min="21" max="21" width="11.5703125" customWidth="1"/>
    <col min="22" max="22" width="12.140625" customWidth="1"/>
  </cols>
  <sheetData>
    <row r="1" spans="1:24" s="96" customFormat="1" x14ac:dyDescent="0.25">
      <c r="A1" s="96" t="s">
        <v>1</v>
      </c>
      <c r="B1" s="96" t="s">
        <v>2</v>
      </c>
      <c r="C1" s="96" t="s">
        <v>4</v>
      </c>
      <c r="D1" s="97" t="s">
        <v>5</v>
      </c>
      <c r="E1" s="97" t="s">
        <v>163</v>
      </c>
      <c r="F1" s="97" t="s">
        <v>60</v>
      </c>
      <c r="G1" s="96" t="s">
        <v>3</v>
      </c>
      <c r="H1" s="96" t="s">
        <v>6</v>
      </c>
      <c r="I1" s="97" t="s">
        <v>7</v>
      </c>
      <c r="J1" s="97" t="s">
        <v>162</v>
      </c>
      <c r="K1" s="97" t="s">
        <v>61</v>
      </c>
      <c r="L1" s="96" t="s">
        <v>43</v>
      </c>
      <c r="M1" s="96" t="s">
        <v>38</v>
      </c>
      <c r="T1" s="96" t="s">
        <v>74</v>
      </c>
    </row>
    <row r="2" spans="1:24" x14ac:dyDescent="0.25">
      <c r="A2" s="8" t="s">
        <v>22</v>
      </c>
      <c r="B2" s="1">
        <v>42153</v>
      </c>
      <c r="C2">
        <v>20</v>
      </c>
      <c r="D2" s="2">
        <v>67.3</v>
      </c>
      <c r="E2" s="2">
        <v>0</v>
      </c>
      <c r="F2" s="2">
        <f t="shared" ref="F2:F15" si="0">D2*C2+E2</f>
        <v>1346</v>
      </c>
      <c r="G2" s="1">
        <v>42219</v>
      </c>
      <c r="H2" s="12">
        <v>25</v>
      </c>
      <c r="I2" s="84">
        <v>60.05</v>
      </c>
      <c r="J2" s="84">
        <v>0.03</v>
      </c>
      <c r="K2" s="84">
        <f>H2*I2-J2</f>
        <v>1501.22</v>
      </c>
      <c r="L2" s="1">
        <v>42185</v>
      </c>
      <c r="M2" s="2">
        <v>5</v>
      </c>
      <c r="O2" s="20" t="s">
        <v>57</v>
      </c>
      <c r="Q2">
        <f>C16-H16</f>
        <v>180</v>
      </c>
      <c r="T2" t="s">
        <v>119</v>
      </c>
    </row>
    <row r="3" spans="1:24" x14ac:dyDescent="0.25">
      <c r="A3" s="36" t="s">
        <v>81</v>
      </c>
      <c r="B3" s="1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">
        <v>42219</v>
      </c>
      <c r="H3" s="12">
        <v>55</v>
      </c>
      <c r="I3" s="84">
        <v>59.75</v>
      </c>
      <c r="J3" s="84">
        <v>0.06</v>
      </c>
      <c r="K3" s="84">
        <f>H3*I3-J3</f>
        <v>3286.19</v>
      </c>
      <c r="L3" t="s">
        <v>123</v>
      </c>
      <c r="M3" s="2"/>
      <c r="O3" s="20" t="s">
        <v>58</v>
      </c>
      <c r="Q3" s="2">
        <f>(F16-K16)/Q2</f>
        <v>59.963000000000008</v>
      </c>
      <c r="T3" t="s">
        <v>120</v>
      </c>
      <c r="U3" t="s">
        <v>71</v>
      </c>
      <c r="V3" t="s">
        <v>72</v>
      </c>
      <c r="W3" t="s">
        <v>122</v>
      </c>
      <c r="X3" t="s">
        <v>121</v>
      </c>
    </row>
    <row r="4" spans="1:24" x14ac:dyDescent="0.25">
      <c r="B4" s="1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M4" s="2"/>
      <c r="O4" s="20" t="s">
        <v>66</v>
      </c>
      <c r="Q4" s="106">
        <v>54.99</v>
      </c>
      <c r="T4" s="55">
        <v>42249</v>
      </c>
      <c r="U4" s="55">
        <v>42264</v>
      </c>
      <c r="V4" s="61">
        <v>42276</v>
      </c>
      <c r="W4">
        <v>0.25</v>
      </c>
    </row>
    <row r="5" spans="1:24" x14ac:dyDescent="0.25">
      <c r="B5" s="1">
        <v>42207</v>
      </c>
      <c r="C5">
        <v>10</v>
      </c>
      <c r="D5" s="2">
        <v>62</v>
      </c>
      <c r="E5" s="2">
        <v>0</v>
      </c>
      <c r="F5" s="2">
        <f t="shared" si="0"/>
        <v>620</v>
      </c>
      <c r="M5" s="2"/>
      <c r="O5" s="20" t="s">
        <v>67</v>
      </c>
      <c r="Q5" s="5">
        <f>Q4*Q2</f>
        <v>9898.2000000000007</v>
      </c>
      <c r="T5" t="s">
        <v>124</v>
      </c>
    </row>
    <row r="6" spans="1:24" x14ac:dyDescent="0.25">
      <c r="B6" s="1">
        <v>42207</v>
      </c>
      <c r="C6">
        <v>5</v>
      </c>
      <c r="D6" s="2">
        <v>61.6</v>
      </c>
      <c r="E6" s="2">
        <v>0</v>
      </c>
      <c r="F6" s="2">
        <f t="shared" si="0"/>
        <v>308</v>
      </c>
      <c r="M6" s="2"/>
      <c r="O6" s="20" t="s">
        <v>64</v>
      </c>
      <c r="Q6" s="2">
        <f>Q3*Q2</f>
        <v>10793.340000000002</v>
      </c>
    </row>
    <row r="7" spans="1:24" x14ac:dyDescent="0.25">
      <c r="B7" s="1">
        <v>42207</v>
      </c>
      <c r="C7">
        <v>20</v>
      </c>
      <c r="D7" s="2">
        <v>59.85</v>
      </c>
      <c r="E7" s="2">
        <v>0</v>
      </c>
      <c r="F7" s="2">
        <f t="shared" si="0"/>
        <v>1197</v>
      </c>
      <c r="M7" s="2"/>
      <c r="O7" s="20" t="s">
        <v>65</v>
      </c>
      <c r="Q7" s="2">
        <f>Q5-Q6+M16</f>
        <v>-890.14000000000124</v>
      </c>
    </row>
    <row r="8" spans="1:24" x14ac:dyDescent="0.25">
      <c r="B8" s="1">
        <v>42208</v>
      </c>
      <c r="C8" s="9">
        <v>5</v>
      </c>
      <c r="D8" s="79">
        <v>61.3</v>
      </c>
      <c r="E8" s="79">
        <v>0</v>
      </c>
      <c r="F8" s="79">
        <f t="shared" si="0"/>
        <v>306.5</v>
      </c>
      <c r="M8" s="2"/>
    </row>
    <row r="9" spans="1:24" x14ac:dyDescent="0.25">
      <c r="B9" s="1">
        <v>42219</v>
      </c>
      <c r="C9" s="12">
        <v>25</v>
      </c>
      <c r="D9" s="79">
        <v>59.4</v>
      </c>
      <c r="E9" s="79">
        <v>0</v>
      </c>
      <c r="F9" s="79">
        <f t="shared" si="0"/>
        <v>1485</v>
      </c>
      <c r="M9" s="2"/>
    </row>
    <row r="10" spans="1:24" x14ac:dyDescent="0.25">
      <c r="B10" s="1">
        <v>42219</v>
      </c>
      <c r="C10" s="12">
        <v>50</v>
      </c>
      <c r="D10" s="79">
        <v>59.2</v>
      </c>
      <c r="E10" s="79">
        <v>0</v>
      </c>
      <c r="F10" s="79">
        <f t="shared" si="0"/>
        <v>2960</v>
      </c>
      <c r="M10" s="2"/>
    </row>
    <row r="11" spans="1:24" x14ac:dyDescent="0.25">
      <c r="B11" s="1">
        <v>42226</v>
      </c>
      <c r="C11" s="12">
        <v>5</v>
      </c>
      <c r="D11" s="79">
        <v>56.2</v>
      </c>
      <c r="E11" s="79">
        <v>0</v>
      </c>
      <c r="F11" s="79">
        <f t="shared" si="0"/>
        <v>281</v>
      </c>
      <c r="M11" s="2"/>
    </row>
    <row r="12" spans="1:24" x14ac:dyDescent="0.25">
      <c r="B12" s="1">
        <v>42226</v>
      </c>
      <c r="C12">
        <v>15</v>
      </c>
      <c r="D12" s="2">
        <v>56.5</v>
      </c>
      <c r="E12" s="2">
        <v>0</v>
      </c>
      <c r="F12" s="2">
        <f t="shared" si="0"/>
        <v>847.5</v>
      </c>
      <c r="M12" s="2"/>
    </row>
    <row r="13" spans="1:24" x14ac:dyDescent="0.25">
      <c r="B13" s="1">
        <v>42240</v>
      </c>
      <c r="C13" s="29">
        <v>15</v>
      </c>
      <c r="D13" s="2">
        <v>57.19</v>
      </c>
      <c r="E13" s="2">
        <v>0</v>
      </c>
      <c r="F13" s="2">
        <f t="shared" si="0"/>
        <v>857.84999999999991</v>
      </c>
      <c r="M13" s="2"/>
    </row>
    <row r="14" spans="1:24" x14ac:dyDescent="0.25">
      <c r="B14" s="1">
        <v>42240</v>
      </c>
      <c r="C14">
        <v>20</v>
      </c>
      <c r="D14" s="2">
        <v>56.6</v>
      </c>
      <c r="E14" s="2">
        <v>6.95</v>
      </c>
      <c r="F14" s="2">
        <f t="shared" si="0"/>
        <v>1138.95</v>
      </c>
      <c r="M14" s="2"/>
    </row>
    <row r="15" spans="1:24" x14ac:dyDescent="0.25">
      <c r="B15" s="1">
        <v>42240</v>
      </c>
      <c r="C15">
        <v>30</v>
      </c>
      <c r="D15" s="2">
        <v>56.5</v>
      </c>
      <c r="E15" s="2">
        <v>6.95</v>
      </c>
      <c r="F15" s="2">
        <f t="shared" si="0"/>
        <v>1701.95</v>
      </c>
      <c r="M15" s="2"/>
    </row>
    <row r="16" spans="1:24" x14ac:dyDescent="0.25">
      <c r="A16" s="57" t="s">
        <v>114</v>
      </c>
      <c r="B16" s="24"/>
      <c r="C16" s="24">
        <f>SUM(C2:C15)</f>
        <v>260</v>
      </c>
      <c r="D16" s="31"/>
      <c r="E16" s="31"/>
      <c r="F16" s="31">
        <f>SUM(F2:F15)</f>
        <v>15580.750000000002</v>
      </c>
      <c r="G16" s="24"/>
      <c r="H16" s="24">
        <f>SUM(H2:H10)</f>
        <v>80</v>
      </c>
      <c r="I16" s="31"/>
      <c r="J16" s="31"/>
      <c r="K16" s="31">
        <f>SUM(K2:K10)</f>
        <v>4787.41</v>
      </c>
      <c r="L16" s="24"/>
      <c r="M16" s="31">
        <f t="shared" ref="M16" si="1">SUM(M2:M10)</f>
        <v>5</v>
      </c>
    </row>
    <row r="21" spans="15:21" x14ac:dyDescent="0.25">
      <c r="U21" s="2"/>
    </row>
    <row r="22" spans="15:21" x14ac:dyDescent="0.25">
      <c r="P22" t="s">
        <v>89</v>
      </c>
      <c r="R22" s="59"/>
    </row>
    <row r="23" spans="15:21" x14ac:dyDescent="0.25">
      <c r="O23" s="2">
        <f>$Q$4</f>
        <v>54.99</v>
      </c>
      <c r="P23">
        <v>1.1000000000000001</v>
      </c>
      <c r="Q23" s="2">
        <f t="shared" ref="Q23:Q35" si="2">P23*O23</f>
        <v>60.489000000000004</v>
      </c>
      <c r="R23" s="59"/>
    </row>
    <row r="24" spans="15:21" x14ac:dyDescent="0.25">
      <c r="O24" s="2">
        <f>$Q$4</f>
        <v>54.99</v>
      </c>
      <c r="P24">
        <v>1.05</v>
      </c>
      <c r="Q24" s="2">
        <f t="shared" si="2"/>
        <v>57.739500000000007</v>
      </c>
      <c r="R24" s="59"/>
    </row>
    <row r="25" spans="15:21" x14ac:dyDescent="0.25">
      <c r="O25" s="2">
        <f t="shared" ref="O25:O35" si="3">$Q$4</f>
        <v>54.99</v>
      </c>
      <c r="P25">
        <v>1.04</v>
      </c>
      <c r="Q25" s="2">
        <f t="shared" si="2"/>
        <v>57.189600000000006</v>
      </c>
      <c r="R25" s="59"/>
    </row>
    <row r="26" spans="15:21" x14ac:dyDescent="0.25">
      <c r="O26" s="2">
        <f t="shared" si="3"/>
        <v>54.99</v>
      </c>
      <c r="P26" s="2">
        <v>1.03</v>
      </c>
      <c r="Q26" s="2">
        <f t="shared" si="2"/>
        <v>56.639700000000005</v>
      </c>
      <c r="R26" s="59"/>
    </row>
    <row r="27" spans="15:21" x14ac:dyDescent="0.25">
      <c r="O27" s="2">
        <f t="shared" si="3"/>
        <v>54.99</v>
      </c>
      <c r="P27" s="2">
        <v>1.02</v>
      </c>
      <c r="Q27" s="2">
        <f t="shared" si="2"/>
        <v>56.089800000000004</v>
      </c>
      <c r="R27" s="59"/>
    </row>
    <row r="28" spans="15:21" x14ac:dyDescent="0.25">
      <c r="O28" s="2">
        <f t="shared" si="3"/>
        <v>54.99</v>
      </c>
      <c r="P28" s="2">
        <v>1.01</v>
      </c>
      <c r="Q28" s="2">
        <f t="shared" si="2"/>
        <v>55.539900000000003</v>
      </c>
      <c r="R28" s="59"/>
    </row>
    <row r="29" spans="15:21" x14ac:dyDescent="0.25">
      <c r="O29" s="2">
        <f t="shared" si="3"/>
        <v>54.99</v>
      </c>
      <c r="P29" s="2">
        <v>1</v>
      </c>
      <c r="Q29" s="2">
        <f t="shared" si="2"/>
        <v>54.99</v>
      </c>
      <c r="R29" s="59"/>
    </row>
    <row r="30" spans="15:21" x14ac:dyDescent="0.25">
      <c r="O30" s="2">
        <f t="shared" si="3"/>
        <v>54.99</v>
      </c>
      <c r="P30" s="2">
        <v>0.99</v>
      </c>
      <c r="Q30" s="2">
        <f t="shared" si="2"/>
        <v>54.440100000000001</v>
      </c>
      <c r="R30" s="59"/>
    </row>
    <row r="31" spans="15:21" x14ac:dyDescent="0.25">
      <c r="O31" s="2">
        <f t="shared" si="3"/>
        <v>54.99</v>
      </c>
      <c r="P31" s="2">
        <v>0.98</v>
      </c>
      <c r="Q31" s="2">
        <f t="shared" si="2"/>
        <v>53.8902</v>
      </c>
      <c r="R31" s="59"/>
    </row>
    <row r="32" spans="15:21" x14ac:dyDescent="0.25">
      <c r="O32" s="2">
        <f t="shared" si="3"/>
        <v>54.99</v>
      </c>
      <c r="P32" s="2">
        <v>0.97</v>
      </c>
      <c r="Q32" s="2">
        <f t="shared" si="2"/>
        <v>53.340299999999999</v>
      </c>
      <c r="R32" s="59"/>
    </row>
    <row r="33" spans="15:18" x14ac:dyDescent="0.25">
      <c r="O33" s="2">
        <f t="shared" si="3"/>
        <v>54.99</v>
      </c>
      <c r="P33" s="2">
        <v>0.96</v>
      </c>
      <c r="Q33" s="2">
        <f t="shared" si="2"/>
        <v>52.790399999999998</v>
      </c>
      <c r="R33" s="59"/>
    </row>
    <row r="34" spans="15:18" x14ac:dyDescent="0.25">
      <c r="O34" s="2">
        <f t="shared" si="3"/>
        <v>54.99</v>
      </c>
      <c r="P34" s="2">
        <v>0.95</v>
      </c>
      <c r="Q34" s="2">
        <f t="shared" si="2"/>
        <v>52.240499999999997</v>
      </c>
      <c r="R34" s="59"/>
    </row>
    <row r="35" spans="15:18" x14ac:dyDescent="0.25">
      <c r="O35" s="2">
        <f t="shared" si="3"/>
        <v>54.99</v>
      </c>
      <c r="P35" s="2">
        <v>0.9</v>
      </c>
      <c r="Q35" s="2">
        <f t="shared" si="2"/>
        <v>49.491</v>
      </c>
      <c r="R35" s="59"/>
    </row>
  </sheetData>
  <conditionalFormatting sqref="Q7">
    <cfRule type="expression" dxfId="51" priority="2">
      <formula>Q7&gt;0</formula>
    </cfRule>
    <cfRule type="expression" dxfId="50" priority="3">
      <formula>Q7&lt;0</formula>
    </cfRule>
  </conditionalFormatting>
  <conditionalFormatting sqref="P23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59" customWidth="1"/>
    <col min="20" max="20" width="11.28515625" style="72" customWidth="1"/>
    <col min="21" max="21" width="14.5703125" customWidth="1"/>
  </cols>
  <sheetData>
    <row r="1" spans="1:23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R1" s="58"/>
      <c r="T1" s="73"/>
    </row>
    <row r="2" spans="1:23" x14ac:dyDescent="0.25">
      <c r="A2" s="8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10">
        <v>40</v>
      </c>
      <c r="I2" s="25">
        <v>95.1</v>
      </c>
      <c r="J2" s="25"/>
      <c r="K2" s="25">
        <f>H2*I2</f>
        <v>3804</v>
      </c>
      <c r="L2" t="s">
        <v>126</v>
      </c>
      <c r="O2" s="20" t="s">
        <v>57</v>
      </c>
      <c r="Q2">
        <f>C11-H11</f>
        <v>60</v>
      </c>
      <c r="T2" s="73" t="s">
        <v>154</v>
      </c>
    </row>
    <row r="3" spans="1:23" x14ac:dyDescent="0.25">
      <c r="A3" s="36" t="s">
        <v>81</v>
      </c>
      <c r="B3" s="1">
        <v>42184</v>
      </c>
      <c r="C3" s="6">
        <v>20</v>
      </c>
      <c r="D3" s="5">
        <v>99.5</v>
      </c>
      <c r="E3" s="5"/>
      <c r="F3" s="5">
        <f t="shared" ref="F3:F9" si="0">C3*D3</f>
        <v>1990</v>
      </c>
      <c r="G3" s="1">
        <v>42216</v>
      </c>
      <c r="H3" s="10">
        <v>20</v>
      </c>
      <c r="I3" s="25">
        <v>95.6</v>
      </c>
      <c r="J3" s="25"/>
      <c r="K3" s="25">
        <f>H3*I3</f>
        <v>1912</v>
      </c>
      <c r="O3" s="20" t="s">
        <v>58</v>
      </c>
      <c r="Q3" s="2">
        <f>(F11-K11)/Q2</f>
        <v>96.710833333333326</v>
      </c>
      <c r="T3" s="72">
        <v>42229</v>
      </c>
      <c r="U3" t="s">
        <v>127</v>
      </c>
    </row>
    <row r="4" spans="1:23" x14ac:dyDescent="0.25">
      <c r="B4" s="1">
        <v>42184</v>
      </c>
      <c r="C4" s="6">
        <v>10</v>
      </c>
      <c r="D4" s="5">
        <v>98.35</v>
      </c>
      <c r="E4" s="5"/>
      <c r="F4" s="5">
        <f t="shared" si="0"/>
        <v>983.5</v>
      </c>
      <c r="O4" s="20" t="s">
        <v>66</v>
      </c>
      <c r="Q4" s="106">
        <v>86.45</v>
      </c>
    </row>
    <row r="5" spans="1:23" x14ac:dyDescent="0.25">
      <c r="B5" s="1">
        <v>42184</v>
      </c>
      <c r="C5" s="10">
        <v>20</v>
      </c>
      <c r="D5" s="25">
        <v>98.1</v>
      </c>
      <c r="E5" s="25"/>
      <c r="F5" s="25">
        <f t="shared" si="0"/>
        <v>1962</v>
      </c>
      <c r="O5" s="20" t="s">
        <v>67</v>
      </c>
      <c r="Q5" s="5">
        <f>Q4*Q2</f>
        <v>5187</v>
      </c>
      <c r="V5" s="2"/>
    </row>
    <row r="6" spans="1:23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20" t="s">
        <v>64</v>
      </c>
      <c r="Q6" s="2">
        <f>Q3*Q2</f>
        <v>5802.65</v>
      </c>
    </row>
    <row r="7" spans="1:23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20" t="s">
        <v>65</v>
      </c>
      <c r="Q7" s="2">
        <f>Q5-Q6</f>
        <v>-615.64999999999964</v>
      </c>
    </row>
    <row r="8" spans="1:23" x14ac:dyDescent="0.25">
      <c r="B8" s="1">
        <v>42213</v>
      </c>
      <c r="C8" s="10">
        <v>15</v>
      </c>
      <c r="D8" s="25">
        <v>94</v>
      </c>
      <c r="E8" s="25"/>
      <c r="F8" s="25">
        <f t="shared" si="0"/>
        <v>1410</v>
      </c>
    </row>
    <row r="9" spans="1:23" x14ac:dyDescent="0.25">
      <c r="B9" s="1">
        <v>42213</v>
      </c>
      <c r="C9" s="10">
        <v>15</v>
      </c>
      <c r="D9" s="25">
        <v>92.75</v>
      </c>
      <c r="E9" s="25"/>
      <c r="F9" s="25">
        <f t="shared" si="0"/>
        <v>1391.25</v>
      </c>
    </row>
    <row r="10" spans="1:23" x14ac:dyDescent="0.25">
      <c r="B10" s="1">
        <v>42226</v>
      </c>
      <c r="C10" s="10">
        <v>10</v>
      </c>
      <c r="D10" s="25">
        <v>94.99</v>
      </c>
      <c r="E10" s="25"/>
      <c r="F10" s="25">
        <f>C10*D10</f>
        <v>949.9</v>
      </c>
    </row>
    <row r="11" spans="1:23" x14ac:dyDescent="0.25">
      <c r="A11" s="35" t="s">
        <v>114</v>
      </c>
      <c r="B11" s="21"/>
      <c r="C11" s="21">
        <f>SUM(C2:C10)</f>
        <v>120</v>
      </c>
      <c r="D11" s="22"/>
      <c r="E11" s="22"/>
      <c r="F11" s="22">
        <f>SUM(F2:F10)</f>
        <v>11518.65</v>
      </c>
      <c r="G11" s="21"/>
      <c r="H11" s="21">
        <f>SUM(H2:H7)</f>
        <v>60</v>
      </c>
      <c r="I11" s="22"/>
      <c r="J11" s="22"/>
      <c r="K11" s="22">
        <f>SUM(K2:K7)</f>
        <v>5716</v>
      </c>
      <c r="L11" s="21"/>
      <c r="M11" s="21"/>
      <c r="T11" s="73" t="s">
        <v>149</v>
      </c>
      <c r="U11" s="20"/>
      <c r="V11" s="20"/>
      <c r="W11" s="20"/>
    </row>
    <row r="12" spans="1:23" x14ac:dyDescent="0.25">
      <c r="T12" s="72">
        <v>42338</v>
      </c>
      <c r="U12" s="62" t="s">
        <v>153</v>
      </c>
    </row>
    <row r="13" spans="1:23" x14ac:dyDescent="0.25">
      <c r="T13" s="72">
        <v>42300</v>
      </c>
      <c r="U13" t="s">
        <v>128</v>
      </c>
    </row>
    <row r="14" spans="1:23" x14ac:dyDescent="0.25">
      <c r="T14" s="72">
        <v>42370</v>
      </c>
      <c r="U14" t="s">
        <v>155</v>
      </c>
    </row>
    <row r="16" spans="1:23" x14ac:dyDescent="0.25">
      <c r="P16" t="s">
        <v>89</v>
      </c>
    </row>
    <row r="17" spans="15:23" x14ac:dyDescent="0.25">
      <c r="O17" s="2">
        <f>$Q$4</f>
        <v>86.45</v>
      </c>
      <c r="P17">
        <v>1.1000000000000001</v>
      </c>
      <c r="Q17" s="2">
        <f t="shared" ref="Q17:Q29" si="1">P17*O17</f>
        <v>95.095000000000013</v>
      </c>
    </row>
    <row r="18" spans="15:23" x14ac:dyDescent="0.25">
      <c r="O18" s="2">
        <f>$Q$4</f>
        <v>86.45</v>
      </c>
      <c r="P18">
        <v>1.05</v>
      </c>
      <c r="Q18" s="2">
        <f t="shared" si="1"/>
        <v>90.772500000000008</v>
      </c>
    </row>
    <row r="19" spans="15:23" x14ac:dyDescent="0.25">
      <c r="O19" s="2">
        <f t="shared" ref="O19:O29" si="2">$Q$4</f>
        <v>86.45</v>
      </c>
      <c r="P19">
        <v>1.04</v>
      </c>
      <c r="Q19" s="2">
        <f t="shared" si="1"/>
        <v>89.908000000000001</v>
      </c>
    </row>
    <row r="20" spans="15:23" x14ac:dyDescent="0.25">
      <c r="O20" s="2">
        <f t="shared" si="2"/>
        <v>86.45</v>
      </c>
      <c r="P20" s="2">
        <v>1.03</v>
      </c>
      <c r="Q20" s="2">
        <f t="shared" si="1"/>
        <v>89.043500000000009</v>
      </c>
    </row>
    <row r="21" spans="15:23" x14ac:dyDescent="0.25">
      <c r="O21" s="2">
        <f t="shared" si="2"/>
        <v>86.45</v>
      </c>
      <c r="P21" s="2">
        <v>1.02</v>
      </c>
      <c r="Q21" s="2">
        <f t="shared" si="1"/>
        <v>88.179000000000002</v>
      </c>
      <c r="W21" s="2"/>
    </row>
    <row r="22" spans="15:23" x14ac:dyDescent="0.25">
      <c r="O22" s="2">
        <f t="shared" si="2"/>
        <v>86.45</v>
      </c>
      <c r="P22" s="2">
        <v>1.01</v>
      </c>
      <c r="Q22" s="2">
        <f t="shared" si="1"/>
        <v>87.31450000000001</v>
      </c>
    </row>
    <row r="23" spans="15:23" x14ac:dyDescent="0.25">
      <c r="O23" s="2">
        <f t="shared" si="2"/>
        <v>86.45</v>
      </c>
      <c r="P23" s="2">
        <v>1</v>
      </c>
      <c r="Q23" s="2">
        <f t="shared" si="1"/>
        <v>86.45</v>
      </c>
    </row>
    <row r="24" spans="15:23" x14ac:dyDescent="0.25">
      <c r="O24" s="2">
        <f t="shared" si="2"/>
        <v>86.45</v>
      </c>
      <c r="P24" s="2">
        <v>0.99</v>
      </c>
      <c r="Q24" s="2">
        <f t="shared" si="1"/>
        <v>85.585499999999996</v>
      </c>
    </row>
    <row r="25" spans="15:23" x14ac:dyDescent="0.25">
      <c r="O25" s="2">
        <f t="shared" si="2"/>
        <v>86.45</v>
      </c>
      <c r="P25" s="2">
        <v>0.98</v>
      </c>
      <c r="Q25" s="2">
        <f t="shared" si="1"/>
        <v>84.721000000000004</v>
      </c>
    </row>
    <row r="26" spans="15:23" x14ac:dyDescent="0.25">
      <c r="O26" s="2">
        <f t="shared" si="2"/>
        <v>86.45</v>
      </c>
      <c r="P26" s="2">
        <v>0.97</v>
      </c>
      <c r="Q26" s="2">
        <f t="shared" si="1"/>
        <v>83.856499999999997</v>
      </c>
    </row>
    <row r="27" spans="15:23" x14ac:dyDescent="0.25">
      <c r="O27" s="2">
        <f t="shared" si="2"/>
        <v>86.45</v>
      </c>
      <c r="P27" s="2">
        <v>0.96</v>
      </c>
      <c r="Q27" s="2">
        <f t="shared" si="1"/>
        <v>82.992000000000004</v>
      </c>
    </row>
    <row r="28" spans="15:23" x14ac:dyDescent="0.25">
      <c r="O28" s="2">
        <f t="shared" si="2"/>
        <v>86.45</v>
      </c>
      <c r="P28" s="2">
        <v>0.95</v>
      </c>
      <c r="Q28" s="2">
        <f t="shared" si="1"/>
        <v>82.127499999999998</v>
      </c>
    </row>
    <row r="29" spans="15:23" x14ac:dyDescent="0.25">
      <c r="O29" s="2">
        <f t="shared" si="2"/>
        <v>86.45</v>
      </c>
      <c r="P29" s="2">
        <v>0.9</v>
      </c>
      <c r="Q29" s="2">
        <f t="shared" si="1"/>
        <v>77.805000000000007</v>
      </c>
    </row>
  </sheetData>
  <conditionalFormatting sqref="Q7">
    <cfRule type="expression" dxfId="49" priority="2">
      <formula>Q7&gt;0</formula>
    </cfRule>
    <cfRule type="expression" dxfId="48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9.140625" style="72"/>
  </cols>
  <sheetData>
    <row r="1" spans="1:26" s="23" customFormat="1" x14ac:dyDescent="0.25">
      <c r="A1" s="23" t="s">
        <v>1</v>
      </c>
      <c r="B1" s="23" t="s">
        <v>2</v>
      </c>
      <c r="C1" s="23" t="s">
        <v>4</v>
      </c>
      <c r="D1" s="69" t="s">
        <v>5</v>
      </c>
      <c r="E1" s="69"/>
      <c r="F1" s="69" t="s">
        <v>60</v>
      </c>
      <c r="G1" s="23" t="s">
        <v>3</v>
      </c>
      <c r="H1" s="23" t="s">
        <v>6</v>
      </c>
      <c r="I1" s="69" t="s">
        <v>7</v>
      </c>
      <c r="J1" s="69"/>
      <c r="K1" s="69" t="s">
        <v>61</v>
      </c>
      <c r="L1" s="23" t="s">
        <v>88</v>
      </c>
      <c r="M1" s="23" t="s">
        <v>38</v>
      </c>
      <c r="T1" s="71" t="s">
        <v>74</v>
      </c>
    </row>
    <row r="2" spans="1:26" x14ac:dyDescent="0.25">
      <c r="A2" s="8" t="s">
        <v>23</v>
      </c>
      <c r="B2" s="1">
        <v>42153</v>
      </c>
      <c r="C2" s="16">
        <v>50</v>
      </c>
      <c r="D2" s="70">
        <v>37.22</v>
      </c>
      <c r="E2" s="70"/>
      <c r="F2" s="70">
        <f>C2*D2</f>
        <v>1861</v>
      </c>
      <c r="G2" s="1">
        <v>42186</v>
      </c>
      <c r="H2" s="16">
        <v>50</v>
      </c>
      <c r="I2" s="70">
        <v>38.4</v>
      </c>
      <c r="J2" s="70"/>
      <c r="K2" s="70">
        <f>H2*I2</f>
        <v>1920</v>
      </c>
      <c r="O2" t="s">
        <v>57</v>
      </c>
      <c r="Q2">
        <f>C6-H6</f>
        <v>40</v>
      </c>
      <c r="T2" s="74">
        <v>42240</v>
      </c>
      <c r="U2" s="75" t="s">
        <v>144</v>
      </c>
      <c r="V2" s="75"/>
      <c r="W2" s="75"/>
      <c r="X2" s="75"/>
      <c r="Y2" s="75"/>
      <c r="Z2" s="75"/>
    </row>
    <row r="3" spans="1:26" x14ac:dyDescent="0.25">
      <c r="A3" s="36" t="s">
        <v>81</v>
      </c>
      <c r="B3" s="1">
        <v>42208</v>
      </c>
      <c r="C3" s="16">
        <v>100</v>
      </c>
      <c r="D3" s="70">
        <v>36</v>
      </c>
      <c r="E3" s="70"/>
      <c r="F3" s="70">
        <f>C3*D3</f>
        <v>3600</v>
      </c>
      <c r="G3" s="1">
        <v>42230</v>
      </c>
      <c r="H3" s="16">
        <v>100</v>
      </c>
      <c r="I3" s="70">
        <v>35.96</v>
      </c>
      <c r="J3" s="70"/>
      <c r="K3" s="70">
        <f>H3*I3</f>
        <v>3596</v>
      </c>
      <c r="O3" t="s">
        <v>58</v>
      </c>
      <c r="Q3" s="2">
        <f>(F6-K6)/Q2</f>
        <v>33.880000000000017</v>
      </c>
      <c r="T3" s="76">
        <v>42283</v>
      </c>
      <c r="U3" s="75" t="s">
        <v>143</v>
      </c>
      <c r="V3" s="75"/>
      <c r="W3" s="75"/>
      <c r="X3" s="75"/>
      <c r="Y3" s="75"/>
      <c r="Z3" s="75"/>
    </row>
    <row r="4" spans="1:26" x14ac:dyDescent="0.25">
      <c r="B4" s="1">
        <v>42209</v>
      </c>
      <c r="C4">
        <v>20</v>
      </c>
      <c r="D4" s="2">
        <v>35.479999999999997</v>
      </c>
      <c r="F4" s="2">
        <f>C4*D4</f>
        <v>709.59999999999991</v>
      </c>
      <c r="O4" t="s">
        <v>66</v>
      </c>
      <c r="Q4" s="106">
        <v>36.299999999999997</v>
      </c>
    </row>
    <row r="5" spans="1:26" x14ac:dyDescent="0.25">
      <c r="B5" s="1">
        <v>42209</v>
      </c>
      <c r="C5">
        <v>20</v>
      </c>
      <c r="D5" s="2">
        <v>35.03</v>
      </c>
      <c r="F5" s="2">
        <f>C5*D5</f>
        <v>700.6</v>
      </c>
      <c r="O5" t="s">
        <v>67</v>
      </c>
      <c r="Q5" s="5">
        <f>Q4*Q2</f>
        <v>1452</v>
      </c>
    </row>
    <row r="6" spans="1:26" x14ac:dyDescent="0.25">
      <c r="A6" s="63" t="s">
        <v>114</v>
      </c>
      <c r="B6" s="64"/>
      <c r="C6" s="64">
        <f>SUM(C2:C5)</f>
        <v>190</v>
      </c>
      <c r="D6" s="66"/>
      <c r="E6" s="66"/>
      <c r="F6" s="66">
        <f>SUM(F2:F5)</f>
        <v>6871.2000000000007</v>
      </c>
      <c r="G6" s="64"/>
      <c r="H6" s="64">
        <f>SUM(H2:H5)</f>
        <v>150</v>
      </c>
      <c r="I6" s="66"/>
      <c r="J6" s="66"/>
      <c r="K6" s="66">
        <f>SUM(K2:K5)</f>
        <v>5516</v>
      </c>
      <c r="L6" s="64"/>
      <c r="M6" s="64"/>
      <c r="O6" t="s">
        <v>64</v>
      </c>
      <c r="Q6" s="2">
        <f>Q3*Q2</f>
        <v>1355.2000000000007</v>
      </c>
    </row>
    <row r="7" spans="1:26" x14ac:dyDescent="0.25">
      <c r="O7" t="s">
        <v>65</v>
      </c>
      <c r="Q7" s="2">
        <f>Q5-Q6</f>
        <v>96.799999999999272</v>
      </c>
    </row>
    <row r="18" spans="15:17" x14ac:dyDescent="0.25">
      <c r="P18" t="s">
        <v>89</v>
      </c>
    </row>
    <row r="19" spans="15:17" x14ac:dyDescent="0.25">
      <c r="O19" s="2">
        <f>$Q$4</f>
        <v>36.299999999999997</v>
      </c>
      <c r="P19">
        <v>1.1000000000000001</v>
      </c>
      <c r="Q19" s="2">
        <f t="shared" ref="Q19:Q31" si="0">P19*O19</f>
        <v>39.93</v>
      </c>
    </row>
    <row r="20" spans="15:17" x14ac:dyDescent="0.25">
      <c r="O20" s="2">
        <f>$Q$4</f>
        <v>36.299999999999997</v>
      </c>
      <c r="P20">
        <v>1.05</v>
      </c>
      <c r="Q20" s="2">
        <f t="shared" si="0"/>
        <v>38.115000000000002</v>
      </c>
    </row>
    <row r="21" spans="15:17" x14ac:dyDescent="0.25">
      <c r="O21" s="2">
        <f t="shared" ref="O21:O31" si="1">$Q$4</f>
        <v>36.299999999999997</v>
      </c>
      <c r="P21">
        <v>1.04</v>
      </c>
      <c r="Q21" s="2">
        <f t="shared" si="0"/>
        <v>37.751999999999995</v>
      </c>
    </row>
    <row r="22" spans="15:17" x14ac:dyDescent="0.25">
      <c r="O22" s="2">
        <f t="shared" si="1"/>
        <v>36.299999999999997</v>
      </c>
      <c r="P22" s="2">
        <v>1.03</v>
      </c>
      <c r="Q22" s="2">
        <f t="shared" si="0"/>
        <v>37.388999999999996</v>
      </c>
    </row>
    <row r="23" spans="15:17" x14ac:dyDescent="0.25">
      <c r="O23" s="2">
        <f t="shared" si="1"/>
        <v>36.299999999999997</v>
      </c>
      <c r="P23" s="2">
        <v>1.02</v>
      </c>
      <c r="Q23" s="2">
        <f t="shared" si="0"/>
        <v>37.025999999999996</v>
      </c>
    </row>
    <row r="24" spans="15:17" x14ac:dyDescent="0.25">
      <c r="O24" s="2">
        <f t="shared" si="1"/>
        <v>36.299999999999997</v>
      </c>
      <c r="P24" s="2">
        <v>1.01</v>
      </c>
      <c r="Q24" s="2">
        <f t="shared" si="0"/>
        <v>36.662999999999997</v>
      </c>
    </row>
    <row r="25" spans="15:17" x14ac:dyDescent="0.25">
      <c r="O25" s="2">
        <f t="shared" si="1"/>
        <v>36.299999999999997</v>
      </c>
      <c r="P25" s="2">
        <v>1</v>
      </c>
      <c r="Q25" s="2">
        <f t="shared" si="0"/>
        <v>36.299999999999997</v>
      </c>
    </row>
    <row r="26" spans="15:17" x14ac:dyDescent="0.25">
      <c r="O26" s="2">
        <f t="shared" si="1"/>
        <v>36.299999999999997</v>
      </c>
      <c r="P26" s="2">
        <v>0.99</v>
      </c>
      <c r="Q26" s="2">
        <f t="shared" si="0"/>
        <v>35.936999999999998</v>
      </c>
    </row>
    <row r="27" spans="15:17" x14ac:dyDescent="0.25">
      <c r="O27" s="2">
        <f t="shared" si="1"/>
        <v>36.299999999999997</v>
      </c>
      <c r="P27" s="2">
        <v>0.98</v>
      </c>
      <c r="Q27" s="2">
        <f t="shared" si="0"/>
        <v>35.573999999999998</v>
      </c>
    </row>
    <row r="28" spans="15:17" x14ac:dyDescent="0.25">
      <c r="O28" s="2">
        <f t="shared" si="1"/>
        <v>36.299999999999997</v>
      </c>
      <c r="P28" s="2">
        <v>0.97</v>
      </c>
      <c r="Q28" s="2">
        <f t="shared" si="0"/>
        <v>35.210999999999999</v>
      </c>
    </row>
    <row r="29" spans="15:17" x14ac:dyDescent="0.25">
      <c r="O29" s="2">
        <f t="shared" si="1"/>
        <v>36.299999999999997</v>
      </c>
      <c r="P29" s="2">
        <v>0.96</v>
      </c>
      <c r="Q29" s="2">
        <f t="shared" si="0"/>
        <v>34.847999999999999</v>
      </c>
    </row>
    <row r="30" spans="15:17" x14ac:dyDescent="0.25">
      <c r="O30" s="2">
        <f t="shared" si="1"/>
        <v>36.299999999999997</v>
      </c>
      <c r="P30" s="2">
        <v>0.95</v>
      </c>
      <c r="Q30" s="2">
        <f t="shared" si="0"/>
        <v>34.484999999999992</v>
      </c>
    </row>
    <row r="31" spans="15:17" x14ac:dyDescent="0.25">
      <c r="O31" s="2">
        <f t="shared" si="1"/>
        <v>36.299999999999997</v>
      </c>
      <c r="P31" s="2">
        <v>0.9</v>
      </c>
      <c r="Q31" s="2">
        <f t="shared" si="0"/>
        <v>32.67</v>
      </c>
    </row>
  </sheetData>
  <conditionalFormatting sqref="Q7">
    <cfRule type="expression" dxfId="47" priority="2">
      <formula>Q7&gt;0</formula>
    </cfRule>
    <cfRule type="expression" dxfId="46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U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9.140625" customWidth="1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163</v>
      </c>
      <c r="F1" s="34" t="s">
        <v>60</v>
      </c>
      <c r="G1" s="20" t="s">
        <v>3</v>
      </c>
      <c r="H1" s="20" t="s">
        <v>6</v>
      </c>
      <c r="I1" s="34" t="s">
        <v>7</v>
      </c>
      <c r="J1" s="34" t="s">
        <v>162</v>
      </c>
      <c r="K1" s="34" t="s">
        <v>61</v>
      </c>
      <c r="L1" s="20" t="s">
        <v>37</v>
      </c>
      <c r="M1" s="20" t="s">
        <v>38</v>
      </c>
      <c r="P1"/>
      <c r="Q1"/>
    </row>
    <row r="2" spans="1:21" x14ac:dyDescent="0.25">
      <c r="A2" s="8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">
        <v>42199</v>
      </c>
      <c r="H2" s="17">
        <v>52</v>
      </c>
      <c r="I2" s="78">
        <v>10.7</v>
      </c>
      <c r="J2" s="78">
        <v>0</v>
      </c>
      <c r="K2" s="78">
        <f>H2*I2</f>
        <v>556.4</v>
      </c>
      <c r="L2" t="s">
        <v>151</v>
      </c>
      <c r="O2" s="20" t="s">
        <v>57</v>
      </c>
      <c r="Q2">
        <f>C13-H13</f>
        <v>700</v>
      </c>
      <c r="T2" s="20" t="s">
        <v>150</v>
      </c>
    </row>
    <row r="3" spans="1:21" x14ac:dyDescent="0.25">
      <c r="A3" s="36" t="s">
        <v>81</v>
      </c>
      <c r="B3" s="1">
        <v>42151</v>
      </c>
      <c r="C3">
        <v>102</v>
      </c>
      <c r="D3" s="2">
        <v>12.99</v>
      </c>
      <c r="E3" s="2">
        <v>0</v>
      </c>
      <c r="F3" s="2">
        <f t="shared" ref="F3:F12" si="0">C3*D3</f>
        <v>1324.98</v>
      </c>
      <c r="G3" s="1">
        <v>42235</v>
      </c>
      <c r="H3" s="16">
        <v>150</v>
      </c>
      <c r="I3" s="70">
        <v>9.41</v>
      </c>
      <c r="J3" s="70">
        <v>0</v>
      </c>
      <c r="K3" s="70">
        <f>H3*I3</f>
        <v>1411.5</v>
      </c>
      <c r="O3" s="20" t="s">
        <v>58</v>
      </c>
      <c r="Q3" s="2">
        <f>(F13-K13)/Q2</f>
        <v>11.06817142857143</v>
      </c>
      <c r="T3" s="1">
        <v>42221</v>
      </c>
      <c r="U3" t="s">
        <v>152</v>
      </c>
    </row>
    <row r="4" spans="1:2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O4" s="20" t="s">
        <v>66</v>
      </c>
      <c r="Q4" s="106">
        <v>8.73</v>
      </c>
    </row>
    <row r="5" spans="1:2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O5" s="20" t="s">
        <v>67</v>
      </c>
      <c r="Q5" s="5">
        <f>Q4*Q2</f>
        <v>6111</v>
      </c>
    </row>
    <row r="6" spans="1:21" x14ac:dyDescent="0.25">
      <c r="B6" s="1">
        <v>42180</v>
      </c>
      <c r="C6">
        <v>50</v>
      </c>
      <c r="D6" s="2">
        <v>11.7</v>
      </c>
      <c r="E6" s="2">
        <v>0</v>
      </c>
      <c r="F6" s="2">
        <f t="shared" si="0"/>
        <v>585</v>
      </c>
      <c r="O6" s="20" t="s">
        <v>64</v>
      </c>
      <c r="Q6" s="2">
        <f>Q3*Q2</f>
        <v>7747.7200000000012</v>
      </c>
    </row>
    <row r="7" spans="1:21" x14ac:dyDescent="0.25">
      <c r="B7" s="1">
        <v>42198</v>
      </c>
      <c r="C7">
        <v>50</v>
      </c>
      <c r="D7" s="2">
        <v>10.5</v>
      </c>
      <c r="E7" s="2">
        <v>0</v>
      </c>
      <c r="F7" s="2">
        <f t="shared" si="0"/>
        <v>525</v>
      </c>
      <c r="O7" s="20" t="s">
        <v>65</v>
      </c>
      <c r="Q7" s="2">
        <f>Q5-Q6+M13</f>
        <v>-1636.7200000000012</v>
      </c>
    </row>
    <row r="8" spans="1:21" x14ac:dyDescent="0.25">
      <c r="B8" s="1">
        <v>42205</v>
      </c>
      <c r="C8" s="17">
        <v>20</v>
      </c>
      <c r="D8" s="78">
        <v>10.56</v>
      </c>
      <c r="E8" s="2">
        <v>0</v>
      </c>
      <c r="F8" s="78">
        <f t="shared" si="0"/>
        <v>211.20000000000002</v>
      </c>
    </row>
    <row r="9" spans="1:21" x14ac:dyDescent="0.25">
      <c r="B9" s="1">
        <v>42208</v>
      </c>
      <c r="C9" s="17">
        <v>32</v>
      </c>
      <c r="D9" s="78">
        <v>10.220000000000001</v>
      </c>
      <c r="E9" s="2">
        <v>0</v>
      </c>
      <c r="F9" s="78">
        <f t="shared" si="0"/>
        <v>327.04000000000002</v>
      </c>
    </row>
    <row r="10" spans="1:21" x14ac:dyDescent="0.25">
      <c r="B10" s="1">
        <v>42230</v>
      </c>
      <c r="C10">
        <v>100</v>
      </c>
      <c r="D10" s="2">
        <v>9.58</v>
      </c>
      <c r="E10" s="2">
        <v>0</v>
      </c>
      <c r="F10" s="2">
        <f t="shared" si="0"/>
        <v>958</v>
      </c>
    </row>
    <row r="11" spans="1:21" x14ac:dyDescent="0.25">
      <c r="B11" s="1">
        <v>42233</v>
      </c>
      <c r="C11" s="16">
        <v>150</v>
      </c>
      <c r="D11" s="70">
        <v>9.3000000000000007</v>
      </c>
      <c r="E11" s="2">
        <v>0</v>
      </c>
      <c r="F11" s="70">
        <f t="shared" si="0"/>
        <v>1395</v>
      </c>
    </row>
    <row r="12" spans="1:21" x14ac:dyDescent="0.25">
      <c r="B12" s="1">
        <v>42240</v>
      </c>
      <c r="C12" s="6">
        <v>200</v>
      </c>
      <c r="D12" s="5">
        <v>9.2100000000000009</v>
      </c>
      <c r="E12" s="2">
        <v>0</v>
      </c>
      <c r="F12" s="5">
        <f t="shared" si="0"/>
        <v>1842.0000000000002</v>
      </c>
    </row>
    <row r="13" spans="1:21" x14ac:dyDescent="0.25">
      <c r="A13" s="57" t="s">
        <v>114</v>
      </c>
      <c r="B13" s="24"/>
      <c r="C13" s="24">
        <f>SUM(C2:C12)</f>
        <v>902</v>
      </c>
      <c r="D13" s="31"/>
      <c r="E13" s="31"/>
      <c r="F13" s="31">
        <f>SUM(F2:F12)</f>
        <v>9715.6200000000008</v>
      </c>
      <c r="G13" s="24"/>
      <c r="H13" s="24">
        <f>SUM(H2:H9)</f>
        <v>202</v>
      </c>
      <c r="I13" s="31"/>
      <c r="J13" s="31"/>
      <c r="K13" s="31">
        <f>SUM(K2:K9)</f>
        <v>1967.9</v>
      </c>
      <c r="L13" s="24"/>
      <c r="M13" s="24"/>
    </row>
    <row r="14" spans="1:21" x14ac:dyDescent="0.25">
      <c r="T14" s="20" t="s">
        <v>149</v>
      </c>
      <c r="U14" s="20"/>
    </row>
    <row r="15" spans="1:21" x14ac:dyDescent="0.25">
      <c r="T15" s="1">
        <v>42285</v>
      </c>
      <c r="U15" t="s">
        <v>128</v>
      </c>
    </row>
    <row r="20" spans="15:18" x14ac:dyDescent="0.25">
      <c r="P20" t="s">
        <v>89</v>
      </c>
      <c r="R20" s="59"/>
    </row>
    <row r="21" spans="15:18" x14ac:dyDescent="0.25">
      <c r="O21" s="2">
        <f>$Q$4</f>
        <v>8.73</v>
      </c>
      <c r="P21">
        <v>1.1000000000000001</v>
      </c>
      <c r="Q21" s="2">
        <f t="shared" ref="Q21:Q33" si="1">P21*O21</f>
        <v>9.6030000000000015</v>
      </c>
      <c r="R21" s="59"/>
    </row>
    <row r="22" spans="15:18" x14ac:dyDescent="0.25">
      <c r="O22" s="2">
        <f>$Q$4</f>
        <v>8.73</v>
      </c>
      <c r="P22">
        <v>1.05</v>
      </c>
      <c r="Q22" s="2">
        <f t="shared" si="1"/>
        <v>9.166500000000001</v>
      </c>
      <c r="R22" s="59"/>
    </row>
    <row r="23" spans="15:18" x14ac:dyDescent="0.25">
      <c r="O23" s="2">
        <f t="shared" ref="O23:O33" si="2">$Q$4</f>
        <v>8.73</v>
      </c>
      <c r="P23">
        <v>1.04</v>
      </c>
      <c r="Q23" s="2">
        <f t="shared" si="1"/>
        <v>9.0792000000000002</v>
      </c>
      <c r="R23" s="59" t="s">
        <v>116</v>
      </c>
    </row>
    <row r="24" spans="15:18" x14ac:dyDescent="0.25">
      <c r="O24" s="2">
        <f t="shared" si="2"/>
        <v>8.73</v>
      </c>
      <c r="P24" s="2">
        <v>1.03</v>
      </c>
      <c r="Q24" s="2">
        <f t="shared" si="1"/>
        <v>8.9919000000000011</v>
      </c>
      <c r="R24" s="59"/>
    </row>
    <row r="25" spans="15:18" x14ac:dyDescent="0.25">
      <c r="O25" s="2">
        <f t="shared" si="2"/>
        <v>8.73</v>
      </c>
      <c r="P25" s="2">
        <v>1.02</v>
      </c>
      <c r="Q25" s="2">
        <f t="shared" si="1"/>
        <v>8.9046000000000003</v>
      </c>
      <c r="R25" s="59"/>
    </row>
    <row r="26" spans="15:18" x14ac:dyDescent="0.25">
      <c r="O26" s="2">
        <f t="shared" si="2"/>
        <v>8.73</v>
      </c>
      <c r="P26" s="2">
        <v>1.01</v>
      </c>
      <c r="Q26" s="2">
        <f t="shared" si="1"/>
        <v>8.8173000000000012</v>
      </c>
      <c r="R26" s="59"/>
    </row>
    <row r="27" spans="15:18" x14ac:dyDescent="0.25">
      <c r="O27" s="2">
        <f t="shared" si="2"/>
        <v>8.73</v>
      </c>
      <c r="P27" s="2">
        <v>1</v>
      </c>
      <c r="Q27" s="2">
        <f t="shared" si="1"/>
        <v>8.73</v>
      </c>
      <c r="R27" s="59"/>
    </row>
    <row r="28" spans="15:18" x14ac:dyDescent="0.25">
      <c r="O28" s="2">
        <f t="shared" si="2"/>
        <v>8.73</v>
      </c>
      <c r="P28" s="2">
        <v>0.99</v>
      </c>
      <c r="Q28" s="2">
        <f t="shared" si="1"/>
        <v>8.6426999999999996</v>
      </c>
      <c r="R28" s="59"/>
    </row>
    <row r="29" spans="15:18" x14ac:dyDescent="0.25">
      <c r="O29" s="2">
        <f t="shared" si="2"/>
        <v>8.73</v>
      </c>
      <c r="P29" s="2">
        <v>0.98</v>
      </c>
      <c r="Q29" s="2">
        <f t="shared" si="1"/>
        <v>8.5554000000000006</v>
      </c>
      <c r="R29" s="59" t="s">
        <v>117</v>
      </c>
    </row>
    <row r="30" spans="15:18" x14ac:dyDescent="0.25">
      <c r="O30" s="2">
        <f t="shared" si="2"/>
        <v>8.73</v>
      </c>
      <c r="P30" s="2">
        <v>0.97</v>
      </c>
      <c r="Q30" s="2">
        <f t="shared" si="1"/>
        <v>8.4680999999999997</v>
      </c>
      <c r="R30" s="59"/>
    </row>
    <row r="31" spans="15:18" x14ac:dyDescent="0.25">
      <c r="O31" s="2">
        <f t="shared" si="2"/>
        <v>8.73</v>
      </c>
      <c r="P31" s="2">
        <v>0.96</v>
      </c>
      <c r="Q31" s="2">
        <f t="shared" si="1"/>
        <v>8.3808000000000007</v>
      </c>
      <c r="R31" s="59"/>
    </row>
    <row r="32" spans="15:18" x14ac:dyDescent="0.25">
      <c r="O32" s="2">
        <f t="shared" si="2"/>
        <v>8.73</v>
      </c>
      <c r="P32" s="2">
        <v>0.95</v>
      </c>
      <c r="Q32" s="2">
        <f t="shared" si="1"/>
        <v>8.2934999999999999</v>
      </c>
      <c r="R32" s="59"/>
    </row>
    <row r="33" spans="15:18" x14ac:dyDescent="0.25">
      <c r="O33" s="2">
        <f t="shared" si="2"/>
        <v>8.73</v>
      </c>
      <c r="P33" s="2">
        <v>0.9</v>
      </c>
      <c r="Q33" s="2">
        <f t="shared" si="1"/>
        <v>7.8570000000000002</v>
      </c>
      <c r="R33" s="59"/>
    </row>
  </sheetData>
  <conditionalFormatting sqref="Q7">
    <cfRule type="expression" dxfId="45" priority="4">
      <formula>Q7&gt;0</formula>
    </cfRule>
    <cfRule type="expression" dxfId="44" priority="5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15</v>
      </c>
      <c r="B2" s="1">
        <v>42153</v>
      </c>
      <c r="C2">
        <v>1</v>
      </c>
      <c r="D2" s="2">
        <v>26.75</v>
      </c>
      <c r="F2" s="2">
        <f>C2*D2</f>
        <v>26.75</v>
      </c>
      <c r="G2" s="1">
        <v>42226</v>
      </c>
      <c r="H2" s="10">
        <v>170</v>
      </c>
      <c r="I2" s="10">
        <v>22.35</v>
      </c>
      <c r="J2" s="10"/>
      <c r="K2" s="10">
        <f>H2*I2</f>
        <v>3799.5000000000005</v>
      </c>
      <c r="L2" t="s">
        <v>113</v>
      </c>
      <c r="O2" s="20" t="s">
        <v>57</v>
      </c>
      <c r="Q2">
        <f>C13-H13</f>
        <v>120</v>
      </c>
      <c r="U2" s="1">
        <v>42314</v>
      </c>
      <c r="V2" t="s">
        <v>128</v>
      </c>
    </row>
    <row r="3" spans="1:22" x14ac:dyDescent="0.25">
      <c r="A3" s="36" t="s">
        <v>81</v>
      </c>
      <c r="B3" s="1">
        <v>42173</v>
      </c>
      <c r="C3">
        <v>19</v>
      </c>
      <c r="D3" s="2">
        <v>24.84</v>
      </c>
      <c r="F3" s="2">
        <f t="shared" ref="F3:F12" si="0">C3*D3</f>
        <v>471.96</v>
      </c>
      <c r="O3" s="20" t="s">
        <v>58</v>
      </c>
      <c r="Q3" s="2">
        <f>(F13-K13)/Q2</f>
        <v>21.353833333333331</v>
      </c>
    </row>
    <row r="4" spans="1:22" x14ac:dyDescent="0.25">
      <c r="B4" s="1">
        <v>42184</v>
      </c>
      <c r="C4">
        <v>10</v>
      </c>
      <c r="D4" s="2">
        <v>24.33</v>
      </c>
      <c r="F4" s="2">
        <f t="shared" si="0"/>
        <v>243.29999999999998</v>
      </c>
      <c r="O4" s="20" t="s">
        <v>66</v>
      </c>
      <c r="Q4" s="106">
        <v>18.46</v>
      </c>
    </row>
    <row r="5" spans="1:22" x14ac:dyDescent="0.25">
      <c r="B5" s="1">
        <v>42185</v>
      </c>
      <c r="C5">
        <v>5</v>
      </c>
      <c r="D5" s="2">
        <v>23.82</v>
      </c>
      <c r="F5" s="2">
        <f t="shared" si="0"/>
        <v>119.1</v>
      </c>
      <c r="O5" s="20" t="s">
        <v>67</v>
      </c>
      <c r="Q5" s="5">
        <f>Q4*Q2</f>
        <v>2215.2000000000003</v>
      </c>
    </row>
    <row r="6" spans="1:22" x14ac:dyDescent="0.25">
      <c r="B6" s="1">
        <v>42185</v>
      </c>
      <c r="C6">
        <v>15</v>
      </c>
      <c r="D6" s="2">
        <v>23.71</v>
      </c>
      <c r="F6" s="2">
        <f t="shared" si="0"/>
        <v>355.65000000000003</v>
      </c>
      <c r="O6" s="20" t="s">
        <v>64</v>
      </c>
      <c r="Q6" s="2">
        <f>Q3*Q2</f>
        <v>2562.4599999999996</v>
      </c>
    </row>
    <row r="7" spans="1:22" x14ac:dyDescent="0.25">
      <c r="B7" s="1">
        <v>42185</v>
      </c>
      <c r="C7">
        <v>30</v>
      </c>
      <c r="D7" s="2">
        <v>23.65</v>
      </c>
      <c r="F7" s="2">
        <f t="shared" si="0"/>
        <v>709.5</v>
      </c>
      <c r="O7" s="20" t="s">
        <v>65</v>
      </c>
      <c r="Q7" s="2">
        <f>Q5-Q6</f>
        <v>-347.25999999999931</v>
      </c>
    </row>
    <row r="8" spans="1:22" x14ac:dyDescent="0.25">
      <c r="B8" s="1">
        <v>42185</v>
      </c>
      <c r="C8" s="10">
        <v>40</v>
      </c>
      <c r="D8" s="25">
        <v>23.2</v>
      </c>
      <c r="E8" s="25"/>
      <c r="F8" s="25">
        <f t="shared" si="0"/>
        <v>928</v>
      </c>
    </row>
    <row r="9" spans="1:22" x14ac:dyDescent="0.25">
      <c r="B9" s="1">
        <v>42185</v>
      </c>
      <c r="C9" s="10">
        <v>50</v>
      </c>
      <c r="D9" s="25">
        <v>22.94</v>
      </c>
      <c r="E9" s="25"/>
      <c r="F9" s="25">
        <f t="shared" si="0"/>
        <v>1147</v>
      </c>
    </row>
    <row r="10" spans="1:22" x14ac:dyDescent="0.25">
      <c r="B10" s="1">
        <v>42209</v>
      </c>
      <c r="C10" s="10">
        <v>50</v>
      </c>
      <c r="D10" s="25">
        <v>19.75</v>
      </c>
      <c r="E10" s="25"/>
      <c r="F10" s="25">
        <f t="shared" si="0"/>
        <v>987.5</v>
      </c>
    </row>
    <row r="11" spans="1:22" x14ac:dyDescent="0.25">
      <c r="B11" s="1">
        <v>42212</v>
      </c>
      <c r="C11" s="10">
        <v>30</v>
      </c>
      <c r="D11" s="25">
        <v>19.2</v>
      </c>
      <c r="E11" s="25"/>
      <c r="F11" s="25">
        <f t="shared" si="0"/>
        <v>576</v>
      </c>
    </row>
    <row r="12" spans="1:22" x14ac:dyDescent="0.25">
      <c r="B12" s="1">
        <v>42240</v>
      </c>
      <c r="C12" s="94">
        <v>40</v>
      </c>
      <c r="D12" s="95">
        <v>19.93</v>
      </c>
      <c r="E12" s="95"/>
      <c r="F12" s="95">
        <f t="shared" si="0"/>
        <v>797.2</v>
      </c>
    </row>
    <row r="13" spans="1:22" x14ac:dyDescent="0.25">
      <c r="A13" s="57" t="s">
        <v>114</v>
      </c>
      <c r="B13" s="24"/>
      <c r="C13" s="24">
        <f>SUM(C2:C12)</f>
        <v>290</v>
      </c>
      <c r="D13" s="31"/>
      <c r="E13" s="31"/>
      <c r="F13" s="31">
        <f>SUM(F2:F12)</f>
        <v>6361.96</v>
      </c>
      <c r="G13" s="24"/>
      <c r="H13" s="24">
        <f>SUM(H2:H11)</f>
        <v>170</v>
      </c>
      <c r="I13" s="24"/>
      <c r="J13" s="24"/>
      <c r="K13" s="24">
        <f>SUM(K2:K11)</f>
        <v>3799.5000000000005</v>
      </c>
      <c r="L13" s="24"/>
      <c r="M13" s="24"/>
    </row>
    <row r="19" spans="15:17" x14ac:dyDescent="0.25">
      <c r="P19" t="s">
        <v>89</v>
      </c>
    </row>
    <row r="20" spans="15:17" x14ac:dyDescent="0.25">
      <c r="O20" s="2">
        <f>$Q$4</f>
        <v>18.46</v>
      </c>
      <c r="P20">
        <v>1.1000000000000001</v>
      </c>
      <c r="Q20" s="2">
        <f t="shared" ref="Q20:Q32" si="1">P20*O20</f>
        <v>20.306000000000001</v>
      </c>
    </row>
    <row r="21" spans="15:17" x14ac:dyDescent="0.25">
      <c r="O21" s="2">
        <f>$Q$4</f>
        <v>18.46</v>
      </c>
      <c r="P21">
        <v>1.05</v>
      </c>
      <c r="Q21" s="2">
        <f t="shared" si="1"/>
        <v>19.383000000000003</v>
      </c>
    </row>
    <row r="22" spans="15:17" x14ac:dyDescent="0.25">
      <c r="O22" s="2">
        <f t="shared" ref="O22:O32" si="2">$Q$4</f>
        <v>18.46</v>
      </c>
      <c r="P22">
        <v>1.04</v>
      </c>
      <c r="Q22" s="2">
        <f t="shared" si="1"/>
        <v>19.198400000000003</v>
      </c>
    </row>
    <row r="23" spans="15:17" x14ac:dyDescent="0.25">
      <c r="O23" s="2">
        <f t="shared" si="2"/>
        <v>18.46</v>
      </c>
      <c r="P23" s="2">
        <v>1.03</v>
      </c>
      <c r="Q23" s="2">
        <f t="shared" si="1"/>
        <v>19.0138</v>
      </c>
    </row>
    <row r="24" spans="15:17" x14ac:dyDescent="0.25">
      <c r="O24" s="2">
        <f t="shared" si="2"/>
        <v>18.46</v>
      </c>
      <c r="P24" s="2">
        <v>1.02</v>
      </c>
      <c r="Q24" s="2">
        <f t="shared" si="1"/>
        <v>18.8292</v>
      </c>
    </row>
    <row r="25" spans="15:17" x14ac:dyDescent="0.25">
      <c r="O25" s="2">
        <f t="shared" si="2"/>
        <v>18.46</v>
      </c>
      <c r="P25" s="2">
        <v>1.01</v>
      </c>
      <c r="Q25" s="2">
        <f t="shared" si="1"/>
        <v>18.644600000000001</v>
      </c>
    </row>
    <row r="26" spans="15:17" x14ac:dyDescent="0.25">
      <c r="O26" s="2">
        <f t="shared" si="2"/>
        <v>18.46</v>
      </c>
      <c r="P26" s="2">
        <v>1</v>
      </c>
      <c r="Q26" s="2">
        <f t="shared" si="1"/>
        <v>18.46</v>
      </c>
    </row>
    <row r="27" spans="15:17" x14ac:dyDescent="0.25">
      <c r="O27" s="2">
        <f t="shared" si="2"/>
        <v>18.46</v>
      </c>
      <c r="P27" s="2">
        <v>0.99</v>
      </c>
      <c r="Q27" s="2">
        <f t="shared" si="1"/>
        <v>18.275400000000001</v>
      </c>
    </row>
    <row r="28" spans="15:17" x14ac:dyDescent="0.25">
      <c r="O28" s="2">
        <f t="shared" si="2"/>
        <v>18.46</v>
      </c>
      <c r="P28" s="2">
        <v>0.98</v>
      </c>
      <c r="Q28" s="2">
        <f t="shared" si="1"/>
        <v>18.090800000000002</v>
      </c>
    </row>
    <row r="29" spans="15:17" x14ac:dyDescent="0.25">
      <c r="O29" s="2">
        <f t="shared" si="2"/>
        <v>18.46</v>
      </c>
      <c r="P29" s="2">
        <v>0.97</v>
      </c>
      <c r="Q29" s="2">
        <f t="shared" si="1"/>
        <v>17.906200000000002</v>
      </c>
    </row>
    <row r="30" spans="15:17" x14ac:dyDescent="0.25">
      <c r="O30" s="2">
        <f t="shared" si="2"/>
        <v>18.46</v>
      </c>
      <c r="P30" s="2">
        <v>0.96</v>
      </c>
      <c r="Q30" s="2">
        <f t="shared" si="1"/>
        <v>17.721599999999999</v>
      </c>
    </row>
    <row r="31" spans="15:17" x14ac:dyDescent="0.25">
      <c r="O31" s="2">
        <f t="shared" si="2"/>
        <v>18.46</v>
      </c>
      <c r="P31" s="2">
        <v>0.95</v>
      </c>
      <c r="Q31" s="2">
        <f t="shared" si="1"/>
        <v>17.536999999999999</v>
      </c>
    </row>
    <row r="32" spans="15:17" x14ac:dyDescent="0.25">
      <c r="O32" s="2">
        <f t="shared" si="2"/>
        <v>18.46</v>
      </c>
      <c r="P32" s="2">
        <v>0.9</v>
      </c>
      <c r="Q32" s="2">
        <f t="shared" si="1"/>
        <v>16.614000000000001</v>
      </c>
    </row>
  </sheetData>
  <conditionalFormatting sqref="Q7">
    <cfRule type="expression" dxfId="43" priority="2">
      <formula>Q7&gt;0</formula>
    </cfRule>
    <cfRule type="expression" dxfId="42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88</v>
      </c>
      <c r="M1" s="20" t="s">
        <v>38</v>
      </c>
      <c r="T1" s="20" t="s">
        <v>74</v>
      </c>
    </row>
    <row r="2" spans="1:21" x14ac:dyDescent="0.25">
      <c r="A2" s="8" t="s">
        <v>24</v>
      </c>
      <c r="B2" s="1">
        <v>42156</v>
      </c>
      <c r="C2">
        <v>5</v>
      </c>
      <c r="D2" s="2">
        <v>48.55</v>
      </c>
      <c r="F2" s="2">
        <f>C2*D2</f>
        <v>242.75</v>
      </c>
      <c r="G2" s="1">
        <v>42186</v>
      </c>
      <c r="H2" s="19">
        <v>100</v>
      </c>
      <c r="I2" s="65">
        <v>44.99</v>
      </c>
      <c r="J2" s="65"/>
      <c r="K2" s="65">
        <f>H2*I2</f>
        <v>4499</v>
      </c>
      <c r="L2" t="s">
        <v>113</v>
      </c>
      <c r="O2" t="s">
        <v>57</v>
      </c>
      <c r="Q2">
        <f>C10-H10</f>
        <v>40</v>
      </c>
      <c r="T2" t="s">
        <v>130</v>
      </c>
      <c r="U2" t="s">
        <v>131</v>
      </c>
    </row>
    <row r="3" spans="1:21" x14ac:dyDescent="0.25">
      <c r="A3" s="36" t="s">
        <v>81</v>
      </c>
      <c r="B3" s="1">
        <v>42156</v>
      </c>
      <c r="C3">
        <v>5</v>
      </c>
      <c r="D3" s="2">
        <v>47.01</v>
      </c>
      <c r="F3" s="2">
        <f t="shared" ref="F3:F9" si="0">C3*D3</f>
        <v>235.04999999999998</v>
      </c>
      <c r="G3" s="1">
        <v>42227</v>
      </c>
      <c r="H3" s="6">
        <v>100</v>
      </c>
      <c r="I3" s="5">
        <v>43</v>
      </c>
      <c r="J3" s="5"/>
      <c r="K3" s="5">
        <f>H3*I3</f>
        <v>4300</v>
      </c>
      <c r="O3" t="s">
        <v>58</v>
      </c>
      <c r="Q3" s="2">
        <f>(F10-K10)/Q2</f>
        <v>48.684999999999988</v>
      </c>
      <c r="T3" s="1">
        <v>42312</v>
      </c>
      <c r="U3" t="s">
        <v>128</v>
      </c>
    </row>
    <row r="4" spans="1:21" x14ac:dyDescent="0.25">
      <c r="B4" s="1">
        <v>42156</v>
      </c>
      <c r="C4">
        <v>10</v>
      </c>
      <c r="D4" s="2">
        <v>46.5</v>
      </c>
      <c r="F4" s="2">
        <f t="shared" si="0"/>
        <v>465</v>
      </c>
      <c r="G4" s="1"/>
      <c r="O4" t="s">
        <v>66</v>
      </c>
      <c r="Q4" s="106">
        <v>40.08</v>
      </c>
    </row>
    <row r="5" spans="1:21" x14ac:dyDescent="0.25">
      <c r="B5" s="1">
        <v>42156</v>
      </c>
      <c r="C5">
        <v>50</v>
      </c>
      <c r="D5" s="2">
        <v>45.95</v>
      </c>
      <c r="F5" s="2">
        <f t="shared" si="0"/>
        <v>2297.5</v>
      </c>
      <c r="O5" t="s">
        <v>67</v>
      </c>
      <c r="Q5" s="5">
        <f>Q4*Q2</f>
        <v>1603.1999999999998</v>
      </c>
    </row>
    <row r="6" spans="1:21" x14ac:dyDescent="0.25">
      <c r="B6" s="1">
        <v>42156</v>
      </c>
      <c r="C6">
        <v>30</v>
      </c>
      <c r="D6" s="2">
        <v>45.95</v>
      </c>
      <c r="F6" s="2">
        <f t="shared" si="0"/>
        <v>1378.5</v>
      </c>
      <c r="O6" t="s">
        <v>64</v>
      </c>
      <c r="Q6" s="2">
        <f>Q3*Q2</f>
        <v>1947.3999999999996</v>
      </c>
    </row>
    <row r="7" spans="1:21" x14ac:dyDescent="0.25">
      <c r="B7" s="1">
        <v>42186</v>
      </c>
      <c r="C7" s="19">
        <v>100</v>
      </c>
      <c r="D7" s="65">
        <v>44.9</v>
      </c>
      <c r="E7" s="65"/>
      <c r="F7" s="65">
        <f t="shared" si="0"/>
        <v>4490</v>
      </c>
      <c r="O7" t="s">
        <v>65</v>
      </c>
      <c r="Q7" s="2">
        <f>Q5-Q6</f>
        <v>-344.19999999999982</v>
      </c>
    </row>
    <row r="8" spans="1:21" x14ac:dyDescent="0.25">
      <c r="B8" s="1">
        <v>42206</v>
      </c>
      <c r="C8">
        <v>20</v>
      </c>
      <c r="D8" s="2">
        <v>41.2</v>
      </c>
      <c r="F8" s="2">
        <f t="shared" si="0"/>
        <v>824</v>
      </c>
    </row>
    <row r="9" spans="1:21" x14ac:dyDescent="0.25">
      <c r="B9" s="1">
        <v>42207</v>
      </c>
      <c r="C9">
        <v>20</v>
      </c>
      <c r="D9" s="2">
        <v>40.68</v>
      </c>
      <c r="F9" s="2">
        <f t="shared" si="0"/>
        <v>813.6</v>
      </c>
    </row>
    <row r="10" spans="1:21" x14ac:dyDescent="0.25">
      <c r="A10" s="63" t="s">
        <v>114</v>
      </c>
      <c r="B10" s="64"/>
      <c r="C10" s="64">
        <f>SUM(C2:C9)</f>
        <v>240</v>
      </c>
      <c r="D10" s="66"/>
      <c r="E10" s="66"/>
      <c r="F10" s="66">
        <f>SUM(F2:F9)</f>
        <v>10746.4</v>
      </c>
      <c r="G10" s="64"/>
      <c r="H10" s="64">
        <f>SUM(H2:H9)</f>
        <v>200</v>
      </c>
      <c r="I10" s="66"/>
      <c r="J10" s="66"/>
      <c r="K10" s="66">
        <f>SUM(K2:K9)</f>
        <v>8799</v>
      </c>
      <c r="L10" s="64"/>
      <c r="M10" s="64"/>
    </row>
    <row r="21" spans="15:18" x14ac:dyDescent="0.25">
      <c r="P21" t="s">
        <v>89</v>
      </c>
      <c r="R21" s="59"/>
    </row>
    <row r="22" spans="15:18" x14ac:dyDescent="0.25">
      <c r="O22" s="2">
        <f>$Q$4</f>
        <v>40.08</v>
      </c>
      <c r="P22">
        <v>1.1000000000000001</v>
      </c>
      <c r="Q22" s="2">
        <f t="shared" ref="Q22:Q34" si="1">P22*O22</f>
        <v>44.088000000000001</v>
      </c>
      <c r="R22" s="59"/>
    </row>
    <row r="23" spans="15:18" x14ac:dyDescent="0.25">
      <c r="O23" s="2">
        <f>$Q$4</f>
        <v>40.08</v>
      </c>
      <c r="P23">
        <v>1.05</v>
      </c>
      <c r="Q23" s="2">
        <f t="shared" si="1"/>
        <v>42.084000000000003</v>
      </c>
      <c r="R23" s="59"/>
    </row>
    <row r="24" spans="15:18" x14ac:dyDescent="0.25">
      <c r="O24" s="2">
        <f t="shared" ref="O24:O34" si="2">$Q$4</f>
        <v>40.08</v>
      </c>
      <c r="P24">
        <v>1.04</v>
      </c>
      <c r="Q24" s="2">
        <f t="shared" si="1"/>
        <v>41.683199999999999</v>
      </c>
      <c r="R24" s="59"/>
    </row>
    <row r="25" spans="15:18" x14ac:dyDescent="0.25">
      <c r="O25" s="2">
        <f t="shared" si="2"/>
        <v>40.08</v>
      </c>
      <c r="P25" s="2">
        <v>1.03</v>
      </c>
      <c r="Q25" s="2">
        <f t="shared" si="1"/>
        <v>41.282400000000003</v>
      </c>
      <c r="R25" s="59"/>
    </row>
    <row r="26" spans="15:18" x14ac:dyDescent="0.25">
      <c r="O26" s="2">
        <f t="shared" si="2"/>
        <v>40.08</v>
      </c>
      <c r="P26" s="2">
        <v>1.02</v>
      </c>
      <c r="Q26" s="2">
        <f t="shared" si="1"/>
        <v>40.881599999999999</v>
      </c>
      <c r="R26" s="59"/>
    </row>
    <row r="27" spans="15:18" x14ac:dyDescent="0.25">
      <c r="O27" s="2">
        <f t="shared" si="2"/>
        <v>40.08</v>
      </c>
      <c r="P27" s="2">
        <v>1.01</v>
      </c>
      <c r="Q27" s="2">
        <f t="shared" si="1"/>
        <v>40.480800000000002</v>
      </c>
      <c r="R27" s="59"/>
    </row>
    <row r="28" spans="15:18" x14ac:dyDescent="0.25">
      <c r="O28" s="2">
        <f t="shared" si="2"/>
        <v>40.08</v>
      </c>
      <c r="P28" s="2">
        <v>1</v>
      </c>
      <c r="Q28" s="2">
        <f t="shared" si="1"/>
        <v>40.08</v>
      </c>
      <c r="R28" s="59"/>
    </row>
    <row r="29" spans="15:18" x14ac:dyDescent="0.25">
      <c r="O29" s="2">
        <f t="shared" si="2"/>
        <v>40.08</v>
      </c>
      <c r="P29" s="2">
        <v>0.99</v>
      </c>
      <c r="Q29" s="2">
        <f t="shared" si="1"/>
        <v>39.679199999999994</v>
      </c>
      <c r="R29" s="59"/>
    </row>
    <row r="30" spans="15:18" x14ac:dyDescent="0.25">
      <c r="O30" s="2">
        <f t="shared" si="2"/>
        <v>40.08</v>
      </c>
      <c r="P30" s="2">
        <v>0.98</v>
      </c>
      <c r="Q30" s="2">
        <f t="shared" si="1"/>
        <v>39.278399999999998</v>
      </c>
      <c r="R30" s="59"/>
    </row>
    <row r="31" spans="15:18" x14ac:dyDescent="0.25">
      <c r="O31" s="2">
        <f t="shared" si="2"/>
        <v>40.08</v>
      </c>
      <c r="P31" s="2">
        <v>0.97</v>
      </c>
      <c r="Q31" s="2">
        <f t="shared" si="1"/>
        <v>38.877599999999994</v>
      </c>
      <c r="R31" s="59" t="s">
        <v>125</v>
      </c>
    </row>
    <row r="32" spans="15:18" x14ac:dyDescent="0.25">
      <c r="O32" s="2">
        <f t="shared" si="2"/>
        <v>40.08</v>
      </c>
      <c r="P32" s="2">
        <v>0.96</v>
      </c>
      <c r="Q32" s="2">
        <f t="shared" si="1"/>
        <v>38.476799999999997</v>
      </c>
      <c r="R32" s="59"/>
    </row>
    <row r="33" spans="15:18" x14ac:dyDescent="0.25">
      <c r="O33" s="2">
        <f t="shared" si="2"/>
        <v>40.08</v>
      </c>
      <c r="P33" s="2">
        <v>0.95</v>
      </c>
      <c r="Q33" s="2">
        <f t="shared" si="1"/>
        <v>38.075999999999993</v>
      </c>
      <c r="R33" s="59"/>
    </row>
    <row r="34" spans="15:18" x14ac:dyDescent="0.25">
      <c r="O34" s="2">
        <f t="shared" si="2"/>
        <v>40.08</v>
      </c>
      <c r="P34" s="2">
        <v>0.9</v>
      </c>
      <c r="Q34" s="2">
        <f t="shared" si="1"/>
        <v>36.072000000000003</v>
      </c>
      <c r="R34" s="59"/>
    </row>
  </sheetData>
  <conditionalFormatting sqref="Q7">
    <cfRule type="expression" dxfId="41" priority="2">
      <formula>Q7&gt;0</formula>
    </cfRule>
    <cfRule type="expression" dxfId="40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34" t="s">
        <v>38</v>
      </c>
      <c r="T1" s="20" t="s">
        <v>74</v>
      </c>
    </row>
    <row r="2" spans="1:21" x14ac:dyDescent="0.25">
      <c r="A2" s="8" t="s">
        <v>45</v>
      </c>
      <c r="B2" s="1">
        <v>42185</v>
      </c>
      <c r="C2">
        <v>10</v>
      </c>
      <c r="D2" s="2">
        <v>65.45</v>
      </c>
      <c r="F2" s="2">
        <f t="shared" ref="F2:F7" si="0">C2*D2</f>
        <v>654.5</v>
      </c>
      <c r="G2" s="1">
        <v>42226</v>
      </c>
      <c r="H2" s="10">
        <v>30</v>
      </c>
      <c r="I2" s="25">
        <v>62.9</v>
      </c>
      <c r="J2" s="25"/>
      <c r="K2" s="25">
        <f>H2*I2</f>
        <v>1887</v>
      </c>
      <c r="O2" s="20" t="s">
        <v>57</v>
      </c>
      <c r="Q2">
        <f>C8-H8</f>
        <v>100</v>
      </c>
      <c r="T2" s="1">
        <v>42306</v>
      </c>
      <c r="U2" t="s">
        <v>128</v>
      </c>
    </row>
    <row r="3" spans="1:21" x14ac:dyDescent="0.25">
      <c r="A3" s="36" t="s">
        <v>81</v>
      </c>
      <c r="B3" s="1">
        <v>42223</v>
      </c>
      <c r="C3">
        <v>30</v>
      </c>
      <c r="D3" s="2">
        <v>61.3</v>
      </c>
      <c r="F3" s="2">
        <f t="shared" si="0"/>
        <v>1839</v>
      </c>
      <c r="G3" s="1">
        <v>42235</v>
      </c>
      <c r="H3" s="17">
        <v>30</v>
      </c>
      <c r="I3" s="78">
        <v>63.59</v>
      </c>
      <c r="J3" s="78"/>
      <c r="K3" s="78">
        <f>H3*I3</f>
        <v>1907.7</v>
      </c>
      <c r="O3" s="20" t="s">
        <v>58</v>
      </c>
      <c r="Q3" s="2">
        <f>(F8-K8)/Q2</f>
        <v>62.165999999999997</v>
      </c>
    </row>
    <row r="4" spans="1:21" x14ac:dyDescent="0.25">
      <c r="B4" s="1">
        <v>42223</v>
      </c>
      <c r="C4" s="6">
        <v>40</v>
      </c>
      <c r="D4" s="5">
        <v>62.45</v>
      </c>
      <c r="E4" s="5"/>
      <c r="F4" s="5">
        <f t="shared" si="0"/>
        <v>2498</v>
      </c>
      <c r="O4" s="20" t="s">
        <v>66</v>
      </c>
      <c r="Q4" s="106">
        <v>61.25</v>
      </c>
    </row>
    <row r="5" spans="1:21" x14ac:dyDescent="0.25">
      <c r="B5" s="1">
        <v>42223</v>
      </c>
      <c r="C5" s="10">
        <v>30</v>
      </c>
      <c r="D5" s="25">
        <v>62</v>
      </c>
      <c r="E5" s="25"/>
      <c r="F5" s="25">
        <f t="shared" si="0"/>
        <v>1860</v>
      </c>
      <c r="O5" s="20" t="s">
        <v>67</v>
      </c>
      <c r="Q5" s="5">
        <f>Q4*Q2</f>
        <v>6125</v>
      </c>
    </row>
    <row r="6" spans="1:21" x14ac:dyDescent="0.25">
      <c r="B6" s="1">
        <v>42223</v>
      </c>
      <c r="C6" s="17">
        <v>30</v>
      </c>
      <c r="D6" s="78">
        <v>62.98</v>
      </c>
      <c r="E6" s="78"/>
      <c r="F6" s="78">
        <f t="shared" si="0"/>
        <v>1889.3999999999999</v>
      </c>
      <c r="O6" s="20" t="s">
        <v>64</v>
      </c>
      <c r="Q6" s="2">
        <f>Q3*Q2</f>
        <v>6216.5999999999995</v>
      </c>
    </row>
    <row r="7" spans="1:21" x14ac:dyDescent="0.25">
      <c r="B7" s="1">
        <v>42223</v>
      </c>
      <c r="C7">
        <v>20</v>
      </c>
      <c r="D7" s="2">
        <v>63.52</v>
      </c>
      <c r="F7" s="2">
        <f t="shared" si="0"/>
        <v>1270.4000000000001</v>
      </c>
      <c r="O7" s="20" t="s">
        <v>65</v>
      </c>
      <c r="Q7" s="2">
        <f>Q5-Q6+M8</f>
        <v>-91.599999999999454</v>
      </c>
    </row>
    <row r="8" spans="1:21" x14ac:dyDescent="0.25">
      <c r="A8" s="57" t="s">
        <v>114</v>
      </c>
      <c r="B8" s="24"/>
      <c r="C8" s="24">
        <f>SUM(C2:C7)</f>
        <v>160</v>
      </c>
      <c r="D8" s="31"/>
      <c r="E8" s="31"/>
      <c r="F8" s="31">
        <f>SUM(F2:F7)</f>
        <v>10011.299999999999</v>
      </c>
      <c r="G8" s="24"/>
      <c r="H8" s="24">
        <f>SUM(H2:H4)</f>
        <v>60</v>
      </c>
      <c r="I8" s="31"/>
      <c r="J8" s="31"/>
      <c r="K8" s="31">
        <f>SUM(K2:K4)</f>
        <v>3794.7</v>
      </c>
      <c r="L8" s="24"/>
      <c r="M8" s="31"/>
    </row>
    <row r="16" spans="1:21" x14ac:dyDescent="0.25">
      <c r="A16" s="56"/>
      <c r="P16" t="s">
        <v>89</v>
      </c>
      <c r="U16" s="2"/>
    </row>
    <row r="17" spans="1:17" x14ac:dyDescent="0.25">
      <c r="A17" s="56"/>
      <c r="O17" s="2">
        <f>$Q$4</f>
        <v>61.25</v>
      </c>
      <c r="P17">
        <v>1.1000000000000001</v>
      </c>
      <c r="Q17" s="2">
        <f t="shared" ref="Q17:Q29" si="1">P17*O17</f>
        <v>67.375</v>
      </c>
    </row>
    <row r="18" spans="1:17" x14ac:dyDescent="0.25">
      <c r="A18" s="56"/>
      <c r="O18" s="2">
        <f>$Q$4</f>
        <v>61.25</v>
      </c>
      <c r="P18">
        <v>1.05</v>
      </c>
      <c r="Q18" s="2">
        <f t="shared" si="1"/>
        <v>64.3125</v>
      </c>
    </row>
    <row r="19" spans="1:17" x14ac:dyDescent="0.25">
      <c r="O19" s="2">
        <f t="shared" ref="O19:O29" si="2">$Q$4</f>
        <v>61.25</v>
      </c>
      <c r="P19">
        <v>1.04</v>
      </c>
      <c r="Q19" s="2">
        <f t="shared" si="1"/>
        <v>63.7</v>
      </c>
    </row>
    <row r="20" spans="1:17" x14ac:dyDescent="0.25">
      <c r="O20" s="2">
        <f t="shared" si="2"/>
        <v>61.25</v>
      </c>
      <c r="P20" s="2">
        <v>1.03</v>
      </c>
      <c r="Q20" s="2">
        <f t="shared" si="1"/>
        <v>63.087499999999999</v>
      </c>
    </row>
    <row r="21" spans="1:17" x14ac:dyDescent="0.25">
      <c r="O21" s="2">
        <f t="shared" si="2"/>
        <v>61.25</v>
      </c>
      <c r="P21" s="2">
        <v>1.02</v>
      </c>
      <c r="Q21" s="2">
        <f t="shared" si="1"/>
        <v>62.475000000000001</v>
      </c>
    </row>
    <row r="22" spans="1:17" x14ac:dyDescent="0.25">
      <c r="O22" s="2">
        <f t="shared" si="2"/>
        <v>61.25</v>
      </c>
      <c r="P22" s="2">
        <v>1.01</v>
      </c>
      <c r="Q22" s="2">
        <f t="shared" si="1"/>
        <v>61.862499999999997</v>
      </c>
    </row>
    <row r="23" spans="1:17" x14ac:dyDescent="0.25">
      <c r="O23" s="2">
        <f t="shared" si="2"/>
        <v>61.25</v>
      </c>
      <c r="P23" s="2">
        <v>1</v>
      </c>
      <c r="Q23" s="2">
        <f t="shared" si="1"/>
        <v>61.25</v>
      </c>
    </row>
    <row r="24" spans="1:17" x14ac:dyDescent="0.25">
      <c r="O24" s="2">
        <f t="shared" si="2"/>
        <v>61.25</v>
      </c>
      <c r="P24" s="2">
        <v>0.99</v>
      </c>
      <c r="Q24" s="2">
        <f t="shared" si="1"/>
        <v>60.637500000000003</v>
      </c>
    </row>
    <row r="25" spans="1:17" x14ac:dyDescent="0.25">
      <c r="O25" s="2">
        <f t="shared" si="2"/>
        <v>61.25</v>
      </c>
      <c r="P25" s="2">
        <v>0.98</v>
      </c>
      <c r="Q25" s="2">
        <f t="shared" si="1"/>
        <v>60.024999999999999</v>
      </c>
    </row>
    <row r="26" spans="1:17" x14ac:dyDescent="0.25">
      <c r="O26" s="2">
        <f t="shared" si="2"/>
        <v>61.25</v>
      </c>
      <c r="P26" s="2">
        <v>0.97</v>
      </c>
      <c r="Q26" s="2">
        <f t="shared" si="1"/>
        <v>59.412500000000001</v>
      </c>
    </row>
    <row r="27" spans="1:17" x14ac:dyDescent="0.25">
      <c r="O27" s="2">
        <f t="shared" si="2"/>
        <v>61.25</v>
      </c>
      <c r="P27" s="2">
        <v>0.96</v>
      </c>
      <c r="Q27" s="2">
        <f t="shared" si="1"/>
        <v>58.8</v>
      </c>
    </row>
    <row r="28" spans="1:17" x14ac:dyDescent="0.25">
      <c r="O28" s="2">
        <f t="shared" si="2"/>
        <v>61.25</v>
      </c>
      <c r="P28" s="2">
        <v>0.95</v>
      </c>
      <c r="Q28" s="2">
        <f t="shared" si="1"/>
        <v>58.1875</v>
      </c>
    </row>
    <row r="29" spans="1:17" x14ac:dyDescent="0.25">
      <c r="O29" s="2">
        <f t="shared" si="2"/>
        <v>61.25</v>
      </c>
      <c r="P29" s="2">
        <v>0.9</v>
      </c>
      <c r="Q29" s="2">
        <f t="shared" si="1"/>
        <v>55.125</v>
      </c>
    </row>
  </sheetData>
  <conditionalFormatting sqref="Q7">
    <cfRule type="expression" dxfId="39" priority="2">
      <formula>Q7&gt;0</formula>
    </cfRule>
    <cfRule type="expression" dxfId="38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163</v>
      </c>
      <c r="F1" s="34" t="s">
        <v>60</v>
      </c>
      <c r="G1" s="20" t="s">
        <v>3</v>
      </c>
      <c r="H1" s="20" t="s">
        <v>6</v>
      </c>
      <c r="I1" s="20" t="s">
        <v>7</v>
      </c>
      <c r="J1" s="20" t="s">
        <v>162</v>
      </c>
      <c r="K1" s="20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26</v>
      </c>
      <c r="B2" s="1">
        <v>42163</v>
      </c>
      <c r="C2">
        <v>50</v>
      </c>
      <c r="D2" s="2">
        <v>5.9</v>
      </c>
      <c r="E2" s="2">
        <v>0</v>
      </c>
      <c r="F2" s="2">
        <f>C2*D2+E2</f>
        <v>295</v>
      </c>
      <c r="G2" s="1">
        <v>42187</v>
      </c>
      <c r="H2" s="10">
        <v>200</v>
      </c>
      <c r="I2" s="10">
        <v>6.45</v>
      </c>
      <c r="J2" s="10">
        <v>0.02</v>
      </c>
      <c r="K2" s="10">
        <f>H2*I2-J2</f>
        <v>1289.98</v>
      </c>
      <c r="O2" s="20" t="s">
        <v>57</v>
      </c>
      <c r="Q2">
        <f>C7-H7</f>
        <v>450</v>
      </c>
      <c r="T2" s="1">
        <v>42286</v>
      </c>
      <c r="U2" t="s">
        <v>128</v>
      </c>
    </row>
    <row r="3" spans="1:21" x14ac:dyDescent="0.25">
      <c r="A3" s="36" t="s">
        <v>81</v>
      </c>
      <c r="B3" s="1">
        <v>42163</v>
      </c>
      <c r="C3">
        <v>100</v>
      </c>
      <c r="D3" s="2">
        <v>6.2</v>
      </c>
      <c r="E3" s="2">
        <v>0</v>
      </c>
      <c r="F3" s="2">
        <f t="shared" ref="F3:F6" si="0">C3*D3+E3</f>
        <v>620</v>
      </c>
      <c r="O3" s="20" t="s">
        <v>58</v>
      </c>
      <c r="Q3" s="2">
        <f>(F7-K7)/Q2</f>
        <v>5.8967111111111112</v>
      </c>
    </row>
    <row r="4" spans="1:21" x14ac:dyDescent="0.25">
      <c r="B4" s="1">
        <v>42187</v>
      </c>
      <c r="C4" s="10">
        <v>200</v>
      </c>
      <c r="D4" s="25">
        <v>6.3</v>
      </c>
      <c r="E4" s="25">
        <v>0</v>
      </c>
      <c r="F4" s="2">
        <f t="shared" si="0"/>
        <v>1260</v>
      </c>
      <c r="O4" s="20" t="s">
        <v>66</v>
      </c>
      <c r="Q4" s="106">
        <v>5.76</v>
      </c>
    </row>
    <row r="5" spans="1:21" x14ac:dyDescent="0.25">
      <c r="B5" s="1">
        <v>42194</v>
      </c>
      <c r="C5">
        <v>150</v>
      </c>
      <c r="D5" s="2">
        <v>6.1</v>
      </c>
      <c r="E5" s="2">
        <v>0</v>
      </c>
      <c r="F5" s="2">
        <f t="shared" si="0"/>
        <v>915</v>
      </c>
      <c r="O5" s="20" t="s">
        <v>67</v>
      </c>
      <c r="Q5" s="5">
        <f>Q4*Q2</f>
        <v>2592</v>
      </c>
    </row>
    <row r="6" spans="1:21" x14ac:dyDescent="0.25">
      <c r="B6" s="1">
        <v>42240</v>
      </c>
      <c r="C6">
        <v>150</v>
      </c>
      <c r="D6" s="2">
        <v>5.69</v>
      </c>
      <c r="E6" s="2">
        <v>0</v>
      </c>
      <c r="F6" s="2">
        <f t="shared" si="0"/>
        <v>853.50000000000011</v>
      </c>
      <c r="O6" s="20" t="s">
        <v>64</v>
      </c>
      <c r="Q6" s="2">
        <f>Q3*Q2</f>
        <v>2653.52</v>
      </c>
    </row>
    <row r="7" spans="1:21" x14ac:dyDescent="0.25">
      <c r="A7" s="57" t="s">
        <v>114</v>
      </c>
      <c r="B7" s="24"/>
      <c r="C7" s="24">
        <f>SUM(C2:C6)</f>
        <v>650</v>
      </c>
      <c r="D7" s="31"/>
      <c r="E7" s="31"/>
      <c r="F7" s="31">
        <f>SUM(F2:F6)</f>
        <v>3943.5</v>
      </c>
      <c r="G7" s="24"/>
      <c r="H7" s="24">
        <f>SUM(H2:H5)</f>
        <v>200</v>
      </c>
      <c r="I7" s="24"/>
      <c r="J7" s="24"/>
      <c r="K7" s="24">
        <f>SUM(K2:K5)</f>
        <v>1289.98</v>
      </c>
      <c r="L7" s="24"/>
      <c r="M7" s="24"/>
      <c r="O7" s="20" t="s">
        <v>65</v>
      </c>
      <c r="Q7" s="2">
        <f>Q5-Q6</f>
        <v>-61.519999999999982</v>
      </c>
    </row>
    <row r="22" spans="15:17" x14ac:dyDescent="0.25">
      <c r="P22" t="s">
        <v>89</v>
      </c>
    </row>
    <row r="23" spans="15:17" x14ac:dyDescent="0.25">
      <c r="O23" s="2">
        <f>$Q$4</f>
        <v>5.76</v>
      </c>
      <c r="P23">
        <v>1.1000000000000001</v>
      </c>
      <c r="Q23" s="2">
        <f t="shared" ref="Q23:Q35" si="1">P23*O23</f>
        <v>6.3360000000000003</v>
      </c>
    </row>
    <row r="24" spans="15:17" x14ac:dyDescent="0.25">
      <c r="O24" s="2">
        <f>$Q$4</f>
        <v>5.76</v>
      </c>
      <c r="P24">
        <v>1.05</v>
      </c>
      <c r="Q24" s="2">
        <f t="shared" si="1"/>
        <v>6.048</v>
      </c>
    </row>
    <row r="25" spans="15:17" x14ac:dyDescent="0.25">
      <c r="O25" s="2">
        <f t="shared" ref="O25:O35" si="2">$Q$4</f>
        <v>5.76</v>
      </c>
      <c r="P25">
        <v>1.04</v>
      </c>
      <c r="Q25" s="2">
        <f t="shared" si="1"/>
        <v>5.9904000000000002</v>
      </c>
    </row>
    <row r="26" spans="15:17" x14ac:dyDescent="0.25">
      <c r="O26" s="2">
        <f t="shared" si="2"/>
        <v>5.76</v>
      </c>
      <c r="P26" s="2">
        <v>1.03</v>
      </c>
      <c r="Q26" s="2">
        <f t="shared" si="1"/>
        <v>5.9328000000000003</v>
      </c>
    </row>
    <row r="27" spans="15:17" x14ac:dyDescent="0.25">
      <c r="O27" s="2">
        <f t="shared" si="2"/>
        <v>5.76</v>
      </c>
      <c r="P27" s="2">
        <v>1.02</v>
      </c>
      <c r="Q27" s="2">
        <f t="shared" si="1"/>
        <v>5.8751999999999995</v>
      </c>
    </row>
    <row r="28" spans="15:17" x14ac:dyDescent="0.25">
      <c r="O28" s="2">
        <f t="shared" si="2"/>
        <v>5.76</v>
      </c>
      <c r="P28" s="2">
        <v>1.01</v>
      </c>
      <c r="Q28" s="2">
        <f t="shared" si="1"/>
        <v>5.8175999999999997</v>
      </c>
    </row>
    <row r="29" spans="15:17" x14ac:dyDescent="0.25">
      <c r="O29" s="2">
        <f t="shared" si="2"/>
        <v>5.76</v>
      </c>
      <c r="P29" s="2">
        <v>1</v>
      </c>
      <c r="Q29" s="2">
        <f t="shared" si="1"/>
        <v>5.76</v>
      </c>
    </row>
    <row r="30" spans="15:17" x14ac:dyDescent="0.25">
      <c r="O30" s="2">
        <f t="shared" si="2"/>
        <v>5.76</v>
      </c>
      <c r="P30" s="2">
        <v>0.99</v>
      </c>
      <c r="Q30" s="2">
        <f t="shared" si="1"/>
        <v>5.7023999999999999</v>
      </c>
    </row>
    <row r="31" spans="15:17" x14ac:dyDescent="0.25">
      <c r="O31" s="2">
        <f t="shared" si="2"/>
        <v>5.76</v>
      </c>
      <c r="P31" s="2">
        <v>0.98</v>
      </c>
      <c r="Q31" s="2">
        <f t="shared" si="1"/>
        <v>5.6448</v>
      </c>
    </row>
    <row r="32" spans="15:17" x14ac:dyDescent="0.25">
      <c r="O32" s="2">
        <f t="shared" si="2"/>
        <v>5.76</v>
      </c>
      <c r="P32" s="2">
        <v>0.97</v>
      </c>
      <c r="Q32" s="2">
        <f t="shared" si="1"/>
        <v>5.5871999999999993</v>
      </c>
    </row>
    <row r="33" spans="15:17" x14ac:dyDescent="0.25">
      <c r="O33" s="2">
        <f t="shared" si="2"/>
        <v>5.76</v>
      </c>
      <c r="P33" s="2">
        <v>0.96</v>
      </c>
      <c r="Q33" s="2">
        <f t="shared" si="1"/>
        <v>5.5295999999999994</v>
      </c>
    </row>
    <row r="34" spans="15:17" x14ac:dyDescent="0.25">
      <c r="O34" s="2">
        <f t="shared" si="2"/>
        <v>5.76</v>
      </c>
      <c r="P34" s="2">
        <v>0.95</v>
      </c>
      <c r="Q34" s="2">
        <f t="shared" si="1"/>
        <v>5.4719999999999995</v>
      </c>
    </row>
    <row r="35" spans="15:17" x14ac:dyDescent="0.25">
      <c r="O35" s="2">
        <f t="shared" si="2"/>
        <v>5.76</v>
      </c>
      <c r="P35" s="2">
        <v>0.9</v>
      </c>
      <c r="Q35" s="2">
        <f t="shared" si="1"/>
        <v>5.1840000000000002</v>
      </c>
    </row>
  </sheetData>
  <conditionalFormatting sqref="Q7">
    <cfRule type="expression" dxfId="37" priority="2">
      <formula>Q7&gt;0</formula>
    </cfRule>
    <cfRule type="expression" dxfId="36" priority="3">
      <formula>Q7&lt;0</formula>
    </cfRule>
  </conditionalFormatting>
  <conditionalFormatting sqref="P23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3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47</v>
      </c>
      <c r="B2" s="1">
        <v>42185</v>
      </c>
      <c r="C2">
        <v>10</v>
      </c>
      <c r="D2" s="2">
        <v>88.85</v>
      </c>
      <c r="F2" s="2">
        <f>C2*D2</f>
        <v>888.5</v>
      </c>
      <c r="L2" t="s">
        <v>133</v>
      </c>
      <c r="O2" s="20" t="s">
        <v>57</v>
      </c>
      <c r="Q2">
        <f>C6-H6</f>
        <v>60</v>
      </c>
      <c r="T2" s="1">
        <v>42305</v>
      </c>
      <c r="U2" t="s">
        <v>128</v>
      </c>
    </row>
    <row r="3" spans="1:21" x14ac:dyDescent="0.25">
      <c r="A3" s="36" t="s">
        <v>81</v>
      </c>
      <c r="B3" s="1">
        <v>42214</v>
      </c>
      <c r="C3">
        <v>10</v>
      </c>
      <c r="D3" s="2">
        <v>83</v>
      </c>
      <c r="F3" s="2">
        <f t="shared" ref="F3:F5" si="0">C3*D3</f>
        <v>830</v>
      </c>
      <c r="O3" s="20" t="s">
        <v>58</v>
      </c>
      <c r="Q3" s="2">
        <f>(F6-K6)/Q2</f>
        <v>84.788333333333341</v>
      </c>
    </row>
    <row r="4" spans="1:21" x14ac:dyDescent="0.25">
      <c r="B4" s="1">
        <v>42221</v>
      </c>
      <c r="C4">
        <v>30</v>
      </c>
      <c r="D4" s="2">
        <v>84.6</v>
      </c>
      <c r="F4" s="2">
        <f t="shared" si="0"/>
        <v>2538</v>
      </c>
      <c r="O4" s="20" t="s">
        <v>66</v>
      </c>
      <c r="Q4" s="106">
        <v>77.98</v>
      </c>
    </row>
    <row r="5" spans="1:21" x14ac:dyDescent="0.25">
      <c r="B5" s="1">
        <v>42222</v>
      </c>
      <c r="C5">
        <v>10</v>
      </c>
      <c r="D5" s="2">
        <v>83.08</v>
      </c>
      <c r="F5" s="2">
        <f t="shared" si="0"/>
        <v>830.8</v>
      </c>
      <c r="O5" s="20" t="s">
        <v>67</v>
      </c>
      <c r="Q5" s="5">
        <f>Q4*Q2</f>
        <v>4678.8</v>
      </c>
    </row>
    <row r="6" spans="1:21" x14ac:dyDescent="0.25">
      <c r="A6" s="35" t="s">
        <v>114</v>
      </c>
      <c r="B6" s="21"/>
      <c r="C6" s="21">
        <f>SUM(C2:C5)</f>
        <v>60</v>
      </c>
      <c r="D6" s="22"/>
      <c r="E6" s="22"/>
      <c r="F6" s="22">
        <f>SUM(F2:F5)</f>
        <v>5087.3</v>
      </c>
      <c r="G6" s="21"/>
      <c r="H6" s="21"/>
      <c r="I6" s="21"/>
      <c r="J6" s="21"/>
      <c r="K6" s="21"/>
      <c r="L6" s="21"/>
      <c r="M6" s="21"/>
      <c r="O6" s="20" t="s">
        <v>64</v>
      </c>
      <c r="Q6" s="2">
        <f>Q3*Q2</f>
        <v>5087.3</v>
      </c>
    </row>
    <row r="7" spans="1:21" x14ac:dyDescent="0.25">
      <c r="O7" s="20" t="s">
        <v>65</v>
      </c>
      <c r="Q7" s="2">
        <f>Q5-Q6+M6</f>
        <v>-408.5</v>
      </c>
    </row>
    <row r="17" spans="15:18" x14ac:dyDescent="0.25">
      <c r="P17" t="s">
        <v>89</v>
      </c>
      <c r="R17" s="59"/>
    </row>
    <row r="18" spans="15:18" x14ac:dyDescent="0.25">
      <c r="O18" s="2">
        <f>$Q$4</f>
        <v>77.98</v>
      </c>
      <c r="P18">
        <v>1.1000000000000001</v>
      </c>
      <c r="Q18" s="2">
        <f t="shared" ref="Q18:Q30" si="1">P18*O18</f>
        <v>85.778000000000006</v>
      </c>
      <c r="R18" s="59"/>
    </row>
    <row r="19" spans="15:18" x14ac:dyDescent="0.25">
      <c r="O19" s="2">
        <f>$Q$4</f>
        <v>77.98</v>
      </c>
      <c r="P19">
        <v>1.05</v>
      </c>
      <c r="Q19" s="2">
        <f t="shared" si="1"/>
        <v>81.879000000000005</v>
      </c>
      <c r="R19" s="59"/>
    </row>
    <row r="20" spans="15:18" x14ac:dyDescent="0.25">
      <c r="O20" s="2">
        <f t="shared" ref="O20:O30" si="2">$Q$4</f>
        <v>77.98</v>
      </c>
      <c r="P20">
        <v>1.04</v>
      </c>
      <c r="Q20" s="2">
        <f t="shared" si="1"/>
        <v>81.09920000000001</v>
      </c>
      <c r="R20" s="59"/>
    </row>
    <row r="21" spans="15:18" x14ac:dyDescent="0.25">
      <c r="O21" s="2">
        <f t="shared" si="2"/>
        <v>77.98</v>
      </c>
      <c r="P21" s="2">
        <v>1.03</v>
      </c>
      <c r="Q21" s="2">
        <f t="shared" si="1"/>
        <v>80.319400000000002</v>
      </c>
      <c r="R21" s="59" t="s">
        <v>115</v>
      </c>
    </row>
    <row r="22" spans="15:18" x14ac:dyDescent="0.25">
      <c r="O22" s="2">
        <f t="shared" si="2"/>
        <v>77.98</v>
      </c>
      <c r="P22" s="2">
        <v>1.02</v>
      </c>
      <c r="Q22" s="2">
        <f t="shared" si="1"/>
        <v>79.539600000000007</v>
      </c>
      <c r="R22" s="59"/>
    </row>
    <row r="23" spans="15:18" x14ac:dyDescent="0.25">
      <c r="O23" s="2">
        <f t="shared" si="2"/>
        <v>77.98</v>
      </c>
      <c r="P23" s="2">
        <v>1.01</v>
      </c>
      <c r="Q23" s="2">
        <f t="shared" si="1"/>
        <v>78.759799999999998</v>
      </c>
      <c r="R23" s="59"/>
    </row>
    <row r="24" spans="15:18" x14ac:dyDescent="0.25">
      <c r="O24" s="2">
        <f t="shared" si="2"/>
        <v>77.98</v>
      </c>
      <c r="P24" s="2">
        <v>1</v>
      </c>
      <c r="Q24" s="2">
        <f t="shared" si="1"/>
        <v>77.98</v>
      </c>
      <c r="R24" s="59"/>
    </row>
    <row r="25" spans="15:18" x14ac:dyDescent="0.25">
      <c r="O25" s="2">
        <f t="shared" si="2"/>
        <v>77.98</v>
      </c>
      <c r="P25" s="2">
        <v>0.99</v>
      </c>
      <c r="Q25" s="2">
        <f t="shared" si="1"/>
        <v>77.200200000000009</v>
      </c>
      <c r="R25" s="59"/>
    </row>
    <row r="26" spans="15:18" x14ac:dyDescent="0.25">
      <c r="O26" s="2">
        <f t="shared" si="2"/>
        <v>77.98</v>
      </c>
      <c r="P26" s="2">
        <v>0.98</v>
      </c>
      <c r="Q26" s="2">
        <f t="shared" si="1"/>
        <v>76.420400000000001</v>
      </c>
      <c r="R26" s="59" t="s">
        <v>132</v>
      </c>
    </row>
    <row r="27" spans="15:18" x14ac:dyDescent="0.25">
      <c r="O27" s="2">
        <f t="shared" si="2"/>
        <v>77.98</v>
      </c>
      <c r="P27" s="2">
        <v>0.97</v>
      </c>
      <c r="Q27" s="2">
        <f t="shared" si="1"/>
        <v>75.640600000000006</v>
      </c>
      <c r="R27" s="59"/>
    </row>
    <row r="28" spans="15:18" x14ac:dyDescent="0.25">
      <c r="O28" s="2">
        <f t="shared" si="2"/>
        <v>77.98</v>
      </c>
      <c r="P28" s="2">
        <v>0.96</v>
      </c>
      <c r="Q28" s="2">
        <f t="shared" si="1"/>
        <v>74.860799999999998</v>
      </c>
      <c r="R28" s="59"/>
    </row>
    <row r="29" spans="15:18" x14ac:dyDescent="0.25">
      <c r="O29" s="2">
        <f t="shared" si="2"/>
        <v>77.98</v>
      </c>
      <c r="P29" s="2">
        <v>0.95</v>
      </c>
      <c r="Q29" s="2">
        <f t="shared" si="1"/>
        <v>74.081000000000003</v>
      </c>
      <c r="R29" s="59"/>
    </row>
    <row r="30" spans="15:18" x14ac:dyDescent="0.25">
      <c r="O30" s="2">
        <f t="shared" si="2"/>
        <v>77.98</v>
      </c>
      <c r="P30" s="2">
        <v>0.9</v>
      </c>
      <c r="Q30" s="2">
        <f t="shared" si="1"/>
        <v>70.182000000000002</v>
      </c>
      <c r="R30" s="59"/>
    </row>
  </sheetData>
  <conditionalFormatting sqref="Q7">
    <cfRule type="expression" dxfId="35" priority="2">
      <formula>Q7&gt;0</formula>
    </cfRule>
    <cfRule type="expression" dxfId="34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32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</cols>
  <sheetData>
    <row r="1" spans="1:23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</row>
    <row r="2" spans="1:23" x14ac:dyDescent="0.25">
      <c r="A2" s="8" t="s">
        <v>52</v>
      </c>
      <c r="B2" s="1">
        <v>42213</v>
      </c>
      <c r="C2" s="6">
        <v>25</v>
      </c>
      <c r="D2" s="5">
        <v>84.9</v>
      </c>
      <c r="E2" s="5"/>
      <c r="F2" s="5">
        <f t="shared" ref="F2:F8" si="0">C2*D2</f>
        <v>2122.5</v>
      </c>
      <c r="G2" s="1">
        <v>42221</v>
      </c>
      <c r="H2" s="10">
        <v>30</v>
      </c>
      <c r="I2" s="25">
        <v>84.23</v>
      </c>
      <c r="J2" s="25"/>
      <c r="K2" s="25">
        <f>H2*I2</f>
        <v>2526.9</v>
      </c>
      <c r="O2" s="20" t="s">
        <v>57</v>
      </c>
      <c r="Q2">
        <f>C10-H10</f>
        <v>40</v>
      </c>
    </row>
    <row r="3" spans="1:23" x14ac:dyDescent="0.25">
      <c r="A3" s="36" t="s">
        <v>81</v>
      </c>
      <c r="B3" s="1">
        <v>42213</v>
      </c>
      <c r="C3" s="10">
        <v>5</v>
      </c>
      <c r="D3" s="25">
        <v>84.25</v>
      </c>
      <c r="E3" s="25"/>
      <c r="F3" s="25">
        <f t="shared" si="0"/>
        <v>421.25</v>
      </c>
      <c r="G3" s="1"/>
      <c r="O3" s="20" t="s">
        <v>58</v>
      </c>
      <c r="Q3" s="2">
        <f>(F10-K10)/Q2</f>
        <v>82.314999999999998</v>
      </c>
    </row>
    <row r="4" spans="1:23" x14ac:dyDescent="0.25">
      <c r="B4" s="1">
        <v>42214</v>
      </c>
      <c r="C4" s="10">
        <v>10</v>
      </c>
      <c r="D4" s="25">
        <v>83.2</v>
      </c>
      <c r="E4" s="25"/>
      <c r="F4" s="25">
        <f t="shared" si="0"/>
        <v>832</v>
      </c>
      <c r="O4" s="20" t="s">
        <v>66</v>
      </c>
      <c r="Q4" s="106">
        <v>80.599999999999994</v>
      </c>
    </row>
    <row r="5" spans="1:23" x14ac:dyDescent="0.25">
      <c r="B5" s="1">
        <v>42215</v>
      </c>
      <c r="C5" s="10">
        <v>5</v>
      </c>
      <c r="D5" s="25">
        <v>82.25</v>
      </c>
      <c r="E5" s="25"/>
      <c r="F5" s="25">
        <f t="shared" si="0"/>
        <v>411.25</v>
      </c>
      <c r="O5" s="20" t="s">
        <v>67</v>
      </c>
      <c r="Q5" s="5">
        <f>Q4*Q2</f>
        <v>3224</v>
      </c>
    </row>
    <row r="6" spans="1:23" x14ac:dyDescent="0.25">
      <c r="B6" s="1">
        <v>42220</v>
      </c>
      <c r="C6" s="10">
        <v>10</v>
      </c>
      <c r="D6" s="25">
        <v>81.349999999999994</v>
      </c>
      <c r="E6" s="25"/>
      <c r="F6" s="25">
        <f t="shared" si="0"/>
        <v>813.5</v>
      </c>
      <c r="O6" s="20" t="s">
        <v>64</v>
      </c>
      <c r="Q6" s="2">
        <f>Q3*Q2</f>
        <v>3292.6</v>
      </c>
    </row>
    <row r="7" spans="1:23" x14ac:dyDescent="0.25">
      <c r="B7" s="1">
        <v>42220</v>
      </c>
      <c r="C7">
        <v>5</v>
      </c>
      <c r="D7" s="2">
        <v>82.4</v>
      </c>
      <c r="F7" s="2">
        <f t="shared" si="0"/>
        <v>412</v>
      </c>
      <c r="O7" s="20" t="s">
        <v>65</v>
      </c>
      <c r="Q7" s="2">
        <f>Q5-Q6+M10</f>
        <v>-68.599999999999909</v>
      </c>
    </row>
    <row r="8" spans="1:23" x14ac:dyDescent="0.25">
      <c r="B8" s="1">
        <v>42221</v>
      </c>
      <c r="C8">
        <v>10</v>
      </c>
      <c r="D8" s="2">
        <v>80.7</v>
      </c>
      <c r="F8" s="2">
        <f t="shared" si="0"/>
        <v>807</v>
      </c>
    </row>
    <row r="9" spans="1:23" x14ac:dyDescent="0.25">
      <c r="B9" s="1"/>
    </row>
    <row r="10" spans="1:23" x14ac:dyDescent="0.25">
      <c r="A10" s="35" t="s">
        <v>114</v>
      </c>
      <c r="B10" s="21"/>
      <c r="C10" s="21">
        <f>SUM(C2:C8)</f>
        <v>70</v>
      </c>
      <c r="D10" s="22"/>
      <c r="E10" s="22"/>
      <c r="F10" s="22">
        <f>SUM(F2:F8)</f>
        <v>5819.5</v>
      </c>
      <c r="G10" s="21"/>
      <c r="H10" s="21">
        <f>SUM(H2:H7)</f>
        <v>30</v>
      </c>
      <c r="I10" s="22"/>
      <c r="J10" s="22"/>
      <c r="K10" s="22">
        <f>SUM(K2:K7)</f>
        <v>2526.9</v>
      </c>
      <c r="L10" s="21"/>
      <c r="M10" s="21"/>
    </row>
    <row r="13" spans="1:23" x14ac:dyDescent="0.25">
      <c r="W13" s="2"/>
    </row>
    <row r="14" spans="1:23" x14ac:dyDescent="0.25">
      <c r="W14" s="2"/>
    </row>
    <row r="15" spans="1:23" x14ac:dyDescent="0.25">
      <c r="W15" s="2"/>
    </row>
    <row r="16" spans="1:23" x14ac:dyDescent="0.25">
      <c r="W16" s="2"/>
    </row>
    <row r="17" spans="15:23" x14ac:dyDescent="0.25">
      <c r="W17" s="2"/>
    </row>
    <row r="19" spans="15:23" x14ac:dyDescent="0.25">
      <c r="P19" t="s">
        <v>89</v>
      </c>
    </row>
    <row r="20" spans="15:23" x14ac:dyDescent="0.25">
      <c r="O20" s="2">
        <f>$Q$4</f>
        <v>80.599999999999994</v>
      </c>
      <c r="P20">
        <v>1.1000000000000001</v>
      </c>
      <c r="Q20" s="2">
        <f t="shared" ref="Q20:Q32" si="1">P20*O20</f>
        <v>88.66</v>
      </c>
    </row>
    <row r="21" spans="15:23" x14ac:dyDescent="0.25">
      <c r="O21" s="2">
        <f>$Q$4</f>
        <v>80.599999999999994</v>
      </c>
      <c r="P21">
        <v>1.05</v>
      </c>
      <c r="Q21" s="2">
        <f t="shared" si="1"/>
        <v>84.63</v>
      </c>
    </row>
    <row r="22" spans="15:23" x14ac:dyDescent="0.25">
      <c r="O22" s="2">
        <f t="shared" ref="O22:O32" si="2">$Q$4</f>
        <v>80.599999999999994</v>
      </c>
      <c r="P22">
        <v>1.04</v>
      </c>
      <c r="Q22" s="2">
        <f t="shared" si="1"/>
        <v>83.823999999999998</v>
      </c>
    </row>
    <row r="23" spans="15:23" x14ac:dyDescent="0.25">
      <c r="O23" s="2">
        <f t="shared" si="2"/>
        <v>80.599999999999994</v>
      </c>
      <c r="P23" s="2">
        <v>1.03</v>
      </c>
      <c r="Q23" s="2">
        <f t="shared" si="1"/>
        <v>83.018000000000001</v>
      </c>
    </row>
    <row r="24" spans="15:23" x14ac:dyDescent="0.25">
      <c r="O24" s="2">
        <f t="shared" si="2"/>
        <v>80.599999999999994</v>
      </c>
      <c r="P24" s="2">
        <v>1.02</v>
      </c>
      <c r="Q24" s="2">
        <f t="shared" si="1"/>
        <v>82.211999999999989</v>
      </c>
    </row>
    <row r="25" spans="15:23" x14ac:dyDescent="0.25">
      <c r="O25" s="2">
        <f t="shared" si="2"/>
        <v>80.599999999999994</v>
      </c>
      <c r="P25" s="2">
        <v>1.01</v>
      </c>
      <c r="Q25" s="2">
        <f t="shared" si="1"/>
        <v>81.405999999999992</v>
      </c>
    </row>
    <row r="26" spans="15:23" x14ac:dyDescent="0.25">
      <c r="O26" s="2">
        <f t="shared" si="2"/>
        <v>80.599999999999994</v>
      </c>
      <c r="P26" s="2">
        <v>1</v>
      </c>
      <c r="Q26" s="2">
        <f t="shared" si="1"/>
        <v>80.599999999999994</v>
      </c>
    </row>
    <row r="27" spans="15:23" x14ac:dyDescent="0.25">
      <c r="O27" s="2">
        <f t="shared" si="2"/>
        <v>80.599999999999994</v>
      </c>
      <c r="P27" s="2">
        <v>0.99</v>
      </c>
      <c r="Q27" s="2">
        <f t="shared" si="1"/>
        <v>79.793999999999997</v>
      </c>
    </row>
    <row r="28" spans="15:23" x14ac:dyDescent="0.25">
      <c r="O28" s="2">
        <f t="shared" si="2"/>
        <v>80.599999999999994</v>
      </c>
      <c r="P28" s="2">
        <v>0.98</v>
      </c>
      <c r="Q28" s="2">
        <f t="shared" si="1"/>
        <v>78.988</v>
      </c>
    </row>
    <row r="29" spans="15:23" x14ac:dyDescent="0.25">
      <c r="O29" s="2">
        <f t="shared" si="2"/>
        <v>80.599999999999994</v>
      </c>
      <c r="P29" s="2">
        <v>0.97</v>
      </c>
      <c r="Q29" s="2">
        <f t="shared" si="1"/>
        <v>78.181999999999988</v>
      </c>
    </row>
    <row r="30" spans="15:23" x14ac:dyDescent="0.25">
      <c r="O30" s="2">
        <f t="shared" si="2"/>
        <v>80.599999999999994</v>
      </c>
      <c r="P30" s="2">
        <v>0.96</v>
      </c>
      <c r="Q30" s="2">
        <f t="shared" si="1"/>
        <v>77.375999999999991</v>
      </c>
    </row>
    <row r="31" spans="15:23" x14ac:dyDescent="0.25">
      <c r="O31" s="2">
        <f t="shared" si="2"/>
        <v>80.599999999999994</v>
      </c>
      <c r="P31" s="2">
        <v>0.95</v>
      </c>
      <c r="Q31" s="2">
        <f t="shared" si="1"/>
        <v>76.569999999999993</v>
      </c>
    </row>
    <row r="32" spans="15:23" x14ac:dyDescent="0.25">
      <c r="O32" s="2">
        <f t="shared" si="2"/>
        <v>80.599999999999994</v>
      </c>
      <c r="P32" s="2">
        <v>0.9</v>
      </c>
      <c r="Q32" s="2">
        <f t="shared" si="1"/>
        <v>72.539999999999992</v>
      </c>
    </row>
  </sheetData>
  <conditionalFormatting sqref="Q7">
    <cfRule type="expression" dxfId="33" priority="2">
      <formula>Q7&gt;0</formula>
    </cfRule>
    <cfRule type="expression" dxfId="32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35</v>
      </c>
      <c r="B2" s="1">
        <v>42166</v>
      </c>
      <c r="C2" s="18">
        <v>10</v>
      </c>
      <c r="D2" s="68">
        <v>55.7</v>
      </c>
      <c r="E2" s="68"/>
      <c r="F2" s="68">
        <f>C2*D2</f>
        <v>557</v>
      </c>
      <c r="G2" s="1">
        <v>42208</v>
      </c>
      <c r="H2" s="18">
        <v>10</v>
      </c>
      <c r="I2" s="68">
        <v>56</v>
      </c>
      <c r="J2" s="68"/>
      <c r="K2" s="68">
        <f>H2*I2</f>
        <v>560</v>
      </c>
      <c r="O2" s="20" t="s">
        <v>57</v>
      </c>
      <c r="Q2">
        <f>C8-H8</f>
        <v>35</v>
      </c>
      <c r="T2" s="1">
        <v>42313</v>
      </c>
      <c r="U2" t="s">
        <v>128</v>
      </c>
    </row>
    <row r="3" spans="1:21" x14ac:dyDescent="0.25">
      <c r="A3" s="36" t="s">
        <v>81</v>
      </c>
      <c r="B3" s="1">
        <v>42205</v>
      </c>
      <c r="C3" s="19">
        <v>10</v>
      </c>
      <c r="D3" s="65">
        <v>52.6</v>
      </c>
      <c r="E3" s="65"/>
      <c r="F3" s="65">
        <f>C3*D3</f>
        <v>526</v>
      </c>
      <c r="G3" s="1">
        <v>42234</v>
      </c>
      <c r="H3" s="19">
        <v>25</v>
      </c>
      <c r="I3" s="65">
        <v>50.88</v>
      </c>
      <c r="J3" s="65"/>
      <c r="K3" s="65">
        <f t="shared" ref="K3" si="0">H3*I3</f>
        <v>1272</v>
      </c>
      <c r="O3" s="20" t="s">
        <v>58</v>
      </c>
      <c r="Q3" s="2">
        <f>(F8-K8)/Q2</f>
        <v>47.585714285714289</v>
      </c>
    </row>
    <row r="4" spans="1:21" x14ac:dyDescent="0.25">
      <c r="B4" s="1">
        <v>42229</v>
      </c>
      <c r="C4" s="6">
        <v>15</v>
      </c>
      <c r="D4" s="5">
        <v>50.9</v>
      </c>
      <c r="E4" s="5"/>
      <c r="F4" s="5">
        <f>C4*D4</f>
        <v>763.5</v>
      </c>
      <c r="O4" s="20" t="s">
        <v>66</v>
      </c>
      <c r="Q4" s="106">
        <v>40.99</v>
      </c>
    </row>
    <row r="5" spans="1:21" x14ac:dyDescent="0.25">
      <c r="B5" s="1">
        <v>42233</v>
      </c>
      <c r="C5" s="19">
        <v>15</v>
      </c>
      <c r="D5" s="65">
        <v>46.8</v>
      </c>
      <c r="E5" s="65"/>
      <c r="F5" s="65">
        <f>C5*D5</f>
        <v>702</v>
      </c>
      <c r="O5" s="20" t="s">
        <v>67</v>
      </c>
      <c r="Q5" s="5">
        <f>Q4*Q2</f>
        <v>1434.65</v>
      </c>
    </row>
    <row r="6" spans="1:21" x14ac:dyDescent="0.25">
      <c r="B6" s="1">
        <v>42233</v>
      </c>
      <c r="C6">
        <v>20</v>
      </c>
      <c r="D6" s="2">
        <v>47.45</v>
      </c>
      <c r="F6" s="2">
        <f>C6*D6</f>
        <v>949</v>
      </c>
      <c r="O6" s="20" t="s">
        <v>64</v>
      </c>
      <c r="Q6" s="2">
        <f>Q3*Q2</f>
        <v>1665.5</v>
      </c>
    </row>
    <row r="7" spans="1:21" x14ac:dyDescent="0.25">
      <c r="B7" s="1"/>
      <c r="O7" s="20" t="s">
        <v>65</v>
      </c>
      <c r="Q7" s="2">
        <f>Q5-Q6</f>
        <v>-230.84999999999991</v>
      </c>
    </row>
    <row r="8" spans="1:21" x14ac:dyDescent="0.25">
      <c r="A8" s="57" t="s">
        <v>114</v>
      </c>
      <c r="B8" s="24"/>
      <c r="C8" s="24">
        <f>SUM(C2:C6)</f>
        <v>70</v>
      </c>
      <c r="D8" s="31"/>
      <c r="E8" s="31"/>
      <c r="F8" s="31">
        <f>SUM(F2:F6)</f>
        <v>3497.5</v>
      </c>
      <c r="G8" s="24"/>
      <c r="H8" s="24">
        <f>SUM(H2:H4)</f>
        <v>35</v>
      </c>
      <c r="I8" s="31"/>
      <c r="J8" s="31"/>
      <c r="K8" s="31">
        <f>SUM(K2:K4)</f>
        <v>1832</v>
      </c>
      <c r="L8" s="24"/>
      <c r="M8" s="24"/>
    </row>
    <row r="18" spans="15:17" x14ac:dyDescent="0.25">
      <c r="P18" t="s">
        <v>89</v>
      </c>
    </row>
    <row r="19" spans="15:17" x14ac:dyDescent="0.25">
      <c r="O19" s="2">
        <f>$Q$4</f>
        <v>40.99</v>
      </c>
      <c r="P19">
        <v>1.1000000000000001</v>
      </c>
      <c r="Q19" s="2">
        <f t="shared" ref="Q19:Q31" si="1">P19*O19</f>
        <v>45.089000000000006</v>
      </c>
    </row>
    <row r="20" spans="15:17" x14ac:dyDescent="0.25">
      <c r="O20" s="2">
        <f>$Q$4</f>
        <v>40.99</v>
      </c>
      <c r="P20">
        <v>1.05</v>
      </c>
      <c r="Q20" s="2">
        <f t="shared" si="1"/>
        <v>43.039500000000004</v>
      </c>
    </row>
    <row r="21" spans="15:17" x14ac:dyDescent="0.25">
      <c r="O21" s="2">
        <f t="shared" ref="O21:O31" si="2">$Q$4</f>
        <v>40.99</v>
      </c>
      <c r="P21">
        <v>1.04</v>
      </c>
      <c r="Q21" s="2">
        <f t="shared" si="1"/>
        <v>42.629600000000003</v>
      </c>
    </row>
    <row r="22" spans="15:17" x14ac:dyDescent="0.25">
      <c r="O22" s="2">
        <f t="shared" si="2"/>
        <v>40.99</v>
      </c>
      <c r="P22" s="2">
        <v>1.03</v>
      </c>
      <c r="Q22" s="2">
        <f t="shared" si="1"/>
        <v>42.219700000000003</v>
      </c>
    </row>
    <row r="23" spans="15:17" x14ac:dyDescent="0.25">
      <c r="O23" s="2">
        <f t="shared" si="2"/>
        <v>40.99</v>
      </c>
      <c r="P23" s="2">
        <v>1.02</v>
      </c>
      <c r="Q23" s="2">
        <f t="shared" si="1"/>
        <v>41.809800000000003</v>
      </c>
    </row>
    <row r="24" spans="15:17" x14ac:dyDescent="0.25">
      <c r="O24" s="2">
        <f t="shared" si="2"/>
        <v>40.99</v>
      </c>
      <c r="P24" s="2">
        <v>1.01</v>
      </c>
      <c r="Q24" s="2">
        <f t="shared" si="1"/>
        <v>41.399900000000002</v>
      </c>
    </row>
    <row r="25" spans="15:17" x14ac:dyDescent="0.25">
      <c r="O25" s="2">
        <f t="shared" si="2"/>
        <v>40.99</v>
      </c>
      <c r="P25" s="2">
        <v>1</v>
      </c>
      <c r="Q25" s="2">
        <f t="shared" si="1"/>
        <v>40.99</v>
      </c>
    </row>
    <row r="26" spans="15:17" x14ac:dyDescent="0.25">
      <c r="O26" s="2">
        <f t="shared" si="2"/>
        <v>40.99</v>
      </c>
      <c r="P26" s="2">
        <v>0.99</v>
      </c>
      <c r="Q26" s="2">
        <f t="shared" si="1"/>
        <v>40.580100000000002</v>
      </c>
    </row>
    <row r="27" spans="15:17" x14ac:dyDescent="0.25">
      <c r="O27" s="2">
        <f t="shared" si="2"/>
        <v>40.99</v>
      </c>
      <c r="P27" s="2">
        <v>0.98</v>
      </c>
      <c r="Q27" s="2">
        <f t="shared" si="1"/>
        <v>40.170200000000001</v>
      </c>
    </row>
    <row r="28" spans="15:17" x14ac:dyDescent="0.25">
      <c r="O28" s="2">
        <f t="shared" si="2"/>
        <v>40.99</v>
      </c>
      <c r="P28" s="2">
        <v>0.97</v>
      </c>
      <c r="Q28" s="2">
        <f t="shared" si="1"/>
        <v>39.760300000000001</v>
      </c>
    </row>
    <row r="29" spans="15:17" x14ac:dyDescent="0.25">
      <c r="O29" s="2">
        <f t="shared" si="2"/>
        <v>40.99</v>
      </c>
      <c r="P29" s="2">
        <v>0.96</v>
      </c>
      <c r="Q29" s="2">
        <f t="shared" si="1"/>
        <v>39.3504</v>
      </c>
    </row>
    <row r="30" spans="15:17" x14ac:dyDescent="0.25">
      <c r="O30" s="2">
        <f t="shared" si="2"/>
        <v>40.99</v>
      </c>
      <c r="P30" s="2">
        <v>0.95</v>
      </c>
      <c r="Q30" s="2">
        <f t="shared" si="1"/>
        <v>38.9405</v>
      </c>
    </row>
    <row r="31" spans="15:17" x14ac:dyDescent="0.25">
      <c r="O31" s="2">
        <f t="shared" si="2"/>
        <v>40.99</v>
      </c>
      <c r="P31" s="2">
        <v>0.9</v>
      </c>
      <c r="Q31" s="2">
        <f t="shared" si="1"/>
        <v>36.891000000000005</v>
      </c>
    </row>
  </sheetData>
  <conditionalFormatting sqref="Q7">
    <cfRule type="expression" dxfId="31" priority="2">
      <formula>Q7&gt;0</formula>
    </cfRule>
    <cfRule type="expression" dxfId="30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2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F1" s="20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68</v>
      </c>
      <c r="B2" s="1">
        <v>42164</v>
      </c>
      <c r="C2">
        <v>20</v>
      </c>
      <c r="D2">
        <v>11.25</v>
      </c>
      <c r="F2">
        <f>C2*D2</f>
        <v>225</v>
      </c>
      <c r="G2" s="1">
        <v>42235</v>
      </c>
      <c r="H2" s="15">
        <v>110</v>
      </c>
      <c r="I2" s="15">
        <v>8.69</v>
      </c>
      <c r="J2" s="15"/>
      <c r="K2" s="15">
        <f>H2*I2</f>
        <v>955.9</v>
      </c>
      <c r="O2" s="20" t="s">
        <v>57</v>
      </c>
      <c r="Q2">
        <f>C8-H8</f>
        <v>120</v>
      </c>
      <c r="T2" s="1">
        <v>42295</v>
      </c>
      <c r="U2" t="s">
        <v>128</v>
      </c>
    </row>
    <row r="3" spans="1:21" x14ac:dyDescent="0.25">
      <c r="A3" s="36" t="s">
        <v>81</v>
      </c>
      <c r="B3" s="1">
        <v>42187</v>
      </c>
      <c r="C3">
        <v>20</v>
      </c>
      <c r="D3">
        <v>10.28</v>
      </c>
      <c r="F3">
        <f>C3*D3</f>
        <v>205.6</v>
      </c>
      <c r="O3" s="20" t="s">
        <v>58</v>
      </c>
      <c r="Q3" s="2">
        <f>(F8-K8)/Q2</f>
        <v>10.082500000000001</v>
      </c>
    </row>
    <row r="4" spans="1:21" x14ac:dyDescent="0.25">
      <c r="B4" s="1">
        <v>42198</v>
      </c>
      <c r="C4">
        <v>40</v>
      </c>
      <c r="D4">
        <v>10.119999999999999</v>
      </c>
      <c r="F4">
        <f>C4*D4</f>
        <v>404.79999999999995</v>
      </c>
      <c r="O4" s="20" t="s">
        <v>66</v>
      </c>
      <c r="Q4" s="106">
        <v>7.91</v>
      </c>
    </row>
    <row r="5" spans="1:21" x14ac:dyDescent="0.25">
      <c r="B5" s="1">
        <v>42198</v>
      </c>
      <c r="C5">
        <v>40</v>
      </c>
      <c r="D5">
        <v>9.94</v>
      </c>
      <c r="F5">
        <f>C5*D5</f>
        <v>397.59999999999997</v>
      </c>
      <c r="O5" s="20" t="s">
        <v>67</v>
      </c>
      <c r="Q5" s="5">
        <f>Q4*Q2</f>
        <v>949.2</v>
      </c>
    </row>
    <row r="6" spans="1:21" x14ac:dyDescent="0.25">
      <c r="B6" s="1">
        <v>42233</v>
      </c>
      <c r="C6" s="15">
        <v>110</v>
      </c>
      <c r="D6" s="15">
        <v>8.48</v>
      </c>
      <c r="E6" s="15"/>
      <c r="F6" s="15">
        <f>C6*D6</f>
        <v>932.80000000000007</v>
      </c>
      <c r="O6" s="20" t="s">
        <v>64</v>
      </c>
      <c r="Q6" s="2">
        <f>Q3*Q2</f>
        <v>1209.9000000000001</v>
      </c>
    </row>
    <row r="7" spans="1:21" x14ac:dyDescent="0.25">
      <c r="B7" s="1"/>
      <c r="O7" s="20" t="s">
        <v>65</v>
      </c>
      <c r="Q7" s="2">
        <f>Q5-Q6</f>
        <v>-260.70000000000005</v>
      </c>
    </row>
    <row r="8" spans="1:21" x14ac:dyDescent="0.25">
      <c r="A8" s="35" t="s">
        <v>114</v>
      </c>
      <c r="B8" s="21"/>
      <c r="C8" s="21">
        <f>SUM(C2:C6)</f>
        <v>230</v>
      </c>
      <c r="D8" s="21"/>
      <c r="E8" s="21"/>
      <c r="F8" s="21">
        <f>SUM(F2:F6)</f>
        <v>2165.8000000000002</v>
      </c>
      <c r="G8" s="21"/>
      <c r="H8" s="21">
        <f>SUM(H2:H4)</f>
        <v>110</v>
      </c>
      <c r="I8" s="21"/>
      <c r="J8" s="21"/>
      <c r="K8" s="21">
        <f>SUM(K2:K4)</f>
        <v>955.9</v>
      </c>
      <c r="L8" s="21"/>
      <c r="M8" s="21"/>
    </row>
    <row r="12" spans="1:21" x14ac:dyDescent="0.25">
      <c r="T12" s="1">
        <v>42233</v>
      </c>
      <c r="U12" t="s">
        <v>173</v>
      </c>
    </row>
    <row r="14" spans="1:21" x14ac:dyDescent="0.25">
      <c r="P14" t="s">
        <v>89</v>
      </c>
      <c r="R14" s="59"/>
    </row>
    <row r="15" spans="1:21" x14ac:dyDescent="0.25">
      <c r="O15" s="2">
        <f>$Q$4</f>
        <v>7.91</v>
      </c>
      <c r="P15">
        <v>1.1000000000000001</v>
      </c>
      <c r="Q15" s="2">
        <f t="shared" ref="Q15:Q27" si="0">P15*O15</f>
        <v>8.7010000000000005</v>
      </c>
      <c r="R15" s="59"/>
    </row>
    <row r="16" spans="1:21" x14ac:dyDescent="0.25">
      <c r="O16" s="2">
        <f>$Q$4</f>
        <v>7.91</v>
      </c>
      <c r="P16">
        <v>1.05</v>
      </c>
      <c r="Q16" s="2">
        <f t="shared" si="0"/>
        <v>8.3055000000000003</v>
      </c>
      <c r="R16" s="59"/>
    </row>
    <row r="17" spans="15:18" x14ac:dyDescent="0.25">
      <c r="O17" s="2">
        <f t="shared" ref="O17:O27" si="1">$Q$4</f>
        <v>7.91</v>
      </c>
      <c r="P17">
        <v>1.04</v>
      </c>
      <c r="Q17" s="2">
        <f t="shared" si="0"/>
        <v>8.2263999999999999</v>
      </c>
      <c r="R17" s="59"/>
    </row>
    <row r="18" spans="15:18" x14ac:dyDescent="0.25">
      <c r="O18" s="2">
        <f t="shared" si="1"/>
        <v>7.91</v>
      </c>
      <c r="P18" s="2">
        <v>1.03</v>
      </c>
      <c r="Q18" s="2">
        <f t="shared" si="0"/>
        <v>8.1472999999999995</v>
      </c>
      <c r="R18" s="59"/>
    </row>
    <row r="19" spans="15:18" x14ac:dyDescent="0.25">
      <c r="O19" s="2">
        <f t="shared" si="1"/>
        <v>7.91</v>
      </c>
      <c r="P19" s="2">
        <v>1.02</v>
      </c>
      <c r="Q19" s="2">
        <f t="shared" si="0"/>
        <v>8.0682000000000009</v>
      </c>
      <c r="R19" s="59"/>
    </row>
    <row r="20" spans="15:18" x14ac:dyDescent="0.25">
      <c r="O20" s="2">
        <f t="shared" si="1"/>
        <v>7.91</v>
      </c>
      <c r="P20" s="2">
        <v>1.01</v>
      </c>
      <c r="Q20" s="2">
        <f t="shared" si="0"/>
        <v>7.9891000000000005</v>
      </c>
      <c r="R20" s="59"/>
    </row>
    <row r="21" spans="15:18" x14ac:dyDescent="0.25">
      <c r="O21" s="2">
        <f t="shared" si="1"/>
        <v>7.91</v>
      </c>
      <c r="P21" s="2">
        <v>1</v>
      </c>
      <c r="Q21" s="2">
        <f t="shared" si="0"/>
        <v>7.91</v>
      </c>
      <c r="R21" s="59"/>
    </row>
    <row r="22" spans="15:18" x14ac:dyDescent="0.25">
      <c r="O22" s="2">
        <f t="shared" si="1"/>
        <v>7.91</v>
      </c>
      <c r="P22" s="2">
        <v>0.99</v>
      </c>
      <c r="Q22" s="2">
        <f t="shared" si="0"/>
        <v>7.8308999999999997</v>
      </c>
      <c r="R22" s="59"/>
    </row>
    <row r="23" spans="15:18" x14ac:dyDescent="0.25">
      <c r="O23" s="2">
        <f t="shared" si="1"/>
        <v>7.91</v>
      </c>
      <c r="P23" s="2">
        <v>0.98</v>
      </c>
      <c r="Q23" s="2">
        <f t="shared" si="0"/>
        <v>7.7518000000000002</v>
      </c>
      <c r="R23" s="59"/>
    </row>
    <row r="24" spans="15:18" x14ac:dyDescent="0.25">
      <c r="O24" s="2">
        <f t="shared" si="1"/>
        <v>7.91</v>
      </c>
      <c r="P24" s="2">
        <v>0.97</v>
      </c>
      <c r="Q24" s="2">
        <f t="shared" si="0"/>
        <v>7.6726999999999999</v>
      </c>
      <c r="R24" s="59"/>
    </row>
    <row r="25" spans="15:18" x14ac:dyDescent="0.25">
      <c r="O25" s="2">
        <f t="shared" si="1"/>
        <v>7.91</v>
      </c>
      <c r="P25" s="2">
        <v>0.96</v>
      </c>
      <c r="Q25" s="2">
        <f t="shared" si="0"/>
        <v>7.5935999999999995</v>
      </c>
      <c r="R25" s="59"/>
    </row>
    <row r="26" spans="15:18" x14ac:dyDescent="0.25">
      <c r="O26" s="2">
        <f t="shared" si="1"/>
        <v>7.91</v>
      </c>
      <c r="P26" s="2">
        <v>0.95</v>
      </c>
      <c r="Q26" s="2">
        <f t="shared" si="0"/>
        <v>7.5145</v>
      </c>
      <c r="R26" s="59"/>
    </row>
    <row r="27" spans="15:18" x14ac:dyDescent="0.25">
      <c r="O27" s="2">
        <f t="shared" si="1"/>
        <v>7.91</v>
      </c>
      <c r="P27" s="2">
        <v>0.9</v>
      </c>
      <c r="Q27" s="2">
        <f t="shared" si="0"/>
        <v>7.1190000000000007</v>
      </c>
      <c r="R27" s="59"/>
    </row>
  </sheetData>
  <conditionalFormatting sqref="Q7">
    <cfRule type="expression" dxfId="29" priority="2">
      <formula>Q7&gt;0</formula>
    </cfRule>
    <cfRule type="expression" dxfId="28" priority="3">
      <formula>Q7&lt;0</formula>
    </cfRule>
  </conditionalFormatting>
  <conditionalFormatting sqref="P15:P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U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69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34" t="s">
        <v>38</v>
      </c>
      <c r="T1" s="20" t="s">
        <v>74</v>
      </c>
    </row>
    <row r="2" spans="1:21" x14ac:dyDescent="0.25">
      <c r="A2" s="8" t="s">
        <v>19</v>
      </c>
      <c r="B2" s="32">
        <v>42152</v>
      </c>
      <c r="C2" s="15">
        <v>5</v>
      </c>
      <c r="D2" s="77">
        <v>35.049999999999997</v>
      </c>
      <c r="E2" s="77"/>
      <c r="F2" s="77">
        <f>C2*D2</f>
        <v>175.25</v>
      </c>
      <c r="G2" s="1">
        <v>42206</v>
      </c>
      <c r="H2" s="15">
        <v>39</v>
      </c>
      <c r="I2" s="77">
        <v>35.65</v>
      </c>
      <c r="J2" s="77"/>
      <c r="K2" s="77">
        <f>I2*H2</f>
        <v>1390.35</v>
      </c>
      <c r="L2" s="1">
        <v>42170</v>
      </c>
      <c r="M2" s="2">
        <v>7.73</v>
      </c>
      <c r="O2" s="20" t="s">
        <v>57</v>
      </c>
      <c r="Q2">
        <f>C7-H7</f>
        <v>51</v>
      </c>
      <c r="T2" s="1">
        <v>42244</v>
      </c>
      <c r="U2" t="s">
        <v>170</v>
      </c>
    </row>
    <row r="3" spans="1:21" x14ac:dyDescent="0.25">
      <c r="A3" s="36" t="s">
        <v>81</v>
      </c>
      <c r="B3" s="32">
        <v>42153</v>
      </c>
      <c r="C3" s="15">
        <v>25</v>
      </c>
      <c r="D3" s="77">
        <v>34.4</v>
      </c>
      <c r="E3" s="77"/>
      <c r="F3" s="77">
        <f>C3*D3</f>
        <v>860</v>
      </c>
      <c r="L3" t="s">
        <v>171</v>
      </c>
      <c r="O3" s="20" t="s">
        <v>58</v>
      </c>
      <c r="Q3" s="2">
        <f>(F7-K7)/Q2</f>
        <v>32.507843137254902</v>
      </c>
    </row>
    <row r="4" spans="1:21" x14ac:dyDescent="0.25">
      <c r="B4" s="123">
        <v>42173</v>
      </c>
      <c r="C4" s="15">
        <v>9</v>
      </c>
      <c r="D4" s="77">
        <v>34.1</v>
      </c>
      <c r="E4" s="77"/>
      <c r="F4" s="77">
        <f>C4*D4</f>
        <v>306.90000000000003</v>
      </c>
      <c r="O4" s="20" t="s">
        <v>66</v>
      </c>
      <c r="Q4" s="106">
        <v>35.1</v>
      </c>
    </row>
    <row r="5" spans="1:21" x14ac:dyDescent="0.25">
      <c r="B5" s="123"/>
      <c r="C5">
        <v>1</v>
      </c>
      <c r="D5" s="2">
        <v>34.1</v>
      </c>
      <c r="F5" s="2">
        <f>C5*D5</f>
        <v>34.1</v>
      </c>
      <c r="O5" s="20" t="s">
        <v>67</v>
      </c>
      <c r="Q5" s="5">
        <f>Q4*Q2</f>
        <v>1790.1000000000001</v>
      </c>
    </row>
    <row r="6" spans="1:21" x14ac:dyDescent="0.25">
      <c r="B6" s="32">
        <v>42228</v>
      </c>
      <c r="C6">
        <v>50</v>
      </c>
      <c r="D6" s="2">
        <v>33.44</v>
      </c>
      <c r="F6" s="2">
        <f>C6*D6</f>
        <v>1672</v>
      </c>
      <c r="O6" s="20" t="s">
        <v>64</v>
      </c>
      <c r="Q6" s="2">
        <f>Q3*Q2</f>
        <v>1657.9</v>
      </c>
    </row>
    <row r="7" spans="1:21" x14ac:dyDescent="0.25">
      <c r="A7" s="57" t="s">
        <v>114</v>
      </c>
      <c r="B7" s="24"/>
      <c r="C7" s="24">
        <f>SUM(C2:C6)</f>
        <v>90</v>
      </c>
      <c r="D7" s="31"/>
      <c r="E7" s="31"/>
      <c r="F7" s="31">
        <f>SUM(F2:F6)</f>
        <v>3048.25</v>
      </c>
      <c r="G7" s="24"/>
      <c r="H7" s="24">
        <f t="shared" ref="H7:M7" si="0">SUM(H2:H6)</f>
        <v>39</v>
      </c>
      <c r="I7" s="31">
        <f t="shared" si="0"/>
        <v>35.65</v>
      </c>
      <c r="J7" s="31"/>
      <c r="K7" s="31">
        <f>SUM(K2:K6)</f>
        <v>1390.35</v>
      </c>
      <c r="L7" s="24"/>
      <c r="M7" s="31">
        <f t="shared" si="0"/>
        <v>7.73</v>
      </c>
      <c r="O7" s="20" t="s">
        <v>65</v>
      </c>
      <c r="Q7" s="2">
        <f>Q5-Q6+M7</f>
        <v>139.93000000000004</v>
      </c>
    </row>
    <row r="16" spans="1:21" x14ac:dyDescent="0.25">
      <c r="P16" t="s">
        <v>89</v>
      </c>
    </row>
    <row r="17" spans="15:17" x14ac:dyDescent="0.25">
      <c r="O17" s="2">
        <f>$Q$4</f>
        <v>35.1</v>
      </c>
      <c r="P17">
        <v>1.1000000000000001</v>
      </c>
      <c r="Q17" s="2">
        <f t="shared" ref="Q17:Q29" si="1">P17*O17</f>
        <v>38.610000000000007</v>
      </c>
    </row>
    <row r="18" spans="15:17" x14ac:dyDescent="0.25">
      <c r="O18" s="2">
        <f>$Q$4</f>
        <v>35.1</v>
      </c>
      <c r="P18">
        <v>1.05</v>
      </c>
      <c r="Q18" s="2">
        <f t="shared" si="1"/>
        <v>36.855000000000004</v>
      </c>
    </row>
    <row r="19" spans="15:17" x14ac:dyDescent="0.25">
      <c r="O19" s="2">
        <f t="shared" ref="O19:O29" si="2">$Q$4</f>
        <v>35.1</v>
      </c>
      <c r="P19">
        <v>1.04</v>
      </c>
      <c r="Q19" s="2">
        <f t="shared" si="1"/>
        <v>36.504000000000005</v>
      </c>
    </row>
    <row r="20" spans="15:17" x14ac:dyDescent="0.25">
      <c r="O20" s="2">
        <f t="shared" si="2"/>
        <v>35.1</v>
      </c>
      <c r="P20" s="2">
        <v>1.03</v>
      </c>
      <c r="Q20" s="2">
        <f t="shared" si="1"/>
        <v>36.153000000000006</v>
      </c>
    </row>
    <row r="21" spans="15:17" x14ac:dyDescent="0.25">
      <c r="O21" s="2">
        <f t="shared" si="2"/>
        <v>35.1</v>
      </c>
      <c r="P21" s="2">
        <v>1.02</v>
      </c>
      <c r="Q21" s="2">
        <f t="shared" si="1"/>
        <v>35.802</v>
      </c>
    </row>
    <row r="22" spans="15:17" x14ac:dyDescent="0.25">
      <c r="O22" s="2">
        <f t="shared" si="2"/>
        <v>35.1</v>
      </c>
      <c r="P22" s="2">
        <v>1.01</v>
      </c>
      <c r="Q22" s="2">
        <f t="shared" si="1"/>
        <v>35.451000000000001</v>
      </c>
    </row>
    <row r="23" spans="15:17" x14ac:dyDescent="0.25">
      <c r="O23" s="2">
        <f t="shared" si="2"/>
        <v>35.1</v>
      </c>
      <c r="P23" s="2">
        <v>1</v>
      </c>
      <c r="Q23" s="2">
        <f t="shared" si="1"/>
        <v>35.1</v>
      </c>
    </row>
    <row r="24" spans="15:17" x14ac:dyDescent="0.25">
      <c r="O24" s="2">
        <f t="shared" si="2"/>
        <v>35.1</v>
      </c>
      <c r="P24" s="2">
        <v>0.99</v>
      </c>
      <c r="Q24" s="2">
        <f t="shared" si="1"/>
        <v>34.749000000000002</v>
      </c>
    </row>
    <row r="25" spans="15:17" x14ac:dyDescent="0.25">
      <c r="O25" s="2">
        <f t="shared" si="2"/>
        <v>35.1</v>
      </c>
      <c r="P25" s="2">
        <v>0.98</v>
      </c>
      <c r="Q25" s="2">
        <f t="shared" si="1"/>
        <v>34.398000000000003</v>
      </c>
    </row>
    <row r="26" spans="15:17" x14ac:dyDescent="0.25">
      <c r="O26" s="2">
        <f t="shared" si="2"/>
        <v>35.1</v>
      </c>
      <c r="P26" s="2">
        <v>0.97</v>
      </c>
      <c r="Q26" s="2">
        <f t="shared" si="1"/>
        <v>34.046999999999997</v>
      </c>
    </row>
    <row r="27" spans="15:17" x14ac:dyDescent="0.25">
      <c r="O27" s="2">
        <f t="shared" si="2"/>
        <v>35.1</v>
      </c>
      <c r="P27" s="2">
        <v>0.96</v>
      </c>
      <c r="Q27" s="2">
        <f t="shared" si="1"/>
        <v>33.695999999999998</v>
      </c>
    </row>
    <row r="28" spans="15:17" x14ac:dyDescent="0.25">
      <c r="O28" s="2">
        <f t="shared" si="2"/>
        <v>35.1</v>
      </c>
      <c r="P28" s="2">
        <v>0.95</v>
      </c>
      <c r="Q28" s="2">
        <f t="shared" si="1"/>
        <v>33.344999999999999</v>
      </c>
    </row>
    <row r="29" spans="15:17" x14ac:dyDescent="0.25">
      <c r="O29" s="2">
        <f t="shared" si="2"/>
        <v>35.1</v>
      </c>
      <c r="P29" s="2">
        <v>0.9</v>
      </c>
      <c r="Q29" s="2">
        <f t="shared" si="1"/>
        <v>31.590000000000003</v>
      </c>
    </row>
  </sheetData>
  <mergeCells count="1">
    <mergeCell ref="B4:B5"/>
  </mergeCells>
  <conditionalFormatting sqref="Q7">
    <cfRule type="expression" dxfId="27" priority="2">
      <formula>Q7&gt;0</formula>
    </cfRule>
    <cfRule type="expression" dxfId="26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30"/>
  <sheetViews>
    <sheetView workbookViewId="0">
      <selection activeCell="A3" sqref="A3"/>
    </sheetView>
  </sheetViews>
  <sheetFormatPr defaultRowHeight="15" x14ac:dyDescent="0.25"/>
  <cols>
    <col min="4" max="6" width="9.140625" style="2"/>
    <col min="9" max="11" width="9.140625" style="2"/>
    <col min="20" max="20" width="9.140625" style="72"/>
  </cols>
  <sheetData>
    <row r="1" spans="1:2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69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T1" s="73" t="s">
        <v>74</v>
      </c>
    </row>
    <row r="2" spans="1:21" x14ac:dyDescent="0.25">
      <c r="A2" s="8" t="s">
        <v>33</v>
      </c>
      <c r="B2" s="1">
        <v>42166</v>
      </c>
      <c r="C2">
        <v>10</v>
      </c>
      <c r="D2" s="2">
        <v>139.16</v>
      </c>
      <c r="F2" s="2">
        <f>D2*C2</f>
        <v>1391.6</v>
      </c>
      <c r="G2" s="1">
        <v>42213</v>
      </c>
      <c r="H2" s="10">
        <v>10</v>
      </c>
      <c r="I2" s="25">
        <f>K2/H2</f>
        <v>129.49799999999999</v>
      </c>
      <c r="J2" s="25"/>
      <c r="K2" s="25">
        <v>1294.98</v>
      </c>
      <c r="L2" s="1">
        <v>42185</v>
      </c>
      <c r="M2" s="2">
        <v>4</v>
      </c>
      <c r="O2" s="20" t="s">
        <v>57</v>
      </c>
      <c r="Q2">
        <f>C8-H8</f>
        <v>60</v>
      </c>
      <c r="T2" s="72">
        <v>42219</v>
      </c>
      <c r="U2" t="s">
        <v>136</v>
      </c>
    </row>
    <row r="3" spans="1:21" x14ac:dyDescent="0.25">
      <c r="A3" s="36" t="s">
        <v>81</v>
      </c>
      <c r="B3" s="123">
        <v>42212</v>
      </c>
      <c r="C3">
        <v>10</v>
      </c>
      <c r="D3" s="2">
        <v>124.25</v>
      </c>
      <c r="F3" s="2">
        <f t="shared" ref="F3:F7" si="0">D3*C3</f>
        <v>1242.5</v>
      </c>
      <c r="G3" s="1"/>
      <c r="L3" s="1"/>
      <c r="M3" s="2"/>
      <c r="O3" s="20" t="s">
        <v>58</v>
      </c>
      <c r="Q3" s="2">
        <f>(F8-K8)/Q2</f>
        <v>124.15200000000002</v>
      </c>
      <c r="T3" s="72">
        <v>42242</v>
      </c>
      <c r="U3" t="s">
        <v>135</v>
      </c>
    </row>
    <row r="4" spans="1:21" x14ac:dyDescent="0.25">
      <c r="B4" s="123"/>
      <c r="C4" s="10">
        <v>10</v>
      </c>
      <c r="D4" s="25">
        <v>124.25</v>
      </c>
      <c r="E4" s="25"/>
      <c r="F4" s="25">
        <f t="shared" si="0"/>
        <v>1242.5</v>
      </c>
      <c r="M4" s="2"/>
      <c r="O4" s="20" t="s">
        <v>66</v>
      </c>
      <c r="Q4" s="106">
        <v>111.45</v>
      </c>
    </row>
    <row r="5" spans="1:21" x14ac:dyDescent="0.25">
      <c r="B5" s="1">
        <v>42220</v>
      </c>
      <c r="C5">
        <v>5</v>
      </c>
      <c r="D5" s="2">
        <v>123.2</v>
      </c>
      <c r="F5" s="2">
        <f t="shared" si="0"/>
        <v>616</v>
      </c>
      <c r="M5" s="2"/>
      <c r="O5" s="20" t="s">
        <v>67</v>
      </c>
      <c r="Q5" s="5">
        <f>Q4*Q2</f>
        <v>6687</v>
      </c>
    </row>
    <row r="6" spans="1:21" x14ac:dyDescent="0.25">
      <c r="B6" s="1">
        <v>42220</v>
      </c>
      <c r="C6">
        <v>20</v>
      </c>
      <c r="D6" s="2">
        <v>122.2</v>
      </c>
      <c r="F6" s="2">
        <f t="shared" si="0"/>
        <v>2444</v>
      </c>
      <c r="M6" s="2"/>
      <c r="O6" s="20" t="s">
        <v>64</v>
      </c>
      <c r="Q6" s="2">
        <f>Q3*Q2</f>
        <v>7449.1200000000008</v>
      </c>
    </row>
    <row r="7" spans="1:21" x14ac:dyDescent="0.25">
      <c r="B7" s="1">
        <v>42240</v>
      </c>
      <c r="C7">
        <v>15</v>
      </c>
      <c r="D7" s="2">
        <v>120.5</v>
      </c>
      <c r="F7" s="2">
        <f t="shared" si="0"/>
        <v>1807.5</v>
      </c>
      <c r="M7" s="2"/>
      <c r="O7" s="20" t="s">
        <v>65</v>
      </c>
      <c r="Q7" s="2">
        <f>Q5-Q6+M8</f>
        <v>-758.1200000000008</v>
      </c>
    </row>
    <row r="8" spans="1:21" x14ac:dyDescent="0.25">
      <c r="A8" s="27" t="s">
        <v>114</v>
      </c>
      <c r="B8" s="24"/>
      <c r="C8" s="24">
        <f>SUM(C2:C7)</f>
        <v>70</v>
      </c>
      <c r="D8" s="31"/>
      <c r="E8" s="31"/>
      <c r="F8" s="31">
        <f>SUM(F2:F7)</f>
        <v>8744.1</v>
      </c>
      <c r="G8" s="24"/>
      <c r="H8" s="24">
        <f t="shared" ref="H8:M8" si="1">SUM(H2:H6)</f>
        <v>10</v>
      </c>
      <c r="I8" s="31"/>
      <c r="J8" s="31"/>
      <c r="K8" s="31">
        <f>SUM(K2:K6)</f>
        <v>1294.98</v>
      </c>
      <c r="L8" s="24"/>
      <c r="M8" s="31">
        <f t="shared" si="1"/>
        <v>4</v>
      </c>
    </row>
    <row r="17" spans="15:18" x14ac:dyDescent="0.25">
      <c r="P17" t="s">
        <v>89</v>
      </c>
    </row>
    <row r="18" spans="15:18" x14ac:dyDescent="0.25">
      <c r="O18" s="2">
        <f>$Q$4</f>
        <v>111.45</v>
      </c>
      <c r="P18">
        <v>1.1000000000000001</v>
      </c>
      <c r="Q18" s="2">
        <f t="shared" ref="Q18:Q30" si="2">P18*O18</f>
        <v>122.59500000000001</v>
      </c>
    </row>
    <row r="19" spans="15:18" x14ac:dyDescent="0.25">
      <c r="O19" s="2">
        <f>$Q$4</f>
        <v>111.45</v>
      </c>
      <c r="P19">
        <v>1.05</v>
      </c>
      <c r="Q19" s="2">
        <f t="shared" si="2"/>
        <v>117.02250000000001</v>
      </c>
    </row>
    <row r="20" spans="15:18" x14ac:dyDescent="0.25">
      <c r="O20" s="2">
        <f t="shared" ref="O20:O30" si="3">$Q$4</f>
        <v>111.45</v>
      </c>
      <c r="P20">
        <v>1.04</v>
      </c>
      <c r="Q20" s="2">
        <f t="shared" si="2"/>
        <v>115.908</v>
      </c>
    </row>
    <row r="21" spans="15:18" x14ac:dyDescent="0.25">
      <c r="O21" s="2">
        <f t="shared" si="3"/>
        <v>111.45</v>
      </c>
      <c r="P21" s="2">
        <v>1.03</v>
      </c>
      <c r="Q21" s="2">
        <f t="shared" si="2"/>
        <v>114.79350000000001</v>
      </c>
      <c r="R21" t="s">
        <v>115</v>
      </c>
    </row>
    <row r="22" spans="15:18" x14ac:dyDescent="0.25">
      <c r="O22" s="2">
        <f t="shared" si="3"/>
        <v>111.45</v>
      </c>
      <c r="P22" s="2">
        <v>1.02</v>
      </c>
      <c r="Q22" s="2">
        <f t="shared" si="2"/>
        <v>113.679</v>
      </c>
      <c r="R22" t="s">
        <v>134</v>
      </c>
    </row>
    <row r="23" spans="15:18" x14ac:dyDescent="0.25">
      <c r="O23" s="2">
        <f t="shared" si="3"/>
        <v>111.45</v>
      </c>
      <c r="P23" s="2">
        <v>1.01</v>
      </c>
      <c r="Q23" s="2">
        <f t="shared" si="2"/>
        <v>112.56450000000001</v>
      </c>
    </row>
    <row r="24" spans="15:18" x14ac:dyDescent="0.25">
      <c r="O24" s="2">
        <f t="shared" si="3"/>
        <v>111.45</v>
      </c>
      <c r="P24" s="2">
        <v>1</v>
      </c>
      <c r="Q24" s="2">
        <f t="shared" si="2"/>
        <v>111.45</v>
      </c>
    </row>
    <row r="25" spans="15:18" x14ac:dyDescent="0.25">
      <c r="O25" s="2">
        <f t="shared" si="3"/>
        <v>111.45</v>
      </c>
      <c r="P25" s="2">
        <v>0.99</v>
      </c>
      <c r="Q25" s="2">
        <f t="shared" si="2"/>
        <v>110.3355</v>
      </c>
      <c r="R25" t="s">
        <v>129</v>
      </c>
    </row>
    <row r="26" spans="15:18" x14ac:dyDescent="0.25">
      <c r="O26" s="2">
        <f t="shared" si="3"/>
        <v>111.45</v>
      </c>
      <c r="P26" s="2">
        <v>0.98</v>
      </c>
      <c r="Q26" s="2">
        <f t="shared" si="2"/>
        <v>109.221</v>
      </c>
    </row>
    <row r="27" spans="15:18" x14ac:dyDescent="0.25">
      <c r="O27" s="2">
        <f t="shared" si="3"/>
        <v>111.45</v>
      </c>
      <c r="P27" s="2">
        <v>0.97</v>
      </c>
      <c r="Q27" s="2">
        <f t="shared" si="2"/>
        <v>108.1065</v>
      </c>
    </row>
    <row r="28" spans="15:18" x14ac:dyDescent="0.25">
      <c r="O28" s="2">
        <f t="shared" si="3"/>
        <v>111.45</v>
      </c>
      <c r="P28" s="2">
        <v>0.96</v>
      </c>
      <c r="Q28" s="2">
        <f t="shared" si="2"/>
        <v>106.992</v>
      </c>
    </row>
    <row r="29" spans="15:18" x14ac:dyDescent="0.25">
      <c r="O29" s="2">
        <f t="shared" si="3"/>
        <v>111.45</v>
      </c>
      <c r="P29" s="2">
        <v>0.95</v>
      </c>
      <c r="Q29" s="2">
        <f t="shared" si="2"/>
        <v>105.8775</v>
      </c>
    </row>
    <row r="30" spans="15:18" x14ac:dyDescent="0.25">
      <c r="O30" s="2">
        <f t="shared" si="3"/>
        <v>111.45</v>
      </c>
      <c r="P30" s="2">
        <v>0.9</v>
      </c>
      <c r="Q30" s="2">
        <f t="shared" si="2"/>
        <v>100.30500000000001</v>
      </c>
    </row>
  </sheetData>
  <mergeCells count="1">
    <mergeCell ref="B3:B4"/>
  </mergeCells>
  <conditionalFormatting sqref="Q7">
    <cfRule type="expression" dxfId="25" priority="2">
      <formula>Q7&gt;0</formula>
    </cfRule>
    <cfRule type="expression" dxfId="24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63</v>
      </c>
      <c r="B2" s="1">
        <v>42226</v>
      </c>
      <c r="C2">
        <v>10</v>
      </c>
      <c r="D2" s="2">
        <v>113.72</v>
      </c>
      <c r="F2" s="2">
        <f>C2*D2</f>
        <v>1137.2</v>
      </c>
      <c r="L2" t="s">
        <v>139</v>
      </c>
      <c r="O2" s="20" t="s">
        <v>57</v>
      </c>
      <c r="Q2">
        <f>C6-H6</f>
        <v>30</v>
      </c>
      <c r="T2" s="1">
        <v>42202</v>
      </c>
      <c r="U2" t="s">
        <v>138</v>
      </c>
    </row>
    <row r="3" spans="1:21" x14ac:dyDescent="0.25">
      <c r="A3" s="36" t="s">
        <v>81</v>
      </c>
      <c r="B3" s="1">
        <v>42226</v>
      </c>
      <c r="C3">
        <v>5</v>
      </c>
      <c r="D3" s="2">
        <v>112.2</v>
      </c>
      <c r="F3" s="2">
        <f>C3*D3</f>
        <v>561</v>
      </c>
      <c r="O3" s="20" t="s">
        <v>58</v>
      </c>
      <c r="Q3" s="2">
        <f>(F6-K6)/Q2</f>
        <v>110.09500000000001</v>
      </c>
      <c r="T3" s="1">
        <v>42231</v>
      </c>
      <c r="U3" t="s">
        <v>137</v>
      </c>
    </row>
    <row r="4" spans="1:21" x14ac:dyDescent="0.25">
      <c r="B4" s="1">
        <v>42226</v>
      </c>
      <c r="C4">
        <v>5</v>
      </c>
      <c r="D4" s="2">
        <v>110.93</v>
      </c>
      <c r="F4" s="2">
        <f>C4*D4</f>
        <v>554.65000000000009</v>
      </c>
      <c r="O4" s="20" t="s">
        <v>66</v>
      </c>
      <c r="Q4" s="106">
        <v>98.84</v>
      </c>
      <c r="T4" s="1">
        <v>42314</v>
      </c>
      <c r="U4" t="s">
        <v>128</v>
      </c>
    </row>
    <row r="5" spans="1:21" x14ac:dyDescent="0.25">
      <c r="B5" s="1">
        <v>42227</v>
      </c>
      <c r="C5">
        <v>10</v>
      </c>
      <c r="D5" s="2">
        <v>105</v>
      </c>
      <c r="F5" s="2">
        <f>C5*D5</f>
        <v>1050</v>
      </c>
      <c r="O5" s="20" t="s">
        <v>67</v>
      </c>
      <c r="Q5" s="5">
        <f>Q4*Q2</f>
        <v>2965.2000000000003</v>
      </c>
    </row>
    <row r="6" spans="1:21" x14ac:dyDescent="0.25">
      <c r="A6" s="57" t="s">
        <v>114</v>
      </c>
      <c r="B6" s="24"/>
      <c r="C6" s="24">
        <f>SUM(C2:C5)</f>
        <v>30</v>
      </c>
      <c r="D6" s="31"/>
      <c r="E6" s="31"/>
      <c r="F6" s="31">
        <f t="shared" ref="F6:M6" si="0">SUM(F2:F5)</f>
        <v>3302.8500000000004</v>
      </c>
      <c r="G6" s="24"/>
      <c r="H6" s="24">
        <f t="shared" si="0"/>
        <v>0</v>
      </c>
      <c r="I6" s="31"/>
      <c r="J6" s="31"/>
      <c r="K6" s="31">
        <f t="shared" si="0"/>
        <v>0</v>
      </c>
      <c r="L6" s="24"/>
      <c r="M6" s="24">
        <f t="shared" si="0"/>
        <v>0</v>
      </c>
      <c r="O6" s="20" t="s">
        <v>64</v>
      </c>
      <c r="Q6" s="2">
        <f>Q3*Q2</f>
        <v>3302.8500000000004</v>
      </c>
    </row>
    <row r="7" spans="1:21" x14ac:dyDescent="0.25">
      <c r="O7" s="20" t="s">
        <v>65</v>
      </c>
      <c r="Q7" s="2">
        <f>Q5-Q6</f>
        <v>-337.65000000000009</v>
      </c>
    </row>
    <row r="17" spans="15:17" x14ac:dyDescent="0.25">
      <c r="P17" t="s">
        <v>89</v>
      </c>
    </row>
    <row r="18" spans="15:17" x14ac:dyDescent="0.25">
      <c r="O18" s="2">
        <f>$Q$4</f>
        <v>98.84</v>
      </c>
      <c r="P18">
        <v>1.1000000000000001</v>
      </c>
      <c r="Q18" s="2">
        <f t="shared" ref="Q18:Q30" si="1">P18*O18</f>
        <v>108.72400000000002</v>
      </c>
    </row>
    <row r="19" spans="15:17" x14ac:dyDescent="0.25">
      <c r="O19" s="2">
        <f>$Q$4</f>
        <v>98.84</v>
      </c>
      <c r="P19">
        <v>1.05</v>
      </c>
      <c r="Q19" s="2">
        <f t="shared" si="1"/>
        <v>103.78200000000001</v>
      </c>
    </row>
    <row r="20" spans="15:17" x14ac:dyDescent="0.25">
      <c r="O20" s="2">
        <f t="shared" ref="O20:O30" si="2">$Q$4</f>
        <v>98.84</v>
      </c>
      <c r="P20">
        <v>1.04</v>
      </c>
      <c r="Q20" s="2">
        <f t="shared" si="1"/>
        <v>102.79360000000001</v>
      </c>
    </row>
    <row r="21" spans="15:17" x14ac:dyDescent="0.25">
      <c r="O21" s="2">
        <f t="shared" si="2"/>
        <v>98.84</v>
      </c>
      <c r="P21" s="2">
        <v>1.03</v>
      </c>
      <c r="Q21" s="2">
        <f t="shared" si="1"/>
        <v>101.8052</v>
      </c>
    </row>
    <row r="22" spans="15:17" x14ac:dyDescent="0.25">
      <c r="O22" s="2">
        <f t="shared" si="2"/>
        <v>98.84</v>
      </c>
      <c r="P22" s="2">
        <v>1.02</v>
      </c>
      <c r="Q22" s="2">
        <f t="shared" si="1"/>
        <v>100.8168</v>
      </c>
    </row>
    <row r="23" spans="15:17" x14ac:dyDescent="0.25">
      <c r="O23" s="2">
        <f t="shared" si="2"/>
        <v>98.84</v>
      </c>
      <c r="P23" s="2">
        <v>1.01</v>
      </c>
      <c r="Q23" s="2">
        <f t="shared" si="1"/>
        <v>99.828400000000002</v>
      </c>
    </row>
    <row r="24" spans="15:17" x14ac:dyDescent="0.25">
      <c r="O24" s="2">
        <f t="shared" si="2"/>
        <v>98.84</v>
      </c>
      <c r="P24" s="2">
        <v>1</v>
      </c>
      <c r="Q24" s="2">
        <f t="shared" si="1"/>
        <v>98.84</v>
      </c>
    </row>
    <row r="25" spans="15:17" x14ac:dyDescent="0.25">
      <c r="O25" s="2">
        <f t="shared" si="2"/>
        <v>98.84</v>
      </c>
      <c r="P25" s="2">
        <v>0.99</v>
      </c>
      <c r="Q25" s="2">
        <f t="shared" si="1"/>
        <v>97.851600000000005</v>
      </c>
    </row>
    <row r="26" spans="15:17" x14ac:dyDescent="0.25">
      <c r="O26" s="2">
        <f t="shared" si="2"/>
        <v>98.84</v>
      </c>
      <c r="P26" s="2">
        <v>0.98</v>
      </c>
      <c r="Q26" s="2">
        <f t="shared" si="1"/>
        <v>96.863200000000006</v>
      </c>
    </row>
    <row r="27" spans="15:17" x14ac:dyDescent="0.25">
      <c r="O27" s="2">
        <f t="shared" si="2"/>
        <v>98.84</v>
      </c>
      <c r="P27" s="2">
        <v>0.97</v>
      </c>
      <c r="Q27" s="2">
        <f t="shared" si="1"/>
        <v>95.874800000000008</v>
      </c>
    </row>
    <row r="28" spans="15:17" x14ac:dyDescent="0.25">
      <c r="O28" s="2">
        <f t="shared" si="2"/>
        <v>98.84</v>
      </c>
      <c r="P28" s="2">
        <v>0.96</v>
      </c>
      <c r="Q28" s="2">
        <f t="shared" si="1"/>
        <v>94.886399999999995</v>
      </c>
    </row>
    <row r="29" spans="15:17" x14ac:dyDescent="0.25">
      <c r="O29" s="2">
        <f t="shared" si="2"/>
        <v>98.84</v>
      </c>
      <c r="P29" s="2">
        <v>0.95</v>
      </c>
      <c r="Q29" s="2">
        <f t="shared" si="1"/>
        <v>93.897999999999996</v>
      </c>
    </row>
    <row r="30" spans="15:17" x14ac:dyDescent="0.25">
      <c r="O30" s="2">
        <f t="shared" si="2"/>
        <v>98.84</v>
      </c>
      <c r="P30" s="2">
        <v>0.9</v>
      </c>
      <c r="Q30" s="2">
        <f t="shared" si="1"/>
        <v>88.956000000000003</v>
      </c>
    </row>
  </sheetData>
  <conditionalFormatting sqref="Q7">
    <cfRule type="expression" dxfId="23" priority="2">
      <formula>Q7&gt;0</formula>
    </cfRule>
    <cfRule type="expression" dxfId="22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55</v>
      </c>
      <c r="B2" s="1">
        <v>42214</v>
      </c>
      <c r="C2">
        <v>10</v>
      </c>
      <c r="D2" s="2">
        <v>113.01</v>
      </c>
      <c r="F2" s="2">
        <f>C2*D2</f>
        <v>1130.1000000000001</v>
      </c>
      <c r="L2" t="s">
        <v>123</v>
      </c>
      <c r="O2" s="20" t="s">
        <v>57</v>
      </c>
      <c r="Q2">
        <f>C10-H10</f>
        <v>10</v>
      </c>
      <c r="U2" s="1">
        <v>42305</v>
      </c>
      <c r="V2" t="s">
        <v>128</v>
      </c>
    </row>
    <row r="3" spans="1:22" x14ac:dyDescent="0.25">
      <c r="A3" s="36" t="s">
        <v>81</v>
      </c>
      <c r="O3" s="20" t="s">
        <v>58</v>
      </c>
      <c r="Q3" s="2">
        <f>(F10-K10)/Q2</f>
        <v>113.01000000000002</v>
      </c>
    </row>
    <row r="4" spans="1:22" x14ac:dyDescent="0.25">
      <c r="O4" s="20" t="s">
        <v>66</v>
      </c>
      <c r="Q4" s="106">
        <v>105.33</v>
      </c>
    </row>
    <row r="5" spans="1:22" x14ac:dyDescent="0.25">
      <c r="O5" s="20" t="s">
        <v>67</v>
      </c>
      <c r="Q5" s="5">
        <f>Q4*Q2</f>
        <v>1053.3</v>
      </c>
    </row>
    <row r="6" spans="1:22" x14ac:dyDescent="0.25">
      <c r="O6" s="20" t="s">
        <v>64</v>
      </c>
      <c r="Q6" s="2">
        <f>Q3*Q2</f>
        <v>1130.1000000000001</v>
      </c>
    </row>
    <row r="7" spans="1:22" x14ac:dyDescent="0.25">
      <c r="O7" s="20" t="s">
        <v>65</v>
      </c>
      <c r="Q7" s="34">
        <f>Q5-Q6</f>
        <v>-76.800000000000182</v>
      </c>
    </row>
    <row r="10" spans="1:22" x14ac:dyDescent="0.25">
      <c r="A10" s="35" t="s">
        <v>114</v>
      </c>
      <c r="B10" s="21"/>
      <c r="C10" s="21">
        <f>SUM(C2:C9)</f>
        <v>10</v>
      </c>
      <c r="D10" s="22"/>
      <c r="E10" s="22"/>
      <c r="F10" s="22">
        <f>SUM(F2:F9)</f>
        <v>1130.1000000000001</v>
      </c>
      <c r="G10" s="21"/>
      <c r="H10" s="21"/>
      <c r="I10" s="21"/>
      <c r="J10" s="21"/>
      <c r="K10" s="21"/>
      <c r="L10" s="21"/>
      <c r="M10" s="21"/>
    </row>
    <row r="11" spans="1:22" x14ac:dyDescent="0.25">
      <c r="A11" s="14"/>
      <c r="B11" s="14"/>
      <c r="C11" s="14"/>
      <c r="D11" s="33"/>
      <c r="E11" s="33"/>
      <c r="F11" s="33"/>
      <c r="G11" s="14"/>
      <c r="H11" s="14"/>
      <c r="I11" s="14"/>
      <c r="J11" s="14"/>
      <c r="K11" s="14"/>
      <c r="L11" s="14"/>
      <c r="M11" s="14"/>
      <c r="N11" s="7"/>
    </row>
    <row r="12" spans="1:22" x14ac:dyDescent="0.25">
      <c r="A12" s="14"/>
      <c r="B12" s="14"/>
      <c r="C12" s="14"/>
      <c r="D12" s="33"/>
      <c r="E12" s="33"/>
      <c r="F12" s="33"/>
      <c r="G12" s="14"/>
      <c r="H12" s="14"/>
      <c r="I12" s="14"/>
      <c r="J12" s="14"/>
      <c r="K12" s="14"/>
      <c r="L12" s="14"/>
      <c r="M12" s="14"/>
      <c r="N12" s="7"/>
    </row>
    <row r="16" spans="1:22" x14ac:dyDescent="0.25">
      <c r="P16" t="s">
        <v>89</v>
      </c>
    </row>
    <row r="17" spans="15:17" x14ac:dyDescent="0.25">
      <c r="O17" s="2">
        <f>$Q$4</f>
        <v>105.33</v>
      </c>
      <c r="P17">
        <v>1.1000000000000001</v>
      </c>
      <c r="Q17" s="2">
        <f t="shared" ref="Q17:Q29" si="0">P17*O17</f>
        <v>115.86300000000001</v>
      </c>
    </row>
    <row r="18" spans="15:17" x14ac:dyDescent="0.25">
      <c r="O18" s="2">
        <f>$Q$4</f>
        <v>105.33</v>
      </c>
      <c r="P18">
        <v>1.05</v>
      </c>
      <c r="Q18" s="2">
        <f t="shared" si="0"/>
        <v>110.59650000000001</v>
      </c>
    </row>
    <row r="19" spans="15:17" x14ac:dyDescent="0.25">
      <c r="O19" s="2">
        <f t="shared" ref="O19:O29" si="1">$Q$4</f>
        <v>105.33</v>
      </c>
      <c r="P19">
        <v>1.04</v>
      </c>
      <c r="Q19" s="2">
        <f t="shared" si="0"/>
        <v>109.5432</v>
      </c>
    </row>
    <row r="20" spans="15:17" x14ac:dyDescent="0.25">
      <c r="O20" s="2">
        <f t="shared" si="1"/>
        <v>105.33</v>
      </c>
      <c r="P20" s="2">
        <v>1.03</v>
      </c>
      <c r="Q20" s="2">
        <f t="shared" si="0"/>
        <v>108.48990000000001</v>
      </c>
    </row>
    <row r="21" spans="15:17" x14ac:dyDescent="0.25">
      <c r="O21" s="2">
        <f t="shared" si="1"/>
        <v>105.33</v>
      </c>
      <c r="P21" s="2">
        <v>1.02</v>
      </c>
      <c r="Q21" s="2">
        <f t="shared" si="0"/>
        <v>107.4366</v>
      </c>
    </row>
    <row r="22" spans="15:17" x14ac:dyDescent="0.25">
      <c r="O22" s="2">
        <f t="shared" si="1"/>
        <v>105.33</v>
      </c>
      <c r="P22" s="2">
        <v>1.01</v>
      </c>
      <c r="Q22" s="2">
        <f t="shared" si="0"/>
        <v>106.38330000000001</v>
      </c>
    </row>
    <row r="23" spans="15:17" x14ac:dyDescent="0.25">
      <c r="O23" s="2">
        <f t="shared" si="1"/>
        <v>105.33</v>
      </c>
      <c r="P23" s="2">
        <v>1</v>
      </c>
      <c r="Q23" s="2">
        <f t="shared" si="0"/>
        <v>105.33</v>
      </c>
    </row>
    <row r="24" spans="15:17" x14ac:dyDescent="0.25">
      <c r="O24" s="2">
        <f t="shared" si="1"/>
        <v>105.33</v>
      </c>
      <c r="P24" s="2">
        <v>0.99</v>
      </c>
      <c r="Q24" s="2">
        <f t="shared" si="0"/>
        <v>104.27669999999999</v>
      </c>
    </row>
    <row r="25" spans="15:17" x14ac:dyDescent="0.25">
      <c r="O25" s="2">
        <f t="shared" si="1"/>
        <v>105.33</v>
      </c>
      <c r="P25" s="2">
        <v>0.98</v>
      </c>
      <c r="Q25" s="2">
        <f t="shared" si="0"/>
        <v>103.2234</v>
      </c>
    </row>
    <row r="26" spans="15:17" x14ac:dyDescent="0.25">
      <c r="O26" s="2">
        <f t="shared" si="1"/>
        <v>105.33</v>
      </c>
      <c r="P26" s="2">
        <v>0.97</v>
      </c>
      <c r="Q26" s="2">
        <f t="shared" si="0"/>
        <v>102.17009999999999</v>
      </c>
    </row>
    <row r="27" spans="15:17" x14ac:dyDescent="0.25">
      <c r="O27" s="2">
        <f t="shared" si="1"/>
        <v>105.33</v>
      </c>
      <c r="P27" s="2">
        <v>0.96</v>
      </c>
      <c r="Q27" s="2">
        <f t="shared" si="0"/>
        <v>101.1168</v>
      </c>
    </row>
    <row r="28" spans="15:17" x14ac:dyDescent="0.25">
      <c r="O28" s="2">
        <f t="shared" si="1"/>
        <v>105.33</v>
      </c>
      <c r="P28" s="2">
        <v>0.95</v>
      </c>
      <c r="Q28" s="2">
        <f t="shared" si="0"/>
        <v>100.06349999999999</v>
      </c>
    </row>
    <row r="29" spans="15:17" x14ac:dyDescent="0.25">
      <c r="O29" s="2">
        <f t="shared" si="1"/>
        <v>105.33</v>
      </c>
      <c r="P29" s="2">
        <v>0.9</v>
      </c>
      <c r="Q29" s="2">
        <f t="shared" si="0"/>
        <v>94.796999999999997</v>
      </c>
    </row>
  </sheetData>
  <conditionalFormatting sqref="Q7">
    <cfRule type="expression" dxfId="21" priority="2">
      <formula>Q7&gt;0</formula>
    </cfRule>
    <cfRule type="expression" dxfId="20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53</v>
      </c>
      <c r="B2" s="1">
        <v>42214</v>
      </c>
      <c r="C2">
        <v>15</v>
      </c>
      <c r="D2" s="2">
        <v>47.8</v>
      </c>
      <c r="F2" s="2">
        <f>C2*D2</f>
        <v>717</v>
      </c>
      <c r="K2">
        <f>H2*I2</f>
        <v>0</v>
      </c>
      <c r="O2" s="20" t="s">
        <v>57</v>
      </c>
      <c r="Q2">
        <f>C5-H5</f>
        <v>35</v>
      </c>
      <c r="U2" s="1">
        <v>42318</v>
      </c>
      <c r="V2" t="s">
        <v>128</v>
      </c>
    </row>
    <row r="3" spans="1:22" x14ac:dyDescent="0.25">
      <c r="A3" s="36" t="s">
        <v>81</v>
      </c>
      <c r="B3" s="1">
        <v>42233</v>
      </c>
      <c r="C3">
        <v>20</v>
      </c>
      <c r="D3" s="2">
        <v>47.5</v>
      </c>
      <c r="F3" s="2">
        <f>C3*D3</f>
        <v>950</v>
      </c>
      <c r="O3" s="20" t="s">
        <v>58</v>
      </c>
      <c r="Q3" s="2">
        <f>(F5-K5)/Q2</f>
        <v>47.628571428571426</v>
      </c>
    </row>
    <row r="4" spans="1:22" x14ac:dyDescent="0.25">
      <c r="O4" s="20" t="s">
        <v>66</v>
      </c>
      <c r="Q4" s="106">
        <v>45.17</v>
      </c>
    </row>
    <row r="5" spans="1:22" x14ac:dyDescent="0.25">
      <c r="A5" s="35" t="s">
        <v>114</v>
      </c>
      <c r="B5" s="35"/>
      <c r="C5" s="35">
        <f>SUM(C2:C3)</f>
        <v>35</v>
      </c>
      <c r="D5" s="67"/>
      <c r="E5" s="67"/>
      <c r="F5" s="67">
        <f>SUM(F2:F3)</f>
        <v>1667</v>
      </c>
      <c r="G5" s="35"/>
      <c r="H5" s="35">
        <f>SUM(H2:H4)</f>
        <v>0</v>
      </c>
      <c r="I5" s="35"/>
      <c r="J5" s="35"/>
      <c r="K5" s="35">
        <f>SUM(K2:K4)</f>
        <v>0</v>
      </c>
      <c r="L5" s="35"/>
      <c r="M5" s="35"/>
      <c r="O5" s="20" t="s">
        <v>67</v>
      </c>
      <c r="Q5" s="5">
        <f>Q4*Q2</f>
        <v>1580.95</v>
      </c>
    </row>
    <row r="6" spans="1:22" x14ac:dyDescent="0.25">
      <c r="O6" s="20" t="s">
        <v>64</v>
      </c>
      <c r="Q6" s="2">
        <f>Q3*Q2</f>
        <v>1667</v>
      </c>
    </row>
    <row r="7" spans="1:22" x14ac:dyDescent="0.25">
      <c r="O7" s="20" t="s">
        <v>65</v>
      </c>
      <c r="Q7" s="2">
        <f>Q5-Q6</f>
        <v>-86.049999999999955</v>
      </c>
    </row>
    <row r="17" spans="15:17" x14ac:dyDescent="0.25">
      <c r="P17" t="s">
        <v>89</v>
      </c>
    </row>
    <row r="18" spans="15:17" x14ac:dyDescent="0.25">
      <c r="O18" s="2">
        <f>$Q$4</f>
        <v>45.17</v>
      </c>
      <c r="P18">
        <v>1.1000000000000001</v>
      </c>
      <c r="Q18" s="2">
        <f t="shared" ref="Q18:Q30" si="0">P18*O18</f>
        <v>49.687000000000005</v>
      </c>
    </row>
    <row r="19" spans="15:17" x14ac:dyDescent="0.25">
      <c r="O19" s="2">
        <f>$Q$4</f>
        <v>45.17</v>
      </c>
      <c r="P19">
        <v>1.05</v>
      </c>
      <c r="Q19" s="2">
        <f t="shared" si="0"/>
        <v>47.428500000000007</v>
      </c>
    </row>
    <row r="20" spans="15:17" x14ac:dyDescent="0.25">
      <c r="O20" s="2">
        <f t="shared" ref="O20:O30" si="1">$Q$4</f>
        <v>45.17</v>
      </c>
      <c r="P20">
        <v>1.04</v>
      </c>
      <c r="Q20" s="2">
        <f t="shared" si="0"/>
        <v>46.976800000000004</v>
      </c>
    </row>
    <row r="21" spans="15:17" x14ac:dyDescent="0.25">
      <c r="O21" s="2">
        <f t="shared" si="1"/>
        <v>45.17</v>
      </c>
      <c r="P21" s="2">
        <v>1.03</v>
      </c>
      <c r="Q21" s="2">
        <f t="shared" si="0"/>
        <v>46.525100000000002</v>
      </c>
    </row>
    <row r="22" spans="15:17" x14ac:dyDescent="0.25">
      <c r="O22" s="2">
        <f t="shared" si="1"/>
        <v>45.17</v>
      </c>
      <c r="P22" s="2">
        <v>1.02</v>
      </c>
      <c r="Q22" s="2">
        <f t="shared" si="0"/>
        <v>46.073399999999999</v>
      </c>
    </row>
    <row r="23" spans="15:17" x14ac:dyDescent="0.25">
      <c r="O23" s="2">
        <f t="shared" si="1"/>
        <v>45.17</v>
      </c>
      <c r="P23" s="2">
        <v>1.01</v>
      </c>
      <c r="Q23" s="2">
        <f t="shared" si="0"/>
        <v>45.621700000000004</v>
      </c>
    </row>
    <row r="24" spans="15:17" x14ac:dyDescent="0.25">
      <c r="O24" s="2">
        <f t="shared" si="1"/>
        <v>45.17</v>
      </c>
      <c r="P24" s="2">
        <v>1</v>
      </c>
      <c r="Q24" s="2">
        <f t="shared" si="0"/>
        <v>45.17</v>
      </c>
    </row>
    <row r="25" spans="15:17" x14ac:dyDescent="0.25">
      <c r="O25" s="2">
        <f t="shared" si="1"/>
        <v>45.17</v>
      </c>
      <c r="P25" s="2">
        <v>0.99</v>
      </c>
      <c r="Q25" s="2">
        <f t="shared" si="0"/>
        <v>44.718299999999999</v>
      </c>
    </row>
    <row r="26" spans="15:17" x14ac:dyDescent="0.25">
      <c r="O26" s="2">
        <f t="shared" si="1"/>
        <v>45.17</v>
      </c>
      <c r="P26" s="2">
        <v>0.98</v>
      </c>
      <c r="Q26" s="2">
        <f t="shared" si="0"/>
        <v>44.266600000000004</v>
      </c>
    </row>
    <row r="27" spans="15:17" x14ac:dyDescent="0.25">
      <c r="O27" s="2">
        <f t="shared" si="1"/>
        <v>45.17</v>
      </c>
      <c r="P27" s="2">
        <v>0.97</v>
      </c>
      <c r="Q27" s="2">
        <f t="shared" si="0"/>
        <v>43.814900000000002</v>
      </c>
    </row>
    <row r="28" spans="15:17" x14ac:dyDescent="0.25">
      <c r="O28" s="2">
        <f t="shared" si="1"/>
        <v>45.17</v>
      </c>
      <c r="P28" s="2">
        <v>0.96</v>
      </c>
      <c r="Q28" s="2">
        <f t="shared" si="0"/>
        <v>43.363199999999999</v>
      </c>
    </row>
    <row r="29" spans="15:17" x14ac:dyDescent="0.25">
      <c r="O29" s="2">
        <f t="shared" si="1"/>
        <v>45.17</v>
      </c>
      <c r="P29" s="2">
        <v>0.95</v>
      </c>
      <c r="Q29" s="2">
        <f t="shared" si="0"/>
        <v>42.911499999999997</v>
      </c>
    </row>
    <row r="30" spans="15:17" x14ac:dyDescent="0.25">
      <c r="O30" s="2">
        <f t="shared" si="1"/>
        <v>45.17</v>
      </c>
      <c r="P30" s="2">
        <v>0.9</v>
      </c>
      <c r="Q30" s="2">
        <f t="shared" si="0"/>
        <v>40.653000000000006</v>
      </c>
    </row>
  </sheetData>
  <conditionalFormatting sqref="Q7">
    <cfRule type="expression" dxfId="19" priority="2">
      <formula>Q7&gt;0</formula>
    </cfRule>
    <cfRule type="expression" dxfId="18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56</v>
      </c>
      <c r="B2" s="123">
        <v>42220</v>
      </c>
      <c r="C2">
        <v>40</v>
      </c>
      <c r="D2" s="2">
        <v>31.78</v>
      </c>
      <c r="F2" s="2">
        <f>C2*D2</f>
        <v>1271.2</v>
      </c>
      <c r="G2" s="1">
        <v>42235</v>
      </c>
      <c r="H2" s="10">
        <v>100</v>
      </c>
      <c r="I2" s="10">
        <v>31.5</v>
      </c>
      <c r="J2" s="10"/>
      <c r="K2" s="10">
        <f>H2*I2</f>
        <v>3150</v>
      </c>
      <c r="O2" s="20" t="s">
        <v>57</v>
      </c>
      <c r="Q2">
        <f>C6-H6</f>
        <v>40</v>
      </c>
      <c r="T2" s="1">
        <v>42300</v>
      </c>
      <c r="U2" t="s">
        <v>128</v>
      </c>
    </row>
    <row r="3" spans="1:21" x14ac:dyDescent="0.25">
      <c r="A3" s="36" t="s">
        <v>81</v>
      </c>
      <c r="B3" s="123"/>
      <c r="C3" s="10">
        <v>60</v>
      </c>
      <c r="D3" s="25">
        <v>31.78</v>
      </c>
      <c r="E3" s="25"/>
      <c r="F3" s="25">
        <f>C3*D3</f>
        <v>1906.8000000000002</v>
      </c>
      <c r="G3" s="1"/>
      <c r="O3" s="20" t="s">
        <v>58</v>
      </c>
      <c r="Q3" s="2">
        <f>(F6-K6)/Q2</f>
        <v>30.987500000000001</v>
      </c>
      <c r="T3" t="s">
        <v>142</v>
      </c>
    </row>
    <row r="4" spans="1:21" x14ac:dyDescent="0.25">
      <c r="B4" s="1">
        <v>42221</v>
      </c>
      <c r="C4" s="10">
        <v>10</v>
      </c>
      <c r="D4" s="25">
        <v>31.45</v>
      </c>
      <c r="E4" s="25"/>
      <c r="F4" s="25">
        <f t="shared" ref="F4:F5" si="0">C4*D4</f>
        <v>314.5</v>
      </c>
      <c r="O4" s="20" t="s">
        <v>66</v>
      </c>
      <c r="Q4" s="106">
        <v>29.6</v>
      </c>
    </row>
    <row r="5" spans="1:21" x14ac:dyDescent="0.25">
      <c r="B5" s="1">
        <v>42233</v>
      </c>
      <c r="C5" s="10">
        <v>30</v>
      </c>
      <c r="D5" s="25">
        <v>29.9</v>
      </c>
      <c r="E5" s="25"/>
      <c r="F5" s="25">
        <f t="shared" si="0"/>
        <v>897</v>
      </c>
      <c r="O5" s="20" t="s">
        <v>67</v>
      </c>
      <c r="Q5" s="5">
        <f>Q4*Q2</f>
        <v>1184</v>
      </c>
    </row>
    <row r="6" spans="1:21" x14ac:dyDescent="0.25">
      <c r="A6" s="35" t="s">
        <v>114</v>
      </c>
      <c r="B6" s="21"/>
      <c r="C6" s="21">
        <f>SUM(C2:C5)</f>
        <v>140</v>
      </c>
      <c r="D6" s="22"/>
      <c r="E6" s="22"/>
      <c r="F6" s="22">
        <f>SUM(F2:F5)</f>
        <v>4389.5</v>
      </c>
      <c r="G6" s="21"/>
      <c r="H6" s="21">
        <f>SUM(H2:H5)</f>
        <v>100</v>
      </c>
      <c r="I6" s="21"/>
      <c r="J6" s="21"/>
      <c r="K6" s="21">
        <f>SUM(K2:K5)</f>
        <v>3150</v>
      </c>
      <c r="L6" s="21"/>
      <c r="M6" s="21"/>
      <c r="O6" s="20" t="s">
        <v>64</v>
      </c>
      <c r="Q6" s="2">
        <f>Q3*Q2</f>
        <v>1239.5</v>
      </c>
    </row>
    <row r="7" spans="1:21" x14ac:dyDescent="0.25">
      <c r="O7" s="20" t="s">
        <v>65</v>
      </c>
      <c r="Q7" s="2">
        <f>Q5-Q6</f>
        <v>-55.5</v>
      </c>
    </row>
    <row r="21" spans="15:17" x14ac:dyDescent="0.25">
      <c r="P21" t="s">
        <v>89</v>
      </c>
    </row>
    <row r="22" spans="15:17" x14ac:dyDescent="0.25">
      <c r="O22" s="2">
        <f>$Q$4</f>
        <v>29.6</v>
      </c>
      <c r="P22">
        <v>1.1000000000000001</v>
      </c>
      <c r="Q22" s="2">
        <f t="shared" ref="Q22:Q34" si="1">P22*O22</f>
        <v>32.56</v>
      </c>
    </row>
    <row r="23" spans="15:17" x14ac:dyDescent="0.25">
      <c r="O23" s="2">
        <f>$Q$4</f>
        <v>29.6</v>
      </c>
      <c r="P23">
        <v>1.05</v>
      </c>
      <c r="Q23" s="2">
        <f t="shared" si="1"/>
        <v>31.080000000000002</v>
      </c>
    </row>
    <row r="24" spans="15:17" x14ac:dyDescent="0.25">
      <c r="O24" s="2">
        <f t="shared" ref="O24:O34" si="2">$Q$4</f>
        <v>29.6</v>
      </c>
      <c r="P24">
        <v>1.04</v>
      </c>
      <c r="Q24" s="2">
        <f t="shared" si="1"/>
        <v>30.784000000000002</v>
      </c>
    </row>
    <row r="25" spans="15:17" x14ac:dyDescent="0.25">
      <c r="O25" s="2">
        <f t="shared" si="2"/>
        <v>29.6</v>
      </c>
      <c r="P25" s="2">
        <v>1.03</v>
      </c>
      <c r="Q25" s="2">
        <f t="shared" si="1"/>
        <v>30.488000000000003</v>
      </c>
    </row>
    <row r="26" spans="15:17" x14ac:dyDescent="0.25">
      <c r="O26" s="2">
        <f t="shared" si="2"/>
        <v>29.6</v>
      </c>
      <c r="P26" s="2">
        <v>1.02</v>
      </c>
      <c r="Q26" s="2">
        <f t="shared" si="1"/>
        <v>30.192000000000004</v>
      </c>
    </row>
    <row r="27" spans="15:17" x14ac:dyDescent="0.25">
      <c r="O27" s="2">
        <f t="shared" si="2"/>
        <v>29.6</v>
      </c>
      <c r="P27" s="2">
        <v>1.01</v>
      </c>
      <c r="Q27" s="2">
        <f t="shared" si="1"/>
        <v>29.896000000000001</v>
      </c>
    </row>
    <row r="28" spans="15:17" x14ac:dyDescent="0.25">
      <c r="O28" s="2">
        <f t="shared" si="2"/>
        <v>29.6</v>
      </c>
      <c r="P28" s="2">
        <v>1</v>
      </c>
      <c r="Q28" s="2">
        <f t="shared" si="1"/>
        <v>29.6</v>
      </c>
    </row>
    <row r="29" spans="15:17" x14ac:dyDescent="0.25">
      <c r="O29" s="2">
        <f t="shared" si="2"/>
        <v>29.6</v>
      </c>
      <c r="P29" s="2">
        <v>0.99</v>
      </c>
      <c r="Q29" s="2">
        <f t="shared" si="1"/>
        <v>29.304000000000002</v>
      </c>
    </row>
    <row r="30" spans="15:17" x14ac:dyDescent="0.25">
      <c r="O30" s="2">
        <f t="shared" si="2"/>
        <v>29.6</v>
      </c>
      <c r="P30" s="2">
        <v>0.98</v>
      </c>
      <c r="Q30" s="2">
        <f t="shared" si="1"/>
        <v>29.007999999999999</v>
      </c>
    </row>
    <row r="31" spans="15:17" x14ac:dyDescent="0.25">
      <c r="O31" s="2">
        <f t="shared" si="2"/>
        <v>29.6</v>
      </c>
      <c r="P31" s="2">
        <v>0.97</v>
      </c>
      <c r="Q31" s="2">
        <f t="shared" si="1"/>
        <v>28.712</v>
      </c>
    </row>
    <row r="32" spans="15:17" x14ac:dyDescent="0.25">
      <c r="O32" s="2">
        <f t="shared" si="2"/>
        <v>29.6</v>
      </c>
      <c r="P32" s="2">
        <v>0.96</v>
      </c>
      <c r="Q32" s="2">
        <f t="shared" si="1"/>
        <v>28.416</v>
      </c>
    </row>
    <row r="33" spans="4:17" x14ac:dyDescent="0.25">
      <c r="O33" s="2">
        <f t="shared" si="2"/>
        <v>29.6</v>
      </c>
      <c r="P33" s="2">
        <v>0.95</v>
      </c>
      <c r="Q33" s="2">
        <f t="shared" si="1"/>
        <v>28.12</v>
      </c>
    </row>
    <row r="34" spans="4:17" x14ac:dyDescent="0.25">
      <c r="O34" s="2">
        <f t="shared" si="2"/>
        <v>29.6</v>
      </c>
      <c r="P34" s="2">
        <v>0.9</v>
      </c>
      <c r="Q34" s="2">
        <f t="shared" si="1"/>
        <v>26.64</v>
      </c>
    </row>
    <row r="40" spans="4:17" x14ac:dyDescent="0.25">
      <c r="D40"/>
      <c r="E40"/>
    </row>
  </sheetData>
  <mergeCells count="1">
    <mergeCell ref="B2:B3"/>
  </mergeCells>
  <conditionalFormatting sqref="Q7">
    <cfRule type="expression" dxfId="17" priority="2">
      <formula>Q7&gt;0</formula>
    </cfRule>
    <cfRule type="expression" dxfId="16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20" customFormat="1" x14ac:dyDescent="0.25">
      <c r="A1" s="34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44</v>
      </c>
      <c r="B2" s="1">
        <v>42185</v>
      </c>
      <c r="C2" s="10">
        <v>10</v>
      </c>
      <c r="D2" s="25">
        <v>71.2</v>
      </c>
      <c r="E2" s="25"/>
      <c r="F2" s="25">
        <f>C2*D2</f>
        <v>712</v>
      </c>
      <c r="G2" s="1">
        <v>42228</v>
      </c>
      <c r="H2" s="10">
        <v>10</v>
      </c>
      <c r="I2" s="25">
        <v>75.5</v>
      </c>
      <c r="J2" s="25"/>
      <c r="K2" s="25">
        <f>H2*I2</f>
        <v>755</v>
      </c>
      <c r="O2" s="20" t="s">
        <v>57</v>
      </c>
      <c r="Q2">
        <f>C4-H4</f>
        <v>5</v>
      </c>
      <c r="U2" s="1">
        <v>42309</v>
      </c>
      <c r="V2" t="s">
        <v>128</v>
      </c>
    </row>
    <row r="3" spans="1:22" x14ac:dyDescent="0.25">
      <c r="A3" s="36" t="s">
        <v>81</v>
      </c>
      <c r="B3" s="1">
        <v>42220</v>
      </c>
      <c r="C3">
        <v>5</v>
      </c>
      <c r="D3" s="2">
        <v>70.650000000000006</v>
      </c>
      <c r="F3" s="2">
        <f>C3*D3</f>
        <v>353.25</v>
      </c>
      <c r="K3" s="93"/>
      <c r="O3" s="20" t="s">
        <v>58</v>
      </c>
      <c r="Q3" s="2">
        <f>(F4-K4)/Q2</f>
        <v>62.05</v>
      </c>
    </row>
    <row r="4" spans="1:22" x14ac:dyDescent="0.25">
      <c r="A4" s="57" t="s">
        <v>114</v>
      </c>
      <c r="B4" s="24"/>
      <c r="C4" s="24">
        <f>SUM(C2:C3)</f>
        <v>15</v>
      </c>
      <c r="D4" s="31"/>
      <c r="E4" s="31"/>
      <c r="F4" s="31">
        <f>SUM(F2:F3)</f>
        <v>1065.25</v>
      </c>
      <c r="G4" s="24"/>
      <c r="H4" s="24">
        <f>SUM(H2:H3)</f>
        <v>10</v>
      </c>
      <c r="I4" s="31"/>
      <c r="J4" s="31"/>
      <c r="K4" s="31">
        <f>SUM(K2:K3)</f>
        <v>755</v>
      </c>
      <c r="L4" s="24"/>
      <c r="M4" s="24"/>
      <c r="O4" s="20" t="s">
        <v>66</v>
      </c>
      <c r="Q4" s="106">
        <v>71.62</v>
      </c>
    </row>
    <row r="5" spans="1:22" x14ac:dyDescent="0.25">
      <c r="O5" s="20" t="s">
        <v>67</v>
      </c>
      <c r="Q5" s="5">
        <f>Q4*Q2</f>
        <v>358.1</v>
      </c>
    </row>
    <row r="6" spans="1:22" x14ac:dyDescent="0.25">
      <c r="O6" s="20" t="s">
        <v>64</v>
      </c>
      <c r="Q6" s="2">
        <f>Q3*Q2</f>
        <v>310.25</v>
      </c>
    </row>
    <row r="7" spans="1:22" x14ac:dyDescent="0.25">
      <c r="O7" s="20" t="s">
        <v>65</v>
      </c>
      <c r="Q7" s="2">
        <f>Q5-Q6</f>
        <v>47.850000000000023</v>
      </c>
    </row>
    <row r="16" spans="1:22" x14ac:dyDescent="0.25">
      <c r="P16" t="s">
        <v>89</v>
      </c>
    </row>
    <row r="17" spans="15:17" x14ac:dyDescent="0.25">
      <c r="O17" s="2">
        <f>$Q$4</f>
        <v>71.62</v>
      </c>
      <c r="P17">
        <v>1.1000000000000001</v>
      </c>
      <c r="Q17" s="2">
        <f t="shared" ref="Q17:Q29" si="0">P17*O17</f>
        <v>78.782000000000011</v>
      </c>
    </row>
    <row r="18" spans="15:17" x14ac:dyDescent="0.25">
      <c r="O18" s="2">
        <f>$Q$4</f>
        <v>71.62</v>
      </c>
      <c r="P18">
        <v>1.05</v>
      </c>
      <c r="Q18" s="2">
        <f t="shared" si="0"/>
        <v>75.201000000000008</v>
      </c>
    </row>
    <row r="19" spans="15:17" x14ac:dyDescent="0.25">
      <c r="O19" s="2">
        <f t="shared" ref="O19:O29" si="1">$Q$4</f>
        <v>71.62</v>
      </c>
      <c r="P19">
        <v>1.04</v>
      </c>
      <c r="Q19" s="2">
        <f t="shared" si="0"/>
        <v>74.484800000000007</v>
      </c>
    </row>
    <row r="20" spans="15:17" x14ac:dyDescent="0.25">
      <c r="O20" s="2">
        <f t="shared" si="1"/>
        <v>71.62</v>
      </c>
      <c r="P20" s="2">
        <v>1.03</v>
      </c>
      <c r="Q20" s="2">
        <f t="shared" si="0"/>
        <v>73.768600000000006</v>
      </c>
    </row>
    <row r="21" spans="15:17" x14ac:dyDescent="0.25">
      <c r="O21" s="2">
        <f t="shared" si="1"/>
        <v>71.62</v>
      </c>
      <c r="P21" s="2">
        <v>1.02</v>
      </c>
      <c r="Q21" s="2">
        <f t="shared" si="0"/>
        <v>73.052400000000006</v>
      </c>
    </row>
    <row r="22" spans="15:17" x14ac:dyDescent="0.25">
      <c r="O22" s="2">
        <f t="shared" si="1"/>
        <v>71.62</v>
      </c>
      <c r="P22" s="2">
        <v>1.01</v>
      </c>
      <c r="Q22" s="2">
        <f t="shared" si="0"/>
        <v>72.336200000000005</v>
      </c>
    </row>
    <row r="23" spans="15:17" x14ac:dyDescent="0.25">
      <c r="O23" s="2">
        <f t="shared" si="1"/>
        <v>71.62</v>
      </c>
      <c r="P23" s="2">
        <v>1</v>
      </c>
      <c r="Q23" s="2">
        <f t="shared" si="0"/>
        <v>71.62</v>
      </c>
    </row>
    <row r="24" spans="15:17" x14ac:dyDescent="0.25">
      <c r="O24" s="2">
        <f t="shared" si="1"/>
        <v>71.62</v>
      </c>
      <c r="P24" s="2">
        <v>0.99</v>
      </c>
      <c r="Q24" s="2">
        <f t="shared" si="0"/>
        <v>70.903800000000004</v>
      </c>
    </row>
    <row r="25" spans="15:17" x14ac:dyDescent="0.25">
      <c r="O25" s="2">
        <f t="shared" si="1"/>
        <v>71.62</v>
      </c>
      <c r="P25" s="2">
        <v>0.98</v>
      </c>
      <c r="Q25" s="2">
        <f t="shared" si="0"/>
        <v>70.187600000000003</v>
      </c>
    </row>
    <row r="26" spans="15:17" x14ac:dyDescent="0.25">
      <c r="O26" s="2">
        <f t="shared" si="1"/>
        <v>71.62</v>
      </c>
      <c r="P26" s="2">
        <v>0.97</v>
      </c>
      <c r="Q26" s="2">
        <f t="shared" si="0"/>
        <v>69.471400000000003</v>
      </c>
    </row>
    <row r="27" spans="15:17" x14ac:dyDescent="0.25">
      <c r="O27" s="2">
        <f t="shared" si="1"/>
        <v>71.62</v>
      </c>
      <c r="P27" s="2">
        <v>0.96</v>
      </c>
      <c r="Q27" s="2">
        <f t="shared" si="0"/>
        <v>68.755200000000002</v>
      </c>
    </row>
    <row r="28" spans="15:17" x14ac:dyDescent="0.25">
      <c r="O28" s="2">
        <f t="shared" si="1"/>
        <v>71.62</v>
      </c>
      <c r="P28" s="2">
        <v>0.95</v>
      </c>
      <c r="Q28" s="2">
        <f t="shared" si="0"/>
        <v>68.039000000000001</v>
      </c>
    </row>
    <row r="29" spans="15:17" x14ac:dyDescent="0.25">
      <c r="O29" s="2">
        <f t="shared" si="1"/>
        <v>71.62</v>
      </c>
      <c r="P29" s="2">
        <v>0.9</v>
      </c>
      <c r="Q29" s="2">
        <f t="shared" si="0"/>
        <v>64.458000000000013</v>
      </c>
    </row>
  </sheetData>
  <conditionalFormatting sqref="Q7">
    <cfRule type="expression" dxfId="15" priority="2">
      <formula>Q7&gt;0</formula>
    </cfRule>
    <cfRule type="expression" dxfId="14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F1" s="20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39</v>
      </c>
      <c r="B2" s="1">
        <v>42179</v>
      </c>
      <c r="C2">
        <v>10</v>
      </c>
      <c r="D2">
        <v>37.799999999999997</v>
      </c>
      <c r="F2">
        <f>C2*D2</f>
        <v>378</v>
      </c>
      <c r="O2" s="20" t="s">
        <v>57</v>
      </c>
      <c r="Q2">
        <f>C8-H8</f>
        <v>80</v>
      </c>
      <c r="U2" s="1">
        <v>42305</v>
      </c>
      <c r="V2" t="s">
        <v>128</v>
      </c>
    </row>
    <row r="3" spans="1:22" x14ac:dyDescent="0.25">
      <c r="A3" s="36" t="s">
        <v>81</v>
      </c>
      <c r="B3" s="1">
        <v>42194</v>
      </c>
      <c r="C3">
        <v>10</v>
      </c>
      <c r="D3">
        <v>35.5</v>
      </c>
      <c r="F3">
        <f>C3*D3</f>
        <v>355</v>
      </c>
      <c r="O3" s="20" t="s">
        <v>58</v>
      </c>
      <c r="Q3" s="2">
        <f>(F8-K8)/Q2</f>
        <v>33.587499999999999</v>
      </c>
    </row>
    <row r="4" spans="1:22" x14ac:dyDescent="0.25">
      <c r="B4" s="1">
        <v>42230</v>
      </c>
      <c r="C4">
        <v>20</v>
      </c>
      <c r="D4">
        <v>32.9</v>
      </c>
      <c r="F4">
        <f>C4*D4</f>
        <v>658</v>
      </c>
      <c r="O4" s="20" t="s">
        <v>66</v>
      </c>
      <c r="Q4" s="106">
        <v>31.22</v>
      </c>
    </row>
    <row r="5" spans="1:22" x14ac:dyDescent="0.25">
      <c r="B5" s="1">
        <v>42240</v>
      </c>
      <c r="C5">
        <v>40</v>
      </c>
      <c r="D5">
        <v>32.4</v>
      </c>
      <c r="F5">
        <f t="shared" ref="F5:F7" si="0">C5*D5</f>
        <v>1296</v>
      </c>
      <c r="O5" s="20" t="s">
        <v>67</v>
      </c>
      <c r="Q5" s="5">
        <f>Q4*Q2</f>
        <v>2497.6</v>
      </c>
    </row>
    <row r="6" spans="1:22" x14ac:dyDescent="0.25">
      <c r="F6">
        <f t="shared" si="0"/>
        <v>0</v>
      </c>
      <c r="O6" s="20" t="s">
        <v>64</v>
      </c>
      <c r="Q6" s="2">
        <f>Q3*Q2</f>
        <v>2687</v>
      </c>
    </row>
    <row r="7" spans="1:22" x14ac:dyDescent="0.25">
      <c r="F7">
        <f t="shared" si="0"/>
        <v>0</v>
      </c>
      <c r="O7" s="20" t="s">
        <v>65</v>
      </c>
      <c r="Q7" s="2">
        <f>Q5-Q6+M8</f>
        <v>-189.40000000000009</v>
      </c>
    </row>
    <row r="8" spans="1:22" x14ac:dyDescent="0.25">
      <c r="A8" s="57" t="s">
        <v>114</v>
      </c>
      <c r="B8" s="24"/>
      <c r="C8" s="24">
        <f>SUM(C2:C7)</f>
        <v>80</v>
      </c>
      <c r="D8" s="24"/>
      <c r="E8" s="24"/>
      <c r="F8" s="24">
        <f>SUM(F2:F7)</f>
        <v>2687</v>
      </c>
      <c r="G8" s="24"/>
      <c r="H8" s="24">
        <f>SUM(H2:H4)</f>
        <v>0</v>
      </c>
      <c r="I8" s="24"/>
      <c r="J8" s="24"/>
      <c r="K8" s="24">
        <f>SUM(K2:K4)</f>
        <v>0</v>
      </c>
      <c r="L8" s="24"/>
      <c r="M8" s="24"/>
    </row>
    <row r="20" spans="15:18" x14ac:dyDescent="0.25">
      <c r="P20" t="s">
        <v>89</v>
      </c>
    </row>
    <row r="21" spans="15:18" x14ac:dyDescent="0.25">
      <c r="O21" s="2">
        <f>$Q$4</f>
        <v>31.22</v>
      </c>
      <c r="P21">
        <v>1.1000000000000001</v>
      </c>
      <c r="Q21" s="2">
        <f t="shared" ref="Q21:Q33" si="1">P21*O21</f>
        <v>34.341999999999999</v>
      </c>
      <c r="R21" t="s">
        <v>140</v>
      </c>
    </row>
    <row r="22" spans="15:18" x14ac:dyDescent="0.25">
      <c r="O22" s="2">
        <f>$Q$4</f>
        <v>31.22</v>
      </c>
      <c r="P22">
        <v>1.05</v>
      </c>
      <c r="Q22" s="2">
        <f t="shared" si="1"/>
        <v>32.780999999999999</v>
      </c>
    </row>
    <row r="23" spans="15:18" x14ac:dyDescent="0.25">
      <c r="O23" s="2">
        <f t="shared" ref="O23:O33" si="2">$Q$4</f>
        <v>31.22</v>
      </c>
      <c r="P23">
        <v>1.04</v>
      </c>
      <c r="Q23" s="2">
        <f t="shared" si="1"/>
        <v>32.468800000000002</v>
      </c>
    </row>
    <row r="24" spans="15:18" x14ac:dyDescent="0.25">
      <c r="O24" s="2">
        <f t="shared" si="2"/>
        <v>31.22</v>
      </c>
      <c r="P24" s="2">
        <v>1.03</v>
      </c>
      <c r="Q24" s="2">
        <f t="shared" si="1"/>
        <v>32.156599999999997</v>
      </c>
    </row>
    <row r="25" spans="15:18" x14ac:dyDescent="0.25">
      <c r="O25" s="2">
        <f t="shared" si="2"/>
        <v>31.22</v>
      </c>
      <c r="P25" s="2">
        <v>1.02</v>
      </c>
      <c r="Q25" s="2">
        <f t="shared" si="1"/>
        <v>31.8444</v>
      </c>
    </row>
    <row r="26" spans="15:18" x14ac:dyDescent="0.25">
      <c r="O26" s="2">
        <f t="shared" si="2"/>
        <v>31.22</v>
      </c>
      <c r="P26" s="2">
        <v>1.01</v>
      </c>
      <c r="Q26" s="2">
        <f t="shared" si="1"/>
        <v>31.5322</v>
      </c>
    </row>
    <row r="27" spans="15:18" x14ac:dyDescent="0.25">
      <c r="O27" s="2">
        <f t="shared" si="2"/>
        <v>31.22</v>
      </c>
      <c r="P27" s="2">
        <v>1</v>
      </c>
      <c r="Q27" s="2">
        <f t="shared" si="1"/>
        <v>31.22</v>
      </c>
    </row>
    <row r="28" spans="15:18" x14ac:dyDescent="0.25">
      <c r="O28" s="2">
        <f t="shared" si="2"/>
        <v>31.22</v>
      </c>
      <c r="P28" s="2">
        <v>0.99</v>
      </c>
      <c r="Q28" s="2">
        <f t="shared" si="1"/>
        <v>30.907799999999998</v>
      </c>
    </row>
    <row r="29" spans="15:18" x14ac:dyDescent="0.25">
      <c r="O29" s="2">
        <f t="shared" si="2"/>
        <v>31.22</v>
      </c>
      <c r="P29" s="2">
        <v>0.98</v>
      </c>
      <c r="Q29" s="2">
        <f t="shared" si="1"/>
        <v>30.595599999999997</v>
      </c>
      <c r="R29" t="s">
        <v>125</v>
      </c>
    </row>
    <row r="30" spans="15:18" x14ac:dyDescent="0.25">
      <c r="O30" s="2">
        <f t="shared" si="2"/>
        <v>31.22</v>
      </c>
      <c r="P30" s="2">
        <v>0.97</v>
      </c>
      <c r="Q30" s="2">
        <f t="shared" si="1"/>
        <v>30.283399999999997</v>
      </c>
    </row>
    <row r="31" spans="15:18" x14ac:dyDescent="0.25">
      <c r="O31" s="2">
        <f t="shared" si="2"/>
        <v>31.22</v>
      </c>
      <c r="P31" s="2">
        <v>0.96</v>
      </c>
      <c r="Q31" s="2">
        <f t="shared" si="1"/>
        <v>29.971199999999996</v>
      </c>
    </row>
    <row r="32" spans="15:18" x14ac:dyDescent="0.25">
      <c r="O32" s="2">
        <f t="shared" si="2"/>
        <v>31.22</v>
      </c>
      <c r="P32" s="2">
        <v>0.95</v>
      </c>
      <c r="Q32" s="2">
        <f t="shared" si="1"/>
        <v>29.658999999999999</v>
      </c>
    </row>
    <row r="33" spans="15:17" x14ac:dyDescent="0.25">
      <c r="O33" s="2">
        <f t="shared" si="2"/>
        <v>31.22</v>
      </c>
      <c r="P33" s="2">
        <v>0.9</v>
      </c>
      <c r="Q33" s="2">
        <f t="shared" si="1"/>
        <v>28.097999999999999</v>
      </c>
    </row>
  </sheetData>
  <conditionalFormatting sqref="Q7">
    <cfRule type="expression" dxfId="13" priority="2">
      <formula>Q7&gt;0</formula>
    </cfRule>
    <cfRule type="expression" dxfId="12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32"/>
  <sheetViews>
    <sheetView workbookViewId="0">
      <selection activeCell="A3" sqref="A3"/>
    </sheetView>
  </sheetViews>
  <sheetFormatPr defaultRowHeight="15" x14ac:dyDescent="0.25"/>
  <cols>
    <col min="4" max="6" width="9.140625" style="2"/>
  </cols>
  <sheetData>
    <row r="1" spans="1:2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J1" s="20"/>
      <c r="K1" s="20" t="s">
        <v>61</v>
      </c>
      <c r="L1" s="20" t="s">
        <v>37</v>
      </c>
      <c r="M1" s="20" t="s">
        <v>38</v>
      </c>
      <c r="T1" t="s">
        <v>74</v>
      </c>
    </row>
    <row r="2" spans="1:21" x14ac:dyDescent="0.25">
      <c r="A2" s="8" t="s">
        <v>54</v>
      </c>
      <c r="B2" s="1">
        <v>42214</v>
      </c>
      <c r="C2">
        <v>10</v>
      </c>
      <c r="D2" s="2">
        <v>99.58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K2">
        <v>995.58</v>
      </c>
      <c r="O2" s="20" t="s">
        <v>57</v>
      </c>
      <c r="Q2">
        <f>C8-H8</f>
        <v>5</v>
      </c>
      <c r="T2" s="1">
        <v>42298</v>
      </c>
      <c r="U2" t="s">
        <v>128</v>
      </c>
    </row>
    <row r="3" spans="1:21" x14ac:dyDescent="0.25">
      <c r="A3" s="36" t="s">
        <v>81</v>
      </c>
      <c r="B3" s="1">
        <v>42219</v>
      </c>
      <c r="C3">
        <v>5</v>
      </c>
      <c r="D3" s="2">
        <v>97.95</v>
      </c>
      <c r="F3" s="2">
        <f>C3*D3</f>
        <v>489.75</v>
      </c>
      <c r="O3" s="20" t="s">
        <v>58</v>
      </c>
      <c r="Q3" s="2">
        <f>(F8-K8)/Q2</f>
        <v>97.993999999999986</v>
      </c>
    </row>
    <row r="4" spans="1:21" x14ac:dyDescent="0.25">
      <c r="B4" s="1"/>
      <c r="O4" s="20" t="s">
        <v>66</v>
      </c>
      <c r="Q4" s="106">
        <v>93.01</v>
      </c>
    </row>
    <row r="5" spans="1:21" x14ac:dyDescent="0.25">
      <c r="O5" s="20" t="s">
        <v>67</v>
      </c>
      <c r="Q5" s="5">
        <f>Q4*Q2</f>
        <v>465.05</v>
      </c>
    </row>
    <row r="6" spans="1:21" x14ac:dyDescent="0.25">
      <c r="O6" s="20" t="s">
        <v>64</v>
      </c>
      <c r="Q6" s="2">
        <f>Q3*Q2</f>
        <v>489.96999999999991</v>
      </c>
    </row>
    <row r="7" spans="1:21" x14ac:dyDescent="0.25">
      <c r="O7" s="20" t="s">
        <v>65</v>
      </c>
      <c r="Q7" s="2">
        <f>Q5-Q6+M8</f>
        <v>-24.919999999999902</v>
      </c>
    </row>
    <row r="8" spans="1:21" x14ac:dyDescent="0.25">
      <c r="A8" s="57" t="s">
        <v>114</v>
      </c>
      <c r="B8" s="24"/>
      <c r="C8" s="24">
        <f>SUM(C2:C7)</f>
        <v>15</v>
      </c>
      <c r="D8" s="31"/>
      <c r="E8" s="31"/>
      <c r="F8" s="31">
        <f>SUM(F2:F7)</f>
        <v>1485.55</v>
      </c>
      <c r="G8" s="24"/>
      <c r="H8" s="24">
        <f>SUM(H2:H4)</f>
        <v>10</v>
      </c>
      <c r="I8" s="24"/>
      <c r="J8" s="24"/>
      <c r="K8" s="24">
        <f>SUM(K2:K4)</f>
        <v>995.58</v>
      </c>
      <c r="L8" s="24"/>
      <c r="M8" s="24"/>
    </row>
    <row r="19" spans="15:17" x14ac:dyDescent="0.25">
      <c r="P19" t="s">
        <v>89</v>
      </c>
    </row>
    <row r="20" spans="15:17" x14ac:dyDescent="0.25">
      <c r="O20" s="2">
        <f>$Q$4</f>
        <v>93.01</v>
      </c>
      <c r="P20">
        <v>1.1000000000000001</v>
      </c>
      <c r="Q20" s="2">
        <f t="shared" ref="Q20:Q32" si="0">P20*O20</f>
        <v>102.31100000000001</v>
      </c>
    </row>
    <row r="21" spans="15:17" x14ac:dyDescent="0.25">
      <c r="O21" s="2">
        <f>$Q$4</f>
        <v>93.01</v>
      </c>
      <c r="P21">
        <v>1.05</v>
      </c>
      <c r="Q21" s="2">
        <f t="shared" si="0"/>
        <v>97.660500000000013</v>
      </c>
    </row>
    <row r="22" spans="15:17" x14ac:dyDescent="0.25">
      <c r="O22" s="2">
        <f t="shared" ref="O22:O32" si="1">$Q$4</f>
        <v>93.01</v>
      </c>
      <c r="P22">
        <v>1.04</v>
      </c>
      <c r="Q22" s="2">
        <f t="shared" si="0"/>
        <v>96.730400000000003</v>
      </c>
    </row>
    <row r="23" spans="15:17" x14ac:dyDescent="0.25">
      <c r="O23" s="2">
        <f t="shared" si="1"/>
        <v>93.01</v>
      </c>
      <c r="P23" s="2">
        <v>1.03</v>
      </c>
      <c r="Q23" s="2">
        <f t="shared" si="0"/>
        <v>95.800300000000007</v>
      </c>
    </row>
    <row r="24" spans="15:17" x14ac:dyDescent="0.25">
      <c r="O24" s="2">
        <f t="shared" si="1"/>
        <v>93.01</v>
      </c>
      <c r="P24" s="2">
        <v>1.02</v>
      </c>
      <c r="Q24" s="2">
        <f t="shared" si="0"/>
        <v>94.870200000000011</v>
      </c>
    </row>
    <row r="25" spans="15:17" x14ac:dyDescent="0.25">
      <c r="O25" s="2">
        <f t="shared" si="1"/>
        <v>93.01</v>
      </c>
      <c r="P25" s="2">
        <v>1.01</v>
      </c>
      <c r="Q25" s="2">
        <f t="shared" si="0"/>
        <v>93.940100000000001</v>
      </c>
    </row>
    <row r="26" spans="15:17" x14ac:dyDescent="0.25">
      <c r="O26" s="2">
        <f t="shared" si="1"/>
        <v>93.01</v>
      </c>
      <c r="P26" s="2">
        <v>1</v>
      </c>
      <c r="Q26" s="2">
        <f t="shared" si="0"/>
        <v>93.01</v>
      </c>
    </row>
    <row r="27" spans="15:17" x14ac:dyDescent="0.25">
      <c r="O27" s="2">
        <f t="shared" si="1"/>
        <v>93.01</v>
      </c>
      <c r="P27" s="2">
        <v>0.99</v>
      </c>
      <c r="Q27" s="2">
        <f t="shared" si="0"/>
        <v>92.079900000000009</v>
      </c>
    </row>
    <row r="28" spans="15:17" x14ac:dyDescent="0.25">
      <c r="O28" s="2">
        <f t="shared" si="1"/>
        <v>93.01</v>
      </c>
      <c r="P28" s="2">
        <v>0.98</v>
      </c>
      <c r="Q28" s="2">
        <f t="shared" si="0"/>
        <v>91.149799999999999</v>
      </c>
    </row>
    <row r="29" spans="15:17" x14ac:dyDescent="0.25">
      <c r="O29" s="2">
        <f t="shared" si="1"/>
        <v>93.01</v>
      </c>
      <c r="P29" s="2">
        <v>0.97</v>
      </c>
      <c r="Q29" s="2">
        <f t="shared" si="0"/>
        <v>90.219700000000003</v>
      </c>
    </row>
    <row r="30" spans="15:17" x14ac:dyDescent="0.25">
      <c r="O30" s="2">
        <f t="shared" si="1"/>
        <v>93.01</v>
      </c>
      <c r="P30" s="2">
        <v>0.96</v>
      </c>
      <c r="Q30" s="2">
        <f t="shared" si="0"/>
        <v>89.289600000000007</v>
      </c>
    </row>
    <row r="31" spans="15:17" x14ac:dyDescent="0.25">
      <c r="O31" s="2">
        <f t="shared" si="1"/>
        <v>93.01</v>
      </c>
      <c r="P31" s="2">
        <v>0.95</v>
      </c>
      <c r="Q31" s="2">
        <f t="shared" si="0"/>
        <v>88.359499999999997</v>
      </c>
    </row>
    <row r="32" spans="15:17" x14ac:dyDescent="0.25">
      <c r="O32" s="2">
        <f t="shared" si="1"/>
        <v>93.01</v>
      </c>
      <c r="P32" s="2">
        <v>0.9</v>
      </c>
      <c r="Q32" s="2">
        <f t="shared" si="0"/>
        <v>83.709000000000003</v>
      </c>
    </row>
  </sheetData>
  <conditionalFormatting sqref="Q7">
    <cfRule type="expression" dxfId="11" priority="2">
      <formula>Q7&gt;0</formula>
    </cfRule>
    <cfRule type="expression" dxfId="10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88</v>
      </c>
      <c r="M1" s="20" t="s">
        <v>38</v>
      </c>
      <c r="U1" s="20" t="s">
        <v>74</v>
      </c>
    </row>
    <row r="2" spans="1:22" x14ac:dyDescent="0.25">
      <c r="A2" s="8" t="s">
        <v>51</v>
      </c>
      <c r="B2" s="1">
        <v>42212</v>
      </c>
      <c r="C2">
        <v>10</v>
      </c>
      <c r="D2" s="2">
        <v>120.14</v>
      </c>
      <c r="F2" s="2">
        <f>D2*C2</f>
        <v>1201.4000000000001</v>
      </c>
      <c r="O2" s="20" t="s">
        <v>57</v>
      </c>
      <c r="Q2">
        <f>C6-H6</f>
        <v>15</v>
      </c>
      <c r="U2" s="1">
        <v>42293</v>
      </c>
      <c r="V2" t="s">
        <v>128</v>
      </c>
    </row>
    <row r="3" spans="1:22" x14ac:dyDescent="0.25">
      <c r="A3" s="36" t="s">
        <v>81</v>
      </c>
      <c r="B3" s="1">
        <v>42214</v>
      </c>
      <c r="C3">
        <v>5</v>
      </c>
      <c r="D3" s="2">
        <v>118.3</v>
      </c>
      <c r="F3" s="2">
        <f>D3*C3</f>
        <v>591.5</v>
      </c>
      <c r="O3" s="20" t="s">
        <v>58</v>
      </c>
      <c r="Q3" s="2">
        <f>F6/C6</f>
        <v>119.52666666666667</v>
      </c>
    </row>
    <row r="4" spans="1:22" x14ac:dyDescent="0.25">
      <c r="O4" s="20" t="s">
        <v>66</v>
      </c>
      <c r="Q4" s="106">
        <v>116.28</v>
      </c>
      <c r="V4" t="str">
        <f>YahooFinance(A2, "latestprice")</f>
        <v xml:space="preserve">116.28
</v>
      </c>
    </row>
    <row r="5" spans="1:22" x14ac:dyDescent="0.25">
      <c r="O5" s="20" t="s">
        <v>67</v>
      </c>
      <c r="Q5" s="5">
        <f>Q4*Q2</f>
        <v>1744.2</v>
      </c>
      <c r="V5" t="e">
        <f>V4+1</f>
        <v>#VALUE!</v>
      </c>
    </row>
    <row r="6" spans="1:22" x14ac:dyDescent="0.25">
      <c r="A6" s="63" t="s">
        <v>114</v>
      </c>
      <c r="B6" s="64"/>
      <c r="C6" s="64">
        <f>SUM(C2:C5)</f>
        <v>15</v>
      </c>
      <c r="D6" s="66"/>
      <c r="E6" s="66"/>
      <c r="F6" s="66">
        <f t="shared" ref="F6" si="0">SUM(F2:F5)</f>
        <v>1792.9</v>
      </c>
      <c r="G6" s="64"/>
      <c r="H6" s="64"/>
      <c r="I6" s="64"/>
      <c r="J6" s="64"/>
      <c r="K6" s="64"/>
      <c r="L6" s="64"/>
      <c r="M6" s="64"/>
      <c r="O6" s="20" t="s">
        <v>64</v>
      </c>
      <c r="Q6" s="2">
        <f>Q3*Q2</f>
        <v>1792.9</v>
      </c>
    </row>
    <row r="7" spans="1:22" x14ac:dyDescent="0.25">
      <c r="O7" s="20" t="s">
        <v>65</v>
      </c>
      <c r="Q7" s="2">
        <f>Q5-Q6</f>
        <v>-48.700000000000045</v>
      </c>
    </row>
    <row r="19" spans="15:17" x14ac:dyDescent="0.25">
      <c r="P19" t="s">
        <v>89</v>
      </c>
    </row>
    <row r="20" spans="15:17" x14ac:dyDescent="0.25">
      <c r="O20" s="2">
        <f>$Q$4</f>
        <v>116.28</v>
      </c>
      <c r="P20">
        <v>1.1000000000000001</v>
      </c>
      <c r="Q20" s="2">
        <f t="shared" ref="Q20:Q32" si="1">P20*O20</f>
        <v>127.90800000000002</v>
      </c>
    </row>
    <row r="21" spans="15:17" x14ac:dyDescent="0.25">
      <c r="O21" s="2">
        <f>$Q$4</f>
        <v>116.28</v>
      </c>
      <c r="P21">
        <v>1.05</v>
      </c>
      <c r="Q21" s="2">
        <f t="shared" si="1"/>
        <v>122.09400000000001</v>
      </c>
    </row>
    <row r="22" spans="15:17" x14ac:dyDescent="0.25">
      <c r="O22" s="2">
        <f t="shared" ref="O22:O32" si="2">$Q$4</f>
        <v>116.28</v>
      </c>
      <c r="P22">
        <v>1.04</v>
      </c>
      <c r="Q22" s="2">
        <f t="shared" si="1"/>
        <v>120.9312</v>
      </c>
    </row>
    <row r="23" spans="15:17" x14ac:dyDescent="0.25">
      <c r="O23" s="2">
        <f t="shared" si="2"/>
        <v>116.28</v>
      </c>
      <c r="P23" s="2">
        <v>1.03</v>
      </c>
      <c r="Q23" s="2">
        <f t="shared" si="1"/>
        <v>119.7684</v>
      </c>
    </row>
    <row r="24" spans="15:17" x14ac:dyDescent="0.25">
      <c r="O24" s="2">
        <f t="shared" si="2"/>
        <v>116.28</v>
      </c>
      <c r="P24" s="2">
        <v>1.02</v>
      </c>
      <c r="Q24" s="2">
        <f t="shared" si="1"/>
        <v>118.60560000000001</v>
      </c>
    </row>
    <row r="25" spans="15:17" x14ac:dyDescent="0.25">
      <c r="O25" s="2">
        <f t="shared" si="2"/>
        <v>116.28</v>
      </c>
      <c r="P25" s="2">
        <v>1.01</v>
      </c>
      <c r="Q25" s="2">
        <f t="shared" si="1"/>
        <v>117.44280000000001</v>
      </c>
    </row>
    <row r="26" spans="15:17" x14ac:dyDescent="0.25">
      <c r="O26" s="2">
        <f t="shared" si="2"/>
        <v>116.28</v>
      </c>
      <c r="P26" s="2">
        <v>1</v>
      </c>
      <c r="Q26" s="2">
        <f t="shared" si="1"/>
        <v>116.28</v>
      </c>
    </row>
    <row r="27" spans="15:17" x14ac:dyDescent="0.25">
      <c r="O27" s="2">
        <f t="shared" si="2"/>
        <v>116.28</v>
      </c>
      <c r="P27" s="2">
        <v>0.99</v>
      </c>
      <c r="Q27" s="2">
        <f t="shared" si="1"/>
        <v>115.1172</v>
      </c>
    </row>
    <row r="28" spans="15:17" x14ac:dyDescent="0.25">
      <c r="O28" s="2">
        <f t="shared" si="2"/>
        <v>116.28</v>
      </c>
      <c r="P28" s="2">
        <v>0.98</v>
      </c>
      <c r="Q28" s="2">
        <f t="shared" si="1"/>
        <v>113.95439999999999</v>
      </c>
    </row>
    <row r="29" spans="15:17" x14ac:dyDescent="0.25">
      <c r="O29" s="2">
        <f t="shared" si="2"/>
        <v>116.28</v>
      </c>
      <c r="P29" s="2">
        <v>0.97</v>
      </c>
      <c r="Q29" s="2">
        <f t="shared" si="1"/>
        <v>112.7916</v>
      </c>
    </row>
    <row r="30" spans="15:17" x14ac:dyDescent="0.25">
      <c r="O30" s="2">
        <f t="shared" si="2"/>
        <v>116.28</v>
      </c>
      <c r="P30" s="2">
        <v>0.96</v>
      </c>
      <c r="Q30" s="2">
        <f t="shared" si="1"/>
        <v>111.6288</v>
      </c>
    </row>
    <row r="31" spans="15:17" x14ac:dyDescent="0.25">
      <c r="O31" s="2">
        <f t="shared" si="2"/>
        <v>116.28</v>
      </c>
      <c r="P31" s="2">
        <v>0.95</v>
      </c>
      <c r="Q31" s="2">
        <f t="shared" si="1"/>
        <v>110.46599999999999</v>
      </c>
    </row>
    <row r="32" spans="15:17" x14ac:dyDescent="0.25">
      <c r="O32" s="2">
        <f t="shared" si="2"/>
        <v>116.28</v>
      </c>
      <c r="P32" s="2">
        <v>0.9</v>
      </c>
      <c r="Q32" s="2">
        <f t="shared" si="1"/>
        <v>104.652</v>
      </c>
    </row>
  </sheetData>
  <conditionalFormatting sqref="Q7">
    <cfRule type="expression" dxfId="9" priority="2">
      <formula>Q7&gt;0</formula>
    </cfRule>
    <cfRule type="expression" dxfId="8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U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140625" style="59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R1" s="58"/>
      <c r="T1" s="20" t="s">
        <v>74</v>
      </c>
    </row>
    <row r="2" spans="1:21" x14ac:dyDescent="0.25">
      <c r="A2" s="8" t="s">
        <v>62</v>
      </c>
      <c r="B2" s="1">
        <v>42222</v>
      </c>
      <c r="C2">
        <v>5</v>
      </c>
      <c r="D2" s="2">
        <v>320</v>
      </c>
      <c r="F2" s="2">
        <f>C2*D2</f>
        <v>1600</v>
      </c>
      <c r="O2" s="20" t="s">
        <v>57</v>
      </c>
      <c r="Q2">
        <f>C5-H5</f>
        <v>5</v>
      </c>
      <c r="T2" s="1">
        <v>42299</v>
      </c>
      <c r="U2" t="s">
        <v>128</v>
      </c>
    </row>
    <row r="3" spans="1:21" x14ac:dyDescent="0.25">
      <c r="A3" s="36" t="s">
        <v>81</v>
      </c>
      <c r="O3" s="20" t="s">
        <v>58</v>
      </c>
      <c r="Q3" s="2">
        <f>F5/C5</f>
        <v>320</v>
      </c>
    </row>
    <row r="4" spans="1:21" x14ac:dyDescent="0.25">
      <c r="O4" s="20" t="s">
        <v>66</v>
      </c>
      <c r="Q4" s="106">
        <v>295.64</v>
      </c>
    </row>
    <row r="5" spans="1:21" x14ac:dyDescent="0.25">
      <c r="A5" s="57" t="s">
        <v>114</v>
      </c>
      <c r="B5" s="24"/>
      <c r="C5" s="24">
        <f>SUM(C2:C4)</f>
        <v>5</v>
      </c>
      <c r="D5" s="31"/>
      <c r="E5" s="31"/>
      <c r="F5" s="31">
        <f t="shared" ref="F5" si="0">SUM(F2:F4)</f>
        <v>1600</v>
      </c>
      <c r="G5" s="24"/>
      <c r="H5" s="24"/>
      <c r="I5" s="24"/>
      <c r="J5" s="24"/>
      <c r="K5" s="24"/>
      <c r="L5" s="24"/>
      <c r="M5" s="24"/>
      <c r="O5" s="20" t="s">
        <v>67</v>
      </c>
      <c r="Q5" s="5">
        <f>Q4*Q2</f>
        <v>1478.1999999999998</v>
      </c>
    </row>
    <row r="6" spans="1:21" x14ac:dyDescent="0.25">
      <c r="O6" s="20" t="s">
        <v>64</v>
      </c>
      <c r="Q6" s="2">
        <f>Q3*Q2</f>
        <v>1600</v>
      </c>
    </row>
    <row r="7" spans="1:21" x14ac:dyDescent="0.25">
      <c r="O7" s="20" t="s">
        <v>65</v>
      </c>
      <c r="Q7" s="2">
        <f>Q5-Q6</f>
        <v>-121.80000000000018</v>
      </c>
    </row>
    <row r="12" spans="1:21" x14ac:dyDescent="0.25">
      <c r="F12" s="5"/>
    </row>
    <row r="13" spans="1:21" x14ac:dyDescent="0.25">
      <c r="F13" s="5"/>
    </row>
    <row r="19" spans="15:18" x14ac:dyDescent="0.25">
      <c r="P19" t="s">
        <v>89</v>
      </c>
    </row>
    <row r="20" spans="15:18" x14ac:dyDescent="0.25">
      <c r="O20" s="2">
        <f>$Q$4</f>
        <v>295.64</v>
      </c>
      <c r="P20">
        <v>1.1000000000000001</v>
      </c>
      <c r="Q20" s="2">
        <f t="shared" ref="Q20:Q32" si="1">P20*O20</f>
        <v>325.20400000000001</v>
      </c>
    </row>
    <row r="21" spans="15:18" x14ac:dyDescent="0.25">
      <c r="O21" s="2">
        <f>$Q$4</f>
        <v>295.64</v>
      </c>
      <c r="P21">
        <v>1.05</v>
      </c>
      <c r="Q21" s="2">
        <f t="shared" si="1"/>
        <v>310.42200000000003</v>
      </c>
    </row>
    <row r="22" spans="15:18" x14ac:dyDescent="0.25">
      <c r="O22" s="2">
        <f t="shared" ref="O22:O32" si="2">$Q$4</f>
        <v>295.64</v>
      </c>
      <c r="P22">
        <v>1.04</v>
      </c>
      <c r="Q22" s="2">
        <f t="shared" si="1"/>
        <v>307.46559999999999</v>
      </c>
    </row>
    <row r="23" spans="15:18" x14ac:dyDescent="0.25">
      <c r="O23" s="2">
        <f t="shared" si="2"/>
        <v>295.64</v>
      </c>
      <c r="P23" s="2">
        <v>1.03</v>
      </c>
      <c r="Q23" s="2">
        <f t="shared" si="1"/>
        <v>304.50920000000002</v>
      </c>
    </row>
    <row r="24" spans="15:18" x14ac:dyDescent="0.25">
      <c r="O24" s="2">
        <f t="shared" si="2"/>
        <v>295.64</v>
      </c>
      <c r="P24" s="2">
        <v>1.02</v>
      </c>
      <c r="Q24" s="2">
        <f t="shared" si="1"/>
        <v>301.55279999999999</v>
      </c>
    </row>
    <row r="25" spans="15:18" x14ac:dyDescent="0.25">
      <c r="O25" s="2">
        <f t="shared" si="2"/>
        <v>295.64</v>
      </c>
      <c r="P25" s="2">
        <v>1.01</v>
      </c>
      <c r="Q25" s="2">
        <f t="shared" si="1"/>
        <v>298.59640000000002</v>
      </c>
    </row>
    <row r="26" spans="15:18" x14ac:dyDescent="0.25">
      <c r="O26" s="2">
        <f t="shared" si="2"/>
        <v>295.64</v>
      </c>
      <c r="P26" s="2">
        <v>1</v>
      </c>
      <c r="Q26" s="2">
        <f t="shared" si="1"/>
        <v>295.64</v>
      </c>
    </row>
    <row r="27" spans="15:18" x14ac:dyDescent="0.25">
      <c r="O27" s="2">
        <f t="shared" si="2"/>
        <v>295.64</v>
      </c>
      <c r="P27" s="2">
        <v>0.99</v>
      </c>
      <c r="Q27" s="2">
        <f t="shared" si="1"/>
        <v>292.68359999999996</v>
      </c>
    </row>
    <row r="28" spans="15:18" x14ac:dyDescent="0.25">
      <c r="O28" s="2">
        <f t="shared" si="2"/>
        <v>295.64</v>
      </c>
      <c r="P28" s="2">
        <v>0.98</v>
      </c>
      <c r="Q28" s="2">
        <f t="shared" si="1"/>
        <v>289.72719999999998</v>
      </c>
      <c r="R28" s="59" t="s">
        <v>141</v>
      </c>
    </row>
    <row r="29" spans="15:18" x14ac:dyDescent="0.25">
      <c r="O29" s="2">
        <f t="shared" si="2"/>
        <v>295.64</v>
      </c>
      <c r="P29" s="2">
        <v>0.97</v>
      </c>
      <c r="Q29" s="2">
        <f t="shared" si="1"/>
        <v>286.77079999999995</v>
      </c>
    </row>
    <row r="30" spans="15:18" x14ac:dyDescent="0.25">
      <c r="O30" s="2">
        <f t="shared" si="2"/>
        <v>295.64</v>
      </c>
      <c r="P30" s="2">
        <v>0.96</v>
      </c>
      <c r="Q30" s="2">
        <f t="shared" si="1"/>
        <v>283.81439999999998</v>
      </c>
    </row>
    <row r="31" spans="15:18" x14ac:dyDescent="0.25">
      <c r="O31" s="2">
        <f t="shared" si="2"/>
        <v>295.64</v>
      </c>
      <c r="P31" s="2">
        <v>0.95</v>
      </c>
      <c r="Q31" s="2">
        <f t="shared" si="1"/>
        <v>280.85799999999995</v>
      </c>
    </row>
    <row r="32" spans="15:18" x14ac:dyDescent="0.25">
      <c r="O32" s="2">
        <f t="shared" si="2"/>
        <v>295.64</v>
      </c>
      <c r="P32" s="2">
        <v>0.9</v>
      </c>
      <c r="Q32" s="2">
        <f t="shared" si="1"/>
        <v>266.07600000000002</v>
      </c>
    </row>
  </sheetData>
  <conditionalFormatting sqref="F15 Q7">
    <cfRule type="expression" dxfId="7" priority="2">
      <formula>F7&gt;0</formula>
    </cfRule>
    <cfRule type="expression" dxfId="6" priority="3">
      <formula>F7&lt;0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Q2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17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163</v>
      </c>
      <c r="F1" s="34" t="s">
        <v>60</v>
      </c>
      <c r="G1" s="20" t="s">
        <v>3</v>
      </c>
      <c r="H1" s="20" t="s">
        <v>6</v>
      </c>
      <c r="I1" s="34" t="s">
        <v>7</v>
      </c>
      <c r="J1" s="34" t="s">
        <v>162</v>
      </c>
      <c r="K1" s="34" t="s">
        <v>61</v>
      </c>
      <c r="L1" s="20" t="s">
        <v>37</v>
      </c>
      <c r="M1" s="20" t="s">
        <v>38</v>
      </c>
    </row>
    <row r="2" spans="1:17" x14ac:dyDescent="0.25">
      <c r="A2" s="8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O2" s="20" t="s">
        <v>57</v>
      </c>
      <c r="Q2">
        <f>C6</f>
        <v>80</v>
      </c>
    </row>
    <row r="3" spans="1:17" x14ac:dyDescent="0.25">
      <c r="A3" s="36" t="s">
        <v>81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20" t="s">
        <v>58</v>
      </c>
      <c r="Q3" s="2">
        <f>F6/C6</f>
        <v>29.640625</v>
      </c>
    </row>
    <row r="4" spans="1:17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20" t="s">
        <v>66</v>
      </c>
      <c r="Q4" s="106">
        <v>10.62</v>
      </c>
    </row>
    <row r="5" spans="1:17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20" t="s">
        <v>67</v>
      </c>
      <c r="Q5" s="5">
        <f>Q4*Q2</f>
        <v>849.59999999999991</v>
      </c>
    </row>
    <row r="6" spans="1:17" x14ac:dyDescent="0.25">
      <c r="A6" s="57" t="s">
        <v>114</v>
      </c>
      <c r="B6" s="24"/>
      <c r="C6" s="24">
        <f>SUM(C2:C5)</f>
        <v>80</v>
      </c>
      <c r="D6" s="31"/>
      <c r="E6" s="31"/>
      <c r="F6" s="31">
        <f>SUM(F2:F5)</f>
        <v>2371.25</v>
      </c>
      <c r="G6" s="24"/>
      <c r="H6" s="24"/>
      <c r="I6" s="31"/>
      <c r="J6" s="31"/>
      <c r="K6" s="31"/>
      <c r="L6" s="24"/>
      <c r="M6" s="24"/>
      <c r="O6" s="20" t="s">
        <v>64</v>
      </c>
      <c r="Q6" s="2">
        <f>Q3*Q2</f>
        <v>2371.25</v>
      </c>
    </row>
    <row r="7" spans="1:17" x14ac:dyDescent="0.25">
      <c r="O7" s="20" t="s">
        <v>65</v>
      </c>
      <c r="Q7" s="2">
        <f>Q5-Q6</f>
        <v>-1521.65</v>
      </c>
    </row>
    <row r="15" spans="1:17" x14ac:dyDescent="0.25">
      <c r="P15" t="s">
        <v>89</v>
      </c>
    </row>
    <row r="16" spans="1:17" x14ac:dyDescent="0.25">
      <c r="O16" s="2">
        <f>$Q$4</f>
        <v>10.62</v>
      </c>
      <c r="P16">
        <v>1.1000000000000001</v>
      </c>
      <c r="Q16" s="2">
        <f t="shared" ref="Q16:Q28" si="0">P16*O16</f>
        <v>11.682</v>
      </c>
    </row>
    <row r="17" spans="15:17" x14ac:dyDescent="0.25">
      <c r="O17" s="2">
        <f>$Q$4</f>
        <v>10.62</v>
      </c>
      <c r="P17">
        <v>1.05</v>
      </c>
      <c r="Q17" s="2">
        <f t="shared" si="0"/>
        <v>11.151</v>
      </c>
    </row>
    <row r="18" spans="15:17" x14ac:dyDescent="0.25">
      <c r="O18" s="2">
        <f t="shared" ref="O18:O28" si="1">$Q$4</f>
        <v>10.62</v>
      </c>
      <c r="P18">
        <v>1.04</v>
      </c>
      <c r="Q18" s="2">
        <f t="shared" si="0"/>
        <v>11.0448</v>
      </c>
    </row>
    <row r="19" spans="15:17" x14ac:dyDescent="0.25">
      <c r="O19" s="2">
        <f t="shared" si="1"/>
        <v>10.62</v>
      </c>
      <c r="P19" s="2">
        <v>1.03</v>
      </c>
      <c r="Q19" s="2">
        <f t="shared" si="0"/>
        <v>10.938599999999999</v>
      </c>
    </row>
    <row r="20" spans="15:17" x14ac:dyDescent="0.25">
      <c r="O20" s="2">
        <f t="shared" si="1"/>
        <v>10.62</v>
      </c>
      <c r="P20" s="2">
        <v>1.02</v>
      </c>
      <c r="Q20" s="2">
        <f t="shared" si="0"/>
        <v>10.8324</v>
      </c>
    </row>
    <row r="21" spans="15:17" x14ac:dyDescent="0.25">
      <c r="O21" s="2">
        <f t="shared" si="1"/>
        <v>10.62</v>
      </c>
      <c r="P21" s="2">
        <v>1.01</v>
      </c>
      <c r="Q21" s="2">
        <f t="shared" si="0"/>
        <v>10.726199999999999</v>
      </c>
    </row>
    <row r="22" spans="15:17" x14ac:dyDescent="0.25">
      <c r="O22" s="2">
        <f t="shared" si="1"/>
        <v>10.62</v>
      </c>
      <c r="P22" s="2">
        <v>1</v>
      </c>
      <c r="Q22" s="2">
        <f t="shared" si="0"/>
        <v>10.62</v>
      </c>
    </row>
    <row r="23" spans="15:17" x14ac:dyDescent="0.25">
      <c r="O23" s="2">
        <f t="shared" si="1"/>
        <v>10.62</v>
      </c>
      <c r="P23" s="2">
        <v>0.99</v>
      </c>
      <c r="Q23" s="2">
        <f t="shared" si="0"/>
        <v>10.5138</v>
      </c>
    </row>
    <row r="24" spans="15:17" x14ac:dyDescent="0.25">
      <c r="O24" s="2">
        <f t="shared" si="1"/>
        <v>10.62</v>
      </c>
      <c r="P24" s="2">
        <v>0.98</v>
      </c>
      <c r="Q24" s="2">
        <f t="shared" si="0"/>
        <v>10.407599999999999</v>
      </c>
    </row>
    <row r="25" spans="15:17" x14ac:dyDescent="0.25">
      <c r="O25" s="2">
        <f t="shared" si="1"/>
        <v>10.62</v>
      </c>
      <c r="P25" s="2">
        <v>0.97</v>
      </c>
      <c r="Q25" s="2">
        <f t="shared" si="0"/>
        <v>10.301399999999999</v>
      </c>
    </row>
    <row r="26" spans="15:17" x14ac:dyDescent="0.25">
      <c r="O26" s="2">
        <f t="shared" si="1"/>
        <v>10.62</v>
      </c>
      <c r="P26" s="2">
        <v>0.96</v>
      </c>
      <c r="Q26" s="2">
        <f t="shared" si="0"/>
        <v>10.195199999999998</v>
      </c>
    </row>
    <row r="27" spans="15:17" x14ac:dyDescent="0.25">
      <c r="O27" s="2">
        <f t="shared" si="1"/>
        <v>10.62</v>
      </c>
      <c r="P27" s="2">
        <v>0.95</v>
      </c>
      <c r="Q27" s="2">
        <f t="shared" si="0"/>
        <v>10.088999999999999</v>
      </c>
    </row>
    <row r="28" spans="15:17" x14ac:dyDescent="0.25">
      <c r="O28" s="2">
        <f t="shared" si="1"/>
        <v>10.62</v>
      </c>
      <c r="P28" s="2">
        <v>0.9</v>
      </c>
      <c r="Q28" s="2">
        <f t="shared" si="0"/>
        <v>9.5579999999999998</v>
      </c>
    </row>
  </sheetData>
  <conditionalFormatting sqref="Q7">
    <cfRule type="expression" dxfId="5" priority="2">
      <formula>Q7&gt;0</formula>
    </cfRule>
    <cfRule type="expression" dxfId="4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R30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140625" style="59"/>
  </cols>
  <sheetData>
    <row r="1" spans="1:18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88</v>
      </c>
      <c r="M1" s="20" t="s">
        <v>38</v>
      </c>
      <c r="R1" s="58"/>
    </row>
    <row r="2" spans="1:18" x14ac:dyDescent="0.25">
      <c r="A2" s="8" t="s">
        <v>11</v>
      </c>
      <c r="B2" s="1">
        <v>42150</v>
      </c>
      <c r="C2" s="18">
        <v>5</v>
      </c>
      <c r="D2" s="68">
        <v>169</v>
      </c>
      <c r="E2" s="68"/>
      <c r="F2" s="68">
        <f t="shared" ref="F2:F9" si="0">C2*D2</f>
        <v>845</v>
      </c>
      <c r="G2" s="1">
        <v>42186</v>
      </c>
      <c r="H2" s="18">
        <v>100</v>
      </c>
      <c r="I2" s="68">
        <f>K2/H2</f>
        <v>167</v>
      </c>
      <c r="J2" s="68"/>
      <c r="K2" s="68">
        <v>16700</v>
      </c>
      <c r="L2" t="s">
        <v>113</v>
      </c>
      <c r="O2" s="20" t="s">
        <v>57</v>
      </c>
      <c r="Q2">
        <f>C10-H10</f>
        <v>50</v>
      </c>
    </row>
    <row r="3" spans="1:18" x14ac:dyDescent="0.25">
      <c r="A3" s="36" t="s">
        <v>81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8">
        <v>100</v>
      </c>
      <c r="I3" s="68">
        <f t="shared" ref="I3:I6" si="1">K3/H3</f>
        <v>167</v>
      </c>
      <c r="J3" s="68"/>
      <c r="K3" s="68">
        <v>16700</v>
      </c>
      <c r="O3" s="20" t="s">
        <v>58</v>
      </c>
      <c r="Q3" s="2">
        <f>(F10-K10)/Q2</f>
        <v>150.67140000000001</v>
      </c>
    </row>
    <row r="4" spans="1:18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8">
        <v>50</v>
      </c>
      <c r="I4" s="68">
        <f t="shared" si="1"/>
        <v>168.5</v>
      </c>
      <c r="J4" s="68"/>
      <c r="K4" s="68">
        <v>8425</v>
      </c>
      <c r="O4" s="20" t="s">
        <v>66</v>
      </c>
      <c r="Q4" s="106">
        <v>123.79</v>
      </c>
    </row>
    <row r="5" spans="1:18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11">
        <v>10</v>
      </c>
      <c r="I5" s="80">
        <f t="shared" si="1"/>
        <v>133.19800000000001</v>
      </c>
      <c r="J5" s="80"/>
      <c r="K5" s="80">
        <v>1331.98</v>
      </c>
      <c r="O5" s="20" t="s">
        <v>67</v>
      </c>
      <c r="Q5" s="5">
        <f>Q4*Q2</f>
        <v>6189.5</v>
      </c>
    </row>
    <row r="6" spans="1:18" x14ac:dyDescent="0.25">
      <c r="B6" s="1">
        <v>42186</v>
      </c>
      <c r="C6" s="18">
        <v>145</v>
      </c>
      <c r="D6" s="68">
        <v>166</v>
      </c>
      <c r="E6" s="68"/>
      <c r="F6" s="68">
        <f t="shared" si="0"/>
        <v>24070</v>
      </c>
      <c r="G6" s="1">
        <v>42240</v>
      </c>
      <c r="H6" s="94">
        <v>20</v>
      </c>
      <c r="I6" s="95">
        <f t="shared" si="1"/>
        <v>129.9975</v>
      </c>
      <c r="J6" s="95"/>
      <c r="K6" s="95">
        <v>2599.9499999999998</v>
      </c>
      <c r="O6" s="20" t="s">
        <v>64</v>
      </c>
      <c r="Q6" s="2">
        <f>Q3*Q2</f>
        <v>7533.5700000000006</v>
      </c>
    </row>
    <row r="7" spans="1:18" x14ac:dyDescent="0.25">
      <c r="B7" s="1">
        <v>42186</v>
      </c>
      <c r="C7" s="18">
        <v>100</v>
      </c>
      <c r="D7" s="68">
        <v>164</v>
      </c>
      <c r="E7" s="68"/>
      <c r="F7" s="68">
        <f t="shared" si="0"/>
        <v>16400</v>
      </c>
      <c r="O7" s="20" t="s">
        <v>65</v>
      </c>
      <c r="Q7" s="2">
        <f>Q5-Q6</f>
        <v>-1344.0700000000006</v>
      </c>
    </row>
    <row r="8" spans="1:18" x14ac:dyDescent="0.25">
      <c r="B8" s="1">
        <v>42235</v>
      </c>
      <c r="C8" s="11">
        <v>10</v>
      </c>
      <c r="D8" s="80">
        <v>124</v>
      </c>
      <c r="E8" s="80"/>
      <c r="F8" s="80">
        <f t="shared" si="0"/>
        <v>1240</v>
      </c>
    </row>
    <row r="9" spans="1:18" x14ac:dyDescent="0.25">
      <c r="B9" s="1">
        <v>42240</v>
      </c>
      <c r="C9" s="94">
        <v>20</v>
      </c>
      <c r="D9" s="95">
        <v>123</v>
      </c>
      <c r="E9" s="95"/>
      <c r="F9" s="95">
        <f t="shared" si="0"/>
        <v>2460</v>
      </c>
    </row>
    <row r="10" spans="1:18" x14ac:dyDescent="0.25">
      <c r="A10" s="83" t="s">
        <v>114</v>
      </c>
      <c r="B10" s="3"/>
      <c r="C10" s="3">
        <f>SUM(C2:C9)</f>
        <v>330</v>
      </c>
      <c r="D10" s="4"/>
      <c r="E10" s="4"/>
      <c r="F10" s="4">
        <f>SUM(F2:F9)</f>
        <v>53290.5</v>
      </c>
      <c r="G10" s="3"/>
      <c r="H10" s="3">
        <f>SUM(H2:H7)</f>
        <v>280</v>
      </c>
      <c r="I10" s="4"/>
      <c r="J10" s="4"/>
      <c r="K10" s="4">
        <f>SUM(K2:K9)</f>
        <v>45756.93</v>
      </c>
      <c r="L10" s="3"/>
      <c r="M10" s="3"/>
    </row>
    <row r="16" spans="1:18" x14ac:dyDescent="0.25">
      <c r="M16" s="2"/>
    </row>
    <row r="17" spans="15:17" x14ac:dyDescent="0.25">
      <c r="P17" t="s">
        <v>89</v>
      </c>
    </row>
    <row r="18" spans="15:17" x14ac:dyDescent="0.25">
      <c r="O18" s="2">
        <f>$Q$4</f>
        <v>123.79</v>
      </c>
      <c r="P18">
        <v>1.1000000000000001</v>
      </c>
      <c r="Q18" s="2">
        <f t="shared" ref="Q18:Q30" si="2">P18*O18</f>
        <v>136.16900000000001</v>
      </c>
    </row>
    <row r="19" spans="15:17" x14ac:dyDescent="0.25">
      <c r="O19" s="2">
        <f>$Q$4</f>
        <v>123.79</v>
      </c>
      <c r="P19">
        <v>1.05</v>
      </c>
      <c r="Q19" s="2">
        <f t="shared" si="2"/>
        <v>129.9795</v>
      </c>
    </row>
    <row r="20" spans="15:17" x14ac:dyDescent="0.25">
      <c r="O20" s="2">
        <f t="shared" ref="O20:O30" si="3">$Q$4</f>
        <v>123.79</v>
      </c>
      <c r="P20">
        <v>1.04</v>
      </c>
      <c r="Q20" s="2">
        <f t="shared" si="2"/>
        <v>128.74160000000001</v>
      </c>
    </row>
    <row r="21" spans="15:17" x14ac:dyDescent="0.25">
      <c r="O21" s="2">
        <f t="shared" si="3"/>
        <v>123.79</v>
      </c>
      <c r="P21" s="2">
        <v>1.03</v>
      </c>
      <c r="Q21" s="2">
        <f t="shared" si="2"/>
        <v>127.50370000000001</v>
      </c>
    </row>
    <row r="22" spans="15:17" x14ac:dyDescent="0.25">
      <c r="O22" s="2">
        <f t="shared" si="3"/>
        <v>123.79</v>
      </c>
      <c r="P22" s="2">
        <v>1.02</v>
      </c>
      <c r="Q22" s="2">
        <f t="shared" si="2"/>
        <v>126.26580000000001</v>
      </c>
    </row>
    <row r="23" spans="15:17" x14ac:dyDescent="0.25">
      <c r="O23" s="2">
        <f t="shared" si="3"/>
        <v>123.79</v>
      </c>
      <c r="P23" s="2">
        <v>1.01</v>
      </c>
      <c r="Q23" s="2">
        <f t="shared" si="2"/>
        <v>125.0279</v>
      </c>
    </row>
    <row r="24" spans="15:17" x14ac:dyDescent="0.25">
      <c r="O24" s="2">
        <f t="shared" si="3"/>
        <v>123.79</v>
      </c>
      <c r="P24" s="2">
        <v>1</v>
      </c>
      <c r="Q24" s="2">
        <f t="shared" si="2"/>
        <v>123.79</v>
      </c>
    </row>
    <row r="25" spans="15:17" x14ac:dyDescent="0.25">
      <c r="O25" s="2">
        <f t="shared" si="3"/>
        <v>123.79</v>
      </c>
      <c r="P25" s="2">
        <v>0.99</v>
      </c>
      <c r="Q25" s="2">
        <f t="shared" si="2"/>
        <v>122.55210000000001</v>
      </c>
    </row>
    <row r="26" spans="15:17" x14ac:dyDescent="0.25">
      <c r="O26" s="2">
        <f t="shared" si="3"/>
        <v>123.79</v>
      </c>
      <c r="P26" s="2">
        <v>0.98</v>
      </c>
      <c r="Q26" s="2">
        <f t="shared" si="2"/>
        <v>121.3142</v>
      </c>
    </row>
    <row r="27" spans="15:17" x14ac:dyDescent="0.25">
      <c r="O27" s="2">
        <f t="shared" si="3"/>
        <v>123.79</v>
      </c>
      <c r="P27" s="2">
        <v>0.97</v>
      </c>
      <c r="Q27" s="2">
        <f t="shared" si="2"/>
        <v>120.0763</v>
      </c>
    </row>
    <row r="28" spans="15:17" x14ac:dyDescent="0.25">
      <c r="O28" s="2">
        <f t="shared" si="3"/>
        <v>123.79</v>
      </c>
      <c r="P28" s="2">
        <v>0.96</v>
      </c>
      <c r="Q28" s="2">
        <f t="shared" si="2"/>
        <v>118.83840000000001</v>
      </c>
    </row>
    <row r="29" spans="15:17" x14ac:dyDescent="0.25">
      <c r="O29" s="2">
        <f t="shared" si="3"/>
        <v>123.79</v>
      </c>
      <c r="P29" s="2">
        <v>0.95</v>
      </c>
      <c r="Q29" s="2">
        <f t="shared" si="2"/>
        <v>117.6005</v>
      </c>
    </row>
    <row r="30" spans="15:17" x14ac:dyDescent="0.25">
      <c r="O30" s="2">
        <f t="shared" si="3"/>
        <v>123.79</v>
      </c>
      <c r="P30" s="2">
        <v>0.9</v>
      </c>
      <c r="Q30" s="2">
        <f t="shared" si="2"/>
        <v>111.411</v>
      </c>
    </row>
  </sheetData>
  <conditionalFormatting sqref="Q7">
    <cfRule type="expression" dxfId="3" priority="2">
      <formula>Q7&gt;0</formula>
    </cfRule>
    <cfRule type="expression" dxfId="2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4</vt:i4>
      </vt:variant>
    </vt:vector>
  </HeadingPairs>
  <TitlesOfParts>
    <vt:vector size="35" baseType="lpstr">
      <vt:lpstr>CLOSED</vt:lpstr>
      <vt:lpstr>ACTIVE</vt:lpstr>
      <vt:lpstr>MRO</vt:lpstr>
      <vt:lpstr>CPN</vt:lpstr>
      <vt:lpstr>MU</vt:lpstr>
      <vt:lpstr>INTC</vt:lpstr>
      <vt:lpstr>HES</vt:lpstr>
      <vt:lpstr>UNP</vt:lpstr>
      <vt:lpstr>PINC</vt:lpstr>
      <vt:lpstr>AA</vt:lpstr>
      <vt:lpstr>KATE</vt:lpstr>
      <vt:lpstr>KORS</vt:lpstr>
      <vt:lpstr>ALL</vt:lpstr>
      <vt:lpstr>ONCS</vt:lpstr>
      <vt:lpstr>NSC</vt:lpstr>
      <vt:lpstr>CAH</vt:lpstr>
      <vt:lpstr>SCTY</vt:lpstr>
      <vt:lpstr>ATE</vt:lpstr>
      <vt:lpstr>CTWS</vt:lpstr>
      <vt:lpstr>AVGO</vt:lpstr>
      <vt:lpstr>DIS</vt:lpstr>
      <vt:lpstr>GILD</vt:lpstr>
      <vt:lpstr>WWD</vt:lpstr>
      <vt:lpstr>GM</vt:lpstr>
      <vt:lpstr>TCO</vt:lpstr>
      <vt:lpstr>TKR</vt:lpstr>
      <vt:lpstr>UTX</vt:lpstr>
      <vt:lpstr>UNH</vt:lpstr>
      <vt:lpstr>BIIB</vt:lpstr>
      <vt:lpstr>AAVL</vt:lpstr>
      <vt:lpstr>BLUE</vt:lpstr>
      <vt:lpstr>AA!PL</vt:lpstr>
      <vt:lpstr>AAVL!PL</vt:lpstr>
      <vt:lpstr>MRO!PL</vt:lpstr>
      <vt:lpstr>PL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2015-08-22T23:27:10Z</dcterms:modified>
</cp:coreProperties>
</file>