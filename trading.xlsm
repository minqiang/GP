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 i="35" l="1"/>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E154" i="1" l="1"/>
  <c r="F154" i="1" s="1"/>
  <c r="F3" i="33" l="1"/>
  <c r="F2" i="33"/>
  <c r="F3" i="31"/>
  <c r="F2" i="31"/>
  <c r="F153" i="1" l="1"/>
  <c r="E153" i="1"/>
  <c r="K4" i="10"/>
  <c r="F29" i="25" l="1"/>
  <c r="C29" i="25"/>
  <c r="E152" i="1" l="1"/>
  <c r="F152" i="1" s="1"/>
  <c r="M80" i="1" l="1"/>
  <c r="E151" i="1"/>
  <c r="F151" i="1" s="1"/>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9"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9"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5" i="33"/>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3" i="31" l="1"/>
  <c r="Q6" i="31" s="1"/>
  <c r="Q5" i="31"/>
  <c r="Q2" i="30"/>
  <c r="Q5" i="30" s="1"/>
  <c r="Q3" i="30"/>
  <c r="Q6" i="30" s="1"/>
  <c r="Q3" i="32"/>
  <c r="Q6" i="32" s="1"/>
  <c r="Q7" i="32" s="1"/>
  <c r="Q2" i="15"/>
  <c r="Q6" i="33"/>
  <c r="Q7" i="33" s="1"/>
  <c r="F6" i="8"/>
  <c r="Q3" i="8" s="1"/>
  <c r="Q6" i="8"/>
  <c r="Q5" i="8"/>
  <c r="E119" i="1"/>
  <c r="I119" i="1"/>
  <c r="Q5" i="24"/>
  <c r="Q7" i="24" s="1"/>
  <c r="Q7" i="31" l="1"/>
  <c r="Q7" i="30"/>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Q3" i="4" l="1"/>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<sst xmlns="http://schemas.openxmlformats.org/spreadsheetml/2006/main" count="897" uniqueCount="233">
  <si>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</si>
  <si>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</si>
  <si>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</si>
  <si>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</si>
  <si>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</si>
  <si>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</si>
  <si>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</si>
  <si>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</si>
  <si>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</si>
  <si>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</si>
  <si>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</si>
  <si>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</si>
  <si>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</si>
  <si>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</si>
  <si>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</si>
  <si>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</si>
  <si>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</si>
  <si>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</si>
  <si>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</si>
  <si>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</si>
  <si>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</si>
  <si>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</si>
  <si>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</si>
  <si>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</si>
  <si>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</si>
  <si>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</si>
  <si>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</si>
  <si>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</si>
  <si>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</si>
  <si>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</si>
  <si>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</si>
  <si>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</si>
  <si>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</si>
  <si>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</si>
  <si>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</si>
  <si>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</si>
  <si>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</si>
  <si>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</si>
  <si>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</si>
  <si>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</si>
  <si>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</si>
  <si>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</si>
  <si>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</si>
  <si>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</si>
  <si>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</si>
  <si>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</si>
  <si>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</si>
  <si>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</si>
  <si>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</si>
  <si>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</si>
  <si>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</si>
  <si>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</si>
  <si>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</si>
  <si>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</si>
  <si>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</si>
  <si>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</si>
  <si>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</si>
  <si>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</si>
  <si>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</si>
  <si>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</si>
  <si>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</si>
  <si>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</si>
  <si>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</si>
  <si>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</si>
  <si>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</si>
  <si>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</si>
  <si>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</si>
  <si>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</si>
  <si>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</si>
  <si>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</si>
  <si>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</si>
  <si>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</si>
  <si>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</si>
  <si>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</si>
  <si>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</si>
  <si>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</si>
  <si>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</si>
  <si>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</si>
  <si>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</si>
  <si>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</si>
  <si>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</si>
  <si>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</si>
  <si>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</si>
  <si>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</si>
  <si>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</si>
  <si>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</si>
  <si>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</si>
  <si>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</si>
  <si>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</si>
  <si>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</si>
  <si>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</si>
  <si>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</si>
  <si>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</si>
  <si>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</si>
  <si>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</si>
  <si>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</si>
  <si>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</si>
  <si>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</si>
  <si>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</si>
  <si>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</si>
  <si>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</si>
  <si>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</si>
  <si>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</si>
  <si>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</si>
  <si>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</si>
  <si>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</si>
  <si>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</si>
  <si>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</si>
  <si>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</si>
  <si>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</si>
  <si>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</si>
  <si>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</si>
  <si>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</si>
  <si>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</si>
  <si>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</si>
  <si>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</si>
  <si>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</si>
  <si>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</si>
  <si>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</si>
  <si>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</si>
  <si>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</si>
  <si>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</si>
  <si>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</si>
  <si>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</si>
  <si>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</si>
  <si>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</si>
  <si>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</si>
  <si>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</si>
  <si>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</si>
  <si>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</si>
  <si>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</si>
  <si>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</si>
  <si>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</si>
  <si>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</si>
  <si>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</si>
  <si>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</si>
  <si>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</si>
  <si>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</si>
  <si>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</si>
  <si>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</si>
  <si>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</si>
  <si>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</si>
  <si>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</si>
  <si>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</si>
  <si>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</si>
  <si>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</si>
  <si>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</si>
  <si>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</si>
  <si>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</si>
  <si>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</si>
  <si>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</si>
  <si>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</si>
  <si>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</si>
  <si>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</si>
  <si>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</si>
  <si>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</si>
  <si>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</si>
  <si>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</si>
  <si>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</si>
  <si>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</si>
  <si>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</si>
  <si>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</si>
  <si>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</si>
  <si>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</si>
  <si>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</si>
  <si>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</si>
  <si>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</si>
  <si>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</si>
  <si>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</si>
  <si>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</si>
  <si>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</si>
  <si>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</si>
  <si>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</si>
  <si>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</si>
  <si>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</si>
  <si>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</si>
  <si>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</si>
  <si>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</si>
  <si>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</si>
  <si>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</si>
  <si>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</si>
  <si>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</si>
  <si>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</si>
  <si>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</si>
  <si>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</si>
  <si>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</si>
  <si>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</si>
  <si>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</si>
  <si>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</si>
  <si>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</si>
  <si>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</si>
  <si>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</si>
  <si>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</si>
  <si>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</si>
  <si>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</si>
  <si>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</si>
  <si>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</si>
  <si>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</si>
  <si>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</si>
  <si>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</si>
  <si>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</si>
  <si>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</si>
  <si>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</si>
  <si>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</si>
  <si>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</si>
  <si>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</si>
  <si>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</si>
  <si>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</si>
  <si>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</si>
  <si>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</si>
  <si>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</si>
  <si>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</si>
  <si>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</si>
  <si>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</si>
  <si>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</si>
  <si>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</si>
  <si>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</si>
  <si>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</si>
  <si>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</si>
  <si>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</si>
  <si>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</si>
  <si>
    <t>Q3ER, est. -0.325, 1.58B</t>
  </si>
  <si>
    <t>merril power/gas conference</t>
  </si>
  <si>
    <t>Q3ER, 0.791/1.89B</t>
  </si>
  <si>
    <t>Q3ER</t>
  </si>
  <si>
    <t>~9/1</t>
  </si>
  <si>
    <t>Q3ER 0.586, 14.237B</t>
  </si>
  <si>
    <t>~10/13</t>
  </si>
  <si>
    <t>city global tech conference</t>
  </si>
  <si>
    <t>cumu P/L</t>
  </si>
  <si>
    <t>Leerink immuno-oncology roundtable</t>
  </si>
  <si>
    <t>ER/E</t>
  </si>
  <si>
    <t>J&amp;J, Gilead Sue Mylan Over Application to Sell Generic Complera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</si>
</sst>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9">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0" fontId="20" fillId="0" borderId="0" xfId="0" applyFont="1"/>
    <xf numFmtId="0" fontId="19"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7"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16" fontId="0" fillId="0" borderId="0" xfId="0" applyNumberFormat="1" applyAlignment="1">
      <alignment horizontal="right" vertical="center"/>
    </xf>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pt idx="13">
                  <c:v>311200.71000000002</c:v>
                </c:pt>
                <c:pt idx="14">
                  <c:v>307243.09000000003</c:v>
                </c:pt>
              </c:numCache>
            </c:numRef>
          </c:yVal>
          <c:smooth val="1"/>
        </c:ser>
        <c:dLbls>
          <c:showLegendKey val="0"/>
          <c:showVal val="0"/>
          <c:showCatName val="0"/>
          <c:showSerName val="0"/>
          <c:showPercent val="0"/>
          <c:showBubbleSize val="0"/>
        </c:dLbls>
        <c:axId val="291313616"/>
        <c:axId val="291314792"/>
      </c:scatterChart>
      <c:valAx>
        <c:axId val="291313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91314792"/>
        <c:crosses val="autoZero"/>
        <c:crossBetween val="midCat"/>
      </c:valAx>
      <c:valAx>
        <c:axId val="291314792"/>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91313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pt idx="13">
                  <c:v>-48799.289999999979</c:v>
                </c:pt>
                <c:pt idx="14">
                  <c:v>-57756.909999999974</c:v>
                </c:pt>
              </c:numCache>
            </c:numRef>
          </c:yVal>
          <c:smooth val="1"/>
        </c:ser>
        <c:dLbls>
          <c:showLegendKey val="0"/>
          <c:showVal val="0"/>
          <c:showCatName val="0"/>
          <c:showSerName val="0"/>
          <c:showPercent val="0"/>
          <c:showBubbleSize val="0"/>
        </c:dLbls>
        <c:axId val="292931688"/>
        <c:axId val="292935216"/>
      </c:scatterChart>
      <c:valAx>
        <c:axId val="292931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92935216"/>
        <c:crosses val="autoZero"/>
        <c:crossBetween val="midCat"/>
      </c:valAx>
      <c:valAx>
        <c:axId val="292935216"/>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92931688"/>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70"/>
  <sheetViews>
    <sheetView workbookViewId="0">
      <pane ySplit="1" topLeftCell="A48" activePane="bottomLeft" state="frozen"/>
      <selection activeCell="E5" sqref="E5"/>
      <selection pane="bottomLeft" activeCell="R155" sqref="R155"/>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44"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44"/>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44"/>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44"/>
      <c r="B5" s="42">
        <v>42166</v>
      </c>
      <c r="C5" s="41">
        <v>100</v>
      </c>
      <c r="D5" s="43">
        <v>39.799999999999997</v>
      </c>
      <c r="E5" s="38">
        <f>C5*D5</f>
        <v>3979.9999999999995</v>
      </c>
      <c r="F5" s="43"/>
      <c r="G5" s="41"/>
      <c r="H5" s="43"/>
      <c r="I5" s="38">
        <f>G5*H5</f>
        <v>0</v>
      </c>
      <c r="J5" s="43"/>
      <c r="K5" s="38"/>
      <c r="L5" s="38"/>
      <c r="M5" s="52"/>
    </row>
    <row r="6" spans="1:13" ht="18" customHeight="1" collapsed="1" x14ac:dyDescent="0.25">
      <c r="A6" s="144"/>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45" t="s">
        <v>48</v>
      </c>
      <c r="B7" s="45"/>
      <c r="C7" s="40"/>
      <c r="D7" s="45"/>
      <c r="E7" s="39"/>
      <c r="F7" s="45"/>
      <c r="G7" s="40"/>
      <c r="H7" s="45"/>
      <c r="I7" s="39"/>
      <c r="J7" s="45"/>
      <c r="K7" s="39"/>
      <c r="L7" s="39"/>
      <c r="M7" s="53"/>
    </row>
    <row r="8" spans="1:13" ht="18" hidden="1" customHeight="1" outlineLevel="1" x14ac:dyDescent="0.25">
      <c r="A8" s="145"/>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45"/>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44" t="s">
        <v>29</v>
      </c>
      <c r="B10" s="43"/>
      <c r="C10" s="41"/>
      <c r="D10" s="43"/>
      <c r="E10" s="38"/>
      <c r="F10" s="43"/>
      <c r="G10" s="41"/>
      <c r="H10" s="43"/>
      <c r="I10" s="38"/>
      <c r="J10" s="43"/>
      <c r="K10" s="38"/>
      <c r="L10" s="38"/>
      <c r="M10" s="52"/>
    </row>
    <row r="11" spans="1:13" ht="18" hidden="1" customHeight="1" outlineLevel="1" x14ac:dyDescent="0.25">
      <c r="A11" s="144"/>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44"/>
      <c r="B12" s="42">
        <v>42184</v>
      </c>
      <c r="C12" s="41">
        <v>5</v>
      </c>
      <c r="D12" s="43">
        <v>44.5</v>
      </c>
      <c r="E12" s="38">
        <f>C12*D12</f>
        <v>222.5</v>
      </c>
      <c r="F12" s="43"/>
      <c r="G12" s="41"/>
      <c r="H12" s="43"/>
      <c r="I12" s="38"/>
      <c r="J12" s="43"/>
      <c r="K12" s="38"/>
      <c r="L12" s="38"/>
      <c r="M12" s="52"/>
    </row>
    <row r="13" spans="1:13" ht="18" hidden="1" customHeight="1" outlineLevel="1" x14ac:dyDescent="0.25">
      <c r="A13" s="144"/>
      <c r="B13" s="42">
        <v>42184</v>
      </c>
      <c r="C13" s="41">
        <v>10</v>
      </c>
      <c r="D13" s="43">
        <v>44.35</v>
      </c>
      <c r="E13" s="38">
        <f>C13*D13</f>
        <v>443.5</v>
      </c>
      <c r="F13" s="43"/>
      <c r="G13" s="41"/>
      <c r="H13" s="43"/>
      <c r="I13" s="38"/>
      <c r="J13" s="43"/>
      <c r="K13" s="38"/>
      <c r="L13" s="38"/>
      <c r="M13" s="52"/>
    </row>
    <row r="14" spans="1:13" ht="18" customHeight="1" collapsed="1" x14ac:dyDescent="0.25">
      <c r="A14" s="144"/>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45" t="s">
        <v>30</v>
      </c>
      <c r="B15" s="45"/>
      <c r="C15" s="40"/>
      <c r="D15" s="45"/>
      <c r="E15" s="39"/>
      <c r="F15" s="45"/>
      <c r="G15" s="40"/>
      <c r="H15" s="45"/>
      <c r="I15" s="39"/>
      <c r="J15" s="45"/>
      <c r="K15" s="39"/>
      <c r="L15" s="39"/>
      <c r="M15" s="53"/>
    </row>
    <row r="16" spans="1:13" ht="18" hidden="1" customHeight="1" outlineLevel="1" x14ac:dyDescent="0.25">
      <c r="A16" s="145"/>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45"/>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44" t="s">
        <v>8</v>
      </c>
      <c r="B18" s="43"/>
      <c r="C18" s="41"/>
      <c r="D18" s="43"/>
      <c r="E18" s="38"/>
      <c r="F18" s="43"/>
      <c r="G18" s="41"/>
      <c r="H18" s="43"/>
      <c r="I18" s="38"/>
      <c r="J18" s="43"/>
      <c r="K18" s="38"/>
      <c r="L18" s="38"/>
      <c r="M18" s="52"/>
    </row>
    <row r="19" spans="1:13" ht="18" hidden="1" customHeight="1" outlineLevel="1" x14ac:dyDescent="0.25">
      <c r="A19" s="144"/>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44"/>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44"/>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44"/>
      <c r="B22" s="42">
        <v>42146</v>
      </c>
      <c r="C22" s="41">
        <v>20</v>
      </c>
      <c r="D22" s="43">
        <v>61.1</v>
      </c>
      <c r="E22" s="38">
        <f t="shared" si="2"/>
        <v>1222</v>
      </c>
      <c r="F22" s="43"/>
      <c r="G22" s="41"/>
      <c r="H22" s="43"/>
      <c r="I22" s="38"/>
      <c r="J22" s="43"/>
      <c r="K22" s="38"/>
      <c r="L22" s="38"/>
      <c r="M22" s="52"/>
    </row>
    <row r="23" spans="1:13" ht="18" hidden="1" customHeight="1" outlineLevel="1" x14ac:dyDescent="0.25">
      <c r="A23" s="144"/>
      <c r="B23" s="42">
        <v>42146</v>
      </c>
      <c r="C23" s="41">
        <v>10</v>
      </c>
      <c r="D23" s="43">
        <v>60.8</v>
      </c>
      <c r="E23" s="38">
        <f t="shared" si="2"/>
        <v>608</v>
      </c>
      <c r="F23" s="43"/>
      <c r="G23" s="41"/>
      <c r="H23" s="43"/>
      <c r="I23" s="38"/>
      <c r="J23" s="43"/>
      <c r="K23" s="38"/>
      <c r="L23" s="38"/>
      <c r="M23" s="52"/>
    </row>
    <row r="24" spans="1:13" ht="18" hidden="1" customHeight="1" outlineLevel="1" x14ac:dyDescent="0.25">
      <c r="A24" s="144"/>
      <c r="B24" s="42">
        <v>42146</v>
      </c>
      <c r="C24" s="41">
        <v>20</v>
      </c>
      <c r="D24" s="43">
        <v>60.7</v>
      </c>
      <c r="E24" s="38">
        <f t="shared" si="2"/>
        <v>1214</v>
      </c>
      <c r="F24" s="43"/>
      <c r="G24" s="41"/>
      <c r="H24" s="43"/>
      <c r="I24" s="38"/>
      <c r="J24" s="43"/>
      <c r="K24" s="38"/>
      <c r="L24" s="38"/>
      <c r="M24" s="52"/>
    </row>
    <row r="25" spans="1:13" ht="18" hidden="1" customHeight="1" outlineLevel="1" x14ac:dyDescent="0.25">
      <c r="A25" s="144"/>
      <c r="B25" s="42">
        <v>42150</v>
      </c>
      <c r="C25" s="41">
        <v>20</v>
      </c>
      <c r="D25" s="43">
        <v>60.6</v>
      </c>
      <c r="E25" s="38">
        <f t="shared" si="2"/>
        <v>1212</v>
      </c>
      <c r="F25" s="43"/>
      <c r="G25" s="41"/>
      <c r="H25" s="43"/>
      <c r="I25" s="38"/>
      <c r="J25" s="43"/>
      <c r="K25" s="38"/>
      <c r="L25" s="38"/>
      <c r="M25" s="52"/>
    </row>
    <row r="26" spans="1:13" ht="18" hidden="1" customHeight="1" outlineLevel="1" x14ac:dyDescent="0.25">
      <c r="A26" s="144"/>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44"/>
      <c r="B27" s="42">
        <v>42152</v>
      </c>
      <c r="C27" s="41">
        <v>30</v>
      </c>
      <c r="D27" s="43">
        <v>60.39</v>
      </c>
      <c r="E27" s="38">
        <f t="shared" si="2"/>
        <v>1811.7</v>
      </c>
      <c r="F27" s="43"/>
      <c r="G27" s="41"/>
      <c r="H27" s="43"/>
      <c r="I27" s="38"/>
      <c r="J27" s="43"/>
      <c r="K27" s="38"/>
      <c r="L27" s="38"/>
      <c r="M27" s="52"/>
    </row>
    <row r="28" spans="1:13" ht="18" hidden="1" customHeight="1" outlineLevel="1" x14ac:dyDescent="0.25">
      <c r="A28" s="144"/>
      <c r="B28" s="42">
        <v>42166</v>
      </c>
      <c r="C28" s="41">
        <v>100</v>
      </c>
      <c r="D28" s="43">
        <v>58</v>
      </c>
      <c r="E28" s="38">
        <f t="shared" si="2"/>
        <v>5800</v>
      </c>
      <c r="F28" s="43"/>
      <c r="G28" s="41"/>
      <c r="H28" s="43"/>
      <c r="I28" s="38"/>
      <c r="J28" s="43"/>
      <c r="K28" s="38"/>
      <c r="L28" s="38"/>
      <c r="M28" s="52"/>
    </row>
    <row r="29" spans="1:13" ht="18" hidden="1" customHeight="1" outlineLevel="1" x14ac:dyDescent="0.25">
      <c r="A29" s="144"/>
      <c r="B29" s="42">
        <v>42187</v>
      </c>
      <c r="C29" s="41">
        <v>290</v>
      </c>
      <c r="D29" s="43">
        <v>57.85</v>
      </c>
      <c r="E29" s="38">
        <f t="shared" si="2"/>
        <v>16776.5</v>
      </c>
      <c r="F29" s="43"/>
      <c r="G29" s="41"/>
      <c r="H29" s="43"/>
      <c r="I29" s="38"/>
      <c r="J29" s="43"/>
      <c r="K29" s="38"/>
      <c r="L29" s="38"/>
      <c r="M29" s="52"/>
    </row>
    <row r="30" spans="1:13" ht="18" customHeight="1" collapsed="1" x14ac:dyDescent="0.25">
      <c r="A30" s="144"/>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45" t="s">
        <v>40</v>
      </c>
      <c r="B31" s="45"/>
      <c r="C31" s="40"/>
      <c r="D31" s="45"/>
      <c r="E31" s="39"/>
      <c r="F31" s="45"/>
      <c r="G31" s="40"/>
      <c r="H31" s="45"/>
      <c r="I31" s="39"/>
      <c r="J31" s="45"/>
      <c r="K31" s="39"/>
      <c r="L31" s="39"/>
      <c r="M31" s="53"/>
    </row>
    <row r="32" spans="1:13" ht="18" hidden="1" customHeight="1" outlineLevel="1" x14ac:dyDescent="0.25">
      <c r="A32" s="145"/>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45"/>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45"/>
      <c r="B34" s="46">
        <v>42209</v>
      </c>
      <c r="C34" s="40">
        <v>10</v>
      </c>
      <c r="D34" s="45">
        <v>146.69999999999999</v>
      </c>
      <c r="E34" s="39">
        <f>C34*D34</f>
        <v>1467</v>
      </c>
      <c r="F34" s="45"/>
      <c r="G34" s="40"/>
      <c r="H34" s="45"/>
      <c r="I34" s="39"/>
      <c r="J34" s="45"/>
      <c r="K34" s="39"/>
      <c r="L34" s="39"/>
      <c r="M34" s="40"/>
    </row>
    <row r="35" spans="1:13" ht="18" customHeight="1" collapsed="1" x14ac:dyDescent="0.25">
      <c r="A35" s="145"/>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44" t="s">
        <v>32</v>
      </c>
      <c r="B36" s="43"/>
      <c r="C36" s="41"/>
      <c r="D36" s="43"/>
      <c r="E36" s="38"/>
      <c r="F36" s="43"/>
      <c r="G36" s="41"/>
      <c r="H36" s="43"/>
      <c r="I36" s="38"/>
      <c r="J36" s="43"/>
      <c r="K36" s="38"/>
      <c r="L36" s="38"/>
      <c r="M36" s="52"/>
    </row>
    <row r="37" spans="1:13" ht="18" hidden="1" customHeight="1" outlineLevel="1" x14ac:dyDescent="0.25">
      <c r="A37" s="144"/>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44"/>
      <c r="B38" s="42">
        <v>42167</v>
      </c>
      <c r="C38" s="41">
        <v>25</v>
      </c>
      <c r="D38" s="43">
        <v>39.1</v>
      </c>
      <c r="E38" s="38">
        <f>C38*D38</f>
        <v>977.5</v>
      </c>
      <c r="F38" s="43"/>
      <c r="G38" s="41"/>
      <c r="H38" s="43"/>
      <c r="I38" s="38"/>
      <c r="J38" s="43"/>
      <c r="K38" s="38"/>
      <c r="L38" s="38"/>
      <c r="M38" s="52"/>
    </row>
    <row r="39" spans="1:13" ht="18" customHeight="1" collapsed="1" x14ac:dyDescent="0.25">
      <c r="A39" s="144"/>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45" t="s">
        <v>16</v>
      </c>
      <c r="B40" s="45"/>
      <c r="C40" s="40"/>
      <c r="D40" s="45"/>
      <c r="E40" s="39"/>
      <c r="F40" s="45"/>
      <c r="G40" s="40"/>
      <c r="H40" s="45"/>
      <c r="I40" s="39"/>
      <c r="J40" s="45"/>
      <c r="K40" s="39"/>
      <c r="L40" s="39"/>
      <c r="M40" s="53"/>
    </row>
    <row r="41" spans="1:13" ht="18" hidden="1" customHeight="1" outlineLevel="1" x14ac:dyDescent="0.25">
      <c r="A41" s="145"/>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45"/>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44" t="s">
        <v>21</v>
      </c>
      <c r="B43" s="43"/>
      <c r="C43" s="41"/>
      <c r="D43" s="43"/>
      <c r="E43" s="38"/>
      <c r="F43" s="43"/>
      <c r="G43" s="41"/>
      <c r="H43" s="43"/>
      <c r="I43" s="38"/>
      <c r="J43" s="43"/>
      <c r="K43" s="38"/>
      <c r="L43" s="38"/>
      <c r="M43" s="52"/>
    </row>
    <row r="44" spans="1:13" ht="18" hidden="1" customHeight="1" outlineLevel="1" x14ac:dyDescent="0.25">
      <c r="A44" s="144"/>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44"/>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44"/>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44"/>
      <c r="B47" s="42">
        <v>42187</v>
      </c>
      <c r="C47" s="41">
        <v>2000</v>
      </c>
      <c r="D47" s="43">
        <v>21.49</v>
      </c>
      <c r="E47" s="38">
        <f>C47*D47</f>
        <v>42980</v>
      </c>
      <c r="F47" s="42"/>
      <c r="G47" s="41"/>
      <c r="H47" s="43"/>
      <c r="I47" s="38">
        <f>G47*H47</f>
        <v>0</v>
      </c>
      <c r="J47" s="43"/>
      <c r="K47" s="38"/>
      <c r="L47" s="38"/>
      <c r="M47" s="52"/>
    </row>
    <row r="48" spans="1:13" ht="18" customHeight="1" collapsed="1" x14ac:dyDescent="0.25">
      <c r="A48" s="144"/>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45" t="s">
        <v>9</v>
      </c>
      <c r="B49" s="45"/>
      <c r="C49" s="40"/>
      <c r="D49" s="45"/>
      <c r="E49" s="39"/>
      <c r="F49" s="45"/>
      <c r="G49" s="40"/>
      <c r="H49" s="45"/>
      <c r="I49" s="39"/>
      <c r="J49" s="45"/>
      <c r="K49" s="39"/>
      <c r="L49" s="40"/>
      <c r="M49" s="40"/>
    </row>
    <row r="50" spans="1:13" ht="18" hidden="1" customHeight="1" outlineLevel="1" x14ac:dyDescent="0.25">
      <c r="A50" s="145"/>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45"/>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45"/>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45"/>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45"/>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45"/>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45"/>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45"/>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45"/>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45"/>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45"/>
      <c r="B60" s="46">
        <v>42152</v>
      </c>
      <c r="C60" s="40">
        <v>2000</v>
      </c>
      <c r="D60" s="45">
        <v>5.15</v>
      </c>
      <c r="E60" s="39">
        <f t="shared" si="4"/>
        <v>10300</v>
      </c>
      <c r="F60" s="45"/>
      <c r="G60" s="40"/>
      <c r="H60" s="45"/>
      <c r="I60" s="39"/>
      <c r="J60" s="45"/>
      <c r="K60" s="39"/>
      <c r="L60" s="40"/>
      <c r="M60" s="40"/>
    </row>
    <row r="61" spans="1:13" ht="18" hidden="1" customHeight="1" outlineLevel="1" x14ac:dyDescent="0.25">
      <c r="A61" s="145"/>
      <c r="B61" s="46">
        <v>42158</v>
      </c>
      <c r="C61" s="40">
        <v>500</v>
      </c>
      <c r="D61" s="45">
        <v>5.09</v>
      </c>
      <c r="E61" s="39">
        <f t="shared" si="4"/>
        <v>2545</v>
      </c>
      <c r="F61" s="45"/>
      <c r="G61" s="40"/>
      <c r="H61" s="45"/>
      <c r="I61" s="39"/>
      <c r="J61" s="45"/>
      <c r="K61" s="39"/>
      <c r="L61" s="40"/>
      <c r="M61" s="40"/>
    </row>
    <row r="62" spans="1:13" ht="18" hidden="1" customHeight="1" outlineLevel="1" x14ac:dyDescent="0.25">
      <c r="A62" s="145"/>
      <c r="B62" s="46">
        <v>42158</v>
      </c>
      <c r="C62" s="40">
        <v>1000</v>
      </c>
      <c r="D62" s="45">
        <v>5.04</v>
      </c>
      <c r="E62" s="39">
        <f t="shared" si="4"/>
        <v>5040</v>
      </c>
      <c r="F62" s="45"/>
      <c r="G62" s="40"/>
      <c r="H62" s="45"/>
      <c r="I62" s="39"/>
      <c r="J62" s="45"/>
      <c r="K62" s="39"/>
      <c r="L62" s="40"/>
      <c r="M62" s="40"/>
    </row>
    <row r="63" spans="1:13" ht="18" hidden="1" customHeight="1" outlineLevel="1" x14ac:dyDescent="0.25">
      <c r="A63" s="145"/>
      <c r="B63" s="46">
        <v>42158</v>
      </c>
      <c r="C63" s="40">
        <v>200</v>
      </c>
      <c r="D63" s="45">
        <v>5.05</v>
      </c>
      <c r="E63" s="39">
        <f t="shared" si="4"/>
        <v>1010</v>
      </c>
      <c r="F63" s="45"/>
      <c r="G63" s="40"/>
      <c r="H63" s="45"/>
      <c r="I63" s="39"/>
      <c r="J63" s="45"/>
      <c r="K63" s="39"/>
      <c r="L63" s="40"/>
      <c r="M63" s="40"/>
    </row>
    <row r="64" spans="1:13" ht="18" hidden="1" customHeight="1" outlineLevel="1" x14ac:dyDescent="0.25">
      <c r="A64" s="145"/>
      <c r="B64" s="46">
        <v>42164</v>
      </c>
      <c r="C64" s="40">
        <v>500</v>
      </c>
      <c r="D64" s="45">
        <v>5.07</v>
      </c>
      <c r="E64" s="39">
        <f t="shared" si="4"/>
        <v>2535</v>
      </c>
      <c r="F64" s="45"/>
      <c r="G64" s="40"/>
      <c r="H64" s="45"/>
      <c r="I64" s="39"/>
      <c r="J64" s="45"/>
      <c r="K64" s="39"/>
      <c r="L64" s="40"/>
      <c r="M64" s="40"/>
    </row>
    <row r="65" spans="1:13" ht="18" hidden="1" customHeight="1" outlineLevel="1" x14ac:dyDescent="0.25">
      <c r="A65" s="145"/>
      <c r="B65" s="46">
        <v>42164</v>
      </c>
      <c r="C65" s="40">
        <v>1000</v>
      </c>
      <c r="D65" s="45">
        <v>5.04</v>
      </c>
      <c r="E65" s="39">
        <f t="shared" si="4"/>
        <v>5040</v>
      </c>
      <c r="F65" s="45"/>
      <c r="G65" s="40"/>
      <c r="H65" s="45"/>
      <c r="I65" s="39"/>
      <c r="J65" s="45"/>
      <c r="K65" s="39"/>
      <c r="L65" s="40"/>
      <c r="M65" s="40"/>
    </row>
    <row r="66" spans="1:13" ht="18" hidden="1" customHeight="1" outlineLevel="1" x14ac:dyDescent="0.25">
      <c r="A66" s="145"/>
      <c r="B66" s="46">
        <v>42164</v>
      </c>
      <c r="C66" s="40">
        <v>1000</v>
      </c>
      <c r="D66" s="45">
        <v>5.01</v>
      </c>
      <c r="E66" s="39">
        <f t="shared" si="4"/>
        <v>5010</v>
      </c>
      <c r="F66" s="45"/>
      <c r="G66" s="40"/>
      <c r="H66" s="45"/>
      <c r="I66" s="39"/>
      <c r="J66" s="45"/>
      <c r="K66" s="39"/>
      <c r="L66" s="40"/>
      <c r="M66" s="40"/>
    </row>
    <row r="67" spans="1:13" ht="18" hidden="1" customHeight="1" outlineLevel="1" x14ac:dyDescent="0.25">
      <c r="A67" s="145"/>
      <c r="B67" s="46">
        <v>42173</v>
      </c>
      <c r="C67" s="40">
        <v>500</v>
      </c>
      <c r="D67" s="45">
        <v>4.88</v>
      </c>
      <c r="E67" s="39">
        <f t="shared" si="4"/>
        <v>2440</v>
      </c>
      <c r="F67" s="45"/>
      <c r="G67" s="40"/>
      <c r="H67" s="45"/>
      <c r="I67" s="39"/>
      <c r="J67" s="45"/>
      <c r="K67" s="39"/>
      <c r="L67" s="40"/>
      <c r="M67" s="40"/>
    </row>
    <row r="68" spans="1:13" ht="18" hidden="1" customHeight="1" outlineLevel="1" x14ac:dyDescent="0.25">
      <c r="A68" s="145"/>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45"/>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45"/>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45"/>
      <c r="B71" s="46">
        <v>42187</v>
      </c>
      <c r="C71" s="40">
        <v>2000</v>
      </c>
      <c r="D71" s="45">
        <v>4.97</v>
      </c>
      <c r="E71" s="39">
        <f t="shared" si="4"/>
        <v>9940</v>
      </c>
      <c r="F71" s="45"/>
      <c r="G71" s="40"/>
      <c r="H71" s="45"/>
      <c r="I71" s="39"/>
      <c r="J71" s="45"/>
      <c r="K71" s="39"/>
      <c r="L71" s="40"/>
      <c r="M71" s="40"/>
    </row>
    <row r="72" spans="1:13" ht="18" hidden="1" customHeight="1" outlineLevel="1" x14ac:dyDescent="0.25">
      <c r="A72" s="145"/>
      <c r="B72" s="46">
        <v>42199</v>
      </c>
      <c r="C72" s="40">
        <v>500</v>
      </c>
      <c r="D72" s="45">
        <v>4.8</v>
      </c>
      <c r="E72" s="39">
        <f t="shared" si="4"/>
        <v>2400</v>
      </c>
      <c r="F72" s="45"/>
      <c r="G72" s="40"/>
      <c r="H72" s="45"/>
      <c r="I72" s="39"/>
      <c r="J72" s="45"/>
      <c r="K72" s="39"/>
      <c r="L72" s="40"/>
      <c r="M72" s="40"/>
    </row>
    <row r="73" spans="1:13" ht="18" hidden="1" customHeight="1" outlineLevel="1" x14ac:dyDescent="0.25">
      <c r="A73" s="145"/>
      <c r="B73" s="46">
        <v>42212</v>
      </c>
      <c r="C73" s="40">
        <v>300</v>
      </c>
      <c r="D73" s="45">
        <v>4.76</v>
      </c>
      <c r="E73" s="39">
        <f t="shared" si="4"/>
        <v>1428</v>
      </c>
      <c r="F73" s="45"/>
      <c r="G73" s="40"/>
      <c r="H73" s="45"/>
      <c r="I73" s="39"/>
      <c r="J73" s="45"/>
      <c r="K73" s="39"/>
      <c r="L73" s="40"/>
      <c r="M73" s="40"/>
    </row>
    <row r="74" spans="1:13" ht="18" hidden="1" customHeight="1" outlineLevel="1" x14ac:dyDescent="0.25">
      <c r="A74" s="145"/>
      <c r="B74" s="46">
        <v>42212</v>
      </c>
      <c r="C74" s="40">
        <v>1700</v>
      </c>
      <c r="D74" s="45">
        <v>4.76</v>
      </c>
      <c r="E74" s="39">
        <f t="shared" si="4"/>
        <v>8092</v>
      </c>
      <c r="F74" s="45"/>
      <c r="G74" s="40"/>
      <c r="H74" s="45"/>
      <c r="I74" s="39"/>
      <c r="J74" s="45"/>
      <c r="K74" s="39"/>
      <c r="L74" s="40"/>
      <c r="M74" s="40"/>
    </row>
    <row r="75" spans="1:13" ht="18" hidden="1" customHeight="1" outlineLevel="1" x14ac:dyDescent="0.25">
      <c r="A75" s="145"/>
      <c r="B75" s="46">
        <v>42214</v>
      </c>
      <c r="C75" s="40">
        <v>500</v>
      </c>
      <c r="D75" s="45">
        <v>4.68</v>
      </c>
      <c r="E75" s="39">
        <f t="shared" si="4"/>
        <v>2340</v>
      </c>
      <c r="F75" s="45"/>
      <c r="G75" s="40"/>
      <c r="H75" s="45"/>
      <c r="I75" s="39"/>
      <c r="J75" s="45"/>
      <c r="K75" s="39"/>
      <c r="L75" s="40"/>
      <c r="M75" s="40"/>
    </row>
    <row r="76" spans="1:13" ht="18" hidden="1" customHeight="1" outlineLevel="1" x14ac:dyDescent="0.25">
      <c r="A76" s="145"/>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45"/>
      <c r="B77" s="46">
        <v>42214</v>
      </c>
      <c r="C77" s="40">
        <v>200</v>
      </c>
      <c r="D77" s="45">
        <v>4.63</v>
      </c>
      <c r="E77" s="39">
        <f t="shared" si="4"/>
        <v>926</v>
      </c>
      <c r="F77" s="45"/>
      <c r="G77" s="40"/>
      <c r="H77" s="45"/>
      <c r="I77" s="39"/>
      <c r="J77" s="45"/>
      <c r="K77" s="39"/>
      <c r="L77" s="40"/>
      <c r="M77" s="40"/>
    </row>
    <row r="78" spans="1:13" ht="18" hidden="1" customHeight="1" outlineLevel="1" x14ac:dyDescent="0.25">
      <c r="A78" s="145"/>
      <c r="B78" s="46">
        <v>42214</v>
      </c>
      <c r="C78" s="40">
        <v>300</v>
      </c>
      <c r="D78" s="45">
        <v>4.59</v>
      </c>
      <c r="E78" s="39">
        <f t="shared" si="4"/>
        <v>1377</v>
      </c>
      <c r="F78" s="45"/>
      <c r="G78" s="40"/>
      <c r="H78" s="45"/>
      <c r="I78" s="39"/>
      <c r="J78" s="45"/>
      <c r="K78" s="39"/>
      <c r="L78" s="40"/>
      <c r="M78" s="40"/>
    </row>
    <row r="79" spans="1:13" ht="18" hidden="1" customHeight="1" outlineLevel="1" x14ac:dyDescent="0.25">
      <c r="A79" s="145"/>
      <c r="B79" s="46">
        <v>42214</v>
      </c>
      <c r="C79" s="40">
        <v>500</v>
      </c>
      <c r="D79" s="45">
        <v>4.54</v>
      </c>
      <c r="E79" s="39">
        <f t="shared" si="4"/>
        <v>2270</v>
      </c>
      <c r="F79" s="45"/>
      <c r="G79" s="40"/>
      <c r="H79" s="45"/>
      <c r="I79" s="39"/>
      <c r="J79" s="45"/>
      <c r="K79" s="39"/>
      <c r="L79" s="40"/>
      <c r="M79" s="40"/>
    </row>
    <row r="80" spans="1:13" ht="18" customHeight="1" collapsed="1" x14ac:dyDescent="0.25">
      <c r="A80" s="145"/>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44" t="s">
        <v>25</v>
      </c>
      <c r="B81" s="43"/>
      <c r="C81" s="41"/>
      <c r="D81" s="43"/>
      <c r="E81" s="38"/>
      <c r="F81" s="43"/>
      <c r="G81" s="41"/>
      <c r="H81" s="43"/>
      <c r="I81" s="38"/>
      <c r="J81" s="43"/>
      <c r="K81" s="38"/>
      <c r="L81" s="38"/>
      <c r="M81" s="52"/>
    </row>
    <row r="82" spans="1:13" ht="18" hidden="1" customHeight="1" outlineLevel="1" x14ac:dyDescent="0.25">
      <c r="A82" s="144"/>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44"/>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45" t="s">
        <v>36</v>
      </c>
      <c r="B84" s="45"/>
      <c r="C84" s="40"/>
      <c r="D84" s="45"/>
      <c r="E84" s="39"/>
      <c r="F84" s="45"/>
      <c r="G84" s="40"/>
      <c r="H84" s="45"/>
      <c r="I84" s="39"/>
      <c r="J84" s="45"/>
      <c r="K84" s="39"/>
      <c r="L84" s="39"/>
      <c r="M84" s="53"/>
    </row>
    <row r="85" spans="1:13" ht="18" hidden="1" customHeight="1" outlineLevel="1" x14ac:dyDescent="0.25">
      <c r="A85" s="145"/>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45"/>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45"/>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44" t="s">
        <v>14</v>
      </c>
      <c r="B88" s="43"/>
      <c r="C88" s="41"/>
      <c r="D88" s="43"/>
      <c r="E88" s="38"/>
      <c r="F88" s="43"/>
      <c r="G88" s="41"/>
      <c r="H88" s="43"/>
      <c r="I88" s="38"/>
      <c r="J88" s="43"/>
      <c r="K88" s="38"/>
      <c r="L88" s="38"/>
      <c r="M88" s="52"/>
    </row>
    <row r="89" spans="1:13" ht="18" hidden="1" customHeight="1" outlineLevel="1" x14ac:dyDescent="0.25">
      <c r="A89" s="144"/>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44"/>
      <c r="B90" s="42">
        <v>42164</v>
      </c>
      <c r="C90" s="41">
        <v>48</v>
      </c>
      <c r="D90" s="43">
        <v>49.9</v>
      </c>
      <c r="E90" s="38">
        <f>C90*D90</f>
        <v>2395.1999999999998</v>
      </c>
      <c r="F90" s="43"/>
      <c r="G90" s="41"/>
      <c r="H90" s="43"/>
      <c r="I90" s="38"/>
      <c r="J90" s="43"/>
      <c r="K90" s="38"/>
      <c r="L90" s="38"/>
      <c r="M90" s="52"/>
    </row>
    <row r="91" spans="1:13" ht="18" hidden="1" customHeight="1" outlineLevel="1" x14ac:dyDescent="0.25">
      <c r="A91" s="144"/>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44"/>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44"/>
      <c r="B93" s="42">
        <v>42173</v>
      </c>
      <c r="C93" s="41">
        <v>25</v>
      </c>
      <c r="D93" s="43">
        <v>47.54</v>
      </c>
      <c r="E93" s="38">
        <f>C93*D93</f>
        <v>1188.5</v>
      </c>
      <c r="F93" s="43"/>
      <c r="G93" s="41"/>
      <c r="H93" s="43"/>
      <c r="I93" s="38">
        <f>G93*H93</f>
        <v>0</v>
      </c>
      <c r="J93" s="43"/>
      <c r="K93" s="38"/>
      <c r="L93" s="38"/>
      <c r="M93" s="52"/>
    </row>
    <row r="94" spans="1:13" ht="18" customHeight="1" collapsed="1" x14ac:dyDescent="0.25">
      <c r="A94" s="144"/>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45" t="s">
        <v>41</v>
      </c>
      <c r="B95" s="45"/>
      <c r="C95" s="40"/>
      <c r="D95" s="45"/>
      <c r="E95" s="39"/>
      <c r="F95" s="45"/>
      <c r="G95" s="40"/>
      <c r="H95" s="45"/>
      <c r="I95" s="39"/>
      <c r="J95" s="45"/>
      <c r="K95" s="39"/>
      <c r="L95" s="39"/>
      <c r="M95" s="53"/>
    </row>
    <row r="96" spans="1:13" ht="18" hidden="1" customHeight="1" outlineLevel="1" x14ac:dyDescent="0.25">
      <c r="A96" s="145"/>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45"/>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44" t="s">
        <v>46</v>
      </c>
      <c r="B98" s="43"/>
      <c r="C98" s="41"/>
      <c r="D98" s="43"/>
      <c r="E98" s="38"/>
      <c r="F98" s="43"/>
      <c r="G98" s="41"/>
      <c r="H98" s="43"/>
      <c r="I98" s="38"/>
      <c r="J98" s="43"/>
      <c r="K98" s="38"/>
      <c r="L98" s="38"/>
      <c r="M98" s="52"/>
    </row>
    <row r="99" spans="1:13" ht="18" hidden="1" customHeight="1" outlineLevel="1" x14ac:dyDescent="0.25">
      <c r="A99" s="144"/>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44"/>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45" t="s">
        <v>28</v>
      </c>
      <c r="B101" s="45"/>
      <c r="C101" s="40"/>
      <c r="D101" s="45"/>
      <c r="E101" s="39"/>
      <c r="F101" s="45"/>
      <c r="G101" s="40"/>
      <c r="H101" s="45"/>
      <c r="I101" s="39"/>
      <c r="J101" s="45"/>
      <c r="K101" s="39"/>
      <c r="L101" s="39"/>
      <c r="M101" s="53"/>
    </row>
    <row r="102" spans="1:13" ht="18" hidden="1" customHeight="1" outlineLevel="1" x14ac:dyDescent="0.25">
      <c r="A102" s="145"/>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45"/>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45"/>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44" t="s">
        <v>0</v>
      </c>
      <c r="B105" s="43"/>
      <c r="C105" s="41"/>
      <c r="D105" s="43"/>
      <c r="E105" s="38"/>
      <c r="F105" s="43"/>
      <c r="G105" s="41"/>
      <c r="H105" s="43"/>
      <c r="I105" s="38"/>
      <c r="J105" s="43"/>
      <c r="K105" s="38"/>
      <c r="L105" s="38"/>
      <c r="M105" s="52"/>
    </row>
    <row r="106" spans="1:13" ht="18" hidden="1" customHeight="1" outlineLevel="1" x14ac:dyDescent="0.25">
      <c r="A106" s="144"/>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44"/>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45" t="s">
        <v>49</v>
      </c>
      <c r="B108" s="45"/>
      <c r="C108" s="40"/>
      <c r="D108" s="45"/>
      <c r="E108" s="39"/>
      <c r="F108" s="45"/>
      <c r="G108" s="40"/>
      <c r="H108" s="45"/>
      <c r="I108" s="39"/>
      <c r="J108" s="45"/>
      <c r="K108" s="39"/>
      <c r="L108" s="39"/>
      <c r="M108" s="53"/>
    </row>
    <row r="109" spans="1:13" ht="18" hidden="1" customHeight="1" outlineLevel="1" x14ac:dyDescent="0.25">
      <c r="A109" s="145"/>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45"/>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44" t="s">
        <v>13</v>
      </c>
      <c r="B111" s="43"/>
      <c r="C111" s="41"/>
      <c r="D111" s="43"/>
      <c r="E111" s="38"/>
      <c r="F111" s="43"/>
      <c r="G111" s="41"/>
      <c r="H111" s="43"/>
      <c r="I111" s="38"/>
      <c r="J111" s="43"/>
      <c r="K111" s="38"/>
      <c r="L111" s="38"/>
      <c r="M111" s="41"/>
    </row>
    <row r="112" spans="1:13" ht="18" hidden="1" customHeight="1" outlineLevel="1" x14ac:dyDescent="0.25">
      <c r="A112" s="144"/>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44"/>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44"/>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44"/>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44"/>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44"/>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44"/>
      <c r="B118" s="42">
        <v>42166</v>
      </c>
      <c r="C118" s="41">
        <v>100</v>
      </c>
      <c r="D118" s="43">
        <v>51.35</v>
      </c>
      <c r="E118" s="38">
        <f t="shared" si="7"/>
        <v>5135</v>
      </c>
      <c r="F118" s="43"/>
      <c r="G118" s="41"/>
      <c r="H118" s="43"/>
      <c r="I118" s="38"/>
      <c r="J118" s="43"/>
      <c r="K118" s="38"/>
      <c r="L118" s="38"/>
      <c r="M118" s="52"/>
    </row>
    <row r="119" spans="1:13" ht="18" customHeight="1" collapsed="1" x14ac:dyDescent="0.25">
      <c r="A119" s="144"/>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45" t="s">
        <v>20</v>
      </c>
      <c r="B120" s="45"/>
      <c r="C120" s="40"/>
      <c r="D120" s="45"/>
      <c r="E120" s="39"/>
      <c r="F120" s="45"/>
      <c r="G120" s="40"/>
      <c r="H120" s="45"/>
      <c r="I120" s="39"/>
      <c r="J120" s="45"/>
      <c r="K120" s="39"/>
      <c r="L120" s="39"/>
      <c r="M120" s="53"/>
    </row>
    <row r="121" spans="1:13" ht="18" hidden="1" customHeight="1" outlineLevel="1" x14ac:dyDescent="0.25">
      <c r="A121" s="145"/>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45"/>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45"/>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45"/>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45"/>
      <c r="B125" s="46">
        <v>42186</v>
      </c>
      <c r="C125" s="40">
        <v>297</v>
      </c>
      <c r="D125" s="45">
        <v>19.13</v>
      </c>
      <c r="E125" s="39">
        <f>C125*D125</f>
        <v>5681.61</v>
      </c>
      <c r="F125" s="45"/>
      <c r="G125" s="40"/>
      <c r="H125" s="45"/>
      <c r="I125" s="39"/>
      <c r="J125" s="45"/>
      <c r="K125" s="39"/>
      <c r="L125" s="39"/>
      <c r="M125" s="53"/>
    </row>
    <row r="126" spans="1:13" ht="18" customHeight="1" collapsed="1" x14ac:dyDescent="0.25">
      <c r="A126" s="145"/>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44" t="s">
        <v>31</v>
      </c>
      <c r="B127" s="43"/>
      <c r="C127" s="41"/>
      <c r="D127" s="43"/>
      <c r="E127" s="38"/>
      <c r="F127" s="43"/>
      <c r="G127" s="41"/>
      <c r="H127" s="43"/>
      <c r="I127" s="38"/>
      <c r="J127" s="43"/>
      <c r="K127" s="38"/>
      <c r="L127" s="38"/>
      <c r="M127" s="52"/>
    </row>
    <row r="128" spans="1:13" ht="18" hidden="1" customHeight="1" outlineLevel="1" x14ac:dyDescent="0.25">
      <c r="A128" s="144"/>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44"/>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46" t="s">
        <v>149</v>
      </c>
      <c r="B136" s="146"/>
      <c r="C136" s="146"/>
      <c r="D136" s="146"/>
      <c r="E136" s="146"/>
      <c r="F136" s="146"/>
    </row>
    <row r="137" spans="1:14" ht="18" customHeight="1" x14ac:dyDescent="0.25">
      <c r="A137" s="147"/>
      <c r="B137" s="147"/>
      <c r="C137" s="147"/>
      <c r="D137" s="147"/>
      <c r="E137" s="147"/>
      <c r="F137" s="147"/>
    </row>
    <row r="138" spans="1:14" ht="18" customHeight="1" x14ac:dyDescent="0.25">
      <c r="A138" s="86"/>
      <c r="B138" s="86"/>
      <c r="C138" s="86"/>
      <c r="D138" s="86"/>
      <c r="E138" s="86"/>
      <c r="F138" s="86"/>
    </row>
    <row r="139" spans="1:14" ht="18" customHeight="1" x14ac:dyDescent="0.25">
      <c r="A139" s="86"/>
      <c r="B139" s="37" t="s">
        <v>151</v>
      </c>
      <c r="C139" s="87" t="s">
        <v>150</v>
      </c>
      <c r="D139" s="37" t="s">
        <v>152</v>
      </c>
      <c r="E139" s="51" t="s">
        <v>229</v>
      </c>
      <c r="F139" s="51" t="s">
        <v>87</v>
      </c>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4"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44"/>
      <c r="B153" s="85">
        <v>42245</v>
      </c>
      <c r="C153" s="92">
        <v>311200.71000000002</v>
      </c>
      <c r="D153" s="48">
        <v>360000</v>
      </c>
      <c r="E153" s="48">
        <f t="shared" si="8"/>
        <v>-48799.289999999979</v>
      </c>
      <c r="F153" s="119">
        <f>E153/D153</f>
        <v>-0.13555358333333328</v>
      </c>
    </row>
    <row r="154" spans="1:6" ht="18" customHeight="1" x14ac:dyDescent="0.25">
      <c r="A154" s="44"/>
      <c r="B154" s="85">
        <v>42246</v>
      </c>
      <c r="C154" s="92">
        <v>307243.09000000003</v>
      </c>
      <c r="D154" s="48">
        <v>365000</v>
      </c>
      <c r="E154" s="48">
        <f t="shared" si="8"/>
        <v>-57756.909999999974</v>
      </c>
      <c r="F154" s="119">
        <f>E154/D154</f>
        <v>-0.15823810958904103</v>
      </c>
    </row>
    <row r="155" spans="1:6" ht="18" customHeight="1" x14ac:dyDescent="0.25">
      <c r="A155" s="44"/>
      <c r="B155" s="85">
        <v>42247</v>
      </c>
      <c r="C155" s="92"/>
      <c r="D155" s="48">
        <v>365000</v>
      </c>
      <c r="F155" s="119"/>
    </row>
    <row r="156" spans="1:6" ht="18" customHeight="1" x14ac:dyDescent="0.25">
      <c r="A156" s="44"/>
      <c r="B156" s="85">
        <v>42248</v>
      </c>
      <c r="C156" s="92"/>
      <c r="D156" s="48">
        <v>365000</v>
      </c>
      <c r="F156" s="119"/>
    </row>
    <row r="157" spans="1:6" ht="18" customHeight="1" x14ac:dyDescent="0.25">
      <c r="A157" s="44"/>
      <c r="B157" s="85">
        <v>42249</v>
      </c>
      <c r="C157" s="92"/>
      <c r="D157" s="48">
        <v>365000</v>
      </c>
      <c r="F157" s="119"/>
    </row>
    <row r="158" spans="1:6" ht="18" customHeight="1" x14ac:dyDescent="0.25">
      <c r="A158" s="44"/>
      <c r="B158" s="85">
        <v>42250</v>
      </c>
      <c r="C158" s="92"/>
      <c r="D158" s="48">
        <v>365000</v>
      </c>
      <c r="F158" s="119"/>
    </row>
    <row r="159" spans="1:6" ht="18" customHeight="1" x14ac:dyDescent="0.25">
      <c r="A159" s="44"/>
      <c r="B159" s="85">
        <v>42251</v>
      </c>
      <c r="C159" s="92"/>
      <c r="D159" s="48">
        <v>365000</v>
      </c>
    </row>
    <row r="160" spans="1:6" ht="18" customHeight="1" x14ac:dyDescent="0.25">
      <c r="A160" s="44"/>
      <c r="B160" s="85">
        <v>42252</v>
      </c>
      <c r="C160" s="92"/>
      <c r="D160" s="48">
        <v>365000</v>
      </c>
    </row>
    <row r="161" spans="1:4" ht="18" customHeight="1" x14ac:dyDescent="0.25">
      <c r="A161" s="44"/>
      <c r="B161" s="85">
        <v>42253</v>
      </c>
      <c r="C161" s="92"/>
      <c r="D161" s="48">
        <v>365000</v>
      </c>
    </row>
    <row r="162" spans="1:4" ht="18" customHeight="1" x14ac:dyDescent="0.25">
      <c r="A162" s="44"/>
      <c r="B162" s="85">
        <v>42254</v>
      </c>
      <c r="C162" s="92"/>
      <c r="D162" s="48">
        <v>365000</v>
      </c>
    </row>
    <row r="163" spans="1:4" ht="18" customHeight="1" x14ac:dyDescent="0.25">
      <c r="A163" s="44"/>
      <c r="B163" s="85">
        <v>42255</v>
      </c>
      <c r="C163" s="92"/>
      <c r="D163" s="48">
        <v>365000</v>
      </c>
    </row>
    <row r="164" spans="1:4" ht="18" customHeight="1" x14ac:dyDescent="0.25">
      <c r="A164" s="44"/>
      <c r="B164" s="85">
        <v>42256</v>
      </c>
      <c r="C164" s="92"/>
      <c r="D164" s="48">
        <v>365000</v>
      </c>
    </row>
    <row r="165" spans="1:4" ht="18" customHeight="1" x14ac:dyDescent="0.25">
      <c r="A165" s="44"/>
      <c r="B165" s="85">
        <v>42257</v>
      </c>
      <c r="C165" s="92"/>
      <c r="D165" s="48">
        <v>365000</v>
      </c>
    </row>
    <row r="166" spans="1:4" ht="18" customHeight="1" x14ac:dyDescent="0.25">
      <c r="A166" s="44"/>
      <c r="B166" s="85">
        <v>42258</v>
      </c>
      <c r="C166" s="92"/>
      <c r="D166" s="48">
        <v>365000</v>
      </c>
    </row>
    <row r="167" spans="1:4" ht="18" customHeight="1" x14ac:dyDescent="0.25">
      <c r="A167" s="44"/>
      <c r="B167" s="85">
        <v>42259</v>
      </c>
      <c r="C167" s="92"/>
      <c r="D167" s="48">
        <v>365000</v>
      </c>
    </row>
    <row r="168" spans="1:4" ht="18" customHeight="1" x14ac:dyDescent="0.25">
      <c r="A168" s="44"/>
      <c r="B168" s="85">
        <v>42260</v>
      </c>
      <c r="C168" s="92"/>
      <c r="D168" s="48">
        <v>365000</v>
      </c>
    </row>
    <row r="169" spans="1:4" ht="18" customHeight="1" x14ac:dyDescent="0.25">
      <c r="A169" s="44"/>
      <c r="B169" s="85">
        <v>42261</v>
      </c>
      <c r="C169" s="92"/>
      <c r="D169" s="48">
        <v>365000</v>
      </c>
    </row>
    <row r="170" spans="1:4" ht="18" customHeight="1" x14ac:dyDescent="0.25">
      <c r="A170" s="44"/>
      <c r="B170" s="85">
        <v>42262</v>
      </c>
      <c r="C170" s="92"/>
      <c r="D170" s="48">
        <v>365000</v>
      </c>
    </row>
  </sheetData>
  <mergeCells count="2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tabSelected="1" workbookViewId="0">
      <pane ySplit="1" topLeftCell="A2" activePane="bottomLeft" state="frozen"/>
      <selection pane="bottomLeft" activeCell="Q12" sqref="Q12"/>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156</v>
      </c>
      <c r="C1" s="112"/>
      <c r="D1" s="108"/>
      <c r="E1" s="108" t="s">
        <v>82</v>
      </c>
      <c r="F1" s="109" t="s">
        <v>85</v>
      </c>
      <c r="G1" s="109" t="s">
        <v>83</v>
      </c>
      <c r="H1" s="108" t="s">
        <v>57</v>
      </c>
      <c r="I1" s="109" t="s">
        <v>84</v>
      </c>
      <c r="J1" s="109" t="s">
        <v>65</v>
      </c>
      <c r="K1" s="110" t="s">
        <v>153</v>
      </c>
      <c r="L1" s="110" t="s">
        <v>164</v>
      </c>
    </row>
    <row r="2" spans="1:15" ht="18.95" customHeight="1" x14ac:dyDescent="0.25">
      <c r="A2" s="101"/>
      <c r="B2" s="101"/>
      <c r="C2" s="102"/>
      <c r="D2" s="103"/>
      <c r="E2" s="36" t="s">
        <v>10</v>
      </c>
      <c r="F2" s="99">
        <v>9.2200000000000006</v>
      </c>
      <c r="G2" s="99">
        <v>11.085314285714288</v>
      </c>
      <c r="H2" s="100">
        <v>700</v>
      </c>
      <c r="I2" s="99">
        <v>7759.7200000000021</v>
      </c>
      <c r="J2" s="99">
        <v>-1293.7200000000021</v>
      </c>
      <c r="K2" s="116">
        <v>-0.16826895815828419</v>
      </c>
      <c r="L2" s="117" t="str">
        <f t="shared" ref="L2:L30" si="0">HYPERLINK("http://finance.yahoo.com/q?s=" &amp; E2, "Link")</f>
        <v>Link</v>
      </c>
    </row>
    <row r="3" spans="1:15" ht="18.95" customHeight="1" x14ac:dyDescent="0.25">
      <c r="A3" s="101"/>
      <c r="B3" s="101"/>
      <c r="C3" s="102"/>
      <c r="D3" s="103"/>
      <c r="E3" s="36" t="s">
        <v>18</v>
      </c>
      <c r="F3" s="99">
        <v>10.24</v>
      </c>
      <c r="G3" s="99">
        <v>29.640625</v>
      </c>
      <c r="H3" s="100">
        <v>80</v>
      </c>
      <c r="I3" s="99">
        <v>2371.25</v>
      </c>
      <c r="J3" s="99">
        <v>-1552.05</v>
      </c>
      <c r="K3" s="116">
        <v>-0.6545282024248813</v>
      </c>
      <c r="L3" s="117" t="str">
        <f t="shared" si="0"/>
        <v>Link</v>
      </c>
    </row>
    <row r="4" spans="1:15" ht="18.95" customHeight="1" x14ac:dyDescent="0.25">
      <c r="A4" s="101"/>
      <c r="B4" s="101"/>
      <c r="C4" s="102"/>
      <c r="D4" s="103"/>
      <c r="E4" s="36" t="s">
        <v>45</v>
      </c>
      <c r="F4" s="99">
        <v>57.14</v>
      </c>
      <c r="G4" s="99">
        <v>62.165999999999997</v>
      </c>
      <c r="H4" s="100">
        <v>100</v>
      </c>
      <c r="I4" s="99">
        <v>6216.5999999999995</v>
      </c>
      <c r="J4" s="99">
        <v>-502.59999999999945</v>
      </c>
      <c r="K4" s="116">
        <v>-8.0848051989833608E-2</v>
      </c>
      <c r="L4" s="117" t="str">
        <f t="shared" si="0"/>
        <v>Link</v>
      </c>
      <c r="N4" s="115"/>
      <c r="O4" s="115"/>
    </row>
    <row r="5" spans="1:15" ht="18.95" customHeight="1" x14ac:dyDescent="0.25">
      <c r="A5" s="101"/>
      <c r="B5" s="101"/>
      <c r="C5" s="102"/>
      <c r="D5" s="103"/>
      <c r="E5" s="36" t="s">
        <v>68</v>
      </c>
      <c r="F5" s="99">
        <v>7.66</v>
      </c>
      <c r="G5" s="99">
        <v>10.082500000000001</v>
      </c>
      <c r="H5" s="100">
        <v>120</v>
      </c>
      <c r="I5" s="99">
        <v>1209.9000000000001</v>
      </c>
      <c r="J5" s="99">
        <v>-290.70000000000005</v>
      </c>
      <c r="K5" s="116">
        <v>-0.24026779072650642</v>
      </c>
      <c r="L5" s="117" t="str">
        <f t="shared" si="0"/>
        <v>Link</v>
      </c>
      <c r="N5" s="115"/>
      <c r="O5" s="115"/>
    </row>
    <row r="6" spans="1:15" ht="18.95" customHeight="1" x14ac:dyDescent="0.25">
      <c r="A6" s="101"/>
      <c r="B6" s="101"/>
      <c r="C6" s="102"/>
      <c r="D6" s="103"/>
      <c r="E6" s="36" t="s">
        <v>33</v>
      </c>
      <c r="F6" s="99">
        <v>119.37</v>
      </c>
      <c r="G6" s="99">
        <v>124.15200000000002</v>
      </c>
      <c r="H6" s="100">
        <v>60</v>
      </c>
      <c r="I6" s="99">
        <v>7449.1200000000008</v>
      </c>
      <c r="J6" s="99">
        <v>-282.92000000000007</v>
      </c>
      <c r="K6" s="116">
        <v>-3.8517301372511199E-2</v>
      </c>
      <c r="L6" s="117" t="str">
        <f t="shared" si="0"/>
        <v>Link</v>
      </c>
    </row>
    <row r="7" spans="1:15" ht="18.95" customHeight="1" x14ac:dyDescent="0.25">
      <c r="A7" s="101"/>
      <c r="B7" s="101"/>
      <c r="C7" s="102"/>
      <c r="D7" s="103"/>
      <c r="E7" s="36" t="s">
        <v>62</v>
      </c>
      <c r="F7" s="99">
        <v>292.5</v>
      </c>
      <c r="G7" s="99">
        <v>309.35000000000002</v>
      </c>
      <c r="H7" s="100">
        <v>10</v>
      </c>
      <c r="I7" s="99">
        <v>3093.5</v>
      </c>
      <c r="J7" s="99">
        <v>-168.5</v>
      </c>
      <c r="K7" s="116">
        <v>-5.4469048003879174E-2</v>
      </c>
      <c r="L7" s="117" t="str">
        <f t="shared" si="0"/>
        <v>Link</v>
      </c>
    </row>
    <row r="8" spans="1:15" ht="18.95" customHeight="1" x14ac:dyDescent="0.25">
      <c r="A8" s="101"/>
      <c r="B8" s="101"/>
      <c r="C8" s="102"/>
      <c r="D8" s="103"/>
      <c r="E8" s="36" t="s">
        <v>11</v>
      </c>
      <c r="F8" s="99">
        <v>128.86000000000001</v>
      </c>
      <c r="G8" s="99">
        <v>150.67140000000001</v>
      </c>
      <c r="H8" s="100">
        <v>50</v>
      </c>
      <c r="I8" s="99">
        <v>7533.5700000000006</v>
      </c>
      <c r="J8" s="99">
        <v>-1090.5699999999997</v>
      </c>
      <c r="K8" s="116">
        <v>-0.14476138139023059</v>
      </c>
      <c r="L8" s="117" t="str">
        <f t="shared" si="0"/>
        <v>Link</v>
      </c>
    </row>
    <row r="9" spans="1:15" ht="18.95" customHeight="1" x14ac:dyDescent="0.25">
      <c r="A9" s="101"/>
      <c r="B9" s="101"/>
      <c r="C9" s="102"/>
      <c r="D9" s="103"/>
      <c r="E9" s="36" t="s">
        <v>52</v>
      </c>
      <c r="F9" s="99">
        <v>80.23</v>
      </c>
      <c r="G9" s="99">
        <v>82.314999999999998</v>
      </c>
      <c r="H9" s="100">
        <v>40</v>
      </c>
      <c r="I9" s="99">
        <v>3292.6</v>
      </c>
      <c r="J9" s="99">
        <v>-83.399999999999636</v>
      </c>
      <c r="K9" s="116">
        <v>-2.5329526817712372E-2</v>
      </c>
      <c r="L9" s="117" t="str">
        <f t="shared" si="0"/>
        <v>Link</v>
      </c>
    </row>
    <row r="10" spans="1:15" ht="18.95" customHeight="1" x14ac:dyDescent="0.25">
      <c r="A10" s="101"/>
      <c r="B10" s="101"/>
      <c r="C10" s="102"/>
      <c r="D10" s="103"/>
      <c r="E10" s="36" t="s">
        <v>17</v>
      </c>
      <c r="F10" s="99">
        <v>15.41</v>
      </c>
      <c r="G10" s="99">
        <v>18.047226190476191</v>
      </c>
      <c r="H10" s="100">
        <v>4200</v>
      </c>
      <c r="I10" s="99">
        <v>64722</v>
      </c>
      <c r="J10" s="99">
        <v>-11076.350000000006</v>
      </c>
      <c r="K10" s="116">
        <v>-0.14612917035792999</v>
      </c>
      <c r="L10" s="117" t="str">
        <f t="shared" si="0"/>
        <v>Link</v>
      </c>
    </row>
    <row r="11" spans="1:15" ht="18.95" customHeight="1" x14ac:dyDescent="0.25">
      <c r="A11" s="101"/>
      <c r="B11" s="102"/>
      <c r="C11" s="102"/>
      <c r="D11" s="103"/>
      <c r="E11" s="36" t="s">
        <v>19</v>
      </c>
      <c r="F11" s="99">
        <v>34.76</v>
      </c>
      <c r="G11" s="99">
        <v>32.507843137254902</v>
      </c>
      <c r="H11" s="100">
        <v>51</v>
      </c>
      <c r="I11" s="99">
        <v>1657.9</v>
      </c>
      <c r="J11" s="99">
        <v>122.5899999999999</v>
      </c>
      <c r="K11" s="116">
        <v>6.9280414982809513E-2</v>
      </c>
      <c r="L11" s="117" t="str">
        <f t="shared" si="0"/>
        <v>Link</v>
      </c>
      <c r="N11" s="115"/>
      <c r="O11" s="115"/>
    </row>
    <row r="12" spans="1:15" ht="18.95" customHeight="1" x14ac:dyDescent="0.25">
      <c r="A12" s="101"/>
      <c r="B12" s="101"/>
      <c r="C12" s="102"/>
      <c r="D12" s="103"/>
      <c r="E12" s="36" t="s">
        <v>63</v>
      </c>
      <c r="F12" s="99">
        <v>99.51</v>
      </c>
      <c r="G12" s="99">
        <v>110.09500000000001</v>
      </c>
      <c r="H12" s="100">
        <v>30</v>
      </c>
      <c r="I12" s="99">
        <v>3302.8500000000004</v>
      </c>
      <c r="J12" s="99">
        <v>-317.55000000000018</v>
      </c>
      <c r="K12" s="116">
        <v>-9.6144239066261017E-2</v>
      </c>
      <c r="L12" s="117" t="str">
        <f t="shared" si="0"/>
        <v>Link</v>
      </c>
      <c r="N12" s="115"/>
      <c r="O12" s="115"/>
    </row>
    <row r="13" spans="1:15" ht="18.95" customHeight="1" x14ac:dyDescent="0.25">
      <c r="A13" s="101"/>
      <c r="B13" s="101"/>
      <c r="C13" s="102"/>
      <c r="D13" s="103"/>
      <c r="E13" s="36" t="s">
        <v>55</v>
      </c>
      <c r="F13" s="99">
        <v>101.49</v>
      </c>
      <c r="G13" s="99">
        <v>108.71400000000001</v>
      </c>
      <c r="H13" s="100">
        <v>25</v>
      </c>
      <c r="I13" s="99">
        <v>2717.8500000000004</v>
      </c>
      <c r="J13" s="99">
        <v>-180.60000000000036</v>
      </c>
      <c r="K13" s="116">
        <v>-6.6449583310337373E-2</v>
      </c>
      <c r="L13" s="117" t="str">
        <f t="shared" si="0"/>
        <v>Link</v>
      </c>
      <c r="O13" s="115"/>
    </row>
    <row r="14" spans="1:15" ht="18.95" customHeight="1" x14ac:dyDescent="0.25">
      <c r="A14" s="101"/>
      <c r="B14" s="101"/>
      <c r="C14" s="102"/>
      <c r="D14" s="103"/>
      <c r="E14" s="36" t="s">
        <v>56</v>
      </c>
      <c r="F14" s="99">
        <v>28.64</v>
      </c>
      <c r="G14" s="99">
        <v>30.987500000000001</v>
      </c>
      <c r="H14" s="100">
        <v>40</v>
      </c>
      <c r="I14" s="99">
        <v>1239.5</v>
      </c>
      <c r="J14" s="99">
        <v>-93.900000000000091</v>
      </c>
      <c r="K14" s="116">
        <v>-7.5756353368293672E-2</v>
      </c>
      <c r="L14" s="117" t="str">
        <f t="shared" si="0"/>
        <v>Link</v>
      </c>
      <c r="O14" s="36"/>
    </row>
    <row r="15" spans="1:15" ht="18.95" customHeight="1" x14ac:dyDescent="0.25">
      <c r="A15" s="101"/>
      <c r="B15" s="101"/>
      <c r="C15" s="102"/>
      <c r="D15" s="103"/>
      <c r="E15" s="36" t="s">
        <v>22</v>
      </c>
      <c r="F15" s="99">
        <v>57.07</v>
      </c>
      <c r="G15" s="99">
        <v>60.66750000000004</v>
      </c>
      <c r="H15" s="100">
        <v>80</v>
      </c>
      <c r="I15" s="99">
        <v>4853.4000000000033</v>
      </c>
      <c r="J15" s="99">
        <v>-282.80000000000291</v>
      </c>
      <c r="K15" s="116">
        <v>-5.9298636007747756E-2</v>
      </c>
      <c r="L15" s="117" t="str">
        <f t="shared" si="0"/>
        <v>Link</v>
      </c>
    </row>
    <row r="16" spans="1:15" ht="18.95" customHeight="1" x14ac:dyDescent="0.25">
      <c r="A16" s="102"/>
      <c r="B16" s="101"/>
      <c r="C16" s="102"/>
      <c r="D16" s="103"/>
      <c r="E16" s="36" t="s">
        <v>27</v>
      </c>
      <c r="F16" s="99">
        <v>27.82</v>
      </c>
      <c r="G16" s="99">
        <v>29.610555555555557</v>
      </c>
      <c r="H16" s="100">
        <v>900</v>
      </c>
      <c r="I16" s="99">
        <v>26649.5</v>
      </c>
      <c r="J16" s="99">
        <v>-1611.5</v>
      </c>
      <c r="K16" s="116">
        <v>-6.0470177676879525E-2</v>
      </c>
      <c r="L16" s="117" t="str">
        <f t="shared" si="0"/>
        <v>Link</v>
      </c>
      <c r="N16" s="115"/>
      <c r="O16" s="115"/>
    </row>
    <row r="17" spans="1:15" ht="18.95" customHeight="1" x14ac:dyDescent="0.25">
      <c r="A17" s="101"/>
      <c r="B17" s="101"/>
      <c r="C17" s="102"/>
      <c r="D17" s="103"/>
      <c r="E17" s="36" t="s">
        <v>15</v>
      </c>
      <c r="F17" s="99">
        <v>18.45</v>
      </c>
      <c r="G17" s="99">
        <v>21.353833333333331</v>
      </c>
      <c r="H17" s="100">
        <v>120</v>
      </c>
      <c r="I17" s="99">
        <v>2562.4599999999996</v>
      </c>
      <c r="J17" s="99">
        <v>-348.45999999999958</v>
      </c>
      <c r="K17" s="116">
        <v>-0.13598651296020223</v>
      </c>
      <c r="L17" s="117" t="str">
        <f t="shared" si="0"/>
        <v>Link</v>
      </c>
    </row>
    <row r="18" spans="1:15" ht="18.95" customHeight="1" x14ac:dyDescent="0.25">
      <c r="A18" s="101"/>
      <c r="B18" s="101"/>
      <c r="C18" s="102"/>
      <c r="D18" s="103"/>
      <c r="E18" s="36" t="s">
        <v>24</v>
      </c>
      <c r="F18" s="99">
        <v>42.79</v>
      </c>
      <c r="G18" s="99">
        <v>48.684999999999988</v>
      </c>
      <c r="H18" s="100">
        <v>40</v>
      </c>
      <c r="I18" s="99">
        <v>1947.3999999999996</v>
      </c>
      <c r="J18" s="99">
        <v>-235.79999999999973</v>
      </c>
      <c r="K18" s="116">
        <v>-0.12108452295368163</v>
      </c>
      <c r="L18" s="117" t="str">
        <f t="shared" si="0"/>
        <v>Link</v>
      </c>
    </row>
    <row r="19" spans="1:15" ht="18.95" customHeight="1" x14ac:dyDescent="0.25">
      <c r="A19" s="101"/>
      <c r="B19" s="102"/>
      <c r="C19" s="102"/>
      <c r="D19" s="103"/>
      <c r="E19" s="36" t="s">
        <v>50</v>
      </c>
      <c r="F19" s="99">
        <v>16.850000000000001</v>
      </c>
      <c r="G19" s="99">
        <v>24.810221176470588</v>
      </c>
      <c r="H19" s="100">
        <v>4250</v>
      </c>
      <c r="I19" s="99">
        <v>105443.44</v>
      </c>
      <c r="J19" s="99">
        <v>-33830.94</v>
      </c>
      <c r="K19" s="116">
        <v>-0.3208444261681902</v>
      </c>
      <c r="L19" s="117" t="str">
        <f t="shared" si="0"/>
        <v>Link</v>
      </c>
      <c r="N19" s="115"/>
      <c r="O19" s="115"/>
    </row>
    <row r="20" spans="1:15" ht="18.95" customHeight="1" x14ac:dyDescent="0.25">
      <c r="A20" s="101"/>
      <c r="B20" s="101"/>
      <c r="C20" s="102"/>
      <c r="D20" s="103"/>
      <c r="E20" s="36" t="s">
        <v>34</v>
      </c>
      <c r="F20" s="99">
        <v>15.82</v>
      </c>
      <c r="G20" s="99">
        <v>18.088346253229975</v>
      </c>
      <c r="H20" s="100">
        <v>3870</v>
      </c>
      <c r="I20" s="99">
        <v>70001.900000000009</v>
      </c>
      <c r="J20" s="99">
        <v>-8778.5000000000073</v>
      </c>
      <c r="K20" s="116">
        <v>-0.12540373904136892</v>
      </c>
      <c r="L20" s="117" t="str">
        <f t="shared" si="0"/>
        <v>Link</v>
      </c>
      <c r="N20" s="115"/>
      <c r="O20" s="115"/>
    </row>
    <row r="21" spans="1:15" ht="18.95" customHeight="1" x14ac:dyDescent="0.25">
      <c r="A21" s="101"/>
      <c r="B21" s="101"/>
      <c r="C21" s="102"/>
      <c r="D21" s="103"/>
      <c r="E21" s="36" t="s">
        <v>47</v>
      </c>
      <c r="F21" s="99">
        <v>75.709999999999994</v>
      </c>
      <c r="G21" s="99">
        <v>84.788333333333341</v>
      </c>
      <c r="H21" s="100">
        <v>60</v>
      </c>
      <c r="I21" s="99">
        <v>5087.3</v>
      </c>
      <c r="J21" s="99">
        <v>-544.70000000000073</v>
      </c>
      <c r="K21" s="116">
        <v>-0.10707054822794032</v>
      </c>
      <c r="L21" s="117" t="str">
        <f t="shared" si="0"/>
        <v>Link</v>
      </c>
    </row>
    <row r="22" spans="1:15" ht="18.95" customHeight="1" x14ac:dyDescent="0.25">
      <c r="A22" s="101"/>
      <c r="B22" s="101"/>
      <c r="C22" s="102"/>
      <c r="D22" s="103"/>
      <c r="E22" s="36" t="s">
        <v>26</v>
      </c>
      <c r="F22" s="99">
        <v>5.77</v>
      </c>
      <c r="G22" s="99">
        <v>5.8967111111111112</v>
      </c>
      <c r="H22" s="100">
        <v>450</v>
      </c>
      <c r="I22" s="99">
        <v>2653.52</v>
      </c>
      <c r="J22" s="99">
        <v>-57.019999999999982</v>
      </c>
      <c r="K22" s="116">
        <v>-2.1488437999336824E-2</v>
      </c>
      <c r="L22" s="117" t="str">
        <f t="shared" si="0"/>
        <v>Link</v>
      </c>
    </row>
    <row r="23" spans="1:15" ht="18.95" customHeight="1" x14ac:dyDescent="0.25">
      <c r="A23" s="101"/>
      <c r="B23" s="101"/>
      <c r="C23" s="102"/>
      <c r="D23" s="103"/>
      <c r="E23" s="36" t="s">
        <v>23</v>
      </c>
      <c r="F23" s="99">
        <v>34.4</v>
      </c>
      <c r="G23" s="99">
        <v>33.880000000000017</v>
      </c>
      <c r="H23" s="100">
        <v>40</v>
      </c>
      <c r="I23" s="99">
        <v>1355.2000000000007</v>
      </c>
      <c r="J23" s="99">
        <v>20.799999999999272</v>
      </c>
      <c r="K23" s="116">
        <v>1.5348288075560258E-2</v>
      </c>
      <c r="L23" s="117" t="str">
        <f t="shared" si="0"/>
        <v>Link</v>
      </c>
      <c r="N23" s="115"/>
      <c r="O23" s="115"/>
    </row>
    <row r="24" spans="1:15" ht="18.95" customHeight="1" x14ac:dyDescent="0.25">
      <c r="A24" s="102"/>
      <c r="B24" s="102"/>
      <c r="C24" s="102"/>
      <c r="D24" s="103"/>
      <c r="E24" s="36" t="s">
        <v>35</v>
      </c>
      <c r="F24" s="99">
        <v>46.16</v>
      </c>
      <c r="G24" s="99">
        <v>47.585714285714289</v>
      </c>
      <c r="H24" s="100">
        <v>35</v>
      </c>
      <c r="I24" s="99">
        <v>1665.5</v>
      </c>
      <c r="J24" s="99">
        <v>-49.900000000000091</v>
      </c>
      <c r="K24" s="116">
        <v>-2.9960972680876753E-2</v>
      </c>
      <c r="L24" s="117" t="str">
        <f t="shared" si="0"/>
        <v>Link</v>
      </c>
    </row>
    <row r="25" spans="1:15" ht="18.95" customHeight="1" x14ac:dyDescent="0.25">
      <c r="A25" s="101"/>
      <c r="B25" s="101"/>
      <c r="C25" s="102"/>
      <c r="D25" s="103"/>
      <c r="E25" s="36" t="s">
        <v>44</v>
      </c>
      <c r="F25" s="99">
        <v>68.400000000000006</v>
      </c>
      <c r="G25" s="99">
        <v>62.05</v>
      </c>
      <c r="H25" s="100">
        <v>5</v>
      </c>
      <c r="I25" s="99">
        <v>310.25</v>
      </c>
      <c r="J25" s="99">
        <v>31.75</v>
      </c>
      <c r="K25" s="116">
        <v>0.10233682514101546</v>
      </c>
      <c r="L25" s="117" t="str">
        <f t="shared" si="0"/>
        <v>Link</v>
      </c>
    </row>
    <row r="26" spans="1:15" ht="18.95" customHeight="1" x14ac:dyDescent="0.25">
      <c r="A26" s="101"/>
      <c r="B26" s="101"/>
      <c r="C26" s="102"/>
      <c r="D26" s="103"/>
      <c r="E26" s="36" t="s">
        <v>39</v>
      </c>
      <c r="F26" s="99">
        <v>30.44</v>
      </c>
      <c r="G26" s="99">
        <v>33.587499999999999</v>
      </c>
      <c r="H26" s="100">
        <v>80</v>
      </c>
      <c r="I26" s="99">
        <v>2687</v>
      </c>
      <c r="J26" s="99">
        <v>-251.79999999999973</v>
      </c>
      <c r="K26" s="116">
        <v>-9.3710457759583102E-2</v>
      </c>
      <c r="L26" s="117" t="str">
        <f t="shared" si="0"/>
        <v>Link</v>
      </c>
    </row>
    <row r="27" spans="1:15" ht="18.95" customHeight="1" x14ac:dyDescent="0.25">
      <c r="A27" s="101"/>
      <c r="B27" s="101"/>
      <c r="C27" s="102"/>
      <c r="D27" s="103"/>
      <c r="E27" s="36" t="s">
        <v>51</v>
      </c>
      <c r="F27" s="99">
        <v>112.63</v>
      </c>
      <c r="G27" s="99">
        <v>119.52666666666667</v>
      </c>
      <c r="H27" s="100">
        <v>15</v>
      </c>
      <c r="I27" s="99">
        <v>1792.9</v>
      </c>
      <c r="J27" s="99">
        <v>-103.45000000000027</v>
      </c>
      <c r="K27" s="116">
        <v>-5.7699815940654875E-2</v>
      </c>
      <c r="L27" s="117" t="str">
        <f t="shared" si="0"/>
        <v>Link</v>
      </c>
    </row>
    <row r="28" spans="1:15" ht="18.95" customHeight="1" x14ac:dyDescent="0.25">
      <c r="A28" s="101"/>
      <c r="B28" s="101"/>
      <c r="C28" s="102"/>
      <c r="D28" s="103"/>
      <c r="E28" s="36" t="s">
        <v>42</v>
      </c>
      <c r="F28" s="99">
        <v>83.38</v>
      </c>
      <c r="G28" s="99">
        <v>96.710833333333326</v>
      </c>
      <c r="H28" s="100">
        <v>60</v>
      </c>
      <c r="I28" s="99">
        <v>5802.65</v>
      </c>
      <c r="J28" s="99">
        <v>-799.85000000000036</v>
      </c>
      <c r="K28" s="116">
        <v>-0.13784219279122467</v>
      </c>
      <c r="L28" s="117" t="str">
        <f t="shared" si="0"/>
        <v>Link</v>
      </c>
      <c r="N28" s="115"/>
      <c r="O28" s="115"/>
    </row>
    <row r="29" spans="1:15" ht="18.95" customHeight="1" x14ac:dyDescent="0.25">
      <c r="A29" s="101"/>
      <c r="B29" s="101"/>
      <c r="C29" s="102"/>
      <c r="D29" s="103"/>
      <c r="E29" s="36" t="s">
        <v>54</v>
      </c>
      <c r="F29" s="99">
        <v>89.72</v>
      </c>
      <c r="G29" s="99">
        <v>97.993999999999986</v>
      </c>
      <c r="H29" s="100">
        <v>5</v>
      </c>
      <c r="I29" s="99">
        <v>489.96999999999991</v>
      </c>
      <c r="J29" s="99">
        <v>-41.369999999999891</v>
      </c>
      <c r="K29" s="116">
        <v>-8.4433740841275876E-2</v>
      </c>
      <c r="L29" s="117" t="str">
        <f t="shared" si="0"/>
        <v>Link</v>
      </c>
    </row>
    <row r="30" spans="1:15" ht="18.95" customHeight="1" x14ac:dyDescent="0.25">
      <c r="A30" s="113"/>
      <c r="B30" s="114"/>
      <c r="C30" s="113"/>
      <c r="D30" s="103"/>
      <c r="E30" s="36" t="s">
        <v>53</v>
      </c>
      <c r="F30" s="99">
        <v>44.06</v>
      </c>
      <c r="G30" s="99">
        <v>47.628571428571426</v>
      </c>
      <c r="H30" s="100">
        <v>35</v>
      </c>
      <c r="I30" s="99">
        <v>1667</v>
      </c>
      <c r="J30" s="99">
        <v>-124.89999999999986</v>
      </c>
      <c r="K30" s="116">
        <v>-7.4925014997000508E-2</v>
      </c>
      <c r="L30" s="117" t="str">
        <f t="shared" si="0"/>
        <v>Link</v>
      </c>
    </row>
    <row r="31" spans="1:15" ht="18.95" customHeight="1" x14ac:dyDescent="0.25">
      <c r="A31" s="101"/>
      <c r="B31" s="101"/>
      <c r="C31" s="102"/>
      <c r="D31" s="103"/>
      <c r="E31" s="36"/>
      <c r="K31" s="116"/>
      <c r="L31" s="117"/>
      <c r="N31" s="115"/>
      <c r="O31" s="115"/>
    </row>
    <row r="32" spans="1:15" ht="18.95" customHeight="1" x14ac:dyDescent="0.25">
      <c r="A32" s="104"/>
      <c r="D32" s="103"/>
    </row>
    <row r="33" spans="1:4" ht="18.95" customHeight="1" x14ac:dyDescent="0.25">
      <c r="A33" s="104"/>
      <c r="D33" s="103"/>
    </row>
    <row r="34" spans="1:4" ht="18.95" customHeight="1" x14ac:dyDescent="0.25">
      <c r="A34" s="104"/>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155</v>
      </c>
      <c r="F1" s="34" t="s">
        <v>60</v>
      </c>
      <c r="G1" s="20" t="s">
        <v>3</v>
      </c>
      <c r="H1" s="34" t="s">
        <v>6</v>
      </c>
      <c r="I1" s="20" t="s">
        <v>154</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L2" t="s">
        <v>130</v>
      </c>
      <c r="O2" s="20" t="s">
        <v>57</v>
      </c>
      <c r="Q2">
        <f>C29-H29</f>
        <v>4250</v>
      </c>
      <c r="T2" s="72">
        <v>42233</v>
      </c>
      <c r="U2" t="s">
        <v>141</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(F29-K29)/Q2</f>
        <v>24.810221176470588</v>
      </c>
      <c r="T3" s="72">
        <v>42257</v>
      </c>
      <c r="U3" t="s">
        <v>142</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16.850000000000001</v>
      </c>
    </row>
    <row r="5" spans="1:21" x14ac:dyDescent="0.25">
      <c r="B5" s="1">
        <v>42187</v>
      </c>
      <c r="C5">
        <v>3000</v>
      </c>
      <c r="D5" s="2">
        <v>27.04</v>
      </c>
      <c r="F5" s="2">
        <f t="shared" si="0"/>
        <v>81120</v>
      </c>
      <c r="G5" s="1">
        <v>42227</v>
      </c>
      <c r="H5" s="80">
        <v>200</v>
      </c>
      <c r="I5" s="11"/>
      <c r="J5" s="80">
        <v>18.7</v>
      </c>
      <c r="K5" s="2">
        <f>H5*J5</f>
        <v>3740</v>
      </c>
      <c r="O5" s="20" t="s">
        <v>67</v>
      </c>
      <c r="Q5" s="5">
        <f>Q4*Q2</f>
        <v>71612.5</v>
      </c>
      <c r="T5" s="133">
        <v>42256</v>
      </c>
      <c r="U5" t="s">
        <v>208</v>
      </c>
    </row>
    <row r="6" spans="1:21" x14ac:dyDescent="0.25">
      <c r="B6" s="1">
        <v>42198</v>
      </c>
      <c r="C6">
        <v>100</v>
      </c>
      <c r="D6" s="2">
        <v>24.77</v>
      </c>
      <c r="F6" s="2">
        <f t="shared" si="0"/>
        <v>2477</v>
      </c>
      <c r="O6" s="20" t="s">
        <v>64</v>
      </c>
      <c r="Q6" s="2">
        <f>Q3*Q2</f>
        <v>105443.44</v>
      </c>
      <c r="U6" t="s">
        <v>212</v>
      </c>
    </row>
    <row r="7" spans="1:21" x14ac:dyDescent="0.25">
      <c r="B7" s="1">
        <v>42205</v>
      </c>
      <c r="C7" s="10">
        <v>50</v>
      </c>
      <c r="D7" s="25">
        <v>24.35</v>
      </c>
      <c r="E7" s="25"/>
      <c r="F7" s="2">
        <f t="shared" si="0"/>
        <v>1217.5</v>
      </c>
      <c r="O7" s="20" t="s">
        <v>65</v>
      </c>
      <c r="Q7" s="2">
        <f>Q5-Q6+M29</f>
        <v>-33830.94</v>
      </c>
      <c r="T7" s="72">
        <v>42311</v>
      </c>
      <c r="U7" t="s">
        <v>221</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16.850000000000001</v>
      </c>
      <c r="P18">
        <v>1.1000000000000001</v>
      </c>
      <c r="Q18" s="2">
        <f>P18*O18</f>
        <v>18.535000000000004</v>
      </c>
    </row>
    <row r="19" spans="1:17" x14ac:dyDescent="0.25">
      <c r="B19" s="1">
        <v>42227</v>
      </c>
      <c r="C19" s="11">
        <v>200</v>
      </c>
      <c r="D19" s="80">
        <v>19.55</v>
      </c>
      <c r="E19" s="80"/>
      <c r="F19" s="2">
        <f t="shared" si="0"/>
        <v>3910</v>
      </c>
      <c r="O19" s="2">
        <f t="shared" si="1"/>
        <v>16.850000000000001</v>
      </c>
      <c r="P19">
        <v>1.05</v>
      </c>
      <c r="Q19" s="2">
        <f t="shared" ref="Q19:Q30" si="2">P19*O19</f>
        <v>17.692500000000003</v>
      </c>
    </row>
    <row r="20" spans="1:17" x14ac:dyDescent="0.25">
      <c r="B20" s="1">
        <v>42234</v>
      </c>
      <c r="C20">
        <v>40</v>
      </c>
      <c r="D20" s="2">
        <v>18.149999999999999</v>
      </c>
      <c r="F20" s="2">
        <f t="shared" si="0"/>
        <v>726</v>
      </c>
      <c r="O20" s="2">
        <f t="shared" si="1"/>
        <v>16.850000000000001</v>
      </c>
      <c r="P20">
        <v>1.04</v>
      </c>
      <c r="Q20" s="2">
        <f t="shared" si="2"/>
        <v>17.524000000000001</v>
      </c>
    </row>
    <row r="21" spans="1:17" x14ac:dyDescent="0.25">
      <c r="B21" s="1">
        <v>42234</v>
      </c>
      <c r="C21">
        <v>100</v>
      </c>
      <c r="D21" s="2">
        <v>18</v>
      </c>
      <c r="F21" s="2">
        <f t="shared" si="0"/>
        <v>1800</v>
      </c>
      <c r="O21" s="2">
        <f t="shared" si="1"/>
        <v>16.850000000000001</v>
      </c>
      <c r="P21" s="2">
        <v>1.03</v>
      </c>
      <c r="Q21" s="2">
        <f t="shared" si="2"/>
        <v>17.355500000000003</v>
      </c>
    </row>
    <row r="22" spans="1:17" x14ac:dyDescent="0.25">
      <c r="B22" s="1">
        <v>42235</v>
      </c>
      <c r="C22">
        <v>100</v>
      </c>
      <c r="D22" s="2">
        <v>17.78</v>
      </c>
      <c r="F22" s="2">
        <f t="shared" si="0"/>
        <v>1778</v>
      </c>
      <c r="O22" s="2">
        <f t="shared" si="1"/>
        <v>16.850000000000001</v>
      </c>
      <c r="P22" s="2">
        <v>1.02</v>
      </c>
      <c r="Q22" s="2">
        <f t="shared" si="2"/>
        <v>17.187000000000001</v>
      </c>
    </row>
    <row r="23" spans="1:17" x14ac:dyDescent="0.25">
      <c r="B23" s="1">
        <v>42235</v>
      </c>
      <c r="C23">
        <v>100</v>
      </c>
      <c r="D23" s="2">
        <v>17.68</v>
      </c>
      <c r="F23" s="2">
        <f t="shared" si="0"/>
        <v>1768</v>
      </c>
      <c r="O23" s="2">
        <f t="shared" si="1"/>
        <v>16.850000000000001</v>
      </c>
      <c r="P23" s="2">
        <v>1.01</v>
      </c>
      <c r="Q23" s="2">
        <f t="shared" si="2"/>
        <v>17.018500000000003</v>
      </c>
    </row>
    <row r="24" spans="1:17" x14ac:dyDescent="0.25">
      <c r="B24" s="1">
        <v>42240</v>
      </c>
      <c r="C24">
        <v>100</v>
      </c>
      <c r="D24" s="2">
        <v>16.649999999999999</v>
      </c>
      <c r="F24" s="2">
        <f t="shared" si="0"/>
        <v>1664.9999999999998</v>
      </c>
      <c r="O24" s="2">
        <f t="shared" si="1"/>
        <v>16.850000000000001</v>
      </c>
      <c r="P24" s="2">
        <v>1</v>
      </c>
      <c r="Q24" s="2">
        <f t="shared" si="2"/>
        <v>16.850000000000001</v>
      </c>
    </row>
    <row r="25" spans="1:17" x14ac:dyDescent="0.25">
      <c r="B25" s="1">
        <v>42240</v>
      </c>
      <c r="C25">
        <v>100</v>
      </c>
      <c r="D25" s="2">
        <v>16.100000000000001</v>
      </c>
      <c r="F25" s="2">
        <f t="shared" si="0"/>
        <v>1610.0000000000002</v>
      </c>
      <c r="O25" s="2">
        <f t="shared" si="1"/>
        <v>16.850000000000001</v>
      </c>
      <c r="P25" s="2">
        <v>0.99</v>
      </c>
      <c r="Q25" s="2">
        <f t="shared" si="2"/>
        <v>16.6815</v>
      </c>
    </row>
    <row r="26" spans="1:17" x14ac:dyDescent="0.25">
      <c r="O26" s="2">
        <f t="shared" si="1"/>
        <v>16.850000000000001</v>
      </c>
      <c r="P26" s="2">
        <v>0.98</v>
      </c>
      <c r="Q26" s="2">
        <f t="shared" si="2"/>
        <v>16.513000000000002</v>
      </c>
    </row>
    <row r="27" spans="1:17" x14ac:dyDescent="0.25">
      <c r="O27" s="2">
        <f t="shared" si="1"/>
        <v>16.850000000000001</v>
      </c>
      <c r="P27" s="2">
        <v>0.97</v>
      </c>
      <c r="Q27" s="2">
        <f t="shared" si="2"/>
        <v>16.3445</v>
      </c>
    </row>
    <row r="28" spans="1:17" x14ac:dyDescent="0.25">
      <c r="O28" s="2">
        <f t="shared" si="1"/>
        <v>16.850000000000001</v>
      </c>
      <c r="P28" s="2">
        <v>0.96</v>
      </c>
      <c r="Q28" s="2">
        <f t="shared" si="2"/>
        <v>16.176000000000002</v>
      </c>
    </row>
    <row r="29" spans="1:17" x14ac:dyDescent="0.25">
      <c r="A29" s="57" t="s">
        <v>114</v>
      </c>
      <c r="B29" s="24"/>
      <c r="C29" s="24">
        <f>SUM(C2:C26)</f>
        <v>6752</v>
      </c>
      <c r="D29" s="24"/>
      <c r="E29" s="24"/>
      <c r="F29" s="24">
        <f>SUM(F2:F26)</f>
        <v>170372</v>
      </c>
      <c r="G29" s="24"/>
      <c r="H29" s="31">
        <f>SUM(H2:H25)</f>
        <v>2502</v>
      </c>
      <c r="I29" s="24"/>
      <c r="J29" s="24"/>
      <c r="K29" s="24">
        <f>SUM(K2:K25)</f>
        <v>64928.56</v>
      </c>
      <c r="L29" s="24"/>
      <c r="M29" s="24">
        <f>SUM(M2:M12)</f>
        <v>0</v>
      </c>
      <c r="O29" s="2">
        <f t="shared" si="1"/>
        <v>16.850000000000001</v>
      </c>
      <c r="P29" s="2">
        <v>0.95</v>
      </c>
      <c r="Q29" s="2">
        <f t="shared" si="2"/>
        <v>16.0075</v>
      </c>
    </row>
    <row r="30" spans="1:17" x14ac:dyDescent="0.25">
      <c r="O30" s="2">
        <f t="shared" si="1"/>
        <v>16.850000000000001</v>
      </c>
      <c r="P30" s="2">
        <v>0.9</v>
      </c>
      <c r="Q30" s="2">
        <f t="shared" si="2"/>
        <v>15.165000000000001</v>
      </c>
    </row>
    <row r="31" spans="1:17" x14ac:dyDescent="0.25">
      <c r="Q31" s="2"/>
    </row>
    <row r="32" spans="1:17" x14ac:dyDescent="0.25">
      <c r="Q32" s="2"/>
    </row>
    <row r="45" spans="1:1" x14ac:dyDescent="0.25">
      <c r="A45" t="s">
        <v>90</v>
      </c>
    </row>
    <row r="46" spans="1:1" x14ac:dyDescent="0.25">
      <c r="A46" t="s">
        <v>91</v>
      </c>
    </row>
    <row r="47" spans="1:1" x14ac:dyDescent="0.25">
      <c r="A47" t="s">
        <v>92</v>
      </c>
    </row>
    <row r="48" spans="1:1" x14ac:dyDescent="0.25">
      <c r="A48" t="s">
        <v>93</v>
      </c>
    </row>
    <row r="49" spans="1:1" x14ac:dyDescent="0.25">
      <c r="A49" t="s">
        <v>94</v>
      </c>
    </row>
    <row r="50" spans="1:1" x14ac:dyDescent="0.25">
      <c r="A50" t="s">
        <v>95</v>
      </c>
    </row>
    <row r="51" spans="1:1" x14ac:dyDescent="0.25">
      <c r="A51" t="s">
        <v>96</v>
      </c>
    </row>
    <row r="52" spans="1:1" x14ac:dyDescent="0.25">
      <c r="A52" t="s">
        <v>97</v>
      </c>
    </row>
    <row r="53" spans="1:1" x14ac:dyDescent="0.25">
      <c r="A53" t="s">
        <v>98</v>
      </c>
    </row>
    <row r="55" spans="1:1" x14ac:dyDescent="0.25">
      <c r="A55" t="s">
        <v>99</v>
      </c>
    </row>
    <row r="56" spans="1:1" x14ac:dyDescent="0.25">
      <c r="A56" t="s">
        <v>100</v>
      </c>
    </row>
    <row r="57" spans="1:1" x14ac:dyDescent="0.25">
      <c r="A57" t="s">
        <v>101</v>
      </c>
    </row>
    <row r="58" spans="1:1" x14ac:dyDescent="0.25">
      <c r="A58" t="s">
        <v>102</v>
      </c>
    </row>
    <row r="59" spans="1:1" x14ac:dyDescent="0.25">
      <c r="A59" t="s">
        <v>103</v>
      </c>
    </row>
    <row r="60" spans="1:1" x14ac:dyDescent="0.25">
      <c r="A60" t="s">
        <v>104</v>
      </c>
    </row>
    <row r="61" spans="1:1" x14ac:dyDescent="0.25">
      <c r="A61" t="s">
        <v>105</v>
      </c>
    </row>
    <row r="62" spans="1:1" x14ac:dyDescent="0.25">
      <c r="A62" t="s">
        <v>106</v>
      </c>
    </row>
    <row r="63" spans="1:1" x14ac:dyDescent="0.25">
      <c r="A63" t="s">
        <v>107</v>
      </c>
    </row>
    <row r="64" spans="1:1" x14ac:dyDescent="0.25">
      <c r="A64" t="s">
        <v>38</v>
      </c>
    </row>
    <row r="65" spans="1:1" x14ac:dyDescent="0.25">
      <c r="A65" t="s">
        <v>108</v>
      </c>
    </row>
    <row r="66" spans="1:1" x14ac:dyDescent="0.25">
      <c r="A66" t="s">
        <v>109</v>
      </c>
    </row>
    <row r="67" spans="1:1" x14ac:dyDescent="0.25">
      <c r="A67"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c r="U1" s="20" t="s">
        <v>167</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15.41</v>
      </c>
      <c r="U4" s="1">
        <v>42263</v>
      </c>
      <c r="V4" t="s">
        <v>222</v>
      </c>
    </row>
    <row r="5" spans="1:23" x14ac:dyDescent="0.25">
      <c r="B5" s="1">
        <v>42166</v>
      </c>
      <c r="C5">
        <v>39</v>
      </c>
      <c r="D5" s="2">
        <v>19.25</v>
      </c>
      <c r="F5" s="2">
        <f t="shared" si="0"/>
        <v>750.75</v>
      </c>
      <c r="O5" s="20" t="s">
        <v>67</v>
      </c>
      <c r="Q5" s="2">
        <f>F26-K26</f>
        <v>75798.350000000006</v>
      </c>
      <c r="U5" s="1">
        <v>42313</v>
      </c>
      <c r="V5" t="s">
        <v>223</v>
      </c>
    </row>
    <row r="6" spans="1:23" x14ac:dyDescent="0.25">
      <c r="B6" s="1">
        <v>42174</v>
      </c>
      <c r="C6">
        <v>20</v>
      </c>
      <c r="D6" s="2">
        <v>19.059999999999999</v>
      </c>
      <c r="F6" s="2">
        <f t="shared" si="0"/>
        <v>381.2</v>
      </c>
      <c r="O6" s="20" t="s">
        <v>64</v>
      </c>
      <c r="Q6" s="2">
        <f>Q4*Q2</f>
        <v>64722</v>
      </c>
    </row>
    <row r="7" spans="1:23" x14ac:dyDescent="0.25">
      <c r="B7" s="1">
        <v>42177</v>
      </c>
      <c r="C7">
        <v>20</v>
      </c>
      <c r="D7" s="2">
        <v>18.899999999999999</v>
      </c>
      <c r="F7" s="2">
        <f t="shared" si="0"/>
        <v>378</v>
      </c>
      <c r="O7" s="20" t="s">
        <v>65</v>
      </c>
      <c r="Q7" s="82">
        <f>Q6-Q5</f>
        <v>-11076.350000000006</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15.41</v>
      </c>
      <c r="P18">
        <v>1.1000000000000001</v>
      </c>
      <c r="Q18" s="2">
        <f t="shared" ref="Q18:Q30" si="1">P18*O18</f>
        <v>16.951000000000001</v>
      </c>
      <c r="W18" s="2"/>
    </row>
    <row r="19" spans="1:23" x14ac:dyDescent="0.25">
      <c r="B19" s="1">
        <v>42223</v>
      </c>
      <c r="C19" s="10">
        <v>200</v>
      </c>
      <c r="D19" s="25">
        <v>17.170000000000002</v>
      </c>
      <c r="E19" s="25"/>
      <c r="F19" s="25">
        <f t="shared" si="0"/>
        <v>3434.0000000000005</v>
      </c>
      <c r="O19" s="2">
        <f>$Q$4</f>
        <v>15.41</v>
      </c>
      <c r="P19">
        <v>1.05</v>
      </c>
      <c r="Q19" s="2">
        <f t="shared" si="1"/>
        <v>16.180500000000002</v>
      </c>
    </row>
    <row r="20" spans="1:23" x14ac:dyDescent="0.25">
      <c r="B20" s="1">
        <v>42223</v>
      </c>
      <c r="C20" s="10">
        <v>100</v>
      </c>
      <c r="D20" s="25">
        <v>17.37</v>
      </c>
      <c r="E20" s="25"/>
      <c r="F20" s="25">
        <f t="shared" si="0"/>
        <v>1737</v>
      </c>
      <c r="O20" s="2">
        <f t="shared" ref="O20:O30" si="2">$Q$4</f>
        <v>15.41</v>
      </c>
      <c r="P20">
        <v>1.04</v>
      </c>
      <c r="Q20" s="2">
        <f t="shared" si="1"/>
        <v>16.026400000000002</v>
      </c>
    </row>
    <row r="21" spans="1:23" x14ac:dyDescent="0.25">
      <c r="B21" s="1">
        <v>42227</v>
      </c>
      <c r="C21" s="10">
        <v>100</v>
      </c>
      <c r="D21" s="25">
        <v>17.100000000000001</v>
      </c>
      <c r="E21" s="25"/>
      <c r="F21" s="25">
        <f t="shared" si="0"/>
        <v>1710.0000000000002</v>
      </c>
      <c r="O21" s="2">
        <f t="shared" si="2"/>
        <v>15.41</v>
      </c>
      <c r="P21" s="2">
        <v>1.03</v>
      </c>
      <c r="Q21" s="2">
        <f t="shared" si="1"/>
        <v>15.872300000000001</v>
      </c>
    </row>
    <row r="22" spans="1:23" x14ac:dyDescent="0.25">
      <c r="B22" s="1">
        <v>42229</v>
      </c>
      <c r="C22" s="10">
        <v>100</v>
      </c>
      <c r="D22" s="25">
        <v>16.89</v>
      </c>
      <c r="E22" s="25"/>
      <c r="F22" s="25">
        <f t="shared" si="0"/>
        <v>1689</v>
      </c>
      <c r="O22" s="2">
        <f t="shared" si="2"/>
        <v>15.41</v>
      </c>
      <c r="P22" s="2">
        <v>1.02</v>
      </c>
      <c r="Q22" s="2">
        <f t="shared" si="1"/>
        <v>15.718200000000001</v>
      </c>
    </row>
    <row r="23" spans="1:23" x14ac:dyDescent="0.25">
      <c r="B23" s="1">
        <v>42233</v>
      </c>
      <c r="C23" s="6">
        <v>100</v>
      </c>
      <c r="D23" s="5">
        <v>16.5</v>
      </c>
      <c r="E23" s="5"/>
      <c r="F23" s="5">
        <f t="shared" si="0"/>
        <v>1650</v>
      </c>
      <c r="O23" s="2">
        <f t="shared" si="2"/>
        <v>15.41</v>
      </c>
      <c r="P23" s="2">
        <v>1.01</v>
      </c>
      <c r="Q23" s="2">
        <f t="shared" si="1"/>
        <v>15.5641</v>
      </c>
    </row>
    <row r="24" spans="1:23" x14ac:dyDescent="0.25">
      <c r="B24" s="1">
        <v>42234</v>
      </c>
      <c r="C24" s="6">
        <v>100</v>
      </c>
      <c r="D24" s="5">
        <v>16.600000000000001</v>
      </c>
      <c r="E24" s="5"/>
      <c r="F24" s="5">
        <f t="shared" si="0"/>
        <v>1660.0000000000002</v>
      </c>
      <c r="O24" s="2">
        <f t="shared" si="2"/>
        <v>15.41</v>
      </c>
      <c r="P24" s="2">
        <v>1</v>
      </c>
      <c r="Q24" s="2">
        <f t="shared" si="1"/>
        <v>15.41</v>
      </c>
    </row>
    <row r="25" spans="1:23" x14ac:dyDescent="0.25">
      <c r="B25" s="1">
        <v>42244</v>
      </c>
      <c r="C25" s="6">
        <v>200</v>
      </c>
      <c r="D25" s="5">
        <v>15.4</v>
      </c>
      <c r="E25" s="5"/>
      <c r="F25" s="5">
        <f t="shared" ref="F25" si="3">C25*D25</f>
        <v>3080</v>
      </c>
      <c r="O25" s="2">
        <f t="shared" si="2"/>
        <v>15.41</v>
      </c>
      <c r="P25" s="2">
        <v>0.99</v>
      </c>
      <c r="Q25" s="2">
        <f t="shared" si="1"/>
        <v>15.2559</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15.41</v>
      </c>
      <c r="P26" s="2">
        <v>0.98</v>
      </c>
      <c r="Q26" s="2">
        <f t="shared" si="1"/>
        <v>15.101799999999999</v>
      </c>
    </row>
    <row r="27" spans="1:23" x14ac:dyDescent="0.25">
      <c r="O27" s="2">
        <f t="shared" si="2"/>
        <v>15.41</v>
      </c>
      <c r="P27" s="2">
        <v>0.97</v>
      </c>
      <c r="Q27" s="2">
        <f t="shared" si="1"/>
        <v>14.947699999999999</v>
      </c>
    </row>
    <row r="28" spans="1:23" x14ac:dyDescent="0.25">
      <c r="O28" s="2">
        <f t="shared" si="2"/>
        <v>15.41</v>
      </c>
      <c r="P28" s="2">
        <v>0.96</v>
      </c>
      <c r="Q28" s="2">
        <f t="shared" si="1"/>
        <v>14.7936</v>
      </c>
    </row>
    <row r="29" spans="1:23" x14ac:dyDescent="0.25">
      <c r="O29" s="2">
        <f t="shared" si="2"/>
        <v>15.41</v>
      </c>
      <c r="P29" s="2">
        <v>0.95</v>
      </c>
      <c r="Q29" s="2">
        <f t="shared" si="1"/>
        <v>14.6395</v>
      </c>
    </row>
    <row r="30" spans="1:23" x14ac:dyDescent="0.25">
      <c r="O30" s="2">
        <f t="shared" si="2"/>
        <v>15.41</v>
      </c>
      <c r="P30" s="2">
        <v>0.9</v>
      </c>
      <c r="Q30" s="2">
        <f t="shared" si="1"/>
        <v>13.869</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145</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15.82</v>
      </c>
      <c r="T4" s="1">
        <v>42233</v>
      </c>
      <c r="U4" t="s">
        <v>143</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61223.4</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-8778.5000000000073</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144</v>
      </c>
    </row>
    <row r="11" spans="1:25" x14ac:dyDescent="0.25">
      <c r="B11" s="1">
        <v>42205</v>
      </c>
      <c r="C11" s="6">
        <v>20</v>
      </c>
      <c r="D11" s="5">
        <v>18.850000000000001</v>
      </c>
      <c r="E11" s="5"/>
      <c r="F11" s="5">
        <f t="shared" si="0"/>
        <v>377</v>
      </c>
      <c r="T11" s="1">
        <v>42255</v>
      </c>
      <c r="U11" t="s">
        <v>219</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220</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15.82</v>
      </c>
      <c r="P16" s="2">
        <v>1.1000000000000001</v>
      </c>
      <c r="Q16" s="2">
        <f t="shared" ref="Q16:Q28" si="2">P16*O16</f>
        <v>17.402000000000001</v>
      </c>
    </row>
    <row r="17" spans="2:21" x14ac:dyDescent="0.25">
      <c r="B17" s="1">
        <v>42223</v>
      </c>
      <c r="C17">
        <v>50</v>
      </c>
      <c r="D17" s="2">
        <v>18.75</v>
      </c>
      <c r="E17" s="2"/>
      <c r="F17" s="2">
        <f t="shared" si="0"/>
        <v>937.5</v>
      </c>
      <c r="O17" s="2">
        <f>$Q$4</f>
        <v>15.82</v>
      </c>
      <c r="P17" s="2">
        <v>1.05</v>
      </c>
      <c r="Q17" s="2">
        <f t="shared" si="2"/>
        <v>16.611000000000001</v>
      </c>
    </row>
    <row r="18" spans="2:21" x14ac:dyDescent="0.25">
      <c r="B18" s="1">
        <v>42227</v>
      </c>
      <c r="C18">
        <v>50</v>
      </c>
      <c r="D18" s="2">
        <v>18.45</v>
      </c>
      <c r="E18" s="2"/>
      <c r="F18" s="2">
        <f t="shared" si="0"/>
        <v>922.5</v>
      </c>
      <c r="O18" s="2">
        <f t="shared" ref="O18:O28" si="3">$Q$4</f>
        <v>15.82</v>
      </c>
      <c r="P18" s="2">
        <v>1.04</v>
      </c>
      <c r="Q18" s="2">
        <f t="shared" si="2"/>
        <v>16.4528</v>
      </c>
    </row>
    <row r="19" spans="2:21" x14ac:dyDescent="0.25">
      <c r="B19" s="1">
        <v>42228</v>
      </c>
      <c r="C19" s="13">
        <v>100</v>
      </c>
      <c r="D19" s="26">
        <v>18.45</v>
      </c>
      <c r="E19" s="26"/>
      <c r="F19" s="26">
        <f t="shared" si="0"/>
        <v>1845</v>
      </c>
      <c r="O19" s="2">
        <f t="shared" si="3"/>
        <v>15.82</v>
      </c>
      <c r="P19" s="2">
        <v>1.03</v>
      </c>
      <c r="Q19" s="2">
        <f t="shared" si="2"/>
        <v>16.294599999999999</v>
      </c>
      <c r="T19" s="136">
        <v>42272</v>
      </c>
      <c r="U19" t="s">
        <v>209</v>
      </c>
    </row>
    <row r="20" spans="2:21" x14ac:dyDescent="0.25">
      <c r="B20" s="1">
        <v>42228</v>
      </c>
      <c r="C20">
        <v>200</v>
      </c>
      <c r="D20" s="2">
        <v>18.190000000000001</v>
      </c>
      <c r="E20" s="2"/>
      <c r="F20" s="2">
        <f t="shared" si="0"/>
        <v>3638.0000000000005</v>
      </c>
      <c r="O20" s="2">
        <f t="shared" si="3"/>
        <v>15.82</v>
      </c>
      <c r="P20" s="2">
        <v>1.02</v>
      </c>
      <c r="Q20" s="2">
        <f t="shared" si="2"/>
        <v>16.136400000000002</v>
      </c>
      <c r="T20" t="s">
        <v>157</v>
      </c>
    </row>
    <row r="21" spans="2:21" x14ac:dyDescent="0.25">
      <c r="B21" s="1">
        <v>42228</v>
      </c>
      <c r="C21">
        <v>200</v>
      </c>
      <c r="D21" s="2">
        <v>18.100000000000001</v>
      </c>
      <c r="E21" s="2"/>
      <c r="F21" s="2">
        <f t="shared" si="0"/>
        <v>3620.0000000000005</v>
      </c>
      <c r="O21" s="2">
        <f t="shared" si="3"/>
        <v>15.82</v>
      </c>
      <c r="P21" s="2">
        <v>1.01</v>
      </c>
      <c r="Q21" s="2">
        <f t="shared" si="2"/>
        <v>15.978200000000001</v>
      </c>
      <c r="T21" t="s">
        <v>158</v>
      </c>
    </row>
    <row r="22" spans="2:21" x14ac:dyDescent="0.25">
      <c r="B22" s="1">
        <v>42229</v>
      </c>
      <c r="C22">
        <v>100</v>
      </c>
      <c r="D22" s="2">
        <v>18.329999999999998</v>
      </c>
      <c r="E22" s="2"/>
      <c r="F22" s="2">
        <f t="shared" si="0"/>
        <v>1832.9999999999998</v>
      </c>
      <c r="O22" s="2">
        <f t="shared" si="3"/>
        <v>15.82</v>
      </c>
      <c r="P22" s="2">
        <v>1</v>
      </c>
      <c r="Q22" s="2">
        <f t="shared" si="2"/>
        <v>15.82</v>
      </c>
      <c r="T22" t="s">
        <v>159</v>
      </c>
    </row>
    <row r="23" spans="2:21" x14ac:dyDescent="0.25">
      <c r="B23" s="1">
        <v>42230</v>
      </c>
      <c r="C23">
        <v>100</v>
      </c>
      <c r="D23" s="2">
        <v>18</v>
      </c>
      <c r="E23" s="2"/>
      <c r="F23" s="2">
        <f>C23*D23</f>
        <v>1800</v>
      </c>
      <c r="O23" s="2">
        <f t="shared" si="3"/>
        <v>15.82</v>
      </c>
      <c r="P23" s="2">
        <v>0.99</v>
      </c>
      <c r="Q23" s="2">
        <f t="shared" si="2"/>
        <v>15.661799999999999</v>
      </c>
      <c r="T23" t="s">
        <v>160</v>
      </c>
    </row>
    <row r="24" spans="2:21" x14ac:dyDescent="0.25">
      <c r="B24" s="1">
        <v>42230</v>
      </c>
      <c r="C24">
        <v>200</v>
      </c>
      <c r="D24" s="2">
        <v>17.78</v>
      </c>
      <c r="E24" s="2"/>
      <c r="F24" s="2">
        <f t="shared" si="0"/>
        <v>3556</v>
      </c>
      <c r="O24" s="2">
        <f t="shared" si="3"/>
        <v>15.82</v>
      </c>
      <c r="P24" s="2">
        <v>0.98</v>
      </c>
      <c r="Q24" s="2">
        <f t="shared" si="2"/>
        <v>15.5036</v>
      </c>
      <c r="T24" t="s">
        <v>161</v>
      </c>
    </row>
    <row r="25" spans="2:21" x14ac:dyDescent="0.25">
      <c r="B25" s="1">
        <v>42234</v>
      </c>
      <c r="C25" s="6">
        <v>100</v>
      </c>
      <c r="D25" s="5">
        <v>17.75</v>
      </c>
      <c r="E25" s="5"/>
      <c r="F25" s="5">
        <f t="shared" ref="F25:F30" si="4">C25*D25</f>
        <v>1775</v>
      </c>
      <c r="O25" s="2">
        <f t="shared" si="3"/>
        <v>15.82</v>
      </c>
      <c r="P25" s="2">
        <v>0.97</v>
      </c>
      <c r="Q25" s="2">
        <f t="shared" si="2"/>
        <v>15.3454</v>
      </c>
    </row>
    <row r="26" spans="2:21" x14ac:dyDescent="0.25">
      <c r="B26" s="1">
        <v>42235</v>
      </c>
      <c r="C26" s="6">
        <v>100</v>
      </c>
      <c r="D26" s="5">
        <v>17.350000000000001</v>
      </c>
      <c r="E26" s="5"/>
      <c r="F26" s="5">
        <f t="shared" si="4"/>
        <v>1735.0000000000002</v>
      </c>
      <c r="O26" s="2">
        <f t="shared" si="3"/>
        <v>15.82</v>
      </c>
      <c r="P26" s="2">
        <v>0.96</v>
      </c>
      <c r="Q26" s="2">
        <f t="shared" si="2"/>
        <v>15.187199999999999</v>
      </c>
    </row>
    <row r="27" spans="2:21" x14ac:dyDescent="0.25">
      <c r="B27" s="1">
        <v>42235</v>
      </c>
      <c r="C27" s="9">
        <v>100</v>
      </c>
      <c r="D27" s="79">
        <v>17.55</v>
      </c>
      <c r="E27" s="79"/>
      <c r="F27" s="79">
        <f t="shared" si="4"/>
        <v>1755</v>
      </c>
      <c r="O27" s="2">
        <f t="shared" si="3"/>
        <v>15.82</v>
      </c>
      <c r="P27" s="2">
        <v>0.95</v>
      </c>
      <c r="Q27" s="2">
        <f t="shared" si="2"/>
        <v>15.029</v>
      </c>
    </row>
    <row r="28" spans="2:21" x14ac:dyDescent="0.25">
      <c r="B28" s="1">
        <v>42235</v>
      </c>
      <c r="C28" s="9">
        <v>100</v>
      </c>
      <c r="D28" s="79">
        <v>17.170000000000002</v>
      </c>
      <c r="E28" s="79"/>
      <c r="F28" s="79">
        <f t="shared" si="4"/>
        <v>1717.0000000000002</v>
      </c>
      <c r="O28" s="2">
        <f t="shared" si="3"/>
        <v>15.82</v>
      </c>
      <c r="P28" s="2">
        <v>0.9</v>
      </c>
      <c r="Q28" s="2">
        <f t="shared" si="2"/>
        <v>14.238000000000001</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155</v>
      </c>
      <c r="F1" s="20" t="s">
        <v>60</v>
      </c>
      <c r="G1" s="20" t="s">
        <v>3</v>
      </c>
      <c r="H1" s="20" t="s">
        <v>6</v>
      </c>
      <c r="I1" s="20" t="s">
        <v>7</v>
      </c>
      <c r="J1" s="20" t="s">
        <v>154</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L2" t="s">
        <v>225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27.82</v>
      </c>
    </row>
    <row r="5" spans="1:24" x14ac:dyDescent="0.25">
      <c r="B5" s="1">
        <v>42186</v>
      </c>
      <c r="C5">
        <v>200</v>
      </c>
      <c r="D5" s="2">
        <v>30.9</v>
      </c>
      <c r="E5" s="2"/>
      <c r="F5" s="2">
        <f t="shared" si="0"/>
        <v>6180</v>
      </c>
      <c r="O5" s="20" t="s">
        <v>67</v>
      </c>
      <c r="Q5" s="5">
        <f>Q4*Q2</f>
        <v>25038</v>
      </c>
      <c r="S5" s="1">
        <v>42242</v>
      </c>
      <c r="U5" t="s">
        <v>207</v>
      </c>
    </row>
    <row r="6" spans="1:24" x14ac:dyDescent="0.25">
      <c r="B6" s="1">
        <v>42194</v>
      </c>
      <c r="C6">
        <v>100</v>
      </c>
      <c r="D6" s="2">
        <v>29.8</v>
      </c>
      <c r="E6" s="2"/>
      <c r="F6" s="2">
        <f t="shared" si="0"/>
        <v>2980</v>
      </c>
      <c r="O6" s="20" t="s">
        <v>64</v>
      </c>
      <c r="Q6" s="2">
        <f>Q3*Q2</f>
        <v>26649.5</v>
      </c>
      <c r="S6" s="1">
        <v>42255</v>
      </c>
      <c r="T6" t="s">
        <v>228</v>
      </c>
    </row>
    <row r="7" spans="1:24" x14ac:dyDescent="0.25">
      <c r="B7" s="1">
        <v>42207</v>
      </c>
      <c r="C7">
        <v>50</v>
      </c>
      <c r="D7" s="2">
        <v>29.32</v>
      </c>
      <c r="E7" s="2"/>
      <c r="F7" s="2">
        <f t="shared" si="0"/>
        <v>1466</v>
      </c>
      <c r="O7" s="20" t="s">
        <v>65</v>
      </c>
      <c r="Q7" s="2">
        <f>Q5-Q6</f>
        <v>-1611.5</v>
      </c>
    </row>
    <row r="8" spans="1:24" x14ac:dyDescent="0.25">
      <c r="B8" s="1">
        <v>42209</v>
      </c>
      <c r="C8">
        <v>50</v>
      </c>
      <c r="D8" s="2">
        <v>28.6</v>
      </c>
      <c r="E8" s="2"/>
      <c r="F8" s="2">
        <f t="shared" si="0"/>
        <v>1430</v>
      </c>
      <c r="S8" s="135" t="s">
        <v>227</v>
      </c>
      <c r="T8" t="s">
        <v>226</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27.82</v>
      </c>
      <c r="P22">
        <v>1.1000000000000001</v>
      </c>
      <c r="Q22" s="2">
        <f t="shared" ref="Q22:Q34" si="2">P22*O22</f>
        <v>30.602000000000004</v>
      </c>
    </row>
    <row r="23" spans="15:17" x14ac:dyDescent="0.25">
      <c r="O23" s="2">
        <f>$Q$4</f>
        <v>27.82</v>
      </c>
      <c r="P23">
        <v>1.05</v>
      </c>
      <c r="Q23" s="2">
        <f t="shared" si="2"/>
        <v>29.211000000000002</v>
      </c>
    </row>
    <row r="24" spans="15:17" x14ac:dyDescent="0.25">
      <c r="O24" s="2">
        <f t="shared" ref="O24:O34" si="3">$Q$4</f>
        <v>27.82</v>
      </c>
      <c r="P24">
        <v>1.04</v>
      </c>
      <c r="Q24" s="2">
        <f t="shared" si="2"/>
        <v>28.9328</v>
      </c>
    </row>
    <row r="25" spans="15:17" x14ac:dyDescent="0.25">
      <c r="O25" s="2">
        <f t="shared" si="3"/>
        <v>27.82</v>
      </c>
      <c r="P25" s="2">
        <v>1.03</v>
      </c>
      <c r="Q25" s="2">
        <f t="shared" si="2"/>
        <v>28.654600000000002</v>
      </c>
    </row>
    <row r="26" spans="15:17" x14ac:dyDescent="0.25">
      <c r="O26" s="2">
        <f t="shared" si="3"/>
        <v>27.82</v>
      </c>
      <c r="P26" s="2">
        <v>1.02</v>
      </c>
      <c r="Q26" s="2">
        <f t="shared" si="2"/>
        <v>28.3764</v>
      </c>
    </row>
    <row r="27" spans="15:17" x14ac:dyDescent="0.25">
      <c r="O27" s="2">
        <f t="shared" si="3"/>
        <v>27.82</v>
      </c>
      <c r="P27" s="2">
        <v>1.01</v>
      </c>
      <c r="Q27" s="2">
        <f t="shared" si="2"/>
        <v>28.098200000000002</v>
      </c>
    </row>
    <row r="28" spans="15:17" x14ac:dyDescent="0.25">
      <c r="O28" s="2">
        <f t="shared" si="3"/>
        <v>27.82</v>
      </c>
      <c r="P28" s="2">
        <v>1</v>
      </c>
      <c r="Q28" s="2">
        <f t="shared" si="2"/>
        <v>27.82</v>
      </c>
    </row>
    <row r="29" spans="15:17" x14ac:dyDescent="0.25">
      <c r="O29" s="2">
        <f t="shared" si="3"/>
        <v>27.82</v>
      </c>
      <c r="P29" s="2">
        <v>0.99</v>
      </c>
      <c r="Q29" s="2">
        <f t="shared" si="2"/>
        <v>27.541799999999999</v>
      </c>
    </row>
    <row r="30" spans="15:17" x14ac:dyDescent="0.25">
      <c r="O30" s="2">
        <f t="shared" si="3"/>
        <v>27.82</v>
      </c>
      <c r="P30" s="2">
        <v>0.98</v>
      </c>
      <c r="Q30" s="2">
        <f t="shared" si="2"/>
        <v>27.2636</v>
      </c>
    </row>
    <row r="31" spans="15:17" x14ac:dyDescent="0.25">
      <c r="O31" s="2">
        <f t="shared" si="3"/>
        <v>27.82</v>
      </c>
      <c r="P31" s="2">
        <v>0.97</v>
      </c>
      <c r="Q31" s="2">
        <f t="shared" si="2"/>
        <v>26.985399999999998</v>
      </c>
    </row>
    <row r="32" spans="15:17" x14ac:dyDescent="0.25">
      <c r="O32" s="2">
        <f t="shared" si="3"/>
        <v>27.82</v>
      </c>
      <c r="P32" s="2">
        <v>0.96</v>
      </c>
      <c r="Q32" s="2">
        <f t="shared" si="2"/>
        <v>26.7072</v>
      </c>
    </row>
    <row r="33" spans="15:17" x14ac:dyDescent="0.25">
      <c r="O33" s="2">
        <f t="shared" si="3"/>
        <v>27.82</v>
      </c>
      <c r="P33" s="2">
        <v>0.95</v>
      </c>
      <c r="Q33" s="2">
        <f t="shared" si="2"/>
        <v>26.428999999999998</v>
      </c>
    </row>
    <row r="34" spans="15:17" x14ac:dyDescent="0.25">
      <c r="O34" s="2">
        <f t="shared" si="3"/>
        <v>27.82</v>
      </c>
      <c r="P34" s="2">
        <v>0.9</v>
      </c>
      <c r="Q34" s="2">
        <f t="shared" si="2"/>
        <v>25.038</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8" max="8" width="9.140625" style="139"/>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155</v>
      </c>
      <c r="F1" s="97" t="s">
        <v>60</v>
      </c>
      <c r="G1" s="96" t="s">
        <v>3</v>
      </c>
      <c r="H1" s="137" t="s">
        <v>6</v>
      </c>
      <c r="I1" s="97" t="s">
        <v>7</v>
      </c>
      <c r="J1" s="97" t="s">
        <v>154</v>
      </c>
      <c r="K1" s="97" t="s">
        <v>61</v>
      </c>
      <c r="L1" s="96" t="s">
        <v>43</v>
      </c>
      <c r="M1" s="96" t="s">
        <v>38</v>
      </c>
      <c r="T1" s="96" t="s">
        <v>74</v>
      </c>
    </row>
    <row r="2" spans="1:24" x14ac:dyDescent="0.25">
      <c r="A2" s="8" t="s">
        <v>22</v>
      </c>
      <c r="B2" s="123">
        <v>42153</v>
      </c>
      <c r="C2" s="10">
        <v>20</v>
      </c>
      <c r="D2" s="25">
        <v>67.3</v>
      </c>
      <c r="E2" s="25">
        <v>0</v>
      </c>
      <c r="F2" s="25">
        <f t="shared" ref="F2:F15" si="0">D2*C2+E2</f>
        <v>1346</v>
      </c>
      <c r="G2" s="141">
        <v>42219</v>
      </c>
      <c r="H2" s="138">
        <v>25</v>
      </c>
      <c r="I2" s="84">
        <v>60.05</v>
      </c>
      <c r="J2" s="84">
        <v>0.03</v>
      </c>
      <c r="K2" s="84">
        <f>H2*I2-J2</f>
        <v>1501.22</v>
      </c>
      <c r="L2" s="1">
        <v>42185</v>
      </c>
      <c r="M2" s="2">
        <v>5</v>
      </c>
      <c r="O2" s="20" t="s">
        <v>57</v>
      </c>
      <c r="Q2">
        <f>C16-H16</f>
        <v>80</v>
      </c>
      <c r="T2" t="s">
        <v>116</v>
      </c>
    </row>
    <row r="3" spans="1:24" x14ac:dyDescent="0.25">
      <c r="A3" s="36" t="s">
        <v>81</v>
      </c>
      <c r="B3" s="1">
        <v>42205</v>
      </c>
      <c r="C3">
        <v>20</v>
      </c>
      <c r="D3" s="2">
        <v>63.4</v>
      </c>
      <c r="E3" s="2">
        <v>0</v>
      </c>
      <c r="F3" s="2">
        <f t="shared" si="0"/>
        <v>1268</v>
      </c>
      <c r="G3" s="141">
        <v>42219</v>
      </c>
      <c r="H3" s="138">
        <v>55</v>
      </c>
      <c r="I3" s="84">
        <v>59.75</v>
      </c>
      <c r="J3" s="84">
        <v>0.06</v>
      </c>
      <c r="K3" s="84">
        <f>H3*I3-J3</f>
        <v>3286.19</v>
      </c>
      <c r="L3" t="s">
        <v>120</v>
      </c>
      <c r="M3" s="2"/>
      <c r="O3" s="20" t="s">
        <v>58</v>
      </c>
      <c r="Q3" s="2">
        <f>(F16-K16)/Q2</f>
        <v>60.66750000000004</v>
      </c>
      <c r="T3" t="s">
        <v>117</v>
      </c>
      <c r="U3" t="s">
        <v>71</v>
      </c>
      <c r="V3" t="s">
        <v>72</v>
      </c>
      <c r="W3" t="s">
        <v>119</v>
      </c>
      <c r="X3" t="s">
        <v>118</v>
      </c>
    </row>
    <row r="4" spans="1:24" x14ac:dyDescent="0.25">
      <c r="B4" s="1">
        <v>42205</v>
      </c>
      <c r="C4">
        <v>20</v>
      </c>
      <c r="D4" s="2">
        <v>63.15</v>
      </c>
      <c r="E4" s="2">
        <v>0</v>
      </c>
      <c r="F4" s="2">
        <f t="shared" si="0"/>
        <v>1263</v>
      </c>
      <c r="G4" s="123">
        <v>42250</v>
      </c>
      <c r="H4" s="142">
        <v>100</v>
      </c>
      <c r="I4" s="25">
        <v>59.4</v>
      </c>
      <c r="J4" s="25">
        <v>0.06</v>
      </c>
      <c r="K4" s="121">
        <f>H4*I4-J4</f>
        <v>5939.94</v>
      </c>
      <c r="M4" s="2"/>
      <c r="O4" s="20" t="s">
        <v>66</v>
      </c>
      <c r="Q4" s="106">
        <v>57.07</v>
      </c>
      <c r="T4" s="55">
        <v>42249</v>
      </c>
      <c r="U4" s="55">
        <v>42264</v>
      </c>
      <c r="V4" s="61">
        <v>42276</v>
      </c>
      <c r="W4">
        <v>0.25</v>
      </c>
    </row>
    <row r="5" spans="1:24" x14ac:dyDescent="0.25">
      <c r="B5" s="143">
        <v>42207</v>
      </c>
      <c r="C5" s="6">
        <v>10</v>
      </c>
      <c r="D5" s="5">
        <v>62</v>
      </c>
      <c r="E5" s="5">
        <v>0</v>
      </c>
      <c r="F5" s="5">
        <f t="shared" si="0"/>
        <v>620</v>
      </c>
      <c r="M5" s="2"/>
      <c r="O5" s="20" t="s">
        <v>67</v>
      </c>
      <c r="Q5" s="5">
        <f>Q4*Q2</f>
        <v>4565.6000000000004</v>
      </c>
      <c r="T5" t="s">
        <v>121</v>
      </c>
    </row>
    <row r="6" spans="1:24" x14ac:dyDescent="0.25">
      <c r="B6" s="143">
        <v>42207</v>
      </c>
      <c r="C6" s="6">
        <v>5</v>
      </c>
      <c r="D6" s="5">
        <v>61.6</v>
      </c>
      <c r="E6" s="5">
        <v>0</v>
      </c>
      <c r="F6" s="5">
        <f t="shared" si="0"/>
        <v>308</v>
      </c>
      <c r="M6" s="2"/>
      <c r="O6" s="20" t="s">
        <v>64</v>
      </c>
      <c r="Q6" s="2">
        <f>Q3*Q2</f>
        <v>4853.4000000000033</v>
      </c>
    </row>
    <row r="7" spans="1:24" x14ac:dyDescent="0.25">
      <c r="B7" s="143">
        <v>42207</v>
      </c>
      <c r="C7" s="6">
        <v>20</v>
      </c>
      <c r="D7" s="5">
        <v>59.85</v>
      </c>
      <c r="E7" s="5">
        <v>0</v>
      </c>
      <c r="F7" s="5">
        <f t="shared" si="0"/>
        <v>1197</v>
      </c>
      <c r="M7" s="2"/>
      <c r="O7" s="20" t="s">
        <v>65</v>
      </c>
      <c r="Q7" s="2">
        <f>Q5-Q6+M16</f>
        <v>-282.80000000000291</v>
      </c>
    </row>
    <row r="8" spans="1:24" x14ac:dyDescent="0.25">
      <c r="B8" s="141">
        <v>42208</v>
      </c>
      <c r="C8" s="9">
        <v>5</v>
      </c>
      <c r="D8" s="79">
        <v>61.3</v>
      </c>
      <c r="E8" s="79">
        <v>0</v>
      </c>
      <c r="F8" s="79">
        <f t="shared" si="0"/>
        <v>306.5</v>
      </c>
      <c r="M8" s="2"/>
    </row>
    <row r="9" spans="1:24" x14ac:dyDescent="0.25">
      <c r="B9" s="141">
        <v>42219</v>
      </c>
      <c r="C9" s="12">
        <v>25</v>
      </c>
      <c r="D9" s="79">
        <v>59.4</v>
      </c>
      <c r="E9" s="79">
        <v>0</v>
      </c>
      <c r="F9" s="79">
        <f t="shared" si="0"/>
        <v>1485</v>
      </c>
      <c r="M9" s="2"/>
    </row>
    <row r="10" spans="1:24" x14ac:dyDescent="0.25">
      <c r="B10" s="141">
        <v>42219</v>
      </c>
      <c r="C10" s="12">
        <v>50</v>
      </c>
      <c r="D10" s="79">
        <v>59.2</v>
      </c>
      <c r="E10" s="79">
        <v>0</v>
      </c>
      <c r="F10" s="79">
        <f t="shared" si="0"/>
        <v>2960</v>
      </c>
      <c r="M10" s="2"/>
    </row>
    <row r="11" spans="1:24" x14ac:dyDescent="0.25">
      <c r="B11" s="141">
        <v>42226</v>
      </c>
      <c r="C11" s="12">
        <v>5</v>
      </c>
      <c r="D11" s="79">
        <v>56.2</v>
      </c>
      <c r="E11" s="79">
        <v>0</v>
      </c>
      <c r="F11" s="79">
        <f t="shared" si="0"/>
        <v>281</v>
      </c>
      <c r="M11" s="2"/>
    </row>
    <row r="12" spans="1:24" x14ac:dyDescent="0.25">
      <c r="B12" s="123">
        <v>42226</v>
      </c>
      <c r="C12" s="10">
        <v>15</v>
      </c>
      <c r="D12" s="25">
        <v>56.5</v>
      </c>
      <c r="E12" s="25">
        <v>0</v>
      </c>
      <c r="F12" s="25">
        <f t="shared" si="0"/>
        <v>847.5</v>
      </c>
      <c r="M12" s="2"/>
    </row>
    <row r="13" spans="1:24" x14ac:dyDescent="0.25">
      <c r="B13" s="123">
        <v>42240</v>
      </c>
      <c r="C13" s="122">
        <v>15</v>
      </c>
      <c r="D13" s="25">
        <v>57.19</v>
      </c>
      <c r="E13" s="25">
        <v>0</v>
      </c>
      <c r="F13" s="25">
        <f t="shared" si="0"/>
        <v>857.84999999999991</v>
      </c>
      <c r="M13" s="2"/>
    </row>
    <row r="14" spans="1:24" x14ac:dyDescent="0.25">
      <c r="B14" s="123">
        <v>42240</v>
      </c>
      <c r="C14" s="10">
        <v>20</v>
      </c>
      <c r="D14" s="25">
        <v>56.6</v>
      </c>
      <c r="E14" s="25">
        <v>6.95</v>
      </c>
      <c r="F14" s="25">
        <f t="shared" si="0"/>
        <v>1138.95</v>
      </c>
      <c r="M14" s="2"/>
    </row>
    <row r="15" spans="1:24" x14ac:dyDescent="0.25">
      <c r="B15" s="123">
        <v>42240</v>
      </c>
      <c r="C15" s="10">
        <v>30</v>
      </c>
      <c r="D15" s="25">
        <v>56.5</v>
      </c>
      <c r="E15" s="25">
        <v>6.95</v>
      </c>
      <c r="F15" s="25">
        <f t="shared" si="0"/>
        <v>1701.95</v>
      </c>
      <c r="M15" s="2"/>
    </row>
    <row r="16" spans="1:24" x14ac:dyDescent="0.25">
      <c r="A16" s="57" t="s">
        <v>114</v>
      </c>
      <c r="B16" s="24"/>
      <c r="C16" s="24">
        <f>SUM(C2:C15)</f>
        <v>260</v>
      </c>
      <c r="D16" s="31"/>
      <c r="E16" s="31"/>
      <c r="F16" s="31">
        <f>SUM(F2:F15)</f>
        <v>15580.750000000002</v>
      </c>
      <c r="G16" s="24"/>
      <c r="H16" s="140">
        <f>SUM(H2:H10)</f>
        <v>180</v>
      </c>
      <c r="I16" s="31"/>
      <c r="J16" s="31"/>
      <c r="K16" s="31">
        <f>SUM(K2:K10)</f>
        <v>10727.349999999999</v>
      </c>
      <c r="L16" s="24"/>
      <c r="M16" s="31">
        <f t="shared" ref="M16" si="1">SUM(M2:M10)</f>
        <v>5</v>
      </c>
    </row>
    <row r="20" spans="7:21" x14ac:dyDescent="0.25">
      <c r="G20" s="2"/>
    </row>
    <row r="21" spans="7:21" x14ac:dyDescent="0.25">
      <c r="U21" s="2"/>
    </row>
    <row r="22" spans="7:21" x14ac:dyDescent="0.25">
      <c r="G22" s="2"/>
      <c r="P22" t="s">
        <v>89</v>
      </c>
      <c r="R22" s="59"/>
    </row>
    <row r="23" spans="7:21" x14ac:dyDescent="0.25">
      <c r="O23" s="2">
        <f>$Q$4</f>
        <v>57.07</v>
      </c>
      <c r="P23">
        <v>1.1000000000000001</v>
      </c>
      <c r="Q23" s="2">
        <f t="shared" ref="Q23:Q35" si="2">P23*O23</f>
        <v>62.777000000000008</v>
      </c>
      <c r="R23" s="59"/>
    </row>
    <row r="24" spans="7:21" x14ac:dyDescent="0.25">
      <c r="O24" s="2">
        <f>$Q$4</f>
        <v>57.07</v>
      </c>
      <c r="P24">
        <v>1.05</v>
      </c>
      <c r="Q24" s="2">
        <f t="shared" si="2"/>
        <v>59.923500000000004</v>
      </c>
      <c r="R24" s="59"/>
    </row>
    <row r="25" spans="7:21" x14ac:dyDescent="0.25">
      <c r="O25" s="2">
        <f t="shared" ref="O25:O35" si="3">$Q$4</f>
        <v>57.07</v>
      </c>
      <c r="P25">
        <v>1.04</v>
      </c>
      <c r="Q25" s="2">
        <f t="shared" si="2"/>
        <v>59.352800000000002</v>
      </c>
      <c r="R25" s="59"/>
    </row>
    <row r="26" spans="7:21" x14ac:dyDescent="0.25">
      <c r="O26" s="2">
        <f t="shared" si="3"/>
        <v>57.07</v>
      </c>
      <c r="P26" s="2">
        <v>1.03</v>
      </c>
      <c r="Q26" s="2">
        <f t="shared" si="2"/>
        <v>58.7821</v>
      </c>
      <c r="R26" s="59"/>
    </row>
    <row r="27" spans="7:21" x14ac:dyDescent="0.25">
      <c r="O27" s="2">
        <f t="shared" si="3"/>
        <v>57.07</v>
      </c>
      <c r="P27" s="2">
        <v>1.02</v>
      </c>
      <c r="Q27" s="2">
        <f t="shared" si="2"/>
        <v>58.211400000000005</v>
      </c>
      <c r="R27" s="59"/>
    </row>
    <row r="28" spans="7:21" x14ac:dyDescent="0.25">
      <c r="O28" s="2">
        <f t="shared" si="3"/>
        <v>57.07</v>
      </c>
      <c r="P28" s="2">
        <v>1.01</v>
      </c>
      <c r="Q28" s="2">
        <f t="shared" si="2"/>
        <v>57.640700000000002</v>
      </c>
      <c r="R28" s="59"/>
    </row>
    <row r="29" spans="7:21" x14ac:dyDescent="0.25">
      <c r="O29" s="2">
        <f t="shared" si="3"/>
        <v>57.07</v>
      </c>
      <c r="P29" s="2">
        <v>1</v>
      </c>
      <c r="Q29" s="2">
        <f t="shared" si="2"/>
        <v>57.07</v>
      </c>
      <c r="R29" s="59"/>
    </row>
    <row r="30" spans="7:21" x14ac:dyDescent="0.25">
      <c r="O30" s="2">
        <f t="shared" si="3"/>
        <v>57.07</v>
      </c>
      <c r="P30" s="2">
        <v>0.99</v>
      </c>
      <c r="Q30" s="2">
        <f t="shared" si="2"/>
        <v>56.499299999999998</v>
      </c>
      <c r="R30" s="59"/>
    </row>
    <row r="31" spans="7:21" x14ac:dyDescent="0.25">
      <c r="O31" s="2">
        <f t="shared" si="3"/>
        <v>57.07</v>
      </c>
      <c r="P31" s="2">
        <v>0.98</v>
      </c>
      <c r="Q31" s="2">
        <f t="shared" si="2"/>
        <v>55.928599999999996</v>
      </c>
      <c r="R31" s="59"/>
    </row>
    <row r="32" spans="7:21" x14ac:dyDescent="0.25">
      <c r="O32" s="2">
        <f t="shared" si="3"/>
        <v>57.07</v>
      </c>
      <c r="P32" s="2">
        <v>0.97</v>
      </c>
      <c r="Q32" s="2">
        <f t="shared" si="2"/>
        <v>55.357900000000001</v>
      </c>
      <c r="R32" s="59"/>
    </row>
    <row r="33" spans="15:18" x14ac:dyDescent="0.25">
      <c r="O33" s="2">
        <f t="shared" si="3"/>
        <v>57.07</v>
      </c>
      <c r="P33" s="2">
        <v>0.96</v>
      </c>
      <c r="Q33" s="2">
        <f t="shared" si="2"/>
        <v>54.787199999999999</v>
      </c>
      <c r="R33" s="59"/>
    </row>
    <row r="34" spans="15:18" x14ac:dyDescent="0.25">
      <c r="O34" s="2">
        <f t="shared" si="3"/>
        <v>57.07</v>
      </c>
      <c r="P34" s="2">
        <v>0.95</v>
      </c>
      <c r="Q34" s="2">
        <f t="shared" si="2"/>
        <v>54.216499999999996</v>
      </c>
      <c r="R34" s="59"/>
    </row>
    <row r="35" spans="15:18" x14ac:dyDescent="0.25">
      <c r="O35" s="2">
        <f t="shared" si="3"/>
        <v>57.07</v>
      </c>
      <c r="P35" s="2">
        <v>0.9</v>
      </c>
      <c r="Q35" s="2">
        <f t="shared" si="2"/>
        <v>51.363</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123</v>
      </c>
      <c r="O2" s="20" t="s">
        <v>57</v>
      </c>
      <c r="Q2">
        <f>C11-H11</f>
        <v>60</v>
      </c>
      <c r="T2" s="73" t="s">
        <v>147</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124</v>
      </c>
    </row>
    <row r="4" spans="1:23" x14ac:dyDescent="0.25">
      <c r="B4" s="1">
        <v>42184</v>
      </c>
      <c r="C4" s="6">
        <v>10</v>
      </c>
      <c r="D4" s="5">
        <v>98.35</v>
      </c>
      <c r="E4" s="5"/>
      <c r="F4" s="5">
        <f t="shared" si="0"/>
        <v>983.5</v>
      </c>
      <c r="O4" s="20" t="s">
        <v>66</v>
      </c>
      <c r="Q4" s="106">
        <v>83.38</v>
      </c>
    </row>
    <row r="5" spans="1:23" x14ac:dyDescent="0.25">
      <c r="B5" s="1">
        <v>42184</v>
      </c>
      <c r="C5" s="10">
        <v>20</v>
      </c>
      <c r="D5" s="25">
        <v>98.1</v>
      </c>
      <c r="E5" s="25"/>
      <c r="F5" s="25">
        <f t="shared" si="0"/>
        <v>1962</v>
      </c>
      <c r="O5" s="20" t="s">
        <v>67</v>
      </c>
      <c r="Q5" s="5">
        <f>Q4*Q2</f>
        <v>5002.7999999999993</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-799.85000000000036</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144</v>
      </c>
      <c r="U11" s="20"/>
      <c r="V11" s="20"/>
      <c r="W11" s="20"/>
    </row>
    <row r="12" spans="1:23" x14ac:dyDescent="0.25">
      <c r="T12" s="72">
        <v>42338</v>
      </c>
      <c r="U12" s="62" t="s">
        <v>146</v>
      </c>
    </row>
    <row r="13" spans="1:23" x14ac:dyDescent="0.25">
      <c r="T13" s="72">
        <v>42300</v>
      </c>
      <c r="U13" t="s">
        <v>125</v>
      </c>
    </row>
    <row r="14" spans="1:23" x14ac:dyDescent="0.25">
      <c r="T14" s="72">
        <v>42370</v>
      </c>
      <c r="U14" t="s">
        <v>148</v>
      </c>
    </row>
    <row r="16" spans="1:23" x14ac:dyDescent="0.25">
      <c r="P16" t="s">
        <v>89</v>
      </c>
    </row>
    <row r="17" spans="15:23" x14ac:dyDescent="0.25">
      <c r="O17" s="2">
        <f>$Q$4</f>
        <v>83.38</v>
      </c>
      <c r="P17">
        <v>1.1000000000000001</v>
      </c>
      <c r="Q17" s="2">
        <f t="shared" ref="Q17:Q29" si="1">P17*O17</f>
        <v>91.718000000000004</v>
      </c>
    </row>
    <row r="18" spans="15:23" x14ac:dyDescent="0.25">
      <c r="O18" s="2">
        <f>$Q$4</f>
        <v>83.38</v>
      </c>
      <c r="P18">
        <v>1.05</v>
      </c>
      <c r="Q18" s="2">
        <f t="shared" si="1"/>
        <v>87.548999999999992</v>
      </c>
    </row>
    <row r="19" spans="15:23" x14ac:dyDescent="0.25">
      <c r="O19" s="2">
        <f t="shared" ref="O19:O29" si="2">$Q$4</f>
        <v>83.38</v>
      </c>
      <c r="P19">
        <v>1.04</v>
      </c>
      <c r="Q19" s="2">
        <f t="shared" si="1"/>
        <v>86.715199999999996</v>
      </c>
    </row>
    <row r="20" spans="15:23" x14ac:dyDescent="0.25">
      <c r="O20" s="2">
        <f t="shared" si="2"/>
        <v>83.38</v>
      </c>
      <c r="P20" s="2">
        <v>1.03</v>
      </c>
      <c r="Q20" s="2">
        <f t="shared" si="1"/>
        <v>85.881399999999999</v>
      </c>
    </row>
    <row r="21" spans="15:23" x14ac:dyDescent="0.25">
      <c r="O21" s="2">
        <f t="shared" si="2"/>
        <v>83.38</v>
      </c>
      <c r="P21" s="2">
        <v>1.02</v>
      </c>
      <c r="Q21" s="2">
        <f t="shared" si="1"/>
        <v>85.047600000000003</v>
      </c>
      <c r="W21" s="2"/>
    </row>
    <row r="22" spans="15:23" x14ac:dyDescent="0.25">
      <c r="O22" s="2">
        <f t="shared" si="2"/>
        <v>83.38</v>
      </c>
      <c r="P22" s="2">
        <v>1.01</v>
      </c>
      <c r="Q22" s="2">
        <f t="shared" si="1"/>
        <v>84.213799999999992</v>
      </c>
    </row>
    <row r="23" spans="15:23" x14ac:dyDescent="0.25">
      <c r="O23" s="2">
        <f t="shared" si="2"/>
        <v>83.38</v>
      </c>
      <c r="P23" s="2">
        <v>1</v>
      </c>
      <c r="Q23" s="2">
        <f t="shared" si="1"/>
        <v>83.38</v>
      </c>
    </row>
    <row r="24" spans="15:23" x14ac:dyDescent="0.25">
      <c r="O24" s="2">
        <f t="shared" si="2"/>
        <v>83.38</v>
      </c>
      <c r="P24" s="2">
        <v>0.99</v>
      </c>
      <c r="Q24" s="2">
        <f t="shared" si="1"/>
        <v>82.546199999999999</v>
      </c>
    </row>
    <row r="25" spans="15:23" x14ac:dyDescent="0.25">
      <c r="O25" s="2">
        <f t="shared" si="2"/>
        <v>83.38</v>
      </c>
      <c r="P25" s="2">
        <v>0.98</v>
      </c>
      <c r="Q25" s="2">
        <f t="shared" si="1"/>
        <v>81.712399999999988</v>
      </c>
    </row>
    <row r="26" spans="15:23" x14ac:dyDescent="0.25">
      <c r="O26" s="2">
        <f t="shared" si="2"/>
        <v>83.38</v>
      </c>
      <c r="P26" s="2">
        <v>0.97</v>
      </c>
      <c r="Q26" s="2">
        <f t="shared" si="1"/>
        <v>80.878599999999992</v>
      </c>
    </row>
    <row r="27" spans="15:23" x14ac:dyDescent="0.25">
      <c r="O27" s="2">
        <f t="shared" si="2"/>
        <v>83.38</v>
      </c>
      <c r="P27" s="2">
        <v>0.96</v>
      </c>
      <c r="Q27" s="2">
        <f t="shared" si="1"/>
        <v>80.044799999999995</v>
      </c>
    </row>
    <row r="28" spans="15:23" x14ac:dyDescent="0.25">
      <c r="O28" s="2">
        <f t="shared" si="2"/>
        <v>83.38</v>
      </c>
      <c r="P28" s="2">
        <v>0.95</v>
      </c>
      <c r="Q28" s="2">
        <f t="shared" si="1"/>
        <v>79.210999999999999</v>
      </c>
    </row>
    <row r="29" spans="15:23" x14ac:dyDescent="0.25">
      <c r="O29" s="2">
        <f t="shared" si="2"/>
        <v>83.38</v>
      </c>
      <c r="P29" s="2">
        <v>0.9</v>
      </c>
      <c r="Q29" s="2">
        <f t="shared" si="1"/>
        <v>75.042000000000002</v>
      </c>
    </row>
    <row r="38" spans="2:4" x14ac:dyDescent="0.25">
      <c r="B38" t="s">
        <v>210</v>
      </c>
      <c r="D38" s="134" t="s">
        <v>211</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140</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139</v>
      </c>
      <c r="V3" s="75"/>
      <c r="W3" s="75"/>
      <c r="X3" s="75"/>
      <c r="Y3" s="75"/>
      <c r="Z3" s="75"/>
    </row>
    <row r="4" spans="1:26" x14ac:dyDescent="0.25">
      <c r="B4" s="1">
        <v>42209</v>
      </c>
      <c r="C4">
        <v>20</v>
      </c>
      <c r="D4" s="2">
        <v>35.479999999999997</v>
      </c>
      <c r="F4" s="2">
        <f>C4*D4</f>
        <v>709.59999999999991</v>
      </c>
      <c r="O4" t="s">
        <v>66</v>
      </c>
      <c r="Q4" s="106">
        <v>34.4</v>
      </c>
    </row>
    <row r="5" spans="1:26" x14ac:dyDescent="0.25">
      <c r="B5" s="1">
        <v>42209</v>
      </c>
      <c r="C5">
        <v>20</v>
      </c>
      <c r="D5" s="2">
        <v>35.03</v>
      </c>
      <c r="F5" s="2">
        <f>C5*D5</f>
        <v>700.6</v>
      </c>
      <c r="O5" t="s">
        <v>67</v>
      </c>
      <c r="Q5" s="5">
        <f>Q4*Q2</f>
        <v>1376</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20.799999999999272</v>
      </c>
    </row>
    <row r="18" spans="15:17" x14ac:dyDescent="0.25">
      <c r="P18" t="s">
        <v>89</v>
      </c>
    </row>
    <row r="19" spans="15:17" x14ac:dyDescent="0.25">
      <c r="O19" s="2">
        <f>$Q$4</f>
        <v>34.4</v>
      </c>
      <c r="P19">
        <v>1.1000000000000001</v>
      </c>
      <c r="Q19" s="2">
        <f t="shared" ref="Q19:Q31" si="0">P19*O19</f>
        <v>37.840000000000003</v>
      </c>
    </row>
    <row r="20" spans="15:17" x14ac:dyDescent="0.25">
      <c r="O20" s="2">
        <f>$Q$4</f>
        <v>34.4</v>
      </c>
      <c r="P20">
        <v>1.05</v>
      </c>
      <c r="Q20" s="2">
        <f t="shared" si="0"/>
        <v>36.119999999999997</v>
      </c>
    </row>
    <row r="21" spans="15:17" x14ac:dyDescent="0.25">
      <c r="O21" s="2">
        <f t="shared" ref="O21:O31" si="1">$Q$4</f>
        <v>34.4</v>
      </c>
      <c r="P21">
        <v>1.04</v>
      </c>
      <c r="Q21" s="2">
        <f t="shared" si="0"/>
        <v>35.775999999999996</v>
      </c>
    </row>
    <row r="22" spans="15:17" x14ac:dyDescent="0.25">
      <c r="O22" s="2">
        <f t="shared" si="1"/>
        <v>34.4</v>
      </c>
      <c r="P22" s="2">
        <v>1.03</v>
      </c>
      <c r="Q22" s="2">
        <f t="shared" si="0"/>
        <v>35.432000000000002</v>
      </c>
    </row>
    <row r="23" spans="15:17" x14ac:dyDescent="0.25">
      <c r="O23" s="2">
        <f t="shared" si="1"/>
        <v>34.4</v>
      </c>
      <c r="P23" s="2">
        <v>1.02</v>
      </c>
      <c r="Q23" s="2">
        <f t="shared" si="0"/>
        <v>35.088000000000001</v>
      </c>
    </row>
    <row r="24" spans="15:17" x14ac:dyDescent="0.25">
      <c r="O24" s="2">
        <f t="shared" si="1"/>
        <v>34.4</v>
      </c>
      <c r="P24" s="2">
        <v>1.01</v>
      </c>
      <c r="Q24" s="2">
        <f t="shared" si="0"/>
        <v>34.744</v>
      </c>
    </row>
    <row r="25" spans="15:17" x14ac:dyDescent="0.25">
      <c r="O25" s="2">
        <f t="shared" si="1"/>
        <v>34.4</v>
      </c>
      <c r="P25" s="2">
        <v>1</v>
      </c>
      <c r="Q25" s="2">
        <f t="shared" si="0"/>
        <v>34.4</v>
      </c>
    </row>
    <row r="26" spans="15:17" x14ac:dyDescent="0.25">
      <c r="O26" s="2">
        <f t="shared" si="1"/>
        <v>34.4</v>
      </c>
      <c r="P26" s="2">
        <v>0.99</v>
      </c>
      <c r="Q26" s="2">
        <f t="shared" si="0"/>
        <v>34.055999999999997</v>
      </c>
    </row>
    <row r="27" spans="15:17" x14ac:dyDescent="0.25">
      <c r="O27" s="2">
        <f t="shared" si="1"/>
        <v>34.4</v>
      </c>
      <c r="P27" s="2">
        <v>0.98</v>
      </c>
      <c r="Q27" s="2">
        <f t="shared" si="0"/>
        <v>33.711999999999996</v>
      </c>
    </row>
    <row r="28" spans="15:17" x14ac:dyDescent="0.25">
      <c r="O28" s="2">
        <f t="shared" si="1"/>
        <v>34.4</v>
      </c>
      <c r="P28" s="2">
        <v>0.97</v>
      </c>
      <c r="Q28" s="2">
        <f t="shared" si="0"/>
        <v>33.367999999999995</v>
      </c>
    </row>
    <row r="29" spans="15:17" x14ac:dyDescent="0.25">
      <c r="O29" s="2">
        <f t="shared" si="1"/>
        <v>34.4</v>
      </c>
      <c r="P29" s="2">
        <v>0.96</v>
      </c>
      <c r="Q29" s="2">
        <f t="shared" si="0"/>
        <v>33.024000000000001</v>
      </c>
    </row>
    <row r="30" spans="15:17" x14ac:dyDescent="0.25">
      <c r="O30" s="2">
        <f t="shared" si="1"/>
        <v>34.4</v>
      </c>
      <c r="P30" s="2">
        <v>0.95</v>
      </c>
      <c r="Q30" s="2">
        <f t="shared" si="0"/>
        <v>32.68</v>
      </c>
    </row>
    <row r="31" spans="15:17" x14ac:dyDescent="0.25">
      <c r="O31" s="2">
        <f t="shared" si="1"/>
        <v>34.4</v>
      </c>
      <c r="P31" s="2">
        <v>0.9</v>
      </c>
      <c r="Q31" s="2">
        <f t="shared" si="0"/>
        <v>30.96</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c r="P1"/>
      <c r="Q1"/>
      <c r="T1" s="20" t="s">
        <v>167</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224</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9.2200000000000006</v>
      </c>
    </row>
    <row r="5" spans="1:21" x14ac:dyDescent="0.25">
      <c r="B5" s="1">
        <v>42166</v>
      </c>
      <c r="C5">
        <v>48</v>
      </c>
      <c r="D5" s="2">
        <v>12.3</v>
      </c>
      <c r="E5" s="2">
        <v>0</v>
      </c>
      <c r="F5" s="2">
        <f t="shared" si="0"/>
        <v>590.40000000000009</v>
      </c>
      <c r="O5" s="20" t="s">
        <v>67</v>
      </c>
      <c r="Q5" s="5">
        <f>Q4*Q2</f>
        <v>6454</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-1293.7200000000021</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9.2200000000000006</v>
      </c>
      <c r="P21">
        <v>1.1000000000000001</v>
      </c>
      <c r="Q21" s="2">
        <f t="shared" ref="Q21:Q33" si="2">P21*O21</f>
        <v>10.142000000000001</v>
      </c>
      <c r="R21" s="59"/>
    </row>
    <row r="22" spans="15:18" x14ac:dyDescent="0.25">
      <c r="O22" s="2">
        <f>$Q$4</f>
        <v>9.2200000000000006</v>
      </c>
      <c r="P22">
        <v>1.05</v>
      </c>
      <c r="Q22" s="2">
        <f t="shared" si="2"/>
        <v>9.6810000000000009</v>
      </c>
      <c r="R22" s="59"/>
    </row>
    <row r="23" spans="15:18" x14ac:dyDescent="0.25">
      <c r="O23" s="2">
        <f t="shared" ref="O23:O33" si="3">$Q$4</f>
        <v>9.2200000000000006</v>
      </c>
      <c r="P23">
        <v>1.04</v>
      </c>
      <c r="Q23" s="2">
        <f t="shared" si="2"/>
        <v>9.5888000000000009</v>
      </c>
      <c r="R23" s="59"/>
    </row>
    <row r="24" spans="15:18" x14ac:dyDescent="0.25">
      <c r="O24" s="2">
        <f t="shared" si="3"/>
        <v>9.2200000000000006</v>
      </c>
      <c r="P24" s="2">
        <v>1.03</v>
      </c>
      <c r="Q24" s="2">
        <f t="shared" si="2"/>
        <v>9.4966000000000008</v>
      </c>
      <c r="R24" s="59"/>
    </row>
    <row r="25" spans="15:18" x14ac:dyDescent="0.25">
      <c r="O25" s="2">
        <f t="shared" si="3"/>
        <v>9.2200000000000006</v>
      </c>
      <c r="P25" s="2">
        <v>1.02</v>
      </c>
      <c r="Q25" s="2">
        <f t="shared" si="2"/>
        <v>9.4044000000000008</v>
      </c>
      <c r="R25" s="59"/>
    </row>
    <row r="26" spans="15:18" x14ac:dyDescent="0.25">
      <c r="O26" s="2">
        <f t="shared" si="3"/>
        <v>9.2200000000000006</v>
      </c>
      <c r="P26" s="2">
        <v>1.01</v>
      </c>
      <c r="Q26" s="2">
        <f t="shared" si="2"/>
        <v>9.3122000000000007</v>
      </c>
      <c r="R26" s="59"/>
    </row>
    <row r="27" spans="15:18" x14ac:dyDescent="0.25">
      <c r="O27" s="2">
        <f t="shared" si="3"/>
        <v>9.2200000000000006</v>
      </c>
      <c r="P27" s="2">
        <v>1</v>
      </c>
      <c r="Q27" s="2">
        <f t="shared" si="2"/>
        <v>9.2200000000000006</v>
      </c>
      <c r="R27" s="59"/>
    </row>
    <row r="28" spans="15:18" x14ac:dyDescent="0.25">
      <c r="O28" s="2">
        <f t="shared" si="3"/>
        <v>9.2200000000000006</v>
      </c>
      <c r="P28" s="2">
        <v>0.99</v>
      </c>
      <c r="Q28" s="2">
        <f t="shared" si="2"/>
        <v>9.1278000000000006</v>
      </c>
      <c r="R28" s="59"/>
    </row>
    <row r="29" spans="15:18" x14ac:dyDescent="0.25">
      <c r="O29" s="2">
        <f t="shared" si="3"/>
        <v>9.2200000000000006</v>
      </c>
      <c r="P29" s="2">
        <v>0.98</v>
      </c>
      <c r="Q29" s="2">
        <f t="shared" si="2"/>
        <v>9.0356000000000005</v>
      </c>
      <c r="R29" s="59"/>
    </row>
    <row r="30" spans="15:18" x14ac:dyDescent="0.25">
      <c r="O30" s="2">
        <f t="shared" si="3"/>
        <v>9.2200000000000006</v>
      </c>
      <c r="P30" s="2">
        <v>0.97</v>
      </c>
      <c r="Q30" s="2">
        <f t="shared" si="2"/>
        <v>8.9434000000000005</v>
      </c>
      <c r="R30" s="59"/>
    </row>
    <row r="31" spans="15:18" x14ac:dyDescent="0.25">
      <c r="O31" s="2">
        <f t="shared" si="3"/>
        <v>9.2200000000000006</v>
      </c>
      <c r="P31" s="2">
        <v>0.96</v>
      </c>
      <c r="Q31" s="2">
        <f t="shared" si="2"/>
        <v>8.8512000000000004</v>
      </c>
      <c r="R31" s="59"/>
    </row>
    <row r="32" spans="15:18" x14ac:dyDescent="0.25">
      <c r="O32" s="2">
        <f t="shared" si="3"/>
        <v>9.2200000000000006</v>
      </c>
      <c r="P32" s="2">
        <v>0.95</v>
      </c>
      <c r="Q32" s="2">
        <f t="shared" si="2"/>
        <v>8.7590000000000003</v>
      </c>
      <c r="R32" s="59"/>
    </row>
    <row r="33" spans="15:18" x14ac:dyDescent="0.25">
      <c r="O33" s="2">
        <f t="shared" si="3"/>
        <v>9.2200000000000006</v>
      </c>
      <c r="P33" s="2">
        <v>0.9</v>
      </c>
      <c r="Q33" s="2">
        <f t="shared" si="2"/>
        <v>8.298</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125</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18.45</v>
      </c>
    </row>
    <row r="5" spans="1:22" x14ac:dyDescent="0.25">
      <c r="B5" s="1">
        <v>42185</v>
      </c>
      <c r="C5">
        <v>5</v>
      </c>
      <c r="D5" s="2">
        <v>23.82</v>
      </c>
      <c r="F5" s="2">
        <f t="shared" si="0"/>
        <v>119.1</v>
      </c>
      <c r="O5" s="20" t="s">
        <v>67</v>
      </c>
      <c r="Q5" s="5">
        <f>Q4*Q2</f>
        <v>2214</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-348.45999999999958</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18.45</v>
      </c>
      <c r="P20">
        <v>1.1000000000000001</v>
      </c>
      <c r="Q20" s="2">
        <f t="shared" ref="Q20:Q32" si="1">P20*O20</f>
        <v>20.295000000000002</v>
      </c>
    </row>
    <row r="21" spans="15:17" x14ac:dyDescent="0.25">
      <c r="O21" s="2">
        <f>$Q$4</f>
        <v>18.45</v>
      </c>
      <c r="P21">
        <v>1.05</v>
      </c>
      <c r="Q21" s="2">
        <f t="shared" si="1"/>
        <v>19.372499999999999</v>
      </c>
    </row>
    <row r="22" spans="15:17" x14ac:dyDescent="0.25">
      <c r="O22" s="2">
        <f t="shared" ref="O22:O32" si="2">$Q$4</f>
        <v>18.45</v>
      </c>
      <c r="P22">
        <v>1.04</v>
      </c>
      <c r="Q22" s="2">
        <f t="shared" si="1"/>
        <v>19.187999999999999</v>
      </c>
    </row>
    <row r="23" spans="15:17" x14ac:dyDescent="0.25">
      <c r="O23" s="2">
        <f t="shared" si="2"/>
        <v>18.45</v>
      </c>
      <c r="P23" s="2">
        <v>1.03</v>
      </c>
      <c r="Q23" s="2">
        <f t="shared" si="1"/>
        <v>19.003499999999999</v>
      </c>
    </row>
    <row r="24" spans="15:17" x14ac:dyDescent="0.25">
      <c r="O24" s="2">
        <f t="shared" si="2"/>
        <v>18.45</v>
      </c>
      <c r="P24" s="2">
        <v>1.02</v>
      </c>
      <c r="Q24" s="2">
        <f t="shared" si="1"/>
        <v>18.818999999999999</v>
      </c>
    </row>
    <row r="25" spans="15:17" x14ac:dyDescent="0.25">
      <c r="O25" s="2">
        <f t="shared" si="2"/>
        <v>18.45</v>
      </c>
      <c r="P25" s="2">
        <v>1.01</v>
      </c>
      <c r="Q25" s="2">
        <f t="shared" si="1"/>
        <v>18.634499999999999</v>
      </c>
    </row>
    <row r="26" spans="15:17" x14ac:dyDescent="0.25">
      <c r="O26" s="2">
        <f t="shared" si="2"/>
        <v>18.45</v>
      </c>
      <c r="P26" s="2">
        <v>1</v>
      </c>
      <c r="Q26" s="2">
        <f t="shared" si="1"/>
        <v>18.45</v>
      </c>
    </row>
    <row r="27" spans="15:17" x14ac:dyDescent="0.25">
      <c r="O27" s="2">
        <f t="shared" si="2"/>
        <v>18.45</v>
      </c>
      <c r="P27" s="2">
        <v>0.99</v>
      </c>
      <c r="Q27" s="2">
        <f t="shared" si="1"/>
        <v>18.265499999999999</v>
      </c>
    </row>
    <row r="28" spans="15:17" x14ac:dyDescent="0.25">
      <c r="O28" s="2">
        <f t="shared" si="2"/>
        <v>18.45</v>
      </c>
      <c r="P28" s="2">
        <v>0.98</v>
      </c>
      <c r="Q28" s="2">
        <f t="shared" si="1"/>
        <v>18.081</v>
      </c>
    </row>
    <row r="29" spans="15:17" x14ac:dyDescent="0.25">
      <c r="O29" s="2">
        <f t="shared" si="2"/>
        <v>18.45</v>
      </c>
      <c r="P29" s="2">
        <v>0.97</v>
      </c>
      <c r="Q29" s="2">
        <f t="shared" si="1"/>
        <v>17.8965</v>
      </c>
    </row>
    <row r="30" spans="15:17" x14ac:dyDescent="0.25">
      <c r="O30" s="2">
        <f t="shared" si="2"/>
        <v>18.45</v>
      </c>
      <c r="P30" s="2">
        <v>0.96</v>
      </c>
      <c r="Q30" s="2">
        <f t="shared" si="1"/>
        <v>17.712</v>
      </c>
    </row>
    <row r="31" spans="15:17" x14ac:dyDescent="0.25">
      <c r="O31" s="2">
        <f t="shared" si="2"/>
        <v>18.45</v>
      </c>
      <c r="P31" s="2">
        <v>0.95</v>
      </c>
      <c r="Q31" s="2">
        <f t="shared" si="1"/>
        <v>17.5275</v>
      </c>
    </row>
    <row r="32" spans="15:17" x14ac:dyDescent="0.25">
      <c r="O32" s="2">
        <f t="shared" si="2"/>
        <v>18.45</v>
      </c>
      <c r="P32" s="2">
        <v>0.9</v>
      </c>
      <c r="Q32" s="2">
        <f t="shared" si="1"/>
        <v>16.605</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127</v>
      </c>
      <c r="U2" t="s">
        <v>128</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125</v>
      </c>
    </row>
    <row r="4" spans="1:21" x14ac:dyDescent="0.25">
      <c r="B4" s="1">
        <v>42156</v>
      </c>
      <c r="C4">
        <v>10</v>
      </c>
      <c r="D4" s="2">
        <v>46.5</v>
      </c>
      <c r="F4" s="2">
        <f t="shared" si="0"/>
        <v>465</v>
      </c>
      <c r="G4" s="1"/>
      <c r="O4" t="s">
        <v>66</v>
      </c>
      <c r="Q4" s="106">
        <v>42.79</v>
      </c>
    </row>
    <row r="5" spans="1:21" x14ac:dyDescent="0.25">
      <c r="B5" s="1">
        <v>42156</v>
      </c>
      <c r="C5">
        <v>50</v>
      </c>
      <c r="D5" s="2">
        <v>45.95</v>
      </c>
      <c r="F5" s="2">
        <f t="shared" si="0"/>
        <v>2297.5</v>
      </c>
      <c r="O5" t="s">
        <v>67</v>
      </c>
      <c r="Q5" s="5">
        <f>Q4*Q2</f>
        <v>1711.6</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-235.79999999999973</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42.79</v>
      </c>
      <c r="P22">
        <v>1.1000000000000001</v>
      </c>
      <c r="Q22" s="2">
        <f t="shared" ref="Q22:Q34" si="1">P22*O22</f>
        <v>47.069000000000003</v>
      </c>
      <c r="R22" s="59"/>
    </row>
    <row r="23" spans="15:18" x14ac:dyDescent="0.25">
      <c r="O23" s="2">
        <f>$Q$4</f>
        <v>42.79</v>
      </c>
      <c r="P23">
        <v>1.05</v>
      </c>
      <c r="Q23" s="2">
        <f t="shared" si="1"/>
        <v>44.929500000000004</v>
      </c>
      <c r="R23" s="59"/>
    </row>
    <row r="24" spans="15:18" x14ac:dyDescent="0.25">
      <c r="O24" s="2">
        <f t="shared" ref="O24:O34" si="2">$Q$4</f>
        <v>42.79</v>
      </c>
      <c r="P24">
        <v>1.04</v>
      </c>
      <c r="Q24" s="2">
        <f t="shared" si="1"/>
        <v>44.501600000000003</v>
      </c>
      <c r="R24" s="59"/>
    </row>
    <row r="25" spans="15:18" x14ac:dyDescent="0.25">
      <c r="O25" s="2">
        <f t="shared" si="2"/>
        <v>42.79</v>
      </c>
      <c r="P25" s="2">
        <v>1.03</v>
      </c>
      <c r="Q25" s="2">
        <f t="shared" si="1"/>
        <v>44.073700000000002</v>
      </c>
      <c r="R25" s="59"/>
    </row>
    <row r="26" spans="15:18" x14ac:dyDescent="0.25">
      <c r="O26" s="2">
        <f t="shared" si="2"/>
        <v>42.79</v>
      </c>
      <c r="P26" s="2">
        <v>1.02</v>
      </c>
      <c r="Q26" s="2">
        <f t="shared" si="1"/>
        <v>43.645800000000001</v>
      </c>
      <c r="R26" s="59"/>
    </row>
    <row r="27" spans="15:18" x14ac:dyDescent="0.25">
      <c r="O27" s="2">
        <f t="shared" si="2"/>
        <v>42.79</v>
      </c>
      <c r="P27" s="2">
        <v>1.01</v>
      </c>
      <c r="Q27" s="2">
        <f t="shared" si="1"/>
        <v>43.2179</v>
      </c>
      <c r="R27" s="59"/>
    </row>
    <row r="28" spans="15:18" x14ac:dyDescent="0.25">
      <c r="O28" s="2">
        <f t="shared" si="2"/>
        <v>42.79</v>
      </c>
      <c r="P28" s="2">
        <v>1</v>
      </c>
      <c r="Q28" s="2">
        <f t="shared" si="1"/>
        <v>42.79</v>
      </c>
      <c r="R28" s="59"/>
    </row>
    <row r="29" spans="15:18" x14ac:dyDescent="0.25">
      <c r="O29" s="2">
        <f t="shared" si="2"/>
        <v>42.79</v>
      </c>
      <c r="P29" s="2">
        <v>0.99</v>
      </c>
      <c r="Q29" s="2">
        <f t="shared" si="1"/>
        <v>42.362099999999998</v>
      </c>
      <c r="R29" s="59"/>
    </row>
    <row r="30" spans="15:18" x14ac:dyDescent="0.25">
      <c r="O30" s="2">
        <f t="shared" si="2"/>
        <v>42.79</v>
      </c>
      <c r="P30" s="2">
        <v>0.98</v>
      </c>
      <c r="Q30" s="2">
        <f t="shared" si="1"/>
        <v>41.934199999999997</v>
      </c>
      <c r="R30" s="59"/>
    </row>
    <row r="31" spans="15:18" x14ac:dyDescent="0.25">
      <c r="O31" s="2">
        <f t="shared" si="2"/>
        <v>42.79</v>
      </c>
      <c r="P31" s="2">
        <v>0.97</v>
      </c>
      <c r="Q31" s="2">
        <f t="shared" si="1"/>
        <v>41.506299999999996</v>
      </c>
      <c r="R31" s="59" t="s">
        <v>122</v>
      </c>
    </row>
    <row r="32" spans="15:18" x14ac:dyDescent="0.25">
      <c r="O32" s="2">
        <f t="shared" si="2"/>
        <v>42.79</v>
      </c>
      <c r="P32" s="2">
        <v>0.96</v>
      </c>
      <c r="Q32" s="2">
        <f t="shared" si="1"/>
        <v>41.078399999999995</v>
      </c>
      <c r="R32" s="59"/>
    </row>
    <row r="33" spans="15:18" x14ac:dyDescent="0.25">
      <c r="O33" s="2">
        <f t="shared" si="2"/>
        <v>42.79</v>
      </c>
      <c r="P33" s="2">
        <v>0.95</v>
      </c>
      <c r="Q33" s="2">
        <f t="shared" si="1"/>
        <v>40.650499999999994</v>
      </c>
      <c r="R33" s="59"/>
    </row>
    <row r="34" spans="15:18" x14ac:dyDescent="0.25">
      <c r="O34" s="2">
        <f t="shared" si="2"/>
        <v>42.79</v>
      </c>
      <c r="P34" s="2">
        <v>0.9</v>
      </c>
      <c r="Q34" s="2">
        <f t="shared" si="1"/>
        <v>38.511000000000003</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215</v>
      </c>
      <c r="F1" s="34" t="s">
        <v>60</v>
      </c>
      <c r="G1" s="20" t="s">
        <v>3</v>
      </c>
      <c r="H1" s="20" t="s">
        <v>6</v>
      </c>
      <c r="I1" s="34" t="s">
        <v>7</v>
      </c>
      <c r="J1" s="34" t="s">
        <v>216</v>
      </c>
      <c r="K1" s="34" t="s">
        <v>61</v>
      </c>
      <c r="L1" s="20" t="s">
        <v>88</v>
      </c>
      <c r="M1" s="34" t="s">
        <v>38</v>
      </c>
      <c r="T1" s="20" t="s">
        <v>74</v>
      </c>
    </row>
    <row r="2" spans="1:21" x14ac:dyDescent="0.25">
      <c r="A2" s="8" t="s">
        <v>45</v>
      </c>
      <c r="B2" s="1">
        <v>42185</v>
      </c>
      <c r="C2">
        <v>10</v>
      </c>
      <c r="D2" s="2">
        <v>65.45</v>
      </c>
      <c r="E2" s="2">
        <v>0</v>
      </c>
      <c r="F2" s="2">
        <f t="shared" ref="F2:F7" si="0">C2*D2</f>
        <v>654.5</v>
      </c>
      <c r="G2" s="1">
        <v>42226</v>
      </c>
      <c r="H2" s="10">
        <v>30</v>
      </c>
      <c r="I2" s="25">
        <v>62.9</v>
      </c>
      <c r="J2" s="25">
        <v>0</v>
      </c>
      <c r="K2" s="25">
        <f>H2*I2</f>
        <v>1887</v>
      </c>
      <c r="L2" t="s">
        <v>213</v>
      </c>
      <c r="O2" s="20" t="s">
        <v>57</v>
      </c>
      <c r="Q2">
        <f>C8-H8</f>
        <v>100</v>
      </c>
      <c r="T2" s="1">
        <v>42243</v>
      </c>
      <c r="U2" t="s">
        <v>218</v>
      </c>
    </row>
    <row r="3" spans="1:21" x14ac:dyDescent="0.25">
      <c r="A3" s="36" t="s">
        <v>81</v>
      </c>
      <c r="B3" s="1">
        <v>42223</v>
      </c>
      <c r="C3">
        <v>20</v>
      </c>
      <c r="D3" s="2">
        <v>63.52</v>
      </c>
      <c r="E3" s="2">
        <v>0</v>
      </c>
      <c r="F3" s="2">
        <f t="shared" si="0"/>
        <v>1270.4000000000001</v>
      </c>
      <c r="G3" s="1">
        <v>42235</v>
      </c>
      <c r="H3" s="17">
        <v>30</v>
      </c>
      <c r="I3" s="78">
        <v>63.59</v>
      </c>
      <c r="J3" s="78">
        <v>0</v>
      </c>
      <c r="K3" s="78">
        <f>H3*I3</f>
        <v>1907.7</v>
      </c>
      <c r="O3" s="20" t="s">
        <v>58</v>
      </c>
      <c r="Q3" s="2">
        <f>(F8-K8)/Q2</f>
        <v>62.165999999999997</v>
      </c>
      <c r="T3" s="1"/>
    </row>
    <row r="4" spans="1:21" x14ac:dyDescent="0.25">
      <c r="B4" s="1">
        <v>42223</v>
      </c>
      <c r="C4" s="6">
        <v>40</v>
      </c>
      <c r="D4" s="5">
        <v>62.45</v>
      </c>
      <c r="E4" s="5">
        <v>0</v>
      </c>
      <c r="F4" s="5">
        <f t="shared" si="0"/>
        <v>2498</v>
      </c>
      <c r="O4" s="20" t="s">
        <v>66</v>
      </c>
      <c r="Q4" s="106">
        <v>57.14</v>
      </c>
    </row>
    <row r="5" spans="1:21" x14ac:dyDescent="0.25">
      <c r="B5" s="1">
        <v>42223</v>
      </c>
      <c r="C5" s="10">
        <v>30</v>
      </c>
      <c r="D5" s="25">
        <v>62</v>
      </c>
      <c r="E5" s="25">
        <v>0</v>
      </c>
      <c r="F5" s="25">
        <f t="shared" si="0"/>
        <v>1860</v>
      </c>
      <c r="O5" s="20" t="s">
        <v>67</v>
      </c>
      <c r="Q5" s="5">
        <f>Q4*Q2</f>
        <v>5714</v>
      </c>
      <c r="T5" s="1"/>
      <c r="U5" s="135"/>
    </row>
    <row r="6" spans="1:21" x14ac:dyDescent="0.25">
      <c r="B6" s="1">
        <v>42223</v>
      </c>
      <c r="C6" s="17">
        <v>30</v>
      </c>
      <c r="D6" s="78">
        <v>62.98</v>
      </c>
      <c r="E6" s="78">
        <v>0</v>
      </c>
      <c r="F6" s="78">
        <f t="shared" si="0"/>
        <v>1889.3999999999999</v>
      </c>
      <c r="O6" s="20" t="s">
        <v>64</v>
      </c>
      <c r="Q6" s="2">
        <f>Q3*Q2</f>
        <v>6216.5999999999995</v>
      </c>
    </row>
    <row r="7" spans="1:21" x14ac:dyDescent="0.25">
      <c r="B7" s="1">
        <v>42223</v>
      </c>
      <c r="C7">
        <v>30</v>
      </c>
      <c r="D7" s="2">
        <v>61.3</v>
      </c>
      <c r="E7" s="2">
        <v>0</v>
      </c>
      <c r="F7" s="2">
        <f t="shared" si="0"/>
        <v>1839</v>
      </c>
      <c r="O7" s="20" t="s">
        <v>65</v>
      </c>
      <c r="Q7" s="2">
        <f>Q5-Q6+M8</f>
        <v>-502.59999999999945</v>
      </c>
      <c r="T7" s="1">
        <v>42264</v>
      </c>
      <c r="U7" t="s">
        <v>217</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214</v>
      </c>
    </row>
    <row r="10" spans="1:21" x14ac:dyDescent="0.25">
      <c r="T10" s="1">
        <v>42306</v>
      </c>
      <c r="U10" s="135" t="s">
        <v>125</v>
      </c>
    </row>
    <row r="16" spans="1:21" x14ac:dyDescent="0.25">
      <c r="A16" s="56"/>
      <c r="P16" t="s">
        <v>89</v>
      </c>
      <c r="U16" s="2"/>
    </row>
    <row r="17" spans="1:17" x14ac:dyDescent="0.25">
      <c r="A17" s="56"/>
      <c r="O17" s="2">
        <f>$Q$4</f>
        <v>57.14</v>
      </c>
      <c r="P17">
        <v>1.1000000000000001</v>
      </c>
      <c r="Q17" s="2">
        <f t="shared" ref="Q17:Q29" si="1">P17*O17</f>
        <v>62.854000000000006</v>
      </c>
    </row>
    <row r="18" spans="1:17" x14ac:dyDescent="0.25">
      <c r="A18" s="56"/>
      <c r="O18" s="2">
        <f>$Q$4</f>
        <v>57.14</v>
      </c>
      <c r="P18">
        <v>1.05</v>
      </c>
      <c r="Q18" s="2">
        <f t="shared" si="1"/>
        <v>59.997</v>
      </c>
    </row>
    <row r="19" spans="1:17" x14ac:dyDescent="0.25">
      <c r="O19" s="2">
        <f t="shared" ref="O19:O29" si="2">$Q$4</f>
        <v>57.14</v>
      </c>
      <c r="P19">
        <v>1.04</v>
      </c>
      <c r="Q19" s="2">
        <f t="shared" si="1"/>
        <v>59.425600000000003</v>
      </c>
    </row>
    <row r="20" spans="1:17" x14ac:dyDescent="0.25">
      <c r="O20" s="2">
        <f t="shared" si="2"/>
        <v>57.14</v>
      </c>
      <c r="P20" s="2">
        <v>1.03</v>
      </c>
      <c r="Q20" s="2">
        <f t="shared" si="1"/>
        <v>58.854199999999999</v>
      </c>
    </row>
    <row r="21" spans="1:17" x14ac:dyDescent="0.25">
      <c r="O21" s="2">
        <f t="shared" si="2"/>
        <v>57.14</v>
      </c>
      <c r="P21" s="2">
        <v>1.02</v>
      </c>
      <c r="Q21" s="2">
        <f t="shared" si="1"/>
        <v>58.282800000000002</v>
      </c>
    </row>
    <row r="22" spans="1:17" x14ac:dyDescent="0.25">
      <c r="O22" s="2">
        <f t="shared" si="2"/>
        <v>57.14</v>
      </c>
      <c r="P22" s="2">
        <v>1.01</v>
      </c>
      <c r="Q22" s="2">
        <f t="shared" si="1"/>
        <v>57.711399999999998</v>
      </c>
    </row>
    <row r="23" spans="1:17" x14ac:dyDescent="0.25">
      <c r="O23" s="2">
        <f t="shared" si="2"/>
        <v>57.14</v>
      </c>
      <c r="P23" s="2">
        <v>1</v>
      </c>
      <c r="Q23" s="2">
        <f t="shared" si="1"/>
        <v>57.14</v>
      </c>
    </row>
    <row r="24" spans="1:17" x14ac:dyDescent="0.25">
      <c r="O24" s="2">
        <f t="shared" si="2"/>
        <v>57.14</v>
      </c>
      <c r="P24" s="2">
        <v>0.99</v>
      </c>
      <c r="Q24" s="2">
        <f t="shared" si="1"/>
        <v>56.568600000000004</v>
      </c>
    </row>
    <row r="25" spans="1:17" x14ac:dyDescent="0.25">
      <c r="O25" s="2">
        <f t="shared" si="2"/>
        <v>57.14</v>
      </c>
      <c r="P25" s="2">
        <v>0.98</v>
      </c>
      <c r="Q25" s="2">
        <f t="shared" si="1"/>
        <v>55.997199999999999</v>
      </c>
    </row>
    <row r="26" spans="1:17" x14ac:dyDescent="0.25">
      <c r="O26" s="2">
        <f t="shared" si="2"/>
        <v>57.14</v>
      </c>
      <c r="P26" s="2">
        <v>0.97</v>
      </c>
      <c r="Q26" s="2">
        <f t="shared" si="1"/>
        <v>55.425800000000002</v>
      </c>
    </row>
    <row r="27" spans="1:17" x14ac:dyDescent="0.25">
      <c r="O27" s="2">
        <f t="shared" si="2"/>
        <v>57.14</v>
      </c>
      <c r="P27" s="2">
        <v>0.96</v>
      </c>
      <c r="Q27" s="2">
        <f t="shared" si="1"/>
        <v>54.854399999999998</v>
      </c>
    </row>
    <row r="28" spans="1:17" x14ac:dyDescent="0.25">
      <c r="O28" s="2">
        <f t="shared" si="2"/>
        <v>57.14</v>
      </c>
      <c r="P28" s="2">
        <v>0.95</v>
      </c>
      <c r="Q28" s="2">
        <f t="shared" si="1"/>
        <v>54.283000000000001</v>
      </c>
    </row>
    <row r="29" spans="1:17" x14ac:dyDescent="0.25">
      <c r="O29" s="2">
        <f t="shared" si="2"/>
        <v>57.14</v>
      </c>
      <c r="P29" s="2">
        <v>0.9</v>
      </c>
      <c r="Q29" s="2">
        <f t="shared" si="1"/>
        <v>51.426000000000002</v>
      </c>
    </row>
    <row r="36" spans="3:5" x14ac:dyDescent="0.25">
      <c r="C36" t="s">
        <v>198</v>
      </c>
      <c r="E36" s="2" t="s">
        <v>199</v>
      </c>
    </row>
    <row r="37" spans="3:5" ht="15" customHeight="1" x14ac:dyDescent="0.25">
      <c r="C37" t="s">
        <v>200</v>
      </c>
      <c r="E37" s="2" t="s">
        <v>201</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155</v>
      </c>
      <c r="F1" s="34" t="s">
        <v>60</v>
      </c>
      <c r="G1" s="20" t="s">
        <v>3</v>
      </c>
      <c r="H1" s="20" t="s">
        <v>6</v>
      </c>
      <c r="I1" s="20" t="s">
        <v>7</v>
      </c>
      <c r="J1" s="20" t="s">
        <v>154</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125</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5.77</v>
      </c>
    </row>
    <row r="5" spans="1:21" x14ac:dyDescent="0.25">
      <c r="B5" s="1">
        <v>42194</v>
      </c>
      <c r="C5">
        <v>150</v>
      </c>
      <c r="D5" s="2">
        <v>6.1</v>
      </c>
      <c r="E5" s="2">
        <v>0</v>
      </c>
      <c r="F5" s="2">
        <f t="shared" si="0"/>
        <v>915</v>
      </c>
      <c r="O5" s="20" t="s">
        <v>67</v>
      </c>
      <c r="Q5" s="5">
        <f>Q4*Q2</f>
        <v>2596.5</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-57.019999999999982</v>
      </c>
    </row>
    <row r="22" spans="15:17" x14ac:dyDescent="0.25">
      <c r="P22" t="s">
        <v>89</v>
      </c>
    </row>
    <row r="23" spans="15:17" x14ac:dyDescent="0.25">
      <c r="O23" s="2">
        <f>$Q$4</f>
        <v>5.77</v>
      </c>
      <c r="P23">
        <v>1.1000000000000001</v>
      </c>
      <c r="Q23" s="2">
        <f t="shared" ref="Q23:Q35" si="1">P23*O23</f>
        <v>6.3470000000000004</v>
      </c>
    </row>
    <row r="24" spans="15:17" x14ac:dyDescent="0.25">
      <c r="O24" s="2">
        <f>$Q$4</f>
        <v>5.77</v>
      </c>
      <c r="P24">
        <v>1.05</v>
      </c>
      <c r="Q24" s="2">
        <f t="shared" si="1"/>
        <v>6.0584999999999996</v>
      </c>
    </row>
    <row r="25" spans="15:17" x14ac:dyDescent="0.25">
      <c r="O25" s="2">
        <f t="shared" ref="O25:O35" si="2">$Q$4</f>
        <v>5.77</v>
      </c>
      <c r="P25">
        <v>1.04</v>
      </c>
      <c r="Q25" s="2">
        <f t="shared" si="1"/>
        <v>6.0007999999999999</v>
      </c>
    </row>
    <row r="26" spans="15:17" x14ac:dyDescent="0.25">
      <c r="O26" s="2">
        <f t="shared" si="2"/>
        <v>5.77</v>
      </c>
      <c r="P26" s="2">
        <v>1.03</v>
      </c>
      <c r="Q26" s="2">
        <f t="shared" si="1"/>
        <v>5.9430999999999994</v>
      </c>
    </row>
    <row r="27" spans="15:17" x14ac:dyDescent="0.25">
      <c r="O27" s="2">
        <f t="shared" si="2"/>
        <v>5.77</v>
      </c>
      <c r="P27" s="2">
        <v>1.02</v>
      </c>
      <c r="Q27" s="2">
        <f t="shared" si="1"/>
        <v>5.8853999999999997</v>
      </c>
    </row>
    <row r="28" spans="15:17" x14ac:dyDescent="0.25">
      <c r="O28" s="2">
        <f t="shared" si="2"/>
        <v>5.77</v>
      </c>
      <c r="P28" s="2">
        <v>1.01</v>
      </c>
      <c r="Q28" s="2">
        <f t="shared" si="1"/>
        <v>5.8276999999999992</v>
      </c>
    </row>
    <row r="29" spans="15:17" x14ac:dyDescent="0.25">
      <c r="O29" s="2">
        <f t="shared" si="2"/>
        <v>5.77</v>
      </c>
      <c r="P29" s="2">
        <v>1</v>
      </c>
      <c r="Q29" s="2">
        <f t="shared" si="1"/>
        <v>5.77</v>
      </c>
    </row>
    <row r="30" spans="15:17" x14ac:dyDescent="0.25">
      <c r="O30" s="2">
        <f t="shared" si="2"/>
        <v>5.77</v>
      </c>
      <c r="P30" s="2">
        <v>0.99</v>
      </c>
      <c r="Q30" s="2">
        <f t="shared" si="1"/>
        <v>5.7122999999999999</v>
      </c>
    </row>
    <row r="31" spans="15:17" x14ac:dyDescent="0.25">
      <c r="O31" s="2">
        <f t="shared" si="2"/>
        <v>5.77</v>
      </c>
      <c r="P31" s="2">
        <v>0.98</v>
      </c>
      <c r="Q31" s="2">
        <f t="shared" si="1"/>
        <v>5.6545999999999994</v>
      </c>
    </row>
    <row r="32" spans="15:17" x14ac:dyDescent="0.25">
      <c r="O32" s="2">
        <f t="shared" si="2"/>
        <v>5.77</v>
      </c>
      <c r="P32" s="2">
        <v>0.97</v>
      </c>
      <c r="Q32" s="2">
        <f t="shared" si="1"/>
        <v>5.5968999999999998</v>
      </c>
    </row>
    <row r="33" spans="15:17" x14ac:dyDescent="0.25">
      <c r="O33" s="2">
        <f t="shared" si="2"/>
        <v>5.77</v>
      </c>
      <c r="P33" s="2">
        <v>0.96</v>
      </c>
      <c r="Q33" s="2">
        <f t="shared" si="1"/>
        <v>5.5391999999999992</v>
      </c>
    </row>
    <row r="34" spans="15:17" x14ac:dyDescent="0.25">
      <c r="O34" s="2">
        <f t="shared" si="2"/>
        <v>5.77</v>
      </c>
      <c r="P34" s="2">
        <v>0.95</v>
      </c>
      <c r="Q34" s="2">
        <f t="shared" si="1"/>
        <v>5.4814999999999996</v>
      </c>
    </row>
    <row r="35" spans="15:17" x14ac:dyDescent="0.25">
      <c r="O35" s="2">
        <f t="shared" si="2"/>
        <v>5.77</v>
      </c>
      <c r="P35" s="2">
        <v>0.9</v>
      </c>
      <c r="Q35" s="2">
        <f t="shared" si="1"/>
        <v>5.1929999999999996</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130</v>
      </c>
      <c r="O2" s="20" t="s">
        <v>57</v>
      </c>
      <c r="Q2">
        <f>C6-H6</f>
        <v>60</v>
      </c>
      <c r="T2" s="1">
        <v>42305</v>
      </c>
      <c r="U2" t="s">
        <v>125</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75.709999999999994</v>
      </c>
    </row>
    <row r="5" spans="1:21" x14ac:dyDescent="0.25">
      <c r="B5" s="1">
        <v>42222</v>
      </c>
      <c r="C5">
        <v>10</v>
      </c>
      <c r="D5" s="2">
        <v>83.08</v>
      </c>
      <c r="F5" s="2">
        <f t="shared" si="0"/>
        <v>830.8</v>
      </c>
      <c r="O5" s="20" t="s">
        <v>67</v>
      </c>
      <c r="Q5" s="5">
        <f>Q4*Q2</f>
        <v>4542.5999999999995</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-544.70000000000073</v>
      </c>
    </row>
    <row r="17" spans="15:18" x14ac:dyDescent="0.25">
      <c r="P17" t="s">
        <v>89</v>
      </c>
      <c r="R17" s="59"/>
    </row>
    <row r="18" spans="15:18" x14ac:dyDescent="0.25">
      <c r="O18" s="2">
        <f>$Q$4</f>
        <v>75.709999999999994</v>
      </c>
      <c r="P18">
        <v>1.1000000000000001</v>
      </c>
      <c r="Q18" s="2">
        <f t="shared" ref="Q18:Q30" si="1">P18*O18</f>
        <v>83.281000000000006</v>
      </c>
      <c r="R18" s="59"/>
    </row>
    <row r="19" spans="15:18" x14ac:dyDescent="0.25">
      <c r="O19" s="2">
        <f>$Q$4</f>
        <v>75.709999999999994</v>
      </c>
      <c r="P19">
        <v>1.05</v>
      </c>
      <c r="Q19" s="2">
        <f t="shared" si="1"/>
        <v>79.495499999999993</v>
      </c>
      <c r="R19" s="59"/>
    </row>
    <row r="20" spans="15:18" x14ac:dyDescent="0.25">
      <c r="O20" s="2">
        <f t="shared" ref="O20:O30" si="2">$Q$4</f>
        <v>75.709999999999994</v>
      </c>
      <c r="P20">
        <v>1.04</v>
      </c>
      <c r="Q20" s="2">
        <f t="shared" si="1"/>
        <v>78.738399999999999</v>
      </c>
      <c r="R20" s="59"/>
    </row>
    <row r="21" spans="15:18" x14ac:dyDescent="0.25">
      <c r="O21" s="2">
        <f t="shared" si="2"/>
        <v>75.709999999999994</v>
      </c>
      <c r="P21" s="2">
        <v>1.03</v>
      </c>
      <c r="Q21" s="2">
        <f t="shared" si="1"/>
        <v>77.98129999999999</v>
      </c>
      <c r="R21" s="59" t="s">
        <v>115</v>
      </c>
    </row>
    <row r="22" spans="15:18" x14ac:dyDescent="0.25">
      <c r="O22" s="2">
        <f t="shared" si="2"/>
        <v>75.709999999999994</v>
      </c>
      <c r="P22" s="2">
        <v>1.02</v>
      </c>
      <c r="Q22" s="2">
        <f t="shared" si="1"/>
        <v>77.224199999999996</v>
      </c>
      <c r="R22" s="59"/>
    </row>
    <row r="23" spans="15:18" x14ac:dyDescent="0.25">
      <c r="O23" s="2">
        <f t="shared" si="2"/>
        <v>75.709999999999994</v>
      </c>
      <c r="P23" s="2">
        <v>1.01</v>
      </c>
      <c r="Q23" s="2">
        <f t="shared" si="1"/>
        <v>76.467099999999988</v>
      </c>
      <c r="R23" s="59"/>
    </row>
    <row r="24" spans="15:18" x14ac:dyDescent="0.25">
      <c r="O24" s="2">
        <f t="shared" si="2"/>
        <v>75.709999999999994</v>
      </c>
      <c r="P24" s="2">
        <v>1</v>
      </c>
      <c r="Q24" s="2">
        <f t="shared" si="1"/>
        <v>75.709999999999994</v>
      </c>
      <c r="R24" s="59"/>
    </row>
    <row r="25" spans="15:18" x14ac:dyDescent="0.25">
      <c r="O25" s="2">
        <f t="shared" si="2"/>
        <v>75.709999999999994</v>
      </c>
      <c r="P25" s="2">
        <v>0.99</v>
      </c>
      <c r="Q25" s="2">
        <f t="shared" si="1"/>
        <v>74.9529</v>
      </c>
      <c r="R25" s="59"/>
    </row>
    <row r="26" spans="15:18" x14ac:dyDescent="0.25">
      <c r="O26" s="2">
        <f t="shared" si="2"/>
        <v>75.709999999999994</v>
      </c>
      <c r="P26" s="2">
        <v>0.98</v>
      </c>
      <c r="Q26" s="2">
        <f t="shared" si="1"/>
        <v>74.195799999999991</v>
      </c>
      <c r="R26" s="59" t="s">
        <v>129</v>
      </c>
    </row>
    <row r="27" spans="15:18" x14ac:dyDescent="0.25">
      <c r="O27" s="2">
        <f t="shared" si="2"/>
        <v>75.709999999999994</v>
      </c>
      <c r="P27" s="2">
        <v>0.97</v>
      </c>
      <c r="Q27" s="2">
        <f t="shared" si="1"/>
        <v>73.438699999999997</v>
      </c>
      <c r="R27" s="59"/>
    </row>
    <row r="28" spans="15:18" x14ac:dyDescent="0.25">
      <c r="O28" s="2">
        <f t="shared" si="2"/>
        <v>75.709999999999994</v>
      </c>
      <c r="P28" s="2">
        <v>0.96</v>
      </c>
      <c r="Q28" s="2">
        <f t="shared" si="1"/>
        <v>72.681599999999989</v>
      </c>
      <c r="R28" s="59"/>
    </row>
    <row r="29" spans="15:18" x14ac:dyDescent="0.25">
      <c r="O29" s="2">
        <f t="shared" si="2"/>
        <v>75.709999999999994</v>
      </c>
      <c r="P29" s="2">
        <v>0.95</v>
      </c>
      <c r="Q29" s="2">
        <f t="shared" si="1"/>
        <v>71.924499999999995</v>
      </c>
      <c r="R29" s="59"/>
    </row>
    <row r="30" spans="15:18" x14ac:dyDescent="0.25">
      <c r="O30" s="2">
        <f t="shared" si="2"/>
        <v>75.709999999999994</v>
      </c>
      <c r="P30" s="2">
        <v>0.9</v>
      </c>
      <c r="Q30" s="2">
        <f t="shared" si="1"/>
        <v>68.138999999999996</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167</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204</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80.23</v>
      </c>
    </row>
    <row r="5" spans="1:23" x14ac:dyDescent="0.25">
      <c r="B5" s="1">
        <v>42215</v>
      </c>
      <c r="C5" s="10">
        <v>5</v>
      </c>
      <c r="D5" s="25">
        <v>82.25</v>
      </c>
      <c r="E5" s="25"/>
      <c r="F5" s="25">
        <f t="shared" si="0"/>
        <v>411.25</v>
      </c>
      <c r="O5" s="20" t="s">
        <v>67</v>
      </c>
      <c r="Q5" s="5">
        <f>Q4*Q2</f>
        <v>3209.2000000000003</v>
      </c>
      <c r="T5" s="1">
        <v>42307</v>
      </c>
      <c r="U5" t="s">
        <v>231</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-83.399999999999636</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80.23</v>
      </c>
      <c r="P20">
        <v>1.1000000000000001</v>
      </c>
      <c r="Q20" s="2">
        <f t="shared" ref="Q20:Q32" si="1">P20*O20</f>
        <v>88.253000000000014</v>
      </c>
    </row>
    <row r="21" spans="15:23" x14ac:dyDescent="0.25">
      <c r="O21" s="2">
        <f>$Q$4</f>
        <v>80.23</v>
      </c>
      <c r="P21">
        <v>1.05</v>
      </c>
      <c r="Q21" s="2">
        <f t="shared" si="1"/>
        <v>84.241500000000002</v>
      </c>
    </row>
    <row r="22" spans="15:23" x14ac:dyDescent="0.25">
      <c r="O22" s="2">
        <f t="shared" ref="O22:O32" si="2">$Q$4</f>
        <v>80.23</v>
      </c>
      <c r="P22">
        <v>1.04</v>
      </c>
      <c r="Q22" s="2">
        <f t="shared" si="1"/>
        <v>83.439200000000014</v>
      </c>
    </row>
    <row r="23" spans="15:23" x14ac:dyDescent="0.25">
      <c r="O23" s="2">
        <f t="shared" si="2"/>
        <v>80.23</v>
      </c>
      <c r="P23" s="2">
        <v>1.03</v>
      </c>
      <c r="Q23" s="2">
        <f t="shared" si="1"/>
        <v>82.636900000000011</v>
      </c>
    </row>
    <row r="24" spans="15:23" x14ac:dyDescent="0.25">
      <c r="O24" s="2">
        <f t="shared" si="2"/>
        <v>80.23</v>
      </c>
      <c r="P24" s="2">
        <v>1.02</v>
      </c>
      <c r="Q24" s="2">
        <f t="shared" si="1"/>
        <v>81.834600000000009</v>
      </c>
    </row>
    <row r="25" spans="15:23" x14ac:dyDescent="0.25">
      <c r="O25" s="2">
        <f t="shared" si="2"/>
        <v>80.23</v>
      </c>
      <c r="P25" s="2">
        <v>1.01</v>
      </c>
      <c r="Q25" s="2">
        <f t="shared" si="1"/>
        <v>81.032300000000006</v>
      </c>
    </row>
    <row r="26" spans="15:23" x14ac:dyDescent="0.25">
      <c r="O26" s="2">
        <f t="shared" si="2"/>
        <v>80.23</v>
      </c>
      <c r="P26" s="2">
        <v>1</v>
      </c>
      <c r="Q26" s="2">
        <f t="shared" si="1"/>
        <v>80.23</v>
      </c>
    </row>
    <row r="27" spans="15:23" x14ac:dyDescent="0.25">
      <c r="O27" s="2">
        <f t="shared" si="2"/>
        <v>80.23</v>
      </c>
      <c r="P27" s="2">
        <v>0.99</v>
      </c>
      <c r="Q27" s="2">
        <f t="shared" si="1"/>
        <v>79.427700000000002</v>
      </c>
    </row>
    <row r="28" spans="15:23" x14ac:dyDescent="0.25">
      <c r="O28" s="2">
        <f t="shared" si="2"/>
        <v>80.23</v>
      </c>
      <c r="P28" s="2">
        <v>0.98</v>
      </c>
      <c r="Q28" s="2">
        <f t="shared" si="1"/>
        <v>78.625399999999999</v>
      </c>
    </row>
    <row r="29" spans="15:23" x14ac:dyDescent="0.25">
      <c r="O29" s="2">
        <f t="shared" si="2"/>
        <v>80.23</v>
      </c>
      <c r="P29" s="2">
        <v>0.97</v>
      </c>
      <c r="Q29" s="2">
        <f t="shared" si="1"/>
        <v>77.823099999999997</v>
      </c>
    </row>
    <row r="30" spans="15:23" x14ac:dyDescent="0.25">
      <c r="O30" s="2">
        <f t="shared" si="2"/>
        <v>80.23</v>
      </c>
      <c r="P30" s="2">
        <v>0.96</v>
      </c>
      <c r="Q30" s="2">
        <f t="shared" si="1"/>
        <v>77.020799999999994</v>
      </c>
    </row>
    <row r="31" spans="15:23" x14ac:dyDescent="0.25">
      <c r="O31" s="2">
        <f t="shared" si="2"/>
        <v>80.23</v>
      </c>
      <c r="P31" s="2">
        <v>0.95</v>
      </c>
      <c r="Q31" s="2">
        <f t="shared" si="1"/>
        <v>76.218500000000006</v>
      </c>
    </row>
    <row r="32" spans="15:23" x14ac:dyDescent="0.25">
      <c r="O32" s="2">
        <f t="shared" si="2"/>
        <v>80.23</v>
      </c>
      <c r="P32" s="2">
        <v>0.9</v>
      </c>
      <c r="Q32" s="2">
        <f t="shared" si="1"/>
        <v>72.207000000000008</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125</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46.16</v>
      </c>
    </row>
    <row r="5" spans="1:21" x14ac:dyDescent="0.25">
      <c r="B5" s="1">
        <v>42233</v>
      </c>
      <c r="C5" s="19">
        <v>15</v>
      </c>
      <c r="D5" s="65">
        <v>46.8</v>
      </c>
      <c r="E5" s="65"/>
      <c r="F5" s="65">
        <f>C5*D5</f>
        <v>702</v>
      </c>
      <c r="O5" s="20" t="s">
        <v>67</v>
      </c>
      <c r="Q5" s="5">
        <f>Q4*Q2</f>
        <v>1615.6</v>
      </c>
    </row>
    <row r="6" spans="1:21" x14ac:dyDescent="0.25">
      <c r="B6" s="1">
        <v>42233</v>
      </c>
      <c r="C6">
        <v>20</v>
      </c>
      <c r="D6" s="2">
        <v>47.45</v>
      </c>
      <c r="F6" s="2">
        <f>C6*D6</f>
        <v>949</v>
      </c>
      <c r="O6" s="20" t="s">
        <v>64</v>
      </c>
      <c r="Q6" s="2">
        <f>Q3*Q2</f>
        <v>1665.5</v>
      </c>
    </row>
    <row r="7" spans="1:21" x14ac:dyDescent="0.25">
      <c r="B7" s="1"/>
      <c r="O7" s="20" t="s">
        <v>65</v>
      </c>
      <c r="Q7" s="2">
        <f>Q5-Q6</f>
        <v>-49.900000000000091</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46.16</v>
      </c>
      <c r="P19">
        <v>1.1000000000000001</v>
      </c>
      <c r="Q19" s="2">
        <f t="shared" ref="Q19:Q31" si="1">P19*O19</f>
        <v>50.776000000000003</v>
      </c>
    </row>
    <row r="20" spans="15:17" x14ac:dyDescent="0.25">
      <c r="O20" s="2">
        <f>$Q$4</f>
        <v>46.16</v>
      </c>
      <c r="P20">
        <v>1.05</v>
      </c>
      <c r="Q20" s="2">
        <f t="shared" si="1"/>
        <v>48.467999999999996</v>
      </c>
    </row>
    <row r="21" spans="15:17" x14ac:dyDescent="0.25">
      <c r="O21" s="2">
        <f t="shared" ref="O21:O31" si="2">$Q$4</f>
        <v>46.16</v>
      </c>
      <c r="P21">
        <v>1.04</v>
      </c>
      <c r="Q21" s="2">
        <f t="shared" si="1"/>
        <v>48.006399999999999</v>
      </c>
    </row>
    <row r="22" spans="15:17" x14ac:dyDescent="0.25">
      <c r="O22" s="2">
        <f t="shared" si="2"/>
        <v>46.16</v>
      </c>
      <c r="P22" s="2">
        <v>1.03</v>
      </c>
      <c r="Q22" s="2">
        <f t="shared" si="1"/>
        <v>47.544799999999995</v>
      </c>
    </row>
    <row r="23" spans="15:17" x14ac:dyDescent="0.25">
      <c r="O23" s="2">
        <f t="shared" si="2"/>
        <v>46.16</v>
      </c>
      <c r="P23" s="2">
        <v>1.02</v>
      </c>
      <c r="Q23" s="2">
        <f t="shared" si="1"/>
        <v>47.083199999999998</v>
      </c>
    </row>
    <row r="24" spans="15:17" x14ac:dyDescent="0.25">
      <c r="O24" s="2">
        <f t="shared" si="2"/>
        <v>46.16</v>
      </c>
      <c r="P24" s="2">
        <v>1.01</v>
      </c>
      <c r="Q24" s="2">
        <f t="shared" si="1"/>
        <v>46.621599999999994</v>
      </c>
    </row>
    <row r="25" spans="15:17" x14ac:dyDescent="0.25">
      <c r="O25" s="2">
        <f t="shared" si="2"/>
        <v>46.16</v>
      </c>
      <c r="P25" s="2">
        <v>1</v>
      </c>
      <c r="Q25" s="2">
        <f t="shared" si="1"/>
        <v>46.16</v>
      </c>
    </row>
    <row r="26" spans="15:17" x14ac:dyDescent="0.25">
      <c r="O26" s="2">
        <f t="shared" si="2"/>
        <v>46.16</v>
      </c>
      <c r="P26" s="2">
        <v>0.99</v>
      </c>
      <c r="Q26" s="2">
        <f t="shared" si="1"/>
        <v>45.698399999999999</v>
      </c>
    </row>
    <row r="27" spans="15:17" x14ac:dyDescent="0.25">
      <c r="O27" s="2">
        <f t="shared" si="2"/>
        <v>46.16</v>
      </c>
      <c r="P27" s="2">
        <v>0.98</v>
      </c>
      <c r="Q27" s="2">
        <f t="shared" si="1"/>
        <v>45.236799999999995</v>
      </c>
    </row>
    <row r="28" spans="15:17" x14ac:dyDescent="0.25">
      <c r="O28" s="2">
        <f t="shared" si="2"/>
        <v>46.16</v>
      </c>
      <c r="P28" s="2">
        <v>0.97</v>
      </c>
      <c r="Q28" s="2">
        <f t="shared" si="1"/>
        <v>44.775199999999998</v>
      </c>
    </row>
    <row r="29" spans="15:17" x14ac:dyDescent="0.25">
      <c r="O29" s="2">
        <f t="shared" si="2"/>
        <v>46.16</v>
      </c>
      <c r="P29" s="2">
        <v>0.96</v>
      </c>
      <c r="Q29" s="2">
        <f t="shared" si="1"/>
        <v>44.313599999999994</v>
      </c>
    </row>
    <row r="30" spans="15:17" x14ac:dyDescent="0.25">
      <c r="O30" s="2">
        <f t="shared" si="2"/>
        <v>46.16</v>
      </c>
      <c r="P30" s="2">
        <v>0.95</v>
      </c>
      <c r="Q30" s="2">
        <f t="shared" si="1"/>
        <v>43.851999999999997</v>
      </c>
    </row>
    <row r="31" spans="15:17" x14ac:dyDescent="0.25">
      <c r="O31" s="2">
        <f t="shared" si="2"/>
        <v>46.16</v>
      </c>
      <c r="P31" s="2">
        <v>0.9</v>
      </c>
      <c r="Q31" s="2">
        <f t="shared" si="1"/>
        <v>41.543999999999997</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125</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7.66</v>
      </c>
    </row>
    <row r="5" spans="1:21" x14ac:dyDescent="0.25">
      <c r="B5" s="1">
        <v>42198</v>
      </c>
      <c r="C5">
        <v>40</v>
      </c>
      <c r="D5">
        <v>9.94</v>
      </c>
      <c r="F5">
        <f>C5*D5</f>
        <v>397.59999999999997</v>
      </c>
      <c r="O5" s="20" t="s">
        <v>67</v>
      </c>
      <c r="Q5" s="5">
        <f>Q4*Q2</f>
        <v>919.2</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-290.70000000000005</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165</v>
      </c>
    </row>
    <row r="14" spans="1:21" x14ac:dyDescent="0.25">
      <c r="P14" t="s">
        <v>89</v>
      </c>
      <c r="R14" s="59"/>
    </row>
    <row r="15" spans="1:21" x14ac:dyDescent="0.25">
      <c r="O15" s="2">
        <f>$Q$4</f>
        <v>7.66</v>
      </c>
      <c r="P15">
        <v>1.1000000000000001</v>
      </c>
      <c r="Q15" s="2">
        <f t="shared" ref="Q15:Q27" si="0">P15*O15</f>
        <v>8.4260000000000002</v>
      </c>
      <c r="R15" s="59"/>
    </row>
    <row r="16" spans="1:21" x14ac:dyDescent="0.25">
      <c r="O16" s="2">
        <f>$Q$4</f>
        <v>7.66</v>
      </c>
      <c r="P16">
        <v>1.05</v>
      </c>
      <c r="Q16" s="2">
        <f t="shared" si="0"/>
        <v>8.043000000000001</v>
      </c>
      <c r="R16" s="59"/>
    </row>
    <row r="17" spans="15:18" x14ac:dyDescent="0.25">
      <c r="O17" s="2">
        <f t="shared" ref="O17:O27" si="1">$Q$4</f>
        <v>7.66</v>
      </c>
      <c r="P17">
        <v>1.04</v>
      </c>
      <c r="Q17" s="2">
        <f t="shared" si="0"/>
        <v>7.9664000000000001</v>
      </c>
      <c r="R17" s="59"/>
    </row>
    <row r="18" spans="15:18" x14ac:dyDescent="0.25">
      <c r="O18" s="2">
        <f t="shared" si="1"/>
        <v>7.66</v>
      </c>
      <c r="P18" s="2">
        <v>1.03</v>
      </c>
      <c r="Q18" s="2">
        <f t="shared" si="0"/>
        <v>7.8898000000000001</v>
      </c>
      <c r="R18" s="59"/>
    </row>
    <row r="19" spans="15:18" x14ac:dyDescent="0.25">
      <c r="O19" s="2">
        <f t="shared" si="1"/>
        <v>7.66</v>
      </c>
      <c r="P19" s="2">
        <v>1.02</v>
      </c>
      <c r="Q19" s="2">
        <f t="shared" si="0"/>
        <v>7.8132000000000001</v>
      </c>
      <c r="R19" s="59"/>
    </row>
    <row r="20" spans="15:18" x14ac:dyDescent="0.25">
      <c r="O20" s="2">
        <f t="shared" si="1"/>
        <v>7.66</v>
      </c>
      <c r="P20" s="2">
        <v>1.01</v>
      </c>
      <c r="Q20" s="2">
        <f t="shared" si="0"/>
        <v>7.7366000000000001</v>
      </c>
      <c r="R20" s="59"/>
    </row>
    <row r="21" spans="15:18" x14ac:dyDescent="0.25">
      <c r="O21" s="2">
        <f t="shared" si="1"/>
        <v>7.66</v>
      </c>
      <c r="P21" s="2">
        <v>1</v>
      </c>
      <c r="Q21" s="2">
        <f t="shared" si="0"/>
        <v>7.66</v>
      </c>
      <c r="R21" s="59"/>
    </row>
    <row r="22" spans="15:18" x14ac:dyDescent="0.25">
      <c r="O22" s="2">
        <f t="shared" si="1"/>
        <v>7.66</v>
      </c>
      <c r="P22" s="2">
        <v>0.99</v>
      </c>
      <c r="Q22" s="2">
        <f t="shared" si="0"/>
        <v>7.5834000000000001</v>
      </c>
      <c r="R22" s="59"/>
    </row>
    <row r="23" spans="15:18" x14ac:dyDescent="0.25">
      <c r="O23" s="2">
        <f t="shared" si="1"/>
        <v>7.66</v>
      </c>
      <c r="P23" s="2">
        <v>0.98</v>
      </c>
      <c r="Q23" s="2">
        <f t="shared" si="0"/>
        <v>7.5068000000000001</v>
      </c>
      <c r="R23" s="59"/>
    </row>
    <row r="24" spans="15:18" x14ac:dyDescent="0.25">
      <c r="O24" s="2">
        <f t="shared" si="1"/>
        <v>7.66</v>
      </c>
      <c r="P24" s="2">
        <v>0.97</v>
      </c>
      <c r="Q24" s="2">
        <f t="shared" si="0"/>
        <v>7.4302000000000001</v>
      </c>
      <c r="R24" s="59"/>
    </row>
    <row r="25" spans="15:18" x14ac:dyDescent="0.25">
      <c r="O25" s="2">
        <f t="shared" si="1"/>
        <v>7.66</v>
      </c>
      <c r="P25" s="2">
        <v>0.96</v>
      </c>
      <c r="Q25" s="2">
        <f t="shared" si="0"/>
        <v>7.3536000000000001</v>
      </c>
      <c r="R25" s="59"/>
    </row>
    <row r="26" spans="15:18" x14ac:dyDescent="0.25">
      <c r="O26" s="2">
        <f t="shared" si="1"/>
        <v>7.66</v>
      </c>
      <c r="P26" s="2">
        <v>0.95</v>
      </c>
      <c r="Q26" s="2">
        <f t="shared" si="0"/>
        <v>7.2770000000000001</v>
      </c>
      <c r="R26" s="59"/>
    </row>
    <row r="27" spans="15:18" x14ac:dyDescent="0.25">
      <c r="O27" s="2">
        <f t="shared" si="1"/>
        <v>7.66</v>
      </c>
      <c r="P27" s="2">
        <v>0.9</v>
      </c>
      <c r="Q27" s="2">
        <f t="shared" si="0"/>
        <v>6.8940000000000001</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205</v>
      </c>
    </row>
    <row r="3" spans="1:21" x14ac:dyDescent="0.25">
      <c r="A3" s="36" t="s">
        <v>81</v>
      </c>
      <c r="B3" s="32">
        <v>42153</v>
      </c>
      <c r="C3" s="15">
        <v>25</v>
      </c>
      <c r="D3" s="77">
        <v>34.4</v>
      </c>
      <c r="E3" s="77"/>
      <c r="F3" s="77">
        <f>C3*D3</f>
        <v>860</v>
      </c>
      <c r="L3" t="s">
        <v>163</v>
      </c>
      <c r="O3" s="20" t="s">
        <v>58</v>
      </c>
      <c r="Q3" s="2">
        <f>(F7-K7)/Q2</f>
        <v>32.507843137254902</v>
      </c>
      <c r="T3" s="1">
        <v>42244</v>
      </c>
      <c r="U3" t="s">
        <v>162</v>
      </c>
    </row>
    <row r="4" spans="1:21" x14ac:dyDescent="0.25">
      <c r="B4" s="148">
        <v>42173</v>
      </c>
      <c r="C4" s="15">
        <v>9</v>
      </c>
      <c r="D4" s="77">
        <v>34.1</v>
      </c>
      <c r="E4" s="77"/>
      <c r="F4" s="77">
        <f>C4*D4</f>
        <v>306.90000000000003</v>
      </c>
      <c r="O4" s="20" t="s">
        <v>66</v>
      </c>
      <c r="Q4" s="106">
        <v>34.76</v>
      </c>
    </row>
    <row r="5" spans="1:21" x14ac:dyDescent="0.25">
      <c r="B5" s="148"/>
      <c r="C5">
        <v>1</v>
      </c>
      <c r="D5" s="2">
        <v>34.1</v>
      </c>
      <c r="F5" s="2">
        <f>C5*D5</f>
        <v>34.1</v>
      </c>
      <c r="O5" s="20" t="s">
        <v>67</v>
      </c>
      <c r="Q5" s="5">
        <f>Q4*Q2</f>
        <v>1772.76</v>
      </c>
      <c r="T5" s="1">
        <v>42324</v>
      </c>
      <c r="U5" t="s">
        <v>231</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122.5899999999999</v>
      </c>
    </row>
    <row r="16" spans="1:21" x14ac:dyDescent="0.25">
      <c r="P16" t="s">
        <v>89</v>
      </c>
    </row>
    <row r="17" spans="15:17" x14ac:dyDescent="0.25">
      <c r="O17" s="2">
        <f>$Q$4</f>
        <v>34.76</v>
      </c>
      <c r="P17">
        <v>1.1000000000000001</v>
      </c>
      <c r="Q17" s="2">
        <f t="shared" ref="Q17:Q29" si="1">P17*O17</f>
        <v>38.236000000000004</v>
      </c>
    </row>
    <row r="18" spans="15:17" x14ac:dyDescent="0.25">
      <c r="O18" s="2">
        <f>$Q$4</f>
        <v>34.76</v>
      </c>
      <c r="P18">
        <v>1.05</v>
      </c>
      <c r="Q18" s="2">
        <f t="shared" si="1"/>
        <v>36.497999999999998</v>
      </c>
    </row>
    <row r="19" spans="15:17" x14ac:dyDescent="0.25">
      <c r="O19" s="2">
        <f t="shared" ref="O19:O29" si="2">$Q$4</f>
        <v>34.76</v>
      </c>
      <c r="P19">
        <v>1.04</v>
      </c>
      <c r="Q19" s="2">
        <f t="shared" si="1"/>
        <v>36.150399999999998</v>
      </c>
    </row>
    <row r="20" spans="15:17" x14ac:dyDescent="0.25">
      <c r="O20" s="2">
        <f t="shared" si="2"/>
        <v>34.76</v>
      </c>
      <c r="P20" s="2">
        <v>1.03</v>
      </c>
      <c r="Q20" s="2">
        <f t="shared" si="1"/>
        <v>35.802799999999998</v>
      </c>
    </row>
    <row r="21" spans="15:17" x14ac:dyDescent="0.25">
      <c r="O21" s="2">
        <f t="shared" si="2"/>
        <v>34.76</v>
      </c>
      <c r="P21" s="2">
        <v>1.02</v>
      </c>
      <c r="Q21" s="2">
        <f t="shared" si="1"/>
        <v>35.455199999999998</v>
      </c>
    </row>
    <row r="22" spans="15:17" x14ac:dyDescent="0.25">
      <c r="O22" s="2">
        <f t="shared" si="2"/>
        <v>34.76</v>
      </c>
      <c r="P22" s="2">
        <v>1.01</v>
      </c>
      <c r="Q22" s="2">
        <f t="shared" si="1"/>
        <v>35.107599999999998</v>
      </c>
    </row>
    <row r="23" spans="15:17" x14ac:dyDescent="0.25">
      <c r="O23" s="2">
        <f t="shared" si="2"/>
        <v>34.76</v>
      </c>
      <c r="P23" s="2">
        <v>1</v>
      </c>
      <c r="Q23" s="2">
        <f t="shared" si="1"/>
        <v>34.76</v>
      </c>
    </row>
    <row r="24" spans="15:17" x14ac:dyDescent="0.25">
      <c r="O24" s="2">
        <f t="shared" si="2"/>
        <v>34.76</v>
      </c>
      <c r="P24" s="2">
        <v>0.99</v>
      </c>
      <c r="Q24" s="2">
        <f t="shared" si="1"/>
        <v>34.412399999999998</v>
      </c>
    </row>
    <row r="25" spans="15:17" x14ac:dyDescent="0.25">
      <c r="O25" s="2">
        <f t="shared" si="2"/>
        <v>34.76</v>
      </c>
      <c r="P25" s="2">
        <v>0.98</v>
      </c>
      <c r="Q25" s="2">
        <f t="shared" si="1"/>
        <v>34.064799999999998</v>
      </c>
    </row>
    <row r="26" spans="15:17" x14ac:dyDescent="0.25">
      <c r="O26" s="2">
        <f t="shared" si="2"/>
        <v>34.76</v>
      </c>
      <c r="P26" s="2">
        <v>0.97</v>
      </c>
      <c r="Q26" s="2">
        <f t="shared" si="1"/>
        <v>33.717199999999998</v>
      </c>
    </row>
    <row r="27" spans="15:17" x14ac:dyDescent="0.25">
      <c r="O27" s="2">
        <f t="shared" si="2"/>
        <v>34.76</v>
      </c>
      <c r="P27" s="2">
        <v>0.96</v>
      </c>
      <c r="Q27" s="2">
        <f t="shared" si="1"/>
        <v>33.369599999999998</v>
      </c>
    </row>
    <row r="28" spans="15:17" x14ac:dyDescent="0.25">
      <c r="O28" s="2">
        <f t="shared" si="2"/>
        <v>34.76</v>
      </c>
      <c r="P28" s="2">
        <v>0.95</v>
      </c>
      <c r="Q28" s="2">
        <f t="shared" si="1"/>
        <v>33.021999999999998</v>
      </c>
    </row>
    <row r="29" spans="15:17" x14ac:dyDescent="0.25">
      <c r="O29" s="2">
        <f t="shared" si="2"/>
        <v>34.76</v>
      </c>
      <c r="P29" s="2">
        <v>0.9</v>
      </c>
      <c r="Q29" s="2">
        <f t="shared" si="1"/>
        <v>31.283999999999999</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167</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132</v>
      </c>
    </row>
    <row r="3" spans="1:21" x14ac:dyDescent="0.25">
      <c r="A3" s="36" t="s">
        <v>81</v>
      </c>
      <c r="B3" s="148">
        <v>42212</v>
      </c>
      <c r="C3">
        <v>10</v>
      </c>
      <c r="D3" s="2">
        <v>124.25</v>
      </c>
      <c r="F3" s="2">
        <f t="shared" ref="F3:F7" si="0">D3*C3</f>
        <v>1242.5</v>
      </c>
      <c r="G3" s="1"/>
      <c r="L3" s="1"/>
      <c r="M3" s="2"/>
      <c r="O3" s="20" t="s">
        <v>58</v>
      </c>
      <c r="Q3" s="2">
        <f>(F8-K8)/Q2</f>
        <v>124.15200000000002</v>
      </c>
      <c r="T3" s="125">
        <v>42242</v>
      </c>
      <c r="U3" t="s">
        <v>174</v>
      </c>
    </row>
    <row r="4" spans="1:21" x14ac:dyDescent="0.25">
      <c r="B4" s="148"/>
      <c r="C4" s="10">
        <v>10</v>
      </c>
      <c r="D4" s="25">
        <v>124.25</v>
      </c>
      <c r="E4" s="25"/>
      <c r="F4" s="25">
        <f t="shared" si="0"/>
        <v>1242.5</v>
      </c>
      <c r="M4" s="2"/>
      <c r="O4" s="20" t="s">
        <v>66</v>
      </c>
      <c r="Q4" s="106">
        <v>119.37</v>
      </c>
      <c r="T4" s="125">
        <v>42246</v>
      </c>
      <c r="U4" t="s">
        <v>166</v>
      </c>
    </row>
    <row r="5" spans="1:21" x14ac:dyDescent="0.25">
      <c r="B5" s="1">
        <v>42220</v>
      </c>
      <c r="C5">
        <v>5</v>
      </c>
      <c r="D5" s="2">
        <v>123.2</v>
      </c>
      <c r="F5" s="2">
        <f t="shared" si="0"/>
        <v>616</v>
      </c>
      <c r="M5" s="2"/>
      <c r="O5" s="20" t="s">
        <v>67</v>
      </c>
      <c r="Q5" s="5">
        <f>Q4*Q2</f>
        <v>7162.2000000000007</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-282.92000000000007</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168</v>
      </c>
      <c r="O18" s="2">
        <f>$Q$4</f>
        <v>119.37</v>
      </c>
      <c r="P18">
        <v>1.1000000000000001</v>
      </c>
      <c r="Q18" s="2">
        <f t="shared" ref="Q18:Q30" si="2">P18*O18</f>
        <v>131.30700000000002</v>
      </c>
    </row>
    <row r="19" spans="1:18" x14ac:dyDescent="0.25">
      <c r="A19" s="124">
        <v>42242</v>
      </c>
      <c r="O19" s="2">
        <f>$Q$4</f>
        <v>119.37</v>
      </c>
      <c r="P19">
        <v>1.05</v>
      </c>
      <c r="Q19" s="2">
        <f t="shared" si="2"/>
        <v>125.33850000000001</v>
      </c>
    </row>
    <row r="20" spans="1:18" x14ac:dyDescent="0.25">
      <c r="B20" s="28" t="s">
        <v>175</v>
      </c>
      <c r="C20" s="7"/>
      <c r="D20" s="93"/>
      <c r="E20" s="2" t="s">
        <v>173</v>
      </c>
      <c r="F20"/>
      <c r="G20" s="34" t="s">
        <v>178</v>
      </c>
      <c r="H20" s="2"/>
      <c r="K20" s="20" t="s">
        <v>180</v>
      </c>
      <c r="O20" s="2">
        <f t="shared" ref="O20:O30" si="3">$Q$4</f>
        <v>119.37</v>
      </c>
      <c r="P20">
        <v>1.04</v>
      </c>
      <c r="Q20" s="2">
        <f t="shared" si="2"/>
        <v>124.1448</v>
      </c>
    </row>
    <row r="21" spans="1:18" x14ac:dyDescent="0.25">
      <c r="A21" s="7"/>
      <c r="B21" s="126" t="s">
        <v>171</v>
      </c>
      <c r="C21" s="126"/>
      <c r="D21" s="126"/>
      <c r="E21" s="127">
        <v>616</v>
      </c>
      <c r="F21" s="128">
        <f>E21/SUM($E$21:$E$24)</f>
        <v>0.35504322766570606</v>
      </c>
      <c r="G21" s="127" t="s">
        <v>179</v>
      </c>
      <c r="H21" s="127"/>
      <c r="I21" s="127"/>
      <c r="J21" s="127"/>
      <c r="K21" s="129" t="s">
        <v>181</v>
      </c>
      <c r="L21" s="129"/>
      <c r="M21" s="129"/>
      <c r="N21" s="129"/>
      <c r="O21" s="2">
        <f t="shared" si="3"/>
        <v>119.37</v>
      </c>
      <c r="P21" s="2">
        <v>1.03</v>
      </c>
      <c r="Q21" s="2">
        <f t="shared" si="2"/>
        <v>122.95110000000001</v>
      </c>
      <c r="R21" t="s">
        <v>115</v>
      </c>
    </row>
    <row r="22" spans="1:18" x14ac:dyDescent="0.25">
      <c r="A22" s="7"/>
      <c r="B22" s="126" t="s">
        <v>172</v>
      </c>
      <c r="C22" s="126"/>
      <c r="D22" s="126"/>
      <c r="E22" s="127">
        <v>588</v>
      </c>
      <c r="F22" s="128">
        <f>E22/SUM($E$21:$E$24)</f>
        <v>0.33890489913544669</v>
      </c>
      <c r="G22" s="129" t="s">
        <v>182</v>
      </c>
      <c r="H22" s="127"/>
      <c r="I22" s="127"/>
      <c r="J22" s="127"/>
      <c r="K22" s="129" t="s">
        <v>183</v>
      </c>
      <c r="L22" s="129"/>
      <c r="M22" s="129"/>
      <c r="N22" s="129"/>
      <c r="O22" s="2">
        <f t="shared" si="3"/>
        <v>119.37</v>
      </c>
      <c r="P22" s="2">
        <v>1.02</v>
      </c>
      <c r="Q22" s="2">
        <f t="shared" si="2"/>
        <v>121.7574</v>
      </c>
      <c r="R22" t="s">
        <v>131</v>
      </c>
    </row>
    <row r="23" spans="1:18" x14ac:dyDescent="0.25">
      <c r="A23" s="7"/>
      <c r="B23" s="126" t="s">
        <v>170</v>
      </c>
      <c r="C23" s="126"/>
      <c r="D23" s="126"/>
      <c r="E23" s="127">
        <v>372</v>
      </c>
      <c r="F23" s="128">
        <f>E23/SUM($E$21:$E$24)</f>
        <v>0.21440922190201728</v>
      </c>
      <c r="G23" s="129" t="s">
        <v>186</v>
      </c>
      <c r="H23" s="129"/>
      <c r="I23" s="127"/>
      <c r="J23" s="127"/>
      <c r="K23" s="127" t="s">
        <v>187</v>
      </c>
      <c r="L23" s="129"/>
      <c r="M23" s="129"/>
      <c r="N23" s="129"/>
      <c r="O23" s="2">
        <f t="shared" si="3"/>
        <v>119.37</v>
      </c>
      <c r="P23" s="2">
        <v>1.01</v>
      </c>
      <c r="Q23" s="2">
        <f t="shared" si="2"/>
        <v>120.56370000000001</v>
      </c>
    </row>
    <row r="24" spans="1:18" x14ac:dyDescent="0.25">
      <c r="B24" s="126" t="s">
        <v>169</v>
      </c>
      <c r="C24" s="126"/>
      <c r="D24" s="126"/>
      <c r="E24" s="127">
        <v>159</v>
      </c>
      <c r="F24" s="128">
        <f>E24/SUM($E$21:$E$24)</f>
        <v>9.1642651296829969E-2</v>
      </c>
      <c r="G24" s="129" t="s">
        <v>185</v>
      </c>
      <c r="H24" s="129"/>
      <c r="I24" s="127"/>
      <c r="J24" s="127"/>
      <c r="K24" s="127" t="s">
        <v>184</v>
      </c>
      <c r="L24" s="129"/>
      <c r="M24" s="129"/>
      <c r="N24" s="129"/>
      <c r="O24" s="2">
        <f t="shared" si="3"/>
        <v>119.37</v>
      </c>
      <c r="P24" s="2">
        <v>1</v>
      </c>
      <c r="Q24" s="2">
        <f t="shared" si="2"/>
        <v>119.37</v>
      </c>
    </row>
    <row r="25" spans="1:18" x14ac:dyDescent="0.25">
      <c r="B25" s="34" t="s">
        <v>177</v>
      </c>
      <c r="E25" s="2">
        <f>SUM(E21:E24)</f>
        <v>1735</v>
      </c>
      <c r="F25"/>
      <c r="O25" s="2">
        <f t="shared" si="3"/>
        <v>119.37</v>
      </c>
      <c r="P25" s="2">
        <v>0.99</v>
      </c>
      <c r="Q25" s="2">
        <f t="shared" si="2"/>
        <v>118.1763</v>
      </c>
      <c r="R25" t="s">
        <v>126</v>
      </c>
    </row>
    <row r="26" spans="1:18" x14ac:dyDescent="0.25">
      <c r="O26" s="2">
        <f t="shared" si="3"/>
        <v>119.37</v>
      </c>
      <c r="P26" s="2">
        <v>0.98</v>
      </c>
      <c r="Q26" s="2">
        <f t="shared" si="2"/>
        <v>116.98260000000001</v>
      </c>
    </row>
    <row r="27" spans="1:18" x14ac:dyDescent="0.25">
      <c r="B27" s="2" t="s">
        <v>176</v>
      </c>
      <c r="O27" s="2">
        <f t="shared" si="3"/>
        <v>119.37</v>
      </c>
      <c r="P27" s="2">
        <v>0.97</v>
      </c>
      <c r="Q27" s="2">
        <f t="shared" si="2"/>
        <v>115.7889</v>
      </c>
    </row>
    <row r="28" spans="1:18" x14ac:dyDescent="0.25">
      <c r="O28" s="2">
        <f t="shared" si="3"/>
        <v>119.37</v>
      </c>
      <c r="P28" s="2">
        <v>0.96</v>
      </c>
      <c r="Q28" s="2">
        <f t="shared" si="2"/>
        <v>114.59520000000001</v>
      </c>
    </row>
    <row r="29" spans="1:18" x14ac:dyDescent="0.25">
      <c r="O29" s="2">
        <f t="shared" si="3"/>
        <v>119.37</v>
      </c>
      <c r="P29" s="2">
        <v>0.95</v>
      </c>
      <c r="Q29" s="2">
        <f t="shared" si="2"/>
        <v>113.4015</v>
      </c>
    </row>
    <row r="30" spans="1:18" x14ac:dyDescent="0.25">
      <c r="O30" s="2">
        <f t="shared" si="3"/>
        <v>119.37</v>
      </c>
      <c r="P30" s="2">
        <v>0.9</v>
      </c>
      <c r="Q30" s="2">
        <f t="shared" si="2"/>
        <v>107.43300000000001</v>
      </c>
    </row>
    <row r="35" spans="2:9" x14ac:dyDescent="0.25">
      <c r="B35" t="s">
        <v>188</v>
      </c>
      <c r="D35" t="s">
        <v>189</v>
      </c>
      <c r="G35" s="2"/>
      <c r="I35"/>
    </row>
    <row r="36" spans="2:9" x14ac:dyDescent="0.25">
      <c r="B36" t="s">
        <v>196</v>
      </c>
      <c r="D36" s="2" t="s">
        <v>197</v>
      </c>
    </row>
    <row r="37" spans="2:9" x14ac:dyDescent="0.25">
      <c r="B37" t="s">
        <v>190</v>
      </c>
      <c r="D37" t="s">
        <v>191</v>
      </c>
      <c r="G37" s="2"/>
      <c r="I37"/>
    </row>
    <row r="38" spans="2:9" x14ac:dyDescent="0.25">
      <c r="B38" t="s">
        <v>194</v>
      </c>
      <c r="D38" t="s">
        <v>195</v>
      </c>
      <c r="G38" s="2"/>
      <c r="I38"/>
    </row>
    <row r="39" spans="2:9" x14ac:dyDescent="0.25">
      <c r="B39" t="s">
        <v>192</v>
      </c>
      <c r="D39" t="s">
        <v>193</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135</v>
      </c>
      <c r="O2" s="20" t="s">
        <v>57</v>
      </c>
      <c r="Q2">
        <f>C6-H6</f>
        <v>30</v>
      </c>
      <c r="T2" s="1">
        <v>42202</v>
      </c>
      <c r="U2" t="s">
        <v>134</v>
      </c>
    </row>
    <row r="3" spans="1:21" x14ac:dyDescent="0.25">
      <c r="A3" s="36" t="s">
        <v>81</v>
      </c>
      <c r="B3" s="1">
        <v>42226</v>
      </c>
      <c r="C3">
        <v>5</v>
      </c>
      <c r="D3" s="2">
        <v>112.2</v>
      </c>
      <c r="F3" s="2">
        <f>C3*D3</f>
        <v>561</v>
      </c>
      <c r="O3" s="20" t="s">
        <v>58</v>
      </c>
      <c r="Q3" s="2">
        <f>(F6-K6)/Q2</f>
        <v>110.09500000000001</v>
      </c>
      <c r="T3" s="1">
        <v>42231</v>
      </c>
      <c r="U3" t="s">
        <v>133</v>
      </c>
    </row>
    <row r="4" spans="1:21" x14ac:dyDescent="0.25">
      <c r="B4" s="1">
        <v>42226</v>
      </c>
      <c r="C4">
        <v>5</v>
      </c>
      <c r="D4" s="2">
        <v>110.93</v>
      </c>
      <c r="F4" s="2">
        <f>C4*D4</f>
        <v>554.65000000000009</v>
      </c>
      <c r="O4" s="20" t="s">
        <v>66</v>
      </c>
      <c r="Q4" s="106">
        <v>99.51</v>
      </c>
      <c r="T4" s="1">
        <v>42314</v>
      </c>
      <c r="U4" t="s">
        <v>231</v>
      </c>
    </row>
    <row r="5" spans="1:21" x14ac:dyDescent="0.25">
      <c r="B5" s="1">
        <v>42227</v>
      </c>
      <c r="C5">
        <v>10</v>
      </c>
      <c r="D5" s="2">
        <v>105</v>
      </c>
      <c r="F5" s="2">
        <f>C5*D5</f>
        <v>1050</v>
      </c>
      <c r="O5" s="20" t="s">
        <v>67</v>
      </c>
      <c r="Q5" s="5">
        <f>Q4*Q2</f>
        <v>2985.3</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-317.55000000000018</v>
      </c>
    </row>
    <row r="17" spans="15:17" x14ac:dyDescent="0.25">
      <c r="P17" t="s">
        <v>89</v>
      </c>
    </row>
    <row r="18" spans="15:17" x14ac:dyDescent="0.25">
      <c r="O18" s="2">
        <f>$Q$4</f>
        <v>99.51</v>
      </c>
      <c r="P18">
        <v>1.1000000000000001</v>
      </c>
      <c r="Q18" s="2">
        <f t="shared" ref="Q18:Q30" si="1">P18*O18</f>
        <v>109.46100000000001</v>
      </c>
    </row>
    <row r="19" spans="15:17" x14ac:dyDescent="0.25">
      <c r="O19" s="2">
        <f>$Q$4</f>
        <v>99.51</v>
      </c>
      <c r="P19">
        <v>1.05</v>
      </c>
      <c r="Q19" s="2">
        <f t="shared" si="1"/>
        <v>104.48550000000002</v>
      </c>
    </row>
    <row r="20" spans="15:17" x14ac:dyDescent="0.25">
      <c r="O20" s="2">
        <f t="shared" ref="O20:O30" si="2">$Q$4</f>
        <v>99.51</v>
      </c>
      <c r="P20">
        <v>1.04</v>
      </c>
      <c r="Q20" s="2">
        <f t="shared" si="1"/>
        <v>103.49040000000001</v>
      </c>
    </row>
    <row r="21" spans="15:17" x14ac:dyDescent="0.25">
      <c r="O21" s="2">
        <f t="shared" si="2"/>
        <v>99.51</v>
      </c>
      <c r="P21" s="2">
        <v>1.03</v>
      </c>
      <c r="Q21" s="2">
        <f t="shared" si="1"/>
        <v>102.49530000000001</v>
      </c>
    </row>
    <row r="22" spans="15:17" x14ac:dyDescent="0.25">
      <c r="O22" s="2">
        <f t="shared" si="2"/>
        <v>99.51</v>
      </c>
      <c r="P22" s="2">
        <v>1.02</v>
      </c>
      <c r="Q22" s="2">
        <f t="shared" si="1"/>
        <v>101.50020000000001</v>
      </c>
    </row>
    <row r="23" spans="15:17" x14ac:dyDescent="0.25">
      <c r="O23" s="2">
        <f t="shared" si="2"/>
        <v>99.51</v>
      </c>
      <c r="P23" s="2">
        <v>1.01</v>
      </c>
      <c r="Q23" s="2">
        <f t="shared" si="1"/>
        <v>100.50510000000001</v>
      </c>
    </row>
    <row r="24" spans="15:17" x14ac:dyDescent="0.25">
      <c r="O24" s="2">
        <f t="shared" si="2"/>
        <v>99.51</v>
      </c>
      <c r="P24" s="2">
        <v>1</v>
      </c>
      <c r="Q24" s="2">
        <f t="shared" si="1"/>
        <v>99.51</v>
      </c>
    </row>
    <row r="25" spans="15:17" x14ac:dyDescent="0.25">
      <c r="O25" s="2">
        <f t="shared" si="2"/>
        <v>99.51</v>
      </c>
      <c r="P25" s="2">
        <v>0.99</v>
      </c>
      <c r="Q25" s="2">
        <f t="shared" si="1"/>
        <v>98.514899999999997</v>
      </c>
    </row>
    <row r="26" spans="15:17" x14ac:dyDescent="0.25">
      <c r="O26" s="2">
        <f t="shared" si="2"/>
        <v>99.51</v>
      </c>
      <c r="P26" s="2">
        <v>0.98</v>
      </c>
      <c r="Q26" s="2">
        <f t="shared" si="1"/>
        <v>97.519800000000004</v>
      </c>
    </row>
    <row r="27" spans="15:17" x14ac:dyDescent="0.25">
      <c r="O27" s="2">
        <f t="shared" si="2"/>
        <v>99.51</v>
      </c>
      <c r="P27" s="2">
        <v>0.97</v>
      </c>
      <c r="Q27" s="2">
        <f t="shared" si="1"/>
        <v>96.524699999999996</v>
      </c>
    </row>
    <row r="28" spans="15:17" x14ac:dyDescent="0.25">
      <c r="O28" s="2">
        <f t="shared" si="2"/>
        <v>99.51</v>
      </c>
      <c r="P28" s="2">
        <v>0.96</v>
      </c>
      <c r="Q28" s="2">
        <f t="shared" si="1"/>
        <v>95.529600000000002</v>
      </c>
    </row>
    <row r="29" spans="15:17" x14ac:dyDescent="0.25">
      <c r="O29" s="2">
        <f t="shared" si="2"/>
        <v>99.51</v>
      </c>
      <c r="P29" s="2">
        <v>0.95</v>
      </c>
      <c r="Q29" s="2">
        <f t="shared" si="1"/>
        <v>94.534499999999994</v>
      </c>
    </row>
    <row r="30" spans="15:17" x14ac:dyDescent="0.25">
      <c r="O30" s="2">
        <f t="shared" si="2"/>
        <v>99.51</v>
      </c>
      <c r="P30" s="2">
        <v>0.9</v>
      </c>
      <c r="Q30" s="2">
        <f t="shared" si="1"/>
        <v>89.559000000000012</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U1" s="20" t="s">
        <v>74</v>
      </c>
    </row>
    <row r="2" spans="1:22" x14ac:dyDescent="0.25">
      <c r="A2" s="8" t="s">
        <v>55</v>
      </c>
      <c r="B2" s="1">
        <v>42214</v>
      </c>
      <c r="C2">
        <v>10</v>
      </c>
      <c r="D2" s="2">
        <v>113.01</v>
      </c>
      <c r="E2" s="2">
        <v>0</v>
      </c>
      <c r="F2" s="2">
        <f>C2*D2 + E2</f>
        <v>1130.1000000000001</v>
      </c>
      <c r="L2" t="s">
        <v>120</v>
      </c>
      <c r="O2" s="20" t="s">
        <v>57</v>
      </c>
      <c r="Q2">
        <f>C10-H10</f>
        <v>25</v>
      </c>
      <c r="U2" s="1">
        <v>42242</v>
      </c>
      <c r="V2" t="s">
        <v>206</v>
      </c>
    </row>
    <row r="3" spans="1:22" x14ac:dyDescent="0.25">
      <c r="A3" s="36" t="s">
        <v>81</v>
      </c>
      <c r="B3" s="1">
        <v>42247</v>
      </c>
      <c r="C3">
        <v>15</v>
      </c>
      <c r="D3" s="2">
        <v>105.85</v>
      </c>
      <c r="E3" s="2">
        <v>0</v>
      </c>
      <c r="F3" s="2">
        <f>C3*D3 + E3</f>
        <v>1587.75</v>
      </c>
      <c r="O3" s="20" t="s">
        <v>58</v>
      </c>
      <c r="Q3" s="2">
        <f>(F10-K10)/Q2</f>
        <v>108.71400000000001</v>
      </c>
    </row>
    <row r="4" spans="1:22" x14ac:dyDescent="0.25">
      <c r="O4" s="20" t="s">
        <v>66</v>
      </c>
      <c r="Q4" s="106">
        <v>101.49</v>
      </c>
    </row>
    <row r="5" spans="1:22" x14ac:dyDescent="0.25">
      <c r="O5" s="20" t="s">
        <v>67</v>
      </c>
      <c r="Q5" s="5">
        <f>Q4*Q2</f>
        <v>2537.25</v>
      </c>
      <c r="U5" s="1">
        <v>42248</v>
      </c>
      <c r="V5" t="s">
        <v>232</v>
      </c>
    </row>
    <row r="6" spans="1:22" x14ac:dyDescent="0.25">
      <c r="O6" s="20" t="s">
        <v>64</v>
      </c>
      <c r="Q6" s="2">
        <f>Q3*Q2</f>
        <v>2717.8500000000004</v>
      </c>
    </row>
    <row r="7" spans="1:22" x14ac:dyDescent="0.25">
      <c r="O7" s="20" t="s">
        <v>65</v>
      </c>
      <c r="Q7" s="34">
        <f>Q5-Q6</f>
        <v>-180.60000000000036</v>
      </c>
    </row>
    <row r="8" spans="1:22" x14ac:dyDescent="0.25">
      <c r="U8" s="1">
        <v>42305</v>
      </c>
      <c r="V8" t="s">
        <v>125</v>
      </c>
    </row>
    <row r="10" spans="1:22" x14ac:dyDescent="0.25">
      <c r="A10" s="35" t="s">
        <v>114</v>
      </c>
      <c r="B10" s="21"/>
      <c r="C10" s="21">
        <f>SUM(C2:C9)</f>
        <v>25</v>
      </c>
      <c r="D10" s="22"/>
      <c r="E10" s="22"/>
      <c r="F10" s="22">
        <f>SUM(F2:F9)</f>
        <v>2717.8500000000004</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101.49</v>
      </c>
      <c r="P17">
        <v>1.1000000000000001</v>
      </c>
      <c r="Q17" s="2">
        <f t="shared" ref="Q17:Q29" si="0">P17*O17</f>
        <v>111.63900000000001</v>
      </c>
    </row>
    <row r="18" spans="15:17" x14ac:dyDescent="0.25">
      <c r="O18" s="2">
        <f>$Q$4</f>
        <v>101.49</v>
      </c>
      <c r="P18">
        <v>1.05</v>
      </c>
      <c r="Q18" s="2">
        <f t="shared" si="0"/>
        <v>106.5645</v>
      </c>
    </row>
    <row r="19" spans="15:17" x14ac:dyDescent="0.25">
      <c r="O19" s="2">
        <f t="shared" ref="O19:O29" si="1">$Q$4</f>
        <v>101.49</v>
      </c>
      <c r="P19">
        <v>1.04</v>
      </c>
      <c r="Q19" s="2">
        <f t="shared" si="0"/>
        <v>105.5496</v>
      </c>
    </row>
    <row r="20" spans="15:17" x14ac:dyDescent="0.25">
      <c r="O20" s="2">
        <f t="shared" si="1"/>
        <v>101.49</v>
      </c>
      <c r="P20" s="2">
        <v>1.03</v>
      </c>
      <c r="Q20" s="2">
        <f t="shared" si="0"/>
        <v>104.5347</v>
      </c>
    </row>
    <row r="21" spans="15:17" x14ac:dyDescent="0.25">
      <c r="O21" s="2">
        <f t="shared" si="1"/>
        <v>101.49</v>
      </c>
      <c r="P21" s="2">
        <v>1.02</v>
      </c>
      <c r="Q21" s="2">
        <f t="shared" si="0"/>
        <v>103.5198</v>
      </c>
    </row>
    <row r="22" spans="15:17" x14ac:dyDescent="0.25">
      <c r="O22" s="2">
        <f t="shared" si="1"/>
        <v>101.49</v>
      </c>
      <c r="P22" s="2">
        <v>1.01</v>
      </c>
      <c r="Q22" s="2">
        <f t="shared" si="0"/>
        <v>102.50489999999999</v>
      </c>
    </row>
    <row r="23" spans="15:17" x14ac:dyDescent="0.25">
      <c r="O23" s="2">
        <f t="shared" si="1"/>
        <v>101.49</v>
      </c>
      <c r="P23" s="2">
        <v>1</v>
      </c>
      <c r="Q23" s="2">
        <f t="shared" si="0"/>
        <v>101.49</v>
      </c>
    </row>
    <row r="24" spans="15:17" x14ac:dyDescent="0.25">
      <c r="O24" s="2">
        <f t="shared" si="1"/>
        <v>101.49</v>
      </c>
      <c r="P24" s="2">
        <v>0.99</v>
      </c>
      <c r="Q24" s="2">
        <f t="shared" si="0"/>
        <v>100.4751</v>
      </c>
    </row>
    <row r="25" spans="15:17" x14ac:dyDescent="0.25">
      <c r="O25" s="2">
        <f t="shared" si="1"/>
        <v>101.49</v>
      </c>
      <c r="P25" s="2">
        <v>0.98</v>
      </c>
      <c r="Q25" s="2">
        <f t="shared" si="0"/>
        <v>99.460199999999986</v>
      </c>
    </row>
    <row r="26" spans="15:17" x14ac:dyDescent="0.25">
      <c r="O26" s="2">
        <f t="shared" si="1"/>
        <v>101.49</v>
      </c>
      <c r="P26" s="2">
        <v>0.97</v>
      </c>
      <c r="Q26" s="2">
        <f t="shared" si="0"/>
        <v>98.445299999999989</v>
      </c>
    </row>
    <row r="27" spans="15:17" x14ac:dyDescent="0.25">
      <c r="O27" s="2">
        <f t="shared" si="1"/>
        <v>101.49</v>
      </c>
      <c r="P27" s="2">
        <v>0.96</v>
      </c>
      <c r="Q27" s="2">
        <f t="shared" si="0"/>
        <v>97.430399999999992</v>
      </c>
    </row>
    <row r="28" spans="15:17" x14ac:dyDescent="0.25">
      <c r="O28" s="2">
        <f t="shared" si="1"/>
        <v>101.49</v>
      </c>
      <c r="P28" s="2">
        <v>0.95</v>
      </c>
      <c r="Q28" s="2">
        <f t="shared" si="0"/>
        <v>96.415499999999994</v>
      </c>
    </row>
    <row r="29" spans="15:17" x14ac:dyDescent="0.25">
      <c r="O29" s="2">
        <f t="shared" si="1"/>
        <v>101.49</v>
      </c>
      <c r="P29" s="2">
        <v>0.9</v>
      </c>
      <c r="Q29" s="2">
        <f t="shared" si="0"/>
        <v>91.340999999999994</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125</v>
      </c>
    </row>
    <row r="3" spans="1:22" x14ac:dyDescent="0.25">
      <c r="A3" s="36" t="s">
        <v>81</v>
      </c>
      <c r="B3" s="1">
        <v>42233</v>
      </c>
      <c r="C3">
        <v>20</v>
      </c>
      <c r="D3" s="2">
        <v>47.5</v>
      </c>
      <c r="F3" s="2">
        <f>C3*D3</f>
        <v>950</v>
      </c>
      <c r="O3" s="20" t="s">
        <v>58</v>
      </c>
      <c r="Q3" s="2">
        <f>(F5-K5)/Q2</f>
        <v>47.628571428571426</v>
      </c>
    </row>
    <row r="4" spans="1:22" x14ac:dyDescent="0.25">
      <c r="O4" s="20" t="s">
        <v>66</v>
      </c>
      <c r="Q4" s="106">
        <v>44.06</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1542.1000000000001</v>
      </c>
    </row>
    <row r="6" spans="1:22" x14ac:dyDescent="0.25">
      <c r="O6" s="20" t="s">
        <v>64</v>
      </c>
      <c r="Q6" s="2">
        <f>Q3*Q2</f>
        <v>1667</v>
      </c>
    </row>
    <row r="7" spans="1:22" x14ac:dyDescent="0.25">
      <c r="O7" s="20" t="s">
        <v>65</v>
      </c>
      <c r="Q7" s="2">
        <f>Q5-Q6</f>
        <v>-124.89999999999986</v>
      </c>
    </row>
    <row r="17" spans="15:17" x14ac:dyDescent="0.25">
      <c r="P17" t="s">
        <v>89</v>
      </c>
    </row>
    <row r="18" spans="15:17" x14ac:dyDescent="0.25">
      <c r="O18" s="2">
        <f>$Q$4</f>
        <v>44.06</v>
      </c>
      <c r="P18">
        <v>1.1000000000000001</v>
      </c>
      <c r="Q18" s="2">
        <f t="shared" ref="Q18:Q30" si="0">P18*O18</f>
        <v>48.466000000000008</v>
      </c>
    </row>
    <row r="19" spans="15:17" x14ac:dyDescent="0.25">
      <c r="O19" s="2">
        <f>$Q$4</f>
        <v>44.06</v>
      </c>
      <c r="P19">
        <v>1.05</v>
      </c>
      <c r="Q19" s="2">
        <f t="shared" si="0"/>
        <v>46.263000000000005</v>
      </c>
    </row>
    <row r="20" spans="15:17" x14ac:dyDescent="0.25">
      <c r="O20" s="2">
        <f t="shared" ref="O20:O30" si="1">$Q$4</f>
        <v>44.06</v>
      </c>
      <c r="P20">
        <v>1.04</v>
      </c>
      <c r="Q20" s="2">
        <f t="shared" si="0"/>
        <v>45.822400000000002</v>
      </c>
    </row>
    <row r="21" spans="15:17" x14ac:dyDescent="0.25">
      <c r="O21" s="2">
        <f t="shared" si="1"/>
        <v>44.06</v>
      </c>
      <c r="P21" s="2">
        <v>1.03</v>
      </c>
      <c r="Q21" s="2">
        <f t="shared" si="0"/>
        <v>45.381800000000005</v>
      </c>
    </row>
    <row r="22" spans="15:17" x14ac:dyDescent="0.25">
      <c r="O22" s="2">
        <f t="shared" si="1"/>
        <v>44.06</v>
      </c>
      <c r="P22" s="2">
        <v>1.02</v>
      </c>
      <c r="Q22" s="2">
        <f t="shared" si="0"/>
        <v>44.941200000000002</v>
      </c>
    </row>
    <row r="23" spans="15:17" x14ac:dyDescent="0.25">
      <c r="O23" s="2">
        <f t="shared" si="1"/>
        <v>44.06</v>
      </c>
      <c r="P23" s="2">
        <v>1.01</v>
      </c>
      <c r="Q23" s="2">
        <f t="shared" si="0"/>
        <v>44.500600000000006</v>
      </c>
    </row>
    <row r="24" spans="15:17" x14ac:dyDescent="0.25">
      <c r="O24" s="2">
        <f t="shared" si="1"/>
        <v>44.06</v>
      </c>
      <c r="P24" s="2">
        <v>1</v>
      </c>
      <c r="Q24" s="2">
        <f t="shared" si="0"/>
        <v>44.06</v>
      </c>
    </row>
    <row r="25" spans="15:17" x14ac:dyDescent="0.25">
      <c r="O25" s="2">
        <f t="shared" si="1"/>
        <v>44.06</v>
      </c>
      <c r="P25" s="2">
        <v>0.99</v>
      </c>
      <c r="Q25" s="2">
        <f t="shared" si="0"/>
        <v>43.619399999999999</v>
      </c>
    </row>
    <row r="26" spans="15:17" x14ac:dyDescent="0.25">
      <c r="O26" s="2">
        <f t="shared" si="1"/>
        <v>44.06</v>
      </c>
      <c r="P26" s="2">
        <v>0.98</v>
      </c>
      <c r="Q26" s="2">
        <f t="shared" si="0"/>
        <v>43.178800000000003</v>
      </c>
    </row>
    <row r="27" spans="15:17" x14ac:dyDescent="0.25">
      <c r="O27" s="2">
        <f t="shared" si="1"/>
        <v>44.06</v>
      </c>
      <c r="P27" s="2">
        <v>0.97</v>
      </c>
      <c r="Q27" s="2">
        <f t="shared" si="0"/>
        <v>42.738199999999999</v>
      </c>
    </row>
    <row r="28" spans="15:17" x14ac:dyDescent="0.25">
      <c r="O28" s="2">
        <f t="shared" si="1"/>
        <v>44.06</v>
      </c>
      <c r="P28" s="2">
        <v>0.96</v>
      </c>
      <c r="Q28" s="2">
        <f t="shared" si="0"/>
        <v>42.297600000000003</v>
      </c>
    </row>
    <row r="29" spans="15:17" x14ac:dyDescent="0.25">
      <c r="O29" s="2">
        <f t="shared" si="1"/>
        <v>44.06</v>
      </c>
      <c r="P29" s="2">
        <v>0.95</v>
      </c>
      <c r="Q29" s="2">
        <f t="shared" si="0"/>
        <v>41.856999999999999</v>
      </c>
    </row>
    <row r="30" spans="15:17" x14ac:dyDescent="0.25">
      <c r="O30" s="2">
        <f t="shared" si="1"/>
        <v>44.06</v>
      </c>
      <c r="P30" s="2">
        <v>0.9</v>
      </c>
      <c r="Q30" s="2">
        <f t="shared" si="0"/>
        <v>39.654000000000003</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48">
        <v>42220</v>
      </c>
      <c r="C2">
        <v>40</v>
      </c>
      <c r="D2" s="2">
        <v>31.78</v>
      </c>
      <c r="F2" s="2">
        <f>C2*D2</f>
        <v>1271.2</v>
      </c>
      <c r="G2" s="1">
        <v>42235</v>
      </c>
      <c r="H2" s="10">
        <v>100</v>
      </c>
      <c r="I2" s="10">
        <v>31.5</v>
      </c>
      <c r="J2" s="10"/>
      <c r="K2" s="10">
        <f>H2*I2</f>
        <v>3150</v>
      </c>
      <c r="O2" s="20" t="s">
        <v>57</v>
      </c>
      <c r="Q2">
        <f>C6-H6</f>
        <v>40</v>
      </c>
      <c r="T2" s="1">
        <v>42300</v>
      </c>
      <c r="U2" t="s">
        <v>125</v>
      </c>
    </row>
    <row r="3" spans="1:21" x14ac:dyDescent="0.25">
      <c r="A3" s="36" t="s">
        <v>81</v>
      </c>
      <c r="B3" s="148"/>
      <c r="C3" s="10">
        <v>60</v>
      </c>
      <c r="D3" s="25">
        <v>31.78</v>
      </c>
      <c r="E3" s="25"/>
      <c r="F3" s="25">
        <f>C3*D3</f>
        <v>1906.8000000000002</v>
      </c>
      <c r="G3" s="1"/>
      <c r="O3" s="20" t="s">
        <v>58</v>
      </c>
      <c r="Q3" s="2">
        <f>(F6-K6)/Q2</f>
        <v>30.987500000000001</v>
      </c>
      <c r="T3" t="s">
        <v>138</v>
      </c>
    </row>
    <row r="4" spans="1:21" x14ac:dyDescent="0.25">
      <c r="B4" s="1">
        <v>42221</v>
      </c>
      <c r="C4" s="10">
        <v>10</v>
      </c>
      <c r="D4" s="25">
        <v>31.45</v>
      </c>
      <c r="E4" s="25"/>
      <c r="F4" s="25">
        <f t="shared" ref="F4:F5" si="0">C4*D4</f>
        <v>314.5</v>
      </c>
      <c r="O4" s="20" t="s">
        <v>66</v>
      </c>
      <c r="Q4" s="106">
        <v>28.64</v>
      </c>
    </row>
    <row r="5" spans="1:21" x14ac:dyDescent="0.25">
      <c r="B5" s="1">
        <v>42233</v>
      </c>
      <c r="C5" s="10">
        <v>30</v>
      </c>
      <c r="D5" s="25">
        <v>29.9</v>
      </c>
      <c r="E5" s="25"/>
      <c r="F5" s="25">
        <f t="shared" si="0"/>
        <v>897</v>
      </c>
      <c r="O5" s="20" t="s">
        <v>67</v>
      </c>
      <c r="Q5" s="5">
        <f>Q4*Q2</f>
        <v>1145.5999999999999</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-93.900000000000091</v>
      </c>
    </row>
    <row r="21" spans="15:17" x14ac:dyDescent="0.25">
      <c r="P21" t="s">
        <v>89</v>
      </c>
    </row>
    <row r="22" spans="15:17" x14ac:dyDescent="0.25">
      <c r="O22" s="2">
        <f>$Q$4</f>
        <v>28.64</v>
      </c>
      <c r="P22">
        <v>1.1000000000000001</v>
      </c>
      <c r="Q22" s="2">
        <f t="shared" ref="Q22:Q34" si="1">P22*O22</f>
        <v>31.504000000000005</v>
      </c>
    </row>
    <row r="23" spans="15:17" x14ac:dyDescent="0.25">
      <c r="O23" s="2">
        <f>$Q$4</f>
        <v>28.64</v>
      </c>
      <c r="P23">
        <v>1.05</v>
      </c>
      <c r="Q23" s="2">
        <f t="shared" si="1"/>
        <v>30.072000000000003</v>
      </c>
    </row>
    <row r="24" spans="15:17" x14ac:dyDescent="0.25">
      <c r="O24" s="2">
        <f t="shared" ref="O24:O34" si="2">$Q$4</f>
        <v>28.64</v>
      </c>
      <c r="P24">
        <v>1.04</v>
      </c>
      <c r="Q24" s="2">
        <f t="shared" si="1"/>
        <v>29.785600000000002</v>
      </c>
    </row>
    <row r="25" spans="15:17" x14ac:dyDescent="0.25">
      <c r="O25" s="2">
        <f t="shared" si="2"/>
        <v>28.64</v>
      </c>
      <c r="P25" s="2">
        <v>1.03</v>
      </c>
      <c r="Q25" s="2">
        <f t="shared" si="1"/>
        <v>29.499200000000002</v>
      </c>
    </row>
    <row r="26" spans="15:17" x14ac:dyDescent="0.25">
      <c r="O26" s="2">
        <f t="shared" si="2"/>
        <v>28.64</v>
      </c>
      <c r="P26" s="2">
        <v>1.02</v>
      </c>
      <c r="Q26" s="2">
        <f t="shared" si="1"/>
        <v>29.212800000000001</v>
      </c>
    </row>
    <row r="27" spans="15:17" x14ac:dyDescent="0.25">
      <c r="O27" s="2">
        <f t="shared" si="2"/>
        <v>28.64</v>
      </c>
      <c r="P27" s="2">
        <v>1.01</v>
      </c>
      <c r="Q27" s="2">
        <f t="shared" si="1"/>
        <v>28.926400000000001</v>
      </c>
    </row>
    <row r="28" spans="15:17" x14ac:dyDescent="0.25">
      <c r="O28" s="2">
        <f t="shared" si="2"/>
        <v>28.64</v>
      </c>
      <c r="P28" s="2">
        <v>1</v>
      </c>
      <c r="Q28" s="2">
        <f t="shared" si="1"/>
        <v>28.64</v>
      </c>
    </row>
    <row r="29" spans="15:17" x14ac:dyDescent="0.25">
      <c r="O29" s="2">
        <f t="shared" si="2"/>
        <v>28.64</v>
      </c>
      <c r="P29" s="2">
        <v>0.99</v>
      </c>
      <c r="Q29" s="2">
        <f t="shared" si="1"/>
        <v>28.3536</v>
      </c>
    </row>
    <row r="30" spans="15:17" x14ac:dyDescent="0.25">
      <c r="O30" s="2">
        <f t="shared" si="2"/>
        <v>28.64</v>
      </c>
      <c r="P30" s="2">
        <v>0.98</v>
      </c>
      <c r="Q30" s="2">
        <f t="shared" si="1"/>
        <v>28.0672</v>
      </c>
    </row>
    <row r="31" spans="15:17" x14ac:dyDescent="0.25">
      <c r="O31" s="2">
        <f t="shared" si="2"/>
        <v>28.64</v>
      </c>
      <c r="P31" s="2">
        <v>0.97</v>
      </c>
      <c r="Q31" s="2">
        <f t="shared" si="1"/>
        <v>27.780799999999999</v>
      </c>
    </row>
    <row r="32" spans="15:17" x14ac:dyDescent="0.25">
      <c r="O32" s="2">
        <f t="shared" si="2"/>
        <v>28.64</v>
      </c>
      <c r="P32" s="2">
        <v>0.96</v>
      </c>
      <c r="Q32" s="2">
        <f t="shared" si="1"/>
        <v>27.494399999999999</v>
      </c>
    </row>
    <row r="33" spans="4:17" x14ac:dyDescent="0.25">
      <c r="O33" s="2">
        <f t="shared" si="2"/>
        <v>28.64</v>
      </c>
      <c r="P33" s="2">
        <v>0.95</v>
      </c>
      <c r="Q33" s="2">
        <f t="shared" si="1"/>
        <v>27.207999999999998</v>
      </c>
    </row>
    <row r="34" spans="4:17" x14ac:dyDescent="0.25">
      <c r="O34" s="2">
        <f t="shared" si="2"/>
        <v>28.64</v>
      </c>
      <c r="P34" s="2">
        <v>0.9</v>
      </c>
      <c r="Q34" s="2">
        <f t="shared" si="1"/>
        <v>25.776</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125</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68.400000000000006</v>
      </c>
    </row>
    <row r="5" spans="1:22" x14ac:dyDescent="0.25">
      <c r="O5" s="20" t="s">
        <v>67</v>
      </c>
      <c r="Q5" s="5">
        <f>Q4*Q2</f>
        <v>342</v>
      </c>
    </row>
    <row r="6" spans="1:22" x14ac:dyDescent="0.25">
      <c r="O6" s="20" t="s">
        <v>64</v>
      </c>
      <c r="Q6" s="2">
        <f>Q3*Q2</f>
        <v>310.25</v>
      </c>
    </row>
    <row r="7" spans="1:22" x14ac:dyDescent="0.25">
      <c r="O7" s="20" t="s">
        <v>65</v>
      </c>
      <c r="Q7" s="2">
        <f>Q5-Q6</f>
        <v>31.75</v>
      </c>
    </row>
    <row r="16" spans="1:22" x14ac:dyDescent="0.25">
      <c r="P16" t="s">
        <v>89</v>
      </c>
    </row>
    <row r="17" spans="15:17" x14ac:dyDescent="0.25">
      <c r="O17" s="2">
        <f>$Q$4</f>
        <v>68.400000000000006</v>
      </c>
      <c r="P17">
        <v>1.1000000000000001</v>
      </c>
      <c r="Q17" s="2">
        <f t="shared" ref="Q17:Q29" si="0">P17*O17</f>
        <v>75.240000000000009</v>
      </c>
    </row>
    <row r="18" spans="15:17" x14ac:dyDescent="0.25">
      <c r="O18" s="2">
        <f>$Q$4</f>
        <v>68.400000000000006</v>
      </c>
      <c r="P18">
        <v>1.05</v>
      </c>
      <c r="Q18" s="2">
        <f t="shared" si="0"/>
        <v>71.820000000000007</v>
      </c>
    </row>
    <row r="19" spans="15:17" x14ac:dyDescent="0.25">
      <c r="O19" s="2">
        <f t="shared" ref="O19:O29" si="1">$Q$4</f>
        <v>68.400000000000006</v>
      </c>
      <c r="P19">
        <v>1.04</v>
      </c>
      <c r="Q19" s="2">
        <f t="shared" si="0"/>
        <v>71.13600000000001</v>
      </c>
    </row>
    <row r="20" spans="15:17" x14ac:dyDescent="0.25">
      <c r="O20" s="2">
        <f t="shared" si="1"/>
        <v>68.400000000000006</v>
      </c>
      <c r="P20" s="2">
        <v>1.03</v>
      </c>
      <c r="Q20" s="2">
        <f t="shared" si="0"/>
        <v>70.452000000000012</v>
      </c>
    </row>
    <row r="21" spans="15:17" x14ac:dyDescent="0.25">
      <c r="O21" s="2">
        <f t="shared" si="1"/>
        <v>68.400000000000006</v>
      </c>
      <c r="P21" s="2">
        <v>1.02</v>
      </c>
      <c r="Q21" s="2">
        <f t="shared" si="0"/>
        <v>69.768000000000001</v>
      </c>
    </row>
    <row r="22" spans="15:17" x14ac:dyDescent="0.25">
      <c r="O22" s="2">
        <f t="shared" si="1"/>
        <v>68.400000000000006</v>
      </c>
      <c r="P22" s="2">
        <v>1.01</v>
      </c>
      <c r="Q22" s="2">
        <f t="shared" si="0"/>
        <v>69.084000000000003</v>
      </c>
    </row>
    <row r="23" spans="15:17" x14ac:dyDescent="0.25">
      <c r="O23" s="2">
        <f t="shared" si="1"/>
        <v>68.400000000000006</v>
      </c>
      <c r="P23" s="2">
        <v>1</v>
      </c>
      <c r="Q23" s="2">
        <f t="shared" si="0"/>
        <v>68.400000000000006</v>
      </c>
    </row>
    <row r="24" spans="15:17" x14ac:dyDescent="0.25">
      <c r="O24" s="2">
        <f t="shared" si="1"/>
        <v>68.400000000000006</v>
      </c>
      <c r="P24" s="2">
        <v>0.99</v>
      </c>
      <c r="Q24" s="2">
        <f t="shared" si="0"/>
        <v>67.716000000000008</v>
      </c>
    </row>
    <row r="25" spans="15:17" x14ac:dyDescent="0.25">
      <c r="O25" s="2">
        <f t="shared" si="1"/>
        <v>68.400000000000006</v>
      </c>
      <c r="P25" s="2">
        <v>0.98</v>
      </c>
      <c r="Q25" s="2">
        <f t="shared" si="0"/>
        <v>67.032000000000011</v>
      </c>
    </row>
    <row r="26" spans="15:17" x14ac:dyDescent="0.25">
      <c r="O26" s="2">
        <f t="shared" si="1"/>
        <v>68.400000000000006</v>
      </c>
      <c r="P26" s="2">
        <v>0.97</v>
      </c>
      <c r="Q26" s="2">
        <f t="shared" si="0"/>
        <v>66.347999999999999</v>
      </c>
    </row>
    <row r="27" spans="15:17" x14ac:dyDescent="0.25">
      <c r="O27" s="2">
        <f t="shared" si="1"/>
        <v>68.400000000000006</v>
      </c>
      <c r="P27" s="2">
        <v>0.96</v>
      </c>
      <c r="Q27" s="2">
        <f t="shared" si="0"/>
        <v>65.664000000000001</v>
      </c>
    </row>
    <row r="28" spans="15:17" x14ac:dyDescent="0.25">
      <c r="O28" s="2">
        <f t="shared" si="1"/>
        <v>68.400000000000006</v>
      </c>
      <c r="P28" s="2">
        <v>0.95</v>
      </c>
      <c r="Q28" s="2">
        <f t="shared" si="0"/>
        <v>64.98</v>
      </c>
    </row>
    <row r="29" spans="15:17" x14ac:dyDescent="0.25">
      <c r="O29" s="2">
        <f t="shared" si="1"/>
        <v>68.400000000000006</v>
      </c>
      <c r="P29" s="2">
        <v>0.9</v>
      </c>
      <c r="Q29" s="2">
        <f t="shared" si="0"/>
        <v>61.560000000000009</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125</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30.44</v>
      </c>
    </row>
    <row r="5" spans="1:22" x14ac:dyDescent="0.25">
      <c r="B5" s="1">
        <v>42240</v>
      </c>
      <c r="C5">
        <v>40</v>
      </c>
      <c r="D5">
        <v>32.4</v>
      </c>
      <c r="F5">
        <f t="shared" ref="F5:F7" si="0">C5*D5</f>
        <v>1296</v>
      </c>
      <c r="O5" s="20" t="s">
        <v>67</v>
      </c>
      <c r="Q5" s="5">
        <f>Q4*Q2</f>
        <v>2435.2000000000003</v>
      </c>
    </row>
    <row r="6" spans="1:22" x14ac:dyDescent="0.25">
      <c r="F6">
        <f t="shared" si="0"/>
        <v>0</v>
      </c>
      <c r="O6" s="20" t="s">
        <v>64</v>
      </c>
      <c r="Q6" s="2">
        <f>Q3*Q2</f>
        <v>2687</v>
      </c>
    </row>
    <row r="7" spans="1:22" x14ac:dyDescent="0.25">
      <c r="F7">
        <f t="shared" si="0"/>
        <v>0</v>
      </c>
      <c r="O7" s="20" t="s">
        <v>65</v>
      </c>
      <c r="Q7" s="2">
        <f>Q5-Q6+M8</f>
        <v>-251.79999999999973</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30.44</v>
      </c>
      <c r="P21">
        <v>1.1000000000000001</v>
      </c>
      <c r="Q21" s="2">
        <f t="shared" ref="Q21:Q33" si="1">P21*O21</f>
        <v>33.484000000000002</v>
      </c>
      <c r="R21" t="s">
        <v>136</v>
      </c>
    </row>
    <row r="22" spans="15:18" x14ac:dyDescent="0.25">
      <c r="O22" s="2">
        <f>$Q$4</f>
        <v>30.44</v>
      </c>
      <c r="P22">
        <v>1.05</v>
      </c>
      <c r="Q22" s="2">
        <f t="shared" si="1"/>
        <v>31.962000000000003</v>
      </c>
    </row>
    <row r="23" spans="15:18" x14ac:dyDescent="0.25">
      <c r="O23" s="2">
        <f t="shared" ref="O23:O33" si="2">$Q$4</f>
        <v>30.44</v>
      </c>
      <c r="P23">
        <v>1.04</v>
      </c>
      <c r="Q23" s="2">
        <f t="shared" si="1"/>
        <v>31.657600000000002</v>
      </c>
    </row>
    <row r="24" spans="15:18" x14ac:dyDescent="0.25">
      <c r="O24" s="2">
        <f t="shared" si="2"/>
        <v>30.44</v>
      </c>
      <c r="P24" s="2">
        <v>1.03</v>
      </c>
      <c r="Q24" s="2">
        <f t="shared" si="1"/>
        <v>31.353200000000001</v>
      </c>
    </row>
    <row r="25" spans="15:18" x14ac:dyDescent="0.25">
      <c r="O25" s="2">
        <f t="shared" si="2"/>
        <v>30.44</v>
      </c>
      <c r="P25" s="2">
        <v>1.02</v>
      </c>
      <c r="Q25" s="2">
        <f t="shared" si="1"/>
        <v>31.048800000000004</v>
      </c>
    </row>
    <row r="26" spans="15:18" x14ac:dyDescent="0.25">
      <c r="O26" s="2">
        <f t="shared" si="2"/>
        <v>30.44</v>
      </c>
      <c r="P26" s="2">
        <v>1.01</v>
      </c>
      <c r="Q26" s="2">
        <f t="shared" si="1"/>
        <v>30.744400000000002</v>
      </c>
    </row>
    <row r="27" spans="15:18" x14ac:dyDescent="0.25">
      <c r="O27" s="2">
        <f t="shared" si="2"/>
        <v>30.44</v>
      </c>
      <c r="P27" s="2">
        <v>1</v>
      </c>
      <c r="Q27" s="2">
        <f t="shared" si="1"/>
        <v>30.44</v>
      </c>
    </row>
    <row r="28" spans="15:18" x14ac:dyDescent="0.25">
      <c r="O28" s="2">
        <f t="shared" si="2"/>
        <v>30.44</v>
      </c>
      <c r="P28" s="2">
        <v>0.99</v>
      </c>
      <c r="Q28" s="2">
        <f t="shared" si="1"/>
        <v>30.1356</v>
      </c>
    </row>
    <row r="29" spans="15:18" x14ac:dyDescent="0.25">
      <c r="O29" s="2">
        <f t="shared" si="2"/>
        <v>30.44</v>
      </c>
      <c r="P29" s="2">
        <v>0.98</v>
      </c>
      <c r="Q29" s="2">
        <f t="shared" si="1"/>
        <v>29.831199999999999</v>
      </c>
      <c r="R29" t="s">
        <v>122</v>
      </c>
    </row>
    <row r="30" spans="15:18" x14ac:dyDescent="0.25">
      <c r="O30" s="2">
        <f t="shared" si="2"/>
        <v>30.44</v>
      </c>
      <c r="P30" s="2">
        <v>0.97</v>
      </c>
      <c r="Q30" s="2">
        <f t="shared" si="1"/>
        <v>29.526800000000001</v>
      </c>
    </row>
    <row r="31" spans="15:18" x14ac:dyDescent="0.25">
      <c r="O31" s="2">
        <f t="shared" si="2"/>
        <v>30.44</v>
      </c>
      <c r="P31" s="2">
        <v>0.96</v>
      </c>
      <c r="Q31" s="2">
        <f t="shared" si="1"/>
        <v>29.2224</v>
      </c>
    </row>
    <row r="32" spans="15:18" x14ac:dyDescent="0.25">
      <c r="O32" s="2">
        <f t="shared" si="2"/>
        <v>30.44</v>
      </c>
      <c r="P32" s="2">
        <v>0.95</v>
      </c>
      <c r="Q32" s="2">
        <f t="shared" si="1"/>
        <v>28.917999999999999</v>
      </c>
    </row>
    <row r="33" spans="15:17" x14ac:dyDescent="0.25">
      <c r="O33" s="2">
        <f t="shared" si="2"/>
        <v>30.44</v>
      </c>
      <c r="P33" s="2">
        <v>0.9</v>
      </c>
      <c r="Q33" s="2">
        <f t="shared" si="1"/>
        <v>27.396000000000001</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125</v>
      </c>
    </row>
    <row r="3" spans="1:21" x14ac:dyDescent="0.25">
      <c r="A3" s="36" t="s">
        <v>81</v>
      </c>
      <c r="B3" s="1">
        <v>42219</v>
      </c>
      <c r="C3">
        <v>5</v>
      </c>
      <c r="D3" s="2">
        <v>97.95</v>
      </c>
      <c r="F3" s="2">
        <f>C3*D3</f>
        <v>489.75</v>
      </c>
      <c r="O3" s="20" t="s">
        <v>58</v>
      </c>
      <c r="Q3" s="2">
        <f>(F8-K8)/Q2</f>
        <v>97.993999999999986</v>
      </c>
    </row>
    <row r="4" spans="1:21" x14ac:dyDescent="0.25">
      <c r="B4" s="1"/>
      <c r="O4" s="20" t="s">
        <v>66</v>
      </c>
      <c r="Q4" s="106">
        <v>89.72</v>
      </c>
    </row>
    <row r="5" spans="1:21" x14ac:dyDescent="0.25">
      <c r="O5" s="20" t="s">
        <v>67</v>
      </c>
      <c r="Q5" s="5">
        <f>Q4*Q2</f>
        <v>448.6</v>
      </c>
    </row>
    <row r="6" spans="1:21" x14ac:dyDescent="0.25">
      <c r="O6" s="20" t="s">
        <v>64</v>
      </c>
      <c r="Q6" s="2">
        <f>Q3*Q2</f>
        <v>489.96999999999991</v>
      </c>
    </row>
    <row r="7" spans="1:21" x14ac:dyDescent="0.25">
      <c r="O7" s="20" t="s">
        <v>65</v>
      </c>
      <c r="Q7" s="2">
        <f>Q5-Q6+M8</f>
        <v>-41.369999999999891</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89.72</v>
      </c>
      <c r="P20">
        <v>1.1000000000000001</v>
      </c>
      <c r="Q20" s="2">
        <f t="shared" ref="Q20:Q32" si="0">P20*O20</f>
        <v>98.692000000000007</v>
      </c>
    </row>
    <row r="21" spans="15:17" x14ac:dyDescent="0.25">
      <c r="O21" s="2">
        <f>$Q$4</f>
        <v>89.72</v>
      </c>
      <c r="P21">
        <v>1.05</v>
      </c>
      <c r="Q21" s="2">
        <f t="shared" si="0"/>
        <v>94.206000000000003</v>
      </c>
    </row>
    <row r="22" spans="15:17" x14ac:dyDescent="0.25">
      <c r="O22" s="2">
        <f t="shared" ref="O22:O32" si="1">$Q$4</f>
        <v>89.72</v>
      </c>
      <c r="P22">
        <v>1.04</v>
      </c>
      <c r="Q22" s="2">
        <f t="shared" si="0"/>
        <v>93.308800000000005</v>
      </c>
    </row>
    <row r="23" spans="15:17" x14ac:dyDescent="0.25">
      <c r="O23" s="2">
        <f t="shared" si="1"/>
        <v>89.72</v>
      </c>
      <c r="P23" s="2">
        <v>1.03</v>
      </c>
      <c r="Q23" s="2">
        <f t="shared" si="0"/>
        <v>92.411600000000007</v>
      </c>
    </row>
    <row r="24" spans="15:17" x14ac:dyDescent="0.25">
      <c r="O24" s="2">
        <f t="shared" si="1"/>
        <v>89.72</v>
      </c>
      <c r="P24" s="2">
        <v>1.02</v>
      </c>
      <c r="Q24" s="2">
        <f t="shared" si="0"/>
        <v>91.514399999999995</v>
      </c>
    </row>
    <row r="25" spans="15:17" x14ac:dyDescent="0.25">
      <c r="O25" s="2">
        <f t="shared" si="1"/>
        <v>89.72</v>
      </c>
      <c r="P25" s="2">
        <v>1.01</v>
      </c>
      <c r="Q25" s="2">
        <f t="shared" si="0"/>
        <v>90.617199999999997</v>
      </c>
    </row>
    <row r="26" spans="15:17" x14ac:dyDescent="0.25">
      <c r="O26" s="2">
        <f t="shared" si="1"/>
        <v>89.72</v>
      </c>
      <c r="P26" s="2">
        <v>1</v>
      </c>
      <c r="Q26" s="2">
        <f t="shared" si="0"/>
        <v>89.72</v>
      </c>
    </row>
    <row r="27" spans="15:17" x14ac:dyDescent="0.25">
      <c r="O27" s="2">
        <f t="shared" si="1"/>
        <v>89.72</v>
      </c>
      <c r="P27" s="2">
        <v>0.99</v>
      </c>
      <c r="Q27" s="2">
        <f t="shared" si="0"/>
        <v>88.822800000000001</v>
      </c>
    </row>
    <row r="28" spans="15:17" x14ac:dyDescent="0.25">
      <c r="O28" s="2">
        <f t="shared" si="1"/>
        <v>89.72</v>
      </c>
      <c r="P28" s="2">
        <v>0.98</v>
      </c>
      <c r="Q28" s="2">
        <f t="shared" si="0"/>
        <v>87.925600000000003</v>
      </c>
    </row>
    <row r="29" spans="15:17" x14ac:dyDescent="0.25">
      <c r="O29" s="2">
        <f t="shared" si="1"/>
        <v>89.72</v>
      </c>
      <c r="P29" s="2">
        <v>0.97</v>
      </c>
      <c r="Q29" s="2">
        <f t="shared" si="0"/>
        <v>87.028399999999991</v>
      </c>
    </row>
    <row r="30" spans="15:17" x14ac:dyDescent="0.25">
      <c r="O30" s="2">
        <f t="shared" si="1"/>
        <v>89.72</v>
      </c>
      <c r="P30" s="2">
        <v>0.96</v>
      </c>
      <c r="Q30" s="2">
        <f t="shared" si="0"/>
        <v>86.131199999999993</v>
      </c>
    </row>
    <row r="31" spans="15:17" x14ac:dyDescent="0.25">
      <c r="O31" s="2">
        <f t="shared" si="1"/>
        <v>89.72</v>
      </c>
      <c r="P31" s="2">
        <v>0.95</v>
      </c>
      <c r="Q31" s="2">
        <f t="shared" si="0"/>
        <v>85.233999999999995</v>
      </c>
    </row>
    <row r="32" spans="15:17" x14ac:dyDescent="0.25">
      <c r="O32" s="2">
        <f t="shared" si="1"/>
        <v>89.72</v>
      </c>
      <c r="P32" s="2">
        <v>0.9</v>
      </c>
      <c r="Q32" s="2">
        <f t="shared" si="0"/>
        <v>80.748000000000005</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125</v>
      </c>
    </row>
    <row r="3" spans="1:22" x14ac:dyDescent="0.25">
      <c r="A3" s="36" t="s">
        <v>81</v>
      </c>
      <c r="B3" s="1">
        <v>42214</v>
      </c>
      <c r="C3">
        <v>5</v>
      </c>
      <c r="D3" s="2">
        <v>118.3</v>
      </c>
      <c r="F3" s="2">
        <f>D3*C3</f>
        <v>591.5</v>
      </c>
      <c r="O3" s="20" t="s">
        <v>58</v>
      </c>
      <c r="Q3" s="2">
        <f>F6/C6</f>
        <v>119.52666666666667</v>
      </c>
    </row>
    <row r="4" spans="1:22" x14ac:dyDescent="0.25">
      <c r="O4" s="20" t="s">
        <v>66</v>
      </c>
      <c r="Q4" s="106">
        <v>112.63</v>
      </c>
      <c r="V4" t="str">
        <f>YahooFinance(A2, "latestprice")</f>
        <v xml:space="preserve">116.28
</v>
      </c>
    </row>
    <row r="5" spans="1:22" x14ac:dyDescent="0.25">
      <c r="O5" s="20" t="s">
        <v>67</v>
      </c>
      <c r="Q5" s="5">
        <f>Q4*Q2</f>
        <v>1689.4499999999998</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-103.45000000000027</v>
      </c>
    </row>
    <row r="19" spans="15:17" x14ac:dyDescent="0.25">
      <c r="P19" t="s">
        <v>89</v>
      </c>
    </row>
    <row r="20" spans="15:17" x14ac:dyDescent="0.25">
      <c r="O20" s="2">
        <f>$Q$4</f>
        <v>112.63</v>
      </c>
      <c r="P20">
        <v>1.1000000000000001</v>
      </c>
      <c r="Q20" s="2">
        <f t="shared" ref="Q20:Q32" si="1">P20*O20</f>
        <v>123.893</v>
      </c>
    </row>
    <row r="21" spans="15:17" x14ac:dyDescent="0.25">
      <c r="O21" s="2">
        <f>$Q$4</f>
        <v>112.63</v>
      </c>
      <c r="P21">
        <v>1.05</v>
      </c>
      <c r="Q21" s="2">
        <f t="shared" si="1"/>
        <v>118.2615</v>
      </c>
    </row>
    <row r="22" spans="15:17" x14ac:dyDescent="0.25">
      <c r="O22" s="2">
        <f t="shared" ref="O22:O32" si="2">$Q$4</f>
        <v>112.63</v>
      </c>
      <c r="P22">
        <v>1.04</v>
      </c>
      <c r="Q22" s="2">
        <f t="shared" si="1"/>
        <v>117.1352</v>
      </c>
    </row>
    <row r="23" spans="15:17" x14ac:dyDescent="0.25">
      <c r="O23" s="2">
        <f t="shared" si="2"/>
        <v>112.63</v>
      </c>
      <c r="P23" s="2">
        <v>1.03</v>
      </c>
      <c r="Q23" s="2">
        <f t="shared" si="1"/>
        <v>116.0089</v>
      </c>
    </row>
    <row r="24" spans="15:17" x14ac:dyDescent="0.25">
      <c r="O24" s="2">
        <f t="shared" si="2"/>
        <v>112.63</v>
      </c>
      <c r="P24" s="2">
        <v>1.02</v>
      </c>
      <c r="Q24" s="2">
        <f t="shared" si="1"/>
        <v>114.8826</v>
      </c>
    </row>
    <row r="25" spans="15:17" x14ac:dyDescent="0.25">
      <c r="O25" s="2">
        <f t="shared" si="2"/>
        <v>112.63</v>
      </c>
      <c r="P25" s="2">
        <v>1.01</v>
      </c>
      <c r="Q25" s="2">
        <f t="shared" si="1"/>
        <v>113.7563</v>
      </c>
    </row>
    <row r="26" spans="15:17" x14ac:dyDescent="0.25">
      <c r="O26" s="2">
        <f t="shared" si="2"/>
        <v>112.63</v>
      </c>
      <c r="P26" s="2">
        <v>1</v>
      </c>
      <c r="Q26" s="2">
        <f t="shared" si="1"/>
        <v>112.63</v>
      </c>
    </row>
    <row r="27" spans="15:17" x14ac:dyDescent="0.25">
      <c r="O27" s="2">
        <f t="shared" si="2"/>
        <v>112.63</v>
      </c>
      <c r="P27" s="2">
        <v>0.99</v>
      </c>
      <c r="Q27" s="2">
        <f t="shared" si="1"/>
        <v>111.50369999999999</v>
      </c>
    </row>
    <row r="28" spans="15:17" x14ac:dyDescent="0.25">
      <c r="O28" s="2">
        <f t="shared" si="2"/>
        <v>112.63</v>
      </c>
      <c r="P28" s="2">
        <v>0.98</v>
      </c>
      <c r="Q28" s="2">
        <f t="shared" si="1"/>
        <v>110.37739999999999</v>
      </c>
    </row>
    <row r="29" spans="15:17" x14ac:dyDescent="0.25">
      <c r="O29" s="2">
        <f t="shared" si="2"/>
        <v>112.63</v>
      </c>
      <c r="P29" s="2">
        <v>0.97</v>
      </c>
      <c r="Q29" s="2">
        <f t="shared" si="1"/>
        <v>109.25109999999999</v>
      </c>
    </row>
    <row r="30" spans="15:17" x14ac:dyDescent="0.25">
      <c r="O30" s="2">
        <f t="shared" si="2"/>
        <v>112.63</v>
      </c>
      <c r="P30" s="2">
        <v>0.96</v>
      </c>
      <c r="Q30" s="2">
        <f t="shared" si="1"/>
        <v>108.12479999999999</v>
      </c>
    </row>
    <row r="31" spans="15:17" x14ac:dyDescent="0.25">
      <c r="O31" s="2">
        <f t="shared" si="2"/>
        <v>112.63</v>
      </c>
      <c r="P31" s="2">
        <v>0.95</v>
      </c>
      <c r="Q31" s="2">
        <f t="shared" si="1"/>
        <v>106.99849999999999</v>
      </c>
    </row>
    <row r="32" spans="15:17" x14ac:dyDescent="0.25">
      <c r="O32" s="2">
        <f t="shared" si="2"/>
        <v>112.63</v>
      </c>
      <c r="P32" s="2">
        <v>0.9</v>
      </c>
      <c r="Q32" s="2">
        <f t="shared" si="1"/>
        <v>101.367</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R1" s="58"/>
      <c r="T1" s="20" t="s">
        <v>74</v>
      </c>
    </row>
    <row r="2" spans="1:21" x14ac:dyDescent="0.25">
      <c r="A2" s="8" t="s">
        <v>62</v>
      </c>
      <c r="B2" s="1">
        <v>42222</v>
      </c>
      <c r="C2">
        <v>5</v>
      </c>
      <c r="D2" s="2">
        <v>320</v>
      </c>
      <c r="E2" s="2">
        <v>0</v>
      </c>
      <c r="F2" s="2">
        <f>C2*D2 + E2</f>
        <v>1600</v>
      </c>
      <c r="O2" s="20" t="s">
        <v>57</v>
      </c>
      <c r="Q2">
        <f>C5-H5</f>
        <v>10</v>
      </c>
      <c r="T2" s="1">
        <v>42299</v>
      </c>
      <c r="U2" t="s">
        <v>125</v>
      </c>
    </row>
    <row r="3" spans="1:21" x14ac:dyDescent="0.25">
      <c r="A3" s="36" t="s">
        <v>81</v>
      </c>
      <c r="B3" s="1">
        <v>42247</v>
      </c>
      <c r="C3">
        <v>5</v>
      </c>
      <c r="D3" s="2">
        <v>298.7</v>
      </c>
      <c r="E3" s="2">
        <v>0</v>
      </c>
      <c r="F3" s="2">
        <f>C3*D3 + E3</f>
        <v>1493.5</v>
      </c>
      <c r="O3" s="20" t="s">
        <v>58</v>
      </c>
      <c r="Q3" s="2">
        <f>F5/C5</f>
        <v>309.35000000000002</v>
      </c>
    </row>
    <row r="4" spans="1:21" x14ac:dyDescent="0.25">
      <c r="O4" s="20" t="s">
        <v>66</v>
      </c>
      <c r="Q4" s="106">
        <v>292.5</v>
      </c>
    </row>
    <row r="5" spans="1:21" x14ac:dyDescent="0.25">
      <c r="A5" s="57" t="s">
        <v>114</v>
      </c>
      <c r="B5" s="24"/>
      <c r="C5" s="24">
        <f>SUM(C2:C4)</f>
        <v>10</v>
      </c>
      <c r="D5" s="31"/>
      <c r="E5" s="31"/>
      <c r="F5" s="31">
        <f t="shared" ref="F5" si="0">SUM(F2:F4)</f>
        <v>3093.5</v>
      </c>
      <c r="G5" s="24"/>
      <c r="H5" s="24"/>
      <c r="I5" s="24"/>
      <c r="J5" s="24"/>
      <c r="K5" s="24"/>
      <c r="L5" s="24"/>
      <c r="M5" s="24"/>
      <c r="O5" s="20" t="s">
        <v>67</v>
      </c>
      <c r="Q5" s="5">
        <f>Q4*Q2</f>
        <v>2925</v>
      </c>
    </row>
    <row r="6" spans="1:21" x14ac:dyDescent="0.25">
      <c r="O6" s="20" t="s">
        <v>64</v>
      </c>
      <c r="Q6" s="2">
        <f>Q3*Q2</f>
        <v>3093.5</v>
      </c>
    </row>
    <row r="7" spans="1:21" x14ac:dyDescent="0.25">
      <c r="O7" s="20" t="s">
        <v>65</v>
      </c>
      <c r="Q7" s="2">
        <f>Q5-Q6</f>
        <v>-168.5</v>
      </c>
    </row>
    <row r="12" spans="1:21" x14ac:dyDescent="0.25">
      <c r="F12" s="5"/>
    </row>
    <row r="13" spans="1:21" x14ac:dyDescent="0.25">
      <c r="F13" s="5"/>
    </row>
    <row r="19" spans="2:18" x14ac:dyDescent="0.25">
      <c r="P19" t="s">
        <v>89</v>
      </c>
    </row>
    <row r="20" spans="2:18" x14ac:dyDescent="0.25">
      <c r="O20" s="2">
        <f>$Q$4</f>
        <v>292.5</v>
      </c>
      <c r="P20">
        <v>1.1000000000000001</v>
      </c>
      <c r="Q20" s="2">
        <f t="shared" ref="Q20:Q32" si="1">P20*O20</f>
        <v>321.75</v>
      </c>
    </row>
    <row r="21" spans="2:18" x14ac:dyDescent="0.25">
      <c r="O21" s="2">
        <f>$Q$4</f>
        <v>292.5</v>
      </c>
      <c r="P21">
        <v>1.05</v>
      </c>
      <c r="Q21" s="2">
        <f t="shared" si="1"/>
        <v>307.125</v>
      </c>
    </row>
    <row r="22" spans="2:18" x14ac:dyDescent="0.25">
      <c r="B22" t="s">
        <v>202</v>
      </c>
      <c r="C22" s="2"/>
      <c r="E22" s="2" t="s">
        <v>203</v>
      </c>
      <c r="F22"/>
      <c r="O22" s="2">
        <f t="shared" ref="O22:O32" si="2">$Q$4</f>
        <v>292.5</v>
      </c>
      <c r="P22">
        <v>1.04</v>
      </c>
      <c r="Q22" s="2">
        <f t="shared" si="1"/>
        <v>304.2</v>
      </c>
    </row>
    <row r="23" spans="2:18" x14ac:dyDescent="0.25">
      <c r="O23" s="2">
        <f t="shared" si="2"/>
        <v>292.5</v>
      </c>
      <c r="P23" s="2">
        <v>1.03</v>
      </c>
      <c r="Q23" s="2">
        <f t="shared" si="1"/>
        <v>301.27500000000003</v>
      </c>
    </row>
    <row r="24" spans="2:18" x14ac:dyDescent="0.25">
      <c r="O24" s="2">
        <f t="shared" si="2"/>
        <v>292.5</v>
      </c>
      <c r="P24" s="2">
        <v>1.02</v>
      </c>
      <c r="Q24" s="2">
        <f t="shared" si="1"/>
        <v>298.35000000000002</v>
      </c>
    </row>
    <row r="25" spans="2:18" x14ac:dyDescent="0.25">
      <c r="O25" s="2">
        <f t="shared" si="2"/>
        <v>292.5</v>
      </c>
      <c r="P25" s="2">
        <v>1.01</v>
      </c>
      <c r="Q25" s="2">
        <f t="shared" si="1"/>
        <v>295.42500000000001</v>
      </c>
    </row>
    <row r="26" spans="2:18" x14ac:dyDescent="0.25">
      <c r="O26" s="2">
        <f t="shared" si="2"/>
        <v>292.5</v>
      </c>
      <c r="P26" s="2">
        <v>1</v>
      </c>
      <c r="Q26" s="2">
        <f t="shared" si="1"/>
        <v>292.5</v>
      </c>
    </row>
    <row r="27" spans="2:18" x14ac:dyDescent="0.25">
      <c r="O27" s="2">
        <f t="shared" si="2"/>
        <v>292.5</v>
      </c>
      <c r="P27" s="2">
        <v>0.99</v>
      </c>
      <c r="Q27" s="2">
        <f t="shared" si="1"/>
        <v>289.57499999999999</v>
      </c>
    </row>
    <row r="28" spans="2:18" x14ac:dyDescent="0.25">
      <c r="O28" s="2">
        <f t="shared" si="2"/>
        <v>292.5</v>
      </c>
      <c r="P28" s="2">
        <v>0.98</v>
      </c>
      <c r="Q28" s="2">
        <f t="shared" si="1"/>
        <v>286.64999999999998</v>
      </c>
      <c r="R28" s="59" t="s">
        <v>137</v>
      </c>
    </row>
    <row r="29" spans="2:18" x14ac:dyDescent="0.25">
      <c r="O29" s="2">
        <f t="shared" si="2"/>
        <v>292.5</v>
      </c>
      <c r="P29" s="2">
        <v>0.97</v>
      </c>
      <c r="Q29" s="2">
        <f t="shared" si="1"/>
        <v>283.72499999999997</v>
      </c>
    </row>
    <row r="30" spans="2:18" x14ac:dyDescent="0.25">
      <c r="O30" s="2">
        <f t="shared" si="2"/>
        <v>292.5</v>
      </c>
      <c r="P30" s="2">
        <v>0.96</v>
      </c>
      <c r="Q30" s="2">
        <f t="shared" si="1"/>
        <v>280.8</v>
      </c>
    </row>
    <row r="31" spans="2:18" x14ac:dyDescent="0.25">
      <c r="O31" s="2">
        <f t="shared" si="2"/>
        <v>292.5</v>
      </c>
      <c r="P31" s="2">
        <v>0.95</v>
      </c>
      <c r="Q31" s="2">
        <f t="shared" si="1"/>
        <v>277.875</v>
      </c>
    </row>
    <row r="32" spans="2:18" x14ac:dyDescent="0.25">
      <c r="O32" s="2">
        <f t="shared" si="2"/>
        <v>292.5</v>
      </c>
      <c r="P32" s="2">
        <v>0.9</v>
      </c>
      <c r="Q32" s="2">
        <f t="shared" si="1"/>
        <v>263.25</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10.24</v>
      </c>
    </row>
    <row r="5" spans="1:17" x14ac:dyDescent="0.25">
      <c r="B5" s="1">
        <v>42234</v>
      </c>
      <c r="C5">
        <v>15</v>
      </c>
      <c r="D5" s="2">
        <v>13.9</v>
      </c>
      <c r="E5" s="2">
        <v>0</v>
      </c>
      <c r="F5" s="2">
        <f>C5*D5</f>
        <v>208.5</v>
      </c>
      <c r="O5" s="20" t="s">
        <v>67</v>
      </c>
      <c r="Q5" s="5">
        <f>Q4*Q2</f>
        <v>819.2</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-1552.05</v>
      </c>
    </row>
    <row r="15" spans="1:17" x14ac:dyDescent="0.25">
      <c r="P15" t="s">
        <v>89</v>
      </c>
    </row>
    <row r="16" spans="1:17" x14ac:dyDescent="0.25">
      <c r="O16" s="2">
        <f>$Q$4</f>
        <v>10.24</v>
      </c>
      <c r="P16">
        <v>1.1000000000000001</v>
      </c>
      <c r="Q16" s="2">
        <f t="shared" ref="Q16:Q28" si="0">P16*O16</f>
        <v>11.264000000000001</v>
      </c>
    </row>
    <row r="17" spans="15:17" x14ac:dyDescent="0.25">
      <c r="O17" s="2">
        <f>$Q$4</f>
        <v>10.24</v>
      </c>
      <c r="P17">
        <v>1.05</v>
      </c>
      <c r="Q17" s="2">
        <f t="shared" si="0"/>
        <v>10.752000000000001</v>
      </c>
    </row>
    <row r="18" spans="15:17" x14ac:dyDescent="0.25">
      <c r="O18" s="2">
        <f t="shared" ref="O18:O28" si="1">$Q$4</f>
        <v>10.24</v>
      </c>
      <c r="P18">
        <v>1.04</v>
      </c>
      <c r="Q18" s="2">
        <f t="shared" si="0"/>
        <v>10.649600000000001</v>
      </c>
    </row>
    <row r="19" spans="15:17" x14ac:dyDescent="0.25">
      <c r="O19" s="2">
        <f t="shared" si="1"/>
        <v>10.24</v>
      </c>
      <c r="P19" s="2">
        <v>1.03</v>
      </c>
      <c r="Q19" s="2">
        <f t="shared" si="0"/>
        <v>10.5472</v>
      </c>
    </row>
    <row r="20" spans="15:17" x14ac:dyDescent="0.25">
      <c r="O20" s="2">
        <f t="shared" si="1"/>
        <v>10.24</v>
      </c>
      <c r="P20" s="2">
        <v>1.02</v>
      </c>
      <c r="Q20" s="2">
        <f t="shared" si="0"/>
        <v>10.444800000000001</v>
      </c>
    </row>
    <row r="21" spans="15:17" x14ac:dyDescent="0.25">
      <c r="O21" s="2">
        <f t="shared" si="1"/>
        <v>10.24</v>
      </c>
      <c r="P21" s="2">
        <v>1.01</v>
      </c>
      <c r="Q21" s="2">
        <f t="shared" si="0"/>
        <v>10.3424</v>
      </c>
    </row>
    <row r="22" spans="15:17" x14ac:dyDescent="0.25">
      <c r="O22" s="2">
        <f t="shared" si="1"/>
        <v>10.24</v>
      </c>
      <c r="P22" s="2">
        <v>1</v>
      </c>
      <c r="Q22" s="2">
        <f t="shared" si="0"/>
        <v>10.24</v>
      </c>
    </row>
    <row r="23" spans="15:17" x14ac:dyDescent="0.25">
      <c r="O23" s="2">
        <f t="shared" si="1"/>
        <v>10.24</v>
      </c>
      <c r="P23" s="2">
        <v>0.99</v>
      </c>
      <c r="Q23" s="2">
        <f t="shared" si="0"/>
        <v>10.137600000000001</v>
      </c>
    </row>
    <row r="24" spans="15:17" x14ac:dyDescent="0.25">
      <c r="O24" s="2">
        <f t="shared" si="1"/>
        <v>10.24</v>
      </c>
      <c r="P24" s="2">
        <v>0.98</v>
      </c>
      <c r="Q24" s="2">
        <f t="shared" si="0"/>
        <v>10.0352</v>
      </c>
    </row>
    <row r="25" spans="15:17" x14ac:dyDescent="0.25">
      <c r="O25" s="2">
        <f t="shared" si="1"/>
        <v>10.24</v>
      </c>
      <c r="P25" s="2">
        <v>0.97</v>
      </c>
      <c r="Q25" s="2">
        <f t="shared" si="0"/>
        <v>9.9328000000000003</v>
      </c>
    </row>
    <row r="26" spans="15:17" x14ac:dyDescent="0.25">
      <c r="O26" s="2">
        <f t="shared" si="1"/>
        <v>10.24</v>
      </c>
      <c r="P26" s="2">
        <v>0.96</v>
      </c>
      <c r="Q26" s="2">
        <f t="shared" si="0"/>
        <v>9.8303999999999991</v>
      </c>
    </row>
    <row r="27" spans="15:17" x14ac:dyDescent="0.25">
      <c r="O27" s="2">
        <f t="shared" si="1"/>
        <v>10.24</v>
      </c>
      <c r="P27" s="2">
        <v>0.95</v>
      </c>
      <c r="Q27" s="2">
        <f t="shared" si="0"/>
        <v>9.7279999999999998</v>
      </c>
    </row>
    <row r="28" spans="15:17" x14ac:dyDescent="0.25">
      <c r="O28" s="2">
        <f t="shared" si="1"/>
        <v>10.24</v>
      </c>
      <c r="P28" s="2">
        <v>0.9</v>
      </c>
      <c r="Q28" s="2">
        <f t="shared" si="0"/>
        <v>9.2160000000000011</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c r="T1" s="20" t="s">
        <v>167</v>
      </c>
    </row>
    <row r="2" spans="1:21"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21"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21" x14ac:dyDescent="0.25">
      <c r="B4" s="1">
        <v>42150</v>
      </c>
      <c r="C4">
        <v>30</v>
      </c>
      <c r="D4" s="2">
        <v>165.4</v>
      </c>
      <c r="F4" s="2">
        <f t="shared" si="0"/>
        <v>4962</v>
      </c>
      <c r="G4" s="1">
        <v>42186</v>
      </c>
      <c r="H4" s="18">
        <v>50</v>
      </c>
      <c r="I4" s="68">
        <f t="shared" si="1"/>
        <v>168.5</v>
      </c>
      <c r="J4" s="68"/>
      <c r="K4" s="68">
        <v>8425</v>
      </c>
      <c r="O4" s="20" t="s">
        <v>66</v>
      </c>
      <c r="Q4" s="106">
        <v>128.86000000000001</v>
      </c>
      <c r="T4" s="1">
        <v>42278</v>
      </c>
      <c r="U4" t="s">
        <v>230</v>
      </c>
    </row>
    <row r="5" spans="1:21" x14ac:dyDescent="0.25">
      <c r="B5" s="1">
        <v>42150</v>
      </c>
      <c r="C5">
        <v>10</v>
      </c>
      <c r="D5" s="2">
        <v>164.85</v>
      </c>
      <c r="F5" s="2">
        <f t="shared" si="0"/>
        <v>1648.5</v>
      </c>
      <c r="G5" s="1">
        <v>42236</v>
      </c>
      <c r="H5" s="11">
        <v>10</v>
      </c>
      <c r="I5" s="80">
        <f t="shared" si="1"/>
        <v>133.19800000000001</v>
      </c>
      <c r="J5" s="80"/>
      <c r="K5" s="80">
        <v>1331.98</v>
      </c>
      <c r="O5" s="20" t="s">
        <v>67</v>
      </c>
      <c r="Q5" s="5">
        <f>Q4*Q2</f>
        <v>6443.0000000000009</v>
      </c>
    </row>
    <row r="6" spans="1:21"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21" x14ac:dyDescent="0.25">
      <c r="B7" s="1">
        <v>42186</v>
      </c>
      <c r="C7" s="18">
        <v>100</v>
      </c>
      <c r="D7" s="68">
        <v>164</v>
      </c>
      <c r="E7" s="68"/>
      <c r="F7" s="68">
        <f t="shared" si="0"/>
        <v>16400</v>
      </c>
      <c r="O7" s="20" t="s">
        <v>65</v>
      </c>
      <c r="Q7" s="2">
        <f>Q5-Q6</f>
        <v>-1090.5699999999997</v>
      </c>
      <c r="T7" s="1">
        <v>42320</v>
      </c>
      <c r="U7" t="s">
        <v>125</v>
      </c>
    </row>
    <row r="8" spans="1:21" x14ac:dyDescent="0.25">
      <c r="B8" s="1">
        <v>42235</v>
      </c>
      <c r="C8" s="11">
        <v>10</v>
      </c>
      <c r="D8" s="80">
        <v>124</v>
      </c>
      <c r="E8" s="80"/>
      <c r="F8" s="80">
        <f t="shared" si="0"/>
        <v>1240</v>
      </c>
    </row>
    <row r="9" spans="1:21" x14ac:dyDescent="0.25">
      <c r="B9" s="1">
        <v>42240</v>
      </c>
      <c r="C9" s="94">
        <v>20</v>
      </c>
      <c r="D9" s="95">
        <v>123</v>
      </c>
      <c r="E9" s="95"/>
      <c r="F9" s="95">
        <f t="shared" si="0"/>
        <v>2460</v>
      </c>
    </row>
    <row r="10" spans="1:21" x14ac:dyDescent="0.25">
      <c r="A10" s="83" t="s">
        <v>114</v>
      </c>
      <c r="B10" s="3"/>
      <c r="C10" s="3">
        <f>SUM(C2:C9)</f>
        <v>330</v>
      </c>
      <c r="D10" s="4"/>
      <c r="E10" s="4"/>
      <c r="F10" s="4">
        <f>SUM(F2:F9)</f>
        <v>53290.5</v>
      </c>
      <c r="G10" s="3"/>
      <c r="H10" s="3">
        <f>SUM(H2:H7)</f>
        <v>280</v>
      </c>
      <c r="I10" s="4"/>
      <c r="J10" s="4"/>
      <c r="K10" s="4">
        <f>SUM(K2:K9)</f>
        <v>45756.93</v>
      </c>
      <c r="L10" s="3"/>
      <c r="M10" s="3"/>
    </row>
    <row r="16" spans="1:21" x14ac:dyDescent="0.25">
      <c r="M16" s="2"/>
    </row>
    <row r="17" spans="15:17" x14ac:dyDescent="0.25">
      <c r="P17" t="s">
        <v>89</v>
      </c>
    </row>
    <row r="18" spans="15:17" x14ac:dyDescent="0.25">
      <c r="O18" s="2">
        <f>$Q$4</f>
        <v>128.86000000000001</v>
      </c>
      <c r="P18">
        <v>1.1000000000000001</v>
      </c>
      <c r="Q18" s="2">
        <f t="shared" ref="Q18:Q30" si="2">P18*O18</f>
        <v>141.74600000000004</v>
      </c>
    </row>
    <row r="19" spans="15:17" x14ac:dyDescent="0.25">
      <c r="O19" s="2">
        <f>$Q$4</f>
        <v>128.86000000000001</v>
      </c>
      <c r="P19">
        <v>1.05</v>
      </c>
      <c r="Q19" s="2">
        <f t="shared" si="2"/>
        <v>135.30300000000003</v>
      </c>
    </row>
    <row r="20" spans="15:17" x14ac:dyDescent="0.25">
      <c r="O20" s="2">
        <f t="shared" ref="O20:O30" si="3">$Q$4</f>
        <v>128.86000000000001</v>
      </c>
      <c r="P20">
        <v>1.04</v>
      </c>
      <c r="Q20" s="2">
        <f t="shared" si="2"/>
        <v>134.01440000000002</v>
      </c>
    </row>
    <row r="21" spans="15:17" x14ac:dyDescent="0.25">
      <c r="O21" s="2">
        <f t="shared" si="3"/>
        <v>128.86000000000001</v>
      </c>
      <c r="P21" s="2">
        <v>1.03</v>
      </c>
      <c r="Q21" s="2">
        <f t="shared" si="2"/>
        <v>132.72580000000002</v>
      </c>
    </row>
    <row r="22" spans="15:17" x14ac:dyDescent="0.25">
      <c r="O22" s="2">
        <f t="shared" si="3"/>
        <v>128.86000000000001</v>
      </c>
      <c r="P22" s="2">
        <v>1.02</v>
      </c>
      <c r="Q22" s="2">
        <f t="shared" si="2"/>
        <v>131.43720000000002</v>
      </c>
    </row>
    <row r="23" spans="15:17" x14ac:dyDescent="0.25">
      <c r="O23" s="2">
        <f t="shared" si="3"/>
        <v>128.86000000000001</v>
      </c>
      <c r="P23" s="2">
        <v>1.01</v>
      </c>
      <c r="Q23" s="2">
        <f t="shared" si="2"/>
        <v>130.14860000000002</v>
      </c>
    </row>
    <row r="24" spans="15:17" x14ac:dyDescent="0.25">
      <c r="O24" s="2">
        <f t="shared" si="3"/>
        <v>128.86000000000001</v>
      </c>
      <c r="P24" s="2">
        <v>1</v>
      </c>
      <c r="Q24" s="2">
        <f t="shared" si="2"/>
        <v>128.86000000000001</v>
      </c>
    </row>
    <row r="25" spans="15:17" x14ac:dyDescent="0.25">
      <c r="O25" s="2">
        <f t="shared" si="3"/>
        <v>128.86000000000001</v>
      </c>
      <c r="P25" s="2">
        <v>0.99</v>
      </c>
      <c r="Q25" s="2">
        <f t="shared" si="2"/>
        <v>127.57140000000001</v>
      </c>
    </row>
    <row r="26" spans="15:17" x14ac:dyDescent="0.25">
      <c r="O26" s="2">
        <f t="shared" si="3"/>
        <v>128.86000000000001</v>
      </c>
      <c r="P26" s="2">
        <v>0.98</v>
      </c>
      <c r="Q26" s="2">
        <f t="shared" si="2"/>
        <v>126.28280000000001</v>
      </c>
    </row>
    <row r="27" spans="15:17" x14ac:dyDescent="0.25">
      <c r="O27" s="2">
        <f t="shared" si="3"/>
        <v>128.86000000000001</v>
      </c>
      <c r="P27" s="2">
        <v>0.97</v>
      </c>
      <c r="Q27" s="2">
        <f t="shared" si="2"/>
        <v>124.99420000000001</v>
      </c>
    </row>
    <row r="28" spans="15:17" x14ac:dyDescent="0.25">
      <c r="O28" s="2">
        <f t="shared" si="3"/>
        <v>128.86000000000001</v>
      </c>
      <c r="P28" s="2">
        <v>0.96</v>
      </c>
      <c r="Q28" s="2">
        <f t="shared" si="2"/>
        <v>123.7056</v>
      </c>
    </row>
    <row r="29" spans="15:17" x14ac:dyDescent="0.25">
      <c r="O29" s="2">
        <f t="shared" si="3"/>
        <v>128.86000000000001</v>
      </c>
      <c r="P29" s="2">
        <v>0.95</v>
      </c>
      <c r="Q29" s="2">
        <f t="shared" si="2"/>
        <v>122.417</v>
      </c>
    </row>
    <row r="30" spans="15:17" x14ac:dyDescent="0.25">
      <c r="O30" s="2">
        <f t="shared" si="3"/>
        <v>128.86000000000001</v>
      </c>
      <c r="P30" s="2">
        <v>0.9</v>
      </c>
      <c r="Q30" s="2">
        <f t="shared" si="2"/>
        <v>115.97400000000002</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2015-09-02T03:41:31Z</dcterms:modified>
</cp:coreProperties>
</file>