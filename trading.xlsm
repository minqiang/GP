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6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CNI!$W$1:$AC$70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FTR!$W$1:$AC$70</definedName>
    <definedName name="hp?s_GILD" localSheetId="26">GILD!$W$1:$AC$69</definedName>
    <definedName name="hp?s_GM" localSheetId="29">GM!$W$1:$AC$70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8" i="10" l="1"/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D143" i="38"/>
  <c r="E143" i="38"/>
  <c r="G143" i="38"/>
  <c r="H143" i="38"/>
  <c r="K143" i="38"/>
  <c r="L143" i="38" s="1"/>
  <c r="O143" i="38" s="1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D142" i="38"/>
  <c r="E142" i="38"/>
  <c r="G142" i="38"/>
  <c r="H142" i="38"/>
  <c r="K142" i="38"/>
  <c r="L142" i="38" s="1"/>
  <c r="O142" i="38" s="1"/>
  <c r="M142" i="38"/>
  <c r="N142" i="38" s="1"/>
  <c r="H23" i="31" l="1"/>
  <c r="F23" i="31"/>
  <c r="G23" i="31"/>
  <c r="D128" i="38" l="1"/>
  <c r="D129" i="38"/>
  <c r="D130" i="38"/>
  <c r="D131" i="38"/>
  <c r="D132" i="38"/>
  <c r="D133" i="38"/>
  <c r="D134" i="38"/>
  <c r="D135" i="38"/>
  <c r="D136" i="38"/>
  <c r="D137" i="38"/>
  <c r="D138" i="38"/>
  <c r="D139" i="38"/>
  <c r="D140" i="38"/>
  <c r="D141" i="38"/>
  <c r="G131" i="38"/>
  <c r="G132" i="38"/>
  <c r="G133" i="38"/>
  <c r="G134" i="38"/>
  <c r="G135" i="38"/>
  <c r="G136" i="38"/>
  <c r="G137" i="38"/>
  <c r="G138" i="38"/>
  <c r="G139" i="38"/>
  <c r="G140" i="38"/>
  <c r="G141" i="38"/>
  <c r="G5" i="47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Q7" i="48"/>
  <c r="Q3" i="48"/>
  <c r="K2" i="48"/>
  <c r="K4" i="40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K141" i="38"/>
  <c r="M141" i="38"/>
  <c r="N141" i="38"/>
  <c r="H141" i="38"/>
  <c r="E141" i="38"/>
  <c r="O141" i="38" l="1"/>
  <c r="K11" i="4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6" i="10"/>
  <c r="F84" i="10"/>
  <c r="H84" i="10"/>
  <c r="G84" i="10"/>
  <c r="F53" i="10"/>
  <c r="C53" i="10"/>
  <c r="K27" i="10"/>
  <c r="G27" i="41"/>
  <c r="F27" i="41"/>
  <c r="H27" i="41"/>
  <c r="K6" i="41"/>
  <c r="K54" i="25"/>
  <c r="F86" i="25"/>
  <c r="K57" i="25"/>
  <c r="F26" i="41"/>
  <c r="H26" i="41"/>
  <c r="G26" i="41"/>
  <c r="O140" i="38" l="1"/>
  <c r="C25" i="18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M139" i="38"/>
  <c r="N139" i="38" s="1"/>
  <c r="O139" i="38" l="1"/>
  <c r="H14" i="46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M138" i="38"/>
  <c r="N138" i="38" s="1"/>
  <c r="H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O138" i="38" l="1"/>
  <c r="F82" i="10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O137" i="38" l="1"/>
  <c r="N206" i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K136" i="38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H131" i="38"/>
  <c r="E131" i="38"/>
  <c r="O131" i="38" l="1"/>
  <c r="F18" i="46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M130" i="38"/>
  <c r="N130" i="38" s="1"/>
  <c r="O130" i="38" l="1"/>
  <c r="E128" i="38"/>
  <c r="E129" i="38"/>
  <c r="H128" i="38"/>
  <c r="H129" i="38"/>
  <c r="K128" i="38"/>
  <c r="O128" i="38" s="1"/>
  <c r="M128" i="38"/>
  <c r="N128" i="38"/>
  <c r="K129" i="38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O129" i="38" l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O127" i="38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M125" i="38"/>
  <c r="N125" i="38" s="1"/>
  <c r="K36" i="25"/>
  <c r="F71" i="25"/>
  <c r="O125" i="38" l="1"/>
  <c r="H124" i="38"/>
  <c r="E124" i="38"/>
  <c r="K124" i="38"/>
  <c r="L124" i="38" s="1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O123" i="38" l="1"/>
  <c r="M122" i="38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M120" i="38"/>
  <c r="N120" i="38" s="1"/>
  <c r="L120" i="38" l="1"/>
  <c r="O120" i="38" s="1"/>
  <c r="Q6" i="49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O119" i="38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Q5" i="48" l="1"/>
  <c r="Q8" i="48"/>
  <c r="O118" i="3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L115" i="38" s="1"/>
  <c r="M115" i="38"/>
  <c r="N115" i="38" s="1"/>
  <c r="H115" i="38"/>
  <c r="O115" i="38" l="1"/>
  <c r="K114" i="38"/>
  <c r="M114" i="38"/>
  <c r="N114" i="38"/>
  <c r="H114" i="38"/>
  <c r="E114" i="38"/>
  <c r="L114" i="38" l="1"/>
  <c r="O114" i="38" s="1"/>
  <c r="C19" i="5"/>
  <c r="Q2" i="5" l="1"/>
  <c r="H113" i="38"/>
  <c r="E113" i="38"/>
  <c r="K113" i="38"/>
  <c r="L113" i="38" s="1"/>
  <c r="M113" i="38"/>
  <c r="N113" i="38" s="1"/>
  <c r="O113" i="38" l="1"/>
  <c r="E110" i="38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O112" i="38" l="1"/>
  <c r="O110" i="38"/>
  <c r="O111" i="38"/>
  <c r="H109" i="38"/>
  <c r="E109" i="38"/>
  <c r="K109" i="38"/>
  <c r="L109" i="38" s="1"/>
  <c r="M109" i="38"/>
  <c r="N109" i="38" s="1"/>
  <c r="O109" i="38" l="1"/>
  <c r="K108" i="38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M107" i="38"/>
  <c r="N107" i="38" s="1"/>
  <c r="O107" i="38" l="1"/>
  <c r="E106" i="38"/>
  <c r="H106" i="38"/>
  <c r="K106" i="38"/>
  <c r="L106" i="38" s="1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O105" i="38" l="1"/>
  <c r="H104" i="38"/>
  <c r="E104" i="38"/>
  <c r="K104" i="38"/>
  <c r="L104" i="38" s="1"/>
  <c r="M104" i="38"/>
  <c r="N104" i="38" s="1"/>
  <c r="O104" i="38" l="1"/>
  <c r="K103" i="38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O97" i="38" l="1"/>
  <c r="H96" i="38"/>
  <c r="E96" i="38"/>
  <c r="F66" i="25"/>
  <c r="F65" i="25"/>
  <c r="K96" i="38"/>
  <c r="L96" i="38" s="1"/>
  <c r="M96" i="38"/>
  <c r="N96" i="38" s="1"/>
  <c r="O96" i="38" l="1"/>
  <c r="H95" i="38"/>
  <c r="E95" i="38"/>
  <c r="K95" i="38"/>
  <c r="L95" i="38" s="1"/>
  <c r="M95" i="38"/>
  <c r="N95" i="38" s="1"/>
  <c r="F64" i="25"/>
  <c r="O95" i="38" l="1"/>
  <c r="H94" i="38"/>
  <c r="E94" i="38"/>
  <c r="K94" i="38" l="1"/>
  <c r="L94" i="38" s="1"/>
  <c r="M94" i="38"/>
  <c r="N94" i="38" s="1"/>
  <c r="F63" i="25"/>
  <c r="K15" i="7"/>
  <c r="F48" i="7"/>
  <c r="O94" i="38" l="1"/>
  <c r="E93" i="38"/>
  <c r="H93" i="38"/>
  <c r="K93" i="38"/>
  <c r="L93" i="38" s="1"/>
  <c r="M93" i="38"/>
  <c r="N93" i="38" s="1"/>
  <c r="O93" i="38" l="1"/>
  <c r="K92" i="38"/>
  <c r="L92" i="38" s="1"/>
  <c r="M92" i="38"/>
  <c r="N92" i="38" s="1"/>
  <c r="H92" i="38"/>
  <c r="E92" i="38"/>
  <c r="K17" i="10"/>
  <c r="K30" i="25"/>
  <c r="F62" i="25"/>
  <c r="K31" i="25"/>
  <c r="O92" i="38" l="1"/>
  <c r="K91" i="38"/>
  <c r="L91" i="38" s="1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M85" i="38"/>
  <c r="N85" i="38" s="1"/>
  <c r="O87" i="38"/>
  <c r="Q2" i="40"/>
  <c r="Q3" i="40" s="1"/>
  <c r="G103" i="17"/>
  <c r="F66" i="17"/>
  <c r="K23" i="17"/>
  <c r="L85" i="38" l="1"/>
  <c r="O85" i="38" s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O84" i="38" l="1"/>
  <c r="H83" i="38"/>
  <c r="E83" i="38"/>
  <c r="K83" i="38"/>
  <c r="L83" i="38" s="1"/>
  <c r="M83" i="38"/>
  <c r="N83" i="38" s="1"/>
  <c r="K26" i="25"/>
  <c r="H97" i="17"/>
  <c r="G97" i="17"/>
  <c r="K20" i="17"/>
  <c r="O83" i="38" l="1"/>
  <c r="H82" i="38"/>
  <c r="E82" i="38"/>
  <c r="K82" i="38"/>
  <c r="L82" i="38" s="1"/>
  <c r="M82" i="38"/>
  <c r="N82" i="38" s="1"/>
  <c r="H96" i="17"/>
  <c r="G96" i="17"/>
  <c r="F62" i="17"/>
  <c r="F55" i="25"/>
  <c r="O82" i="38" l="1"/>
  <c r="M12" i="14"/>
  <c r="M2" i="14"/>
  <c r="K81" i="38" l="1"/>
  <c r="L81" i="38" s="1"/>
  <c r="M81" i="38"/>
  <c r="N81" i="38" s="1"/>
  <c r="E81" i="38"/>
  <c r="H81" i="38"/>
  <c r="O81" i="38" l="1"/>
  <c r="G17" i="32"/>
  <c r="H17" i="32"/>
  <c r="F54" i="25"/>
  <c r="H80" i="38" l="1"/>
  <c r="E80" i="38"/>
  <c r="K80" i="38"/>
  <c r="L80" i="38" s="1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O77" i="38" l="1"/>
  <c r="K7" i="18"/>
  <c r="H76" i="38"/>
  <c r="E76" i="38"/>
  <c r="K76" i="38"/>
  <c r="L76" i="38" s="1"/>
  <c r="M76" i="38"/>
  <c r="N76" i="38" s="1"/>
  <c r="O76" i="38" l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L73" i="38" s="1"/>
  <c r="M73" i="38"/>
  <c r="N73" i="38" s="1"/>
  <c r="H73" i="38"/>
  <c r="E73" i="38"/>
  <c r="O73" i="38" l="1"/>
  <c r="E72" i="38" l="1"/>
  <c r="H72" i="38"/>
  <c r="K72" i="38"/>
  <c r="L72" i="38" s="1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L65" i="38" s="1"/>
  <c r="M65" i="38"/>
  <c r="N65" i="38" s="1"/>
  <c r="O65" i="38" l="1"/>
  <c r="K63" i="38"/>
  <c r="L63" i="38" s="1"/>
  <c r="M63" i="38"/>
  <c r="N63" i="38" s="1"/>
  <c r="K64" i="38"/>
  <c r="L64" i="38" s="1"/>
  <c r="M64" i="38"/>
  <c r="N64" i="38" s="1"/>
  <c r="E63" i="38"/>
  <c r="E64" i="38"/>
  <c r="O63" i="38" l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O52" i="38" l="1"/>
  <c r="Q2" i="38"/>
  <c r="N211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O33" i="38" l="1"/>
  <c r="O32" i="38"/>
  <c r="K31" i="38"/>
  <c r="L31" i="38" s="1"/>
  <c r="M31" i="38"/>
  <c r="N31" i="38" s="1"/>
  <c r="F4" i="31"/>
  <c r="F3" i="25"/>
  <c r="K30" i="38"/>
  <c r="L30" i="38" s="1"/>
  <c r="M30" i="38"/>
  <c r="N30" i="38" s="1"/>
  <c r="O30" i="38" l="1"/>
  <c r="O31" i="38"/>
  <c r="M23" i="13"/>
  <c r="F14" i="13"/>
  <c r="K29" i="38"/>
  <c r="L29" i="38" s="1"/>
  <c r="M29" i="38"/>
  <c r="N29" i="38" s="1"/>
  <c r="O29" i="38" l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Q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53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7" i="29" l="1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<sst xmlns="http://schemas.openxmlformats.org/spreadsheetml/2006/main" count="2614" uniqueCount="449">
  <si>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</si>
  <si>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</si>
  <si>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</si>
  <si>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</si>
  <si>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</si>
  <si>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</si>
  <si>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</si>
  <si>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</si>
  <si>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</si>
  <si>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</si>
  <si>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</si>
  <si>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</si>
  <si>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</si>
  <si>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</si>
  <si>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</si>
  <si>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</si>
  <si>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</si>
  <si>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</si>
  <si>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</si>
  <si>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</si>
  <si>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</si>
  <si>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</si>
  <si>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</si>
  <si>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</si>
  <si>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</si>
  <si>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</si>
  <si>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</si>
  <si>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</si>
  <si>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</si>
  <si>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</si>
  <si>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</si>
  <si>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</si>
  <si>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</si>
  <si>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</si>
  <si>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</si>
  <si>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</si>
  <si>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</si>
  <si>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</si>
  <si>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</si>
  <si>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</si>
  <si>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</si>
  <si>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</si>
  <si>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</si>
  <si>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</si>
  <si>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</si>
  <si>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</si>
  <si>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</si>
  <si>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</si>
  <si>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</si>
  <si>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</si>
  <si>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</si>
  <si>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</si>
  <si>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</si>
  <si>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</si>
  <si>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</si>
  <si>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</si>
  <si>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</si>
  <si>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</si>
  <si>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</si>
  <si>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</si>
  <si>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</si>
  <si>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</si>
  <si>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</si>
  <si>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</si>
  <si>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</si>
  <si>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</si>
  <si>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</si>
  <si>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</si>
  <si>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</si>
  <si>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</si>
  <si>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</si>
  <si>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</si>
  <si>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</si>
  <si>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</si>
  <si>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</si>
  <si>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</si>
  <si>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</si>
  <si>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</si>
  <si>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</si>
  <si>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</si>
  <si>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</si>
  <si>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</si>
  <si>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</si>
  <si>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</si>
  <si>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</si>
  <si>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</si>
  <si>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</si>
  <si>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</si>
  <si>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</si>
  <si>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</si>
  <si>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</si>
  <si>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</si>
  <si>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</si>
  <si>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</si>
  <si>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</si>
  <si>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</si>
  <si>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</si>
  <si>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</si>
  <si>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</si>
  <si>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</si>
  <si>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</si>
  <si>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</si>
  <si>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</si>
  <si>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</si>
  <si>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</si>
  <si>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</si>
  <si>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</si>
  <si>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</si>
  <si>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</si>
  <si>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</si>
  <si>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</si>
  <si>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</si>
  <si>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</si>
  <si>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</si>
  <si>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</si>
  <si>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</si>
  <si>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</si>
  <si>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</si>
  <si>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</si>
  <si>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</si>
  <si>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</si>
  <si>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</si>
  <si>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</si>
  <si>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</si>
  <si>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</si>
  <si>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</si>
  <si>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</si>
  <si>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</si>
  <si>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</si>
  <si>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</si>
  <si>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</si>
  <si>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</si>
  <si>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</si>
  <si>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</si>
  <si>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</si>
  <si>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</si>
  <si>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</si>
  <si>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</si>
  <si>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</si>
  <si>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</si>
  <si>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</si>
  <si>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</si>
  <si>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</si>
  <si>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</si>
  <si>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</si>
  <si>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</si>
  <si>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</si>
  <si>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</si>
  <si>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</si>
  <si>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</si>
  <si>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</si>
  <si>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</si>
  <si>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</si>
  <si>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</si>
  <si>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</si>
  <si>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</si>
  <si>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</si>
  <si>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</si>
  <si>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</si>
  <si>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</si>
  <si>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</si>
  <si>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</si>
  <si>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</si>
  <si>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</si>
  <si>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</si>
  <si>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</si>
  <si>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</si>
  <si>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</si>
  <si>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</si>
  <si>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</si>
  <si>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</si>
  <si>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</si>
  <si>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</si>
  <si>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</si>
  <si>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</si>
  <si>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</si>
  <si>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</si>
  <si>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</si>
  <si>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</si>
  <si>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</si>
  <si>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</si>
  <si>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</si>
  <si>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</si>
  <si>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</si>
  <si>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</si>
  <si>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</si>
  <si>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</si>
  <si>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</si>
  <si>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</si>
  <si>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</si>
  <si>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</si>
  <si>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</si>
  <si>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</si>
  <si>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</si>
  <si>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</si>
  <si>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</si>
  <si>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</si>
  <si>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</si>
  <si>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</si>
  <si>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</si>
  <si>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</si>
  <si>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</si>
  <si>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</si>
  <si>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</si>
  <si>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</si>
  <si>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</si>
  <si>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</si>
  <si>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</si>
  <si>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</si>
  <si>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</si>
  <si>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</si>
  <si>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</si>
  <si>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</si>
  <si>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</si>
  <si>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</si>
  <si>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</si>
  <si>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</si>
  <si>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</si>
  <si>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</si>
  <si>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</si>
  <si>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</si>
  <si>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</si>
  <si>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</si>
  <si>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</si>
  <si>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</si>
  <si>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</si>
  <si>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</si>
  <si>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</si>
  <si>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</si>
  <si>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</si>
  <si>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</si>
  <si>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</si>
  <si>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</si>
  <si>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</si>
  <si>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</si>
  <si>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</si>
  <si>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</si>
  <si>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</si>
  <si>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</si>
  <si>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</si>
  <si>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</si>
  <si>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</si>
  <si>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</si>
  <si>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</si>
  <si>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</si>
  <si>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</si>
  <si>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</si>
  <si>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</si>
  <si>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</si>
  <si>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</si>
  <si>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</si>
  <si>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</si>
  <si>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</si>
  <si>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</si>
  <si>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</si>
  <si>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</si>
  <si>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</si>
  <si>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</si>
  <si>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</si>
  <si>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</si>
  <si>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</si>
  <si>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</si>
  <si>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</si>
  <si>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</si>
  <si>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</si>
  <si>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</si>
  <si>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</si>
  <si>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</si>
  <si>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</si>
  <si>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</si>
  <si>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</si>
  <si>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</si>
  <si>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</si>
  <si>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</si>
  <si>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</si>
  <si>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</si>
  <si>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</si>
  <si>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</si>
  <si>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</si>
  <si>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</si>
  <si>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</si>
  <si>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</si>
  <si>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</si>
  <si>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</si>
  <si>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</si>
  <si>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</si>
  <si>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</si>
  <si>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</si>
  <si>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</si>
  <si>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</si>
  <si>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</si>
  <si>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</si>
  <si>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</si>
  <si>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</si>
  <si>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</si>
  <si>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</si>
  <si>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SEO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</si>
  <si>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</si>
  <si>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</si>
  <si>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</si>
  <si>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</si>
  <si>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</si>
  <si>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</si>
  <si>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</si>
  <si>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</si>
  <si>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</si>
  <si>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2.00 (1.64%)</t>
  </si>
  <si>
    <t>0.20 (1.82%)</t>
  </si>
  <si>
    <t>1.76 (4.54%)</t>
  </si>
  <si>
    <t>1.04 (3.40%)</t>
  </si>
  <si>
    <t>1.00 (2.07%)</t>
  </si>
  <si>
    <t>2.36 (3.05%)</t>
  </si>
  <si>
    <t>1.04 (1.42%)</t>
  </si>
  <si>
    <t>1.05 (1.77%)</t>
  </si>
  <si>
    <t>0.12 (1.25%)</t>
  </si>
  <si>
    <t>0.76 (1.85%)</t>
  </si>
  <si>
    <t>1.32 (2.02%)</t>
  </si>
  <si>
    <t>1.76 (1.20%)</t>
  </si>
  <si>
    <t>0.54 (1.11%)</t>
  </si>
  <si>
    <t>1.42 (1.44%)</t>
  </si>
  <si>
    <t>0.42 (7.54%)</t>
  </si>
  <si>
    <t>1.72 (1.97%)</t>
  </si>
  <si>
    <t>0.44 (0.88%)</t>
  </si>
  <si>
    <t>1.52 (4.85%)</t>
  </si>
  <si>
    <t>0.60 (0.43%)</t>
  </si>
  <si>
    <t>1.04 (3.29%)</t>
  </si>
  <si>
    <t>2.56 (2.64%)</t>
  </si>
  <si>
    <t>1.50 (2.99%)</t>
  </si>
  <si>
    <t>30-Mar-16MU Earnings announcement</t>
  </si>
  <si>
    <t>0.282 Dividend</t>
  </si>
  <si>
    <t>3.81 - 7.60</t>
  </si>
  <si>
    <t>83.39 - 121.60</t>
  </si>
  <si>
    <t>10.50 x 100</t>
  </si>
  <si>
    <t>10.54 x 300</t>
  </si>
  <si>
    <t>10.08 - 10.68</t>
  </si>
  <si>
    <t>7.10B</t>
  </si>
  <si>
    <t>13.77 x 500</t>
  </si>
  <si>
    <t>13.86 x 100</t>
  </si>
  <si>
    <t>13.39 - 14.08</t>
  </si>
  <si>
    <t>4.92B</t>
  </si>
  <si>
    <t>10.81 x 700</t>
  </si>
  <si>
    <t>11.35 x 500</t>
  </si>
  <si>
    <t>10.53 - 10.91</t>
  </si>
  <si>
    <t>11.21B</t>
  </si>
  <si>
    <t>38.40 x 1000</t>
  </si>
  <si>
    <t>39.53 x 1000</t>
  </si>
  <si>
    <t>37.88 - 38.62</t>
  </si>
  <si>
    <t>15.98B</t>
  </si>
  <si>
    <t>30.84 x 100</t>
  </si>
  <si>
    <t>30.88 x 2000</t>
  </si>
  <si>
    <t>30.67 - 31.04</t>
  </si>
  <si>
    <t>145.81B</t>
  </si>
  <si>
    <t>46.91 x 400</t>
  </si>
  <si>
    <t>47.30 x 400</t>
  </si>
  <si>
    <t>46.23 - 48.21</t>
  </si>
  <si>
    <t>14.82B</t>
  </si>
  <si>
    <t>73.01 x 100</t>
  </si>
  <si>
    <t>76.49 x 100</t>
  </si>
  <si>
    <t>75.27 - 77.50</t>
  </si>
  <si>
    <t>22.59B</t>
  </si>
  <si>
    <t>70.52 x 100</t>
  </si>
  <si>
    <t>71.50 x 200</t>
  </si>
  <si>
    <t>69.96 - 71.91</t>
  </si>
  <si>
    <t>13.61B</t>
  </si>
  <si>
    <t>58.25 x 400</t>
  </si>
  <si>
    <t>61.48 x 200</t>
  </si>
  <si>
    <t>59.49 - 60.74</t>
  </si>
  <si>
    <t>47.37B</t>
  </si>
  <si>
    <t>9.41 x 2200</t>
  </si>
  <si>
    <t>9.42 x 1300</t>
  </si>
  <si>
    <t>9.12 - 9.52</t>
  </si>
  <si>
    <t>12.39B</t>
  </si>
  <si>
    <t>23.26 x 100</t>
  </si>
  <si>
    <t>23.40 x 300</t>
  </si>
  <si>
    <t>22.89 - 23.54</t>
  </si>
  <si>
    <t>2.98B</t>
  </si>
  <si>
    <t>36.46 x 100</t>
  </si>
  <si>
    <t>43.25 x 100</t>
  </si>
  <si>
    <t>38.82 - 39.87</t>
  </si>
  <si>
    <t>10.65B</t>
  </si>
  <si>
    <t>57.98 x 400</t>
  </si>
  <si>
    <t>58.99 x 100</t>
  </si>
  <si>
    <t>56.73 - 58.50</t>
  </si>
  <si>
    <t>10.43B</t>
  </si>
  <si>
    <t>61.52 x 100</t>
  </si>
  <si>
    <t>67.83 x 100</t>
  </si>
  <si>
    <t>64.33 - 64.92</t>
  </si>
  <si>
    <t>24.41B</t>
  </si>
  <si>
    <t>26.20 x 300</t>
  </si>
  <si>
    <t>26.40 x 200</t>
  </si>
  <si>
    <t>25.15 - 26.75</t>
  </si>
  <si>
    <t>2.57B</t>
  </si>
  <si>
    <t>9.30 x 700</t>
  </si>
  <si>
    <t>9.31 x 200</t>
  </si>
  <si>
    <t>9.28 - 9.33</t>
  </si>
  <si>
    <t>1.62B</t>
  </si>
  <si>
    <t>0.16 (1.73%)</t>
  </si>
  <si>
    <t>141.41 x 200</t>
  </si>
  <si>
    <t>145.00 x 100</t>
  </si>
  <si>
    <t>140.47 - 142.53</t>
  </si>
  <si>
    <t>39.25B</t>
  </si>
  <si>
    <t>46.51 x 500</t>
  </si>
  <si>
    <t>46.81 x 200</t>
  </si>
  <si>
    <t>46.22 - 46.94</t>
  </si>
  <si>
    <t>36.77B</t>
  </si>
  <si>
    <t>97.56 x 300</t>
  </si>
  <si>
    <t>97.79 x 500</t>
  </si>
  <si>
    <t>96.81 - 98.24</t>
  </si>
  <si>
    <t>159.34B</t>
  </si>
  <si>
    <t>5.12 x 2000</t>
  </si>
  <si>
    <t>5.15 x 100</t>
  </si>
  <si>
    <t>5.11 - 5.38</t>
  </si>
  <si>
    <t>6.04B</t>
  </si>
  <si>
    <t>87.63 x 100</t>
  </si>
  <si>
    <t>88.10 x 1600</t>
  </si>
  <si>
    <t>87.43 - 89.25</t>
  </si>
  <si>
    <t>124.89B</t>
  </si>
  <si>
    <t>53.55 x 100</t>
  </si>
  <si>
    <t>48.50 - 49.52</t>
  </si>
  <si>
    <t>3.06B</t>
  </si>
  <si>
    <t>30.41 x 300</t>
  </si>
  <si>
    <t>30.56 x 100</t>
  </si>
  <si>
    <t>30.20 - 30.63</t>
  </si>
  <si>
    <t>47.17B</t>
  </si>
  <si>
    <t>0.38 Dividend</t>
  </si>
  <si>
    <t>128.00 x 100</t>
  </si>
  <si>
    <t>140.27 x 200</t>
  </si>
  <si>
    <t>137.47 - 140.27</t>
  </si>
  <si>
    <t>55.14B</t>
  </si>
  <si>
    <t>27.84 x 100</t>
  </si>
  <si>
    <t>31.19 x 300</t>
  </si>
  <si>
    <t>30.26 - 30.95</t>
  </si>
  <si>
    <t>2.53B</t>
  </si>
  <si>
    <t>93.42 x 100</t>
  </si>
  <si>
    <t>96.98 x 100</t>
  </si>
  <si>
    <t>96.40 - 97.48</t>
  </si>
  <si>
    <t>80.80B</t>
  </si>
  <si>
    <t>120.00 x 300</t>
  </si>
  <si>
    <t>121.68 x 1400</t>
  </si>
  <si>
    <t>120.45 - 122.12</t>
  </si>
  <si>
    <t>115.13B</t>
  </si>
  <si>
    <t>252.00 x 100</t>
  </si>
  <si>
    <t>255.47 x 100</t>
  </si>
  <si>
    <t>252.38 - 263.28</t>
  </si>
  <si>
    <t>55.91B</t>
  </si>
  <si>
    <t>48.76 x 200</t>
  </si>
  <si>
    <t>48.99 x 200</t>
  </si>
  <si>
    <t>48.51 - 49.50</t>
  </si>
  <si>
    <t>248.44B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</si>
</sst>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0" fontId="44" fillId="0" borderId="0" xfId="0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284437.51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3640"/>
        <c:axId val="304760896"/>
      </c:scatterChart>
      <c:valAx>
        <c:axId val="30476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0896"/>
        <c:crosses val="autoZero"/>
        <c:crossBetween val="midCat"/>
      </c:valAx>
      <c:valAx>
        <c:axId val="3047608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-115562.48999999999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4032"/>
        <c:axId val="304761288"/>
      </c:scatterChart>
      <c:valAx>
        <c:axId val="30476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1288"/>
        <c:crosses val="autoZero"/>
        <c:crossBetween val="midCat"/>
      </c:valAx>
      <c:valAx>
        <c:axId val="3047612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61680"/>
        <c:axId val="304762072"/>
      </c:scatterChart>
      <c:valAx>
        <c:axId val="30476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2072"/>
        <c:crosses val="autoZero"/>
        <c:crossBetween val="midCat"/>
      </c:valAx>
      <c:valAx>
        <c:axId val="30476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10.48</c:v>
                </c:pt>
                <c:pt idx="1">
                  <c:v>10.119999999999999</c:v>
                </c:pt>
                <c:pt idx="2">
                  <c:v>11.03</c:v>
                </c:pt>
                <c:pt idx="3">
                  <c:v>11</c:v>
                </c:pt>
                <c:pt idx="4">
                  <c:v>9.9700000000000006</c:v>
                </c:pt>
                <c:pt idx="5">
                  <c:v>9.1</c:v>
                </c:pt>
                <c:pt idx="6">
                  <c:v>7.96</c:v>
                </c:pt>
                <c:pt idx="7">
                  <c:v>8.2100000000000009</c:v>
                </c:pt>
                <c:pt idx="8">
                  <c:v>8.0299999999999994</c:v>
                </c:pt>
                <c:pt idx="9">
                  <c:v>7.39</c:v>
                </c:pt>
                <c:pt idx="10">
                  <c:v>7.22</c:v>
                </c:pt>
                <c:pt idx="11">
                  <c:v>7.03</c:v>
                </c:pt>
                <c:pt idx="12">
                  <c:v>7.49</c:v>
                </c:pt>
                <c:pt idx="13">
                  <c:v>6.73</c:v>
                </c:pt>
                <c:pt idx="14">
                  <c:v>6.93</c:v>
                </c:pt>
                <c:pt idx="15">
                  <c:v>7.41</c:v>
                </c:pt>
                <c:pt idx="16">
                  <c:v>7.4</c:v>
                </c:pt>
                <c:pt idx="17">
                  <c:v>7.49</c:v>
                </c:pt>
                <c:pt idx="19">
                  <c:v>7.06</c:v>
                </c:pt>
                <c:pt idx="20">
                  <c:v>7.13</c:v>
                </c:pt>
                <c:pt idx="21">
                  <c:v>7.29</c:v>
                </c:pt>
                <c:pt idx="22">
                  <c:v>7.82</c:v>
                </c:pt>
                <c:pt idx="23">
                  <c:v>8.4600000000000009</c:v>
                </c:pt>
                <c:pt idx="24">
                  <c:v>9.19</c:v>
                </c:pt>
                <c:pt idx="25">
                  <c:v>9.42</c:v>
                </c:pt>
                <c:pt idx="26">
                  <c:v>8.74</c:v>
                </c:pt>
                <c:pt idx="27">
                  <c:v>9.74</c:v>
                </c:pt>
                <c:pt idx="28">
                  <c:v>9.73</c:v>
                </c:pt>
                <c:pt idx="29">
                  <c:v>9.17</c:v>
                </c:pt>
                <c:pt idx="30">
                  <c:v>8.75</c:v>
                </c:pt>
                <c:pt idx="31">
                  <c:v>8.4499999999999993</c:v>
                </c:pt>
                <c:pt idx="32">
                  <c:v>8.14</c:v>
                </c:pt>
                <c:pt idx="33">
                  <c:v>9.02</c:v>
                </c:pt>
                <c:pt idx="34">
                  <c:v>8.7899999999999991</c:v>
                </c:pt>
                <c:pt idx="35">
                  <c:v>7.86</c:v>
                </c:pt>
                <c:pt idx="36">
                  <c:v>7.68</c:v>
                </c:pt>
                <c:pt idx="37">
                  <c:v>8.14</c:v>
                </c:pt>
                <c:pt idx="38">
                  <c:v>9.07</c:v>
                </c:pt>
                <c:pt idx="39">
                  <c:v>8.5399999999999991</c:v>
                </c:pt>
                <c:pt idx="40">
                  <c:v>9.19</c:v>
                </c:pt>
                <c:pt idx="41">
                  <c:v>9.6199999999999992</c:v>
                </c:pt>
                <c:pt idx="42">
                  <c:v>10.35</c:v>
                </c:pt>
                <c:pt idx="43">
                  <c:v>10.67</c:v>
                </c:pt>
                <c:pt idx="44">
                  <c:v>11.28</c:v>
                </c:pt>
                <c:pt idx="45">
                  <c:v>12.76</c:v>
                </c:pt>
                <c:pt idx="46">
                  <c:v>12.82</c:v>
                </c:pt>
                <c:pt idx="47">
                  <c:v>12.59</c:v>
                </c:pt>
                <c:pt idx="48">
                  <c:v>12.38</c:v>
                </c:pt>
                <c:pt idx="49">
                  <c:v>13.03</c:v>
                </c:pt>
                <c:pt idx="50">
                  <c:v>12.98</c:v>
                </c:pt>
                <c:pt idx="51">
                  <c:v>13.93</c:v>
                </c:pt>
                <c:pt idx="52">
                  <c:v>13.96</c:v>
                </c:pt>
                <c:pt idx="53">
                  <c:v>12.69</c:v>
                </c:pt>
                <c:pt idx="54">
                  <c:v>12.52</c:v>
                </c:pt>
                <c:pt idx="55">
                  <c:v>12.47</c:v>
                </c:pt>
                <c:pt idx="56">
                  <c:v>12.78</c:v>
                </c:pt>
                <c:pt idx="57">
                  <c:v>13.78</c:v>
                </c:pt>
                <c:pt idx="58">
                  <c:v>14.46</c:v>
                </c:pt>
                <c:pt idx="59">
                  <c:v>13.96</c:v>
                </c:pt>
                <c:pt idx="60">
                  <c:v>14.34</c:v>
                </c:pt>
                <c:pt idx="61">
                  <c:v>14.74</c:v>
                </c:pt>
                <c:pt idx="62">
                  <c:v>14.5</c:v>
                </c:pt>
                <c:pt idx="63">
                  <c:v>14.92</c:v>
                </c:pt>
                <c:pt idx="64">
                  <c:v>14.78</c:v>
                </c:pt>
                <c:pt idx="65">
                  <c:v>16.12</c:v>
                </c:pt>
                <c:pt idx="66">
                  <c:v>16.55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64424"/>
        <c:axId val="304764816"/>
      </c:lineChart>
      <c:dateAx>
        <c:axId val="3047644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4816"/>
        <c:crosses val="autoZero"/>
        <c:auto val="1"/>
        <c:lblOffset val="100"/>
        <c:baseTimeUnit val="days"/>
      </c:dateAx>
      <c:valAx>
        <c:axId val="3047648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6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13.79</c:v>
                </c:pt>
                <c:pt idx="1">
                  <c:v>13.52</c:v>
                </c:pt>
                <c:pt idx="2">
                  <c:v>14.19</c:v>
                </c:pt>
                <c:pt idx="3">
                  <c:v>14.14</c:v>
                </c:pt>
                <c:pt idx="4">
                  <c:v>13.88</c:v>
                </c:pt>
                <c:pt idx="5">
                  <c:v>13.3</c:v>
                </c:pt>
                <c:pt idx="6">
                  <c:v>12.82</c:v>
                </c:pt>
                <c:pt idx="7">
                  <c:v>12.56</c:v>
                </c:pt>
                <c:pt idx="8">
                  <c:v>12.37</c:v>
                </c:pt>
                <c:pt idx="9">
                  <c:v>12.52</c:v>
                </c:pt>
                <c:pt idx="10">
                  <c:v>12.56</c:v>
                </c:pt>
                <c:pt idx="11">
                  <c:v>12.21</c:v>
                </c:pt>
                <c:pt idx="12">
                  <c:v>12.3</c:v>
                </c:pt>
                <c:pt idx="13">
                  <c:v>12.21</c:v>
                </c:pt>
                <c:pt idx="14">
                  <c:v>12.99</c:v>
                </c:pt>
                <c:pt idx="15">
                  <c:v>13.09</c:v>
                </c:pt>
                <c:pt idx="16">
                  <c:v>12.99</c:v>
                </c:pt>
                <c:pt idx="17">
                  <c:v>12.35</c:v>
                </c:pt>
                <c:pt idx="18">
                  <c:v>13.21</c:v>
                </c:pt>
                <c:pt idx="19">
                  <c:v>14.37</c:v>
                </c:pt>
                <c:pt idx="20">
                  <c:v>14.58</c:v>
                </c:pt>
                <c:pt idx="21">
                  <c:v>14.14</c:v>
                </c:pt>
                <c:pt idx="22">
                  <c:v>15.31</c:v>
                </c:pt>
                <c:pt idx="23">
                  <c:v>15.81</c:v>
                </c:pt>
                <c:pt idx="24">
                  <c:v>15.94</c:v>
                </c:pt>
                <c:pt idx="25">
                  <c:v>15.18</c:v>
                </c:pt>
                <c:pt idx="26">
                  <c:v>15.26</c:v>
                </c:pt>
                <c:pt idx="27">
                  <c:v>15.31</c:v>
                </c:pt>
                <c:pt idx="28">
                  <c:v>14.42</c:v>
                </c:pt>
                <c:pt idx="29">
                  <c:v>14.25</c:v>
                </c:pt>
                <c:pt idx="30">
                  <c:v>13.86</c:v>
                </c:pt>
                <c:pt idx="31">
                  <c:v>13.35</c:v>
                </c:pt>
                <c:pt idx="32">
                  <c:v>14.51</c:v>
                </c:pt>
                <c:pt idx="33">
                  <c:v>14.54</c:v>
                </c:pt>
                <c:pt idx="34">
                  <c:v>14.18</c:v>
                </c:pt>
                <c:pt idx="35">
                  <c:v>14.01</c:v>
                </c:pt>
                <c:pt idx="36">
                  <c:v>13.63</c:v>
                </c:pt>
                <c:pt idx="37">
                  <c:v>14.31</c:v>
                </c:pt>
                <c:pt idx="38">
                  <c:v>13.33</c:v>
                </c:pt>
                <c:pt idx="39">
                  <c:v>13.69</c:v>
                </c:pt>
                <c:pt idx="40">
                  <c:v>14.41</c:v>
                </c:pt>
                <c:pt idx="41">
                  <c:v>14.53</c:v>
                </c:pt>
                <c:pt idx="42">
                  <c:v>14.35</c:v>
                </c:pt>
                <c:pt idx="43">
                  <c:v>14.34</c:v>
                </c:pt>
                <c:pt idx="44">
                  <c:v>14.68</c:v>
                </c:pt>
                <c:pt idx="45">
                  <c:v>14.45</c:v>
                </c:pt>
                <c:pt idx="46">
                  <c:v>14.47</c:v>
                </c:pt>
                <c:pt idx="47">
                  <c:v>14.21</c:v>
                </c:pt>
                <c:pt idx="48">
                  <c:v>14.58</c:v>
                </c:pt>
                <c:pt idx="49">
                  <c:v>14.35</c:v>
                </c:pt>
                <c:pt idx="50">
                  <c:v>14.46</c:v>
                </c:pt>
                <c:pt idx="51">
                  <c:v>14.29</c:v>
                </c:pt>
                <c:pt idx="52">
                  <c:v>13.48</c:v>
                </c:pt>
                <c:pt idx="53">
                  <c:v>13.64</c:v>
                </c:pt>
                <c:pt idx="54">
                  <c:v>12.88</c:v>
                </c:pt>
                <c:pt idx="55">
                  <c:v>12.5</c:v>
                </c:pt>
                <c:pt idx="56">
                  <c:v>12.69</c:v>
                </c:pt>
                <c:pt idx="57">
                  <c:v>12.44</c:v>
                </c:pt>
                <c:pt idx="58">
                  <c:v>11.8</c:v>
                </c:pt>
                <c:pt idx="59">
                  <c:v>12.47</c:v>
                </c:pt>
                <c:pt idx="60">
                  <c:v>12.92</c:v>
                </c:pt>
                <c:pt idx="61">
                  <c:v>12.93</c:v>
                </c:pt>
                <c:pt idx="62">
                  <c:v>12.79</c:v>
                </c:pt>
                <c:pt idx="63">
                  <c:v>12.84</c:v>
                </c:pt>
                <c:pt idx="64">
                  <c:v>13.15</c:v>
                </c:pt>
                <c:pt idx="65">
                  <c:v>13.64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9280"/>
        <c:axId val="342707320"/>
      </c:lineChart>
      <c:dateAx>
        <c:axId val="342709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7320"/>
        <c:crosses val="autoZero"/>
        <c:auto val="1"/>
        <c:lblOffset val="100"/>
        <c:baseTimeUnit val="days"/>
      </c:dateAx>
      <c:valAx>
        <c:axId val="3427073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10.81</c:v>
                </c:pt>
                <c:pt idx="1">
                  <c:v>10.66</c:v>
                </c:pt>
                <c:pt idx="2">
                  <c:v>11.58</c:v>
                </c:pt>
                <c:pt idx="3">
                  <c:v>11.88</c:v>
                </c:pt>
                <c:pt idx="4">
                  <c:v>11.79</c:v>
                </c:pt>
                <c:pt idx="5">
                  <c:v>11.68</c:v>
                </c:pt>
                <c:pt idx="6">
                  <c:v>11.07</c:v>
                </c:pt>
                <c:pt idx="7">
                  <c:v>10.63</c:v>
                </c:pt>
                <c:pt idx="8">
                  <c:v>10.7</c:v>
                </c:pt>
                <c:pt idx="9">
                  <c:v>10.72</c:v>
                </c:pt>
                <c:pt idx="10">
                  <c:v>10.64</c:v>
                </c:pt>
                <c:pt idx="11">
                  <c:v>10.49</c:v>
                </c:pt>
                <c:pt idx="12">
                  <c:v>11.05</c:v>
                </c:pt>
                <c:pt idx="13">
                  <c:v>11.16</c:v>
                </c:pt>
                <c:pt idx="14">
                  <c:v>11.49</c:v>
                </c:pt>
                <c:pt idx="15">
                  <c:v>11.43</c:v>
                </c:pt>
                <c:pt idx="16">
                  <c:v>10.81</c:v>
                </c:pt>
                <c:pt idx="17">
                  <c:v>10.02</c:v>
                </c:pt>
                <c:pt idx="18">
                  <c:v>9.69</c:v>
                </c:pt>
                <c:pt idx="19">
                  <c:v>9.9</c:v>
                </c:pt>
                <c:pt idx="20">
                  <c:v>9.98</c:v>
                </c:pt>
                <c:pt idx="21">
                  <c:v>10.17</c:v>
                </c:pt>
                <c:pt idx="22">
                  <c:v>11</c:v>
                </c:pt>
                <c:pt idx="23">
                  <c:v>11.23</c:v>
                </c:pt>
                <c:pt idx="24">
                  <c:v>10.76</c:v>
                </c:pt>
                <c:pt idx="25">
                  <c:v>10.59</c:v>
                </c:pt>
                <c:pt idx="26">
                  <c:v>10.96</c:v>
                </c:pt>
                <c:pt idx="27">
                  <c:v>11.03</c:v>
                </c:pt>
                <c:pt idx="28">
                  <c:v>9.89</c:v>
                </c:pt>
                <c:pt idx="29">
                  <c:v>10.39</c:v>
                </c:pt>
                <c:pt idx="30">
                  <c:v>10.55</c:v>
                </c:pt>
                <c:pt idx="31">
                  <c:v>10.48</c:v>
                </c:pt>
                <c:pt idx="32">
                  <c:v>11.07</c:v>
                </c:pt>
                <c:pt idx="33">
                  <c:v>10.85</c:v>
                </c:pt>
                <c:pt idx="34">
                  <c:v>10.050000000000001</c:v>
                </c:pt>
                <c:pt idx="35">
                  <c:v>10.8</c:v>
                </c:pt>
                <c:pt idx="36">
                  <c:v>11.08</c:v>
                </c:pt>
                <c:pt idx="37">
                  <c:v>12.02</c:v>
                </c:pt>
                <c:pt idx="38">
                  <c:v>12.06</c:v>
                </c:pt>
                <c:pt idx="39">
                  <c:v>12.72</c:v>
                </c:pt>
                <c:pt idx="40">
                  <c:v>12.53</c:v>
                </c:pt>
                <c:pt idx="41">
                  <c:v>13.33</c:v>
                </c:pt>
                <c:pt idx="42">
                  <c:v>13.66</c:v>
                </c:pt>
                <c:pt idx="43">
                  <c:v>14.22</c:v>
                </c:pt>
                <c:pt idx="44">
                  <c:v>14.82</c:v>
                </c:pt>
                <c:pt idx="45">
                  <c:v>14.33</c:v>
                </c:pt>
                <c:pt idx="46">
                  <c:v>14.16</c:v>
                </c:pt>
                <c:pt idx="47">
                  <c:v>14.16</c:v>
                </c:pt>
                <c:pt idx="48">
                  <c:v>14.34</c:v>
                </c:pt>
                <c:pt idx="49">
                  <c:v>14.19</c:v>
                </c:pt>
                <c:pt idx="50">
                  <c:v>14.48</c:v>
                </c:pt>
                <c:pt idx="51">
                  <c:v>14.3</c:v>
                </c:pt>
                <c:pt idx="52">
                  <c:v>14.61</c:v>
                </c:pt>
                <c:pt idx="53">
                  <c:v>14.77</c:v>
                </c:pt>
                <c:pt idx="54">
                  <c:v>14.36</c:v>
                </c:pt>
                <c:pt idx="55">
                  <c:v>14.32</c:v>
                </c:pt>
                <c:pt idx="56">
                  <c:v>14.07</c:v>
                </c:pt>
                <c:pt idx="57">
                  <c:v>14.18</c:v>
                </c:pt>
                <c:pt idx="58">
                  <c:v>13.66</c:v>
                </c:pt>
                <c:pt idx="59">
                  <c:v>14.04</c:v>
                </c:pt>
                <c:pt idx="60">
                  <c:v>14.66</c:v>
                </c:pt>
                <c:pt idx="61">
                  <c:v>14.32</c:v>
                </c:pt>
                <c:pt idx="62">
                  <c:v>14.6</c:v>
                </c:pt>
                <c:pt idx="63">
                  <c:v>14.85</c:v>
                </c:pt>
                <c:pt idx="64">
                  <c:v>15.5</c:v>
                </c:pt>
                <c:pt idx="65">
                  <c:v>15.61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7712"/>
        <c:axId val="342704184"/>
      </c:lineChart>
      <c:dateAx>
        <c:axId val="34270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4184"/>
        <c:crosses val="autoZero"/>
        <c:auto val="1"/>
        <c:lblOffset val="100"/>
        <c:baseTimeUnit val="days"/>
      </c:dateAx>
      <c:valAx>
        <c:axId val="3427041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38.549999999999997</c:v>
                </c:pt>
                <c:pt idx="1">
                  <c:v>37.83</c:v>
                </c:pt>
                <c:pt idx="2">
                  <c:v>38.92</c:v>
                </c:pt>
                <c:pt idx="3">
                  <c:v>38.729999999999997</c:v>
                </c:pt>
                <c:pt idx="4">
                  <c:v>38.31</c:v>
                </c:pt>
                <c:pt idx="5">
                  <c:v>36.78</c:v>
                </c:pt>
                <c:pt idx="6">
                  <c:v>36.64</c:v>
                </c:pt>
                <c:pt idx="7">
                  <c:v>35.700000000000003</c:v>
                </c:pt>
                <c:pt idx="8">
                  <c:v>35.24</c:v>
                </c:pt>
                <c:pt idx="9">
                  <c:v>34.79</c:v>
                </c:pt>
                <c:pt idx="10">
                  <c:v>34.71</c:v>
                </c:pt>
                <c:pt idx="11">
                  <c:v>34.19</c:v>
                </c:pt>
                <c:pt idx="12">
                  <c:v>34.35</c:v>
                </c:pt>
                <c:pt idx="13">
                  <c:v>34.01</c:v>
                </c:pt>
                <c:pt idx="14">
                  <c:v>35.32</c:v>
                </c:pt>
                <c:pt idx="15">
                  <c:v>35.58</c:v>
                </c:pt>
                <c:pt idx="16">
                  <c:v>35.1</c:v>
                </c:pt>
                <c:pt idx="17">
                  <c:v>34.159999999999997</c:v>
                </c:pt>
                <c:pt idx="18">
                  <c:v>33.119999999999997</c:v>
                </c:pt>
                <c:pt idx="20">
                  <c:v>34.78</c:v>
                </c:pt>
                <c:pt idx="21">
                  <c:v>35.130000000000003</c:v>
                </c:pt>
                <c:pt idx="22">
                  <c:v>34.36</c:v>
                </c:pt>
                <c:pt idx="23">
                  <c:v>34.97</c:v>
                </c:pt>
                <c:pt idx="24">
                  <c:v>35.07</c:v>
                </c:pt>
                <c:pt idx="25">
                  <c:v>34.17</c:v>
                </c:pt>
                <c:pt idx="26">
                  <c:v>33.86</c:v>
                </c:pt>
                <c:pt idx="27">
                  <c:v>34.090000000000003</c:v>
                </c:pt>
                <c:pt idx="28">
                  <c:v>34.21</c:v>
                </c:pt>
                <c:pt idx="29">
                  <c:v>32.65</c:v>
                </c:pt>
                <c:pt idx="30">
                  <c:v>32.909999999999997</c:v>
                </c:pt>
                <c:pt idx="31">
                  <c:v>32.869999999999997</c:v>
                </c:pt>
                <c:pt idx="32">
                  <c:v>32.58</c:v>
                </c:pt>
                <c:pt idx="33">
                  <c:v>36.450000000000003</c:v>
                </c:pt>
                <c:pt idx="34">
                  <c:v>35.46</c:v>
                </c:pt>
                <c:pt idx="35">
                  <c:v>35.29</c:v>
                </c:pt>
                <c:pt idx="36">
                  <c:v>35.64</c:v>
                </c:pt>
                <c:pt idx="37">
                  <c:v>36.42</c:v>
                </c:pt>
                <c:pt idx="38">
                  <c:v>36.54</c:v>
                </c:pt>
                <c:pt idx="39">
                  <c:v>36.049999999999997</c:v>
                </c:pt>
                <c:pt idx="40">
                  <c:v>36.35</c:v>
                </c:pt>
                <c:pt idx="41">
                  <c:v>36.4</c:v>
                </c:pt>
                <c:pt idx="42">
                  <c:v>35.9</c:v>
                </c:pt>
                <c:pt idx="43">
                  <c:v>36.29</c:v>
                </c:pt>
                <c:pt idx="44">
                  <c:v>37.39</c:v>
                </c:pt>
                <c:pt idx="45">
                  <c:v>37.99</c:v>
                </c:pt>
                <c:pt idx="46">
                  <c:v>37.67</c:v>
                </c:pt>
                <c:pt idx="47">
                  <c:v>37.700000000000003</c:v>
                </c:pt>
                <c:pt idx="48">
                  <c:v>38.200000000000003</c:v>
                </c:pt>
                <c:pt idx="49">
                  <c:v>38.65</c:v>
                </c:pt>
                <c:pt idx="50">
                  <c:v>38.119999999999997</c:v>
                </c:pt>
                <c:pt idx="51">
                  <c:v>38.520000000000003</c:v>
                </c:pt>
                <c:pt idx="52">
                  <c:v>38.33</c:v>
                </c:pt>
                <c:pt idx="53">
                  <c:v>37.65</c:v>
                </c:pt>
                <c:pt idx="54">
                  <c:v>37.299999999999997</c:v>
                </c:pt>
                <c:pt idx="55">
                  <c:v>36.799999999999997</c:v>
                </c:pt>
                <c:pt idx="56">
                  <c:v>37.72</c:v>
                </c:pt>
                <c:pt idx="57">
                  <c:v>38.58</c:v>
                </c:pt>
                <c:pt idx="58">
                  <c:v>38.159999999999997</c:v>
                </c:pt>
                <c:pt idx="59">
                  <c:v>37.57</c:v>
                </c:pt>
                <c:pt idx="60">
                  <c:v>38.130000000000003</c:v>
                </c:pt>
                <c:pt idx="61">
                  <c:v>38.76</c:v>
                </c:pt>
                <c:pt idx="62">
                  <c:v>39.4</c:v>
                </c:pt>
                <c:pt idx="63">
                  <c:v>39.299999999999997</c:v>
                </c:pt>
                <c:pt idx="64">
                  <c:v>39.78</c:v>
                </c:pt>
                <c:pt idx="65">
                  <c:v>40.229999999999997</c:v>
                </c:pt>
                <c:pt idx="66">
                  <c:v>39.61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9672"/>
        <c:axId val="342710064"/>
      </c:lineChart>
      <c:dateAx>
        <c:axId val="34270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10064"/>
        <c:crosses val="autoZero"/>
        <c:auto val="1"/>
        <c:lblOffset val="100"/>
        <c:baseTimeUnit val="days"/>
      </c:dateAx>
      <c:valAx>
        <c:axId val="3427100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30.87</c:v>
                </c:pt>
                <c:pt idx="1">
                  <c:v>30.56</c:v>
                </c:pt>
                <c:pt idx="2">
                  <c:v>30.94</c:v>
                </c:pt>
                <c:pt idx="3">
                  <c:v>30.63</c:v>
                </c:pt>
                <c:pt idx="4">
                  <c:v>30.58</c:v>
                </c:pt>
                <c:pt idx="5">
                  <c:v>30.54</c:v>
                </c:pt>
                <c:pt idx="6">
                  <c:v>30.37</c:v>
                </c:pt>
                <c:pt idx="7">
                  <c:v>29.59</c:v>
                </c:pt>
                <c:pt idx="8">
                  <c:v>29.8</c:v>
                </c:pt>
                <c:pt idx="9">
                  <c:v>29.62</c:v>
                </c:pt>
                <c:pt idx="10">
                  <c:v>29.19</c:v>
                </c:pt>
                <c:pt idx="11">
                  <c:v>28.8</c:v>
                </c:pt>
                <c:pt idx="12">
                  <c:v>29.35</c:v>
                </c:pt>
                <c:pt idx="13">
                  <c:v>28.71</c:v>
                </c:pt>
                <c:pt idx="14">
                  <c:v>29.42</c:v>
                </c:pt>
                <c:pt idx="15">
                  <c:v>29.47</c:v>
                </c:pt>
                <c:pt idx="16">
                  <c:v>28.78</c:v>
                </c:pt>
                <c:pt idx="17">
                  <c:v>28.64</c:v>
                </c:pt>
                <c:pt idx="18">
                  <c:v>28.22</c:v>
                </c:pt>
                <c:pt idx="19">
                  <c:v>28.23</c:v>
                </c:pt>
                <c:pt idx="20">
                  <c:v>28.81</c:v>
                </c:pt>
                <c:pt idx="21">
                  <c:v>28.82</c:v>
                </c:pt>
                <c:pt idx="22">
                  <c:v>29.04</c:v>
                </c:pt>
                <c:pt idx="23">
                  <c:v>29.77</c:v>
                </c:pt>
                <c:pt idx="24">
                  <c:v>29.34</c:v>
                </c:pt>
                <c:pt idx="26">
                  <c:v>29.8</c:v>
                </c:pt>
                <c:pt idx="27">
                  <c:v>30.82</c:v>
                </c:pt>
                <c:pt idx="28">
                  <c:v>31.02</c:v>
                </c:pt>
                <c:pt idx="29">
                  <c:v>29.97</c:v>
                </c:pt>
                <c:pt idx="30">
                  <c:v>29.81</c:v>
                </c:pt>
                <c:pt idx="31">
                  <c:v>29.94</c:v>
                </c:pt>
                <c:pt idx="32">
                  <c:v>29.6</c:v>
                </c:pt>
                <c:pt idx="33">
                  <c:v>29.93</c:v>
                </c:pt>
                <c:pt idx="34">
                  <c:v>29.66</c:v>
                </c:pt>
                <c:pt idx="35">
                  <c:v>29.59</c:v>
                </c:pt>
                <c:pt idx="36">
                  <c:v>29.8</c:v>
                </c:pt>
                <c:pt idx="37">
                  <c:v>29.76</c:v>
                </c:pt>
                <c:pt idx="38">
                  <c:v>32.74</c:v>
                </c:pt>
                <c:pt idx="39">
                  <c:v>31.91</c:v>
                </c:pt>
                <c:pt idx="40">
                  <c:v>32.68</c:v>
                </c:pt>
                <c:pt idx="41">
                  <c:v>32.06</c:v>
                </c:pt>
                <c:pt idx="42">
                  <c:v>31.51</c:v>
                </c:pt>
                <c:pt idx="43">
                  <c:v>31.84</c:v>
                </c:pt>
                <c:pt idx="44">
                  <c:v>33.08</c:v>
                </c:pt>
                <c:pt idx="45">
                  <c:v>33.83</c:v>
                </c:pt>
                <c:pt idx="46">
                  <c:v>33.99</c:v>
                </c:pt>
                <c:pt idx="47">
                  <c:v>34.450000000000003</c:v>
                </c:pt>
                <c:pt idx="48">
                  <c:v>34.99</c:v>
                </c:pt>
                <c:pt idx="49">
                  <c:v>35.44</c:v>
                </c:pt>
                <c:pt idx="50">
                  <c:v>34.93</c:v>
                </c:pt>
                <c:pt idx="51">
                  <c:v>34.979999999999997</c:v>
                </c:pt>
                <c:pt idx="52">
                  <c:v>35</c:v>
                </c:pt>
                <c:pt idx="53">
                  <c:v>34.729999999999997</c:v>
                </c:pt>
                <c:pt idx="54">
                  <c:v>34.24</c:v>
                </c:pt>
                <c:pt idx="55">
                  <c:v>33.869999999999997</c:v>
                </c:pt>
                <c:pt idx="56">
                  <c:v>34.909999999999997</c:v>
                </c:pt>
                <c:pt idx="57">
                  <c:v>35.299999999999997</c:v>
                </c:pt>
                <c:pt idx="58">
                  <c:v>35.18</c:v>
                </c:pt>
                <c:pt idx="59">
                  <c:v>34.47</c:v>
                </c:pt>
                <c:pt idx="60">
                  <c:v>34.270000000000003</c:v>
                </c:pt>
                <c:pt idx="61">
                  <c:v>34.770000000000003</c:v>
                </c:pt>
                <c:pt idx="62">
                  <c:v>34.81</c:v>
                </c:pt>
                <c:pt idx="63">
                  <c:v>34.75</c:v>
                </c:pt>
                <c:pt idx="64">
                  <c:v>34.99</c:v>
                </c:pt>
                <c:pt idx="65">
                  <c:v>34.94</c:v>
                </c:pt>
                <c:pt idx="66">
                  <c:v>34.04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04576"/>
        <c:axId val="342705360"/>
      </c:lineChart>
      <c:catAx>
        <c:axId val="34270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5360"/>
        <c:crosses val="autoZero"/>
        <c:auto val="1"/>
        <c:lblAlgn val="ctr"/>
        <c:lblOffset val="100"/>
        <c:noMultiLvlLbl val="0"/>
      </c:catAx>
      <c:valAx>
        <c:axId val="342705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47.08</c:v>
                </c:pt>
                <c:pt idx="1">
                  <c:v>46.76</c:v>
                </c:pt>
                <c:pt idx="2">
                  <c:v>49.28</c:v>
                </c:pt>
                <c:pt idx="3">
                  <c:v>48.39</c:v>
                </c:pt>
                <c:pt idx="4">
                  <c:v>48</c:v>
                </c:pt>
                <c:pt idx="5">
                  <c:v>46.92</c:v>
                </c:pt>
                <c:pt idx="6">
                  <c:v>44.31</c:v>
                </c:pt>
                <c:pt idx="7">
                  <c:v>43.6</c:v>
                </c:pt>
                <c:pt idx="8">
                  <c:v>43.07</c:v>
                </c:pt>
                <c:pt idx="9">
                  <c:v>41.58</c:v>
                </c:pt>
                <c:pt idx="10">
                  <c:v>41.7</c:v>
                </c:pt>
                <c:pt idx="11">
                  <c:v>41.92</c:v>
                </c:pt>
                <c:pt idx="12">
                  <c:v>44.58</c:v>
                </c:pt>
                <c:pt idx="13">
                  <c:v>42.31</c:v>
                </c:pt>
                <c:pt idx="14">
                  <c:v>42.07</c:v>
                </c:pt>
                <c:pt idx="15">
                  <c:v>43.47</c:v>
                </c:pt>
                <c:pt idx="16">
                  <c:v>40.840000000000003</c:v>
                </c:pt>
                <c:pt idx="17">
                  <c:v>40.11</c:v>
                </c:pt>
                <c:pt idx="18">
                  <c:v>38.93</c:v>
                </c:pt>
                <c:pt idx="19">
                  <c:v>39.29</c:v>
                </c:pt>
                <c:pt idx="20">
                  <c:v>38.700000000000003</c:v>
                </c:pt>
                <c:pt idx="21">
                  <c:v>38.99</c:v>
                </c:pt>
                <c:pt idx="22">
                  <c:v>38.020000000000003</c:v>
                </c:pt>
                <c:pt idx="23">
                  <c:v>43.47</c:v>
                </c:pt>
                <c:pt idx="24">
                  <c:v>42.99</c:v>
                </c:pt>
                <c:pt idx="25">
                  <c:v>39.36</c:v>
                </c:pt>
                <c:pt idx="26">
                  <c:v>41.76</c:v>
                </c:pt>
                <c:pt idx="27">
                  <c:v>42.5</c:v>
                </c:pt>
                <c:pt idx="28">
                  <c:v>40.340000000000003</c:v>
                </c:pt>
                <c:pt idx="29">
                  <c:v>36.85</c:v>
                </c:pt>
                <c:pt idx="30">
                  <c:v>34.81</c:v>
                </c:pt>
                <c:pt idx="31">
                  <c:v>34.380000000000003</c:v>
                </c:pt>
                <c:pt idx="32">
                  <c:v>38.33</c:v>
                </c:pt>
                <c:pt idx="33">
                  <c:v>37.619999999999997</c:v>
                </c:pt>
                <c:pt idx="34">
                  <c:v>35.21</c:v>
                </c:pt>
                <c:pt idx="35">
                  <c:v>36.53</c:v>
                </c:pt>
                <c:pt idx="36">
                  <c:v>38.72</c:v>
                </c:pt>
                <c:pt idx="37">
                  <c:v>39.96</c:v>
                </c:pt>
                <c:pt idx="38">
                  <c:v>38.590000000000003</c:v>
                </c:pt>
                <c:pt idx="39">
                  <c:v>39.6</c:v>
                </c:pt>
                <c:pt idx="40">
                  <c:v>41.69</c:v>
                </c:pt>
                <c:pt idx="41">
                  <c:v>43.58</c:v>
                </c:pt>
                <c:pt idx="42">
                  <c:v>43.62</c:v>
                </c:pt>
                <c:pt idx="43">
                  <c:v>45.07</c:v>
                </c:pt>
                <c:pt idx="44">
                  <c:v>48.07</c:v>
                </c:pt>
                <c:pt idx="45">
                  <c:v>48.18</c:v>
                </c:pt>
                <c:pt idx="46">
                  <c:v>48.48</c:v>
                </c:pt>
                <c:pt idx="47">
                  <c:v>48.17</c:v>
                </c:pt>
                <c:pt idx="48">
                  <c:v>49.36</c:v>
                </c:pt>
                <c:pt idx="49">
                  <c:v>48.99</c:v>
                </c:pt>
                <c:pt idx="50">
                  <c:v>50.57</c:v>
                </c:pt>
                <c:pt idx="51">
                  <c:v>51.27</c:v>
                </c:pt>
                <c:pt idx="52">
                  <c:v>48.48</c:v>
                </c:pt>
                <c:pt idx="53">
                  <c:v>47.44</c:v>
                </c:pt>
                <c:pt idx="54">
                  <c:v>48.5</c:v>
                </c:pt>
                <c:pt idx="55">
                  <c:v>49.2</c:v>
                </c:pt>
                <c:pt idx="56">
                  <c:v>50.92</c:v>
                </c:pt>
                <c:pt idx="57">
                  <c:v>51.73</c:v>
                </c:pt>
                <c:pt idx="59">
                  <c:v>50.12</c:v>
                </c:pt>
                <c:pt idx="60">
                  <c:v>50.43</c:v>
                </c:pt>
                <c:pt idx="61">
                  <c:v>52.48</c:v>
                </c:pt>
                <c:pt idx="62">
                  <c:v>51.97</c:v>
                </c:pt>
                <c:pt idx="63">
                  <c:v>51.95</c:v>
                </c:pt>
                <c:pt idx="64">
                  <c:v>53</c:v>
                </c:pt>
                <c:pt idx="65">
                  <c:v>54.9</c:v>
                </c:pt>
                <c:pt idx="66">
                  <c:v>55.56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38440"/>
        <c:axId val="379635304"/>
      </c:lineChart>
      <c:dateAx>
        <c:axId val="37963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5304"/>
        <c:crosses val="autoZero"/>
        <c:auto val="1"/>
        <c:lblOffset val="100"/>
        <c:baseTimeUnit val="days"/>
      </c:dateAx>
      <c:valAx>
        <c:axId val="379635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25-Feb-16</c:v>
                </c:pt>
                <c:pt idx="11">
                  <c:v>24-Feb-16</c:v>
                </c:pt>
                <c:pt idx="12">
                  <c:v>23-Feb-16</c:v>
                </c:pt>
                <c:pt idx="13">
                  <c:v>22-Feb-16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42411.00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80.14</c:v>
                </c:pt>
                <c:pt idx="1">
                  <c:v>78.25</c:v>
                </c:pt>
                <c:pt idx="2">
                  <c:v>81.45</c:v>
                </c:pt>
                <c:pt idx="3">
                  <c:v>80.5</c:v>
                </c:pt>
                <c:pt idx="4">
                  <c:v>80.010000000000005</c:v>
                </c:pt>
                <c:pt idx="5">
                  <c:v>79.5</c:v>
                </c:pt>
                <c:pt idx="6">
                  <c:v>80.12</c:v>
                </c:pt>
                <c:pt idx="7">
                  <c:v>78.86</c:v>
                </c:pt>
                <c:pt idx="8">
                  <c:v>80</c:v>
                </c:pt>
                <c:pt idx="9">
                  <c:v>79.319999999999993</c:v>
                </c:pt>
                <c:pt idx="11">
                  <c:v>80.09</c:v>
                </c:pt>
                <c:pt idx="12">
                  <c:v>78.95</c:v>
                </c:pt>
                <c:pt idx="13">
                  <c:v>81.61</c:v>
                </c:pt>
                <c:pt idx="14">
                  <c:v>79.900000000000006</c:v>
                </c:pt>
                <c:pt idx="15">
                  <c:v>78.66</c:v>
                </c:pt>
                <c:pt idx="16">
                  <c:v>79.959999999999994</c:v>
                </c:pt>
                <c:pt idx="17">
                  <c:v>79.37</c:v>
                </c:pt>
                <c:pt idx="18">
                  <c:v>77.2</c:v>
                </c:pt>
                <c:pt idx="19">
                  <c:v>75.540000000000006</c:v>
                </c:pt>
                <c:pt idx="20">
                  <c:v>76.94</c:v>
                </c:pt>
                <c:pt idx="21">
                  <c:v>77.12</c:v>
                </c:pt>
                <c:pt idx="22">
                  <c:v>76.03</c:v>
                </c:pt>
                <c:pt idx="23">
                  <c:v>75.03</c:v>
                </c:pt>
                <c:pt idx="24">
                  <c:v>75.52</c:v>
                </c:pt>
                <c:pt idx="25">
                  <c:v>72.260000000000005</c:v>
                </c:pt>
                <c:pt idx="26">
                  <c:v>71.709999999999994</c:v>
                </c:pt>
                <c:pt idx="27">
                  <c:v>73.09</c:v>
                </c:pt>
                <c:pt idx="28">
                  <c:v>72</c:v>
                </c:pt>
                <c:pt idx="29">
                  <c:v>70.16</c:v>
                </c:pt>
                <c:pt idx="30">
                  <c:v>69.06</c:v>
                </c:pt>
                <c:pt idx="31">
                  <c:v>70.040000000000006</c:v>
                </c:pt>
                <c:pt idx="32">
                  <c:v>68.790000000000006</c:v>
                </c:pt>
                <c:pt idx="33">
                  <c:v>69.989999999999995</c:v>
                </c:pt>
                <c:pt idx="34">
                  <c:v>71</c:v>
                </c:pt>
                <c:pt idx="35">
                  <c:v>73.61</c:v>
                </c:pt>
                <c:pt idx="36">
                  <c:v>74.099999999999994</c:v>
                </c:pt>
                <c:pt idx="37">
                  <c:v>74.11</c:v>
                </c:pt>
                <c:pt idx="38">
                  <c:v>75.42</c:v>
                </c:pt>
                <c:pt idx="39">
                  <c:v>73.849999999999994</c:v>
                </c:pt>
                <c:pt idx="40">
                  <c:v>76.27</c:v>
                </c:pt>
                <c:pt idx="41">
                  <c:v>74.81</c:v>
                </c:pt>
                <c:pt idx="42">
                  <c:v>73.86</c:v>
                </c:pt>
                <c:pt idx="43">
                  <c:v>73.08</c:v>
                </c:pt>
                <c:pt idx="44">
                  <c:v>74.83</c:v>
                </c:pt>
                <c:pt idx="45">
                  <c:v>78.209999999999994</c:v>
                </c:pt>
                <c:pt idx="46">
                  <c:v>78.97</c:v>
                </c:pt>
                <c:pt idx="47">
                  <c:v>78.2</c:v>
                </c:pt>
                <c:pt idx="48">
                  <c:v>78.510000000000005</c:v>
                </c:pt>
                <c:pt idx="49">
                  <c:v>78.97</c:v>
                </c:pt>
                <c:pt idx="50">
                  <c:v>78.34</c:v>
                </c:pt>
                <c:pt idx="51">
                  <c:v>78.8</c:v>
                </c:pt>
                <c:pt idx="52">
                  <c:v>78.77</c:v>
                </c:pt>
                <c:pt idx="53">
                  <c:v>77.06</c:v>
                </c:pt>
                <c:pt idx="54">
                  <c:v>75.489999999999995</c:v>
                </c:pt>
                <c:pt idx="55">
                  <c:v>75.430000000000007</c:v>
                </c:pt>
                <c:pt idx="56">
                  <c:v>77.33</c:v>
                </c:pt>
                <c:pt idx="57">
                  <c:v>78.91</c:v>
                </c:pt>
                <c:pt idx="58">
                  <c:v>76.41</c:v>
                </c:pt>
                <c:pt idx="59">
                  <c:v>76.88</c:v>
                </c:pt>
                <c:pt idx="60">
                  <c:v>77.28</c:v>
                </c:pt>
                <c:pt idx="61">
                  <c:v>77.45</c:v>
                </c:pt>
                <c:pt idx="62">
                  <c:v>77.540000000000006</c:v>
                </c:pt>
                <c:pt idx="63">
                  <c:v>75.599999999999994</c:v>
                </c:pt>
                <c:pt idx="64">
                  <c:v>77.290000000000006</c:v>
                </c:pt>
                <c:pt idx="65">
                  <c:v>78.31</c:v>
                </c:pt>
                <c:pt idx="66">
                  <c:v>79.2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36088"/>
        <c:axId val="379640400"/>
      </c:lineChart>
      <c:catAx>
        <c:axId val="379636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40400"/>
        <c:crosses val="autoZero"/>
        <c:auto val="1"/>
        <c:lblAlgn val="ctr"/>
        <c:lblOffset val="100"/>
        <c:noMultiLvlLbl val="0"/>
      </c:catAx>
      <c:valAx>
        <c:axId val="37964040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39224"/>
        <c:axId val="379636872"/>
      </c:lineChart>
      <c:catAx>
        <c:axId val="37963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6872"/>
        <c:crosses val="autoZero"/>
        <c:auto val="1"/>
        <c:lblAlgn val="ctr"/>
        <c:lblOffset val="100"/>
        <c:noMultiLvlLbl val="1"/>
      </c:catAx>
      <c:valAx>
        <c:axId val="37963687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71.02</c:v>
                </c:pt>
                <c:pt idx="1">
                  <c:v>69.91</c:v>
                </c:pt>
                <c:pt idx="2">
                  <c:v>72.92</c:v>
                </c:pt>
                <c:pt idx="3">
                  <c:v>73.010000000000005</c:v>
                </c:pt>
                <c:pt idx="4">
                  <c:v>70.099999999999994</c:v>
                </c:pt>
                <c:pt idx="5">
                  <c:v>68.98</c:v>
                </c:pt>
                <c:pt idx="6">
                  <c:v>70.400000000000006</c:v>
                </c:pt>
                <c:pt idx="7">
                  <c:v>66.45</c:v>
                </c:pt>
                <c:pt idx="8">
                  <c:v>64.900000000000006</c:v>
                </c:pt>
                <c:pt idx="9">
                  <c:v>64.55</c:v>
                </c:pt>
                <c:pt idx="10">
                  <c:v>63.71</c:v>
                </c:pt>
                <c:pt idx="11">
                  <c:v>62.62</c:v>
                </c:pt>
                <c:pt idx="12">
                  <c:v>64.290000000000006</c:v>
                </c:pt>
                <c:pt idx="13">
                  <c:v>63.03</c:v>
                </c:pt>
                <c:pt idx="14">
                  <c:v>62.07</c:v>
                </c:pt>
                <c:pt idx="15">
                  <c:v>63.71</c:v>
                </c:pt>
                <c:pt idx="16">
                  <c:v>61.44</c:v>
                </c:pt>
                <c:pt idx="17">
                  <c:v>57.63</c:v>
                </c:pt>
                <c:pt idx="18">
                  <c:v>55.85</c:v>
                </c:pt>
                <c:pt idx="19">
                  <c:v>57.2</c:v>
                </c:pt>
                <c:pt idx="20">
                  <c:v>57.7</c:v>
                </c:pt>
                <c:pt idx="22">
                  <c:v>59.3</c:v>
                </c:pt>
                <c:pt idx="23">
                  <c:v>62.16</c:v>
                </c:pt>
                <c:pt idx="24">
                  <c:v>66</c:v>
                </c:pt>
                <c:pt idx="25">
                  <c:v>66.19</c:v>
                </c:pt>
                <c:pt idx="26">
                  <c:v>66.48</c:v>
                </c:pt>
                <c:pt idx="27">
                  <c:v>69.62</c:v>
                </c:pt>
                <c:pt idx="28">
                  <c:v>68.92</c:v>
                </c:pt>
                <c:pt idx="29">
                  <c:v>64.790000000000006</c:v>
                </c:pt>
                <c:pt idx="30">
                  <c:v>62.14</c:v>
                </c:pt>
                <c:pt idx="31">
                  <c:v>65.8</c:v>
                </c:pt>
                <c:pt idx="32">
                  <c:v>65.59</c:v>
                </c:pt>
                <c:pt idx="33">
                  <c:v>67.03</c:v>
                </c:pt>
                <c:pt idx="34">
                  <c:v>63.29</c:v>
                </c:pt>
                <c:pt idx="35">
                  <c:v>61.62</c:v>
                </c:pt>
                <c:pt idx="36">
                  <c:v>60.38</c:v>
                </c:pt>
                <c:pt idx="37">
                  <c:v>60.67</c:v>
                </c:pt>
                <c:pt idx="38">
                  <c:v>64.540000000000006</c:v>
                </c:pt>
                <c:pt idx="39">
                  <c:v>62.16</c:v>
                </c:pt>
                <c:pt idx="40">
                  <c:v>66.63</c:v>
                </c:pt>
                <c:pt idx="41">
                  <c:v>66.05</c:v>
                </c:pt>
                <c:pt idx="42">
                  <c:v>66.89</c:v>
                </c:pt>
                <c:pt idx="43">
                  <c:v>67.16</c:v>
                </c:pt>
                <c:pt idx="44">
                  <c:v>69.150000000000006</c:v>
                </c:pt>
                <c:pt idx="45">
                  <c:v>73.290000000000006</c:v>
                </c:pt>
                <c:pt idx="46">
                  <c:v>77.930000000000007</c:v>
                </c:pt>
                <c:pt idx="47">
                  <c:v>76.83</c:v>
                </c:pt>
                <c:pt idx="48">
                  <c:v>79.19</c:v>
                </c:pt>
                <c:pt idx="49">
                  <c:v>80.430000000000007</c:v>
                </c:pt>
                <c:pt idx="50">
                  <c:v>79.31</c:v>
                </c:pt>
                <c:pt idx="51">
                  <c:v>79.319999999999993</c:v>
                </c:pt>
                <c:pt idx="52">
                  <c:v>79.17</c:v>
                </c:pt>
                <c:pt idx="53">
                  <c:v>78.41</c:v>
                </c:pt>
                <c:pt idx="54">
                  <c:v>78.42</c:v>
                </c:pt>
                <c:pt idx="55">
                  <c:v>76.38</c:v>
                </c:pt>
                <c:pt idx="56">
                  <c:v>77.8</c:v>
                </c:pt>
                <c:pt idx="57">
                  <c:v>78.97</c:v>
                </c:pt>
                <c:pt idx="58">
                  <c:v>77.78</c:v>
                </c:pt>
                <c:pt idx="59">
                  <c:v>78.510000000000005</c:v>
                </c:pt>
                <c:pt idx="60">
                  <c:v>81.430000000000007</c:v>
                </c:pt>
                <c:pt idx="61">
                  <c:v>84.89</c:v>
                </c:pt>
                <c:pt idx="62">
                  <c:v>84.68</c:v>
                </c:pt>
                <c:pt idx="63">
                  <c:v>87.1</c:v>
                </c:pt>
                <c:pt idx="64">
                  <c:v>86.69</c:v>
                </c:pt>
                <c:pt idx="65">
                  <c:v>87.92</c:v>
                </c:pt>
                <c:pt idx="66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35696"/>
        <c:axId val="379638048"/>
      </c:lineChart>
      <c:dateAx>
        <c:axId val="37963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8048"/>
        <c:crosses val="autoZero"/>
        <c:auto val="1"/>
        <c:lblOffset val="100"/>
        <c:baseTimeUnit val="days"/>
      </c:dateAx>
      <c:valAx>
        <c:axId val="379638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42437</c:v>
                </c:pt>
                <c:pt idx="3">
                  <c:v>42436</c:v>
                </c:pt>
                <c:pt idx="4">
                  <c:v>42433</c:v>
                </c:pt>
                <c:pt idx="5">
                  <c:v>42432</c:v>
                </c:pt>
                <c:pt idx="6">
                  <c:v>42431</c:v>
                </c:pt>
                <c:pt idx="7">
                  <c:v>42430</c:v>
                </c:pt>
                <c:pt idx="8">
                  <c:v>42429</c:v>
                </c:pt>
                <c:pt idx="9">
                  <c:v>42426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60.37</c:v>
                </c:pt>
                <c:pt idx="1">
                  <c:v>59.51</c:v>
                </c:pt>
                <c:pt idx="3">
                  <c:v>60.09</c:v>
                </c:pt>
                <c:pt idx="4">
                  <c:v>59.17</c:v>
                </c:pt>
                <c:pt idx="5">
                  <c:v>57.91</c:v>
                </c:pt>
                <c:pt idx="6">
                  <c:v>57.82</c:v>
                </c:pt>
                <c:pt idx="7">
                  <c:v>59.02</c:v>
                </c:pt>
                <c:pt idx="8">
                  <c:v>57.9</c:v>
                </c:pt>
                <c:pt idx="9">
                  <c:v>58.42</c:v>
                </c:pt>
                <c:pt idx="10">
                  <c:v>58.18</c:v>
                </c:pt>
                <c:pt idx="11">
                  <c:v>57.62</c:v>
                </c:pt>
                <c:pt idx="12">
                  <c:v>56.98</c:v>
                </c:pt>
                <c:pt idx="13">
                  <c:v>57.59</c:v>
                </c:pt>
                <c:pt idx="14">
                  <c:v>57.02</c:v>
                </c:pt>
                <c:pt idx="15">
                  <c:v>57.12</c:v>
                </c:pt>
                <c:pt idx="16">
                  <c:v>57.09</c:v>
                </c:pt>
                <c:pt idx="17">
                  <c:v>55.57</c:v>
                </c:pt>
                <c:pt idx="18">
                  <c:v>55.22</c:v>
                </c:pt>
                <c:pt idx="19">
                  <c:v>54.69</c:v>
                </c:pt>
                <c:pt idx="20">
                  <c:v>54.34</c:v>
                </c:pt>
                <c:pt idx="21">
                  <c:v>55.12</c:v>
                </c:pt>
                <c:pt idx="22">
                  <c:v>53.94</c:v>
                </c:pt>
                <c:pt idx="23">
                  <c:v>53.35</c:v>
                </c:pt>
                <c:pt idx="24">
                  <c:v>55.09</c:v>
                </c:pt>
                <c:pt idx="25">
                  <c:v>53.31</c:v>
                </c:pt>
                <c:pt idx="26">
                  <c:v>52</c:v>
                </c:pt>
                <c:pt idx="27">
                  <c:v>53.46</c:v>
                </c:pt>
                <c:pt idx="28">
                  <c:v>53.49</c:v>
                </c:pt>
                <c:pt idx="29">
                  <c:v>52.78</c:v>
                </c:pt>
                <c:pt idx="30">
                  <c:v>50.8</c:v>
                </c:pt>
                <c:pt idx="31">
                  <c:v>50.57</c:v>
                </c:pt>
                <c:pt idx="32">
                  <c:v>49.13</c:v>
                </c:pt>
                <c:pt idx="33">
                  <c:v>49.76</c:v>
                </c:pt>
                <c:pt idx="34">
                  <c:v>48.44</c:v>
                </c:pt>
                <c:pt idx="35">
                  <c:v>47.62</c:v>
                </c:pt>
                <c:pt idx="36">
                  <c:v>49.22</c:v>
                </c:pt>
                <c:pt idx="37">
                  <c:v>49.83</c:v>
                </c:pt>
                <c:pt idx="38">
                  <c:v>51.6</c:v>
                </c:pt>
                <c:pt idx="39">
                  <c:v>50.77</c:v>
                </c:pt>
                <c:pt idx="40">
                  <c:v>52.49</c:v>
                </c:pt>
                <c:pt idx="41">
                  <c:v>51.61</c:v>
                </c:pt>
                <c:pt idx="42">
                  <c:v>51.33</c:v>
                </c:pt>
                <c:pt idx="43">
                  <c:v>51.03</c:v>
                </c:pt>
                <c:pt idx="44">
                  <c:v>52.17</c:v>
                </c:pt>
                <c:pt idx="45">
                  <c:v>53.96</c:v>
                </c:pt>
                <c:pt idx="46">
                  <c:v>54.86</c:v>
                </c:pt>
                <c:pt idx="47">
                  <c:v>55.88</c:v>
                </c:pt>
                <c:pt idx="48">
                  <c:v>56.45</c:v>
                </c:pt>
                <c:pt idx="49">
                  <c:v>56.69</c:v>
                </c:pt>
                <c:pt idx="50">
                  <c:v>56.4</c:v>
                </c:pt>
                <c:pt idx="51">
                  <c:v>56.87</c:v>
                </c:pt>
                <c:pt idx="52">
                  <c:v>56.79</c:v>
                </c:pt>
                <c:pt idx="53">
                  <c:v>56.66</c:v>
                </c:pt>
                <c:pt idx="54">
                  <c:v>56.46</c:v>
                </c:pt>
                <c:pt idx="55">
                  <c:v>55.85</c:v>
                </c:pt>
                <c:pt idx="56">
                  <c:v>55.61</c:v>
                </c:pt>
                <c:pt idx="57">
                  <c:v>55.67</c:v>
                </c:pt>
                <c:pt idx="58">
                  <c:v>54.5</c:v>
                </c:pt>
                <c:pt idx="59">
                  <c:v>53.94</c:v>
                </c:pt>
                <c:pt idx="60">
                  <c:v>52.73</c:v>
                </c:pt>
                <c:pt idx="61">
                  <c:v>53.89</c:v>
                </c:pt>
                <c:pt idx="62">
                  <c:v>54.39</c:v>
                </c:pt>
                <c:pt idx="63">
                  <c:v>53.68</c:v>
                </c:pt>
                <c:pt idx="65">
                  <c:v>54.98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18424"/>
        <c:axId val="401521560"/>
      </c:lineChart>
      <c:dateAx>
        <c:axId val="401518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21560"/>
        <c:crosses val="autoZero"/>
        <c:auto val="1"/>
        <c:lblOffset val="100"/>
        <c:baseTimeUnit val="days"/>
      </c:dateAx>
      <c:valAx>
        <c:axId val="401521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1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48.79</c:v>
                </c:pt>
                <c:pt idx="1">
                  <c:v>49.05</c:v>
                </c:pt>
                <c:pt idx="2">
                  <c:v>50.07</c:v>
                </c:pt>
                <c:pt idx="3">
                  <c:v>50.11</c:v>
                </c:pt>
                <c:pt idx="4">
                  <c:v>49.77</c:v>
                </c:pt>
                <c:pt idx="5">
                  <c:v>49.57</c:v>
                </c:pt>
                <c:pt idx="6">
                  <c:v>48.72</c:v>
                </c:pt>
                <c:pt idx="7">
                  <c:v>46.92</c:v>
                </c:pt>
                <c:pt idx="8">
                  <c:v>48.07</c:v>
                </c:pt>
                <c:pt idx="9">
                  <c:v>47.75</c:v>
                </c:pt>
                <c:pt idx="10">
                  <c:v>47.61</c:v>
                </c:pt>
                <c:pt idx="11">
                  <c:v>48.1</c:v>
                </c:pt>
                <c:pt idx="12">
                  <c:v>49.19</c:v>
                </c:pt>
                <c:pt idx="13">
                  <c:v>48.09</c:v>
                </c:pt>
                <c:pt idx="14">
                  <c:v>47.73</c:v>
                </c:pt>
                <c:pt idx="15">
                  <c:v>48.13</c:v>
                </c:pt>
                <c:pt idx="16">
                  <c:v>48.24</c:v>
                </c:pt>
                <c:pt idx="17">
                  <c:v>47.31</c:v>
                </c:pt>
                <c:pt idx="18">
                  <c:v>45.16</c:v>
                </c:pt>
                <c:pt idx="19">
                  <c:v>46.17</c:v>
                </c:pt>
                <c:pt idx="20">
                  <c:v>46.45</c:v>
                </c:pt>
                <c:pt idx="21">
                  <c:v>46.5</c:v>
                </c:pt>
                <c:pt idx="22">
                  <c:v>47.86</c:v>
                </c:pt>
                <c:pt idx="23">
                  <c:v>48.25</c:v>
                </c:pt>
                <c:pt idx="24">
                  <c:v>47.6</c:v>
                </c:pt>
                <c:pt idx="26">
                  <c:v>48.83</c:v>
                </c:pt>
                <c:pt idx="27">
                  <c:v>49.94</c:v>
                </c:pt>
                <c:pt idx="28">
                  <c:v>50.23</c:v>
                </c:pt>
                <c:pt idx="29">
                  <c:v>48.92</c:v>
                </c:pt>
                <c:pt idx="30">
                  <c:v>48.57</c:v>
                </c:pt>
                <c:pt idx="31">
                  <c:v>48.26</c:v>
                </c:pt>
                <c:pt idx="32">
                  <c:v>47.66</c:v>
                </c:pt>
                <c:pt idx="33">
                  <c:v>49.02</c:v>
                </c:pt>
                <c:pt idx="34">
                  <c:v>48.01</c:v>
                </c:pt>
                <c:pt idx="35">
                  <c:v>47.87</c:v>
                </c:pt>
                <c:pt idx="36">
                  <c:v>48.21</c:v>
                </c:pt>
                <c:pt idx="37">
                  <c:v>48.82</c:v>
                </c:pt>
                <c:pt idx="38">
                  <c:v>50.64</c:v>
                </c:pt>
                <c:pt idx="39">
                  <c:v>49.73</c:v>
                </c:pt>
                <c:pt idx="40">
                  <c:v>51.36</c:v>
                </c:pt>
                <c:pt idx="41">
                  <c:v>50.09</c:v>
                </c:pt>
                <c:pt idx="42">
                  <c:v>49.56</c:v>
                </c:pt>
                <c:pt idx="43">
                  <c:v>50.4</c:v>
                </c:pt>
                <c:pt idx="44">
                  <c:v>51.88</c:v>
                </c:pt>
                <c:pt idx="45">
                  <c:v>52.89</c:v>
                </c:pt>
                <c:pt idx="46">
                  <c:v>52.91</c:v>
                </c:pt>
                <c:pt idx="47">
                  <c:v>54.36</c:v>
                </c:pt>
                <c:pt idx="48">
                  <c:v>54.89</c:v>
                </c:pt>
                <c:pt idx="49">
                  <c:v>55.29</c:v>
                </c:pt>
                <c:pt idx="50">
                  <c:v>54.68</c:v>
                </c:pt>
                <c:pt idx="51">
                  <c:v>54.82</c:v>
                </c:pt>
                <c:pt idx="52">
                  <c:v>55.04</c:v>
                </c:pt>
                <c:pt idx="53">
                  <c:v>54.34</c:v>
                </c:pt>
                <c:pt idx="54">
                  <c:v>54.02</c:v>
                </c:pt>
                <c:pt idx="55">
                  <c:v>53.79</c:v>
                </c:pt>
                <c:pt idx="56">
                  <c:v>55.47</c:v>
                </c:pt>
                <c:pt idx="57">
                  <c:v>55.85</c:v>
                </c:pt>
                <c:pt idx="58">
                  <c:v>54.91</c:v>
                </c:pt>
                <c:pt idx="59">
                  <c:v>53.2</c:v>
                </c:pt>
                <c:pt idx="60">
                  <c:v>53.31</c:v>
                </c:pt>
                <c:pt idx="61">
                  <c:v>54.34</c:v>
                </c:pt>
                <c:pt idx="62">
                  <c:v>54.12</c:v>
                </c:pt>
                <c:pt idx="63">
                  <c:v>54.4</c:v>
                </c:pt>
                <c:pt idx="64">
                  <c:v>55.42</c:v>
                </c:pt>
                <c:pt idx="65">
                  <c:v>55.67</c:v>
                </c:pt>
                <c:pt idx="66">
                  <c:v>54.2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18816"/>
        <c:axId val="401516856"/>
      </c:lineChart>
      <c:dateAx>
        <c:axId val="40151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16856"/>
        <c:crosses val="autoZero"/>
        <c:auto val="1"/>
        <c:lblOffset val="100"/>
        <c:baseTimeUnit val="days"/>
      </c:dateAx>
      <c:valAx>
        <c:axId val="401516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1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9.42</c:v>
                </c:pt>
                <c:pt idx="1">
                  <c:v>9.33</c:v>
                </c:pt>
                <c:pt idx="2">
                  <c:v>10.039999999999999</c:v>
                </c:pt>
                <c:pt idx="3">
                  <c:v>9.57</c:v>
                </c:pt>
                <c:pt idx="4">
                  <c:v>9.4700000000000006</c:v>
                </c:pt>
                <c:pt idx="5">
                  <c:v>9.6199999999999992</c:v>
                </c:pt>
                <c:pt idx="6">
                  <c:v>9.11</c:v>
                </c:pt>
                <c:pt idx="7">
                  <c:v>8.93</c:v>
                </c:pt>
                <c:pt idx="8">
                  <c:v>8.8699999999999992</c:v>
                </c:pt>
                <c:pt idx="9">
                  <c:v>8.8699999999999992</c:v>
                </c:pt>
                <c:pt idx="10">
                  <c:v>8.76</c:v>
                </c:pt>
                <c:pt idx="11">
                  <c:v>8.5299999999999994</c:v>
                </c:pt>
                <c:pt idx="12">
                  <c:v>8.91</c:v>
                </c:pt>
                <c:pt idx="13">
                  <c:v>7.87</c:v>
                </c:pt>
                <c:pt idx="14">
                  <c:v>8.1199999999999992</c:v>
                </c:pt>
                <c:pt idx="15">
                  <c:v>8.52</c:v>
                </c:pt>
                <c:pt idx="16">
                  <c:v>8.1199999999999992</c:v>
                </c:pt>
                <c:pt idx="17">
                  <c:v>7.69</c:v>
                </c:pt>
                <c:pt idx="18">
                  <c:v>7.33</c:v>
                </c:pt>
                <c:pt idx="19">
                  <c:v>7.54</c:v>
                </c:pt>
                <c:pt idx="20">
                  <c:v>7.81</c:v>
                </c:pt>
                <c:pt idx="21">
                  <c:v>7.9</c:v>
                </c:pt>
                <c:pt idx="22">
                  <c:v>8.1199999999999992</c:v>
                </c:pt>
                <c:pt idx="23">
                  <c:v>8.31</c:v>
                </c:pt>
                <c:pt idx="24">
                  <c:v>7.55</c:v>
                </c:pt>
                <c:pt idx="26">
                  <c:v>6.97</c:v>
                </c:pt>
                <c:pt idx="27">
                  <c:v>7.21</c:v>
                </c:pt>
                <c:pt idx="28">
                  <c:v>7.29</c:v>
                </c:pt>
                <c:pt idx="29">
                  <c:v>7</c:v>
                </c:pt>
                <c:pt idx="30">
                  <c:v>6.96</c:v>
                </c:pt>
                <c:pt idx="31">
                  <c:v>7.14</c:v>
                </c:pt>
                <c:pt idx="32">
                  <c:v>6.8</c:v>
                </c:pt>
                <c:pt idx="33">
                  <c:v>6.87</c:v>
                </c:pt>
                <c:pt idx="34">
                  <c:v>7.09</c:v>
                </c:pt>
                <c:pt idx="35">
                  <c:v>6.74</c:v>
                </c:pt>
                <c:pt idx="36">
                  <c:v>6.74</c:v>
                </c:pt>
                <c:pt idx="37">
                  <c:v>6.9</c:v>
                </c:pt>
                <c:pt idx="38">
                  <c:v>7.24</c:v>
                </c:pt>
                <c:pt idx="39">
                  <c:v>7.13</c:v>
                </c:pt>
                <c:pt idx="40">
                  <c:v>7.28</c:v>
                </c:pt>
                <c:pt idx="41">
                  <c:v>8</c:v>
                </c:pt>
                <c:pt idx="42">
                  <c:v>8.07</c:v>
                </c:pt>
                <c:pt idx="43">
                  <c:v>8.27</c:v>
                </c:pt>
                <c:pt idx="44">
                  <c:v>8.61</c:v>
                </c:pt>
                <c:pt idx="45">
                  <c:v>9.27</c:v>
                </c:pt>
                <c:pt idx="46">
                  <c:v>9.7100000000000009</c:v>
                </c:pt>
                <c:pt idx="47">
                  <c:v>9.8699999999999992</c:v>
                </c:pt>
                <c:pt idx="48">
                  <c:v>9.9600000000000009</c:v>
                </c:pt>
                <c:pt idx="49">
                  <c:v>10.130000000000001</c:v>
                </c:pt>
                <c:pt idx="50">
                  <c:v>9.98</c:v>
                </c:pt>
                <c:pt idx="51">
                  <c:v>10.119999999999999</c:v>
                </c:pt>
                <c:pt idx="52">
                  <c:v>10.19</c:v>
                </c:pt>
                <c:pt idx="53">
                  <c:v>9.56</c:v>
                </c:pt>
                <c:pt idx="54">
                  <c:v>9.32</c:v>
                </c:pt>
                <c:pt idx="55">
                  <c:v>9.23</c:v>
                </c:pt>
                <c:pt idx="56">
                  <c:v>9.15</c:v>
                </c:pt>
                <c:pt idx="57">
                  <c:v>9.24</c:v>
                </c:pt>
                <c:pt idx="58">
                  <c:v>9.1199999999999992</c:v>
                </c:pt>
                <c:pt idx="59">
                  <c:v>9</c:v>
                </c:pt>
                <c:pt idx="60">
                  <c:v>8.86</c:v>
                </c:pt>
                <c:pt idx="61">
                  <c:v>9.17</c:v>
                </c:pt>
                <c:pt idx="62">
                  <c:v>8.74</c:v>
                </c:pt>
                <c:pt idx="63">
                  <c:v>8.52</c:v>
                </c:pt>
                <c:pt idx="64">
                  <c:v>9.0399999999999991</c:v>
                </c:pt>
                <c:pt idx="65">
                  <c:v>9.34</c:v>
                </c:pt>
                <c:pt idx="66">
                  <c:v>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19208"/>
        <c:axId val="401520384"/>
      </c:lineChart>
      <c:dateAx>
        <c:axId val="40151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20384"/>
        <c:crosses val="autoZero"/>
        <c:auto val="1"/>
        <c:lblOffset val="100"/>
        <c:baseTimeUnit val="days"/>
      </c:dateAx>
      <c:valAx>
        <c:axId val="4015203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1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</c:v>
                </c:pt>
                <c:pt idx="1">
                  <c:v>23.26</c:v>
                </c:pt>
                <c:pt idx="2">
                  <c:v>23.56</c:v>
                </c:pt>
                <c:pt idx="3">
                  <c:v>23.28</c:v>
                </c:pt>
                <c:pt idx="4">
                  <c:v>23.07</c:v>
                </c:pt>
                <c:pt idx="5">
                  <c:v>22.56</c:v>
                </c:pt>
                <c:pt idx="6">
                  <c:v>21.99</c:v>
                </c:pt>
                <c:pt idx="7">
                  <c:v>19.82</c:v>
                </c:pt>
                <c:pt idx="8">
                  <c:v>19.559999999999999</c:v>
                </c:pt>
                <c:pt idx="9">
                  <c:v>19.47</c:v>
                </c:pt>
                <c:pt idx="10">
                  <c:v>19</c:v>
                </c:pt>
                <c:pt idx="11">
                  <c:v>18.25</c:v>
                </c:pt>
                <c:pt idx="12">
                  <c:v>17.690000000000001</c:v>
                </c:pt>
                <c:pt idx="13">
                  <c:v>17.010000000000002</c:v>
                </c:pt>
                <c:pt idx="14">
                  <c:v>17.02</c:v>
                </c:pt>
                <c:pt idx="15">
                  <c:v>17.46</c:v>
                </c:pt>
                <c:pt idx="16">
                  <c:v>16.73</c:v>
                </c:pt>
                <c:pt idx="17">
                  <c:v>16.079999999999998</c:v>
                </c:pt>
                <c:pt idx="18">
                  <c:v>15.5</c:v>
                </c:pt>
                <c:pt idx="19">
                  <c:v>15.88</c:v>
                </c:pt>
                <c:pt idx="20">
                  <c:v>15.64</c:v>
                </c:pt>
                <c:pt idx="21">
                  <c:v>16.21</c:v>
                </c:pt>
                <c:pt idx="22">
                  <c:v>17.420000000000002</c:v>
                </c:pt>
                <c:pt idx="23">
                  <c:v>18.510000000000002</c:v>
                </c:pt>
                <c:pt idx="24">
                  <c:v>18.57</c:v>
                </c:pt>
                <c:pt idx="25">
                  <c:v>18.36</c:v>
                </c:pt>
                <c:pt idx="26">
                  <c:v>17.850000000000001</c:v>
                </c:pt>
                <c:pt idx="27">
                  <c:v>17.809999999999999</c:v>
                </c:pt>
                <c:pt idx="28">
                  <c:v>17.09</c:v>
                </c:pt>
                <c:pt idx="29">
                  <c:v>17</c:v>
                </c:pt>
                <c:pt idx="30">
                  <c:v>17.04</c:v>
                </c:pt>
                <c:pt idx="31">
                  <c:v>16.62</c:v>
                </c:pt>
                <c:pt idx="32">
                  <c:v>16.02</c:v>
                </c:pt>
                <c:pt idx="33">
                  <c:v>15.88</c:v>
                </c:pt>
                <c:pt idx="34">
                  <c:v>15.78</c:v>
                </c:pt>
                <c:pt idx="35">
                  <c:v>15.7</c:v>
                </c:pt>
                <c:pt idx="36">
                  <c:v>16.100000000000001</c:v>
                </c:pt>
                <c:pt idx="37">
                  <c:v>16.41</c:v>
                </c:pt>
                <c:pt idx="38">
                  <c:v>16.239999999999998</c:v>
                </c:pt>
                <c:pt idx="39">
                  <c:v>16.73</c:v>
                </c:pt>
                <c:pt idx="40">
                  <c:v>16.21</c:v>
                </c:pt>
                <c:pt idx="41">
                  <c:v>16.55</c:v>
                </c:pt>
                <c:pt idx="42">
                  <c:v>17.190000000000001</c:v>
                </c:pt>
                <c:pt idx="43">
                  <c:v>17.440000000000001</c:v>
                </c:pt>
                <c:pt idx="44">
                  <c:v>17.829999999999998</c:v>
                </c:pt>
                <c:pt idx="45">
                  <c:v>17.920000000000002</c:v>
                </c:pt>
                <c:pt idx="46">
                  <c:v>17.77</c:v>
                </c:pt>
                <c:pt idx="47">
                  <c:v>17.45</c:v>
                </c:pt>
                <c:pt idx="48">
                  <c:v>17.73</c:v>
                </c:pt>
                <c:pt idx="49">
                  <c:v>17.16</c:v>
                </c:pt>
                <c:pt idx="50">
                  <c:v>17.600000000000001</c:v>
                </c:pt>
                <c:pt idx="51">
                  <c:v>17.68</c:v>
                </c:pt>
                <c:pt idx="52">
                  <c:v>17.309999999999999</c:v>
                </c:pt>
                <c:pt idx="53">
                  <c:v>17.190000000000001</c:v>
                </c:pt>
                <c:pt idx="54">
                  <c:v>17.84</c:v>
                </c:pt>
                <c:pt idx="55">
                  <c:v>18.03</c:v>
                </c:pt>
                <c:pt idx="56">
                  <c:v>18.52</c:v>
                </c:pt>
                <c:pt idx="57">
                  <c:v>17.82</c:v>
                </c:pt>
                <c:pt idx="58">
                  <c:v>17.71</c:v>
                </c:pt>
                <c:pt idx="59">
                  <c:v>18.04</c:v>
                </c:pt>
                <c:pt idx="60">
                  <c:v>18.920000000000002</c:v>
                </c:pt>
                <c:pt idx="61">
                  <c:v>18.89</c:v>
                </c:pt>
                <c:pt idx="62">
                  <c:v>18.989999999999998</c:v>
                </c:pt>
                <c:pt idx="63">
                  <c:v>19.07</c:v>
                </c:pt>
                <c:pt idx="64">
                  <c:v>19.23</c:v>
                </c:pt>
                <c:pt idx="65">
                  <c:v>18.920000000000002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83072"/>
        <c:axId val="411177976"/>
      </c:lineChart>
      <c:dateAx>
        <c:axId val="41118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77976"/>
        <c:crosses val="autoZero"/>
        <c:auto val="1"/>
        <c:lblOffset val="100"/>
        <c:baseTimeUnit val="days"/>
      </c:dateAx>
      <c:valAx>
        <c:axId val="4111779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39.85</c:v>
                </c:pt>
                <c:pt idx="1">
                  <c:v>38.700000000000003</c:v>
                </c:pt>
                <c:pt idx="2">
                  <c:v>39.590000000000003</c:v>
                </c:pt>
                <c:pt idx="3">
                  <c:v>40.98</c:v>
                </c:pt>
                <c:pt idx="4">
                  <c:v>41.28</c:v>
                </c:pt>
                <c:pt idx="5">
                  <c:v>40.31</c:v>
                </c:pt>
                <c:pt idx="6">
                  <c:v>39.51</c:v>
                </c:pt>
                <c:pt idx="7">
                  <c:v>38.01</c:v>
                </c:pt>
                <c:pt idx="8">
                  <c:v>38.67</c:v>
                </c:pt>
                <c:pt idx="9">
                  <c:v>37.869999999999997</c:v>
                </c:pt>
                <c:pt idx="11">
                  <c:v>37.74</c:v>
                </c:pt>
                <c:pt idx="12">
                  <c:v>37.869999999999997</c:v>
                </c:pt>
                <c:pt idx="13">
                  <c:v>38.11</c:v>
                </c:pt>
                <c:pt idx="14">
                  <c:v>37.46</c:v>
                </c:pt>
                <c:pt idx="15">
                  <c:v>37.5</c:v>
                </c:pt>
                <c:pt idx="16">
                  <c:v>37.43</c:v>
                </c:pt>
                <c:pt idx="17">
                  <c:v>36</c:v>
                </c:pt>
                <c:pt idx="18">
                  <c:v>34.79</c:v>
                </c:pt>
                <c:pt idx="19">
                  <c:v>33.76</c:v>
                </c:pt>
                <c:pt idx="20">
                  <c:v>34.869999999999997</c:v>
                </c:pt>
                <c:pt idx="21">
                  <c:v>34.270000000000003</c:v>
                </c:pt>
                <c:pt idx="22">
                  <c:v>34.26</c:v>
                </c:pt>
                <c:pt idx="23">
                  <c:v>36.43</c:v>
                </c:pt>
                <c:pt idx="24">
                  <c:v>37.520000000000003</c:v>
                </c:pt>
                <c:pt idx="25">
                  <c:v>36.229999999999997</c:v>
                </c:pt>
                <c:pt idx="26">
                  <c:v>37.25</c:v>
                </c:pt>
                <c:pt idx="27">
                  <c:v>39.01</c:v>
                </c:pt>
                <c:pt idx="28">
                  <c:v>38.78</c:v>
                </c:pt>
                <c:pt idx="29">
                  <c:v>37.51</c:v>
                </c:pt>
                <c:pt idx="30">
                  <c:v>37.15</c:v>
                </c:pt>
                <c:pt idx="31">
                  <c:v>38.18</c:v>
                </c:pt>
                <c:pt idx="32">
                  <c:v>37.130000000000003</c:v>
                </c:pt>
                <c:pt idx="33">
                  <c:v>36.97</c:v>
                </c:pt>
                <c:pt idx="34">
                  <c:v>36.85</c:v>
                </c:pt>
                <c:pt idx="35">
                  <c:v>36.07</c:v>
                </c:pt>
                <c:pt idx="36">
                  <c:v>36.200000000000003</c:v>
                </c:pt>
                <c:pt idx="37">
                  <c:v>37.130000000000003</c:v>
                </c:pt>
                <c:pt idx="38">
                  <c:v>37.479999999999997</c:v>
                </c:pt>
                <c:pt idx="39">
                  <c:v>37.97</c:v>
                </c:pt>
                <c:pt idx="40">
                  <c:v>39.97</c:v>
                </c:pt>
                <c:pt idx="41">
                  <c:v>39.35</c:v>
                </c:pt>
                <c:pt idx="42">
                  <c:v>39.380000000000003</c:v>
                </c:pt>
                <c:pt idx="43">
                  <c:v>40.33</c:v>
                </c:pt>
                <c:pt idx="44">
                  <c:v>42.22</c:v>
                </c:pt>
                <c:pt idx="45">
                  <c:v>43.42</c:v>
                </c:pt>
                <c:pt idx="46">
                  <c:v>43.44</c:v>
                </c:pt>
                <c:pt idx="47">
                  <c:v>44.08</c:v>
                </c:pt>
                <c:pt idx="48">
                  <c:v>43.75</c:v>
                </c:pt>
                <c:pt idx="49">
                  <c:v>44.24</c:v>
                </c:pt>
                <c:pt idx="50">
                  <c:v>44.37</c:v>
                </c:pt>
                <c:pt idx="51">
                  <c:v>43.61</c:v>
                </c:pt>
                <c:pt idx="52">
                  <c:v>44.27</c:v>
                </c:pt>
                <c:pt idx="53">
                  <c:v>44.43</c:v>
                </c:pt>
                <c:pt idx="54">
                  <c:v>44.8</c:v>
                </c:pt>
                <c:pt idx="55">
                  <c:v>44.71</c:v>
                </c:pt>
                <c:pt idx="56">
                  <c:v>44.82</c:v>
                </c:pt>
                <c:pt idx="57">
                  <c:v>45.18</c:v>
                </c:pt>
                <c:pt idx="58">
                  <c:v>44.13</c:v>
                </c:pt>
                <c:pt idx="59">
                  <c:v>42.15</c:v>
                </c:pt>
                <c:pt idx="60">
                  <c:v>45.28</c:v>
                </c:pt>
                <c:pt idx="61">
                  <c:v>47.22</c:v>
                </c:pt>
                <c:pt idx="62">
                  <c:v>46.52</c:v>
                </c:pt>
                <c:pt idx="63">
                  <c:v>46.95</c:v>
                </c:pt>
                <c:pt idx="64">
                  <c:v>48.16</c:v>
                </c:pt>
                <c:pt idx="65">
                  <c:v>44.83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82680"/>
        <c:axId val="411175624"/>
      </c:lineChart>
      <c:dateAx>
        <c:axId val="411182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75624"/>
        <c:crosses val="autoZero"/>
        <c:auto val="1"/>
        <c:lblOffset val="100"/>
        <c:baseTimeUnit val="days"/>
      </c:dateAx>
      <c:valAx>
        <c:axId val="4111756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58.14</c:v>
                </c:pt>
                <c:pt idx="1">
                  <c:v>56.75</c:v>
                </c:pt>
                <c:pt idx="2">
                  <c:v>57.43</c:v>
                </c:pt>
                <c:pt idx="3">
                  <c:v>57.16</c:v>
                </c:pt>
                <c:pt idx="4">
                  <c:v>57.19</c:v>
                </c:pt>
                <c:pt idx="5">
                  <c:v>57.84</c:v>
                </c:pt>
                <c:pt idx="6">
                  <c:v>57.29</c:v>
                </c:pt>
                <c:pt idx="7">
                  <c:v>56.65</c:v>
                </c:pt>
                <c:pt idx="8">
                  <c:v>56.58</c:v>
                </c:pt>
                <c:pt idx="9">
                  <c:v>56.47</c:v>
                </c:pt>
                <c:pt idx="10">
                  <c:v>55.44</c:v>
                </c:pt>
                <c:pt idx="11">
                  <c:v>54.77</c:v>
                </c:pt>
                <c:pt idx="12">
                  <c:v>54.82</c:v>
                </c:pt>
                <c:pt idx="13">
                  <c:v>52.73</c:v>
                </c:pt>
                <c:pt idx="14">
                  <c:v>53.24</c:v>
                </c:pt>
                <c:pt idx="15">
                  <c:v>52.49</c:v>
                </c:pt>
                <c:pt idx="16">
                  <c:v>50.76</c:v>
                </c:pt>
                <c:pt idx="17">
                  <c:v>49.57</c:v>
                </c:pt>
                <c:pt idx="18">
                  <c:v>49.14</c:v>
                </c:pt>
                <c:pt idx="19">
                  <c:v>50.16</c:v>
                </c:pt>
                <c:pt idx="20">
                  <c:v>50.23</c:v>
                </c:pt>
                <c:pt idx="21">
                  <c:v>50.2</c:v>
                </c:pt>
                <c:pt idx="22">
                  <c:v>51.84</c:v>
                </c:pt>
                <c:pt idx="23">
                  <c:v>51.72</c:v>
                </c:pt>
                <c:pt idx="24">
                  <c:v>51.72</c:v>
                </c:pt>
                <c:pt idx="25">
                  <c:v>50.11</c:v>
                </c:pt>
                <c:pt idx="26">
                  <c:v>40.44</c:v>
                </c:pt>
                <c:pt idx="27">
                  <c:v>39.9</c:v>
                </c:pt>
                <c:pt idx="28">
                  <c:v>38.729999999999997</c:v>
                </c:pt>
                <c:pt idx="29">
                  <c:v>38.03</c:v>
                </c:pt>
                <c:pt idx="30">
                  <c:v>37.79</c:v>
                </c:pt>
                <c:pt idx="31">
                  <c:v>36.729999999999997</c:v>
                </c:pt>
                <c:pt idx="32">
                  <c:v>38.409999999999997</c:v>
                </c:pt>
                <c:pt idx="33">
                  <c:v>37.51</c:v>
                </c:pt>
                <c:pt idx="34">
                  <c:v>36.49</c:v>
                </c:pt>
                <c:pt idx="35">
                  <c:v>35.76</c:v>
                </c:pt>
                <c:pt idx="36">
                  <c:v>35.57</c:v>
                </c:pt>
                <c:pt idx="37">
                  <c:v>36.11</c:v>
                </c:pt>
                <c:pt idx="38">
                  <c:v>36.15</c:v>
                </c:pt>
                <c:pt idx="39">
                  <c:v>37.520000000000003</c:v>
                </c:pt>
                <c:pt idx="40">
                  <c:v>37.14</c:v>
                </c:pt>
                <c:pt idx="41">
                  <c:v>37.79</c:v>
                </c:pt>
                <c:pt idx="42">
                  <c:v>38.96</c:v>
                </c:pt>
                <c:pt idx="43">
                  <c:v>39.76</c:v>
                </c:pt>
                <c:pt idx="44">
                  <c:v>40.72</c:v>
                </c:pt>
                <c:pt idx="45">
                  <c:v>40.369999999999997</c:v>
                </c:pt>
                <c:pt idx="46">
                  <c:v>40.06</c:v>
                </c:pt>
                <c:pt idx="47">
                  <c:v>40.22</c:v>
                </c:pt>
                <c:pt idx="48">
                  <c:v>41.01</c:v>
                </c:pt>
                <c:pt idx="49">
                  <c:v>40.630000000000003</c:v>
                </c:pt>
                <c:pt idx="50">
                  <c:v>40.86</c:v>
                </c:pt>
                <c:pt idx="51">
                  <c:v>41.63</c:v>
                </c:pt>
                <c:pt idx="52">
                  <c:v>40.82</c:v>
                </c:pt>
                <c:pt idx="53">
                  <c:v>40.33</c:v>
                </c:pt>
                <c:pt idx="54">
                  <c:v>39.700000000000003</c:v>
                </c:pt>
                <c:pt idx="55">
                  <c:v>39.43</c:v>
                </c:pt>
                <c:pt idx="56">
                  <c:v>40.94</c:v>
                </c:pt>
                <c:pt idx="57">
                  <c:v>40.479999999999997</c:v>
                </c:pt>
                <c:pt idx="58">
                  <c:v>40.15</c:v>
                </c:pt>
                <c:pt idx="59">
                  <c:v>40.39</c:v>
                </c:pt>
                <c:pt idx="60">
                  <c:v>42.22</c:v>
                </c:pt>
                <c:pt idx="61">
                  <c:v>41.94</c:v>
                </c:pt>
                <c:pt idx="62">
                  <c:v>42</c:v>
                </c:pt>
                <c:pt idx="63">
                  <c:v>42.87</c:v>
                </c:pt>
                <c:pt idx="64">
                  <c:v>42.34</c:v>
                </c:pt>
                <c:pt idx="65">
                  <c:v>42.7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83856"/>
        <c:axId val="411181504"/>
      </c:lineChart>
      <c:dateAx>
        <c:axId val="411183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1504"/>
        <c:crosses val="autoZero"/>
        <c:auto val="1"/>
        <c:lblOffset val="100"/>
        <c:baseTimeUnit val="days"/>
      </c:dateAx>
      <c:valAx>
        <c:axId val="411181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25-Feb-16</c:v>
                </c:pt>
                <c:pt idx="11">
                  <c:v>24-Feb-16</c:v>
                </c:pt>
                <c:pt idx="12">
                  <c:v>23-Feb-16</c:v>
                </c:pt>
                <c:pt idx="13">
                  <c:v>22-Feb-16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64.53</c:v>
                </c:pt>
                <c:pt idx="1">
                  <c:v>64.58</c:v>
                </c:pt>
                <c:pt idx="2">
                  <c:v>65.03</c:v>
                </c:pt>
                <c:pt idx="3">
                  <c:v>65.38</c:v>
                </c:pt>
                <c:pt idx="4">
                  <c:v>65.31</c:v>
                </c:pt>
                <c:pt idx="5">
                  <c:v>65.41</c:v>
                </c:pt>
                <c:pt idx="6">
                  <c:v>64.81</c:v>
                </c:pt>
                <c:pt idx="7">
                  <c:v>63.46</c:v>
                </c:pt>
                <c:pt idx="8">
                  <c:v>64.319999999999993</c:v>
                </c:pt>
                <c:pt idx="9">
                  <c:v>64.41</c:v>
                </c:pt>
                <c:pt idx="11">
                  <c:v>63.95</c:v>
                </c:pt>
                <c:pt idx="12">
                  <c:v>63.73</c:v>
                </c:pt>
                <c:pt idx="13">
                  <c:v>64.44</c:v>
                </c:pt>
                <c:pt idx="14">
                  <c:v>64</c:v>
                </c:pt>
                <c:pt idx="15">
                  <c:v>64.3</c:v>
                </c:pt>
                <c:pt idx="16">
                  <c:v>65.02</c:v>
                </c:pt>
                <c:pt idx="17">
                  <c:v>64.569999999999993</c:v>
                </c:pt>
                <c:pt idx="18">
                  <c:v>63.91</c:v>
                </c:pt>
                <c:pt idx="19">
                  <c:v>62.32</c:v>
                </c:pt>
                <c:pt idx="20">
                  <c:v>62.98</c:v>
                </c:pt>
                <c:pt idx="21">
                  <c:v>63.01</c:v>
                </c:pt>
                <c:pt idx="22">
                  <c:v>63.33</c:v>
                </c:pt>
                <c:pt idx="23">
                  <c:v>63.37</c:v>
                </c:pt>
                <c:pt idx="24">
                  <c:v>62.05</c:v>
                </c:pt>
                <c:pt idx="25">
                  <c:v>59.64</c:v>
                </c:pt>
                <c:pt idx="26">
                  <c:v>59.97</c:v>
                </c:pt>
                <c:pt idx="27">
                  <c:v>60.53</c:v>
                </c:pt>
                <c:pt idx="28">
                  <c:v>60.6</c:v>
                </c:pt>
                <c:pt idx="29">
                  <c:v>59.22</c:v>
                </c:pt>
                <c:pt idx="30">
                  <c:v>58.41</c:v>
                </c:pt>
                <c:pt idx="31">
                  <c:v>58.18</c:v>
                </c:pt>
                <c:pt idx="32">
                  <c:v>57.7</c:v>
                </c:pt>
                <c:pt idx="33">
                  <c:v>58.53</c:v>
                </c:pt>
                <c:pt idx="34">
                  <c:v>58.15</c:v>
                </c:pt>
                <c:pt idx="35">
                  <c:v>57.99</c:v>
                </c:pt>
                <c:pt idx="36">
                  <c:v>58.44</c:v>
                </c:pt>
                <c:pt idx="37">
                  <c:v>58.13</c:v>
                </c:pt>
                <c:pt idx="38">
                  <c:v>58.42</c:v>
                </c:pt>
                <c:pt idx="39">
                  <c:v>57.91</c:v>
                </c:pt>
                <c:pt idx="40">
                  <c:v>58.65</c:v>
                </c:pt>
                <c:pt idx="41">
                  <c:v>58.02</c:v>
                </c:pt>
                <c:pt idx="42">
                  <c:v>58.23</c:v>
                </c:pt>
                <c:pt idx="43">
                  <c:v>58.44</c:v>
                </c:pt>
                <c:pt idx="44">
                  <c:v>59.85</c:v>
                </c:pt>
                <c:pt idx="45">
                  <c:v>60.53</c:v>
                </c:pt>
                <c:pt idx="46">
                  <c:v>60.67</c:v>
                </c:pt>
                <c:pt idx="47">
                  <c:v>62.09</c:v>
                </c:pt>
                <c:pt idx="48">
                  <c:v>62.81</c:v>
                </c:pt>
                <c:pt idx="49">
                  <c:v>63.19</c:v>
                </c:pt>
                <c:pt idx="50">
                  <c:v>62.64</c:v>
                </c:pt>
                <c:pt idx="51">
                  <c:v>63.14</c:v>
                </c:pt>
                <c:pt idx="52">
                  <c:v>62.89</c:v>
                </c:pt>
                <c:pt idx="53">
                  <c:v>62.5</c:v>
                </c:pt>
                <c:pt idx="54">
                  <c:v>61.3</c:v>
                </c:pt>
                <c:pt idx="55">
                  <c:v>61.33</c:v>
                </c:pt>
                <c:pt idx="56">
                  <c:v>62.37</c:v>
                </c:pt>
                <c:pt idx="57">
                  <c:v>63.38</c:v>
                </c:pt>
                <c:pt idx="58">
                  <c:v>62.7</c:v>
                </c:pt>
                <c:pt idx="59">
                  <c:v>61.39</c:v>
                </c:pt>
                <c:pt idx="60">
                  <c:v>61.47</c:v>
                </c:pt>
                <c:pt idx="61">
                  <c:v>62.48</c:v>
                </c:pt>
                <c:pt idx="62">
                  <c:v>62.9</c:v>
                </c:pt>
                <c:pt idx="63">
                  <c:v>63.86</c:v>
                </c:pt>
                <c:pt idx="64">
                  <c:v>64.39</c:v>
                </c:pt>
                <c:pt idx="65">
                  <c:v>64.489999999999995</c:v>
                </c:pt>
                <c:pt idx="66">
                  <c:v>62.77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86992"/>
        <c:axId val="411176800"/>
      </c:lineChart>
      <c:catAx>
        <c:axId val="41118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76800"/>
        <c:crosses val="autoZero"/>
        <c:auto val="1"/>
        <c:lblAlgn val="ctr"/>
        <c:lblOffset val="100"/>
        <c:noMultiLvlLbl val="0"/>
      </c:catAx>
      <c:valAx>
        <c:axId val="4111768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3/9/2016</c:v>
                </c:pt>
                <c:pt idx="1">
                  <c:v>3/8/2016</c:v>
                </c:pt>
                <c:pt idx="2">
                  <c:v>3/7/2016</c:v>
                </c:pt>
                <c:pt idx="3">
                  <c:v>3/4/2016</c:v>
                </c:pt>
                <c:pt idx="4">
                  <c:v>3/3/2016</c:v>
                </c:pt>
                <c:pt idx="5">
                  <c:v>3/2/2016</c:v>
                </c:pt>
                <c:pt idx="6">
                  <c:v>3/1/2016</c:v>
                </c:pt>
                <c:pt idx="7">
                  <c:v>2/29/2016</c:v>
                </c:pt>
                <c:pt idx="8">
                  <c:v>2/26/2016</c:v>
                </c:pt>
                <c:pt idx="9">
                  <c:v>2/25/2016</c:v>
                </c:pt>
                <c:pt idx="10">
                  <c:v>2/24/2016</c:v>
                </c:pt>
                <c:pt idx="11">
                  <c:v>2/23/2016</c:v>
                </c:pt>
                <c:pt idx="12">
                  <c:v>2/22/2016</c:v>
                </c:pt>
                <c:pt idx="13">
                  <c:v>2/19/2016</c:v>
                </c:pt>
                <c:pt idx="14">
                  <c:v>2/18/2016</c:v>
                </c:pt>
                <c:pt idx="15">
                  <c:v>2/17/2016</c:v>
                </c:pt>
                <c:pt idx="16">
                  <c:v>2/16/2016</c:v>
                </c:pt>
                <c:pt idx="17">
                  <c:v>2/12/2016</c:v>
                </c:pt>
                <c:pt idx="18">
                  <c:v>2/11/2016</c:v>
                </c:pt>
                <c:pt idx="19">
                  <c:v>2/10/2016</c:v>
                </c:pt>
                <c:pt idx="20">
                  <c:v>2/9/2016</c:v>
                </c:pt>
                <c:pt idx="21">
                  <c:v>2/8/2016</c:v>
                </c:pt>
                <c:pt idx="22">
                  <c:v>2/5/2016</c:v>
                </c:pt>
                <c:pt idx="23">
                  <c:v>2/4/2016</c:v>
                </c:pt>
                <c:pt idx="24">
                  <c:v>2/3/2016</c:v>
                </c:pt>
                <c:pt idx="25">
                  <c:v>2/3/2016</c:v>
                </c:pt>
                <c:pt idx="26">
                  <c:v>2/2/2016</c:v>
                </c:pt>
                <c:pt idx="27">
                  <c:v>2/1/2016</c:v>
                </c:pt>
                <c:pt idx="28">
                  <c:v>1/29/2016</c:v>
                </c:pt>
                <c:pt idx="29">
                  <c:v>1/28/2016</c:v>
                </c:pt>
                <c:pt idx="30">
                  <c:v>1/27/2016</c:v>
                </c:pt>
                <c:pt idx="31">
                  <c:v>1/26/2016</c:v>
                </c:pt>
                <c:pt idx="32">
                  <c:v>1/25/2016</c:v>
                </c:pt>
                <c:pt idx="33">
                  <c:v>1/22/2016</c:v>
                </c:pt>
                <c:pt idx="34">
                  <c:v>1/21/2016</c:v>
                </c:pt>
                <c:pt idx="35">
                  <c:v>1/20/2016</c:v>
                </c:pt>
                <c:pt idx="36">
                  <c:v>1/19/2016</c:v>
                </c:pt>
                <c:pt idx="37">
                  <c:v>1/15/2016</c:v>
                </c:pt>
                <c:pt idx="38">
                  <c:v>1/14/2016</c:v>
                </c:pt>
                <c:pt idx="39">
                  <c:v>1/13/2016</c:v>
                </c:pt>
                <c:pt idx="40">
                  <c:v>1/12/2016</c:v>
                </c:pt>
                <c:pt idx="41">
                  <c:v>1/11/2016</c:v>
                </c:pt>
                <c:pt idx="42">
                  <c:v>1/8/2016</c:v>
                </c:pt>
                <c:pt idx="43">
                  <c:v>1/7/2016</c:v>
                </c:pt>
                <c:pt idx="44">
                  <c:v>1/6/2016</c:v>
                </c:pt>
                <c:pt idx="45">
                  <c:v>1/5/2016</c:v>
                </c:pt>
                <c:pt idx="46">
                  <c:v>1/4/2016</c:v>
                </c:pt>
                <c:pt idx="47">
                  <c:v>12/31/2015</c:v>
                </c:pt>
                <c:pt idx="48">
                  <c:v>12/30/2015</c:v>
                </c:pt>
                <c:pt idx="49">
                  <c:v>12/29/2015</c:v>
                </c:pt>
                <c:pt idx="50">
                  <c:v>12/28/2015</c:v>
                </c:pt>
                <c:pt idx="51">
                  <c:v>12/24/2015</c:v>
                </c:pt>
                <c:pt idx="52">
                  <c:v>12/23/2015</c:v>
                </c:pt>
                <c:pt idx="53">
                  <c:v>12/22/2015</c:v>
                </c:pt>
                <c:pt idx="54">
                  <c:v>12/21/2015</c:v>
                </c:pt>
                <c:pt idx="55">
                  <c:v>12/18/2015</c:v>
                </c:pt>
                <c:pt idx="56">
                  <c:v>12/17/2015</c:v>
                </c:pt>
                <c:pt idx="57">
                  <c:v>12/16/2015</c:v>
                </c:pt>
                <c:pt idx="58">
                  <c:v>12/15/2015</c:v>
                </c:pt>
                <c:pt idx="59">
                  <c:v>12/14/2015</c:v>
                </c:pt>
                <c:pt idx="60">
                  <c:v>12/11/2015</c:v>
                </c:pt>
                <c:pt idx="61">
                  <c:v>12/10/2015</c:v>
                </c:pt>
                <c:pt idx="62">
                  <c:v>12/9/2015</c:v>
                </c:pt>
                <c:pt idx="63">
                  <c:v>12/8/2015</c:v>
                </c:pt>
                <c:pt idx="64">
                  <c:v>12/7/2015</c:v>
                </c:pt>
                <c:pt idx="65">
                  <c:v>12/4/2015</c:v>
                </c:pt>
                <c:pt idx="66">
                  <c:v>12/3/2015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75.75</c:v>
                </c:pt>
                <c:pt idx="1">
                  <c:v>76.36</c:v>
                </c:pt>
                <c:pt idx="2">
                  <c:v>79.72</c:v>
                </c:pt>
                <c:pt idx="3">
                  <c:v>77.400000000000006</c:v>
                </c:pt>
                <c:pt idx="4">
                  <c:v>77</c:v>
                </c:pt>
                <c:pt idx="5">
                  <c:v>76.400000000000006</c:v>
                </c:pt>
                <c:pt idx="6">
                  <c:v>75.31</c:v>
                </c:pt>
                <c:pt idx="7">
                  <c:v>73.17</c:v>
                </c:pt>
                <c:pt idx="8">
                  <c:v>74.7</c:v>
                </c:pt>
                <c:pt idx="9">
                  <c:v>73.67</c:v>
                </c:pt>
                <c:pt idx="10">
                  <c:v>73.94</c:v>
                </c:pt>
                <c:pt idx="11">
                  <c:v>73.87</c:v>
                </c:pt>
                <c:pt idx="12">
                  <c:v>75.959999999999994</c:v>
                </c:pt>
                <c:pt idx="13">
                  <c:v>75</c:v>
                </c:pt>
                <c:pt idx="14">
                  <c:v>74.83</c:v>
                </c:pt>
                <c:pt idx="15">
                  <c:v>75.77</c:v>
                </c:pt>
                <c:pt idx="16">
                  <c:v>73.989999999999995</c:v>
                </c:pt>
                <c:pt idx="17">
                  <c:v>72.56</c:v>
                </c:pt>
                <c:pt idx="18">
                  <c:v>71.67</c:v>
                </c:pt>
                <c:pt idx="19">
                  <c:v>73.02</c:v>
                </c:pt>
                <c:pt idx="20">
                  <c:v>71.42</c:v>
                </c:pt>
                <c:pt idx="21">
                  <c:v>70.489999999999995</c:v>
                </c:pt>
                <c:pt idx="22">
                  <c:v>70.14</c:v>
                </c:pt>
                <c:pt idx="23">
                  <c:v>69.37</c:v>
                </c:pt>
                <c:pt idx="24">
                  <c:v>67.319999999999993</c:v>
                </c:pt>
                <c:pt idx="26">
                  <c:v>66.599999999999994</c:v>
                </c:pt>
                <c:pt idx="27">
                  <c:v>70.19</c:v>
                </c:pt>
                <c:pt idx="28">
                  <c:v>70.5</c:v>
                </c:pt>
                <c:pt idx="29">
                  <c:v>70.11</c:v>
                </c:pt>
                <c:pt idx="30">
                  <c:v>69.89</c:v>
                </c:pt>
                <c:pt idx="31">
                  <c:v>68.900000000000006</c:v>
                </c:pt>
                <c:pt idx="32">
                  <c:v>67.73</c:v>
                </c:pt>
                <c:pt idx="33">
                  <c:v>68.59</c:v>
                </c:pt>
                <c:pt idx="34">
                  <c:v>70.069999999999993</c:v>
                </c:pt>
                <c:pt idx="35">
                  <c:v>71.180000000000007</c:v>
                </c:pt>
                <c:pt idx="36">
                  <c:v>71.849999999999994</c:v>
                </c:pt>
                <c:pt idx="37">
                  <c:v>71.77</c:v>
                </c:pt>
                <c:pt idx="38">
                  <c:v>72.150000000000006</c:v>
                </c:pt>
                <c:pt idx="39">
                  <c:v>71.44</c:v>
                </c:pt>
                <c:pt idx="40">
                  <c:v>75.930000000000007</c:v>
                </c:pt>
                <c:pt idx="41">
                  <c:v>75.97</c:v>
                </c:pt>
                <c:pt idx="42">
                  <c:v>77.790000000000006</c:v>
                </c:pt>
                <c:pt idx="43">
                  <c:v>78</c:v>
                </c:pt>
                <c:pt idx="44">
                  <c:v>79.48</c:v>
                </c:pt>
                <c:pt idx="45">
                  <c:v>82.27</c:v>
                </c:pt>
                <c:pt idx="46">
                  <c:v>81.81</c:v>
                </c:pt>
                <c:pt idx="47">
                  <c:v>84.59</c:v>
                </c:pt>
                <c:pt idx="48">
                  <c:v>84.86</c:v>
                </c:pt>
                <c:pt idx="49">
                  <c:v>85.56</c:v>
                </c:pt>
                <c:pt idx="50">
                  <c:v>85.59</c:v>
                </c:pt>
                <c:pt idx="51">
                  <c:v>86.78</c:v>
                </c:pt>
                <c:pt idx="52">
                  <c:v>86.85</c:v>
                </c:pt>
                <c:pt idx="53">
                  <c:v>86.07</c:v>
                </c:pt>
                <c:pt idx="54">
                  <c:v>84.08</c:v>
                </c:pt>
                <c:pt idx="55">
                  <c:v>84.27</c:v>
                </c:pt>
                <c:pt idx="56">
                  <c:v>85.06</c:v>
                </c:pt>
                <c:pt idx="57">
                  <c:v>89.79</c:v>
                </c:pt>
                <c:pt idx="58">
                  <c:v>91.02</c:v>
                </c:pt>
                <c:pt idx="59">
                  <c:v>89.35</c:v>
                </c:pt>
                <c:pt idx="60">
                  <c:v>89.44</c:v>
                </c:pt>
                <c:pt idx="61">
                  <c:v>87.68</c:v>
                </c:pt>
                <c:pt idx="62">
                  <c:v>87.55</c:v>
                </c:pt>
                <c:pt idx="63">
                  <c:v>86.32</c:v>
                </c:pt>
                <c:pt idx="64">
                  <c:v>91.52</c:v>
                </c:pt>
                <c:pt idx="65">
                  <c:v>92.06</c:v>
                </c:pt>
                <c:pt idx="66">
                  <c:v>93.11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77192"/>
        <c:axId val="411179544"/>
      </c:lineChart>
      <c:catAx>
        <c:axId val="411177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79544"/>
        <c:crosses val="autoZero"/>
        <c:auto val="1"/>
        <c:lblAlgn val="ctr"/>
        <c:lblOffset val="100"/>
        <c:noMultiLvlLbl val="0"/>
      </c:catAx>
      <c:valAx>
        <c:axId val="4111795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7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26.2</c:v>
                </c:pt>
                <c:pt idx="1">
                  <c:v>25.08</c:v>
                </c:pt>
                <c:pt idx="2">
                  <c:v>24.19</c:v>
                </c:pt>
                <c:pt idx="3">
                  <c:v>22.39</c:v>
                </c:pt>
                <c:pt idx="4">
                  <c:v>22.49</c:v>
                </c:pt>
                <c:pt idx="5">
                  <c:v>19.46</c:v>
                </c:pt>
                <c:pt idx="6">
                  <c:v>18.010000000000002</c:v>
                </c:pt>
                <c:pt idx="7">
                  <c:v>18.43</c:v>
                </c:pt>
                <c:pt idx="8">
                  <c:v>18.8</c:v>
                </c:pt>
                <c:pt idx="9">
                  <c:v>18.64</c:v>
                </c:pt>
                <c:pt idx="10">
                  <c:v>18.899999999999999</c:v>
                </c:pt>
                <c:pt idx="11">
                  <c:v>17.95</c:v>
                </c:pt>
                <c:pt idx="12">
                  <c:v>19.079999999999998</c:v>
                </c:pt>
                <c:pt idx="13">
                  <c:v>18.82</c:v>
                </c:pt>
                <c:pt idx="14">
                  <c:v>20.05</c:v>
                </c:pt>
                <c:pt idx="15">
                  <c:v>20.79</c:v>
                </c:pt>
                <c:pt idx="16">
                  <c:v>18.37</c:v>
                </c:pt>
                <c:pt idx="17">
                  <c:v>17.38</c:v>
                </c:pt>
                <c:pt idx="18">
                  <c:v>16.670000000000002</c:v>
                </c:pt>
                <c:pt idx="19">
                  <c:v>18.63</c:v>
                </c:pt>
                <c:pt idx="20">
                  <c:v>26.35</c:v>
                </c:pt>
                <c:pt idx="21">
                  <c:v>27.94</c:v>
                </c:pt>
                <c:pt idx="22">
                  <c:v>29.57</c:v>
                </c:pt>
                <c:pt idx="23">
                  <c:v>29.49</c:v>
                </c:pt>
                <c:pt idx="24">
                  <c:v>31.36</c:v>
                </c:pt>
                <c:pt idx="25">
                  <c:v>32.04</c:v>
                </c:pt>
                <c:pt idx="26">
                  <c:v>33.76</c:v>
                </c:pt>
                <c:pt idx="27">
                  <c:v>35.65</c:v>
                </c:pt>
                <c:pt idx="28">
                  <c:v>35.619999999999997</c:v>
                </c:pt>
                <c:pt idx="29">
                  <c:v>32.840000000000003</c:v>
                </c:pt>
                <c:pt idx="30">
                  <c:v>34.24</c:v>
                </c:pt>
                <c:pt idx="31">
                  <c:v>30.62</c:v>
                </c:pt>
                <c:pt idx="32">
                  <c:v>32.04</c:v>
                </c:pt>
                <c:pt idx="33">
                  <c:v>31.77</c:v>
                </c:pt>
                <c:pt idx="34">
                  <c:v>33.82</c:v>
                </c:pt>
                <c:pt idx="35">
                  <c:v>31.09</c:v>
                </c:pt>
                <c:pt idx="36">
                  <c:v>35.200000000000003</c:v>
                </c:pt>
                <c:pt idx="37">
                  <c:v>37.119999999999997</c:v>
                </c:pt>
                <c:pt idx="38">
                  <c:v>42.76</c:v>
                </c:pt>
                <c:pt idx="39">
                  <c:v>44.72</c:v>
                </c:pt>
                <c:pt idx="40">
                  <c:v>47.69</c:v>
                </c:pt>
                <c:pt idx="41">
                  <c:v>48.81</c:v>
                </c:pt>
                <c:pt idx="42">
                  <c:v>47.07</c:v>
                </c:pt>
                <c:pt idx="43">
                  <c:v>50.2</c:v>
                </c:pt>
                <c:pt idx="44">
                  <c:v>50.44</c:v>
                </c:pt>
                <c:pt idx="45">
                  <c:v>52.79</c:v>
                </c:pt>
                <c:pt idx="46">
                  <c:v>51.02</c:v>
                </c:pt>
                <c:pt idx="47">
                  <c:v>50.8</c:v>
                </c:pt>
                <c:pt idx="48">
                  <c:v>49.74</c:v>
                </c:pt>
                <c:pt idx="49">
                  <c:v>51.31</c:v>
                </c:pt>
                <c:pt idx="50">
                  <c:v>51.98</c:v>
                </c:pt>
                <c:pt idx="51">
                  <c:v>51.48</c:v>
                </c:pt>
                <c:pt idx="52">
                  <c:v>51.32</c:v>
                </c:pt>
                <c:pt idx="53">
                  <c:v>55.09</c:v>
                </c:pt>
                <c:pt idx="54">
                  <c:v>56.91</c:v>
                </c:pt>
                <c:pt idx="55">
                  <c:v>57.26</c:v>
                </c:pt>
                <c:pt idx="56">
                  <c:v>53.69</c:v>
                </c:pt>
                <c:pt idx="57">
                  <c:v>40.049999999999997</c:v>
                </c:pt>
                <c:pt idx="58">
                  <c:v>41.59</c:v>
                </c:pt>
                <c:pt idx="59">
                  <c:v>37.04</c:v>
                </c:pt>
                <c:pt idx="60">
                  <c:v>36.65</c:v>
                </c:pt>
                <c:pt idx="61">
                  <c:v>35.840000000000003</c:v>
                </c:pt>
                <c:pt idx="62">
                  <c:v>34.619999999999997</c:v>
                </c:pt>
                <c:pt idx="63">
                  <c:v>35.9</c:v>
                </c:pt>
                <c:pt idx="64">
                  <c:v>35.99</c:v>
                </c:pt>
                <c:pt idx="65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90912"/>
        <c:axId val="411187776"/>
      </c:lineChart>
      <c:dateAx>
        <c:axId val="411190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7776"/>
        <c:crosses val="autoZero"/>
        <c:auto val="1"/>
        <c:lblOffset val="100"/>
        <c:baseTimeUnit val="days"/>
      </c:dateAx>
      <c:valAx>
        <c:axId val="41118777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9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9.3000000000000007</c:v>
                </c:pt>
                <c:pt idx="1">
                  <c:v>9.4</c:v>
                </c:pt>
                <c:pt idx="2">
                  <c:v>9.41</c:v>
                </c:pt>
                <c:pt idx="3">
                  <c:v>9.5500000000000007</c:v>
                </c:pt>
                <c:pt idx="4">
                  <c:v>9.4</c:v>
                </c:pt>
                <c:pt idx="5">
                  <c:v>9.2799999999999994</c:v>
                </c:pt>
                <c:pt idx="6">
                  <c:v>9.19</c:v>
                </c:pt>
                <c:pt idx="7">
                  <c:v>9.09</c:v>
                </c:pt>
                <c:pt idx="8">
                  <c:v>9.2899999999999991</c:v>
                </c:pt>
                <c:pt idx="9">
                  <c:v>9.3000000000000007</c:v>
                </c:pt>
                <c:pt idx="10">
                  <c:v>9.25</c:v>
                </c:pt>
                <c:pt idx="11">
                  <c:v>9.15</c:v>
                </c:pt>
                <c:pt idx="12">
                  <c:v>9.08</c:v>
                </c:pt>
                <c:pt idx="13">
                  <c:v>8.8000000000000007</c:v>
                </c:pt>
                <c:pt idx="14">
                  <c:v>8.99</c:v>
                </c:pt>
                <c:pt idx="15">
                  <c:v>8.9499999999999993</c:v>
                </c:pt>
                <c:pt idx="16">
                  <c:v>9</c:v>
                </c:pt>
                <c:pt idx="17">
                  <c:v>8.89</c:v>
                </c:pt>
                <c:pt idx="18">
                  <c:v>8.67</c:v>
                </c:pt>
                <c:pt idx="19">
                  <c:v>8.89</c:v>
                </c:pt>
                <c:pt idx="20">
                  <c:v>8.89</c:v>
                </c:pt>
                <c:pt idx="21">
                  <c:v>9.06</c:v>
                </c:pt>
                <c:pt idx="22">
                  <c:v>8.81</c:v>
                </c:pt>
                <c:pt idx="23">
                  <c:v>9.0399999999999991</c:v>
                </c:pt>
                <c:pt idx="24">
                  <c:v>8.82</c:v>
                </c:pt>
                <c:pt idx="25">
                  <c:v>9.1</c:v>
                </c:pt>
                <c:pt idx="26">
                  <c:v>9.2899999999999991</c:v>
                </c:pt>
                <c:pt idx="27">
                  <c:v>9.1999999999999993</c:v>
                </c:pt>
                <c:pt idx="28">
                  <c:v>9.1300000000000008</c:v>
                </c:pt>
                <c:pt idx="29">
                  <c:v>8.3000000000000007</c:v>
                </c:pt>
                <c:pt idx="30">
                  <c:v>8.1300000000000008</c:v>
                </c:pt>
                <c:pt idx="31">
                  <c:v>8.11</c:v>
                </c:pt>
                <c:pt idx="32">
                  <c:v>8.3000000000000007</c:v>
                </c:pt>
                <c:pt idx="33">
                  <c:v>8.0399999999999991</c:v>
                </c:pt>
                <c:pt idx="34">
                  <c:v>7.9</c:v>
                </c:pt>
                <c:pt idx="35">
                  <c:v>8.23</c:v>
                </c:pt>
                <c:pt idx="36">
                  <c:v>7.93</c:v>
                </c:pt>
                <c:pt idx="37">
                  <c:v>8.2799999999999994</c:v>
                </c:pt>
                <c:pt idx="38">
                  <c:v>8.08</c:v>
                </c:pt>
                <c:pt idx="39">
                  <c:v>8.14</c:v>
                </c:pt>
                <c:pt idx="40">
                  <c:v>7.94</c:v>
                </c:pt>
                <c:pt idx="41">
                  <c:v>7.85</c:v>
                </c:pt>
                <c:pt idx="42">
                  <c:v>7.8</c:v>
                </c:pt>
                <c:pt idx="43">
                  <c:v>8</c:v>
                </c:pt>
                <c:pt idx="44">
                  <c:v>8.2799999999999994</c:v>
                </c:pt>
                <c:pt idx="45">
                  <c:v>7.92</c:v>
                </c:pt>
                <c:pt idx="46">
                  <c:v>8.3000000000000007</c:v>
                </c:pt>
                <c:pt idx="47">
                  <c:v>8.35</c:v>
                </c:pt>
                <c:pt idx="48">
                  <c:v>8.56</c:v>
                </c:pt>
                <c:pt idx="49">
                  <c:v>8.43</c:v>
                </c:pt>
                <c:pt idx="50">
                  <c:v>8.4600000000000009</c:v>
                </c:pt>
                <c:pt idx="51">
                  <c:v>8.56</c:v>
                </c:pt>
                <c:pt idx="52">
                  <c:v>8.4700000000000006</c:v>
                </c:pt>
                <c:pt idx="53">
                  <c:v>8.49</c:v>
                </c:pt>
                <c:pt idx="54">
                  <c:v>8.56</c:v>
                </c:pt>
                <c:pt idx="55">
                  <c:v>8.69</c:v>
                </c:pt>
                <c:pt idx="56">
                  <c:v>8.85</c:v>
                </c:pt>
                <c:pt idx="57">
                  <c:v>8.74</c:v>
                </c:pt>
                <c:pt idx="58">
                  <c:v>8.81</c:v>
                </c:pt>
                <c:pt idx="59">
                  <c:v>8.85</c:v>
                </c:pt>
                <c:pt idx="60">
                  <c:v>8.9499999999999993</c:v>
                </c:pt>
                <c:pt idx="61">
                  <c:v>9.02</c:v>
                </c:pt>
                <c:pt idx="62">
                  <c:v>8.9</c:v>
                </c:pt>
                <c:pt idx="63">
                  <c:v>9.23</c:v>
                </c:pt>
                <c:pt idx="64">
                  <c:v>9.16</c:v>
                </c:pt>
                <c:pt idx="65">
                  <c:v>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89344"/>
        <c:axId val="411190128"/>
      </c:lineChart>
      <c:dateAx>
        <c:axId val="41118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90128"/>
        <c:crosses val="autoZero"/>
        <c:auto val="1"/>
        <c:lblOffset val="100"/>
        <c:baseTimeUnit val="days"/>
      </c:dateAx>
      <c:valAx>
        <c:axId val="41119012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8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2-Feb-16</c:v>
                </c:pt>
                <c:pt idx="26">
                  <c:v>1-Feb-16</c:v>
                </c:pt>
                <c:pt idx="27">
                  <c:v>29-Jan-16</c:v>
                </c:pt>
                <c:pt idx="28">
                  <c:v>28-Jan-16</c:v>
                </c:pt>
                <c:pt idx="29">
                  <c:v>27-Jan-16</c:v>
                </c:pt>
                <c:pt idx="30">
                  <c:v>26-Jan-16</c:v>
                </c:pt>
                <c:pt idx="31">
                  <c:v>25-Jan-16</c:v>
                </c:pt>
                <c:pt idx="32">
                  <c:v>22-Jan-16</c:v>
                </c:pt>
                <c:pt idx="33">
                  <c:v>21-Jan-16</c:v>
                </c:pt>
                <c:pt idx="34">
                  <c:v>20-Jan-16</c:v>
                </c:pt>
                <c:pt idx="35">
                  <c:v>19-Jan-16</c:v>
                </c:pt>
                <c:pt idx="36">
                  <c:v>15-Jan-16</c:v>
                </c:pt>
                <c:pt idx="37">
                  <c:v>14-Jan-16</c:v>
                </c:pt>
                <c:pt idx="38">
                  <c:v>13-Jan-16</c:v>
                </c:pt>
                <c:pt idx="39">
                  <c:v>12-Jan-16</c:v>
                </c:pt>
                <c:pt idx="40">
                  <c:v>11-Jan-16</c:v>
                </c:pt>
                <c:pt idx="41">
                  <c:v>8-Jan-16</c:v>
                </c:pt>
                <c:pt idx="42">
                  <c:v>7-Jan-16</c:v>
                </c:pt>
                <c:pt idx="43">
                  <c:v>6-Jan-16</c:v>
                </c:pt>
                <c:pt idx="44">
                  <c:v>5-Jan-16</c:v>
                </c:pt>
                <c:pt idx="45">
                  <c:v>4-Jan-16</c:v>
                </c:pt>
                <c:pt idx="46">
                  <c:v>31-Dec-15</c:v>
                </c:pt>
                <c:pt idx="47">
                  <c:v>30-Dec-15</c:v>
                </c:pt>
                <c:pt idx="48">
                  <c:v>29-Dec-15</c:v>
                </c:pt>
                <c:pt idx="49">
                  <c:v>28-Dec-15</c:v>
                </c:pt>
                <c:pt idx="50">
                  <c:v>24-Dec-15</c:v>
                </c:pt>
                <c:pt idx="51">
                  <c:v>23-Dec-15</c:v>
                </c:pt>
                <c:pt idx="52">
                  <c:v>22-Dec-15</c:v>
                </c:pt>
                <c:pt idx="53">
                  <c:v>21-Dec-15</c:v>
                </c:pt>
                <c:pt idx="54">
                  <c:v>18-Dec-15</c:v>
                </c:pt>
                <c:pt idx="55">
                  <c:v>17-Dec-15</c:v>
                </c:pt>
                <c:pt idx="56">
                  <c:v>16-Dec-15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141.96</c:v>
                </c:pt>
                <c:pt idx="1">
                  <c:v>139.63</c:v>
                </c:pt>
                <c:pt idx="2">
                  <c:v>143.51</c:v>
                </c:pt>
                <c:pt idx="3">
                  <c:v>146.06</c:v>
                </c:pt>
                <c:pt idx="4">
                  <c:v>137.33000000000001</c:v>
                </c:pt>
                <c:pt idx="5">
                  <c:v>136.97</c:v>
                </c:pt>
                <c:pt idx="6">
                  <c:v>138.43</c:v>
                </c:pt>
                <c:pt idx="7">
                  <c:v>133.97</c:v>
                </c:pt>
                <c:pt idx="8">
                  <c:v>133.11000000000001</c:v>
                </c:pt>
                <c:pt idx="9">
                  <c:v>132.47</c:v>
                </c:pt>
                <c:pt idx="10">
                  <c:v>130.34</c:v>
                </c:pt>
                <c:pt idx="11">
                  <c:v>128.16</c:v>
                </c:pt>
                <c:pt idx="12">
                  <c:v>130.63999999999999</c:v>
                </c:pt>
                <c:pt idx="13">
                  <c:v>128.66999999999999</c:v>
                </c:pt>
                <c:pt idx="14">
                  <c:v>127.07</c:v>
                </c:pt>
                <c:pt idx="15">
                  <c:v>130.68</c:v>
                </c:pt>
                <c:pt idx="16">
                  <c:v>126.24</c:v>
                </c:pt>
                <c:pt idx="17">
                  <c:v>121.66</c:v>
                </c:pt>
                <c:pt idx="18">
                  <c:v>116.31</c:v>
                </c:pt>
                <c:pt idx="19">
                  <c:v>119.2</c:v>
                </c:pt>
                <c:pt idx="20">
                  <c:v>119.71</c:v>
                </c:pt>
                <c:pt idx="21">
                  <c:v>121.86</c:v>
                </c:pt>
                <c:pt idx="22">
                  <c:v>128.36000000000001</c:v>
                </c:pt>
                <c:pt idx="23">
                  <c:v>136.12</c:v>
                </c:pt>
                <c:pt idx="24">
                  <c:v>131.36000000000001</c:v>
                </c:pt>
                <c:pt idx="25">
                  <c:v>133.24</c:v>
                </c:pt>
                <c:pt idx="26">
                  <c:v>137.68</c:v>
                </c:pt>
                <c:pt idx="27">
                  <c:v>133.71</c:v>
                </c:pt>
                <c:pt idx="28">
                  <c:v>126.37</c:v>
                </c:pt>
                <c:pt idx="29">
                  <c:v>122.35</c:v>
                </c:pt>
                <c:pt idx="30">
                  <c:v>124.39</c:v>
                </c:pt>
                <c:pt idx="31">
                  <c:v>124.49</c:v>
                </c:pt>
                <c:pt idx="32">
                  <c:v>124.51</c:v>
                </c:pt>
                <c:pt idx="33">
                  <c:v>124.53</c:v>
                </c:pt>
                <c:pt idx="34">
                  <c:v>123.83</c:v>
                </c:pt>
                <c:pt idx="35">
                  <c:v>120.07</c:v>
                </c:pt>
                <c:pt idx="36">
                  <c:v>119.97</c:v>
                </c:pt>
                <c:pt idx="37">
                  <c:v>125.19</c:v>
                </c:pt>
                <c:pt idx="38">
                  <c:v>123.31</c:v>
                </c:pt>
                <c:pt idx="39">
                  <c:v>129.91999999999999</c:v>
                </c:pt>
                <c:pt idx="40">
                  <c:v>128.04</c:v>
                </c:pt>
                <c:pt idx="41">
                  <c:v>128.19999999999999</c:v>
                </c:pt>
                <c:pt idx="42">
                  <c:v>129.05000000000001</c:v>
                </c:pt>
                <c:pt idx="43">
                  <c:v>133.29</c:v>
                </c:pt>
                <c:pt idx="44">
                  <c:v>137.52000000000001</c:v>
                </c:pt>
                <c:pt idx="45">
                  <c:v>142.28</c:v>
                </c:pt>
                <c:pt idx="46">
                  <c:v>145.15</c:v>
                </c:pt>
                <c:pt idx="47">
                  <c:v>147.37</c:v>
                </c:pt>
                <c:pt idx="48">
                  <c:v>147.94</c:v>
                </c:pt>
                <c:pt idx="49">
                  <c:v>146.35</c:v>
                </c:pt>
                <c:pt idx="50">
                  <c:v>146.32</c:v>
                </c:pt>
                <c:pt idx="51">
                  <c:v>146.51</c:v>
                </c:pt>
                <c:pt idx="52">
                  <c:v>145.1</c:v>
                </c:pt>
                <c:pt idx="53">
                  <c:v>145.80000000000001</c:v>
                </c:pt>
                <c:pt idx="54">
                  <c:v>140.19999999999999</c:v>
                </c:pt>
                <c:pt idx="55">
                  <c:v>140.47999999999999</c:v>
                </c:pt>
                <c:pt idx="56">
                  <c:v>143.88</c:v>
                </c:pt>
                <c:pt idx="58">
                  <c:v>143.27000000000001</c:v>
                </c:pt>
                <c:pt idx="59">
                  <c:v>142.51</c:v>
                </c:pt>
                <c:pt idx="60">
                  <c:v>144.41999999999999</c:v>
                </c:pt>
                <c:pt idx="61">
                  <c:v>147.33000000000001</c:v>
                </c:pt>
                <c:pt idx="62">
                  <c:v>145.65</c:v>
                </c:pt>
                <c:pt idx="63">
                  <c:v>147.78</c:v>
                </c:pt>
                <c:pt idx="64">
                  <c:v>148.83000000000001</c:v>
                </c:pt>
                <c:pt idx="65">
                  <c:v>147.56</c:v>
                </c:pt>
                <c:pt idx="66">
                  <c:v>144.78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20592"/>
        <c:axId val="412217456"/>
      </c:lineChart>
      <c:catAx>
        <c:axId val="412220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7456"/>
        <c:crosses val="autoZero"/>
        <c:auto val="1"/>
        <c:lblAlgn val="ctr"/>
        <c:lblOffset val="100"/>
        <c:noMultiLvlLbl val="0"/>
      </c:catAx>
      <c:valAx>
        <c:axId val="4122174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2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46.74</c:v>
                </c:pt>
                <c:pt idx="1">
                  <c:v>46.22</c:v>
                </c:pt>
                <c:pt idx="2">
                  <c:v>48.39</c:v>
                </c:pt>
                <c:pt idx="3">
                  <c:v>48.67</c:v>
                </c:pt>
                <c:pt idx="4">
                  <c:v>48.79</c:v>
                </c:pt>
                <c:pt idx="5">
                  <c:v>48.55</c:v>
                </c:pt>
                <c:pt idx="6">
                  <c:v>48.9</c:v>
                </c:pt>
                <c:pt idx="7">
                  <c:v>48.24</c:v>
                </c:pt>
                <c:pt idx="8">
                  <c:v>47.86</c:v>
                </c:pt>
                <c:pt idx="9">
                  <c:v>49.2</c:v>
                </c:pt>
                <c:pt idx="10">
                  <c:v>48.94</c:v>
                </c:pt>
                <c:pt idx="11">
                  <c:v>48.95</c:v>
                </c:pt>
                <c:pt idx="12">
                  <c:v>48.82</c:v>
                </c:pt>
                <c:pt idx="13">
                  <c:v>46.72</c:v>
                </c:pt>
                <c:pt idx="14">
                  <c:v>46.46</c:v>
                </c:pt>
                <c:pt idx="15">
                  <c:v>46.1</c:v>
                </c:pt>
                <c:pt idx="16">
                  <c:v>44.58</c:v>
                </c:pt>
                <c:pt idx="17">
                  <c:v>42.99</c:v>
                </c:pt>
                <c:pt idx="19">
                  <c:v>42.7</c:v>
                </c:pt>
                <c:pt idx="20">
                  <c:v>43.27</c:v>
                </c:pt>
                <c:pt idx="21">
                  <c:v>41.98</c:v>
                </c:pt>
                <c:pt idx="22">
                  <c:v>40.770000000000003</c:v>
                </c:pt>
                <c:pt idx="23">
                  <c:v>42.01</c:v>
                </c:pt>
                <c:pt idx="24">
                  <c:v>44.04</c:v>
                </c:pt>
                <c:pt idx="25">
                  <c:v>43.8</c:v>
                </c:pt>
                <c:pt idx="26">
                  <c:v>43.61</c:v>
                </c:pt>
                <c:pt idx="27">
                  <c:v>45.21</c:v>
                </c:pt>
                <c:pt idx="28">
                  <c:v>44.29</c:v>
                </c:pt>
                <c:pt idx="29">
                  <c:v>43.2</c:v>
                </c:pt>
                <c:pt idx="30">
                  <c:v>44.72</c:v>
                </c:pt>
                <c:pt idx="31">
                  <c:v>46.11</c:v>
                </c:pt>
                <c:pt idx="32">
                  <c:v>45.94</c:v>
                </c:pt>
                <c:pt idx="33">
                  <c:v>46.76</c:v>
                </c:pt>
                <c:pt idx="34">
                  <c:v>46.52</c:v>
                </c:pt>
                <c:pt idx="35">
                  <c:v>45.69</c:v>
                </c:pt>
                <c:pt idx="36">
                  <c:v>45.96</c:v>
                </c:pt>
                <c:pt idx="37">
                  <c:v>44.5</c:v>
                </c:pt>
                <c:pt idx="38">
                  <c:v>45.34</c:v>
                </c:pt>
                <c:pt idx="39">
                  <c:v>44.94</c:v>
                </c:pt>
                <c:pt idx="40">
                  <c:v>46.96</c:v>
                </c:pt>
                <c:pt idx="41">
                  <c:v>46.74</c:v>
                </c:pt>
                <c:pt idx="42">
                  <c:v>46.61</c:v>
                </c:pt>
                <c:pt idx="43">
                  <c:v>47</c:v>
                </c:pt>
                <c:pt idx="44">
                  <c:v>48.93</c:v>
                </c:pt>
                <c:pt idx="45">
                  <c:v>48.57</c:v>
                </c:pt>
                <c:pt idx="46">
                  <c:v>48.66</c:v>
                </c:pt>
                <c:pt idx="47">
                  <c:v>50.69</c:v>
                </c:pt>
                <c:pt idx="48">
                  <c:v>51.17</c:v>
                </c:pt>
                <c:pt idx="49">
                  <c:v>52.17</c:v>
                </c:pt>
                <c:pt idx="50">
                  <c:v>51.95</c:v>
                </c:pt>
                <c:pt idx="51">
                  <c:v>52.26</c:v>
                </c:pt>
                <c:pt idx="52">
                  <c:v>51.74</c:v>
                </c:pt>
                <c:pt idx="53">
                  <c:v>51.75</c:v>
                </c:pt>
                <c:pt idx="54">
                  <c:v>51.46</c:v>
                </c:pt>
                <c:pt idx="55">
                  <c:v>49.96</c:v>
                </c:pt>
                <c:pt idx="56">
                  <c:v>51.03</c:v>
                </c:pt>
                <c:pt idx="57">
                  <c:v>52.12</c:v>
                </c:pt>
                <c:pt idx="58">
                  <c:v>51.15</c:v>
                </c:pt>
                <c:pt idx="59">
                  <c:v>50.18</c:v>
                </c:pt>
                <c:pt idx="60">
                  <c:v>49.28</c:v>
                </c:pt>
                <c:pt idx="61">
                  <c:v>51.28</c:v>
                </c:pt>
                <c:pt idx="62">
                  <c:v>49.51</c:v>
                </c:pt>
                <c:pt idx="63">
                  <c:v>50.27</c:v>
                </c:pt>
                <c:pt idx="64">
                  <c:v>51.78</c:v>
                </c:pt>
                <c:pt idx="65">
                  <c:v>49.78</c:v>
                </c:pt>
                <c:pt idx="66">
                  <c:v>48.22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05696"/>
        <c:axId val="412216280"/>
      </c:lineChart>
      <c:catAx>
        <c:axId val="412205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6280"/>
        <c:crosses val="autoZero"/>
        <c:auto val="1"/>
        <c:lblAlgn val="ctr"/>
        <c:lblOffset val="100"/>
        <c:noMultiLvlLbl val="0"/>
      </c:catAx>
      <c:valAx>
        <c:axId val="41221628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97.66</c:v>
                </c:pt>
                <c:pt idx="1">
                  <c:v>97.82</c:v>
                </c:pt>
                <c:pt idx="2">
                  <c:v>99.39</c:v>
                </c:pt>
                <c:pt idx="3">
                  <c:v>98.48</c:v>
                </c:pt>
                <c:pt idx="4">
                  <c:v>98.82</c:v>
                </c:pt>
                <c:pt idx="5">
                  <c:v>97</c:v>
                </c:pt>
                <c:pt idx="6">
                  <c:v>97.65</c:v>
                </c:pt>
                <c:pt idx="7">
                  <c:v>95.52</c:v>
                </c:pt>
                <c:pt idx="8">
                  <c:v>95.31</c:v>
                </c:pt>
                <c:pt idx="9">
                  <c:v>95.65</c:v>
                </c:pt>
                <c:pt idx="10">
                  <c:v>95.43</c:v>
                </c:pt>
                <c:pt idx="11">
                  <c:v>95.38</c:v>
                </c:pt>
                <c:pt idx="12">
                  <c:v>96.37</c:v>
                </c:pt>
                <c:pt idx="13">
                  <c:v>95.01</c:v>
                </c:pt>
                <c:pt idx="14">
                  <c:v>95.17</c:v>
                </c:pt>
                <c:pt idx="15">
                  <c:v>95.5</c:v>
                </c:pt>
                <c:pt idx="16">
                  <c:v>92.91</c:v>
                </c:pt>
                <c:pt idx="17">
                  <c:v>91.15</c:v>
                </c:pt>
                <c:pt idx="18">
                  <c:v>90.31</c:v>
                </c:pt>
                <c:pt idx="19">
                  <c:v>88.85</c:v>
                </c:pt>
                <c:pt idx="20">
                  <c:v>92.32</c:v>
                </c:pt>
                <c:pt idx="21">
                  <c:v>92.12</c:v>
                </c:pt>
                <c:pt idx="22">
                  <c:v>93.9</c:v>
                </c:pt>
                <c:pt idx="23">
                  <c:v>95.43</c:v>
                </c:pt>
                <c:pt idx="24">
                  <c:v>95.14</c:v>
                </c:pt>
                <c:pt idx="25">
                  <c:v>93.12</c:v>
                </c:pt>
                <c:pt idx="26">
                  <c:v>95.15</c:v>
                </c:pt>
                <c:pt idx="27">
                  <c:v>95.82</c:v>
                </c:pt>
                <c:pt idx="28">
                  <c:v>93.53</c:v>
                </c:pt>
                <c:pt idx="29">
                  <c:v>94.32</c:v>
                </c:pt>
                <c:pt idx="30">
                  <c:v>96.27</c:v>
                </c:pt>
                <c:pt idx="31">
                  <c:v>95.29</c:v>
                </c:pt>
                <c:pt idx="32">
                  <c:v>96.9</c:v>
                </c:pt>
                <c:pt idx="33">
                  <c:v>94.02</c:v>
                </c:pt>
                <c:pt idx="34">
                  <c:v>92.54</c:v>
                </c:pt>
                <c:pt idx="35">
                  <c:v>93.97</c:v>
                </c:pt>
                <c:pt idx="36">
                  <c:v>93.9</c:v>
                </c:pt>
                <c:pt idx="37">
                  <c:v>99.11</c:v>
                </c:pt>
                <c:pt idx="38">
                  <c:v>98.48</c:v>
                </c:pt>
                <c:pt idx="39">
                  <c:v>101.46</c:v>
                </c:pt>
                <c:pt idx="40">
                  <c:v>99.92</c:v>
                </c:pt>
                <c:pt idx="41">
                  <c:v>99.25</c:v>
                </c:pt>
                <c:pt idx="42">
                  <c:v>99.5</c:v>
                </c:pt>
                <c:pt idx="43">
                  <c:v>100.36</c:v>
                </c:pt>
                <c:pt idx="44">
                  <c:v>100.9</c:v>
                </c:pt>
                <c:pt idx="45">
                  <c:v>102.98</c:v>
                </c:pt>
                <c:pt idx="46">
                  <c:v>105.08</c:v>
                </c:pt>
                <c:pt idx="47">
                  <c:v>106.34</c:v>
                </c:pt>
                <c:pt idx="48">
                  <c:v>107.08</c:v>
                </c:pt>
                <c:pt idx="49">
                  <c:v>107.25</c:v>
                </c:pt>
                <c:pt idx="50">
                  <c:v>105.86</c:v>
                </c:pt>
                <c:pt idx="51">
                  <c:v>105.56</c:v>
                </c:pt>
                <c:pt idx="52">
                  <c:v>106.74</c:v>
                </c:pt>
                <c:pt idx="53">
                  <c:v>106.59</c:v>
                </c:pt>
                <c:pt idx="54">
                  <c:v>107.72</c:v>
                </c:pt>
                <c:pt idx="55">
                  <c:v>112.01</c:v>
                </c:pt>
                <c:pt idx="56">
                  <c:v>113.79</c:v>
                </c:pt>
                <c:pt idx="57">
                  <c:v>112.16</c:v>
                </c:pt>
                <c:pt idx="58">
                  <c:v>109.35</c:v>
                </c:pt>
                <c:pt idx="59">
                  <c:v>108.04</c:v>
                </c:pt>
                <c:pt idx="60">
                  <c:v>110.76</c:v>
                </c:pt>
                <c:pt idx="61">
                  <c:v>111.47</c:v>
                </c:pt>
                <c:pt idx="62">
                  <c:v>112.48</c:v>
                </c:pt>
                <c:pt idx="63">
                  <c:v>113.83</c:v>
                </c:pt>
                <c:pt idx="64">
                  <c:v>114.24</c:v>
                </c:pt>
                <c:pt idx="65">
                  <c:v>111.89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04912"/>
        <c:axId val="412210008"/>
      </c:lineChart>
      <c:dateAx>
        <c:axId val="41220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0008"/>
        <c:crosses val="autoZero"/>
        <c:auto val="1"/>
        <c:lblOffset val="100"/>
        <c:baseTimeUnit val="days"/>
      </c:dateAx>
      <c:valAx>
        <c:axId val="412210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0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42438</c:v>
                </c:pt>
                <c:pt idx="2">
                  <c:v>42437</c:v>
                </c:pt>
                <c:pt idx="3">
                  <c:v>42436</c:v>
                </c:pt>
                <c:pt idx="4">
                  <c:v>42433</c:v>
                </c:pt>
                <c:pt idx="5">
                  <c:v>42432</c:v>
                </c:pt>
                <c:pt idx="6">
                  <c:v>42431</c:v>
                </c:pt>
                <c:pt idx="7">
                  <c:v>42430</c:v>
                </c:pt>
                <c:pt idx="8">
                  <c:v>42429</c:v>
                </c:pt>
                <c:pt idx="9">
                  <c:v>42426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  <c:pt idx="66">
                  <c:v>42342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5.17</c:v>
                </c:pt>
                <c:pt idx="2">
                  <c:v>5.65</c:v>
                </c:pt>
                <c:pt idx="3">
                  <c:v>5.79</c:v>
                </c:pt>
                <c:pt idx="4">
                  <c:v>5.57</c:v>
                </c:pt>
                <c:pt idx="5">
                  <c:v>5.69</c:v>
                </c:pt>
                <c:pt idx="6">
                  <c:v>5.63</c:v>
                </c:pt>
                <c:pt idx="7">
                  <c:v>5.47</c:v>
                </c:pt>
                <c:pt idx="8">
                  <c:v>5.41</c:v>
                </c:pt>
                <c:pt idx="9">
                  <c:v>5.43</c:v>
                </c:pt>
                <c:pt idx="10">
                  <c:v>5.31</c:v>
                </c:pt>
                <c:pt idx="11">
                  <c:v>5.3</c:v>
                </c:pt>
                <c:pt idx="12">
                  <c:v>5.08</c:v>
                </c:pt>
                <c:pt idx="13">
                  <c:v>4.51</c:v>
                </c:pt>
                <c:pt idx="14">
                  <c:v>4.4400000000000004</c:v>
                </c:pt>
                <c:pt idx="15">
                  <c:v>4.54</c:v>
                </c:pt>
                <c:pt idx="16">
                  <c:v>4.42</c:v>
                </c:pt>
                <c:pt idx="17">
                  <c:v>4.25</c:v>
                </c:pt>
                <c:pt idx="18">
                  <c:v>4.24</c:v>
                </c:pt>
                <c:pt idx="19">
                  <c:v>4.17</c:v>
                </c:pt>
                <c:pt idx="20">
                  <c:v>4.17</c:v>
                </c:pt>
                <c:pt idx="21">
                  <c:v>4.32</c:v>
                </c:pt>
                <c:pt idx="22">
                  <c:v>4.32</c:v>
                </c:pt>
                <c:pt idx="23">
                  <c:v>4.68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4.3499999999999996</c:v>
                </c:pt>
                <c:pt idx="27">
                  <c:v>4.58</c:v>
                </c:pt>
                <c:pt idx="28">
                  <c:v>4.55</c:v>
                </c:pt>
                <c:pt idx="29">
                  <c:v>4.51</c:v>
                </c:pt>
                <c:pt idx="30">
                  <c:v>4.45</c:v>
                </c:pt>
                <c:pt idx="31">
                  <c:v>4.42</c:v>
                </c:pt>
                <c:pt idx="32">
                  <c:v>4.1900000000000004</c:v>
                </c:pt>
                <c:pt idx="33">
                  <c:v>4.3600000000000003</c:v>
                </c:pt>
                <c:pt idx="34">
                  <c:v>4</c:v>
                </c:pt>
                <c:pt idx="35">
                  <c:v>3.94</c:v>
                </c:pt>
                <c:pt idx="36">
                  <c:v>4.18</c:v>
                </c:pt>
                <c:pt idx="37">
                  <c:v>4.24</c:v>
                </c:pt>
                <c:pt idx="38">
                  <c:v>4.37</c:v>
                </c:pt>
                <c:pt idx="39">
                  <c:v>4.17</c:v>
                </c:pt>
                <c:pt idx="40">
                  <c:v>4.38</c:v>
                </c:pt>
                <c:pt idx="41">
                  <c:v>4.51</c:v>
                </c:pt>
                <c:pt idx="42">
                  <c:v>4.67</c:v>
                </c:pt>
                <c:pt idx="43">
                  <c:v>4.6900000000000004</c:v>
                </c:pt>
                <c:pt idx="44">
                  <c:v>4.76</c:v>
                </c:pt>
                <c:pt idx="45">
                  <c:v>4.72</c:v>
                </c:pt>
                <c:pt idx="46">
                  <c:v>4.6500000000000004</c:v>
                </c:pt>
                <c:pt idx="47">
                  <c:v>4.67</c:v>
                </c:pt>
                <c:pt idx="48">
                  <c:v>4.66</c:v>
                </c:pt>
                <c:pt idx="49">
                  <c:v>4.82</c:v>
                </c:pt>
                <c:pt idx="50">
                  <c:v>4.8499999999999996</c:v>
                </c:pt>
                <c:pt idx="51">
                  <c:v>4.8600000000000003</c:v>
                </c:pt>
                <c:pt idx="52">
                  <c:v>4.8499999999999996</c:v>
                </c:pt>
                <c:pt idx="53">
                  <c:v>4.6500000000000004</c:v>
                </c:pt>
                <c:pt idx="54">
                  <c:v>4.6399999999999997</c:v>
                </c:pt>
                <c:pt idx="55">
                  <c:v>4.6399999999999997</c:v>
                </c:pt>
                <c:pt idx="56">
                  <c:v>4.79</c:v>
                </c:pt>
                <c:pt idx="57">
                  <c:v>4.74</c:v>
                </c:pt>
                <c:pt idx="58">
                  <c:v>4.5199999999999996</c:v>
                </c:pt>
                <c:pt idx="59">
                  <c:v>4.5</c:v>
                </c:pt>
                <c:pt idx="60">
                  <c:v>4.57</c:v>
                </c:pt>
                <c:pt idx="62">
                  <c:v>4.88</c:v>
                </c:pt>
                <c:pt idx="63">
                  <c:v>4.92</c:v>
                </c:pt>
                <c:pt idx="64">
                  <c:v>4.95</c:v>
                </c:pt>
                <c:pt idx="65">
                  <c:v>5.0599999999999996</c:v>
                </c:pt>
                <c:pt idx="66">
                  <c:v>5.0999999999999996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14712"/>
        <c:axId val="412214320"/>
      </c:lineChart>
      <c:dateAx>
        <c:axId val="412214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4320"/>
        <c:crosses val="autoZero"/>
        <c:auto val="1"/>
        <c:lblOffset val="100"/>
        <c:baseTimeUnit val="days"/>
      </c:dateAx>
      <c:valAx>
        <c:axId val="4122143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2-Feb-16</c:v>
                </c:pt>
                <c:pt idx="26">
                  <c:v>1-Feb-16</c:v>
                </c:pt>
                <c:pt idx="27">
                  <c:v>29-Jan-16</c:v>
                </c:pt>
                <c:pt idx="28">
                  <c:v>28-Jan-16</c:v>
                </c:pt>
                <c:pt idx="29">
                  <c:v>27-Jan-16</c:v>
                </c:pt>
                <c:pt idx="30">
                  <c:v>26-Jan-16</c:v>
                </c:pt>
                <c:pt idx="31">
                  <c:v>25-Jan-16</c:v>
                </c:pt>
                <c:pt idx="32">
                  <c:v>22-Jan-16</c:v>
                </c:pt>
                <c:pt idx="33">
                  <c:v>21-Jan-16</c:v>
                </c:pt>
                <c:pt idx="34">
                  <c:v>20-Jan-16</c:v>
                </c:pt>
                <c:pt idx="35">
                  <c:v>19-Jan-16</c:v>
                </c:pt>
                <c:pt idx="36">
                  <c:v>15-Jan-16</c:v>
                </c:pt>
                <c:pt idx="37">
                  <c:v>14-Jan-16</c:v>
                </c:pt>
                <c:pt idx="38">
                  <c:v>13-Jan-16</c:v>
                </c:pt>
                <c:pt idx="39">
                  <c:v>12-Jan-16</c:v>
                </c:pt>
                <c:pt idx="40">
                  <c:v>11-Jan-16</c:v>
                </c:pt>
                <c:pt idx="41">
                  <c:v>8-Jan-16</c:v>
                </c:pt>
                <c:pt idx="42">
                  <c:v>7-Jan-16</c:v>
                </c:pt>
                <c:pt idx="43">
                  <c:v>6-Jan-16</c:v>
                </c:pt>
                <c:pt idx="44">
                  <c:v>5-Jan-16</c:v>
                </c:pt>
                <c:pt idx="45">
                  <c:v>4-Jan-16</c:v>
                </c:pt>
                <c:pt idx="46">
                  <c:v>31-Dec-15</c:v>
                </c:pt>
                <c:pt idx="47">
                  <c:v>30-Dec-15</c:v>
                </c:pt>
                <c:pt idx="48">
                  <c:v>29-Dec-15</c:v>
                </c:pt>
                <c:pt idx="49">
                  <c:v>28-Dec-15</c:v>
                </c:pt>
                <c:pt idx="50">
                  <c:v>24-Dec-15</c:v>
                </c:pt>
                <c:pt idx="51">
                  <c:v>23-Dec-15</c:v>
                </c:pt>
                <c:pt idx="52">
                  <c:v>22-Dec-15</c:v>
                </c:pt>
                <c:pt idx="53">
                  <c:v>21-Dec-15</c:v>
                </c:pt>
                <c:pt idx="54">
                  <c:v>18-Dec-15</c:v>
                </c:pt>
                <c:pt idx="55">
                  <c:v>17-Dec-15</c:v>
                </c:pt>
                <c:pt idx="56">
                  <c:v>16-Dec-15</c:v>
                </c:pt>
                <c:pt idx="57">
                  <c:v>15-Dec-15</c:v>
                </c:pt>
                <c:pt idx="58">
                  <c:v>14-Dec-15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87.83</c:v>
                </c:pt>
                <c:pt idx="1">
                  <c:v>88.66</c:v>
                </c:pt>
                <c:pt idx="2">
                  <c:v>89.65</c:v>
                </c:pt>
                <c:pt idx="3">
                  <c:v>87.21</c:v>
                </c:pt>
                <c:pt idx="4">
                  <c:v>87.83</c:v>
                </c:pt>
                <c:pt idx="5">
                  <c:v>88.8</c:v>
                </c:pt>
                <c:pt idx="6">
                  <c:v>89.69</c:v>
                </c:pt>
                <c:pt idx="7">
                  <c:v>87.25</c:v>
                </c:pt>
                <c:pt idx="8">
                  <c:v>88.1</c:v>
                </c:pt>
                <c:pt idx="9">
                  <c:v>90.16</c:v>
                </c:pt>
                <c:pt idx="10">
                  <c:v>89.36</c:v>
                </c:pt>
                <c:pt idx="11">
                  <c:v>88.35</c:v>
                </c:pt>
                <c:pt idx="12">
                  <c:v>89.1</c:v>
                </c:pt>
                <c:pt idx="13">
                  <c:v>87.44</c:v>
                </c:pt>
                <c:pt idx="14">
                  <c:v>88.99</c:v>
                </c:pt>
                <c:pt idx="15">
                  <c:v>89.36</c:v>
                </c:pt>
                <c:pt idx="16">
                  <c:v>91.15</c:v>
                </c:pt>
                <c:pt idx="17">
                  <c:v>89.44</c:v>
                </c:pt>
                <c:pt idx="18">
                  <c:v>87.36</c:v>
                </c:pt>
                <c:pt idx="19">
                  <c:v>87.8</c:v>
                </c:pt>
                <c:pt idx="20">
                  <c:v>87.25</c:v>
                </c:pt>
                <c:pt idx="21">
                  <c:v>85.26</c:v>
                </c:pt>
                <c:pt idx="22">
                  <c:v>85.14</c:v>
                </c:pt>
                <c:pt idx="23">
                  <c:v>86.68</c:v>
                </c:pt>
                <c:pt idx="24">
                  <c:v>86.39</c:v>
                </c:pt>
                <c:pt idx="25">
                  <c:v>82.71</c:v>
                </c:pt>
                <c:pt idx="26">
                  <c:v>84.05</c:v>
                </c:pt>
                <c:pt idx="27">
                  <c:v>83</c:v>
                </c:pt>
                <c:pt idx="28">
                  <c:v>87.53</c:v>
                </c:pt>
                <c:pt idx="29">
                  <c:v>89.63</c:v>
                </c:pt>
                <c:pt idx="30">
                  <c:v>92.21</c:v>
                </c:pt>
                <c:pt idx="31">
                  <c:v>90.61</c:v>
                </c:pt>
                <c:pt idx="32">
                  <c:v>91.83</c:v>
                </c:pt>
                <c:pt idx="33">
                  <c:v>88.87</c:v>
                </c:pt>
                <c:pt idx="34">
                  <c:v>90.55</c:v>
                </c:pt>
                <c:pt idx="35">
                  <c:v>89.9</c:v>
                </c:pt>
                <c:pt idx="36">
                  <c:v>91.84</c:v>
                </c:pt>
                <c:pt idx="37">
                  <c:v>93.02</c:v>
                </c:pt>
                <c:pt idx="38">
                  <c:v>92.54</c:v>
                </c:pt>
                <c:pt idx="39">
                  <c:v>97.1</c:v>
                </c:pt>
                <c:pt idx="40">
                  <c:v>96.5</c:v>
                </c:pt>
                <c:pt idx="41">
                  <c:v>96.45</c:v>
                </c:pt>
                <c:pt idx="42">
                  <c:v>96.25</c:v>
                </c:pt>
                <c:pt idx="43">
                  <c:v>100.3</c:v>
                </c:pt>
                <c:pt idx="44">
                  <c:v>99.26</c:v>
                </c:pt>
                <c:pt idx="45">
                  <c:v>98.01</c:v>
                </c:pt>
                <c:pt idx="46">
                  <c:v>101.19</c:v>
                </c:pt>
                <c:pt idx="47">
                  <c:v>102.16</c:v>
                </c:pt>
                <c:pt idx="48">
                  <c:v>103.36</c:v>
                </c:pt>
                <c:pt idx="49">
                  <c:v>101.68</c:v>
                </c:pt>
                <c:pt idx="50">
                  <c:v>103.58</c:v>
                </c:pt>
                <c:pt idx="51">
                  <c:v>103.14</c:v>
                </c:pt>
                <c:pt idx="52">
                  <c:v>102.86</c:v>
                </c:pt>
                <c:pt idx="53">
                  <c:v>102.63</c:v>
                </c:pt>
                <c:pt idx="54">
                  <c:v>101.6</c:v>
                </c:pt>
                <c:pt idx="55">
                  <c:v>102.36</c:v>
                </c:pt>
                <c:pt idx="56">
                  <c:v>103.34</c:v>
                </c:pt>
                <c:pt idx="57">
                  <c:v>101.97</c:v>
                </c:pt>
                <c:pt idx="58">
                  <c:v>100.49</c:v>
                </c:pt>
                <c:pt idx="60">
                  <c:v>100.03</c:v>
                </c:pt>
                <c:pt idx="61">
                  <c:v>102.62</c:v>
                </c:pt>
                <c:pt idx="62">
                  <c:v>101.95</c:v>
                </c:pt>
                <c:pt idx="63">
                  <c:v>103.53</c:v>
                </c:pt>
                <c:pt idx="64">
                  <c:v>102.91</c:v>
                </c:pt>
                <c:pt idx="65">
                  <c:v>104.07</c:v>
                </c:pt>
                <c:pt idx="66">
                  <c:v>101.38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15496"/>
        <c:axId val="412215888"/>
      </c:lineChart>
      <c:catAx>
        <c:axId val="412215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5888"/>
        <c:crosses val="autoZero"/>
        <c:auto val="1"/>
        <c:lblAlgn val="ctr"/>
        <c:lblOffset val="100"/>
        <c:noMultiLvlLbl val="0"/>
      </c:catAx>
      <c:valAx>
        <c:axId val="41221588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48.68</c:v>
                </c:pt>
                <c:pt idx="1">
                  <c:v>49.97</c:v>
                </c:pt>
                <c:pt idx="2">
                  <c:v>49.95</c:v>
                </c:pt>
                <c:pt idx="3">
                  <c:v>49.38</c:v>
                </c:pt>
                <c:pt idx="4">
                  <c:v>49.42</c:v>
                </c:pt>
                <c:pt idx="5">
                  <c:v>48.86</c:v>
                </c:pt>
                <c:pt idx="6">
                  <c:v>46.95</c:v>
                </c:pt>
                <c:pt idx="7">
                  <c:v>46.7</c:v>
                </c:pt>
                <c:pt idx="8">
                  <c:v>46.76</c:v>
                </c:pt>
                <c:pt idx="9">
                  <c:v>46.63</c:v>
                </c:pt>
                <c:pt idx="10">
                  <c:v>46.08</c:v>
                </c:pt>
                <c:pt idx="11">
                  <c:v>46.36</c:v>
                </c:pt>
                <c:pt idx="12">
                  <c:v>46.66</c:v>
                </c:pt>
                <c:pt idx="13">
                  <c:v>47.2</c:v>
                </c:pt>
                <c:pt idx="15">
                  <c:v>47.48</c:v>
                </c:pt>
                <c:pt idx="16">
                  <c:v>46.31</c:v>
                </c:pt>
                <c:pt idx="17">
                  <c:v>44.19</c:v>
                </c:pt>
                <c:pt idx="18">
                  <c:v>42.91</c:v>
                </c:pt>
                <c:pt idx="19">
                  <c:v>44</c:v>
                </c:pt>
                <c:pt idx="20">
                  <c:v>43.79</c:v>
                </c:pt>
                <c:pt idx="21">
                  <c:v>44.4</c:v>
                </c:pt>
                <c:pt idx="22">
                  <c:v>45.11</c:v>
                </c:pt>
                <c:pt idx="23">
                  <c:v>45.56</c:v>
                </c:pt>
                <c:pt idx="24">
                  <c:v>45</c:v>
                </c:pt>
                <c:pt idx="25">
                  <c:v>44.45</c:v>
                </c:pt>
                <c:pt idx="26">
                  <c:v>45.81</c:v>
                </c:pt>
                <c:pt idx="27">
                  <c:v>46.19</c:v>
                </c:pt>
                <c:pt idx="28">
                  <c:v>45.37</c:v>
                </c:pt>
                <c:pt idx="29">
                  <c:v>45.45</c:v>
                </c:pt>
                <c:pt idx="30">
                  <c:v>46.3</c:v>
                </c:pt>
                <c:pt idx="31">
                  <c:v>44.75</c:v>
                </c:pt>
                <c:pt idx="32">
                  <c:v>45.67</c:v>
                </c:pt>
                <c:pt idx="33">
                  <c:v>44.03</c:v>
                </c:pt>
                <c:pt idx="34">
                  <c:v>43.48</c:v>
                </c:pt>
                <c:pt idx="35">
                  <c:v>44.95</c:v>
                </c:pt>
                <c:pt idx="36">
                  <c:v>44.94</c:v>
                </c:pt>
                <c:pt idx="37">
                  <c:v>46.31</c:v>
                </c:pt>
                <c:pt idx="38">
                  <c:v>45.93</c:v>
                </c:pt>
                <c:pt idx="39">
                  <c:v>47.14</c:v>
                </c:pt>
                <c:pt idx="40">
                  <c:v>46.61</c:v>
                </c:pt>
                <c:pt idx="41">
                  <c:v>46.1</c:v>
                </c:pt>
                <c:pt idx="42">
                  <c:v>46.89</c:v>
                </c:pt>
                <c:pt idx="43">
                  <c:v>48.86</c:v>
                </c:pt>
                <c:pt idx="44">
                  <c:v>50.23</c:v>
                </c:pt>
                <c:pt idx="45">
                  <c:v>49.76</c:v>
                </c:pt>
                <c:pt idx="46">
                  <c:v>49.66</c:v>
                </c:pt>
                <c:pt idx="47">
                  <c:v>50.84</c:v>
                </c:pt>
                <c:pt idx="48">
                  <c:v>50.99</c:v>
                </c:pt>
                <c:pt idx="49">
                  <c:v>50.55</c:v>
                </c:pt>
                <c:pt idx="50">
                  <c:v>51.13</c:v>
                </c:pt>
                <c:pt idx="51">
                  <c:v>50.7</c:v>
                </c:pt>
                <c:pt idx="52">
                  <c:v>50.01</c:v>
                </c:pt>
                <c:pt idx="53">
                  <c:v>49.22</c:v>
                </c:pt>
                <c:pt idx="54">
                  <c:v>49.05</c:v>
                </c:pt>
                <c:pt idx="55">
                  <c:v>49.71</c:v>
                </c:pt>
                <c:pt idx="56">
                  <c:v>50.21</c:v>
                </c:pt>
                <c:pt idx="57">
                  <c:v>49.17</c:v>
                </c:pt>
                <c:pt idx="58">
                  <c:v>48.71</c:v>
                </c:pt>
                <c:pt idx="59">
                  <c:v>48.25</c:v>
                </c:pt>
                <c:pt idx="60">
                  <c:v>48.55</c:v>
                </c:pt>
                <c:pt idx="61">
                  <c:v>47.92</c:v>
                </c:pt>
                <c:pt idx="62">
                  <c:v>48.4</c:v>
                </c:pt>
                <c:pt idx="63">
                  <c:v>49.99</c:v>
                </c:pt>
                <c:pt idx="64">
                  <c:v>50.88</c:v>
                </c:pt>
                <c:pt idx="65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11184"/>
        <c:axId val="412211576"/>
      </c:lineChart>
      <c:catAx>
        <c:axId val="41221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1576"/>
        <c:crosses val="autoZero"/>
        <c:auto val="1"/>
        <c:lblAlgn val="ctr"/>
        <c:lblOffset val="100"/>
        <c:noMultiLvlLbl val="0"/>
      </c:catAx>
      <c:valAx>
        <c:axId val="4122115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17064"/>
        <c:axId val="412207264"/>
      </c:lineChart>
      <c:catAx>
        <c:axId val="4122170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07264"/>
        <c:crosses val="autoZero"/>
        <c:auto val="1"/>
        <c:lblAlgn val="ctr"/>
        <c:lblOffset val="100"/>
        <c:noMultiLvlLbl val="0"/>
      </c:catAx>
      <c:valAx>
        <c:axId val="412207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1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9-Mar-16</c:v>
                </c:pt>
                <c:pt idx="1">
                  <c:v>9-Mar-16</c:v>
                </c:pt>
                <c:pt idx="2">
                  <c:v>8-Mar-16</c:v>
                </c:pt>
                <c:pt idx="3">
                  <c:v>7-Mar-16</c:v>
                </c:pt>
                <c:pt idx="4">
                  <c:v>4-Mar-16</c:v>
                </c:pt>
                <c:pt idx="5">
                  <c:v>3-Mar-16</c:v>
                </c:pt>
                <c:pt idx="6">
                  <c:v>2-Mar-16</c:v>
                </c:pt>
                <c:pt idx="7">
                  <c:v>1-Mar-16</c:v>
                </c:pt>
                <c:pt idx="8">
                  <c:v>29-Feb-16</c:v>
                </c:pt>
                <c:pt idx="9">
                  <c:v>26-Feb-16</c:v>
                </c:pt>
                <c:pt idx="10">
                  <c:v>25-Feb-16</c:v>
                </c:pt>
                <c:pt idx="11">
                  <c:v>24-Feb-16</c:v>
                </c:pt>
                <c:pt idx="12">
                  <c:v>23-Feb-16</c:v>
                </c:pt>
                <c:pt idx="13">
                  <c:v>22-Feb-16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16-Dec-15</c:v>
                </c:pt>
                <c:pt idx="59">
                  <c:v>15-Dec-15</c:v>
                </c:pt>
                <c:pt idx="60">
                  <c:v>14-Dec-15</c:v>
                </c:pt>
                <c:pt idx="61">
                  <c:v>11-Dec-15</c:v>
                </c:pt>
                <c:pt idx="62">
                  <c:v>10-Dec-15</c:v>
                </c:pt>
                <c:pt idx="63">
                  <c:v>9-Dec-15</c:v>
                </c:pt>
                <c:pt idx="64">
                  <c:v>8-Dec-15</c:v>
                </c:pt>
                <c:pt idx="65">
                  <c:v>7-Dec-15</c:v>
                </c:pt>
                <c:pt idx="66">
                  <c:v>4-Dec-15</c:v>
                </c:pt>
                <c:pt idx="67">
                  <c:v>3-Dec-15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30.54</c:v>
                </c:pt>
                <c:pt idx="2">
                  <c:v>30.68</c:v>
                </c:pt>
                <c:pt idx="3">
                  <c:v>31.59</c:v>
                </c:pt>
                <c:pt idx="4">
                  <c:v>31.37</c:v>
                </c:pt>
                <c:pt idx="5">
                  <c:v>31.07</c:v>
                </c:pt>
                <c:pt idx="6">
                  <c:v>30.15</c:v>
                </c:pt>
                <c:pt idx="7">
                  <c:v>30.01</c:v>
                </c:pt>
                <c:pt idx="8">
                  <c:v>29.44</c:v>
                </c:pt>
                <c:pt idx="9">
                  <c:v>29.63</c:v>
                </c:pt>
                <c:pt idx="10">
                  <c:v>29.5</c:v>
                </c:pt>
                <c:pt idx="11">
                  <c:v>28.84</c:v>
                </c:pt>
                <c:pt idx="12">
                  <c:v>29.38</c:v>
                </c:pt>
                <c:pt idx="13">
                  <c:v>29.63</c:v>
                </c:pt>
                <c:pt idx="14">
                  <c:v>28.78</c:v>
                </c:pt>
                <c:pt idx="15">
                  <c:v>29.03</c:v>
                </c:pt>
                <c:pt idx="16">
                  <c:v>29.27</c:v>
                </c:pt>
                <c:pt idx="17">
                  <c:v>28.58</c:v>
                </c:pt>
                <c:pt idx="18">
                  <c:v>27.71</c:v>
                </c:pt>
                <c:pt idx="19">
                  <c:v>26.9</c:v>
                </c:pt>
                <c:pt idx="20">
                  <c:v>27.71</c:v>
                </c:pt>
                <c:pt idx="21">
                  <c:v>27.87</c:v>
                </c:pt>
                <c:pt idx="22">
                  <c:v>28.68</c:v>
                </c:pt>
                <c:pt idx="23">
                  <c:v>28.54</c:v>
                </c:pt>
                <c:pt idx="24">
                  <c:v>28.64</c:v>
                </c:pt>
                <c:pt idx="25">
                  <c:v>28.92</c:v>
                </c:pt>
                <c:pt idx="26">
                  <c:v>29.65</c:v>
                </c:pt>
                <c:pt idx="27">
                  <c:v>30.11</c:v>
                </c:pt>
                <c:pt idx="28">
                  <c:v>29.64</c:v>
                </c:pt>
                <c:pt idx="29">
                  <c:v>29.02</c:v>
                </c:pt>
                <c:pt idx="30">
                  <c:v>29.21</c:v>
                </c:pt>
                <c:pt idx="31">
                  <c:v>29.65</c:v>
                </c:pt>
                <c:pt idx="32">
                  <c:v>29.23</c:v>
                </c:pt>
                <c:pt idx="33">
                  <c:v>29.28</c:v>
                </c:pt>
                <c:pt idx="34">
                  <c:v>29.55</c:v>
                </c:pt>
                <c:pt idx="35">
                  <c:v>29.42</c:v>
                </c:pt>
                <c:pt idx="36">
                  <c:v>29.4</c:v>
                </c:pt>
                <c:pt idx="37">
                  <c:v>29.57</c:v>
                </c:pt>
                <c:pt idx="38">
                  <c:v>30.3</c:v>
                </c:pt>
                <c:pt idx="39">
                  <c:v>30.49</c:v>
                </c:pt>
                <c:pt idx="40">
                  <c:v>30.3</c:v>
                </c:pt>
                <c:pt idx="41">
                  <c:v>30.25</c:v>
                </c:pt>
                <c:pt idx="42">
                  <c:v>29.53</c:v>
                </c:pt>
                <c:pt idx="43">
                  <c:v>29.99</c:v>
                </c:pt>
                <c:pt idx="44">
                  <c:v>31.27</c:v>
                </c:pt>
                <c:pt idx="45">
                  <c:v>32.43</c:v>
                </c:pt>
                <c:pt idx="46">
                  <c:v>33.31</c:v>
                </c:pt>
                <c:pt idx="47">
                  <c:v>34.01</c:v>
                </c:pt>
                <c:pt idx="48">
                  <c:v>34.33</c:v>
                </c:pt>
                <c:pt idx="49">
                  <c:v>34.5</c:v>
                </c:pt>
                <c:pt idx="50">
                  <c:v>34.51</c:v>
                </c:pt>
                <c:pt idx="51">
                  <c:v>34.6</c:v>
                </c:pt>
                <c:pt idx="52">
                  <c:v>34.78</c:v>
                </c:pt>
                <c:pt idx="53">
                  <c:v>34.29</c:v>
                </c:pt>
                <c:pt idx="54">
                  <c:v>33.83</c:v>
                </c:pt>
                <c:pt idx="55">
                  <c:v>33.67</c:v>
                </c:pt>
                <c:pt idx="56">
                  <c:v>34.11</c:v>
                </c:pt>
                <c:pt idx="57">
                  <c:v>35.14</c:v>
                </c:pt>
                <c:pt idx="59">
                  <c:v>34.54</c:v>
                </c:pt>
                <c:pt idx="60">
                  <c:v>34.39</c:v>
                </c:pt>
                <c:pt idx="61">
                  <c:v>34.549999999999997</c:v>
                </c:pt>
                <c:pt idx="62">
                  <c:v>35.630000000000003</c:v>
                </c:pt>
                <c:pt idx="63">
                  <c:v>35.450000000000003</c:v>
                </c:pt>
                <c:pt idx="64">
                  <c:v>35.479999999999997</c:v>
                </c:pt>
                <c:pt idx="65">
                  <c:v>36.130000000000003</c:v>
                </c:pt>
                <c:pt idx="66">
                  <c:v>36.25</c:v>
                </c:pt>
                <c:pt idx="67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554680"/>
        <c:axId val="413558600"/>
      </c:lineChart>
      <c:catAx>
        <c:axId val="413554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58600"/>
        <c:crosses val="autoZero"/>
        <c:auto val="1"/>
        <c:lblAlgn val="ctr"/>
        <c:lblOffset val="100"/>
        <c:noMultiLvlLbl val="0"/>
      </c:catAx>
      <c:valAx>
        <c:axId val="413558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5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18-Feb-16</c:v>
                </c:pt>
                <c:pt idx="15">
                  <c:v>17-Feb-16</c:v>
                </c:pt>
                <c:pt idx="16">
                  <c:v>16-Feb-16</c:v>
                </c:pt>
                <c:pt idx="17">
                  <c:v>12-Feb-16</c:v>
                </c:pt>
                <c:pt idx="18">
                  <c:v>11-Feb-16</c:v>
                </c:pt>
                <c:pt idx="19">
                  <c:v>10-Feb-16</c:v>
                </c:pt>
                <c:pt idx="20">
                  <c:v>9-Feb-16</c:v>
                </c:pt>
                <c:pt idx="21">
                  <c:v>8-Feb-16</c:v>
                </c:pt>
                <c:pt idx="22">
                  <c:v>5-Feb-16</c:v>
                </c:pt>
                <c:pt idx="23">
                  <c:v>4-Feb-16</c:v>
                </c:pt>
                <c:pt idx="24">
                  <c:v>3-Feb-16</c:v>
                </c:pt>
                <c:pt idx="25">
                  <c:v>2-Feb-16</c:v>
                </c:pt>
                <c:pt idx="26">
                  <c:v>1-Feb-16</c:v>
                </c:pt>
                <c:pt idx="27">
                  <c:v>29-Jan-16</c:v>
                </c:pt>
                <c:pt idx="28">
                  <c:v>28-Jan-16</c:v>
                </c:pt>
                <c:pt idx="29">
                  <c:v>27-Jan-16</c:v>
                </c:pt>
                <c:pt idx="30">
                  <c:v>26-Jan-16</c:v>
                </c:pt>
                <c:pt idx="31">
                  <c:v>25-Jan-16</c:v>
                </c:pt>
                <c:pt idx="32">
                  <c:v>22-Jan-16</c:v>
                </c:pt>
                <c:pt idx="33">
                  <c:v>21-Jan-16</c:v>
                </c:pt>
                <c:pt idx="34">
                  <c:v>20-Jan-16</c:v>
                </c:pt>
                <c:pt idx="35">
                  <c:v>19-Jan-16</c:v>
                </c:pt>
                <c:pt idx="36">
                  <c:v>15-Jan-16</c:v>
                </c:pt>
                <c:pt idx="37">
                  <c:v>14-Jan-16</c:v>
                </c:pt>
                <c:pt idx="38">
                  <c:v>13-Jan-16</c:v>
                </c:pt>
                <c:pt idx="39">
                  <c:v>12-Jan-16</c:v>
                </c:pt>
                <c:pt idx="40">
                  <c:v>11-Jan-16</c:v>
                </c:pt>
                <c:pt idx="41">
                  <c:v>8-Jan-16</c:v>
                </c:pt>
                <c:pt idx="42">
                  <c:v>7-Jan-16</c:v>
                </c:pt>
                <c:pt idx="43">
                  <c:v>6-Jan-16</c:v>
                </c:pt>
                <c:pt idx="44">
                  <c:v>5-Jan-16</c:v>
                </c:pt>
                <c:pt idx="45">
                  <c:v>4-Jan-16</c:v>
                </c:pt>
                <c:pt idx="46">
                  <c:v>31-Dec-15</c:v>
                </c:pt>
                <c:pt idx="47">
                  <c:v>30-Dec-15</c:v>
                </c:pt>
                <c:pt idx="48">
                  <c:v>29-Dec-15</c:v>
                </c:pt>
                <c:pt idx="49">
                  <c:v>28-Dec-15</c:v>
                </c:pt>
                <c:pt idx="50">
                  <c:v>24-Dec-15</c:v>
                </c:pt>
                <c:pt idx="51">
                  <c:v>23-Dec-15</c:v>
                </c:pt>
                <c:pt idx="52">
                  <c:v>22-Dec-15</c:v>
                </c:pt>
                <c:pt idx="53">
                  <c:v>21-Dec-15</c:v>
                </c:pt>
                <c:pt idx="54">
                  <c:v>18-Dec-15</c:v>
                </c:pt>
                <c:pt idx="55">
                  <c:v>17-Dec-15</c:v>
                </c:pt>
                <c:pt idx="56">
                  <c:v>16-Dec-15</c:v>
                </c:pt>
                <c:pt idx="57">
                  <c:v>15-Dec-15</c:v>
                </c:pt>
                <c:pt idx="58">
                  <c:v>14-Dec-15</c:v>
                </c:pt>
                <c:pt idx="59">
                  <c:v>11-Dec-15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138.15</c:v>
                </c:pt>
                <c:pt idx="1">
                  <c:v>139.08000000000001</c:v>
                </c:pt>
                <c:pt idx="2">
                  <c:v>141.55000000000001</c:v>
                </c:pt>
                <c:pt idx="3">
                  <c:v>140.30000000000001</c:v>
                </c:pt>
                <c:pt idx="4">
                  <c:v>138.66999999999999</c:v>
                </c:pt>
                <c:pt idx="5">
                  <c:v>138.12</c:v>
                </c:pt>
                <c:pt idx="6">
                  <c:v>135.28</c:v>
                </c:pt>
                <c:pt idx="7">
                  <c:v>129.19</c:v>
                </c:pt>
                <c:pt idx="8">
                  <c:v>130.71</c:v>
                </c:pt>
                <c:pt idx="9">
                  <c:v>130.57</c:v>
                </c:pt>
                <c:pt idx="10">
                  <c:v>129.77000000000001</c:v>
                </c:pt>
                <c:pt idx="11">
                  <c:v>129.74</c:v>
                </c:pt>
                <c:pt idx="12">
                  <c:v>131.44</c:v>
                </c:pt>
                <c:pt idx="13">
                  <c:v>130.16</c:v>
                </c:pt>
                <c:pt idx="14">
                  <c:v>129.69</c:v>
                </c:pt>
                <c:pt idx="15">
                  <c:v>130.69999999999999</c:v>
                </c:pt>
                <c:pt idx="16">
                  <c:v>127.42</c:v>
                </c:pt>
                <c:pt idx="17">
                  <c:v>126.48</c:v>
                </c:pt>
                <c:pt idx="18">
                  <c:v>123.3</c:v>
                </c:pt>
                <c:pt idx="19">
                  <c:v>125.46</c:v>
                </c:pt>
                <c:pt idx="20">
                  <c:v>124.45</c:v>
                </c:pt>
                <c:pt idx="21">
                  <c:v>121.94</c:v>
                </c:pt>
                <c:pt idx="22">
                  <c:v>123.18</c:v>
                </c:pt>
                <c:pt idx="23">
                  <c:v>127.8</c:v>
                </c:pt>
                <c:pt idx="24">
                  <c:v>126.05</c:v>
                </c:pt>
                <c:pt idx="25">
                  <c:v>126.89</c:v>
                </c:pt>
                <c:pt idx="26">
                  <c:v>130.69</c:v>
                </c:pt>
                <c:pt idx="27">
                  <c:v>132.06</c:v>
                </c:pt>
                <c:pt idx="28">
                  <c:v>128.16999999999999</c:v>
                </c:pt>
                <c:pt idx="29">
                  <c:v>135.83000000000001</c:v>
                </c:pt>
                <c:pt idx="30">
                  <c:v>134.1</c:v>
                </c:pt>
                <c:pt idx="31">
                  <c:v>134.72999999999999</c:v>
                </c:pt>
                <c:pt idx="32">
                  <c:v>135.31</c:v>
                </c:pt>
                <c:pt idx="33">
                  <c:v>131.68</c:v>
                </c:pt>
                <c:pt idx="34">
                  <c:v>133.05000000000001</c:v>
                </c:pt>
                <c:pt idx="35">
                  <c:v>134.91</c:v>
                </c:pt>
                <c:pt idx="36">
                  <c:v>132.76</c:v>
                </c:pt>
                <c:pt idx="37">
                  <c:v>135.79</c:v>
                </c:pt>
                <c:pt idx="38">
                  <c:v>133.77000000000001</c:v>
                </c:pt>
                <c:pt idx="39">
                  <c:v>136.97</c:v>
                </c:pt>
                <c:pt idx="40">
                  <c:v>134.88</c:v>
                </c:pt>
                <c:pt idx="41">
                  <c:v>134.16</c:v>
                </c:pt>
                <c:pt idx="42">
                  <c:v>134.31</c:v>
                </c:pt>
                <c:pt idx="43">
                  <c:v>137.44999999999999</c:v>
                </c:pt>
                <c:pt idx="44">
                  <c:v>138.51</c:v>
                </c:pt>
                <c:pt idx="45">
                  <c:v>138.75</c:v>
                </c:pt>
                <c:pt idx="46">
                  <c:v>141.85</c:v>
                </c:pt>
                <c:pt idx="47">
                  <c:v>142.86000000000001</c:v>
                </c:pt>
                <c:pt idx="48">
                  <c:v>143.03</c:v>
                </c:pt>
                <c:pt idx="49">
                  <c:v>140.69999999999999</c:v>
                </c:pt>
                <c:pt idx="50">
                  <c:v>141.32</c:v>
                </c:pt>
                <c:pt idx="51">
                  <c:v>141.02000000000001</c:v>
                </c:pt>
                <c:pt idx="52">
                  <c:v>139.53</c:v>
                </c:pt>
                <c:pt idx="53">
                  <c:v>137.55000000000001</c:v>
                </c:pt>
                <c:pt idx="54">
                  <c:v>134.51</c:v>
                </c:pt>
                <c:pt idx="55">
                  <c:v>138.16</c:v>
                </c:pt>
                <c:pt idx="56">
                  <c:v>140.44999999999999</c:v>
                </c:pt>
                <c:pt idx="57">
                  <c:v>137.49</c:v>
                </c:pt>
                <c:pt idx="58">
                  <c:v>135.41</c:v>
                </c:pt>
                <c:pt idx="59">
                  <c:v>134.19999999999999</c:v>
                </c:pt>
                <c:pt idx="61">
                  <c:v>135.13</c:v>
                </c:pt>
                <c:pt idx="62">
                  <c:v>134.38999999999999</c:v>
                </c:pt>
                <c:pt idx="63">
                  <c:v>136.05000000000001</c:v>
                </c:pt>
                <c:pt idx="64">
                  <c:v>135.53</c:v>
                </c:pt>
                <c:pt idx="65">
                  <c:v>137.07</c:v>
                </c:pt>
                <c:pt idx="66">
                  <c:v>132.57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561344"/>
        <c:axId val="413555464"/>
      </c:lineChart>
      <c:catAx>
        <c:axId val="413561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55464"/>
        <c:crosses val="autoZero"/>
        <c:auto val="1"/>
        <c:lblAlgn val="ctr"/>
        <c:lblOffset val="100"/>
        <c:noMultiLvlLbl val="0"/>
      </c:catAx>
      <c:valAx>
        <c:axId val="413555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9-Mar-16</c:v>
                </c:pt>
                <c:pt idx="1">
                  <c:v>8-Mar-16</c:v>
                </c:pt>
                <c:pt idx="2">
                  <c:v>7-Mar-16</c:v>
                </c:pt>
                <c:pt idx="3">
                  <c:v>4-Mar-16</c:v>
                </c:pt>
                <c:pt idx="4">
                  <c:v>3-Mar-16</c:v>
                </c:pt>
                <c:pt idx="5">
                  <c:v>2-Mar-16</c:v>
                </c:pt>
                <c:pt idx="6">
                  <c:v>1-Mar-16</c:v>
                </c:pt>
                <c:pt idx="7">
                  <c:v>29-Feb-16</c:v>
                </c:pt>
                <c:pt idx="8">
                  <c:v>26-Feb-16</c:v>
                </c:pt>
                <c:pt idx="9">
                  <c:v>25-Feb-16</c:v>
                </c:pt>
                <c:pt idx="10">
                  <c:v>24-Feb-16</c:v>
                </c:pt>
                <c:pt idx="11">
                  <c:v>23-Feb-16</c:v>
                </c:pt>
                <c:pt idx="12">
                  <c:v>22-Feb-16</c:v>
                </c:pt>
                <c:pt idx="13">
                  <c:v>19-Feb-16</c:v>
                </c:pt>
                <c:pt idx="14">
                  <c:v>19-Feb-16</c:v>
                </c:pt>
                <c:pt idx="15">
                  <c:v>18-Feb-16</c:v>
                </c:pt>
                <c:pt idx="16">
                  <c:v>17-Feb-16</c:v>
                </c:pt>
                <c:pt idx="17">
                  <c:v>16-Feb-16</c:v>
                </c:pt>
                <c:pt idx="18">
                  <c:v>12-Feb-16</c:v>
                </c:pt>
                <c:pt idx="19">
                  <c:v>11-Feb-16</c:v>
                </c:pt>
                <c:pt idx="20">
                  <c:v>10-Feb-16</c:v>
                </c:pt>
                <c:pt idx="21">
                  <c:v>9-Feb-16</c:v>
                </c:pt>
                <c:pt idx="22">
                  <c:v>8-Feb-16</c:v>
                </c:pt>
                <c:pt idx="23">
                  <c:v>5-Feb-16</c:v>
                </c:pt>
                <c:pt idx="24">
                  <c:v>4-Feb-16</c:v>
                </c:pt>
                <c:pt idx="25">
                  <c:v>3-Feb-16</c:v>
                </c:pt>
                <c:pt idx="26">
                  <c:v>2-Feb-16</c:v>
                </c:pt>
                <c:pt idx="27">
                  <c:v>1-Feb-16</c:v>
                </c:pt>
                <c:pt idx="28">
                  <c:v>29-Jan-16</c:v>
                </c:pt>
                <c:pt idx="29">
                  <c:v>28-Jan-16</c:v>
                </c:pt>
                <c:pt idx="30">
                  <c:v>27-Jan-16</c:v>
                </c:pt>
                <c:pt idx="31">
                  <c:v>26-Jan-16</c:v>
                </c:pt>
                <c:pt idx="32">
                  <c:v>25-Jan-16</c:v>
                </c:pt>
                <c:pt idx="33">
                  <c:v>22-Jan-16</c:v>
                </c:pt>
                <c:pt idx="34">
                  <c:v>21-Jan-16</c:v>
                </c:pt>
                <c:pt idx="35">
                  <c:v>20-Jan-16</c:v>
                </c:pt>
                <c:pt idx="36">
                  <c:v>19-Jan-16</c:v>
                </c:pt>
                <c:pt idx="37">
                  <c:v>15-Jan-16</c:v>
                </c:pt>
                <c:pt idx="38">
                  <c:v>14-Jan-16</c:v>
                </c:pt>
                <c:pt idx="39">
                  <c:v>13-Jan-16</c:v>
                </c:pt>
                <c:pt idx="40">
                  <c:v>12-Jan-16</c:v>
                </c:pt>
                <c:pt idx="41">
                  <c:v>11-Jan-16</c:v>
                </c:pt>
                <c:pt idx="42">
                  <c:v>8-Jan-16</c:v>
                </c:pt>
                <c:pt idx="43">
                  <c:v>7-Jan-16</c:v>
                </c:pt>
                <c:pt idx="44">
                  <c:v>6-Jan-16</c:v>
                </c:pt>
                <c:pt idx="45">
                  <c:v>5-Jan-16</c:v>
                </c:pt>
                <c:pt idx="46">
                  <c:v>4-Jan-16</c:v>
                </c:pt>
                <c:pt idx="47">
                  <c:v>31-Dec-15</c:v>
                </c:pt>
                <c:pt idx="48">
                  <c:v>30-Dec-15</c:v>
                </c:pt>
                <c:pt idx="49">
                  <c:v>29-Dec-15</c:v>
                </c:pt>
                <c:pt idx="50">
                  <c:v>28-Dec-15</c:v>
                </c:pt>
                <c:pt idx="51">
                  <c:v>24-Dec-15</c:v>
                </c:pt>
                <c:pt idx="52">
                  <c:v>23-Dec-15</c:v>
                </c:pt>
                <c:pt idx="53">
                  <c:v>22-Dec-15</c:v>
                </c:pt>
                <c:pt idx="54">
                  <c:v>21-Dec-15</c:v>
                </c:pt>
                <c:pt idx="55">
                  <c:v>18-Dec-15</c:v>
                </c:pt>
                <c:pt idx="56">
                  <c:v>17-Dec-15</c:v>
                </c:pt>
                <c:pt idx="57">
                  <c:v>16-Dec-15</c:v>
                </c:pt>
                <c:pt idx="58">
                  <c:v>15-Dec-15</c:v>
                </c:pt>
                <c:pt idx="59">
                  <c:v>14-Dec-15</c:v>
                </c:pt>
                <c:pt idx="60">
                  <c:v>11-Dec-15</c:v>
                </c:pt>
                <c:pt idx="61">
                  <c:v>10-Dec-15</c:v>
                </c:pt>
                <c:pt idx="62">
                  <c:v>9-Dec-15</c:v>
                </c:pt>
                <c:pt idx="63">
                  <c:v>8-Dec-15</c:v>
                </c:pt>
                <c:pt idx="64">
                  <c:v>7-Dec-15</c:v>
                </c:pt>
                <c:pt idx="65">
                  <c:v>4-Dec-15</c:v>
                </c:pt>
                <c:pt idx="66">
                  <c:v>3-Dec-15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30.45</c:v>
                </c:pt>
                <c:pt idx="1">
                  <c:v>30.65</c:v>
                </c:pt>
                <c:pt idx="2">
                  <c:v>32.06</c:v>
                </c:pt>
                <c:pt idx="3">
                  <c:v>31.6</c:v>
                </c:pt>
                <c:pt idx="4">
                  <c:v>30.88</c:v>
                </c:pt>
                <c:pt idx="5">
                  <c:v>30.83</c:v>
                </c:pt>
                <c:pt idx="6">
                  <c:v>30.89</c:v>
                </c:pt>
                <c:pt idx="7">
                  <c:v>29.83</c:v>
                </c:pt>
                <c:pt idx="8">
                  <c:v>29.82</c:v>
                </c:pt>
                <c:pt idx="9">
                  <c:v>29.77</c:v>
                </c:pt>
                <c:pt idx="10">
                  <c:v>30.08</c:v>
                </c:pt>
                <c:pt idx="11">
                  <c:v>29.66</c:v>
                </c:pt>
                <c:pt idx="12">
                  <c:v>30.69</c:v>
                </c:pt>
                <c:pt idx="13">
                  <c:v>30.14</c:v>
                </c:pt>
                <c:pt idx="15">
                  <c:v>30.81</c:v>
                </c:pt>
                <c:pt idx="16">
                  <c:v>30.71</c:v>
                </c:pt>
                <c:pt idx="17">
                  <c:v>30.36</c:v>
                </c:pt>
                <c:pt idx="18">
                  <c:v>29.89</c:v>
                </c:pt>
                <c:pt idx="19">
                  <c:v>28.1</c:v>
                </c:pt>
                <c:pt idx="20">
                  <c:v>28.21</c:v>
                </c:pt>
                <c:pt idx="21">
                  <c:v>29</c:v>
                </c:pt>
                <c:pt idx="22">
                  <c:v>29.09</c:v>
                </c:pt>
                <c:pt idx="23">
                  <c:v>29.52</c:v>
                </c:pt>
                <c:pt idx="24">
                  <c:v>29.32</c:v>
                </c:pt>
                <c:pt idx="25">
                  <c:v>28.02</c:v>
                </c:pt>
                <c:pt idx="26">
                  <c:v>25.51</c:v>
                </c:pt>
                <c:pt idx="27">
                  <c:v>26.15</c:v>
                </c:pt>
                <c:pt idx="28">
                  <c:v>26.55</c:v>
                </c:pt>
                <c:pt idx="29">
                  <c:v>25.41</c:v>
                </c:pt>
                <c:pt idx="30">
                  <c:v>25.15</c:v>
                </c:pt>
                <c:pt idx="31">
                  <c:v>25.01</c:v>
                </c:pt>
                <c:pt idx="32">
                  <c:v>23.65</c:v>
                </c:pt>
                <c:pt idx="33">
                  <c:v>24.26</c:v>
                </c:pt>
                <c:pt idx="34">
                  <c:v>23.55</c:v>
                </c:pt>
                <c:pt idx="35">
                  <c:v>23.41</c:v>
                </c:pt>
                <c:pt idx="36">
                  <c:v>23.5</c:v>
                </c:pt>
                <c:pt idx="37">
                  <c:v>24.52</c:v>
                </c:pt>
                <c:pt idx="38">
                  <c:v>24.79</c:v>
                </c:pt>
                <c:pt idx="39">
                  <c:v>24.79</c:v>
                </c:pt>
                <c:pt idx="40">
                  <c:v>25.5</c:v>
                </c:pt>
                <c:pt idx="41">
                  <c:v>25.32</c:v>
                </c:pt>
                <c:pt idx="42">
                  <c:v>25.74</c:v>
                </c:pt>
                <c:pt idx="43">
                  <c:v>26.7</c:v>
                </c:pt>
                <c:pt idx="44">
                  <c:v>27.46</c:v>
                </c:pt>
                <c:pt idx="45">
                  <c:v>27.82</c:v>
                </c:pt>
                <c:pt idx="46">
                  <c:v>28.33</c:v>
                </c:pt>
                <c:pt idx="47">
                  <c:v>28.59</c:v>
                </c:pt>
                <c:pt idx="48">
                  <c:v>28.66</c:v>
                </c:pt>
                <c:pt idx="49">
                  <c:v>28.61</c:v>
                </c:pt>
                <c:pt idx="50">
                  <c:v>28.45</c:v>
                </c:pt>
                <c:pt idx="51">
                  <c:v>28.98</c:v>
                </c:pt>
                <c:pt idx="52">
                  <c:v>28.84</c:v>
                </c:pt>
                <c:pt idx="53">
                  <c:v>27.9</c:v>
                </c:pt>
                <c:pt idx="54">
                  <c:v>27.37</c:v>
                </c:pt>
                <c:pt idx="55">
                  <c:v>27.08</c:v>
                </c:pt>
                <c:pt idx="56">
                  <c:v>27.26</c:v>
                </c:pt>
                <c:pt idx="57">
                  <c:v>28.03</c:v>
                </c:pt>
                <c:pt idx="58">
                  <c:v>27.95</c:v>
                </c:pt>
                <c:pt idx="59">
                  <c:v>28.49</c:v>
                </c:pt>
                <c:pt idx="60">
                  <c:v>28.79</c:v>
                </c:pt>
                <c:pt idx="61">
                  <c:v>29.49</c:v>
                </c:pt>
                <c:pt idx="62">
                  <c:v>29.7</c:v>
                </c:pt>
                <c:pt idx="63">
                  <c:v>29.65</c:v>
                </c:pt>
                <c:pt idx="64">
                  <c:v>30.88</c:v>
                </c:pt>
                <c:pt idx="65">
                  <c:v>31.33</c:v>
                </c:pt>
                <c:pt idx="66">
                  <c:v>31.33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556640"/>
        <c:axId val="413560168"/>
      </c:lineChart>
      <c:catAx>
        <c:axId val="41355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0168"/>
        <c:crosses val="autoZero"/>
        <c:auto val="1"/>
        <c:lblAlgn val="ctr"/>
        <c:lblOffset val="100"/>
        <c:noMultiLvlLbl val="0"/>
      </c:catAx>
      <c:valAx>
        <c:axId val="413560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96.6</c:v>
                </c:pt>
                <c:pt idx="1">
                  <c:v>96.9</c:v>
                </c:pt>
                <c:pt idx="2">
                  <c:v>96.92</c:v>
                </c:pt>
                <c:pt idx="3">
                  <c:v>97</c:v>
                </c:pt>
                <c:pt idx="4">
                  <c:v>96.11</c:v>
                </c:pt>
                <c:pt idx="5">
                  <c:v>95.53</c:v>
                </c:pt>
                <c:pt idx="6">
                  <c:v>95.05</c:v>
                </c:pt>
                <c:pt idx="7">
                  <c:v>96.62</c:v>
                </c:pt>
                <c:pt idx="8">
                  <c:v>97.69</c:v>
                </c:pt>
                <c:pt idx="9">
                  <c:v>98.07</c:v>
                </c:pt>
                <c:pt idx="10">
                  <c:v>93.61</c:v>
                </c:pt>
                <c:pt idx="11">
                  <c:v>91.6</c:v>
                </c:pt>
                <c:pt idx="12">
                  <c:v>92.37</c:v>
                </c:pt>
                <c:pt idx="13">
                  <c:v>88.23</c:v>
                </c:pt>
                <c:pt idx="14">
                  <c:v>88.36</c:v>
                </c:pt>
                <c:pt idx="15">
                  <c:v>88.12</c:v>
                </c:pt>
                <c:pt idx="17">
                  <c:v>86.48</c:v>
                </c:pt>
                <c:pt idx="18">
                  <c:v>85.95</c:v>
                </c:pt>
                <c:pt idx="19">
                  <c:v>84.66</c:v>
                </c:pt>
                <c:pt idx="20">
                  <c:v>86.96</c:v>
                </c:pt>
                <c:pt idx="21">
                  <c:v>87.24</c:v>
                </c:pt>
                <c:pt idx="22">
                  <c:v>86.78</c:v>
                </c:pt>
                <c:pt idx="23">
                  <c:v>87.84</c:v>
                </c:pt>
                <c:pt idx="24">
                  <c:v>88.12</c:v>
                </c:pt>
                <c:pt idx="25">
                  <c:v>85.96</c:v>
                </c:pt>
                <c:pt idx="26">
                  <c:v>85.42</c:v>
                </c:pt>
                <c:pt idx="27">
                  <c:v>87.56</c:v>
                </c:pt>
                <c:pt idx="28">
                  <c:v>87.69</c:v>
                </c:pt>
                <c:pt idx="29">
                  <c:v>86.45</c:v>
                </c:pt>
                <c:pt idx="30">
                  <c:v>85.81</c:v>
                </c:pt>
                <c:pt idx="31">
                  <c:v>85.65</c:v>
                </c:pt>
                <c:pt idx="32">
                  <c:v>84.9</c:v>
                </c:pt>
                <c:pt idx="33">
                  <c:v>86.35</c:v>
                </c:pt>
                <c:pt idx="34">
                  <c:v>85.57</c:v>
                </c:pt>
                <c:pt idx="35">
                  <c:v>84.83</c:v>
                </c:pt>
                <c:pt idx="36">
                  <c:v>85.24</c:v>
                </c:pt>
                <c:pt idx="37">
                  <c:v>85.63</c:v>
                </c:pt>
                <c:pt idx="38">
                  <c:v>89.01</c:v>
                </c:pt>
                <c:pt idx="39">
                  <c:v>88.83</c:v>
                </c:pt>
                <c:pt idx="40">
                  <c:v>90.5</c:v>
                </c:pt>
                <c:pt idx="41">
                  <c:v>90.5</c:v>
                </c:pt>
                <c:pt idx="42">
                  <c:v>90.4</c:v>
                </c:pt>
                <c:pt idx="43">
                  <c:v>91.9</c:v>
                </c:pt>
                <c:pt idx="44">
                  <c:v>93.12</c:v>
                </c:pt>
                <c:pt idx="45">
                  <c:v>95.72</c:v>
                </c:pt>
                <c:pt idx="46">
                  <c:v>95.57</c:v>
                </c:pt>
                <c:pt idx="47">
                  <c:v>96.07</c:v>
                </c:pt>
                <c:pt idx="48">
                  <c:v>96.9</c:v>
                </c:pt>
                <c:pt idx="49">
                  <c:v>97.27</c:v>
                </c:pt>
                <c:pt idx="50">
                  <c:v>96.09</c:v>
                </c:pt>
                <c:pt idx="51">
                  <c:v>96.3</c:v>
                </c:pt>
                <c:pt idx="52">
                  <c:v>96.3</c:v>
                </c:pt>
                <c:pt idx="53">
                  <c:v>94.87</c:v>
                </c:pt>
                <c:pt idx="54">
                  <c:v>93.61</c:v>
                </c:pt>
                <c:pt idx="55">
                  <c:v>92.34</c:v>
                </c:pt>
                <c:pt idx="56">
                  <c:v>93.87</c:v>
                </c:pt>
                <c:pt idx="57">
                  <c:v>95.13</c:v>
                </c:pt>
                <c:pt idx="58">
                  <c:v>93.26</c:v>
                </c:pt>
                <c:pt idx="59">
                  <c:v>93.03</c:v>
                </c:pt>
                <c:pt idx="60">
                  <c:v>93.3</c:v>
                </c:pt>
                <c:pt idx="61">
                  <c:v>93.87</c:v>
                </c:pt>
                <c:pt idx="62">
                  <c:v>94.16</c:v>
                </c:pt>
                <c:pt idx="63">
                  <c:v>94.23</c:v>
                </c:pt>
                <c:pt idx="64">
                  <c:v>95.91</c:v>
                </c:pt>
                <c:pt idx="65">
                  <c:v>95.73</c:v>
                </c:pt>
                <c:pt idx="66">
                  <c:v>94.7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564480"/>
        <c:axId val="413560952"/>
      </c:lineChart>
      <c:dateAx>
        <c:axId val="413564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0952"/>
        <c:crosses val="autoZero"/>
        <c:auto val="1"/>
        <c:lblOffset val="100"/>
        <c:baseTimeUnit val="days"/>
      </c:dateAx>
      <c:valAx>
        <c:axId val="413560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42438</c:v>
                </c:pt>
                <c:pt idx="1">
                  <c:v>42438</c:v>
                </c:pt>
                <c:pt idx="2">
                  <c:v>42437</c:v>
                </c:pt>
                <c:pt idx="3">
                  <c:v>42436</c:v>
                </c:pt>
                <c:pt idx="4">
                  <c:v>42433</c:v>
                </c:pt>
                <c:pt idx="5">
                  <c:v>42432</c:v>
                </c:pt>
                <c:pt idx="6">
                  <c:v>42431</c:v>
                </c:pt>
                <c:pt idx="7">
                  <c:v>42430</c:v>
                </c:pt>
                <c:pt idx="8">
                  <c:v>42429</c:v>
                </c:pt>
                <c:pt idx="9">
                  <c:v>42426</c:v>
                </c:pt>
                <c:pt idx="10">
                  <c:v>42425</c:v>
                </c:pt>
                <c:pt idx="11">
                  <c:v>42424</c:v>
                </c:pt>
                <c:pt idx="12">
                  <c:v>42423</c:v>
                </c:pt>
                <c:pt idx="13">
                  <c:v>42422</c:v>
                </c:pt>
                <c:pt idx="14">
                  <c:v>42419</c:v>
                </c:pt>
                <c:pt idx="15">
                  <c:v>42418</c:v>
                </c:pt>
                <c:pt idx="16">
                  <c:v>42417</c:v>
                </c:pt>
                <c:pt idx="17">
                  <c:v>42416</c:v>
                </c:pt>
                <c:pt idx="18">
                  <c:v>42412</c:v>
                </c:pt>
                <c:pt idx="19">
                  <c:v>42411</c:v>
                </c:pt>
                <c:pt idx="20">
                  <c:v>42410</c:v>
                </c:pt>
                <c:pt idx="21">
                  <c:v>42409</c:v>
                </c:pt>
                <c:pt idx="22">
                  <c:v>42408</c:v>
                </c:pt>
                <c:pt idx="23">
                  <c:v>42405</c:v>
                </c:pt>
                <c:pt idx="24">
                  <c:v>42404</c:v>
                </c:pt>
                <c:pt idx="25">
                  <c:v>42403</c:v>
                </c:pt>
                <c:pt idx="26">
                  <c:v>42402</c:v>
                </c:pt>
                <c:pt idx="27">
                  <c:v>42401</c:v>
                </c:pt>
                <c:pt idx="28">
                  <c:v>42398</c:v>
                </c:pt>
                <c:pt idx="29">
                  <c:v>42397</c:v>
                </c:pt>
                <c:pt idx="30">
                  <c:v>42396</c:v>
                </c:pt>
                <c:pt idx="31">
                  <c:v>42395</c:v>
                </c:pt>
                <c:pt idx="32">
                  <c:v>42394</c:v>
                </c:pt>
                <c:pt idx="33">
                  <c:v>42391</c:v>
                </c:pt>
                <c:pt idx="34">
                  <c:v>42390</c:v>
                </c:pt>
                <c:pt idx="35">
                  <c:v>42389</c:v>
                </c:pt>
                <c:pt idx="36">
                  <c:v>42388</c:v>
                </c:pt>
                <c:pt idx="37">
                  <c:v>42384</c:v>
                </c:pt>
                <c:pt idx="38">
                  <c:v>42383</c:v>
                </c:pt>
                <c:pt idx="39">
                  <c:v>42382</c:v>
                </c:pt>
                <c:pt idx="40">
                  <c:v>42381</c:v>
                </c:pt>
                <c:pt idx="41">
                  <c:v>42380</c:v>
                </c:pt>
                <c:pt idx="42">
                  <c:v>42377</c:v>
                </c:pt>
                <c:pt idx="43">
                  <c:v>42376</c:v>
                </c:pt>
                <c:pt idx="44">
                  <c:v>42375</c:v>
                </c:pt>
                <c:pt idx="45">
                  <c:v>42374</c:v>
                </c:pt>
                <c:pt idx="46">
                  <c:v>42373</c:v>
                </c:pt>
                <c:pt idx="47">
                  <c:v>42369</c:v>
                </c:pt>
                <c:pt idx="48">
                  <c:v>42368</c:v>
                </c:pt>
                <c:pt idx="49">
                  <c:v>42367</c:v>
                </c:pt>
                <c:pt idx="50">
                  <c:v>42366</c:v>
                </c:pt>
                <c:pt idx="51">
                  <c:v>42362</c:v>
                </c:pt>
                <c:pt idx="52">
                  <c:v>42361</c:v>
                </c:pt>
                <c:pt idx="53">
                  <c:v>42360</c:v>
                </c:pt>
                <c:pt idx="54">
                  <c:v>42359</c:v>
                </c:pt>
                <c:pt idx="55">
                  <c:v>42356</c:v>
                </c:pt>
                <c:pt idx="56">
                  <c:v>42355</c:v>
                </c:pt>
                <c:pt idx="57">
                  <c:v>42354</c:v>
                </c:pt>
                <c:pt idx="58">
                  <c:v>42353</c:v>
                </c:pt>
                <c:pt idx="59">
                  <c:v>42352</c:v>
                </c:pt>
                <c:pt idx="60">
                  <c:v>42349</c:v>
                </c:pt>
                <c:pt idx="61">
                  <c:v>42348</c:v>
                </c:pt>
                <c:pt idx="62">
                  <c:v>42347</c:v>
                </c:pt>
                <c:pt idx="63">
                  <c:v>42346</c:v>
                </c:pt>
                <c:pt idx="64">
                  <c:v>42345</c:v>
                </c:pt>
                <c:pt idx="65">
                  <c:v>42342</c:v>
                </c:pt>
                <c:pt idx="66">
                  <c:v>42341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121.1</c:v>
                </c:pt>
                <c:pt idx="2">
                  <c:v>121.66</c:v>
                </c:pt>
                <c:pt idx="3">
                  <c:v>121.76</c:v>
                </c:pt>
                <c:pt idx="4">
                  <c:v>121.8</c:v>
                </c:pt>
                <c:pt idx="5">
                  <c:v>121.82</c:v>
                </c:pt>
                <c:pt idx="6">
                  <c:v>121.27</c:v>
                </c:pt>
                <c:pt idx="7">
                  <c:v>121.67</c:v>
                </c:pt>
                <c:pt idx="8">
                  <c:v>119.1</c:v>
                </c:pt>
                <c:pt idx="9">
                  <c:v>121.33</c:v>
                </c:pt>
                <c:pt idx="10">
                  <c:v>121.2</c:v>
                </c:pt>
                <c:pt idx="11">
                  <c:v>120.2</c:v>
                </c:pt>
                <c:pt idx="12">
                  <c:v>121.15</c:v>
                </c:pt>
                <c:pt idx="13">
                  <c:v>121.27</c:v>
                </c:pt>
                <c:pt idx="14">
                  <c:v>117.68</c:v>
                </c:pt>
                <c:pt idx="15">
                  <c:v>117.45</c:v>
                </c:pt>
                <c:pt idx="16">
                  <c:v>118.3</c:v>
                </c:pt>
                <c:pt idx="17">
                  <c:v>115.15</c:v>
                </c:pt>
                <c:pt idx="18">
                  <c:v>111.82</c:v>
                </c:pt>
                <c:pt idx="19">
                  <c:v>110.62</c:v>
                </c:pt>
                <c:pt idx="20">
                  <c:v>112.74</c:v>
                </c:pt>
                <c:pt idx="21">
                  <c:v>111.16</c:v>
                </c:pt>
                <c:pt idx="22">
                  <c:v>110.02</c:v>
                </c:pt>
                <c:pt idx="23">
                  <c:v>111.72</c:v>
                </c:pt>
                <c:pt idx="24">
                  <c:v>114.2</c:v>
                </c:pt>
                <c:pt idx="25">
                  <c:v>112.75</c:v>
                </c:pt>
                <c:pt idx="26">
                  <c:v>113.88</c:v>
                </c:pt>
                <c:pt idx="27">
                  <c:v>115.89</c:v>
                </c:pt>
                <c:pt idx="28">
                  <c:v>115.16</c:v>
                </c:pt>
                <c:pt idx="29">
                  <c:v>111.38</c:v>
                </c:pt>
                <c:pt idx="30">
                  <c:v>112.33</c:v>
                </c:pt>
                <c:pt idx="31">
                  <c:v>113.96</c:v>
                </c:pt>
                <c:pt idx="32">
                  <c:v>113.38</c:v>
                </c:pt>
                <c:pt idx="33">
                  <c:v>114.33</c:v>
                </c:pt>
                <c:pt idx="34">
                  <c:v>113.5</c:v>
                </c:pt>
                <c:pt idx="35">
                  <c:v>114.79</c:v>
                </c:pt>
                <c:pt idx="36">
                  <c:v>112.58</c:v>
                </c:pt>
                <c:pt idx="37">
                  <c:v>109.27</c:v>
                </c:pt>
                <c:pt idx="38">
                  <c:v>110.76</c:v>
                </c:pt>
                <c:pt idx="39">
                  <c:v>109.23</c:v>
                </c:pt>
                <c:pt idx="40">
                  <c:v>112.26</c:v>
                </c:pt>
                <c:pt idx="41">
                  <c:v>109.58</c:v>
                </c:pt>
                <c:pt idx="42">
                  <c:v>110.16</c:v>
                </c:pt>
                <c:pt idx="43">
                  <c:v>112.09</c:v>
                </c:pt>
                <c:pt idx="44">
                  <c:v>115.49</c:v>
                </c:pt>
                <c:pt idx="45">
                  <c:v>116.68</c:v>
                </c:pt>
                <c:pt idx="46">
                  <c:v>116.46</c:v>
                </c:pt>
                <c:pt idx="47">
                  <c:v>117.64</c:v>
                </c:pt>
                <c:pt idx="48">
                  <c:v>118.92</c:v>
                </c:pt>
                <c:pt idx="49">
                  <c:v>119.82</c:v>
                </c:pt>
                <c:pt idx="50">
                  <c:v>118.33</c:v>
                </c:pt>
                <c:pt idx="51">
                  <c:v>118.34</c:v>
                </c:pt>
                <c:pt idx="52">
                  <c:v>118.69</c:v>
                </c:pt>
                <c:pt idx="53">
                  <c:v>117.44</c:v>
                </c:pt>
                <c:pt idx="54">
                  <c:v>117.41</c:v>
                </c:pt>
                <c:pt idx="55">
                  <c:v>115.82</c:v>
                </c:pt>
                <c:pt idx="56">
                  <c:v>119.22</c:v>
                </c:pt>
                <c:pt idx="57">
                  <c:v>118.83</c:v>
                </c:pt>
                <c:pt idx="58">
                  <c:v>117.61</c:v>
                </c:pt>
                <c:pt idx="59">
                  <c:v>115.85</c:v>
                </c:pt>
                <c:pt idx="60">
                  <c:v>115.98</c:v>
                </c:pt>
                <c:pt idx="61">
                  <c:v>116.21</c:v>
                </c:pt>
                <c:pt idx="62">
                  <c:v>115.05</c:v>
                </c:pt>
                <c:pt idx="63">
                  <c:v>115.88</c:v>
                </c:pt>
                <c:pt idx="64">
                  <c:v>115.91</c:v>
                </c:pt>
                <c:pt idx="65">
                  <c:v>117.74</c:v>
                </c:pt>
                <c:pt idx="66">
                  <c:v>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562912"/>
        <c:axId val="413558208"/>
      </c:lineChart>
      <c:dateAx>
        <c:axId val="413562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58208"/>
        <c:crosses val="autoZero"/>
        <c:auto val="1"/>
        <c:lblOffset val="100"/>
        <c:baseTimeUnit val="days"/>
      </c:dateAx>
      <c:valAx>
        <c:axId val="413558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42438</c:v>
                </c:pt>
                <c:pt idx="1">
                  <c:v>42437</c:v>
                </c:pt>
                <c:pt idx="2">
                  <c:v>42436</c:v>
                </c:pt>
                <c:pt idx="3">
                  <c:v>42433</c:v>
                </c:pt>
                <c:pt idx="4">
                  <c:v>42432</c:v>
                </c:pt>
                <c:pt idx="5">
                  <c:v>42431</c:v>
                </c:pt>
                <c:pt idx="6">
                  <c:v>42430</c:v>
                </c:pt>
                <c:pt idx="7">
                  <c:v>42429</c:v>
                </c:pt>
                <c:pt idx="8">
                  <c:v>42426</c:v>
                </c:pt>
                <c:pt idx="9">
                  <c:v>42425</c:v>
                </c:pt>
                <c:pt idx="10">
                  <c:v>42424</c:v>
                </c:pt>
                <c:pt idx="11">
                  <c:v>42423</c:v>
                </c:pt>
                <c:pt idx="12">
                  <c:v>42422</c:v>
                </c:pt>
                <c:pt idx="13">
                  <c:v>42419</c:v>
                </c:pt>
                <c:pt idx="14">
                  <c:v>42418</c:v>
                </c:pt>
                <c:pt idx="15">
                  <c:v>42417</c:v>
                </c:pt>
                <c:pt idx="16">
                  <c:v>42416</c:v>
                </c:pt>
                <c:pt idx="17">
                  <c:v>42412</c:v>
                </c:pt>
                <c:pt idx="18">
                  <c:v>42411</c:v>
                </c:pt>
                <c:pt idx="19">
                  <c:v>42410</c:v>
                </c:pt>
                <c:pt idx="20">
                  <c:v>42409</c:v>
                </c:pt>
                <c:pt idx="21">
                  <c:v>42408</c:v>
                </c:pt>
                <c:pt idx="22">
                  <c:v>42405</c:v>
                </c:pt>
                <c:pt idx="23">
                  <c:v>42404</c:v>
                </c:pt>
                <c:pt idx="24">
                  <c:v>42403</c:v>
                </c:pt>
                <c:pt idx="25">
                  <c:v>42402</c:v>
                </c:pt>
                <c:pt idx="26">
                  <c:v>42401</c:v>
                </c:pt>
                <c:pt idx="27">
                  <c:v>42398</c:v>
                </c:pt>
                <c:pt idx="28">
                  <c:v>42397</c:v>
                </c:pt>
                <c:pt idx="29">
                  <c:v>42396</c:v>
                </c:pt>
                <c:pt idx="30">
                  <c:v>42395</c:v>
                </c:pt>
                <c:pt idx="31">
                  <c:v>42394</c:v>
                </c:pt>
                <c:pt idx="32">
                  <c:v>42391</c:v>
                </c:pt>
                <c:pt idx="33">
                  <c:v>42390</c:v>
                </c:pt>
                <c:pt idx="34">
                  <c:v>42389</c:v>
                </c:pt>
                <c:pt idx="35">
                  <c:v>42388</c:v>
                </c:pt>
                <c:pt idx="36">
                  <c:v>42384</c:v>
                </c:pt>
                <c:pt idx="37">
                  <c:v>42383</c:v>
                </c:pt>
                <c:pt idx="38">
                  <c:v>42382</c:v>
                </c:pt>
                <c:pt idx="39">
                  <c:v>42381</c:v>
                </c:pt>
                <c:pt idx="40">
                  <c:v>42380</c:v>
                </c:pt>
                <c:pt idx="41">
                  <c:v>42377</c:v>
                </c:pt>
                <c:pt idx="42">
                  <c:v>42376</c:v>
                </c:pt>
                <c:pt idx="43">
                  <c:v>42375</c:v>
                </c:pt>
                <c:pt idx="44">
                  <c:v>42374</c:v>
                </c:pt>
                <c:pt idx="45">
                  <c:v>42373</c:v>
                </c:pt>
                <c:pt idx="46">
                  <c:v>42369</c:v>
                </c:pt>
                <c:pt idx="47">
                  <c:v>42368</c:v>
                </c:pt>
                <c:pt idx="48">
                  <c:v>42367</c:v>
                </c:pt>
                <c:pt idx="49">
                  <c:v>42366</c:v>
                </c:pt>
                <c:pt idx="50">
                  <c:v>42362</c:v>
                </c:pt>
                <c:pt idx="51">
                  <c:v>42361</c:v>
                </c:pt>
                <c:pt idx="52">
                  <c:v>42360</c:v>
                </c:pt>
                <c:pt idx="53">
                  <c:v>42359</c:v>
                </c:pt>
                <c:pt idx="54">
                  <c:v>42356</c:v>
                </c:pt>
                <c:pt idx="55">
                  <c:v>42355</c:v>
                </c:pt>
                <c:pt idx="56">
                  <c:v>42354</c:v>
                </c:pt>
                <c:pt idx="57">
                  <c:v>42353</c:v>
                </c:pt>
                <c:pt idx="58">
                  <c:v>42352</c:v>
                </c:pt>
                <c:pt idx="59">
                  <c:v>42349</c:v>
                </c:pt>
                <c:pt idx="60">
                  <c:v>42348</c:v>
                </c:pt>
                <c:pt idx="61">
                  <c:v>42347</c:v>
                </c:pt>
                <c:pt idx="62">
                  <c:v>42346</c:v>
                </c:pt>
                <c:pt idx="63">
                  <c:v>42345</c:v>
                </c:pt>
                <c:pt idx="64">
                  <c:v>42342</c:v>
                </c:pt>
                <c:pt idx="65">
                  <c:v>42341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255.66</c:v>
                </c:pt>
                <c:pt idx="1">
                  <c:v>261.27999999999997</c:v>
                </c:pt>
                <c:pt idx="2">
                  <c:v>269.52</c:v>
                </c:pt>
                <c:pt idx="3">
                  <c:v>263.94</c:v>
                </c:pt>
                <c:pt idx="4">
                  <c:v>268.64</c:v>
                </c:pt>
                <c:pt idx="5">
                  <c:v>273.66000000000003</c:v>
                </c:pt>
                <c:pt idx="6">
                  <c:v>270.89999999999998</c:v>
                </c:pt>
                <c:pt idx="7">
                  <c:v>259.42</c:v>
                </c:pt>
                <c:pt idx="8">
                  <c:v>264.49</c:v>
                </c:pt>
                <c:pt idx="9">
                  <c:v>262.35000000000002</c:v>
                </c:pt>
                <c:pt idx="10">
                  <c:v>257.22000000000003</c:v>
                </c:pt>
                <c:pt idx="11">
                  <c:v>258.99</c:v>
                </c:pt>
                <c:pt idx="12">
                  <c:v>265.83</c:v>
                </c:pt>
                <c:pt idx="13">
                  <c:v>261.39999999999998</c:v>
                </c:pt>
                <c:pt idx="14">
                  <c:v>259.05</c:v>
                </c:pt>
                <c:pt idx="15">
                  <c:v>265.63</c:v>
                </c:pt>
                <c:pt idx="16">
                  <c:v>256.52</c:v>
                </c:pt>
                <c:pt idx="17">
                  <c:v>247.22</c:v>
                </c:pt>
                <c:pt idx="18">
                  <c:v>245.11</c:v>
                </c:pt>
                <c:pt idx="19">
                  <c:v>252.2</c:v>
                </c:pt>
                <c:pt idx="20">
                  <c:v>249.99</c:v>
                </c:pt>
                <c:pt idx="21">
                  <c:v>250.77</c:v>
                </c:pt>
                <c:pt idx="22">
                  <c:v>263.86</c:v>
                </c:pt>
                <c:pt idx="23">
                  <c:v>273.27</c:v>
                </c:pt>
                <c:pt idx="24">
                  <c:v>270.43</c:v>
                </c:pt>
                <c:pt idx="25">
                  <c:v>266.06</c:v>
                </c:pt>
                <c:pt idx="26">
                  <c:v>273.45</c:v>
                </c:pt>
                <c:pt idx="27">
                  <c:v>273.06</c:v>
                </c:pt>
                <c:pt idx="28">
                  <c:v>265.95999999999998</c:v>
                </c:pt>
                <c:pt idx="29">
                  <c:v>273.26</c:v>
                </c:pt>
                <c:pt idx="30">
                  <c:v>259.87</c:v>
                </c:pt>
                <c:pt idx="31">
                  <c:v>262.10000000000002</c:v>
                </c:pt>
                <c:pt idx="32">
                  <c:v>268.92</c:v>
                </c:pt>
                <c:pt idx="33">
                  <c:v>262.08</c:v>
                </c:pt>
                <c:pt idx="34">
                  <c:v>269.35000000000002</c:v>
                </c:pt>
                <c:pt idx="35">
                  <c:v>269.85000000000002</c:v>
                </c:pt>
                <c:pt idx="36">
                  <c:v>273.33</c:v>
                </c:pt>
                <c:pt idx="37">
                  <c:v>280.57</c:v>
                </c:pt>
                <c:pt idx="38">
                  <c:v>267.25</c:v>
                </c:pt>
                <c:pt idx="39">
                  <c:v>278.67</c:v>
                </c:pt>
                <c:pt idx="40">
                  <c:v>278.54000000000002</c:v>
                </c:pt>
                <c:pt idx="41">
                  <c:v>280.58999999999997</c:v>
                </c:pt>
                <c:pt idx="42">
                  <c:v>284.01</c:v>
                </c:pt>
                <c:pt idx="43">
                  <c:v>293.68</c:v>
                </c:pt>
                <c:pt idx="44">
                  <c:v>296.7</c:v>
                </c:pt>
                <c:pt idx="45">
                  <c:v>294.62</c:v>
                </c:pt>
                <c:pt idx="46">
                  <c:v>306.35000000000002</c:v>
                </c:pt>
                <c:pt idx="47">
                  <c:v>308.33999999999997</c:v>
                </c:pt>
                <c:pt idx="48">
                  <c:v>309.67</c:v>
                </c:pt>
                <c:pt idx="49">
                  <c:v>303.83999999999997</c:v>
                </c:pt>
                <c:pt idx="50">
                  <c:v>302.29000000000002</c:v>
                </c:pt>
                <c:pt idx="51">
                  <c:v>300.19</c:v>
                </c:pt>
                <c:pt idx="52">
                  <c:v>300.77</c:v>
                </c:pt>
                <c:pt idx="53">
                  <c:v>297.56</c:v>
                </c:pt>
                <c:pt idx="54">
                  <c:v>293.37</c:v>
                </c:pt>
                <c:pt idx="55">
                  <c:v>297.17</c:v>
                </c:pt>
                <c:pt idx="56">
                  <c:v>299.29000000000002</c:v>
                </c:pt>
                <c:pt idx="57">
                  <c:v>289.11</c:v>
                </c:pt>
                <c:pt idx="58">
                  <c:v>282.39</c:v>
                </c:pt>
                <c:pt idx="59">
                  <c:v>283.45999999999998</c:v>
                </c:pt>
                <c:pt idx="60">
                  <c:v>289.88</c:v>
                </c:pt>
                <c:pt idx="61">
                  <c:v>284.61</c:v>
                </c:pt>
                <c:pt idx="62">
                  <c:v>288.45999999999998</c:v>
                </c:pt>
                <c:pt idx="63">
                  <c:v>281.63</c:v>
                </c:pt>
                <c:pt idx="64">
                  <c:v>284.45</c:v>
                </c:pt>
                <c:pt idx="65">
                  <c:v>275.44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565656"/>
        <c:axId val="413566440"/>
      </c:lineChart>
      <c:dateAx>
        <c:axId val="41356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6440"/>
        <c:crosses val="autoZero"/>
        <c:auto val="1"/>
        <c:lblOffset val="100"/>
        <c:baseTimeUnit val="days"/>
      </c:dateAx>
      <c:valAx>
        <c:axId val="41356644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6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3"/>
  <sheetViews>
    <sheetView zoomScaleNormal="100" workbookViewId="0">
      <pane ySplit="1" topLeftCell="A125" activePane="bottomLeft" state="frozen"/>
      <selection pane="bottomLeft" activeCell="N145" sqref="N145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179</v>
      </c>
      <c r="G1" s="183" t="s">
        <v>180</v>
      </c>
      <c r="H1" s="183" t="s">
        <v>181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175</v>
      </c>
      <c r="Q2" s="250">
        <f>LOOKUP(2,1/(M:M&lt;&gt;""),M:M)</f>
        <v>-115562.48999999999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176</v>
      </c>
      <c r="Q3" s="251">
        <f>COUNTIF(O:O, TRUE)/(COUNTIF(O:O,FALSE) + COUNTIF(O:O, TRUE))</f>
        <v>0.46099290780141844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1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41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si="107"/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41" si="325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ref="G132:G141" si="326">(F132-F131)/F131</f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41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5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6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5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6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5"/>
        <v>-1.8701644719988169E-3</v>
      </c>
      <c r="E135" s="239">
        <f t="shared" si="336"/>
        <v>-7.3433724624721794E-2</v>
      </c>
      <c r="F135" s="257">
        <v>4590.47</v>
      </c>
      <c r="G135" s="193">
        <f t="shared" si="326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3">
        <v>42429</v>
      </c>
      <c r="C136" s="294">
        <v>1932.23</v>
      </c>
      <c r="D136" s="193">
        <f t="shared" si="325"/>
        <v>-8.1209414542747545E-3</v>
      </c>
      <c r="E136" s="295">
        <f t="shared" si="336"/>
        <v>-8.0958315100549849E-2</v>
      </c>
      <c r="F136" s="296">
        <v>4557.95</v>
      </c>
      <c r="G136" s="193">
        <f t="shared" si="326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8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2:15" ht="20.100000000000001" customHeight="1" x14ac:dyDescent="0.25">
      <c r="B137" s="293">
        <v>42430</v>
      </c>
      <c r="C137" s="294">
        <v>1978.35</v>
      </c>
      <c r="D137" s="193">
        <f t="shared" si="325"/>
        <v>2.3868794087660315E-2</v>
      </c>
      <c r="E137" s="295">
        <f t="shared" si="336"/>
        <v>-5.9021898365708481E-2</v>
      </c>
      <c r="F137" s="296">
        <v>4689.59</v>
      </c>
      <c r="G137" s="193">
        <f t="shared" si="326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si="328"/>
        <v>8.4819002440799547E-3</v>
      </c>
      <c r="M137" s="300">
        <f t="shared" ref="M137:M138" si="346">I137-J137</f>
        <v>-143710.37</v>
      </c>
      <c r="N137" s="301">
        <f t="shared" ref="N137:N138" si="347">M137/J137</f>
        <v>-0.359275925</v>
      </c>
      <c r="O137" s="246" t="b">
        <f t="shared" ref="O137:O138" si="348">L137&gt;D137</f>
        <v>0</v>
      </c>
    </row>
    <row r="138" spans="2:15" ht="20.100000000000001" customHeight="1" x14ac:dyDescent="0.25">
      <c r="B138" s="293">
        <v>42431</v>
      </c>
      <c r="C138" s="396">
        <v>1986.4749999999999</v>
      </c>
      <c r="D138" s="193">
        <f t="shared" si="325"/>
        <v>4.1069578183840069E-3</v>
      </c>
      <c r="E138" s="295">
        <f t="shared" si="336"/>
        <v>-5.5157340994273385E-2</v>
      </c>
      <c r="F138" s="296">
        <v>4703.42</v>
      </c>
      <c r="G138" s="193">
        <f t="shared" si="326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28"/>
        <v>6.7507296335009667E-2</v>
      </c>
      <c r="M138" s="300">
        <f t="shared" si="346"/>
        <v>-126408.95000000001</v>
      </c>
      <c r="N138" s="301">
        <f t="shared" si="347"/>
        <v>-0.31602237500000002</v>
      </c>
      <c r="O138" s="246" t="b">
        <f t="shared" si="348"/>
        <v>1</v>
      </c>
    </row>
    <row r="139" spans="2:15" ht="20.100000000000001" customHeight="1" x14ac:dyDescent="0.25">
      <c r="B139" s="293">
        <v>42432</v>
      </c>
      <c r="C139" s="396">
        <v>1993.4</v>
      </c>
      <c r="D139" s="193">
        <f t="shared" si="325"/>
        <v>3.4860745793428975E-3</v>
      </c>
      <c r="E139" s="295">
        <f t="shared" si="336"/>
        <v>-5.1863549019234775E-2</v>
      </c>
      <c r="F139" s="296">
        <v>4707.42</v>
      </c>
      <c r="G139" s="193">
        <f t="shared" si="326"/>
        <v>8.5044499534381367E-4</v>
      </c>
      <c r="H139" s="297">
        <f t="shared" si="316"/>
        <v>-7.5471846338158136E-2</v>
      </c>
      <c r="I139" s="298">
        <v>284465.09999999998</v>
      </c>
      <c r="J139" s="299">
        <v>400000</v>
      </c>
      <c r="K139" s="299">
        <f t="shared" ref="K139:K140" si="349">I139-I138-J139+J138</f>
        <v>10874.049999999988</v>
      </c>
      <c r="L139" s="193">
        <f t="shared" si="328"/>
        <v>3.9745634954067355E-2</v>
      </c>
      <c r="M139" s="300">
        <f t="shared" ref="M139:M140" si="350">I139-J139</f>
        <v>-115534.90000000002</v>
      </c>
      <c r="N139" s="301">
        <f t="shared" ref="N139:N140" si="351">M139/J139</f>
        <v>-0.28883725000000005</v>
      </c>
      <c r="O139" s="246" t="b">
        <f t="shared" ref="O139:O140" si="352">L139&gt;D139</f>
        <v>1</v>
      </c>
    </row>
    <row r="140" spans="2:15" ht="20.100000000000001" customHeight="1" x14ac:dyDescent="0.25">
      <c r="B140" s="293">
        <v>42433</v>
      </c>
      <c r="C140" s="294">
        <v>1999.99</v>
      </c>
      <c r="D140" s="193">
        <f t="shared" si="325"/>
        <v>3.3059095013544286E-3</v>
      </c>
      <c r="E140" s="295">
        <f t="shared" ref="E140:E141" si="353">(C140-$C$2)/$C$2</f>
        <v>-4.8729095717356993E-2</v>
      </c>
      <c r="F140" s="296">
        <v>4717.0200000000004</v>
      </c>
      <c r="G140" s="193">
        <f t="shared" si="326"/>
        <v>2.0393336477306811E-3</v>
      </c>
      <c r="H140" s="297">
        <f t="shared" si="316"/>
        <v>-7.3586424966121222E-2</v>
      </c>
      <c r="I140" s="298">
        <v>295168.58</v>
      </c>
      <c r="J140" s="299">
        <v>400000</v>
      </c>
      <c r="K140" s="299">
        <f t="shared" si="349"/>
        <v>10703.48000000004</v>
      </c>
      <c r="L140" s="193">
        <f t="shared" si="328"/>
        <v>3.7626689530631495E-2</v>
      </c>
      <c r="M140" s="300">
        <f t="shared" si="350"/>
        <v>-104831.41999999998</v>
      </c>
      <c r="N140" s="301">
        <f t="shared" si="351"/>
        <v>-0.26207854999999997</v>
      </c>
      <c r="O140" s="246" t="b">
        <f t="shared" si="352"/>
        <v>1</v>
      </c>
    </row>
    <row r="141" spans="2:15" ht="20.100000000000001" customHeight="1" x14ac:dyDescent="0.25">
      <c r="B141" s="194">
        <v>42436</v>
      </c>
      <c r="C141" s="253">
        <v>2001.76</v>
      </c>
      <c r="D141" s="193">
        <f t="shared" si="325"/>
        <v>8.8500442502211603E-4</v>
      </c>
      <c r="E141" s="239">
        <f t="shared" si="353"/>
        <v>-4.7887216757672067E-2</v>
      </c>
      <c r="F141" s="257">
        <v>4708.5200000000004</v>
      </c>
      <c r="G141" s="193">
        <f t="shared" si="326"/>
        <v>-1.8019851516423502E-3</v>
      </c>
      <c r="H141" s="233">
        <f t="shared" si="316"/>
        <v>-7.5255808472612165E-2</v>
      </c>
      <c r="I141" s="259">
        <v>295332.12</v>
      </c>
      <c r="J141" s="195">
        <v>400000</v>
      </c>
      <c r="K141" s="195">
        <f t="shared" ref="K141" si="354">I141-I140-J141+J140</f>
        <v>163.53999999997905</v>
      </c>
      <c r="L141" s="193">
        <f t="shared" si="328"/>
        <v>5.5405626167927171E-4</v>
      </c>
      <c r="M141" s="207">
        <f t="shared" ref="M141" si="355">I141-J141</f>
        <v>-104667.88</v>
      </c>
      <c r="N141" s="209">
        <f t="shared" ref="N141" si="356">M141/J141</f>
        <v>-0.26166970000000001</v>
      </c>
      <c r="O141" s="246" t="b">
        <f t="shared" ref="O141" si="357">L141&gt;D141</f>
        <v>0</v>
      </c>
    </row>
    <row r="142" spans="2:15" ht="20.100000000000001" customHeight="1" x14ac:dyDescent="0.25">
      <c r="B142" s="194">
        <v>42437</v>
      </c>
      <c r="C142" s="253">
        <v>1979.26</v>
      </c>
      <c r="D142" s="193">
        <f t="shared" ref="D142:D143" si="358">(C142-C141)/C141</f>
        <v>-1.124010870434018E-2</v>
      </c>
      <c r="E142" s="239">
        <f t="shared" ref="E142:E143" si="359">(C142-$C$2)/$C$2</f>
        <v>-5.8589067940107716E-2</v>
      </c>
      <c r="F142" s="257">
        <v>4648.82</v>
      </c>
      <c r="G142" s="193">
        <f t="shared" ref="G142:G143" si="360">(F142-F141)/F141</f>
        <v>-1.2679143340157994E-2</v>
      </c>
      <c r="H142" s="233">
        <f t="shared" ref="H142:H143" si="361">(F142-F$2)/F$2</f>
        <v>-8.6980772629966438E-2</v>
      </c>
      <c r="I142" s="259">
        <v>279655.23</v>
      </c>
      <c r="J142" s="195">
        <v>400000</v>
      </c>
      <c r="K142" s="195">
        <f t="shared" ref="K142:K143" si="362">I142-I141-J142+J141</f>
        <v>-15676.890000000014</v>
      </c>
      <c r="L142" s="193">
        <f t="shared" ref="L142:L143" si="363">K142/I141</f>
        <v>-5.3082238396555084E-2</v>
      </c>
      <c r="M142" s="207">
        <f t="shared" ref="M142:M143" si="364">I142-J142</f>
        <v>-120344.77000000002</v>
      </c>
      <c r="N142" s="209">
        <f t="shared" ref="N142:N143" si="365">M142/J142</f>
        <v>-0.30086192500000003</v>
      </c>
      <c r="O142" s="246" t="b">
        <f t="shared" ref="O142:O143" si="366">L142&gt;D142</f>
        <v>0</v>
      </c>
    </row>
    <row r="143" spans="2:15" ht="20.100000000000001" customHeight="1" x14ac:dyDescent="0.25">
      <c r="B143" s="194">
        <v>42438</v>
      </c>
      <c r="C143" s="253">
        <v>1989.26</v>
      </c>
      <c r="D143" s="193">
        <f t="shared" si="358"/>
        <v>5.0523933187150757E-3</v>
      </c>
      <c r="E143" s="239">
        <f t="shared" si="359"/>
        <v>-5.3832689636802981E-2</v>
      </c>
      <c r="F143" s="257">
        <v>4674.37</v>
      </c>
      <c r="G143" s="193">
        <f t="shared" si="360"/>
        <v>5.4960183444401336E-3</v>
      </c>
      <c r="H143" s="233">
        <f t="shared" si="361"/>
        <v>-8.1962802207514174E-2</v>
      </c>
      <c r="I143" s="259">
        <v>284437.51</v>
      </c>
      <c r="J143" s="195">
        <v>400000</v>
      </c>
      <c r="K143" s="195">
        <f t="shared" si="362"/>
        <v>4782.2800000000279</v>
      </c>
      <c r="L143" s="193">
        <f t="shared" si="363"/>
        <v>1.7100627798021257E-2</v>
      </c>
      <c r="M143" s="207">
        <f t="shared" si="364"/>
        <v>-115562.48999999999</v>
      </c>
      <c r="N143" s="209">
        <f t="shared" si="365"/>
        <v>-0.28890622499999996</v>
      </c>
      <c r="O143" s="246" t="b">
        <f t="shared" si="366"/>
        <v>1</v>
      </c>
    </row>
  </sheetData>
  <conditionalFormatting sqref="L144:L1048576 L1:L2">
    <cfRule type="colorScale" priority="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3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3">
    <cfRule type="colorScale" priority="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3">
    <cfRule type="colorScale" priority="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3">
    <cfRule type="colorScale" priority="1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E208" sqref="E208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96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97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139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140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402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402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402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402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140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140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140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140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140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140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140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140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140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140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140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140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140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140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140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402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402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140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140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140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140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140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140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140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140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140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178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-113323.02199999963</v>
      </c>
    </row>
    <row r="210" spans="13:16" ht="18" customHeight="1" x14ac:dyDescent="0.25">
      <c r="M210" s="29" t="s">
        <v>168</v>
      </c>
      <c r="N210" s="155">
        <f>SUM(N205:N208)</f>
        <v>-115562.49199999958</v>
      </c>
      <c r="P210" s="281"/>
    </row>
    <row r="211" spans="13:16" ht="18" customHeight="1" x14ac:dyDescent="0.25">
      <c r="M211" s="29" t="s">
        <v>169</v>
      </c>
      <c r="N211" s="155">
        <f>Balance!Q2</f>
        <v>-115562.48999999999</v>
      </c>
    </row>
    <row r="212" spans="13:16" ht="18" customHeight="1" x14ac:dyDescent="0.25">
      <c r="M212" s="29" t="s">
        <v>138</v>
      </c>
      <c r="N212" s="30">
        <f>N210-N211</f>
        <v>-1.9999995856778696E-3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8" activePane="bottomLeft" state="frozen"/>
      <selection pane="bottomLeft" activeCell="E12" sqref="E1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91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2">
        <v>9.42</v>
      </c>
      <c r="G2" s="53">
        <v>9.42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 t="shared" ref="L2:L33" si="0">HYPERLINK("http://finance.yahoo.com/q?s=" &amp; E2, "Link")</f>
        <v>Link</v>
      </c>
      <c r="M2" s="212"/>
      <c r="N2" s="68"/>
      <c r="O2" s="68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92">
        <v>64.53</v>
      </c>
      <c r="G3" s="53">
        <v>64.53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 t="shared" si="0"/>
        <v>Link</v>
      </c>
      <c r="M3" s="332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92">
        <v>9.3000000000000007</v>
      </c>
      <c r="G4" s="53">
        <v>9.3000000000000007</v>
      </c>
      <c r="H4" s="390">
        <v>0</v>
      </c>
      <c r="I4" s="53">
        <v>0</v>
      </c>
      <c r="J4" s="53">
        <v>37</v>
      </c>
      <c r="K4" s="241">
        <v>0</v>
      </c>
      <c r="L4" s="69" t="str">
        <f t="shared" si="0"/>
        <v>Link</v>
      </c>
      <c r="M4" s="212"/>
      <c r="P4" s="53"/>
      <c r="Q4" s="162"/>
    </row>
    <row r="5" spans="1:17" ht="18.95" customHeight="1" x14ac:dyDescent="0.25">
      <c r="A5" s="56"/>
      <c r="B5" s="55"/>
      <c r="C5" s="56"/>
      <c r="D5" s="57"/>
      <c r="E5" s="26" t="s">
        <v>33</v>
      </c>
      <c r="F5" s="292">
        <v>141.96</v>
      </c>
      <c r="G5" s="53">
        <v>141.96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 t="shared" si="0"/>
        <v>Link</v>
      </c>
      <c r="M5" s="175" t="s">
        <v>184</v>
      </c>
      <c r="N5" s="53"/>
      <c r="Q5" s="162"/>
    </row>
    <row r="6" spans="1:17" ht="18.95" customHeight="1" x14ac:dyDescent="0.25">
      <c r="A6" s="55"/>
      <c r="B6" s="55"/>
      <c r="C6" s="56"/>
      <c r="D6" s="57"/>
      <c r="E6" s="26" t="s">
        <v>62</v>
      </c>
      <c r="F6" s="292">
        <v>255.66</v>
      </c>
      <c r="G6" s="53">
        <v>251.5</v>
      </c>
      <c r="H6" s="390">
        <v>5</v>
      </c>
      <c r="I6" s="53">
        <v>1257.5</v>
      </c>
      <c r="J6" s="53">
        <v>1394.4500000000087</v>
      </c>
      <c r="K6" s="241">
        <v>1.6540755467196806E-2</v>
      </c>
      <c r="L6" s="69" t="str">
        <f t="shared" si="0"/>
        <v>Link</v>
      </c>
      <c r="M6" s="176"/>
      <c r="N6" s="53"/>
      <c r="Q6" s="162"/>
    </row>
    <row r="7" spans="1:17" ht="18.95" customHeight="1" x14ac:dyDescent="0.25">
      <c r="A7" s="169"/>
      <c r="B7" s="55"/>
      <c r="C7" s="56"/>
      <c r="D7" s="57"/>
      <c r="E7" s="26" t="s">
        <v>8</v>
      </c>
      <c r="F7" s="292">
        <v>60.37</v>
      </c>
      <c r="G7" s="53">
        <v>60.37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 t="shared" si="0"/>
        <v>Link</v>
      </c>
      <c r="M7" s="401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92">
        <v>13.79</v>
      </c>
      <c r="G8" s="53">
        <v>30.136946666666695</v>
      </c>
      <c r="H8" s="390">
        <v>1500</v>
      </c>
      <c r="I8" s="53">
        <v>45205.420000000042</v>
      </c>
      <c r="J8" s="53">
        <v>-24520.420000000042</v>
      </c>
      <c r="K8" s="241">
        <v>-0.54242212548849278</v>
      </c>
      <c r="L8" s="69" t="str">
        <f t="shared" si="0"/>
        <v>Link</v>
      </c>
      <c r="M8" s="213" t="s">
        <v>240</v>
      </c>
      <c r="N8" s="53"/>
      <c r="O8" s="68"/>
      <c r="Q8" s="162"/>
    </row>
    <row r="9" spans="1:17" ht="18.95" customHeight="1" x14ac:dyDescent="0.25">
      <c r="A9" s="56"/>
      <c r="B9" s="56"/>
      <c r="C9" s="56"/>
      <c r="D9" s="57"/>
      <c r="E9" s="26" t="s">
        <v>32</v>
      </c>
      <c r="F9" s="292">
        <v>46.74</v>
      </c>
      <c r="G9" s="53">
        <v>41.95</v>
      </c>
      <c r="H9" s="390">
        <v>30</v>
      </c>
      <c r="I9" s="53">
        <v>1258.5</v>
      </c>
      <c r="J9" s="53">
        <v>143.70000000000005</v>
      </c>
      <c r="K9" s="241">
        <v>0.11418355184743739</v>
      </c>
      <c r="L9" s="69" t="str">
        <f t="shared" si="0"/>
        <v>Link</v>
      </c>
      <c r="M9" s="211"/>
      <c r="N9" s="68"/>
      <c r="O9" s="68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92">
        <v>97.66</v>
      </c>
      <c r="G10" s="53">
        <v>96.787600000000026</v>
      </c>
      <c r="H10" s="390">
        <v>25</v>
      </c>
      <c r="I10" s="53">
        <v>2419.6900000000005</v>
      </c>
      <c r="J10" s="53">
        <v>21.809999999999491</v>
      </c>
      <c r="K10" s="241">
        <v>9.0135513226897897E-3</v>
      </c>
      <c r="L10" s="69" t="str">
        <f t="shared" si="0"/>
        <v>Link</v>
      </c>
      <c r="M10" s="212"/>
      <c r="N10" s="53"/>
      <c r="Q10" s="162"/>
    </row>
    <row r="11" spans="1:17" ht="18.95" customHeight="1" x14ac:dyDescent="0.25">
      <c r="A11" s="56"/>
      <c r="B11" s="56"/>
      <c r="C11" s="56"/>
      <c r="D11" s="57"/>
      <c r="E11" s="26" t="s">
        <v>9</v>
      </c>
      <c r="F11" s="292">
        <v>5.17</v>
      </c>
      <c r="G11" s="53">
        <v>5.17</v>
      </c>
      <c r="H11" s="390">
        <v>0</v>
      </c>
      <c r="I11" s="53">
        <v>0</v>
      </c>
      <c r="J11" s="53">
        <v>434.93000000000029</v>
      </c>
      <c r="K11" s="241">
        <v>0</v>
      </c>
      <c r="L11" s="69" t="str">
        <f t="shared" si="0"/>
        <v>Link</v>
      </c>
      <c r="M11" s="212"/>
      <c r="N11" s="53"/>
      <c r="O11" s="53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92">
        <v>87.83</v>
      </c>
      <c r="G12" s="53">
        <v>95.175857142857154</v>
      </c>
      <c r="H12" s="390">
        <v>70</v>
      </c>
      <c r="I12" s="53">
        <v>6662.31</v>
      </c>
      <c r="J12" s="53">
        <v>-514.21000000000095</v>
      </c>
      <c r="K12" s="241">
        <v>-7.7181938396742394E-2</v>
      </c>
      <c r="L12" s="69" t="str">
        <f t="shared" si="0"/>
        <v>Link</v>
      </c>
      <c r="M12" s="211"/>
      <c r="Q12" s="162"/>
    </row>
    <row r="13" spans="1:17" ht="18.95" customHeight="1" x14ac:dyDescent="0.25">
      <c r="A13" s="55"/>
      <c r="B13" s="55"/>
      <c r="C13" s="56"/>
      <c r="E13" s="26" t="s">
        <v>246</v>
      </c>
      <c r="F13" s="292">
        <v>60.44</v>
      </c>
      <c r="G13" s="53">
        <v>60.44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 t="shared" si="0"/>
        <v>Link</v>
      </c>
      <c r="M13" s="221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92">
        <v>30.54</v>
      </c>
      <c r="G14" s="53">
        <v>30.54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 t="shared" si="0"/>
        <v>Link</v>
      </c>
      <c r="M14" s="332"/>
      <c r="Q14" s="179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2">
        <v>47.08</v>
      </c>
      <c r="G15" s="53">
        <v>45.605666666666643</v>
      </c>
      <c r="H15" s="390">
        <v>450</v>
      </c>
      <c r="I15" s="53">
        <v>20522.549999999988</v>
      </c>
      <c r="J15" s="53">
        <v>663.45000000001164</v>
      </c>
      <c r="K15" s="241">
        <v>3.232785399475261E-2</v>
      </c>
      <c r="L15" s="69" t="str">
        <f t="shared" si="0"/>
        <v>Link</v>
      </c>
      <c r="M15" s="212"/>
      <c r="N15" s="162"/>
    </row>
    <row r="16" spans="1:17" ht="18.95" customHeight="1" x14ac:dyDescent="0.25">
      <c r="A16" s="55"/>
      <c r="B16" s="55"/>
      <c r="C16" s="56"/>
      <c r="E16" s="26" t="s">
        <v>27</v>
      </c>
      <c r="F16" s="292">
        <v>30.864999999999998</v>
      </c>
      <c r="G16" s="53">
        <v>30.864999999999998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 t="shared" si="0"/>
        <v>Link</v>
      </c>
      <c r="M16" s="221"/>
      <c r="Q16" s="162"/>
    </row>
    <row r="17" spans="1:17" ht="18.95" customHeight="1" x14ac:dyDescent="0.25">
      <c r="A17" s="56"/>
      <c r="B17" s="56"/>
      <c r="C17" s="56"/>
      <c r="D17" s="57"/>
      <c r="E17" s="26" t="s">
        <v>247</v>
      </c>
      <c r="F17" s="292">
        <v>38.549999999999997</v>
      </c>
      <c r="G17" s="53">
        <v>38.549999999999997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 t="shared" si="0"/>
        <v>Link</v>
      </c>
      <c r="M17" s="221"/>
      <c r="Q17" s="162"/>
    </row>
    <row r="18" spans="1:17" ht="18.95" customHeight="1" x14ac:dyDescent="0.25">
      <c r="A18" s="55"/>
      <c r="B18" s="55"/>
      <c r="C18" s="55"/>
      <c r="D18" s="57"/>
      <c r="E18" s="26" t="s">
        <v>15</v>
      </c>
      <c r="F18" s="292">
        <v>23.3</v>
      </c>
      <c r="G18" s="53">
        <v>23.3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 t="shared" si="0"/>
        <v>Link</v>
      </c>
      <c r="M18" s="397"/>
      <c r="N18" s="53"/>
      <c r="Q18" s="162"/>
    </row>
    <row r="19" spans="1:17" ht="18.95" customHeight="1" x14ac:dyDescent="0.25">
      <c r="A19" s="55"/>
      <c r="B19" s="55"/>
      <c r="C19" s="56"/>
      <c r="E19" s="26" t="s">
        <v>24</v>
      </c>
      <c r="F19" s="292">
        <v>58.14</v>
      </c>
      <c r="G19" s="53">
        <v>58.14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 t="shared" si="0"/>
        <v>Link</v>
      </c>
      <c r="M19" s="211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92">
        <v>10.48</v>
      </c>
      <c r="G20" s="53">
        <v>17.769917978012451</v>
      </c>
      <c r="H20" s="390">
        <v>9278</v>
      </c>
      <c r="I20" s="53">
        <v>164869.29899999953</v>
      </c>
      <c r="J20" s="53">
        <v>-67635.858999999531</v>
      </c>
      <c r="K20" s="241">
        <v>-0.41023925867483496</v>
      </c>
      <c r="L20" s="69" t="str">
        <f t="shared" si="0"/>
        <v>Link</v>
      </c>
      <c r="M20" s="212"/>
      <c r="N20" s="53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92">
        <v>10.81</v>
      </c>
      <c r="G21" s="53">
        <v>16.258881474480173</v>
      </c>
      <c r="H21" s="390">
        <v>5290</v>
      </c>
      <c r="I21" s="53">
        <v>86009.483000000109</v>
      </c>
      <c r="J21" s="53">
        <v>-28824.583000000108</v>
      </c>
      <c r="K21" s="241">
        <v>-0.33513261555124191</v>
      </c>
      <c r="L21" s="69" t="str">
        <f t="shared" si="0"/>
        <v>Link</v>
      </c>
      <c r="M21" s="175"/>
      <c r="N21" s="302"/>
      <c r="O21" s="68"/>
      <c r="P21" s="53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92">
        <v>75.75</v>
      </c>
      <c r="G22" s="53">
        <v>75.75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 t="shared" si="0"/>
        <v>Link</v>
      </c>
      <c r="M22" s="175" t="s">
        <v>276</v>
      </c>
      <c r="N22" s="68"/>
      <c r="O22" s="68"/>
      <c r="Q22" s="179"/>
    </row>
    <row r="23" spans="1:17" ht="18.95" customHeight="1" x14ac:dyDescent="0.25">
      <c r="A23" s="55"/>
      <c r="B23" s="56"/>
      <c r="C23" s="56"/>
      <c r="D23" s="57"/>
      <c r="E23" s="26" t="s">
        <v>249</v>
      </c>
      <c r="F23" s="292">
        <v>39.85</v>
      </c>
      <c r="G23" s="53">
        <v>41.304999999999993</v>
      </c>
      <c r="H23" s="390">
        <v>30</v>
      </c>
      <c r="I23" s="53">
        <v>1239.1499999999999</v>
      </c>
      <c r="J23" s="53">
        <v>-43.649999999999864</v>
      </c>
      <c r="K23" s="241">
        <v>-3.5225759593269373E-2</v>
      </c>
      <c r="L23" s="69" t="str">
        <f t="shared" si="0"/>
        <v>Link</v>
      </c>
      <c r="M23" s="211"/>
      <c r="N23" s="53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92">
        <v>26.2</v>
      </c>
      <c r="G24" s="53">
        <v>31.064299999999932</v>
      </c>
      <c r="H24" s="390">
        <v>100</v>
      </c>
      <c r="I24" s="53">
        <v>3106.429999999993</v>
      </c>
      <c r="J24" s="53">
        <v>-486.42999999999302</v>
      </c>
      <c r="K24" s="241">
        <v>-0.15658810917998936</v>
      </c>
      <c r="L24" s="69" t="str">
        <f t="shared" si="0"/>
        <v>Link</v>
      </c>
      <c r="M24" s="175"/>
      <c r="Q24" s="162"/>
    </row>
    <row r="25" spans="1:17" ht="18.95" customHeight="1" x14ac:dyDescent="0.25">
      <c r="A25" s="55"/>
      <c r="B25" s="55"/>
      <c r="C25" s="56"/>
      <c r="D25" s="57"/>
      <c r="E25" s="26" t="s">
        <v>250</v>
      </c>
      <c r="F25" s="292">
        <v>199.38</v>
      </c>
      <c r="G25" s="53">
        <v>169.39000000000016</v>
      </c>
      <c r="H25" s="390">
        <v>5</v>
      </c>
      <c r="I25" s="53">
        <v>846.95000000000073</v>
      </c>
      <c r="J25" s="53">
        <v>149.94999999999925</v>
      </c>
      <c r="K25" s="241">
        <v>0.17704705118365791</v>
      </c>
      <c r="L25" s="69" t="str">
        <f t="shared" si="0"/>
        <v>Link</v>
      </c>
      <c r="M25" s="212"/>
      <c r="Q25" s="162"/>
    </row>
    <row r="26" spans="1:17" ht="18.95" customHeight="1" x14ac:dyDescent="0.25">
      <c r="A26" s="66"/>
      <c r="B26" s="67"/>
      <c r="C26" s="66"/>
      <c r="D26" s="57"/>
      <c r="E26" s="26" t="s">
        <v>244</v>
      </c>
      <c r="F26" s="292">
        <v>71.02</v>
      </c>
      <c r="G26" s="53">
        <v>63.767333333333369</v>
      </c>
      <c r="H26" s="390">
        <v>30</v>
      </c>
      <c r="I26" s="53">
        <v>1913.0200000000011</v>
      </c>
      <c r="J26" s="53">
        <v>217.57999999999879</v>
      </c>
      <c r="K26" s="241">
        <v>0.11373639585576664</v>
      </c>
      <c r="L26" s="69" t="str">
        <f t="shared" si="0"/>
        <v>Link</v>
      </c>
      <c r="M26" s="212"/>
      <c r="Q26" s="162"/>
    </row>
    <row r="27" spans="1:17" ht="18.95" customHeight="1" x14ac:dyDescent="0.25">
      <c r="A27" s="55"/>
      <c r="B27" s="55"/>
      <c r="C27" s="56"/>
      <c r="E27" s="26" t="s">
        <v>39</v>
      </c>
      <c r="F27" s="292">
        <v>30.45</v>
      </c>
      <c r="G27" s="53">
        <v>30.45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 t="shared" si="0"/>
        <v>Link</v>
      </c>
      <c r="M27" s="211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92">
        <v>138.15</v>
      </c>
      <c r="G28" s="53">
        <v>138.15</v>
      </c>
      <c r="H28" s="390">
        <v>0</v>
      </c>
      <c r="I28" s="53">
        <v>0</v>
      </c>
      <c r="J28" s="53">
        <v>171.47000000000003</v>
      </c>
      <c r="K28" s="241">
        <v>0</v>
      </c>
      <c r="L28" s="69" t="str">
        <f t="shared" si="0"/>
        <v>Link</v>
      </c>
      <c r="M28" s="212"/>
      <c r="P28" s="53"/>
      <c r="Q28" s="162"/>
    </row>
    <row r="29" spans="1:17" ht="18.95" customHeight="1" x14ac:dyDescent="0.25">
      <c r="A29" s="56"/>
      <c r="B29" s="56"/>
      <c r="C29" s="56"/>
      <c r="D29" s="57"/>
      <c r="E29" s="26" t="s">
        <v>51</v>
      </c>
      <c r="F29" s="292">
        <v>121.1</v>
      </c>
      <c r="G29" s="53">
        <v>121.1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 t="shared" si="0"/>
        <v>Link</v>
      </c>
      <c r="M29" s="221"/>
      <c r="N29" s="53"/>
      <c r="P29" s="53"/>
      <c r="Q29" s="162"/>
    </row>
    <row r="30" spans="1:17" ht="18.95" customHeight="1" x14ac:dyDescent="0.25">
      <c r="A30" s="55"/>
      <c r="B30" s="56"/>
      <c r="C30" s="56"/>
      <c r="D30" s="57"/>
      <c r="E30" s="26" t="s">
        <v>42</v>
      </c>
      <c r="F30" s="292">
        <v>80.14</v>
      </c>
      <c r="G30" s="53">
        <v>80.14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 t="shared" si="0"/>
        <v>Link</v>
      </c>
      <c r="M30" s="175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92">
        <v>96.6</v>
      </c>
      <c r="G31" s="53">
        <v>96.6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 t="shared" si="0"/>
        <v>Link</v>
      </c>
      <c r="M31" s="221"/>
      <c r="N31" s="302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248</v>
      </c>
      <c r="F32" s="292">
        <v>48.79</v>
      </c>
      <c r="G32" s="53">
        <v>50.125</v>
      </c>
      <c r="H32" s="390">
        <v>40</v>
      </c>
      <c r="I32" s="53">
        <v>2005</v>
      </c>
      <c r="J32" s="53">
        <v>-53.400000000000091</v>
      </c>
      <c r="K32" s="241">
        <v>-2.6633416458852886E-2</v>
      </c>
      <c r="L32" s="69" t="str">
        <f t="shared" si="0"/>
        <v>Link</v>
      </c>
      <c r="M32" s="211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92">
        <v>49.35</v>
      </c>
      <c r="G33" s="53">
        <v>49.35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 t="shared" si="0"/>
        <v>Link</v>
      </c>
      <c r="M33" s="397"/>
      <c r="N33" s="302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90"/>
      <c r="K34" s="241"/>
      <c r="L34" s="69"/>
      <c r="M34" s="212"/>
      <c r="N34" s="68"/>
      <c r="O34" s="68"/>
      <c r="Q34" s="179"/>
    </row>
    <row r="35" spans="1:17" ht="18.95" customHeight="1" x14ac:dyDescent="0.25">
      <c r="A35" s="55"/>
      <c r="B35" s="55"/>
      <c r="C35" s="56"/>
      <c r="D35" s="57"/>
      <c r="E35" s="26"/>
      <c r="H35" s="390"/>
      <c r="K35" s="241"/>
      <c r="L35" s="69"/>
      <c r="M35" s="221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M3" sqref="M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42438</v>
      </c>
      <c r="X2" s="12">
        <v>10.51</v>
      </c>
      <c r="Y2" s="12">
        <v>10.68</v>
      </c>
      <c r="Z2" s="12">
        <v>10.08</v>
      </c>
      <c r="AA2" s="12">
        <v>10.48</v>
      </c>
      <c r="AB2" s="105">
        <v>30855500</v>
      </c>
      <c r="AC2" s="12">
        <v>10.48</v>
      </c>
      <c r="AD2">
        <f t="shared" ref="AD2:AD14" si="0">Y2-Z2</f>
        <v>0.59999999999999964</v>
      </c>
      <c r="AE2" s="148">
        <f t="shared" ref="AE2:AE14" si="1">AC2/AC3-1</f>
        <v>3.5573122529644285E-2</v>
      </c>
      <c r="AP2" t="s">
        <v>191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O3" s="13" t="s">
        <v>58</v>
      </c>
      <c r="Q3" s="90">
        <f>IF(Q2=0, Q4, (F91-K91-M91)/Q2)</f>
        <v>17.769917978012451</v>
      </c>
      <c r="W3" s="143">
        <v>42437</v>
      </c>
      <c r="X3" s="12">
        <v>10.84</v>
      </c>
      <c r="Y3" s="12">
        <v>10.87</v>
      </c>
      <c r="Z3" s="12">
        <v>9.92</v>
      </c>
      <c r="AA3" s="12">
        <v>10.119999999999999</v>
      </c>
      <c r="AB3" s="105">
        <v>35384100</v>
      </c>
      <c r="AC3" s="12">
        <v>10.119999999999999</v>
      </c>
      <c r="AD3">
        <f t="shared" si="0"/>
        <v>0.94999999999999929</v>
      </c>
      <c r="AE3" s="148">
        <f t="shared" si="1"/>
        <v>-8.2502266545784297E-2</v>
      </c>
      <c r="AI3" t="s">
        <v>203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10.48</v>
      </c>
      <c r="W4" s="143">
        <v>42436</v>
      </c>
      <c r="X4" s="12">
        <v>11.12</v>
      </c>
      <c r="Y4" s="12">
        <v>11.59</v>
      </c>
      <c r="Z4" s="12">
        <v>10.72</v>
      </c>
      <c r="AA4" s="12">
        <v>11.03</v>
      </c>
      <c r="AB4" s="105">
        <v>57377500</v>
      </c>
      <c r="AC4" s="12">
        <v>11.03</v>
      </c>
      <c r="AD4">
        <f t="shared" si="0"/>
        <v>0.86999999999999922</v>
      </c>
      <c r="AE4" s="148">
        <f t="shared" si="1"/>
        <v>2.7272727272726893E-3</v>
      </c>
      <c r="AI4" t="s">
        <v>203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7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97233.44</v>
      </c>
      <c r="T5" s="75"/>
      <c r="W5" s="143">
        <v>42433</v>
      </c>
      <c r="X5" s="12">
        <v>10.36</v>
      </c>
      <c r="Y5" s="12">
        <v>11.48</v>
      </c>
      <c r="Z5" s="12">
        <v>10.08</v>
      </c>
      <c r="AA5" s="12">
        <v>11</v>
      </c>
      <c r="AB5" s="105">
        <v>86914500</v>
      </c>
      <c r="AC5" s="12">
        <v>11</v>
      </c>
      <c r="AD5">
        <f t="shared" si="0"/>
        <v>1.4000000000000004</v>
      </c>
      <c r="AE5" s="148">
        <f t="shared" si="1"/>
        <v>0.10330992978936804</v>
      </c>
    </row>
    <row r="6" spans="1:43" x14ac:dyDescent="0.25">
      <c r="B6" s="407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164869.29899999953</v>
      </c>
      <c r="W6" s="143">
        <v>42432</v>
      </c>
      <c r="X6" s="12">
        <v>9.0299999999999994</v>
      </c>
      <c r="Y6" s="12">
        <v>10</v>
      </c>
      <c r="Z6" s="12">
        <v>8.9700000000000006</v>
      </c>
      <c r="AA6" s="12">
        <v>9.9700000000000006</v>
      </c>
      <c r="AB6" s="105">
        <v>65378700</v>
      </c>
      <c r="AC6" s="12">
        <v>9.9700000000000006</v>
      </c>
      <c r="AD6">
        <f t="shared" si="0"/>
        <v>1.0299999999999994</v>
      </c>
      <c r="AE6" s="148">
        <f t="shared" si="1"/>
        <v>9.5604395604395709E-2</v>
      </c>
    </row>
    <row r="7" spans="1:43" ht="15.75" x14ac:dyDescent="0.25">
      <c r="B7" s="407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6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-67635.858999999531</v>
      </c>
      <c r="R7" s="211"/>
      <c r="T7" s="45">
        <v>42312</v>
      </c>
      <c r="U7" s="202" t="s">
        <v>164</v>
      </c>
      <c r="W7" s="143">
        <v>42431</v>
      </c>
      <c r="X7" s="12">
        <v>7.94</v>
      </c>
      <c r="Y7" s="12">
        <v>9.15</v>
      </c>
      <c r="Z7" s="12">
        <v>7.9</v>
      </c>
      <c r="AA7" s="12">
        <v>9.1</v>
      </c>
      <c r="AB7" s="105">
        <v>74464900</v>
      </c>
      <c r="AC7" s="12">
        <v>9.1</v>
      </c>
      <c r="AD7">
        <f t="shared" si="0"/>
        <v>1.25</v>
      </c>
      <c r="AE7" s="148">
        <f t="shared" si="1"/>
        <v>0.14321608040200995</v>
      </c>
    </row>
    <row r="8" spans="1:43" x14ac:dyDescent="0.25">
      <c r="B8" s="407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6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-0.41023925867483496</v>
      </c>
      <c r="W8" s="143">
        <v>42430</v>
      </c>
      <c r="X8" s="12">
        <v>8.2100000000000009</v>
      </c>
      <c r="Y8" s="12">
        <v>8.2100000000000009</v>
      </c>
      <c r="Z8" s="12">
        <v>7.56</v>
      </c>
      <c r="AA8" s="12">
        <v>7.96</v>
      </c>
      <c r="AB8" s="105">
        <v>273901400</v>
      </c>
      <c r="AC8" s="12">
        <v>7.96</v>
      </c>
      <c r="AD8">
        <f t="shared" si="0"/>
        <v>0.65000000000000124</v>
      </c>
      <c r="AE8" s="148">
        <f t="shared" si="1"/>
        <v>-3.0450669914738215E-2</v>
      </c>
    </row>
    <row r="9" spans="1:43" x14ac:dyDescent="0.25">
      <c r="B9" s="407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42429</v>
      </c>
      <c r="X9" s="12">
        <v>8.49</v>
      </c>
      <c r="Y9" s="12">
        <v>8.5299999999999994</v>
      </c>
      <c r="Z9" s="12">
        <v>7.97</v>
      </c>
      <c r="AA9" s="12">
        <v>8.2100000000000009</v>
      </c>
      <c r="AB9" s="105">
        <v>35635000</v>
      </c>
      <c r="AC9" s="12">
        <v>8.2100000000000009</v>
      </c>
      <c r="AD9">
        <f t="shared" si="0"/>
        <v>0.55999999999999961</v>
      </c>
      <c r="AE9" s="148">
        <f t="shared" si="1"/>
        <v>2.2415940224159492E-2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404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42426</v>
      </c>
      <c r="X10" s="12">
        <v>7.75</v>
      </c>
      <c r="Y10" s="12">
        <v>8.1999999999999993</v>
      </c>
      <c r="Z10" s="12">
        <v>7.59</v>
      </c>
      <c r="AA10" s="12">
        <v>8.0299999999999994</v>
      </c>
      <c r="AB10" s="105">
        <v>36394800</v>
      </c>
      <c r="AC10" s="12">
        <v>8.0299999999999994</v>
      </c>
      <c r="AD10">
        <f t="shared" si="0"/>
        <v>0.60999999999999943</v>
      </c>
      <c r="AE10" s="148">
        <f t="shared" si="1"/>
        <v>8.6603518267929669E-2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404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42425</v>
      </c>
      <c r="X11" s="12">
        <v>7.25</v>
      </c>
      <c r="Y11" s="12">
        <v>7.43</v>
      </c>
      <c r="Z11" s="12">
        <v>6.96</v>
      </c>
      <c r="AA11" s="12">
        <v>7.39</v>
      </c>
      <c r="AB11" s="105">
        <v>20673100</v>
      </c>
      <c r="AC11" s="12">
        <v>7.39</v>
      </c>
      <c r="AD11">
        <f t="shared" si="0"/>
        <v>0.46999999999999975</v>
      </c>
      <c r="AE11" s="148">
        <f t="shared" si="1"/>
        <v>2.3545706371191022E-2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4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42424</v>
      </c>
      <c r="X12" s="12">
        <v>6.75</v>
      </c>
      <c r="Y12" s="12">
        <v>7.25</v>
      </c>
      <c r="Z12" s="12">
        <v>6.66</v>
      </c>
      <c r="AA12" s="12">
        <v>7.22</v>
      </c>
      <c r="AB12" s="105">
        <v>18774000</v>
      </c>
      <c r="AC12" s="12">
        <v>7.22</v>
      </c>
      <c r="AD12">
        <f t="shared" si="0"/>
        <v>0.58999999999999986</v>
      </c>
      <c r="AE12" s="148">
        <f t="shared" si="1"/>
        <v>2.7027027027026973E-2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4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42423</v>
      </c>
      <c r="X13" s="12">
        <v>7.3</v>
      </c>
      <c r="Y13" s="12">
        <v>7.46</v>
      </c>
      <c r="Z13" s="12">
        <v>6.9</v>
      </c>
      <c r="AA13" s="12">
        <v>7.03</v>
      </c>
      <c r="AB13" s="105">
        <v>27981300</v>
      </c>
      <c r="AC13" s="12">
        <v>7.03</v>
      </c>
      <c r="AD13">
        <f t="shared" si="0"/>
        <v>0.55999999999999961</v>
      </c>
      <c r="AE13" s="148">
        <f t="shared" si="1"/>
        <v>-6.1415220293724926E-2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4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42422</v>
      </c>
      <c r="X14" s="12">
        <v>6.97</v>
      </c>
      <c r="Y14" s="12">
        <v>7.5</v>
      </c>
      <c r="Z14" s="12">
        <v>6.85</v>
      </c>
      <c r="AA14" s="12">
        <v>7.49</v>
      </c>
      <c r="AB14" s="105">
        <v>34528900</v>
      </c>
      <c r="AC14" s="12">
        <v>7.49</v>
      </c>
      <c r="AD14">
        <f t="shared" si="0"/>
        <v>0.65000000000000036</v>
      </c>
      <c r="AE14" s="148">
        <f t="shared" si="1"/>
        <v>0.11292719167904908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4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42419</v>
      </c>
      <c r="X15" s="12">
        <v>6.85</v>
      </c>
      <c r="Y15" s="12">
        <v>6.88</v>
      </c>
      <c r="Z15" s="12">
        <v>6.52</v>
      </c>
      <c r="AA15" s="12">
        <v>6.73</v>
      </c>
      <c r="AB15" s="105">
        <v>38595300</v>
      </c>
      <c r="AC15" s="12">
        <v>6.73</v>
      </c>
      <c r="AD15">
        <f>Y15-Z15</f>
        <v>0.36000000000000032</v>
      </c>
      <c r="AE15" s="148">
        <f>AC15/AC16-1</f>
        <v>-2.8860028860028808E-2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4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42418</v>
      </c>
      <c r="X16" s="12">
        <v>7.6</v>
      </c>
      <c r="Y16" s="12">
        <v>7.62</v>
      </c>
      <c r="Z16" s="12">
        <v>6.7</v>
      </c>
      <c r="AA16" s="12">
        <v>6.93</v>
      </c>
      <c r="AB16" s="105">
        <v>54821400</v>
      </c>
      <c r="AC16" s="12">
        <v>6.93</v>
      </c>
      <c r="AD16">
        <f t="shared" ref="AD16:AD68" si="7">Y16-Z16</f>
        <v>0.91999999999999993</v>
      </c>
      <c r="AE16" s="148">
        <f t="shared" ref="AE16:AE67" si="8">AC16/AC17-1</f>
        <v>-6.4777327935222728E-2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4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42417</v>
      </c>
      <c r="X17" s="12">
        <v>7.67</v>
      </c>
      <c r="Y17" s="12">
        <v>7.72</v>
      </c>
      <c r="Z17" s="12">
        <v>6.75</v>
      </c>
      <c r="AA17" s="12">
        <v>7.41</v>
      </c>
      <c r="AB17" s="105">
        <v>63298300</v>
      </c>
      <c r="AC17" s="12">
        <v>7.41</v>
      </c>
      <c r="AD17">
        <f t="shared" si="7"/>
        <v>0.96999999999999975</v>
      </c>
      <c r="AE17" s="148">
        <f t="shared" si="8"/>
        <v>1.3513513513512265E-3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42416</v>
      </c>
      <c r="X18" s="12">
        <v>7.76</v>
      </c>
      <c r="Y18" s="12">
        <v>7.84</v>
      </c>
      <c r="Z18" s="12">
        <v>7.18</v>
      </c>
      <c r="AA18" s="12">
        <v>7.4</v>
      </c>
      <c r="AB18" s="105">
        <v>22388300</v>
      </c>
      <c r="AC18" s="12">
        <v>7.4</v>
      </c>
      <c r="AD18">
        <f t="shared" si="7"/>
        <v>0.66000000000000014</v>
      </c>
      <c r="AE18" s="148">
        <f t="shared" si="8"/>
        <v>-1.2016021361815787E-2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42412</v>
      </c>
      <c r="X19" s="12">
        <v>7.22</v>
      </c>
      <c r="Y19" s="12">
        <v>7.66</v>
      </c>
      <c r="Z19" s="12">
        <v>7.05</v>
      </c>
      <c r="AA19" s="12">
        <v>7.49</v>
      </c>
      <c r="AB19" s="105">
        <v>30427700</v>
      </c>
      <c r="AC19" s="12">
        <v>7.49</v>
      </c>
      <c r="AD19">
        <f t="shared" si="7"/>
        <v>0.61000000000000032</v>
      </c>
      <c r="AE19" s="148" t="e">
        <f t="shared" si="8"/>
        <v>#DIV/0!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42412</v>
      </c>
      <c r="X20" s="12" t="s">
        <v>182</v>
      </c>
      <c r="Y20" s="12"/>
      <c r="Z20" s="12"/>
      <c r="AA20" s="12"/>
      <c r="AB20" s="105"/>
      <c r="AC20" s="12"/>
      <c r="AD20">
        <f t="shared" si="7"/>
        <v>0</v>
      </c>
      <c r="AE20" s="148">
        <f t="shared" si="8"/>
        <v>-1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42411</v>
      </c>
      <c r="X21" s="12">
        <v>6.92</v>
      </c>
      <c r="Y21" s="12">
        <v>7.3</v>
      </c>
      <c r="Z21" s="12">
        <v>6.52</v>
      </c>
      <c r="AA21" s="12">
        <v>7.06</v>
      </c>
      <c r="AB21" s="105">
        <v>36853000</v>
      </c>
      <c r="AC21" s="12">
        <v>7.01</v>
      </c>
      <c r="AD21">
        <f t="shared" si="7"/>
        <v>0.78000000000000025</v>
      </c>
      <c r="AE21" s="148">
        <f t="shared" si="8"/>
        <v>-9.8870056497175618E-3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42410</v>
      </c>
      <c r="X22" s="12">
        <v>7.23</v>
      </c>
      <c r="Y22" s="12">
        <v>7.62</v>
      </c>
      <c r="Z22" s="12">
        <v>7.01</v>
      </c>
      <c r="AA22" s="12">
        <v>7.13</v>
      </c>
      <c r="AB22" s="105">
        <v>21711900</v>
      </c>
      <c r="AC22" s="12">
        <v>7.08</v>
      </c>
      <c r="AD22">
        <f t="shared" si="7"/>
        <v>0.61000000000000032</v>
      </c>
      <c r="AE22" s="148">
        <f t="shared" si="8"/>
        <v>-2.2099447513812209E-2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42409</v>
      </c>
      <c r="X23" s="12">
        <v>7.63</v>
      </c>
      <c r="Y23" s="12">
        <v>7.71</v>
      </c>
      <c r="Z23" s="12">
        <v>7.03</v>
      </c>
      <c r="AA23" s="12">
        <v>7.29</v>
      </c>
      <c r="AB23" s="105">
        <v>24990000</v>
      </c>
      <c r="AC23" s="12">
        <v>7.24</v>
      </c>
      <c r="AD23">
        <f t="shared" si="7"/>
        <v>0.67999999999999972</v>
      </c>
      <c r="AE23" s="148">
        <f t="shared" si="8"/>
        <v>-6.7010309278350499E-2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42408</v>
      </c>
      <c r="X24" s="12">
        <v>8.26</v>
      </c>
      <c r="Y24" s="12">
        <v>8.4600000000000009</v>
      </c>
      <c r="Z24" s="12">
        <v>7.63</v>
      </c>
      <c r="AA24" s="12">
        <v>7.82</v>
      </c>
      <c r="AB24" s="105">
        <v>45568000</v>
      </c>
      <c r="AC24" s="12">
        <v>7.76</v>
      </c>
      <c r="AD24">
        <f t="shared" si="7"/>
        <v>0.83000000000000096</v>
      </c>
      <c r="AE24" s="148">
        <f t="shared" si="8"/>
        <v>-7.6190476190476253E-2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42405</v>
      </c>
      <c r="X25" s="12">
        <v>9.07</v>
      </c>
      <c r="Y25" s="12">
        <v>9.1</v>
      </c>
      <c r="Z25" s="12">
        <v>8.34</v>
      </c>
      <c r="AA25" s="12">
        <v>8.4600000000000009</v>
      </c>
      <c r="AB25" s="105">
        <v>29574000</v>
      </c>
      <c r="AC25" s="12">
        <v>8.4</v>
      </c>
      <c r="AD25">
        <f t="shared" si="7"/>
        <v>0.75999999999999979</v>
      </c>
      <c r="AE25" s="148">
        <f t="shared" si="8"/>
        <v>-7.8947368421052544E-2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42404</v>
      </c>
      <c r="X26" s="12">
        <v>9.5500000000000007</v>
      </c>
      <c r="Y26" s="12">
        <v>10.28</v>
      </c>
      <c r="Z26" s="12">
        <v>9.09</v>
      </c>
      <c r="AA26" s="12">
        <v>9.19</v>
      </c>
      <c r="AB26" s="105">
        <v>33500300</v>
      </c>
      <c r="AC26" s="12">
        <v>9.1199999999999992</v>
      </c>
      <c r="AD26">
        <f t="shared" si="7"/>
        <v>1.1899999999999995</v>
      </c>
      <c r="AE26" s="148">
        <f t="shared" si="8"/>
        <v>-2.4598930481283476E-2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42403</v>
      </c>
      <c r="X27" s="12">
        <v>9.02</v>
      </c>
      <c r="Y27" s="12">
        <v>9.43</v>
      </c>
      <c r="Z27" s="12">
        <v>8.44</v>
      </c>
      <c r="AA27" s="12">
        <v>9.42</v>
      </c>
      <c r="AB27" s="105">
        <v>23844300</v>
      </c>
      <c r="AC27" s="12">
        <v>9.35</v>
      </c>
      <c r="AD27">
        <f t="shared" si="7"/>
        <v>0.99000000000000021</v>
      </c>
      <c r="AE27" s="148">
        <f t="shared" si="8"/>
        <v>7.7188940092165925E-2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42402</v>
      </c>
      <c r="X28" s="12">
        <v>9.32</v>
      </c>
      <c r="Y28" s="12">
        <v>9.35</v>
      </c>
      <c r="Z28" s="12">
        <v>8.69</v>
      </c>
      <c r="AA28" s="12">
        <v>8.74</v>
      </c>
      <c r="AB28" s="105">
        <v>19959900</v>
      </c>
      <c r="AC28" s="12">
        <v>8.68</v>
      </c>
      <c r="AD28">
        <f t="shared" si="7"/>
        <v>0.66000000000000014</v>
      </c>
      <c r="AE28" s="148">
        <f t="shared" si="8"/>
        <v>-0.10237849017580147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42401</v>
      </c>
      <c r="X29" s="12">
        <v>9.3800000000000008</v>
      </c>
      <c r="Y29" s="12">
        <v>9.8000000000000007</v>
      </c>
      <c r="Z29" s="12">
        <v>9.2200000000000006</v>
      </c>
      <c r="AA29" s="12">
        <v>9.74</v>
      </c>
      <c r="AB29" s="105">
        <v>17658100</v>
      </c>
      <c r="AC29" s="12">
        <v>9.67</v>
      </c>
      <c r="AD29">
        <f t="shared" si="7"/>
        <v>0.58000000000000007</v>
      </c>
      <c r="AE29" s="148">
        <f t="shared" si="8"/>
        <v>1.0351966873705098E-3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42398</v>
      </c>
      <c r="X30" s="12">
        <v>9.2200000000000006</v>
      </c>
      <c r="Y30" s="12">
        <v>9.85</v>
      </c>
      <c r="Z30" s="12">
        <v>9.17</v>
      </c>
      <c r="AA30" s="12">
        <v>9.73</v>
      </c>
      <c r="AB30" s="105">
        <v>20678000</v>
      </c>
      <c r="AC30" s="12">
        <v>9.66</v>
      </c>
      <c r="AD30">
        <f t="shared" si="7"/>
        <v>0.67999999999999972</v>
      </c>
      <c r="AE30" s="148">
        <f t="shared" si="8"/>
        <v>6.0373216245883654E-2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42397</v>
      </c>
      <c r="X31" s="12">
        <v>9.34</v>
      </c>
      <c r="Y31" s="12">
        <v>9.5500000000000007</v>
      </c>
      <c r="Z31" s="12">
        <v>8.84</v>
      </c>
      <c r="AA31" s="12">
        <v>9.17</v>
      </c>
      <c r="AB31" s="105">
        <v>20994400</v>
      </c>
      <c r="AC31" s="12">
        <v>9.11</v>
      </c>
      <c r="AD31">
        <f t="shared" si="7"/>
        <v>0.71000000000000085</v>
      </c>
      <c r="AE31" s="148">
        <f t="shared" si="8"/>
        <v>4.833141542002295E-2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42396</v>
      </c>
      <c r="X32" s="12">
        <v>8.34</v>
      </c>
      <c r="Y32" s="12">
        <v>9.35</v>
      </c>
      <c r="Z32" s="12">
        <v>8.18</v>
      </c>
      <c r="AA32" s="12">
        <v>8.75</v>
      </c>
      <c r="AB32" s="105">
        <v>27289200</v>
      </c>
      <c r="AC32" s="12">
        <v>8.69</v>
      </c>
      <c r="AD32">
        <f t="shared" si="7"/>
        <v>1.17</v>
      </c>
      <c r="AE32" s="148">
        <f t="shared" si="8"/>
        <v>3.5756853396901045E-2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42395</v>
      </c>
      <c r="X33" s="12">
        <v>8.36</v>
      </c>
      <c r="Y33" s="12">
        <v>8.5</v>
      </c>
      <c r="Z33" s="12">
        <v>7.93</v>
      </c>
      <c r="AA33" s="12">
        <v>8.4499999999999993</v>
      </c>
      <c r="AB33" s="105">
        <v>16346000</v>
      </c>
      <c r="AC33" s="12">
        <v>8.39</v>
      </c>
      <c r="AD33">
        <f t="shared" si="7"/>
        <v>0.57000000000000028</v>
      </c>
      <c r="AE33" s="148">
        <f t="shared" si="8"/>
        <v>3.8366336633663511E-2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42394</v>
      </c>
      <c r="X34" s="12">
        <v>8.75</v>
      </c>
      <c r="Y34" s="12">
        <v>9.19</v>
      </c>
      <c r="Z34" s="12">
        <v>8.1199999999999992</v>
      </c>
      <c r="AA34" s="12">
        <v>8.14</v>
      </c>
      <c r="AB34" s="105">
        <v>19509600</v>
      </c>
      <c r="AC34" s="12">
        <v>8.08</v>
      </c>
      <c r="AD34">
        <f t="shared" si="7"/>
        <v>1.0700000000000003</v>
      </c>
      <c r="AE34" s="148">
        <f t="shared" si="8"/>
        <v>-9.8214285714285809E-2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42391</v>
      </c>
      <c r="X35" s="12">
        <v>10.19</v>
      </c>
      <c r="Y35" s="12">
        <v>10.63</v>
      </c>
      <c r="Z35" s="12">
        <v>8.64</v>
      </c>
      <c r="AA35" s="12">
        <v>9.02</v>
      </c>
      <c r="AB35" s="105">
        <v>38960100</v>
      </c>
      <c r="AC35" s="12">
        <v>8.9600000000000009</v>
      </c>
      <c r="AD35">
        <f t="shared" si="7"/>
        <v>1.9900000000000002</v>
      </c>
      <c r="AE35" s="148">
        <f t="shared" si="8"/>
        <v>2.6345933562428536E-2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42390</v>
      </c>
      <c r="X36" s="12">
        <v>7.75</v>
      </c>
      <c r="Y36" s="12">
        <v>8.89</v>
      </c>
      <c r="Z36" s="12">
        <v>7.72</v>
      </c>
      <c r="AA36" s="12">
        <v>8.7899999999999991</v>
      </c>
      <c r="AB36" s="105">
        <v>37173900</v>
      </c>
      <c r="AC36" s="12">
        <v>8.73</v>
      </c>
      <c r="AD36">
        <f t="shared" si="7"/>
        <v>1.1700000000000008</v>
      </c>
      <c r="AE36" s="148">
        <f t="shared" si="8"/>
        <v>0.11923076923076925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42389</v>
      </c>
      <c r="X37" s="12">
        <v>7.34</v>
      </c>
      <c r="Y37" s="12">
        <v>8.0399999999999991</v>
      </c>
      <c r="Z37" s="12">
        <v>7.08</v>
      </c>
      <c r="AA37" s="12">
        <v>7.86</v>
      </c>
      <c r="AB37" s="105">
        <v>45468000</v>
      </c>
      <c r="AC37" s="12">
        <v>7.8</v>
      </c>
      <c r="AD37">
        <f t="shared" si="7"/>
        <v>0.95999999999999908</v>
      </c>
      <c r="AE37" s="148">
        <f t="shared" si="8"/>
        <v>2.2280471821756187E-2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42388</v>
      </c>
      <c r="X38" s="12">
        <v>8.2100000000000009</v>
      </c>
      <c r="Y38" s="12">
        <v>8.26</v>
      </c>
      <c r="Z38" s="12">
        <v>7.49</v>
      </c>
      <c r="AA38" s="12">
        <v>7.68</v>
      </c>
      <c r="AB38" s="105">
        <v>29537200</v>
      </c>
      <c r="AC38" s="12">
        <v>7.63</v>
      </c>
      <c r="AD38">
        <f t="shared" si="7"/>
        <v>0.76999999999999957</v>
      </c>
      <c r="AE38" s="148">
        <f t="shared" si="8"/>
        <v>-5.5693069306930743E-2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42384</v>
      </c>
      <c r="X39" s="12">
        <v>8.14</v>
      </c>
      <c r="Y39" s="12">
        <v>8.3699999999999992</v>
      </c>
      <c r="Z39" s="12">
        <v>7.71</v>
      </c>
      <c r="AA39" s="12">
        <v>8.14</v>
      </c>
      <c r="AB39" s="105">
        <v>39565500</v>
      </c>
      <c r="AC39" s="12">
        <v>8.08</v>
      </c>
      <c r="AD39">
        <f t="shared" si="7"/>
        <v>0.65999999999999925</v>
      </c>
      <c r="AE39" s="148">
        <f t="shared" si="8"/>
        <v>-0.10321864594894559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42383</v>
      </c>
      <c r="X40" s="12">
        <v>8.6999999999999993</v>
      </c>
      <c r="Y40" s="12">
        <v>9.24</v>
      </c>
      <c r="Z40" s="12">
        <v>8.36</v>
      </c>
      <c r="AA40" s="12">
        <v>9.07</v>
      </c>
      <c r="AB40" s="105">
        <v>33825800</v>
      </c>
      <c r="AC40" s="12">
        <v>9.01</v>
      </c>
      <c r="AD40">
        <f t="shared" si="7"/>
        <v>0.88000000000000078</v>
      </c>
      <c r="AE40" s="148">
        <f t="shared" si="8"/>
        <v>6.25E-2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5" t="s">
        <v>78</v>
      </c>
      <c r="P41" s="405"/>
      <c r="W41" s="143">
        <v>42382</v>
      </c>
      <c r="X41" s="12">
        <v>9.4</v>
      </c>
      <c r="Y41" s="12">
        <v>9.64</v>
      </c>
      <c r="Z41" s="12">
        <v>8.44</v>
      </c>
      <c r="AA41" s="12">
        <v>8.5399999999999991</v>
      </c>
      <c r="AB41" s="105">
        <v>26857700</v>
      </c>
      <c r="AC41" s="12">
        <v>8.48</v>
      </c>
      <c r="AD41">
        <f t="shared" si="7"/>
        <v>1.2000000000000011</v>
      </c>
      <c r="AE41" s="148">
        <f t="shared" si="8"/>
        <v>-7.0175438596491113E-2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403" t="s">
        <v>292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12.785600000000001</v>
      </c>
      <c r="W42" s="143">
        <v>42381</v>
      </c>
      <c r="X42" s="12">
        <v>9.6999999999999993</v>
      </c>
      <c r="Y42" s="12">
        <v>9.76</v>
      </c>
      <c r="Z42" s="12">
        <v>8.7100000000000009</v>
      </c>
      <c r="AA42" s="12">
        <v>9.19</v>
      </c>
      <c r="AB42" s="105">
        <v>25506000</v>
      </c>
      <c r="AC42" s="12">
        <v>9.1199999999999992</v>
      </c>
      <c r="AD42">
        <f t="shared" si="7"/>
        <v>1.0499999999999989</v>
      </c>
      <c r="AE42" s="148">
        <f t="shared" si="8"/>
        <v>-4.5026178010471374E-2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3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12.6808</v>
      </c>
      <c r="W43" s="143">
        <v>42380</v>
      </c>
      <c r="X43" s="12">
        <v>10.4</v>
      </c>
      <c r="Y43" s="12">
        <v>10.41</v>
      </c>
      <c r="Z43" s="12">
        <v>9.3699999999999992</v>
      </c>
      <c r="AA43" s="12">
        <v>9.6199999999999992</v>
      </c>
      <c r="AB43" s="105">
        <v>22275300</v>
      </c>
      <c r="AC43" s="12">
        <v>9.5500000000000007</v>
      </c>
      <c r="AD43">
        <f t="shared" si="7"/>
        <v>1.0400000000000009</v>
      </c>
      <c r="AE43" s="148">
        <f t="shared" si="8"/>
        <v>-7.1011673151750832E-2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3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12.576000000000001</v>
      </c>
      <c r="W44" s="143">
        <v>42377</v>
      </c>
      <c r="X44" s="12">
        <v>10.78</v>
      </c>
      <c r="Y44" s="12">
        <v>10.91</v>
      </c>
      <c r="Z44" s="12">
        <v>9.86</v>
      </c>
      <c r="AA44" s="12">
        <v>10.35</v>
      </c>
      <c r="AB44" s="105">
        <v>34056400</v>
      </c>
      <c r="AC44" s="12">
        <v>10.28</v>
      </c>
      <c r="AD44">
        <f t="shared" si="7"/>
        <v>1.0500000000000007</v>
      </c>
      <c r="AE44" s="148">
        <f t="shared" si="8"/>
        <v>-2.9272898961284266E-2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3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12.4712</v>
      </c>
      <c r="W45" s="143">
        <v>42376</v>
      </c>
      <c r="X45" s="12">
        <v>10.83</v>
      </c>
      <c r="Y45" s="12">
        <v>11.18</v>
      </c>
      <c r="Z45" s="12">
        <v>10.55</v>
      </c>
      <c r="AA45" s="12">
        <v>10.67</v>
      </c>
      <c r="AB45" s="105">
        <v>20172900</v>
      </c>
      <c r="AC45" s="12">
        <v>10.59</v>
      </c>
      <c r="AD45">
        <f t="shared" si="7"/>
        <v>0.62999999999999901</v>
      </c>
      <c r="AE45" s="148">
        <f t="shared" si="8"/>
        <v>-5.4464285714285632E-2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12.366400000000001</v>
      </c>
      <c r="W46" s="143">
        <v>42375</v>
      </c>
      <c r="X46" s="12">
        <v>12.25</v>
      </c>
      <c r="Y46" s="12">
        <v>12.27</v>
      </c>
      <c r="Z46" s="12">
        <v>11.14</v>
      </c>
      <c r="AA46" s="12">
        <v>11.28</v>
      </c>
      <c r="AB46" s="105">
        <v>15837500</v>
      </c>
      <c r="AC46" s="12">
        <v>11.2</v>
      </c>
      <c r="AD46">
        <f t="shared" si="7"/>
        <v>1.129999999999999</v>
      </c>
      <c r="AE46" s="148">
        <f t="shared" si="8"/>
        <v>-0.11602209944751385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12.2616</v>
      </c>
      <c r="W47" s="143">
        <v>42374</v>
      </c>
      <c r="X47" s="12">
        <v>12.79</v>
      </c>
      <c r="Y47" s="12">
        <v>12.86</v>
      </c>
      <c r="Z47" s="12">
        <v>12.33</v>
      </c>
      <c r="AA47" s="12">
        <v>12.76</v>
      </c>
      <c r="AB47" s="105">
        <v>9777000</v>
      </c>
      <c r="AC47" s="12">
        <v>12.67</v>
      </c>
      <c r="AD47">
        <f t="shared" si="7"/>
        <v>0.52999999999999936</v>
      </c>
      <c r="AE47" s="148">
        <f t="shared" si="8"/>
        <v>-4.7132757266300507E-3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12.1568</v>
      </c>
      <c r="W48" s="143">
        <v>42373</v>
      </c>
      <c r="X48" s="12">
        <v>12.56</v>
      </c>
      <c r="Y48" s="12">
        <v>13</v>
      </c>
      <c r="Z48" s="12">
        <v>12.38</v>
      </c>
      <c r="AA48" s="12">
        <v>12.82</v>
      </c>
      <c r="AB48" s="105">
        <v>12667600</v>
      </c>
      <c r="AC48" s="12">
        <v>12.73</v>
      </c>
      <c r="AD48">
        <f t="shared" si="7"/>
        <v>0.61999999999999922</v>
      </c>
      <c r="AE48" s="148">
        <f t="shared" si="8"/>
        <v>1.8399999999999972E-2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12.052</v>
      </c>
      <c r="W49" s="143">
        <v>42369</v>
      </c>
      <c r="X49" s="12">
        <v>12.33</v>
      </c>
      <c r="Y49" s="12">
        <v>12.66</v>
      </c>
      <c r="Z49" s="12">
        <v>12.22</v>
      </c>
      <c r="AA49" s="12">
        <v>12.59</v>
      </c>
      <c r="AB49" s="105">
        <v>10141000</v>
      </c>
      <c r="AC49" s="12">
        <v>12.5</v>
      </c>
      <c r="AD49">
        <f t="shared" si="7"/>
        <v>0.4399999999999995</v>
      </c>
      <c r="AE49" s="148">
        <f t="shared" si="8"/>
        <v>1.7087062652563212E-2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11.947199999999999</v>
      </c>
      <c r="T50" s="144" t="s">
        <v>94</v>
      </c>
      <c r="W50" s="143">
        <v>42368</v>
      </c>
      <c r="X50" s="12">
        <v>12.73</v>
      </c>
      <c r="Y50" s="12">
        <v>13.07</v>
      </c>
      <c r="Z50" s="12">
        <v>12.35</v>
      </c>
      <c r="AA50" s="12">
        <v>12.38</v>
      </c>
      <c r="AB50" s="105">
        <v>9897900</v>
      </c>
      <c r="AC50" s="12">
        <v>12.29</v>
      </c>
      <c r="AD50">
        <f t="shared" si="7"/>
        <v>0.72000000000000064</v>
      </c>
      <c r="AE50" s="148">
        <f t="shared" si="8"/>
        <v>-5.0231839258114364E-2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11.8424</v>
      </c>
      <c r="T51" s="145" t="s">
        <v>101</v>
      </c>
      <c r="U51" s="139">
        <v>10.119999999999999</v>
      </c>
      <c r="W51" s="143">
        <v>42367</v>
      </c>
      <c r="X51" s="12">
        <v>13.35</v>
      </c>
      <c r="Y51" s="12">
        <v>13.44</v>
      </c>
      <c r="Z51" s="12">
        <v>12.76</v>
      </c>
      <c r="AA51" s="12">
        <v>13.03</v>
      </c>
      <c r="AB51" s="105">
        <v>8141900</v>
      </c>
      <c r="AC51" s="12">
        <v>12.94</v>
      </c>
      <c r="AD51">
        <f t="shared" si="7"/>
        <v>0.67999999999999972</v>
      </c>
      <c r="AE51" s="148">
        <f t="shared" si="8"/>
        <v>3.8789759503490284E-3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11.737600000000002</v>
      </c>
      <c r="T52" s="146" t="s">
        <v>102</v>
      </c>
      <c r="U52" s="140">
        <v>10.48</v>
      </c>
      <c r="W52" s="143">
        <v>42366</v>
      </c>
      <c r="X52" s="12">
        <v>13.53</v>
      </c>
      <c r="Y52" s="12">
        <v>13.57</v>
      </c>
      <c r="Z52" s="12">
        <v>12.82</v>
      </c>
      <c r="AA52" s="12">
        <v>12.98</v>
      </c>
      <c r="AB52" s="105">
        <v>9519500</v>
      </c>
      <c r="AC52" s="12">
        <v>12.89</v>
      </c>
      <c r="AD52">
        <f t="shared" si="7"/>
        <v>0.75</v>
      </c>
      <c r="AE52" s="148">
        <f t="shared" si="8"/>
        <v>-6.7968185104844481E-2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4" t="s">
        <v>299</v>
      </c>
      <c r="H53" s="203">
        <v>400</v>
      </c>
      <c r="I53" s="282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11.632800000000001</v>
      </c>
      <c r="T53" s="146" t="s">
        <v>103</v>
      </c>
      <c r="U53" s="140" t="s">
        <v>332</v>
      </c>
      <c r="W53" s="143">
        <v>42362</v>
      </c>
      <c r="X53" s="12">
        <v>13.98</v>
      </c>
      <c r="Y53" s="12">
        <v>14.11</v>
      </c>
      <c r="Z53" s="12">
        <v>13.59</v>
      </c>
      <c r="AA53" s="12">
        <v>13.93</v>
      </c>
      <c r="AB53" s="105">
        <v>5709500</v>
      </c>
      <c r="AC53" s="12">
        <v>13.83</v>
      </c>
      <c r="AD53">
        <f t="shared" si="7"/>
        <v>0.51999999999999957</v>
      </c>
      <c r="AE53" s="148">
        <f t="shared" si="8"/>
        <v>-2.1645021645021467E-3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4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11.528000000000002</v>
      </c>
      <c r="T54" s="146" t="s">
        <v>104</v>
      </c>
      <c r="U54" s="140" t="s">
        <v>333</v>
      </c>
      <c r="W54" s="143">
        <v>42361</v>
      </c>
      <c r="X54" s="12">
        <v>13.07</v>
      </c>
      <c r="Y54" s="12">
        <v>13.97</v>
      </c>
      <c r="Z54" s="12">
        <v>12.99</v>
      </c>
      <c r="AA54" s="12">
        <v>13.96</v>
      </c>
      <c r="AB54" s="105">
        <v>14590100</v>
      </c>
      <c r="AC54" s="12">
        <v>13.86</v>
      </c>
      <c r="AD54">
        <f t="shared" si="7"/>
        <v>0.98000000000000043</v>
      </c>
      <c r="AE54" s="148">
        <f t="shared" si="8"/>
        <v>0.10000000000000009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4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11.423200000000001</v>
      </c>
      <c r="T55" s="146" t="s">
        <v>105</v>
      </c>
      <c r="U55" s="140">
        <v>13.48</v>
      </c>
      <c r="W55" s="143">
        <v>42360</v>
      </c>
      <c r="X55" s="12">
        <v>12.54</v>
      </c>
      <c r="Y55" s="12">
        <v>12.88</v>
      </c>
      <c r="Z55" s="12">
        <v>12.45</v>
      </c>
      <c r="AA55" s="12">
        <v>12.69</v>
      </c>
      <c r="AB55" s="105">
        <v>9509700</v>
      </c>
      <c r="AC55" s="12">
        <v>12.6</v>
      </c>
      <c r="AD55">
        <f t="shared" si="7"/>
        <v>0.43000000000000149</v>
      </c>
      <c r="AE55" s="148">
        <f t="shared" si="8"/>
        <v>1.3676588897827857E-2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11.3184</v>
      </c>
      <c r="T56" s="146" t="s">
        <v>106</v>
      </c>
      <c r="U56" s="140">
        <v>1.9835400000000001</v>
      </c>
      <c r="W56" s="143">
        <v>42359</v>
      </c>
      <c r="X56" s="12">
        <v>12.54</v>
      </c>
      <c r="Y56" s="12">
        <v>12.77</v>
      </c>
      <c r="Z56" s="12">
        <v>12.11</v>
      </c>
      <c r="AA56" s="12">
        <v>12.52</v>
      </c>
      <c r="AB56" s="105">
        <v>13683700</v>
      </c>
      <c r="AC56" s="12">
        <v>12.43</v>
      </c>
      <c r="AD56">
        <f t="shared" si="7"/>
        <v>0.66000000000000014</v>
      </c>
      <c r="AE56" s="148">
        <f t="shared" si="8"/>
        <v>4.0387722132471104E-3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5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11.213600000000001</v>
      </c>
      <c r="T57" s="146" t="s">
        <v>126</v>
      </c>
      <c r="U57" s="140" t="s">
        <v>285</v>
      </c>
      <c r="W57" s="143">
        <v>42356</v>
      </c>
      <c r="X57" s="12">
        <v>12.78</v>
      </c>
      <c r="Y57" s="12">
        <v>12.99</v>
      </c>
      <c r="Z57" s="12">
        <v>12.4</v>
      </c>
      <c r="AA57" s="12">
        <v>12.47</v>
      </c>
      <c r="AB57" s="105">
        <v>27418600</v>
      </c>
      <c r="AC57" s="12">
        <v>12.38</v>
      </c>
      <c r="AD57">
        <f t="shared" si="7"/>
        <v>0.58999999999999986</v>
      </c>
      <c r="AE57" s="148">
        <f t="shared" si="8"/>
        <v>-2.4428684003152012E-2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11.1088</v>
      </c>
      <c r="T58" s="146"/>
      <c r="U58" s="140"/>
      <c r="W58" s="143">
        <v>42355</v>
      </c>
      <c r="X58" s="12">
        <v>13.79</v>
      </c>
      <c r="Y58" s="12">
        <v>13.97</v>
      </c>
      <c r="Z58" s="12">
        <v>12.65</v>
      </c>
      <c r="AA58" s="12">
        <v>12.78</v>
      </c>
      <c r="AB58" s="105">
        <v>18589200</v>
      </c>
      <c r="AC58" s="12">
        <v>12.69</v>
      </c>
      <c r="AD58">
        <f t="shared" si="7"/>
        <v>1.3200000000000003</v>
      </c>
      <c r="AE58" s="148">
        <f t="shared" si="8"/>
        <v>-7.2368421052631637E-2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11.004000000000001</v>
      </c>
      <c r="T59" s="146" t="s">
        <v>108</v>
      </c>
      <c r="U59" s="140" t="s">
        <v>334</v>
      </c>
      <c r="W59" s="143">
        <v>42354</v>
      </c>
      <c r="X59" s="12">
        <v>14.47</v>
      </c>
      <c r="Y59" s="12">
        <v>14.48</v>
      </c>
      <c r="Z59" s="12">
        <v>13.48</v>
      </c>
      <c r="AA59" s="12">
        <v>13.78</v>
      </c>
      <c r="AB59" s="105">
        <v>15943200</v>
      </c>
      <c r="AC59" s="12">
        <v>13.68</v>
      </c>
      <c r="AD59">
        <f t="shared" si="7"/>
        <v>1</v>
      </c>
      <c r="AE59" s="148">
        <f t="shared" si="8"/>
        <v>-4.7353760445682402E-2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10.8992</v>
      </c>
      <c r="T60" s="146" t="s">
        <v>109</v>
      </c>
      <c r="U60" s="140" t="s">
        <v>271</v>
      </c>
      <c r="W60" s="143">
        <v>42353</v>
      </c>
      <c r="X60" s="12">
        <v>14.27</v>
      </c>
      <c r="Y60" s="12">
        <v>14.5</v>
      </c>
      <c r="Z60" s="12">
        <v>13.93</v>
      </c>
      <c r="AA60" s="12">
        <v>14.46</v>
      </c>
      <c r="AB60" s="105">
        <v>12914000</v>
      </c>
      <c r="AC60" s="12">
        <v>14.36</v>
      </c>
      <c r="AD60">
        <f t="shared" si="7"/>
        <v>0.57000000000000028</v>
      </c>
      <c r="AE60" s="148">
        <f t="shared" si="8"/>
        <v>3.6075036075036149E-2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10.794400000000001</v>
      </c>
      <c r="T61" s="146" t="s">
        <v>110</v>
      </c>
      <c r="U61" s="141">
        <v>30862013</v>
      </c>
      <c r="W61" s="143">
        <v>42352</v>
      </c>
      <c r="X61" s="12">
        <v>14.16</v>
      </c>
      <c r="Y61" s="12">
        <v>14.23</v>
      </c>
      <c r="Z61" s="12">
        <v>13.41</v>
      </c>
      <c r="AA61" s="12">
        <v>13.96</v>
      </c>
      <c r="AB61" s="105">
        <v>14612600</v>
      </c>
      <c r="AC61" s="12">
        <v>13.86</v>
      </c>
      <c r="AD61">
        <f t="shared" si="7"/>
        <v>0.82000000000000028</v>
      </c>
      <c r="AE61" s="148">
        <f t="shared" si="8"/>
        <v>-2.6685393258427004E-2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10.6896</v>
      </c>
      <c r="T62" s="146" t="s">
        <v>113</v>
      </c>
      <c r="U62" s="141">
        <v>32044700</v>
      </c>
      <c r="W62" s="143">
        <v>42349</v>
      </c>
      <c r="X62" s="12">
        <v>14.38</v>
      </c>
      <c r="Y62" s="12">
        <v>14.5</v>
      </c>
      <c r="Z62" s="12">
        <v>14.1</v>
      </c>
      <c r="AA62" s="12">
        <v>14.34</v>
      </c>
      <c r="AB62" s="105">
        <v>11234100</v>
      </c>
      <c r="AC62" s="12">
        <v>14.24</v>
      </c>
      <c r="AD62">
        <f t="shared" si="7"/>
        <v>0.40000000000000036</v>
      </c>
      <c r="AE62" s="148">
        <f t="shared" si="8"/>
        <v>-2.732240437158473E-2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10.584800000000001</v>
      </c>
      <c r="T63" s="146" t="s">
        <v>111</v>
      </c>
      <c r="U63" s="140" t="s">
        <v>335</v>
      </c>
      <c r="W63" s="143">
        <v>42348</v>
      </c>
      <c r="X63" s="12">
        <v>14.43</v>
      </c>
      <c r="Y63" s="12">
        <v>14.96</v>
      </c>
      <c r="Z63" s="12">
        <v>14.26</v>
      </c>
      <c r="AA63" s="12">
        <v>14.74</v>
      </c>
      <c r="AB63" s="105">
        <v>10257700</v>
      </c>
      <c r="AC63" s="12">
        <v>14.64</v>
      </c>
      <c r="AD63">
        <f t="shared" si="7"/>
        <v>0.70000000000000107</v>
      </c>
      <c r="AE63" s="148">
        <f t="shared" si="8"/>
        <v>1.6666666666666607E-2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10.48</v>
      </c>
      <c r="T64" s="146" t="s">
        <v>114</v>
      </c>
      <c r="U64" s="140" t="s">
        <v>134</v>
      </c>
      <c r="W64" s="143">
        <v>42347</v>
      </c>
      <c r="X64" s="12">
        <v>14.89</v>
      </c>
      <c r="Y64" s="12">
        <v>15.44</v>
      </c>
      <c r="Z64" s="12">
        <v>14.41</v>
      </c>
      <c r="AA64" s="12">
        <v>14.5</v>
      </c>
      <c r="AB64" s="105">
        <v>15728700</v>
      </c>
      <c r="AC64" s="12">
        <v>14.4</v>
      </c>
      <c r="AD64">
        <f t="shared" si="7"/>
        <v>1.0299999999999994</v>
      </c>
      <c r="AE64" s="148">
        <f t="shared" si="8"/>
        <v>-2.7683997299122187E-2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10.3752</v>
      </c>
      <c r="T65" s="146" t="s">
        <v>115</v>
      </c>
      <c r="U65" s="140">
        <v>-3.26</v>
      </c>
      <c r="W65" s="143">
        <v>42346</v>
      </c>
      <c r="X65" s="12">
        <v>14.25</v>
      </c>
      <c r="Y65" s="12">
        <v>14.98</v>
      </c>
      <c r="Z65" s="12">
        <v>14.07</v>
      </c>
      <c r="AA65" s="12">
        <v>14.92</v>
      </c>
      <c r="AB65" s="105">
        <v>18275100</v>
      </c>
      <c r="AC65" s="12">
        <v>14.81</v>
      </c>
      <c r="AD65">
        <f t="shared" si="7"/>
        <v>0.91000000000000014</v>
      </c>
      <c r="AE65" s="148">
        <f t="shared" si="8"/>
        <v>8.8555858310628288E-3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10.2704</v>
      </c>
      <c r="T66" s="146" t="s">
        <v>112</v>
      </c>
      <c r="U66" s="140" t="s">
        <v>307</v>
      </c>
      <c r="W66" s="143">
        <v>42345</v>
      </c>
      <c r="X66" s="12">
        <v>15.54</v>
      </c>
      <c r="Y66" s="12">
        <v>15.54</v>
      </c>
      <c r="Z66" s="12">
        <v>14.68</v>
      </c>
      <c r="AA66" s="12">
        <v>14.78</v>
      </c>
      <c r="AB66" s="105">
        <v>15175300</v>
      </c>
      <c r="AC66" s="12">
        <v>14.68</v>
      </c>
      <c r="AD66">
        <f t="shared" si="7"/>
        <v>0.85999999999999943</v>
      </c>
      <c r="AE66" s="148">
        <f t="shared" si="8"/>
        <v>-8.3073079325421739E-2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10.1656</v>
      </c>
      <c r="W67" s="143">
        <v>42342</v>
      </c>
      <c r="X67" s="12">
        <v>16.22</v>
      </c>
      <c r="Y67" s="12">
        <v>16.38</v>
      </c>
      <c r="Z67" s="12">
        <v>15.7</v>
      </c>
      <c r="AA67" s="12">
        <v>16.12</v>
      </c>
      <c r="AB67" s="105">
        <v>10742400</v>
      </c>
      <c r="AC67" s="12">
        <v>16.010000000000002</v>
      </c>
      <c r="AD67">
        <f t="shared" si="7"/>
        <v>0.67999999999999972</v>
      </c>
      <c r="AE67" s="148">
        <f t="shared" si="8"/>
        <v>-2.5562994522215332E-2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10.0608</v>
      </c>
      <c r="W68" s="143">
        <v>42341</v>
      </c>
      <c r="X68" s="12">
        <v>16.850000000000001</v>
      </c>
      <c r="Y68" s="12">
        <v>16.93</v>
      </c>
      <c r="Z68" s="12">
        <v>16.29</v>
      </c>
      <c r="AA68" s="12">
        <v>16.55</v>
      </c>
      <c r="AB68" s="105">
        <v>14461800</v>
      </c>
      <c r="AC68" s="12">
        <v>16.43</v>
      </c>
      <c r="AD68">
        <f t="shared" si="7"/>
        <v>0.64000000000000057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9.9559999999999995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9.8512000000000004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9.7464000000000013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9.6416000000000004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9.5368000000000013</v>
      </c>
    </row>
    <row r="74" spans="1:31" ht="15" customHeight="1" x14ac:dyDescent="0.25">
      <c r="B74" s="403" t="s">
        <v>283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9.4320000000000004</v>
      </c>
    </row>
    <row r="75" spans="1:31" x14ac:dyDescent="0.25">
      <c r="B75" s="403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9.3272000000000013</v>
      </c>
    </row>
    <row r="76" spans="1:31" x14ac:dyDescent="0.25">
      <c r="B76" s="403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9.2224000000000004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9.1175999999999995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9.0128000000000004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8.9079999999999995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5">
        <v>10.42</v>
      </c>
      <c r="E86" s="17">
        <v>0</v>
      </c>
      <c r="F86" s="17">
        <f>C86*D86+E86</f>
        <v>6252</v>
      </c>
      <c r="G86" s="4"/>
    </row>
    <row r="87" spans="1:13" x14ac:dyDescent="0.25">
      <c r="C87" s="4"/>
      <c r="D87" s="282"/>
      <c r="E87" s="3"/>
      <c r="F87" s="3"/>
    </row>
    <row r="91" spans="1:13" x14ac:dyDescent="0.25">
      <c r="A91" s="35" t="s">
        <v>81</v>
      </c>
      <c r="B91" s="16"/>
      <c r="C91" s="82">
        <f t="shared" ref="C91" si="19">SUM(C2:C90)</f>
        <v>58886</v>
      </c>
      <c r="D91" s="21"/>
      <c r="E91" s="21"/>
      <c r="F91" s="21">
        <f>SUM(F2:F90)</f>
        <v>871128.0290000001</v>
      </c>
      <c r="G91" s="16"/>
      <c r="H91" s="82">
        <f>SUM(H2:H70)</f>
        <v>49608</v>
      </c>
      <c r="I91" s="91"/>
      <c r="J91" s="21"/>
      <c r="K91" s="21">
        <f>SUM(K2:K71)</f>
        <v>705408.23000000056</v>
      </c>
      <c r="L91" s="16"/>
      <c r="M91" s="21">
        <f>SUM(M2:M12)</f>
        <v>850.5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62" t="s">
        <v>177</v>
      </c>
      <c r="H94" s="218" t="s">
        <v>90</v>
      </c>
      <c r="I94" s="262" t="s">
        <v>177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134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134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134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3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3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3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3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3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3"/>
    </row>
    <row r="142" spans="2:9" x14ac:dyDescent="0.25">
      <c r="B142" s="216">
        <v>42429</v>
      </c>
      <c r="C142" s="329">
        <v>7678</v>
      </c>
      <c r="D142" s="393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3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3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3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1" si="30">C146*(E146-D146)</f>
        <v>-89632.347999999984</v>
      </c>
      <c r="G146" s="43">
        <f t="shared" ref="G146:G151" si="31">IF(C146=0, 0,D146*C146)</f>
        <v>164983.728</v>
      </c>
      <c r="H146" s="270">
        <f t="shared" ref="H146:H151" si="32">IF(C146=0, D146, (E146-D146)/D146)</f>
        <v>-0.54327992879394738</v>
      </c>
      <c r="I146" s="227" t="s">
        <v>296</v>
      </c>
    </row>
    <row r="147" spans="2:9" x14ac:dyDescent="0.25">
      <c r="B147" s="216">
        <v>42430</v>
      </c>
      <c r="C147" s="329">
        <v>10178</v>
      </c>
      <c r="D147" s="393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3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3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3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3"/>
    </row>
    <row r="151" spans="2:9" x14ac:dyDescent="0.25">
      <c r="B151" s="216">
        <v>42433</v>
      </c>
      <c r="C151" s="12">
        <v>9278</v>
      </c>
      <c r="D151" s="284">
        <v>17.771999999999998</v>
      </c>
      <c r="E151" s="43">
        <v>11</v>
      </c>
      <c r="F151" s="275">
        <f t="shared" si="30"/>
        <v>-62830.615999999987</v>
      </c>
      <c r="G151" s="43">
        <f t="shared" si="31"/>
        <v>164888.61599999998</v>
      </c>
      <c r="H151" s="270">
        <f t="shared" si="32"/>
        <v>-0.38104884087328378</v>
      </c>
      <c r="I151" s="43"/>
    </row>
    <row r="152" spans="2:9" x14ac:dyDescent="0.25">
      <c r="B152" s="216"/>
      <c r="C152" s="306"/>
      <c r="D152" s="331"/>
      <c r="E152" s="43"/>
      <c r="F152" s="275"/>
      <c r="G152" s="43"/>
      <c r="H152" s="270"/>
      <c r="I152" s="43"/>
    </row>
    <row r="153" spans="2:9" x14ac:dyDescent="0.25">
      <c r="B153" s="216"/>
      <c r="C153" s="12"/>
      <c r="D153" s="284"/>
      <c r="E153" s="43"/>
      <c r="F153" s="275"/>
      <c r="G153" s="43"/>
      <c r="H153" s="270"/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42438</v>
      </c>
      <c r="X2" s="44">
        <v>13.62</v>
      </c>
      <c r="Y2" s="44">
        <v>14.08</v>
      </c>
      <c r="Z2" s="44">
        <v>13.39</v>
      </c>
      <c r="AA2" s="44">
        <v>13.79</v>
      </c>
      <c r="AB2" s="114">
        <v>2807200</v>
      </c>
      <c r="AC2" s="11">
        <v>13.79</v>
      </c>
      <c r="AD2" s="2">
        <f>Y2-Z2</f>
        <v>0.6899999999999995</v>
      </c>
      <c r="AE2" s="148">
        <f>AC2/AC3-1</f>
        <v>1.9970414201183395E-2</v>
      </c>
      <c r="AP2" t="s">
        <v>191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42437</v>
      </c>
      <c r="X3" s="44">
        <v>14.01</v>
      </c>
      <c r="Y3" s="44">
        <v>14.01</v>
      </c>
      <c r="Z3" s="44">
        <v>13.35</v>
      </c>
      <c r="AA3" s="44">
        <v>13.52</v>
      </c>
      <c r="AB3" s="114">
        <v>5087400</v>
      </c>
      <c r="AC3" s="11">
        <v>13.52</v>
      </c>
      <c r="AD3" s="2">
        <f t="shared" ref="AD3:AD66" si="2">Y3-Z3</f>
        <v>0.66000000000000014</v>
      </c>
      <c r="AE3" s="148">
        <f t="shared" ref="AE3:AE66" si="3">AC3/AC4-1</f>
        <v>-4.721634954193088E-2</v>
      </c>
      <c r="AI3" t="s">
        <v>203</v>
      </c>
      <c r="AJ3" s="274">
        <v>1000</v>
      </c>
      <c r="AK3">
        <v>14.44</v>
      </c>
      <c r="AL3" s="272">
        <v>14439</v>
      </c>
      <c r="AO3" s="272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13.79</v>
      </c>
      <c r="T4" s="1">
        <v>42263</v>
      </c>
      <c r="U4" s="37" t="s">
        <v>98</v>
      </c>
      <c r="W4" s="133">
        <v>42436</v>
      </c>
      <c r="X4" s="44">
        <v>14.11</v>
      </c>
      <c r="Y4" s="44">
        <v>14.63</v>
      </c>
      <c r="Z4" s="44">
        <v>14.09</v>
      </c>
      <c r="AA4" s="44">
        <v>14.19</v>
      </c>
      <c r="AB4" s="114">
        <v>3971800</v>
      </c>
      <c r="AC4" s="11">
        <v>14.19</v>
      </c>
      <c r="AD4" s="2">
        <f t="shared" si="2"/>
        <v>0.54000000000000092</v>
      </c>
      <c r="AE4" s="148">
        <f t="shared" si="3"/>
        <v>3.5360678925033806E-3</v>
      </c>
      <c r="AI4" t="s">
        <v>207</v>
      </c>
      <c r="AJ4">
        <v>770</v>
      </c>
      <c r="AK4">
        <v>14.45</v>
      </c>
      <c r="AL4" s="272">
        <v>11126.5</v>
      </c>
      <c r="AO4" s="272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20685</v>
      </c>
      <c r="T5" s="1">
        <v>42313</v>
      </c>
      <c r="U5" s="37" t="s">
        <v>129</v>
      </c>
      <c r="W5" s="133">
        <v>42433</v>
      </c>
      <c r="X5" s="44">
        <v>13.84</v>
      </c>
      <c r="Y5" s="44">
        <v>14.42</v>
      </c>
      <c r="Z5" s="44">
        <v>13.75</v>
      </c>
      <c r="AA5" s="44">
        <v>14.14</v>
      </c>
      <c r="AB5" s="114">
        <v>5784200</v>
      </c>
      <c r="AC5" s="11">
        <v>14.14</v>
      </c>
      <c r="AD5" s="2">
        <f t="shared" si="2"/>
        <v>0.66999999999999993</v>
      </c>
      <c r="AE5" s="148">
        <f t="shared" si="3"/>
        <v>1.8731988472622474E-2</v>
      </c>
      <c r="AI5" t="s">
        <v>208</v>
      </c>
      <c r="AJ5">
        <v>500</v>
      </c>
      <c r="AK5">
        <v>16.100000000000001</v>
      </c>
      <c r="AL5" s="272">
        <v>8050</v>
      </c>
      <c r="AO5" s="272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42432</v>
      </c>
      <c r="X6" s="44">
        <v>13.37</v>
      </c>
      <c r="Y6" s="44">
        <v>13.97</v>
      </c>
      <c r="Z6" s="44">
        <v>13.24</v>
      </c>
      <c r="AA6" s="44">
        <v>13.88</v>
      </c>
      <c r="AB6" s="114">
        <v>4594400</v>
      </c>
      <c r="AC6" s="11">
        <v>13.88</v>
      </c>
      <c r="AD6" s="2">
        <f t="shared" si="2"/>
        <v>0.73000000000000043</v>
      </c>
      <c r="AE6" s="148">
        <f t="shared" si="3"/>
        <v>4.3609022556390986E-2</v>
      </c>
      <c r="AI6" t="s">
        <v>209</v>
      </c>
      <c r="AJ6">
        <v>300</v>
      </c>
      <c r="AK6">
        <v>16</v>
      </c>
      <c r="AL6" s="272">
        <v>4800</v>
      </c>
      <c r="AO6" s="272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-24520.420000000042</v>
      </c>
      <c r="R7" s="213" t="s">
        <v>240</v>
      </c>
      <c r="W7" s="133">
        <v>42431</v>
      </c>
      <c r="X7" s="44">
        <v>12.79</v>
      </c>
      <c r="Y7" s="44">
        <v>13.32</v>
      </c>
      <c r="Z7" s="44">
        <v>12.51</v>
      </c>
      <c r="AA7" s="44">
        <v>13.3</v>
      </c>
      <c r="AB7" s="114">
        <v>3502900</v>
      </c>
      <c r="AC7" s="11">
        <v>13.3</v>
      </c>
      <c r="AD7" s="2">
        <f t="shared" si="2"/>
        <v>0.8100000000000005</v>
      </c>
      <c r="AE7" s="148">
        <f t="shared" si="3"/>
        <v>3.7441497659906453E-2</v>
      </c>
      <c r="AI7" t="s">
        <v>202</v>
      </c>
      <c r="AJ7">
        <v>430</v>
      </c>
      <c r="AK7">
        <v>16.350000000000001</v>
      </c>
      <c r="AL7" s="272">
        <v>7030.5</v>
      </c>
      <c r="AO7" s="272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-0.54242212548849278</v>
      </c>
      <c r="R8" s="178"/>
      <c r="W8" s="133">
        <v>42430</v>
      </c>
      <c r="X8" s="44">
        <v>12.73</v>
      </c>
      <c r="Y8" s="44">
        <v>12.89</v>
      </c>
      <c r="Z8" s="44">
        <v>12.55</v>
      </c>
      <c r="AA8" s="44">
        <v>12.82</v>
      </c>
      <c r="AB8" s="114">
        <v>2350700</v>
      </c>
      <c r="AC8" s="11">
        <v>12.82</v>
      </c>
      <c r="AD8" s="2">
        <f t="shared" si="2"/>
        <v>0.33999999999999986</v>
      </c>
      <c r="AE8" s="148">
        <f t="shared" si="3"/>
        <v>2.070063694267521E-2</v>
      </c>
      <c r="AI8" t="s">
        <v>210</v>
      </c>
      <c r="AJ8">
        <v>100</v>
      </c>
      <c r="AK8">
        <v>16.600000000000001</v>
      </c>
      <c r="AL8" s="272">
        <v>1660</v>
      </c>
      <c r="AO8" s="272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42429</v>
      </c>
      <c r="X9" s="44">
        <v>12.29</v>
      </c>
      <c r="Y9" s="44">
        <v>12.66</v>
      </c>
      <c r="Z9" s="44">
        <v>12.29</v>
      </c>
      <c r="AA9" s="44">
        <v>12.56</v>
      </c>
      <c r="AB9" s="114">
        <v>4042100</v>
      </c>
      <c r="AC9" s="11">
        <v>12.56</v>
      </c>
      <c r="AD9" s="2">
        <f t="shared" si="2"/>
        <v>0.37000000000000099</v>
      </c>
      <c r="AE9" s="148">
        <f t="shared" si="3"/>
        <v>1.5359741309620256E-2</v>
      </c>
      <c r="AI9" t="s">
        <v>211</v>
      </c>
      <c r="AJ9">
        <v>100</v>
      </c>
      <c r="AK9">
        <v>16.5</v>
      </c>
      <c r="AL9" s="272">
        <v>1650</v>
      </c>
      <c r="AO9" s="272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42426</v>
      </c>
      <c r="X10" s="44">
        <v>12.63</v>
      </c>
      <c r="Y10" s="44">
        <v>12.83</v>
      </c>
      <c r="Z10" s="44">
        <v>12.36</v>
      </c>
      <c r="AA10" s="44">
        <v>12.37</v>
      </c>
      <c r="AB10" s="114">
        <v>3629900</v>
      </c>
      <c r="AC10" s="11">
        <v>12.37</v>
      </c>
      <c r="AD10" s="2">
        <f t="shared" si="2"/>
        <v>0.47000000000000064</v>
      </c>
      <c r="AE10" s="148">
        <f t="shared" si="3"/>
        <v>-1.198083067092659E-2</v>
      </c>
      <c r="AI10" t="s">
        <v>212</v>
      </c>
      <c r="AJ10">
        <v>100</v>
      </c>
      <c r="AK10">
        <v>16.89</v>
      </c>
      <c r="AL10" s="272">
        <v>1689</v>
      </c>
      <c r="AO10" s="272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42425</v>
      </c>
      <c r="X11" s="44">
        <v>12.65</v>
      </c>
      <c r="Y11" s="44">
        <v>12.77</v>
      </c>
      <c r="Z11" s="44">
        <v>12.27</v>
      </c>
      <c r="AA11" s="44">
        <v>12.52</v>
      </c>
      <c r="AB11" s="114">
        <v>4678200</v>
      </c>
      <c r="AC11" s="11">
        <v>12.52</v>
      </c>
      <c r="AD11" s="2">
        <f t="shared" si="2"/>
        <v>0.5</v>
      </c>
      <c r="AE11" s="148">
        <f t="shared" si="3"/>
        <v>-3.1847133757962887E-3</v>
      </c>
      <c r="AI11" t="s">
        <v>213</v>
      </c>
      <c r="AJ11">
        <v>100</v>
      </c>
      <c r="AK11">
        <v>17.100000000000001</v>
      </c>
      <c r="AL11" s="272">
        <v>1710</v>
      </c>
      <c r="AO11" s="272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42424</v>
      </c>
      <c r="X12" s="44">
        <v>12.13</v>
      </c>
      <c r="Y12" s="44">
        <v>12.63</v>
      </c>
      <c r="Z12" s="44">
        <v>11.9</v>
      </c>
      <c r="AA12" s="44">
        <v>12.56</v>
      </c>
      <c r="AB12" s="114">
        <v>3574200</v>
      </c>
      <c r="AC12" s="11">
        <v>12.56</v>
      </c>
      <c r="AD12" s="2">
        <f t="shared" si="2"/>
        <v>0.73000000000000043</v>
      </c>
      <c r="AE12" s="148">
        <f t="shared" si="3"/>
        <v>2.8665028665028736E-2</v>
      </c>
      <c r="AI12" t="s">
        <v>214</v>
      </c>
      <c r="AJ12">
        <v>200</v>
      </c>
      <c r="AK12">
        <v>17.149999999999999</v>
      </c>
      <c r="AL12" s="272">
        <v>3430</v>
      </c>
      <c r="AO12" s="272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42423</v>
      </c>
      <c r="X13" s="44">
        <v>12.23</v>
      </c>
      <c r="Y13" s="44">
        <v>12.36</v>
      </c>
      <c r="Z13" s="44">
        <v>12.07</v>
      </c>
      <c r="AA13" s="44">
        <v>12.21</v>
      </c>
      <c r="AB13" s="114">
        <v>4738300</v>
      </c>
      <c r="AC13" s="11">
        <v>12.21</v>
      </c>
      <c r="AD13" s="2">
        <f t="shared" si="2"/>
        <v>0.28999999999999915</v>
      </c>
      <c r="AE13" s="148">
        <f t="shared" si="3"/>
        <v>-7.3170731707317138E-3</v>
      </c>
      <c r="AI13" t="s">
        <v>215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8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42422</v>
      </c>
      <c r="X14" s="44">
        <v>12.21</v>
      </c>
      <c r="Y14" s="44">
        <v>12.59</v>
      </c>
      <c r="Z14" s="44">
        <v>12.21</v>
      </c>
      <c r="AA14" s="44">
        <v>12.3</v>
      </c>
      <c r="AB14" s="114">
        <v>5903600</v>
      </c>
      <c r="AC14" s="11">
        <v>12.3</v>
      </c>
      <c r="AD14" s="2">
        <f t="shared" si="2"/>
        <v>0.37999999999999901</v>
      </c>
      <c r="AE14" s="148">
        <f t="shared" si="3"/>
        <v>7.3710073710073765E-3</v>
      </c>
      <c r="AI14" t="s">
        <v>194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8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42419</v>
      </c>
      <c r="X15" s="44">
        <v>12.88</v>
      </c>
      <c r="Y15" s="44">
        <v>12.89</v>
      </c>
      <c r="Z15" s="44">
        <v>12.21</v>
      </c>
      <c r="AA15" s="44">
        <v>12.21</v>
      </c>
      <c r="AB15" s="114">
        <v>4789000</v>
      </c>
      <c r="AC15" s="11">
        <v>12.21</v>
      </c>
      <c r="AD15" s="2">
        <f t="shared" si="2"/>
        <v>0.67999999999999972</v>
      </c>
      <c r="AE15" s="148">
        <f t="shared" si="3"/>
        <v>-6.0046189376443349E-2</v>
      </c>
      <c r="AI15" t="s">
        <v>216</v>
      </c>
      <c r="AJ15">
        <v>383</v>
      </c>
      <c r="AK15">
        <v>18.27</v>
      </c>
      <c r="AL15" s="272">
        <v>6997.5</v>
      </c>
      <c r="AO15" s="272">
        <v>5542.01</v>
      </c>
      <c r="AP15" s="272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8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42418</v>
      </c>
      <c r="X16" s="44">
        <v>13.05</v>
      </c>
      <c r="Y16" s="44">
        <v>13.13</v>
      </c>
      <c r="Z16" s="44">
        <v>12.64</v>
      </c>
      <c r="AA16" s="44">
        <v>12.99</v>
      </c>
      <c r="AB16" s="114">
        <v>4003600</v>
      </c>
      <c r="AC16" s="11">
        <v>12.99</v>
      </c>
      <c r="AD16" s="2">
        <f t="shared" si="2"/>
        <v>0.49000000000000021</v>
      </c>
      <c r="AE16" s="148">
        <f t="shared" si="3"/>
        <v>-7.6394194041252694E-3</v>
      </c>
      <c r="AI16" t="s">
        <v>194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42417</v>
      </c>
      <c r="X17" s="44">
        <v>12.99</v>
      </c>
      <c r="Y17" s="44">
        <v>13.46</v>
      </c>
      <c r="Z17" s="44">
        <v>12.88</v>
      </c>
      <c r="AA17" s="44">
        <v>13.09</v>
      </c>
      <c r="AB17" s="114">
        <v>7358600</v>
      </c>
      <c r="AC17" s="11">
        <v>13.09</v>
      </c>
      <c r="AD17" s="2">
        <f t="shared" si="2"/>
        <v>0.58000000000000007</v>
      </c>
      <c r="AE17" s="148">
        <f t="shared" si="3"/>
        <v>7.6982294072363011E-3</v>
      </c>
      <c r="AI17" t="s">
        <v>216</v>
      </c>
      <c r="AJ17">
        <v>287</v>
      </c>
      <c r="AK17">
        <v>18.260000000000002</v>
      </c>
      <c r="AL17" s="272">
        <v>5240.7299999999996</v>
      </c>
      <c r="AO17" s="272">
        <v>4152.8900000000003</v>
      </c>
      <c r="AP17" s="272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42416</v>
      </c>
      <c r="X18" s="44">
        <v>12.56</v>
      </c>
      <c r="Y18" s="44">
        <v>13.12</v>
      </c>
      <c r="Z18" s="44">
        <v>12.5</v>
      </c>
      <c r="AA18" s="44">
        <v>12.99</v>
      </c>
      <c r="AB18" s="114">
        <v>6316600</v>
      </c>
      <c r="AC18" s="11">
        <v>12.99</v>
      </c>
      <c r="AD18" s="2">
        <f t="shared" si="2"/>
        <v>0.61999999999999922</v>
      </c>
      <c r="AE18" s="148">
        <f t="shared" si="3"/>
        <v>5.1821862348178094E-2</v>
      </c>
      <c r="AI18" t="s">
        <v>194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42412</v>
      </c>
      <c r="X19" s="44">
        <v>13.07</v>
      </c>
      <c r="Y19" s="44">
        <v>13.45</v>
      </c>
      <c r="Z19" s="44">
        <v>11.53</v>
      </c>
      <c r="AA19" s="44">
        <v>12.35</v>
      </c>
      <c r="AB19" s="114">
        <v>12239600</v>
      </c>
      <c r="AC19" s="11">
        <v>12.35</v>
      </c>
      <c r="AD19" s="2">
        <f t="shared" si="2"/>
        <v>1.92</v>
      </c>
      <c r="AE19" s="148">
        <f t="shared" si="3"/>
        <v>-6.5102195306586008E-2</v>
      </c>
      <c r="AI19" t="s">
        <v>206</v>
      </c>
      <c r="AJ19">
        <v>169</v>
      </c>
      <c r="AK19">
        <v>18.54</v>
      </c>
      <c r="AL19" s="272">
        <v>3132.46</v>
      </c>
      <c r="AO19" s="272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42411</v>
      </c>
      <c r="X20" s="44">
        <v>14.12</v>
      </c>
      <c r="Y20" s="44">
        <v>14.12</v>
      </c>
      <c r="Z20" s="44">
        <v>13.14</v>
      </c>
      <c r="AA20" s="44">
        <v>13.21</v>
      </c>
      <c r="AB20" s="114">
        <v>8851900</v>
      </c>
      <c r="AC20" s="11">
        <v>13.21</v>
      </c>
      <c r="AD20" s="2">
        <f t="shared" si="2"/>
        <v>0.97999999999999865</v>
      </c>
      <c r="AE20" s="148">
        <f t="shared" si="3"/>
        <v>-8.0723729993040894E-2</v>
      </c>
      <c r="AI20" t="s">
        <v>194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42410</v>
      </c>
      <c r="X21" s="44">
        <v>14.48</v>
      </c>
      <c r="Y21" s="44">
        <v>14.7</v>
      </c>
      <c r="Z21" s="44">
        <v>14.04</v>
      </c>
      <c r="AA21" s="44">
        <v>14.37</v>
      </c>
      <c r="AB21" s="114">
        <v>3225300</v>
      </c>
      <c r="AC21" s="11">
        <v>14.37</v>
      </c>
      <c r="AD21" s="2">
        <f t="shared" si="2"/>
        <v>0.66000000000000014</v>
      </c>
      <c r="AE21" s="148">
        <f t="shared" si="3"/>
        <v>-1.440329218107006E-2</v>
      </c>
      <c r="AI21" t="s">
        <v>206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42409</v>
      </c>
      <c r="X22" s="44">
        <v>14.03</v>
      </c>
      <c r="Y22" s="44">
        <v>14.78</v>
      </c>
      <c r="Z22" s="44">
        <v>13.88</v>
      </c>
      <c r="AA22" s="44">
        <v>14.58</v>
      </c>
      <c r="AB22" s="114">
        <v>4819900</v>
      </c>
      <c r="AC22" s="11">
        <v>14.58</v>
      </c>
      <c r="AD22" s="2">
        <f t="shared" si="2"/>
        <v>0.89999999999999858</v>
      </c>
      <c r="AE22" s="148">
        <f t="shared" si="3"/>
        <v>3.1117397454031082E-2</v>
      </c>
      <c r="AI22" t="s">
        <v>194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42408</v>
      </c>
      <c r="X23" s="44">
        <v>15.2</v>
      </c>
      <c r="Y23" s="44">
        <v>15.22</v>
      </c>
      <c r="Z23" s="44">
        <v>13.79</v>
      </c>
      <c r="AA23" s="44">
        <v>14.14</v>
      </c>
      <c r="AB23" s="114">
        <v>9036100</v>
      </c>
      <c r="AC23" s="11">
        <v>14.14</v>
      </c>
      <c r="AD23" s="2">
        <f t="shared" si="2"/>
        <v>1.4300000000000015</v>
      </c>
      <c r="AE23" s="148">
        <f t="shared" si="3"/>
        <v>-7.6420640104506887E-2</v>
      </c>
      <c r="AI23" t="s">
        <v>206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42405</v>
      </c>
      <c r="X24" s="44">
        <v>15.68</v>
      </c>
      <c r="Y24" s="44">
        <v>16.07</v>
      </c>
      <c r="Z24" s="44">
        <v>15.31</v>
      </c>
      <c r="AA24" s="44">
        <v>15.31</v>
      </c>
      <c r="AB24" s="114">
        <v>10245300</v>
      </c>
      <c r="AC24" s="11">
        <v>15.31</v>
      </c>
      <c r="AD24" s="2">
        <f t="shared" si="2"/>
        <v>0.75999999999999979</v>
      </c>
      <c r="AE24" s="148">
        <f t="shared" si="3"/>
        <v>-3.1625553447185317E-2</v>
      </c>
      <c r="AI24" t="s">
        <v>194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42404</v>
      </c>
      <c r="X25" s="44">
        <v>15.96</v>
      </c>
      <c r="Y25" s="44">
        <v>16.489999999999998</v>
      </c>
      <c r="Z25" s="44">
        <v>15.7</v>
      </c>
      <c r="AA25" s="44">
        <v>15.81</v>
      </c>
      <c r="AB25" s="114">
        <v>10597800</v>
      </c>
      <c r="AC25" s="11">
        <v>15.81</v>
      </c>
      <c r="AD25" s="2">
        <f t="shared" si="2"/>
        <v>0.78999999999999915</v>
      </c>
      <c r="AE25" s="148">
        <f t="shared" si="3"/>
        <v>-8.1555834378920222E-3</v>
      </c>
      <c r="AI25" t="s">
        <v>206</v>
      </c>
      <c r="AJ25">
        <v>149</v>
      </c>
      <c r="AK25">
        <v>17.690000000000001</v>
      </c>
      <c r="AL25" s="272">
        <v>2635.88</v>
      </c>
      <c r="AO25" s="272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42403</v>
      </c>
      <c r="X26" s="44">
        <v>15.33</v>
      </c>
      <c r="Y26" s="44">
        <v>15.96</v>
      </c>
      <c r="Z26" s="44">
        <v>15.26</v>
      </c>
      <c r="AA26" s="44">
        <v>15.94</v>
      </c>
      <c r="AB26" s="114">
        <v>12289400</v>
      </c>
      <c r="AC26" s="11">
        <v>15.94</v>
      </c>
      <c r="AD26" s="2">
        <f t="shared" si="2"/>
        <v>0.70000000000000107</v>
      </c>
      <c r="AE26" s="148">
        <f t="shared" si="3"/>
        <v>5.0065876152832756E-2</v>
      </c>
      <c r="AI26" t="s">
        <v>194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42402</v>
      </c>
      <c r="X27" s="44">
        <v>15.1</v>
      </c>
      <c r="Y27" s="44">
        <v>15.25</v>
      </c>
      <c r="Z27" s="44">
        <v>14.62</v>
      </c>
      <c r="AA27" s="44">
        <v>15.18</v>
      </c>
      <c r="AB27" s="114">
        <v>2810800</v>
      </c>
      <c r="AC27" s="11">
        <v>15.18</v>
      </c>
      <c r="AD27" s="2">
        <f t="shared" si="2"/>
        <v>0.63000000000000078</v>
      </c>
      <c r="AE27" s="148">
        <f t="shared" si="3"/>
        <v>-5.2424639580602728E-3</v>
      </c>
      <c r="AI27" t="s">
        <v>206</v>
      </c>
      <c r="AJ27">
        <v>110</v>
      </c>
      <c r="AK27">
        <v>19.600000000000001</v>
      </c>
      <c r="AL27" s="272">
        <v>2156.06</v>
      </c>
      <c r="AO27" s="272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42401</v>
      </c>
      <c r="X28" s="44">
        <v>15.25</v>
      </c>
      <c r="Y28" s="44">
        <v>15.58</v>
      </c>
      <c r="Z28" s="44">
        <v>14.92</v>
      </c>
      <c r="AA28" s="44">
        <v>15.26</v>
      </c>
      <c r="AB28" s="114">
        <v>4631100</v>
      </c>
      <c r="AC28" s="11">
        <v>15.26</v>
      </c>
      <c r="AD28" s="2">
        <f t="shared" si="2"/>
        <v>0.66000000000000014</v>
      </c>
      <c r="AE28" s="148">
        <f t="shared" si="3"/>
        <v>-3.2658393207054548E-3</v>
      </c>
      <c r="AI28" t="s">
        <v>194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42398</v>
      </c>
      <c r="X29" s="44">
        <v>14.66</v>
      </c>
      <c r="Y29" s="44">
        <v>15.38</v>
      </c>
      <c r="Z29" s="44">
        <v>14.58</v>
      </c>
      <c r="AA29" s="44">
        <v>15.31</v>
      </c>
      <c r="AB29" s="114">
        <v>4889600</v>
      </c>
      <c r="AC29" s="11">
        <v>15.31</v>
      </c>
      <c r="AD29" s="2">
        <f t="shared" si="2"/>
        <v>0.80000000000000071</v>
      </c>
      <c r="AE29" s="148">
        <f t="shared" si="3"/>
        <v>6.1719833564493731E-2</v>
      </c>
      <c r="AI29" t="s">
        <v>206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42397</v>
      </c>
      <c r="X30" s="44">
        <v>14.49</v>
      </c>
      <c r="Y30" s="44">
        <v>14.86</v>
      </c>
      <c r="Z30" s="44">
        <v>14.23</v>
      </c>
      <c r="AA30" s="44">
        <v>14.42</v>
      </c>
      <c r="AB30" s="114">
        <v>3390800</v>
      </c>
      <c r="AC30" s="11">
        <v>14.42</v>
      </c>
      <c r="AD30" s="2">
        <f t="shared" si="2"/>
        <v>0.62999999999999901</v>
      </c>
      <c r="AE30" s="148">
        <f t="shared" si="3"/>
        <v>1.1929824561403457E-2</v>
      </c>
      <c r="AI30" t="s">
        <v>194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42396</v>
      </c>
      <c r="X31" s="44">
        <v>13.72</v>
      </c>
      <c r="Y31" s="44">
        <v>14.28</v>
      </c>
      <c r="Z31" s="44">
        <v>13.42</v>
      </c>
      <c r="AA31" s="44">
        <v>14.25</v>
      </c>
      <c r="AB31" s="114">
        <v>5982600</v>
      </c>
      <c r="AC31" s="11">
        <v>14.25</v>
      </c>
      <c r="AD31" s="2">
        <f t="shared" si="2"/>
        <v>0.85999999999999943</v>
      </c>
      <c r="AE31" s="148">
        <f t="shared" si="3"/>
        <v>2.813852813852824E-2</v>
      </c>
      <c r="AI31" t="s">
        <v>206</v>
      </c>
      <c r="AJ31">
        <v>200</v>
      </c>
      <c r="AK31">
        <v>19.23</v>
      </c>
      <c r="AL31" s="272">
        <v>3846.13</v>
      </c>
      <c r="AO31" s="272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42395</v>
      </c>
      <c r="X32" s="44">
        <v>13.48</v>
      </c>
      <c r="Y32" s="44">
        <v>14.04</v>
      </c>
      <c r="Z32" s="44">
        <v>13.2</v>
      </c>
      <c r="AA32" s="44">
        <v>13.86</v>
      </c>
      <c r="AB32" s="114">
        <v>3564200</v>
      </c>
      <c r="AC32" s="11">
        <v>13.86</v>
      </c>
      <c r="AD32" s="2">
        <f t="shared" si="2"/>
        <v>0.83999999999999986</v>
      </c>
      <c r="AE32" s="148">
        <f t="shared" si="3"/>
        <v>3.8202247191011285E-2</v>
      </c>
      <c r="AI32" t="s">
        <v>194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42394</v>
      </c>
      <c r="X33" s="44">
        <v>14.35</v>
      </c>
      <c r="Y33" s="44">
        <v>14.35</v>
      </c>
      <c r="Z33" s="44">
        <v>13.29</v>
      </c>
      <c r="AA33" s="44">
        <v>13.35</v>
      </c>
      <c r="AB33" s="114">
        <v>4504600</v>
      </c>
      <c r="AC33" s="11">
        <v>13.35</v>
      </c>
      <c r="AD33" s="2">
        <f t="shared" si="2"/>
        <v>1.0600000000000005</v>
      </c>
      <c r="AE33" s="148">
        <f t="shared" si="3"/>
        <v>-7.9944865609924198E-2</v>
      </c>
      <c r="AI33" t="s">
        <v>206</v>
      </c>
      <c r="AJ33">
        <v>200</v>
      </c>
      <c r="AK33">
        <v>17.8</v>
      </c>
      <c r="AL33" s="272">
        <v>3560.12</v>
      </c>
      <c r="AO33" s="272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42391</v>
      </c>
      <c r="X34" s="44">
        <v>14.82</v>
      </c>
      <c r="Y34" s="44">
        <v>15.18</v>
      </c>
      <c r="Z34" s="44">
        <v>14.12</v>
      </c>
      <c r="AA34" s="44">
        <v>14.51</v>
      </c>
      <c r="AB34" s="114">
        <v>8083100</v>
      </c>
      <c r="AC34" s="11">
        <v>14.51</v>
      </c>
      <c r="AD34" s="2">
        <f t="shared" si="2"/>
        <v>1.0600000000000005</v>
      </c>
      <c r="AE34" s="148">
        <f t="shared" si="3"/>
        <v>-2.0632737276478075E-3</v>
      </c>
      <c r="AI34" t="s">
        <v>194</v>
      </c>
    </row>
    <row r="35" spans="2:43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42390</v>
      </c>
      <c r="X35" s="44">
        <v>14.16</v>
      </c>
      <c r="Y35" s="44">
        <v>14.88</v>
      </c>
      <c r="Z35" s="44">
        <v>14.01</v>
      </c>
      <c r="AA35" s="44">
        <v>14.54</v>
      </c>
      <c r="AB35" s="114">
        <v>7137900</v>
      </c>
      <c r="AC35" s="11">
        <v>14.54</v>
      </c>
      <c r="AD35" s="2">
        <f t="shared" si="2"/>
        <v>0.87000000000000099</v>
      </c>
      <c r="AE35" s="148">
        <f t="shared" si="3"/>
        <v>2.5387870239774291E-2</v>
      </c>
      <c r="AI35" t="s">
        <v>206</v>
      </c>
      <c r="AJ35">
        <v>100</v>
      </c>
      <c r="AK35">
        <v>17.78</v>
      </c>
      <c r="AL35" s="272">
        <v>1778.06</v>
      </c>
      <c r="AO35" s="272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42389</v>
      </c>
      <c r="X36" s="44">
        <v>13.81</v>
      </c>
      <c r="Y36" s="44">
        <v>14.38</v>
      </c>
      <c r="Z36" s="44">
        <v>12.98</v>
      </c>
      <c r="AA36" s="44">
        <v>14.18</v>
      </c>
      <c r="AB36" s="114">
        <v>6022300</v>
      </c>
      <c r="AC36" s="11">
        <v>14.18</v>
      </c>
      <c r="AD36" s="2">
        <f t="shared" si="2"/>
        <v>1.4000000000000004</v>
      </c>
      <c r="AE36" s="148">
        <f t="shared" si="3"/>
        <v>1.2134189864382527E-2</v>
      </c>
      <c r="AI36" t="s">
        <v>194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42388</v>
      </c>
      <c r="X37" s="44">
        <v>13.76</v>
      </c>
      <c r="Y37" s="44">
        <v>14.22</v>
      </c>
      <c r="Z37" s="44">
        <v>13.6</v>
      </c>
      <c r="AA37" s="44">
        <v>14.01</v>
      </c>
      <c r="AB37" s="114">
        <v>6516200</v>
      </c>
      <c r="AC37" s="11">
        <v>14.01</v>
      </c>
      <c r="AD37" s="2">
        <f t="shared" si="2"/>
        <v>0.62000000000000099</v>
      </c>
      <c r="AE37" s="148">
        <f t="shared" si="3"/>
        <v>2.7879677182685247E-2</v>
      </c>
      <c r="AI37" t="s">
        <v>206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42384</v>
      </c>
      <c r="X38" s="44">
        <v>13.98</v>
      </c>
      <c r="Y38" s="44">
        <v>14.09</v>
      </c>
      <c r="Z38" s="44">
        <v>13.15</v>
      </c>
      <c r="AA38" s="44">
        <v>13.63</v>
      </c>
      <c r="AB38" s="114">
        <v>5640500</v>
      </c>
      <c r="AC38" s="11">
        <v>13.63</v>
      </c>
      <c r="AD38" s="2">
        <f t="shared" si="2"/>
        <v>0.9399999999999995</v>
      </c>
      <c r="AE38" s="148">
        <f t="shared" si="3"/>
        <v>-4.7519217330538099E-2</v>
      </c>
      <c r="AI38" t="s">
        <v>194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42383</v>
      </c>
      <c r="X39" s="44">
        <v>13.35</v>
      </c>
      <c r="Y39" s="44">
        <v>14.39</v>
      </c>
      <c r="Z39" s="44">
        <v>13.18</v>
      </c>
      <c r="AA39" s="44">
        <v>14.31</v>
      </c>
      <c r="AB39" s="114">
        <v>3953900</v>
      </c>
      <c r="AC39" s="11">
        <v>14.31</v>
      </c>
      <c r="AD39" s="2">
        <f t="shared" si="2"/>
        <v>1.2100000000000009</v>
      </c>
      <c r="AE39" s="148">
        <f t="shared" si="3"/>
        <v>7.3518379594898819E-2</v>
      </c>
      <c r="AI39" t="s">
        <v>206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42382</v>
      </c>
      <c r="X40" s="44">
        <v>13.73</v>
      </c>
      <c r="Y40" s="44">
        <v>14.09</v>
      </c>
      <c r="Z40" s="44">
        <v>13.27</v>
      </c>
      <c r="AA40" s="44">
        <v>13.33</v>
      </c>
      <c r="AB40" s="114">
        <v>5785300</v>
      </c>
      <c r="AC40" s="11">
        <v>13.33</v>
      </c>
      <c r="AD40" s="2">
        <f t="shared" si="2"/>
        <v>0.82000000000000028</v>
      </c>
      <c r="AE40" s="148">
        <f t="shared" si="3"/>
        <v>-2.6296566837107349E-2</v>
      </c>
      <c r="AI40" t="s">
        <v>194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42381</v>
      </c>
      <c r="X41" s="44">
        <v>14.47</v>
      </c>
      <c r="Y41" s="44">
        <v>14.56</v>
      </c>
      <c r="Z41" s="44">
        <v>13.67</v>
      </c>
      <c r="AA41" s="44">
        <v>13.69</v>
      </c>
      <c r="AB41" s="114">
        <v>6493300</v>
      </c>
      <c r="AC41" s="11">
        <v>13.69</v>
      </c>
      <c r="AD41" s="2">
        <f t="shared" si="2"/>
        <v>0.89000000000000057</v>
      </c>
      <c r="AE41" s="148">
        <f t="shared" si="3"/>
        <v>-4.9965301873698853E-2</v>
      </c>
      <c r="AI41" t="s">
        <v>206</v>
      </c>
      <c r="AJ41">
        <v>181</v>
      </c>
      <c r="AK41">
        <v>18.27</v>
      </c>
      <c r="AL41" s="272">
        <v>3306.99</v>
      </c>
      <c r="AO41" s="272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42380</v>
      </c>
      <c r="X42" s="44">
        <v>14.57</v>
      </c>
      <c r="Y42" s="44">
        <v>14.63</v>
      </c>
      <c r="Z42" s="44">
        <v>14.19</v>
      </c>
      <c r="AA42" s="44">
        <v>14.41</v>
      </c>
      <c r="AB42" s="114">
        <v>5499600</v>
      </c>
      <c r="AC42" s="11">
        <v>14.41</v>
      </c>
      <c r="AD42" s="2">
        <f t="shared" si="2"/>
        <v>0.44000000000000128</v>
      </c>
      <c r="AE42" s="148">
        <f t="shared" si="3"/>
        <v>-8.2587749483825634E-3</v>
      </c>
      <c r="AI42" t="s">
        <v>194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42377</v>
      </c>
      <c r="X43" s="44">
        <v>14.41</v>
      </c>
      <c r="Y43" s="44">
        <v>14.67</v>
      </c>
      <c r="Z43" s="44">
        <v>14.1</v>
      </c>
      <c r="AA43" s="44">
        <v>14.53</v>
      </c>
      <c r="AB43" s="114">
        <v>9558900</v>
      </c>
      <c r="AC43" s="11">
        <v>14.53</v>
      </c>
      <c r="AD43" s="2">
        <f t="shared" si="2"/>
        <v>0.57000000000000028</v>
      </c>
      <c r="AE43" s="148">
        <f t="shared" si="3"/>
        <v>1.2543554006968716E-2</v>
      </c>
      <c r="AI43" t="s">
        <v>206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42376</v>
      </c>
      <c r="X44" s="44">
        <v>14.1</v>
      </c>
      <c r="Y44" s="44">
        <v>14.54</v>
      </c>
      <c r="Z44" s="44">
        <v>14.03</v>
      </c>
      <c r="AA44" s="44">
        <v>14.35</v>
      </c>
      <c r="AB44" s="114">
        <v>4239000</v>
      </c>
      <c r="AC44" s="11">
        <v>14.35</v>
      </c>
      <c r="AD44" s="2">
        <f t="shared" si="2"/>
        <v>0.50999999999999979</v>
      </c>
      <c r="AE44" s="148">
        <f t="shared" si="3"/>
        <v>6.9735006973492553E-4</v>
      </c>
      <c r="AI44" t="s">
        <v>194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42375</v>
      </c>
      <c r="X45" s="44">
        <v>14.51</v>
      </c>
      <c r="Y45" s="44">
        <v>14.51</v>
      </c>
      <c r="Z45" s="44">
        <v>14.26</v>
      </c>
      <c r="AA45" s="44">
        <v>14.34</v>
      </c>
      <c r="AB45" s="114">
        <v>2888200</v>
      </c>
      <c r="AC45" s="11">
        <v>14.34</v>
      </c>
      <c r="AD45" s="2">
        <f t="shared" si="2"/>
        <v>0.25</v>
      </c>
      <c r="AE45" s="148">
        <f t="shared" si="3"/>
        <v>-2.3160762942779245E-2</v>
      </c>
      <c r="AI45" t="s">
        <v>206</v>
      </c>
      <c r="AJ45">
        <v>199</v>
      </c>
      <c r="AK45">
        <v>18.579999999999998</v>
      </c>
      <c r="AL45" s="272">
        <v>3697.5</v>
      </c>
      <c r="AO45" s="272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5" t="s">
        <v>78</v>
      </c>
      <c r="P46" s="405"/>
      <c r="Q46" s="2"/>
      <c r="T46" s="115" t="s">
        <v>94</v>
      </c>
      <c r="U46" s="119"/>
      <c r="W46" s="133">
        <v>42374</v>
      </c>
      <c r="X46" s="44">
        <v>14.51</v>
      </c>
      <c r="Y46" s="44">
        <v>14.7</v>
      </c>
      <c r="Z46" s="44">
        <v>14.18</v>
      </c>
      <c r="AA46" s="44">
        <v>14.68</v>
      </c>
      <c r="AB46" s="114">
        <v>3379600</v>
      </c>
      <c r="AC46" s="11">
        <v>14.68</v>
      </c>
      <c r="AD46" s="2">
        <f t="shared" si="2"/>
        <v>0.51999999999999957</v>
      </c>
      <c r="AE46" s="148">
        <f t="shared" si="3"/>
        <v>1.591695501730106E-2</v>
      </c>
      <c r="AI46" t="s">
        <v>194</v>
      </c>
    </row>
    <row r="47" spans="2:43" ht="15.75" thickTop="1" x14ac:dyDescent="0.25">
      <c r="B47" s="406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15.169</v>
      </c>
      <c r="Q47" s="2"/>
      <c r="T47" s="118" t="s">
        <v>101</v>
      </c>
      <c r="U47" s="116">
        <v>13.52</v>
      </c>
      <c r="W47" s="133">
        <v>42373</v>
      </c>
      <c r="X47" s="44">
        <v>14.41</v>
      </c>
      <c r="Y47" s="44">
        <v>14.7</v>
      </c>
      <c r="Z47" s="44">
        <v>14.22</v>
      </c>
      <c r="AA47" s="44">
        <v>14.45</v>
      </c>
      <c r="AB47" s="114">
        <v>3947500</v>
      </c>
      <c r="AC47" s="11">
        <v>14.45</v>
      </c>
      <c r="AD47" s="2">
        <f t="shared" si="2"/>
        <v>0.47999999999999865</v>
      </c>
      <c r="AE47" s="148">
        <f t="shared" si="3"/>
        <v>-1.3821700069109877E-3</v>
      </c>
      <c r="AI47" t="s">
        <v>206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06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15.0311</v>
      </c>
      <c r="Q48" s="2"/>
      <c r="T48" s="118" t="s">
        <v>102</v>
      </c>
      <c r="U48" s="116">
        <v>13.62</v>
      </c>
      <c r="W48" s="133">
        <v>42369</v>
      </c>
      <c r="X48" s="44">
        <v>14.21</v>
      </c>
      <c r="Y48" s="44">
        <v>14.57</v>
      </c>
      <c r="Z48" s="44">
        <v>14.11</v>
      </c>
      <c r="AA48" s="44">
        <v>14.47</v>
      </c>
      <c r="AB48" s="114">
        <v>2244100</v>
      </c>
      <c r="AC48" s="11">
        <v>14.47</v>
      </c>
      <c r="AD48" s="2">
        <f t="shared" si="2"/>
        <v>0.46000000000000085</v>
      </c>
      <c r="AE48" s="148">
        <f t="shared" si="3"/>
        <v>1.8296973961998475E-2</v>
      </c>
      <c r="AI48" t="s">
        <v>194</v>
      </c>
    </row>
    <row r="49" spans="1:43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14.8932</v>
      </c>
      <c r="Q49" s="2"/>
      <c r="T49" s="118" t="s">
        <v>103</v>
      </c>
      <c r="U49" s="116" t="s">
        <v>336</v>
      </c>
      <c r="W49" s="133">
        <v>42368</v>
      </c>
      <c r="X49" s="44">
        <v>14.44</v>
      </c>
      <c r="Y49" s="44">
        <v>14.61</v>
      </c>
      <c r="Z49" s="44">
        <v>14.21</v>
      </c>
      <c r="AA49" s="44">
        <v>14.21</v>
      </c>
      <c r="AB49" s="114">
        <v>2189300</v>
      </c>
      <c r="AC49" s="11">
        <v>14.21</v>
      </c>
      <c r="AD49" s="2">
        <f t="shared" si="2"/>
        <v>0.39999999999999858</v>
      </c>
      <c r="AE49" s="148">
        <f t="shared" si="3"/>
        <v>-2.5377229080932762E-2</v>
      </c>
      <c r="AI49" t="s">
        <v>206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14.7553</v>
      </c>
      <c r="Q50" s="2"/>
      <c r="T50" s="118" t="s">
        <v>104</v>
      </c>
      <c r="U50" s="116" t="s">
        <v>337</v>
      </c>
      <c r="W50" s="133">
        <v>42367</v>
      </c>
      <c r="X50" s="44">
        <v>14.44</v>
      </c>
      <c r="Y50" s="44">
        <v>14.63</v>
      </c>
      <c r="Z50" s="44">
        <v>14.15</v>
      </c>
      <c r="AA50" s="44">
        <v>14.58</v>
      </c>
      <c r="AB50" s="114">
        <v>3918200</v>
      </c>
      <c r="AC50" s="11">
        <v>14.58</v>
      </c>
      <c r="AD50" s="2">
        <f t="shared" si="2"/>
        <v>0.48000000000000043</v>
      </c>
      <c r="AE50" s="148">
        <f t="shared" si="3"/>
        <v>1.6027874564459976E-2</v>
      </c>
      <c r="AI50" t="s">
        <v>194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14.6174</v>
      </c>
      <c r="Q51" s="2"/>
      <c r="T51" s="118" t="s">
        <v>105</v>
      </c>
      <c r="U51" s="116">
        <v>20.07</v>
      </c>
      <c r="W51" s="133">
        <v>42366</v>
      </c>
      <c r="X51" s="44">
        <v>14.34</v>
      </c>
      <c r="Y51" s="44">
        <v>14.46</v>
      </c>
      <c r="Z51" s="44">
        <v>14.2</v>
      </c>
      <c r="AA51" s="44">
        <v>14.35</v>
      </c>
      <c r="AB51" s="114">
        <v>2457900</v>
      </c>
      <c r="AC51" s="11">
        <v>14.35</v>
      </c>
      <c r="AD51" s="2">
        <f t="shared" si="2"/>
        <v>0.26000000000000156</v>
      </c>
      <c r="AE51" s="148">
        <f t="shared" si="3"/>
        <v>-7.6071922544952431E-3</v>
      </c>
      <c r="AI51" t="s">
        <v>206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14.4795</v>
      </c>
      <c r="Q52" s="2"/>
      <c r="T52" s="118" t="s">
        <v>106</v>
      </c>
      <c r="U52" s="116">
        <v>0.88275000000000003</v>
      </c>
      <c r="W52" s="133">
        <v>42362</v>
      </c>
      <c r="X52" s="44">
        <v>14.24</v>
      </c>
      <c r="Y52" s="44">
        <v>14.48</v>
      </c>
      <c r="Z52" s="44">
        <v>14.18</v>
      </c>
      <c r="AA52" s="44">
        <v>14.46</v>
      </c>
      <c r="AB52" s="114">
        <v>1351800</v>
      </c>
      <c r="AC52" s="11">
        <v>14.46</v>
      </c>
      <c r="AD52" s="2">
        <f t="shared" si="2"/>
        <v>0.30000000000000071</v>
      </c>
      <c r="AE52" s="148">
        <f t="shared" si="3"/>
        <v>1.1896431070678837E-2</v>
      </c>
      <c r="AI52" t="s">
        <v>194</v>
      </c>
    </row>
    <row r="53" spans="1:43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14.3416</v>
      </c>
      <c r="Q53" s="2"/>
      <c r="T53" s="118" t="s">
        <v>126</v>
      </c>
      <c r="U53" s="116" t="s">
        <v>272</v>
      </c>
      <c r="W53" s="133">
        <v>42361</v>
      </c>
      <c r="X53" s="44">
        <v>13.58</v>
      </c>
      <c r="Y53" s="44">
        <v>14.37</v>
      </c>
      <c r="Z53" s="44">
        <v>13.58</v>
      </c>
      <c r="AA53" s="44">
        <v>14.29</v>
      </c>
      <c r="AB53" s="114">
        <v>3880500</v>
      </c>
      <c r="AC53" s="11">
        <v>14.29</v>
      </c>
      <c r="AD53" s="2">
        <f t="shared" si="2"/>
        <v>0.78999999999999915</v>
      </c>
      <c r="AE53" s="148">
        <f t="shared" si="3"/>
        <v>6.0089020771513235E-2</v>
      </c>
      <c r="AI53" t="s">
        <v>206</v>
      </c>
      <c r="AJ53">
        <v>180</v>
      </c>
      <c r="AK53">
        <v>17.37</v>
      </c>
      <c r="AL53" s="272">
        <v>3126.67</v>
      </c>
      <c r="AO53" s="272">
        <v>2604.6</v>
      </c>
      <c r="AP53">
        <v>-522.07000000000005</v>
      </c>
      <c r="AQ53">
        <v>-16.7</v>
      </c>
    </row>
    <row r="54" spans="1:43" x14ac:dyDescent="0.25">
      <c r="C54" s="4"/>
      <c r="D54" s="282"/>
      <c r="E54" s="3"/>
      <c r="F54" s="3"/>
      <c r="O54" s="93">
        <v>1.03</v>
      </c>
      <c r="P54" s="93">
        <f t="shared" si="9"/>
        <v>14.2037</v>
      </c>
      <c r="Q54" s="2"/>
      <c r="T54" s="118"/>
      <c r="U54" s="116"/>
      <c r="W54" s="133">
        <v>42360</v>
      </c>
      <c r="X54" s="44">
        <v>13.63</v>
      </c>
      <c r="Y54" s="44">
        <v>13.88</v>
      </c>
      <c r="Z54" s="44">
        <v>13.4</v>
      </c>
      <c r="AA54" s="44">
        <v>13.48</v>
      </c>
      <c r="AB54" s="114">
        <v>4640200</v>
      </c>
      <c r="AC54" s="11">
        <v>13.48</v>
      </c>
      <c r="AD54" s="2">
        <f t="shared" si="2"/>
        <v>0.48000000000000043</v>
      </c>
      <c r="AE54" s="148">
        <f t="shared" si="3"/>
        <v>-1.1730205278592365E-2</v>
      </c>
      <c r="AI54" t="s">
        <v>194</v>
      </c>
    </row>
    <row r="55" spans="1:43" x14ac:dyDescent="0.25">
      <c r="C55" s="4"/>
      <c r="D55" s="282"/>
      <c r="E55" s="3"/>
      <c r="F55" s="3"/>
      <c r="O55" s="93">
        <v>1.02</v>
      </c>
      <c r="P55" s="93">
        <f t="shared" si="9"/>
        <v>14.065799999999999</v>
      </c>
      <c r="T55" s="118" t="s">
        <v>108</v>
      </c>
      <c r="U55" s="116" t="s">
        <v>338</v>
      </c>
      <c r="W55" s="133">
        <v>42359</v>
      </c>
      <c r="X55" s="44">
        <v>12.92</v>
      </c>
      <c r="Y55" s="44">
        <v>13.72</v>
      </c>
      <c r="Z55" s="44">
        <v>12.9</v>
      </c>
      <c r="AA55" s="44">
        <v>13.64</v>
      </c>
      <c r="AB55" s="114">
        <v>6314400</v>
      </c>
      <c r="AC55" s="11">
        <v>13.64</v>
      </c>
      <c r="AD55" s="2">
        <f t="shared" si="2"/>
        <v>0.82000000000000028</v>
      </c>
      <c r="AE55" s="148">
        <f t="shared" si="3"/>
        <v>5.9006211180124168E-2</v>
      </c>
      <c r="AI55" t="s">
        <v>206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13.927899999999999</v>
      </c>
      <c r="T56" s="118" t="s">
        <v>109</v>
      </c>
      <c r="U56" s="116" t="s">
        <v>273</v>
      </c>
      <c r="W56" s="133">
        <v>42356</v>
      </c>
      <c r="X56" s="44">
        <v>12.44</v>
      </c>
      <c r="Y56" s="44">
        <v>13</v>
      </c>
      <c r="Z56" s="44">
        <v>12.4</v>
      </c>
      <c r="AA56" s="44">
        <v>12.88</v>
      </c>
      <c r="AB56" s="114">
        <v>6127600</v>
      </c>
      <c r="AC56" s="11">
        <v>12.88</v>
      </c>
      <c r="AD56" s="2">
        <f t="shared" si="2"/>
        <v>0.59999999999999964</v>
      </c>
      <c r="AE56" s="148">
        <f t="shared" si="3"/>
        <v>3.0399999999999983E-2</v>
      </c>
      <c r="AI56" t="s">
        <v>194</v>
      </c>
    </row>
    <row r="57" spans="1:43" x14ac:dyDescent="0.25">
      <c r="O57" s="93">
        <v>1</v>
      </c>
      <c r="P57" s="93">
        <f t="shared" si="9"/>
        <v>13.79</v>
      </c>
      <c r="T57" s="118" t="s">
        <v>110</v>
      </c>
      <c r="U57" s="117">
        <v>2807163</v>
      </c>
      <c r="W57" s="133">
        <v>42355</v>
      </c>
      <c r="X57" s="44">
        <v>12.73</v>
      </c>
      <c r="Y57" s="44">
        <v>12.83</v>
      </c>
      <c r="Z57" s="44">
        <v>12.44</v>
      </c>
      <c r="AA57" s="44">
        <v>12.5</v>
      </c>
      <c r="AB57" s="114">
        <v>4882600</v>
      </c>
      <c r="AC57" s="11">
        <v>12.5</v>
      </c>
      <c r="AD57" s="2">
        <f t="shared" si="2"/>
        <v>0.39000000000000057</v>
      </c>
      <c r="AE57" s="148">
        <f t="shared" si="3"/>
        <v>-1.4972419227738287E-2</v>
      </c>
      <c r="AI57" t="s">
        <v>206</v>
      </c>
      <c r="AJ57">
        <v>84</v>
      </c>
      <c r="AK57">
        <v>18.87</v>
      </c>
      <c r="AL57" s="272">
        <v>1585.13</v>
      </c>
      <c r="AO57" s="272">
        <v>1215.48</v>
      </c>
      <c r="AP57">
        <v>-369.65</v>
      </c>
      <c r="AQ57">
        <v>-23.32</v>
      </c>
    </row>
    <row r="58" spans="1:43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62" t="s">
        <v>177</v>
      </c>
      <c r="H58" s="218" t="s">
        <v>90</v>
      </c>
      <c r="I58" s="283" t="s">
        <v>177</v>
      </c>
      <c r="O58" s="93">
        <v>0.99</v>
      </c>
      <c r="P58" s="93">
        <f t="shared" si="9"/>
        <v>13.652099999999999</v>
      </c>
      <c r="T58" s="118" t="s">
        <v>113</v>
      </c>
      <c r="U58" s="117">
        <v>5294590</v>
      </c>
      <c r="W58" s="133">
        <v>42354</v>
      </c>
      <c r="X58" s="44">
        <v>12.47</v>
      </c>
      <c r="Y58" s="44">
        <v>12.72</v>
      </c>
      <c r="Z58" s="44">
        <v>12.41</v>
      </c>
      <c r="AA58" s="44">
        <v>12.69</v>
      </c>
      <c r="AB58" s="114">
        <v>3643000</v>
      </c>
      <c r="AC58" s="11">
        <v>12.69</v>
      </c>
      <c r="AD58" s="2">
        <f t="shared" si="2"/>
        <v>0.3100000000000005</v>
      </c>
      <c r="AE58" s="148">
        <f t="shared" si="3"/>
        <v>2.0096463022508004E-2</v>
      </c>
      <c r="AI58" t="s">
        <v>194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13.514199999999999</v>
      </c>
      <c r="T59" s="118" t="s">
        <v>111</v>
      </c>
      <c r="U59" s="116" t="s">
        <v>339</v>
      </c>
      <c r="W59" s="133">
        <v>42353</v>
      </c>
      <c r="X59" s="44">
        <v>11.95</v>
      </c>
      <c r="Y59" s="44">
        <v>12.46</v>
      </c>
      <c r="Z59" s="44">
        <v>11.95</v>
      </c>
      <c r="AA59" s="44">
        <v>12.44</v>
      </c>
      <c r="AB59" s="114">
        <v>7626500</v>
      </c>
      <c r="AC59" s="11">
        <v>12.44</v>
      </c>
      <c r="AD59" s="2">
        <f t="shared" si="2"/>
        <v>0.51000000000000156</v>
      </c>
      <c r="AE59" s="148">
        <f t="shared" si="3"/>
        <v>5.4237288135593031E-2</v>
      </c>
      <c r="AI59" t="s">
        <v>206</v>
      </c>
      <c r="AJ59">
        <v>61</v>
      </c>
      <c r="AK59">
        <v>17.54</v>
      </c>
      <c r="AL59" s="272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8" si="10">C60*(E60-D60)</f>
        <v>-13659.100000000004</v>
      </c>
      <c r="G60" s="43">
        <f t="shared" ref="G60:G88" si="11">IF(C60=0, 0,D60*C60)</f>
        <v>96277.3</v>
      </c>
      <c r="H60" s="270">
        <f t="shared" ref="H60:H88" si="12">IF(C60=0, D60, (E60-D60)/D60)</f>
        <v>-0.14187248707639291</v>
      </c>
      <c r="I60" s="225"/>
      <c r="O60" s="93">
        <v>0.97</v>
      </c>
      <c r="P60" s="93">
        <f t="shared" si="9"/>
        <v>13.376299999999999</v>
      </c>
      <c r="T60" s="118" t="s">
        <v>114</v>
      </c>
      <c r="U60" s="116">
        <v>21.55</v>
      </c>
      <c r="W60" s="133">
        <v>42352</v>
      </c>
      <c r="X60" s="44">
        <v>12.47</v>
      </c>
      <c r="Y60" s="44">
        <v>12.56</v>
      </c>
      <c r="Z60" s="44">
        <v>11.75</v>
      </c>
      <c r="AA60" s="44">
        <v>11.8</v>
      </c>
      <c r="AB60" s="114">
        <v>7621300</v>
      </c>
      <c r="AC60" s="11">
        <v>11.8</v>
      </c>
      <c r="AD60" s="2">
        <f t="shared" si="2"/>
        <v>0.8100000000000005</v>
      </c>
      <c r="AE60" s="148">
        <f t="shared" si="3"/>
        <v>-5.3728949478748955E-2</v>
      </c>
      <c r="AI60" t="s">
        <v>194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13.238399999999999</v>
      </c>
      <c r="T61" s="118" t="s">
        <v>115</v>
      </c>
      <c r="U61" s="116">
        <v>0.64</v>
      </c>
      <c r="W61" s="133">
        <v>42349</v>
      </c>
      <c r="X61" s="44">
        <v>12.81</v>
      </c>
      <c r="Y61" s="44">
        <v>12.85</v>
      </c>
      <c r="Z61" s="44">
        <v>12.45</v>
      </c>
      <c r="AA61" s="44">
        <v>12.47</v>
      </c>
      <c r="AB61" s="114">
        <v>3625700</v>
      </c>
      <c r="AC61" s="11">
        <v>12.47</v>
      </c>
      <c r="AD61" s="2">
        <f t="shared" si="2"/>
        <v>0.40000000000000036</v>
      </c>
      <c r="AE61" s="148">
        <f t="shared" si="3"/>
        <v>-3.482972136222906E-2</v>
      </c>
      <c r="AI61" t="s">
        <v>206</v>
      </c>
      <c r="AJ61">
        <v>149</v>
      </c>
      <c r="AK61">
        <v>16.84</v>
      </c>
      <c r="AL61" s="272">
        <v>2509.2199999999998</v>
      </c>
      <c r="AO61" s="272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13.100499999999998</v>
      </c>
      <c r="T62" s="118" t="s">
        <v>112</v>
      </c>
      <c r="U62" s="116" t="s">
        <v>127</v>
      </c>
      <c r="W62" s="133">
        <v>42348</v>
      </c>
      <c r="X62" s="44">
        <v>12.92</v>
      </c>
      <c r="Y62" s="44">
        <v>13.03</v>
      </c>
      <c r="Z62" s="44">
        <v>12.75</v>
      </c>
      <c r="AA62" s="44">
        <v>12.92</v>
      </c>
      <c r="AB62" s="114">
        <v>3650900</v>
      </c>
      <c r="AC62" s="11">
        <v>12.92</v>
      </c>
      <c r="AD62" s="2">
        <f t="shared" si="2"/>
        <v>0.27999999999999936</v>
      </c>
      <c r="AE62" s="148">
        <f t="shared" si="3"/>
        <v>-7.7339520494967839E-4</v>
      </c>
      <c r="AI62" t="s">
        <v>194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12.962599999999998</v>
      </c>
      <c r="W63" s="133">
        <v>42347</v>
      </c>
      <c r="X63" s="44">
        <v>12.76</v>
      </c>
      <c r="Y63" s="44">
        <v>13.04</v>
      </c>
      <c r="Z63" s="44">
        <v>12.67</v>
      </c>
      <c r="AA63" s="44">
        <v>12.93</v>
      </c>
      <c r="AB63" s="114">
        <v>3876300</v>
      </c>
      <c r="AC63" s="11">
        <v>12.93</v>
      </c>
      <c r="AD63" s="2">
        <f t="shared" si="2"/>
        <v>0.36999999999999922</v>
      </c>
      <c r="AE63" s="148">
        <f t="shared" si="3"/>
        <v>1.094605160281481E-2</v>
      </c>
      <c r="AI63" t="s">
        <v>206</v>
      </c>
      <c r="AJ63">
        <v>300</v>
      </c>
      <c r="AK63">
        <v>18.22</v>
      </c>
      <c r="AL63" s="272">
        <v>5466.11</v>
      </c>
      <c r="AO63" s="272">
        <v>4341</v>
      </c>
      <c r="AP63" s="272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12.8247</v>
      </c>
      <c r="W64" s="133">
        <v>42346</v>
      </c>
      <c r="X64" s="44">
        <v>12.66</v>
      </c>
      <c r="Y64" s="44">
        <v>12.83</v>
      </c>
      <c r="Z64" s="44">
        <v>12.41</v>
      </c>
      <c r="AA64" s="44">
        <v>12.79</v>
      </c>
      <c r="AB64" s="114">
        <v>7235800</v>
      </c>
      <c r="AC64" s="11">
        <v>12.79</v>
      </c>
      <c r="AD64" s="2">
        <f t="shared" si="2"/>
        <v>0.41999999999999993</v>
      </c>
      <c r="AE64" s="148">
        <f t="shared" si="3"/>
        <v>-3.8940809968848189E-3</v>
      </c>
      <c r="AI64" t="s">
        <v>194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12.6868</v>
      </c>
      <c r="W65" s="133">
        <v>42345</v>
      </c>
      <c r="X65" s="44">
        <v>12.99</v>
      </c>
      <c r="Y65" s="44">
        <v>13.01</v>
      </c>
      <c r="Z65" s="44">
        <v>12.7</v>
      </c>
      <c r="AA65" s="44">
        <v>12.84</v>
      </c>
      <c r="AB65" s="114">
        <v>5908000</v>
      </c>
      <c r="AC65" s="11">
        <v>12.84</v>
      </c>
      <c r="AD65" s="2">
        <f t="shared" si="2"/>
        <v>0.3100000000000005</v>
      </c>
      <c r="AE65" s="148">
        <f t="shared" si="3"/>
        <v>-2.3574144486692039E-2</v>
      </c>
      <c r="AI65" t="s">
        <v>206</v>
      </c>
      <c r="AJ65">
        <v>100</v>
      </c>
      <c r="AK65">
        <v>18.27</v>
      </c>
      <c r="AL65" s="272">
        <v>1827.05</v>
      </c>
      <c r="AO65" s="272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12.5489</v>
      </c>
      <c r="W66" s="133">
        <v>42342</v>
      </c>
      <c r="X66" s="44">
        <v>13.61</v>
      </c>
      <c r="Y66" s="44">
        <v>13.68</v>
      </c>
      <c r="Z66" s="44">
        <v>13.09</v>
      </c>
      <c r="AA66" s="44">
        <v>13.15</v>
      </c>
      <c r="AB66" s="114">
        <v>7821800</v>
      </c>
      <c r="AC66" s="11">
        <v>13.15</v>
      </c>
      <c r="AD66" s="2">
        <f t="shared" si="2"/>
        <v>0.58999999999999986</v>
      </c>
      <c r="AE66" s="148">
        <f t="shared" si="3"/>
        <v>-3.5923753665689118E-2</v>
      </c>
      <c r="AI66" t="s">
        <v>194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12.411</v>
      </c>
      <c r="W67" s="133">
        <v>42341</v>
      </c>
      <c r="X67" s="44">
        <v>13.88</v>
      </c>
      <c r="Y67" s="44">
        <v>14.05</v>
      </c>
      <c r="Z67" s="44">
        <v>13.55</v>
      </c>
      <c r="AA67" s="44">
        <v>13.64</v>
      </c>
      <c r="AB67" s="114">
        <v>6937700</v>
      </c>
      <c r="AC67" s="11">
        <v>13.64</v>
      </c>
      <c r="AD67" s="2">
        <f>Y67-Z67</f>
        <v>0.5</v>
      </c>
      <c r="AE67" s="148" t="e">
        <f>AC67/AC68-1</f>
        <v>#DIV/0!</v>
      </c>
      <c r="AI67" t="s">
        <v>206</v>
      </c>
      <c r="AJ67">
        <v>61</v>
      </c>
      <c r="AK67">
        <v>17.97</v>
      </c>
      <c r="AL67" s="272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194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206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194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217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194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217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194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218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194</v>
      </c>
    </row>
    <row r="77" spans="2:43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219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194</v>
      </c>
    </row>
    <row r="79" spans="2:43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194</v>
      </c>
    </row>
    <row r="81" spans="2:43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194</v>
      </c>
    </row>
    <row r="83" spans="2:43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194</v>
      </c>
    </row>
    <row r="85" spans="2:43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194</v>
      </c>
    </row>
    <row r="87" spans="2:43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70">
        <f t="shared" si="12"/>
        <v>-0.53080930417758898</v>
      </c>
      <c r="I87" s="225"/>
      <c r="AI87" t="s">
        <v>221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>
        <v>42437</v>
      </c>
      <c r="C88" s="12">
        <v>1500</v>
      </c>
      <c r="D88" s="225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70">
        <f t="shared" si="12"/>
        <v>-0.55138202209908094</v>
      </c>
      <c r="I88" s="225"/>
      <c r="AI88" t="s">
        <v>194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194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  <c r="AI1" s="19" t="s">
        <v>186</v>
      </c>
      <c r="AJ1" s="19" t="s">
        <v>187</v>
      </c>
      <c r="AK1" s="19" t="s">
        <v>188</v>
      </c>
      <c r="AL1" s="19" t="s">
        <v>189</v>
      </c>
      <c r="AO1" s="19" t="s">
        <v>190</v>
      </c>
      <c r="AP1" s="19" t="s">
        <v>59</v>
      </c>
      <c r="AQ1" s="19" t="s">
        <v>192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42438</v>
      </c>
      <c r="X2" s="152">
        <v>10.76</v>
      </c>
      <c r="Y2" s="152">
        <v>10.91</v>
      </c>
      <c r="Z2" s="12">
        <v>10.53</v>
      </c>
      <c r="AA2" s="12">
        <v>10.81</v>
      </c>
      <c r="AB2" s="105">
        <v>15095700</v>
      </c>
      <c r="AC2" s="12">
        <v>10.81</v>
      </c>
      <c r="AD2">
        <f>Y2-Z2</f>
        <v>0.38000000000000078</v>
      </c>
      <c r="AE2" s="148">
        <f>AC2/AC3-1</f>
        <v>1.4071294559099501E-2</v>
      </c>
      <c r="AP2" t="s">
        <v>191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16.258881474480173</v>
      </c>
      <c r="W3" s="143">
        <v>42437</v>
      </c>
      <c r="X3" s="12">
        <v>11.44</v>
      </c>
      <c r="Y3" s="12">
        <v>11.45</v>
      </c>
      <c r="Z3" s="12">
        <v>10.65</v>
      </c>
      <c r="AA3" s="12">
        <v>10.66</v>
      </c>
      <c r="AB3" s="105">
        <v>29521700</v>
      </c>
      <c r="AC3" s="12">
        <v>10.66</v>
      </c>
      <c r="AD3">
        <f t="shared" ref="AD3:AD66" si="2">Y3-Z3</f>
        <v>0.79999999999999893</v>
      </c>
      <c r="AE3" s="148">
        <f t="shared" ref="AE3:AE66" si="3">AC3/AC4-1</f>
        <v>-7.9447322970639056E-2</v>
      </c>
      <c r="AI3" t="s">
        <v>193</v>
      </c>
      <c r="AJ3">
        <v>940</v>
      </c>
      <c r="AK3">
        <v>15.35</v>
      </c>
      <c r="AL3" s="272">
        <v>14429</v>
      </c>
      <c r="AO3" s="272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10.81</v>
      </c>
      <c r="T4" s="1"/>
      <c r="W4" s="143">
        <v>42436</v>
      </c>
      <c r="X4" s="12">
        <v>11.46</v>
      </c>
      <c r="Y4" s="12">
        <v>11.78</v>
      </c>
      <c r="Z4" s="12">
        <v>11.05</v>
      </c>
      <c r="AA4" s="12">
        <v>11.58</v>
      </c>
      <c r="AB4" s="105">
        <v>27748800</v>
      </c>
      <c r="AC4" s="12">
        <v>11.58</v>
      </c>
      <c r="AD4">
        <f t="shared" si="2"/>
        <v>0.72999999999999865</v>
      </c>
      <c r="AE4" s="148">
        <f t="shared" si="3"/>
        <v>-2.5252525252525304E-2</v>
      </c>
      <c r="AI4" t="s">
        <v>226</v>
      </c>
      <c r="AJ4">
        <v>500</v>
      </c>
      <c r="AK4">
        <v>14.82</v>
      </c>
      <c r="AL4" s="272">
        <v>7410</v>
      </c>
      <c r="AO4" s="272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57184.9</v>
      </c>
      <c r="W5" s="143">
        <v>42433</v>
      </c>
      <c r="X5" s="12">
        <v>11.8</v>
      </c>
      <c r="Y5" s="12">
        <v>12.29</v>
      </c>
      <c r="Z5" s="12">
        <v>11.6</v>
      </c>
      <c r="AA5" s="12">
        <v>11.88</v>
      </c>
      <c r="AB5" s="105">
        <v>35199500</v>
      </c>
      <c r="AC5" s="12">
        <v>11.88</v>
      </c>
      <c r="AD5">
        <f t="shared" si="2"/>
        <v>0.6899999999999995</v>
      </c>
      <c r="AE5" s="148">
        <f t="shared" si="3"/>
        <v>7.6335877862596657E-3</v>
      </c>
      <c r="AI5" t="s">
        <v>226</v>
      </c>
      <c r="AJ5">
        <v>440</v>
      </c>
      <c r="AK5">
        <v>14.68</v>
      </c>
      <c r="AL5" s="272">
        <v>6459.2</v>
      </c>
      <c r="AO5" s="272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42432</v>
      </c>
      <c r="X6" s="12">
        <v>11.73</v>
      </c>
      <c r="Y6" s="12">
        <v>11.85</v>
      </c>
      <c r="Z6" s="12">
        <v>11.6</v>
      </c>
      <c r="AA6" s="12">
        <v>11.79</v>
      </c>
      <c r="AB6" s="105">
        <v>16183300</v>
      </c>
      <c r="AC6" s="12">
        <v>11.79</v>
      </c>
      <c r="AD6">
        <f t="shared" si="2"/>
        <v>0.25</v>
      </c>
      <c r="AE6" s="148">
        <f t="shared" si="3"/>
        <v>9.4178082191780366E-3</v>
      </c>
      <c r="AI6" t="s">
        <v>227</v>
      </c>
      <c r="AJ6">
        <v>300</v>
      </c>
      <c r="AK6">
        <v>15.82</v>
      </c>
      <c r="AL6" s="272">
        <v>4746</v>
      </c>
      <c r="AO6" s="272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-28824.583000000108</v>
      </c>
      <c r="R7" s="175"/>
      <c r="W7" s="143">
        <v>42431</v>
      </c>
      <c r="X7" s="12">
        <v>11.01</v>
      </c>
      <c r="Y7" s="12">
        <v>11.69</v>
      </c>
      <c r="Z7" s="12">
        <v>10.97</v>
      </c>
      <c r="AA7" s="12">
        <v>11.68</v>
      </c>
      <c r="AB7" s="105">
        <v>18175600</v>
      </c>
      <c r="AC7" s="12">
        <v>11.68</v>
      </c>
      <c r="AD7">
        <f t="shared" si="2"/>
        <v>0.71999999999999886</v>
      </c>
      <c r="AE7" s="148">
        <f t="shared" si="3"/>
        <v>5.5103884372176948E-2</v>
      </c>
      <c r="AI7" t="s">
        <v>227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-0.33513261555124191</v>
      </c>
      <c r="W8" s="143">
        <v>42430</v>
      </c>
      <c r="X8" s="12">
        <v>10.77</v>
      </c>
      <c r="Y8" s="12">
        <v>11.1</v>
      </c>
      <c r="Z8" s="12">
        <v>10.59</v>
      </c>
      <c r="AA8" s="12">
        <v>11.07</v>
      </c>
      <c r="AB8" s="105">
        <v>15610500</v>
      </c>
      <c r="AC8" s="12">
        <v>11.07</v>
      </c>
      <c r="AD8">
        <f t="shared" si="2"/>
        <v>0.50999999999999979</v>
      </c>
      <c r="AE8" s="148">
        <f t="shared" si="3"/>
        <v>4.1392285983066657E-2</v>
      </c>
      <c r="AI8" t="s">
        <v>205</v>
      </c>
      <c r="AJ8">
        <v>808</v>
      </c>
      <c r="AK8">
        <v>16.989999999999998</v>
      </c>
      <c r="AL8" s="272">
        <v>13727.92</v>
      </c>
      <c r="AO8" s="272">
        <v>12572.48</v>
      </c>
      <c r="AP8" s="272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42429</v>
      </c>
      <c r="X9" s="12">
        <v>10.65</v>
      </c>
      <c r="Y9" s="12">
        <v>10.89</v>
      </c>
      <c r="Z9" s="12">
        <v>10.52</v>
      </c>
      <c r="AA9" s="12">
        <v>10.63</v>
      </c>
      <c r="AB9" s="105">
        <v>20658000</v>
      </c>
      <c r="AC9" s="12">
        <v>10.63</v>
      </c>
      <c r="AD9">
        <f t="shared" si="2"/>
        <v>0.37000000000000099</v>
      </c>
      <c r="AE9" s="148">
        <f t="shared" si="3"/>
        <v>-6.5420560747662115E-3</v>
      </c>
      <c r="AI9" t="s">
        <v>205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42426</v>
      </c>
      <c r="X10" s="12">
        <v>10.79</v>
      </c>
      <c r="Y10" s="12">
        <v>11</v>
      </c>
      <c r="Z10" s="12">
        <v>10.57</v>
      </c>
      <c r="AA10" s="12">
        <v>10.7</v>
      </c>
      <c r="AB10" s="105">
        <v>16412600</v>
      </c>
      <c r="AC10" s="12">
        <v>10.7</v>
      </c>
      <c r="AD10">
        <f t="shared" si="2"/>
        <v>0.42999999999999972</v>
      </c>
      <c r="AE10" s="148">
        <f t="shared" si="3"/>
        <v>-1.8656716417911889E-3</v>
      </c>
      <c r="AI10" t="s">
        <v>208</v>
      </c>
      <c r="AJ10">
        <v>90</v>
      </c>
      <c r="AK10">
        <v>18.010000000000002</v>
      </c>
      <c r="AL10" s="272">
        <v>1620.72</v>
      </c>
      <c r="AO10" s="272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42425</v>
      </c>
      <c r="X11" s="12">
        <v>10.67</v>
      </c>
      <c r="Y11" s="12">
        <v>10.74</v>
      </c>
      <c r="Z11" s="12">
        <v>10.210000000000001</v>
      </c>
      <c r="AA11" s="12">
        <v>10.72</v>
      </c>
      <c r="AB11" s="105">
        <v>16108800</v>
      </c>
      <c r="AC11" s="12">
        <v>10.72</v>
      </c>
      <c r="AD11">
        <f t="shared" si="2"/>
        <v>0.52999999999999936</v>
      </c>
      <c r="AE11" s="148">
        <f t="shared" si="3"/>
        <v>7.5187969924812581E-3</v>
      </c>
      <c r="AI11" t="s">
        <v>194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42424</v>
      </c>
      <c r="X12" s="12">
        <v>10.25</v>
      </c>
      <c r="Y12" s="12">
        <v>10.67</v>
      </c>
      <c r="Z12" s="12">
        <v>10.06</v>
      </c>
      <c r="AA12" s="12">
        <v>10.64</v>
      </c>
      <c r="AB12" s="105">
        <v>18526700</v>
      </c>
      <c r="AC12" s="12">
        <v>10.64</v>
      </c>
      <c r="AD12">
        <f t="shared" si="2"/>
        <v>0.60999999999999943</v>
      </c>
      <c r="AE12" s="148">
        <f t="shared" si="3"/>
        <v>1.4299332697807365E-2</v>
      </c>
      <c r="AI12" t="s">
        <v>208</v>
      </c>
      <c r="AJ12">
        <v>300</v>
      </c>
      <c r="AK12">
        <v>18</v>
      </c>
      <c r="AL12" s="272">
        <v>5399.37</v>
      </c>
      <c r="AO12" s="272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42423</v>
      </c>
      <c r="X13" s="12">
        <v>11</v>
      </c>
      <c r="Y13" s="12">
        <v>11.08</v>
      </c>
      <c r="Z13" s="12">
        <v>10.39</v>
      </c>
      <c r="AA13" s="12">
        <v>10.49</v>
      </c>
      <c r="AB13" s="105">
        <v>22544300</v>
      </c>
      <c r="AC13" s="12">
        <v>10.49</v>
      </c>
      <c r="AD13">
        <f t="shared" si="2"/>
        <v>0.6899999999999995</v>
      </c>
      <c r="AE13" s="148">
        <f t="shared" si="3"/>
        <v>-5.067873303167425E-2</v>
      </c>
      <c r="AI13" t="s">
        <v>194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6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42422</v>
      </c>
      <c r="X14" s="12">
        <v>11.37</v>
      </c>
      <c r="Y14" s="12">
        <v>11.44</v>
      </c>
      <c r="Z14" s="12">
        <v>10.9</v>
      </c>
      <c r="AA14" s="12">
        <v>11.05</v>
      </c>
      <c r="AB14" s="105">
        <v>19944600</v>
      </c>
      <c r="AC14" s="12">
        <v>11.05</v>
      </c>
      <c r="AD14">
        <f t="shared" si="2"/>
        <v>0.53999999999999915</v>
      </c>
      <c r="AE14" s="148">
        <f t="shared" si="3"/>
        <v>-9.8566308243727141E-3</v>
      </c>
      <c r="AI14" t="s">
        <v>208</v>
      </c>
      <c r="AJ14">
        <v>520</v>
      </c>
      <c r="AK14">
        <v>18.100000000000001</v>
      </c>
      <c r="AL14" s="272">
        <v>9411.84</v>
      </c>
      <c r="AO14" s="272">
        <v>8091.2</v>
      </c>
      <c r="AP14" s="272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42419</v>
      </c>
      <c r="X15" s="12">
        <v>11.39</v>
      </c>
      <c r="Y15" s="12">
        <v>11.39</v>
      </c>
      <c r="Z15" s="12">
        <v>10.95</v>
      </c>
      <c r="AA15" s="12">
        <v>11.16</v>
      </c>
      <c r="AB15" s="105">
        <v>17892700</v>
      </c>
      <c r="AC15" s="12">
        <v>11.16</v>
      </c>
      <c r="AD15">
        <f t="shared" si="2"/>
        <v>0.44000000000000128</v>
      </c>
      <c r="AE15" s="148">
        <f t="shared" si="3"/>
        <v>-2.8720626631853818E-2</v>
      </c>
      <c r="AI15" t="s">
        <v>194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42418</v>
      </c>
      <c r="X16" s="12">
        <v>11.57</v>
      </c>
      <c r="Y16" s="12">
        <v>11.75</v>
      </c>
      <c r="Z16" s="12">
        <v>11.32</v>
      </c>
      <c r="AA16" s="12">
        <v>11.49</v>
      </c>
      <c r="AB16" s="105">
        <v>21516100</v>
      </c>
      <c r="AC16" s="12">
        <v>11.49</v>
      </c>
      <c r="AD16">
        <f t="shared" si="2"/>
        <v>0.42999999999999972</v>
      </c>
      <c r="AE16" s="148">
        <f t="shared" si="3"/>
        <v>5.2493438320211361E-3</v>
      </c>
      <c r="AI16" t="s">
        <v>228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42417</v>
      </c>
      <c r="X17" s="12">
        <v>10.97</v>
      </c>
      <c r="Y17" s="12">
        <v>11.65</v>
      </c>
      <c r="Z17" s="12">
        <v>10.92</v>
      </c>
      <c r="AA17" s="12">
        <v>11.43</v>
      </c>
      <c r="AB17" s="105">
        <v>34275200</v>
      </c>
      <c r="AC17" s="12">
        <v>11.43</v>
      </c>
      <c r="AD17">
        <f t="shared" si="2"/>
        <v>0.73000000000000043</v>
      </c>
      <c r="AE17" s="148">
        <f t="shared" si="3"/>
        <v>5.7354301572617894E-2</v>
      </c>
      <c r="AI17" t="s">
        <v>194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42416</v>
      </c>
      <c r="X18" s="12">
        <v>10.36</v>
      </c>
      <c r="Y18" s="12">
        <v>10.87</v>
      </c>
      <c r="Z18" s="12">
        <v>10.31</v>
      </c>
      <c r="AA18" s="12">
        <v>10.81</v>
      </c>
      <c r="AB18" s="105">
        <v>27375400</v>
      </c>
      <c r="AC18" s="12">
        <v>10.81</v>
      </c>
      <c r="AD18">
        <f t="shared" si="2"/>
        <v>0.55999999999999872</v>
      </c>
      <c r="AE18" s="148">
        <f t="shared" si="3"/>
        <v>7.8842315369261673E-2</v>
      </c>
      <c r="AI18" t="s">
        <v>229</v>
      </c>
      <c r="AJ18">
        <v>70</v>
      </c>
      <c r="AK18">
        <v>18.71</v>
      </c>
      <c r="AL18" s="272">
        <v>1309.48</v>
      </c>
      <c r="AO18" s="272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42412</v>
      </c>
      <c r="X19" s="12">
        <v>9.8800000000000008</v>
      </c>
      <c r="Y19" s="12">
        <v>10.24</v>
      </c>
      <c r="Z19" s="12">
        <v>9.48</v>
      </c>
      <c r="AA19" s="12">
        <v>10.02</v>
      </c>
      <c r="AB19" s="105">
        <v>23805100</v>
      </c>
      <c r="AC19" s="12">
        <v>10.02</v>
      </c>
      <c r="AD19">
        <f t="shared" si="2"/>
        <v>0.75999999999999979</v>
      </c>
      <c r="AE19" s="148">
        <f t="shared" si="3"/>
        <v>3.4055727554179516E-2</v>
      </c>
      <c r="AI19" t="s">
        <v>194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42411</v>
      </c>
      <c r="X20" s="12">
        <v>9.7200000000000006</v>
      </c>
      <c r="Y20" s="12">
        <v>9.9499999999999993</v>
      </c>
      <c r="Z20" s="12">
        <v>9.4499999999999993</v>
      </c>
      <c r="AA20" s="12">
        <v>9.69</v>
      </c>
      <c r="AB20" s="105">
        <v>27048500</v>
      </c>
      <c r="AC20" s="12">
        <v>9.69</v>
      </c>
      <c r="AD20">
        <f t="shared" si="2"/>
        <v>0.5</v>
      </c>
      <c r="AE20" s="148">
        <f t="shared" si="3"/>
        <v>-2.1212121212121349E-2</v>
      </c>
      <c r="AI20" t="s">
        <v>229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42410</v>
      </c>
      <c r="X21" s="12">
        <v>10.08</v>
      </c>
      <c r="Y21" s="12">
        <v>10.28</v>
      </c>
      <c r="Z21" s="12">
        <v>9.82</v>
      </c>
      <c r="AA21" s="12">
        <v>9.9</v>
      </c>
      <c r="AB21" s="105">
        <v>22017200</v>
      </c>
      <c r="AC21" s="12">
        <v>9.9</v>
      </c>
      <c r="AD21">
        <f t="shared" si="2"/>
        <v>0.45999999999999908</v>
      </c>
      <c r="AE21" s="148">
        <f t="shared" si="3"/>
        <v>-8.0160320641282645E-3</v>
      </c>
      <c r="AI21" t="s">
        <v>194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42409</v>
      </c>
      <c r="X22" s="12">
        <v>10.01</v>
      </c>
      <c r="Y22" s="12">
        <v>10.34</v>
      </c>
      <c r="Z22" s="12">
        <v>9.75</v>
      </c>
      <c r="AA22" s="12">
        <v>9.98</v>
      </c>
      <c r="AB22" s="105">
        <v>30105600</v>
      </c>
      <c r="AC22" s="12">
        <v>9.98</v>
      </c>
      <c r="AD22">
        <f t="shared" si="2"/>
        <v>0.58999999999999986</v>
      </c>
      <c r="AE22" s="148">
        <f t="shared" si="3"/>
        <v>-1.8682399213372669E-2</v>
      </c>
      <c r="AI22" t="s">
        <v>230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42408</v>
      </c>
      <c r="X23" s="12">
        <v>10.71</v>
      </c>
      <c r="Y23" s="12">
        <v>10.76</v>
      </c>
      <c r="Z23" s="12">
        <v>9.94</v>
      </c>
      <c r="AA23" s="12">
        <v>10.17</v>
      </c>
      <c r="AB23" s="105">
        <v>27337000</v>
      </c>
      <c r="AC23" s="12">
        <v>10.17</v>
      </c>
      <c r="AD23">
        <f t="shared" si="2"/>
        <v>0.82000000000000028</v>
      </c>
      <c r="AE23" s="148">
        <f t="shared" si="3"/>
        <v>-7.5454545454545441E-2</v>
      </c>
      <c r="AI23" t="s">
        <v>194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42405</v>
      </c>
      <c r="X24" s="12">
        <v>11.15</v>
      </c>
      <c r="Y24" s="12">
        <v>11.38</v>
      </c>
      <c r="Z24" s="12">
        <v>10.76</v>
      </c>
      <c r="AA24" s="12">
        <v>11</v>
      </c>
      <c r="AB24" s="105">
        <v>22470600</v>
      </c>
      <c r="AC24" s="12">
        <v>11</v>
      </c>
      <c r="AD24">
        <f t="shared" si="2"/>
        <v>0.62000000000000099</v>
      </c>
      <c r="AE24" s="148">
        <f t="shared" si="3"/>
        <v>-2.0480854853072161E-2</v>
      </c>
      <c r="AI24" t="s">
        <v>231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42404</v>
      </c>
      <c r="X25" s="12">
        <v>10.71</v>
      </c>
      <c r="Y25" s="12">
        <v>11.55</v>
      </c>
      <c r="Z25" s="12">
        <v>10.7</v>
      </c>
      <c r="AA25" s="12">
        <v>11.23</v>
      </c>
      <c r="AB25" s="105">
        <v>26122800</v>
      </c>
      <c r="AC25" s="12">
        <v>11.23</v>
      </c>
      <c r="AD25">
        <f t="shared" si="2"/>
        <v>0.85000000000000142</v>
      </c>
      <c r="AE25" s="148">
        <f t="shared" si="3"/>
        <v>4.3680297397769685E-2</v>
      </c>
      <c r="AI25" t="s">
        <v>194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42403</v>
      </c>
      <c r="X26" s="12">
        <v>10.67</v>
      </c>
      <c r="Y26" s="12">
        <v>10.86</v>
      </c>
      <c r="Z26" s="12">
        <v>10.18</v>
      </c>
      <c r="AA26" s="12">
        <v>10.76</v>
      </c>
      <c r="AB26" s="105">
        <v>18058600</v>
      </c>
      <c r="AC26" s="12">
        <v>10.76</v>
      </c>
      <c r="AD26">
        <f t="shared" si="2"/>
        <v>0.67999999999999972</v>
      </c>
      <c r="AE26" s="148">
        <f t="shared" si="3"/>
        <v>1.6052880075543063E-2</v>
      </c>
      <c r="AI26" t="s">
        <v>231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42402</v>
      </c>
      <c r="X27" s="12">
        <v>10.8</v>
      </c>
      <c r="Y27" s="12">
        <v>11.07</v>
      </c>
      <c r="Z27" s="12">
        <v>10.48</v>
      </c>
      <c r="AA27" s="12">
        <v>10.59</v>
      </c>
      <c r="AB27" s="105">
        <v>21970000</v>
      </c>
      <c r="AC27" s="12">
        <v>10.59</v>
      </c>
      <c r="AD27">
        <f t="shared" si="2"/>
        <v>0.58999999999999986</v>
      </c>
      <c r="AE27" s="148">
        <f t="shared" si="3"/>
        <v>-3.3759124087591297E-2</v>
      </c>
      <c r="AI27" t="s">
        <v>194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42401</v>
      </c>
      <c r="X28" s="12">
        <v>11</v>
      </c>
      <c r="Y28" s="12">
        <v>11.1</v>
      </c>
      <c r="Z28" s="12">
        <v>10.51</v>
      </c>
      <c r="AA28" s="12">
        <v>10.96</v>
      </c>
      <c r="AB28" s="105">
        <v>25768800</v>
      </c>
      <c r="AC28" s="12">
        <v>10.96</v>
      </c>
      <c r="AD28">
        <f t="shared" si="2"/>
        <v>0.58999999999999986</v>
      </c>
      <c r="AE28" s="148">
        <f t="shared" si="3"/>
        <v>-6.3463281958294759E-3</v>
      </c>
      <c r="AI28" t="s">
        <v>231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3" t="s">
        <v>284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42398</v>
      </c>
      <c r="X29" s="12">
        <v>9.99</v>
      </c>
      <c r="Y29" s="12">
        <v>11.05</v>
      </c>
      <c r="Z29" s="12">
        <v>9.94</v>
      </c>
      <c r="AA29" s="12">
        <v>11.03</v>
      </c>
      <c r="AB29" s="105">
        <v>38349100</v>
      </c>
      <c r="AC29" s="12">
        <v>11.03</v>
      </c>
      <c r="AD29">
        <f t="shared" si="2"/>
        <v>1.1100000000000012</v>
      </c>
      <c r="AE29" s="148">
        <f t="shared" si="3"/>
        <v>0.11526794742163782</v>
      </c>
      <c r="AI29" t="s">
        <v>194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3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42397</v>
      </c>
      <c r="X30" s="12">
        <v>10.48</v>
      </c>
      <c r="Y30" s="12">
        <v>10.55</v>
      </c>
      <c r="Z30" s="12">
        <v>9.7100000000000009</v>
      </c>
      <c r="AA30" s="12">
        <v>9.89</v>
      </c>
      <c r="AB30" s="105">
        <v>37327600</v>
      </c>
      <c r="AC30" s="12">
        <v>9.89</v>
      </c>
      <c r="AD30">
        <f t="shared" si="2"/>
        <v>0.83999999999999986</v>
      </c>
      <c r="AE30" s="148">
        <f t="shared" si="3"/>
        <v>-4.8123195380173289E-2</v>
      </c>
      <c r="AI30" t="s">
        <v>231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3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42396</v>
      </c>
      <c r="X31" s="12">
        <v>10.5</v>
      </c>
      <c r="Y31" s="12">
        <v>10.83</v>
      </c>
      <c r="Z31" s="12">
        <v>10.32</v>
      </c>
      <c r="AA31" s="12">
        <v>10.39</v>
      </c>
      <c r="AB31" s="105">
        <v>22926200</v>
      </c>
      <c r="AC31" s="12">
        <v>10.39</v>
      </c>
      <c r="AD31">
        <f t="shared" si="2"/>
        <v>0.50999999999999979</v>
      </c>
      <c r="AE31" s="148">
        <f t="shared" si="3"/>
        <v>-1.516587677725123E-2</v>
      </c>
      <c r="AI31" t="s">
        <v>194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3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42395</v>
      </c>
      <c r="X32" s="12">
        <v>10.55</v>
      </c>
      <c r="Y32" s="12">
        <v>10.72</v>
      </c>
      <c r="Z32" s="12">
        <v>10.36</v>
      </c>
      <c r="AA32" s="12">
        <v>10.55</v>
      </c>
      <c r="AB32" s="105">
        <v>26177000</v>
      </c>
      <c r="AC32" s="12">
        <v>10.55</v>
      </c>
      <c r="AD32">
        <f t="shared" si="2"/>
        <v>0.36000000000000121</v>
      </c>
      <c r="AE32" s="148">
        <f t="shared" si="3"/>
        <v>6.6793893129770687E-3</v>
      </c>
      <c r="AI32" t="s">
        <v>231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98">
        <v>500</v>
      </c>
      <c r="I33" s="399">
        <v>11.57</v>
      </c>
      <c r="J33" s="399">
        <v>0.13</v>
      </c>
      <c r="K33" s="399">
        <f t="shared" si="4"/>
        <v>5784.87</v>
      </c>
      <c r="W33" s="143">
        <v>42394</v>
      </c>
      <c r="X33" s="12">
        <v>11.06</v>
      </c>
      <c r="Y33" s="12">
        <v>11.17</v>
      </c>
      <c r="Z33" s="12">
        <v>10.47</v>
      </c>
      <c r="AA33" s="12">
        <v>10.48</v>
      </c>
      <c r="AB33" s="105">
        <v>23807500</v>
      </c>
      <c r="AC33" s="12">
        <v>10.48</v>
      </c>
      <c r="AD33">
        <f t="shared" si="2"/>
        <v>0.69999999999999929</v>
      </c>
      <c r="AE33" s="148">
        <f t="shared" si="3"/>
        <v>-5.3297199638663084E-2</v>
      </c>
      <c r="AI33" t="s">
        <v>194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98">
        <v>520</v>
      </c>
      <c r="I34" s="399">
        <v>11.59</v>
      </c>
      <c r="J34" s="399">
        <v>0.13</v>
      </c>
      <c r="K34" s="399">
        <f t="shared" si="4"/>
        <v>6026.67</v>
      </c>
      <c r="W34" s="143">
        <v>42391</v>
      </c>
      <c r="X34" s="12">
        <v>11.18</v>
      </c>
      <c r="Y34" s="12">
        <v>11.57</v>
      </c>
      <c r="Z34" s="12">
        <v>10.88</v>
      </c>
      <c r="AA34" s="12">
        <v>11.07</v>
      </c>
      <c r="AB34" s="105">
        <v>35088700</v>
      </c>
      <c r="AC34" s="12">
        <v>11.07</v>
      </c>
      <c r="AD34">
        <f t="shared" si="2"/>
        <v>0.6899999999999995</v>
      </c>
      <c r="AE34" s="148">
        <f t="shared" si="3"/>
        <v>2.0276497695852491E-2</v>
      </c>
      <c r="AI34" t="s">
        <v>231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42390</v>
      </c>
      <c r="X35" s="12">
        <v>10.45</v>
      </c>
      <c r="Y35" s="12">
        <v>10.9</v>
      </c>
      <c r="Z35" s="12">
        <v>10.130000000000001</v>
      </c>
      <c r="AA35" s="12">
        <v>10.85</v>
      </c>
      <c r="AB35" s="105">
        <v>52245600</v>
      </c>
      <c r="AC35" s="12">
        <v>10.85</v>
      </c>
      <c r="AD35">
        <f t="shared" si="2"/>
        <v>0.76999999999999957</v>
      </c>
      <c r="AE35" s="148">
        <f t="shared" si="3"/>
        <v>7.9601990049751103E-2</v>
      </c>
      <c r="AI35" t="s">
        <v>194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42389</v>
      </c>
      <c r="X36" s="12">
        <v>10.38</v>
      </c>
      <c r="Y36" s="12">
        <v>10.39</v>
      </c>
      <c r="Z36" s="12">
        <v>9.31</v>
      </c>
      <c r="AA36" s="12">
        <v>10.050000000000001</v>
      </c>
      <c r="AB36" s="105">
        <v>65025100</v>
      </c>
      <c r="AC36" s="12">
        <v>10.050000000000001</v>
      </c>
      <c r="AD36">
        <f t="shared" si="2"/>
        <v>1.08</v>
      </c>
      <c r="AE36" s="148">
        <f t="shared" si="3"/>
        <v>-6.944444444444442E-2</v>
      </c>
      <c r="AI36" t="s">
        <v>231</v>
      </c>
      <c r="AJ36">
        <v>62</v>
      </c>
      <c r="AK36">
        <v>22.17</v>
      </c>
      <c r="AL36" s="272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42388</v>
      </c>
      <c r="X37" s="12">
        <v>11.28</v>
      </c>
      <c r="Y37" s="12">
        <v>11.37</v>
      </c>
      <c r="Z37" s="12">
        <v>10.71</v>
      </c>
      <c r="AA37" s="12">
        <v>10.8</v>
      </c>
      <c r="AB37" s="105">
        <v>37146200</v>
      </c>
      <c r="AC37" s="12">
        <v>10.8</v>
      </c>
      <c r="AD37">
        <f t="shared" si="2"/>
        <v>0.65999999999999837</v>
      </c>
      <c r="AE37" s="148">
        <f t="shared" si="3"/>
        <v>-2.5270758122743597E-2</v>
      </c>
      <c r="AI37" t="s">
        <v>194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42384</v>
      </c>
      <c r="X38" s="12">
        <v>11.35</v>
      </c>
      <c r="Y38" s="12">
        <v>11.66</v>
      </c>
      <c r="Z38" s="12">
        <v>10.91</v>
      </c>
      <c r="AA38" s="12">
        <v>11.08</v>
      </c>
      <c r="AB38" s="105">
        <v>37037200</v>
      </c>
      <c r="AC38" s="12">
        <v>11.08</v>
      </c>
      <c r="AD38">
        <f t="shared" si="2"/>
        <v>0.75</v>
      </c>
      <c r="AE38" s="148">
        <f t="shared" si="3"/>
        <v>-7.8202995008319398E-2</v>
      </c>
      <c r="AI38" t="s">
        <v>216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42383</v>
      </c>
      <c r="X39" s="12">
        <v>12.08</v>
      </c>
      <c r="Y39" s="12">
        <v>12.26</v>
      </c>
      <c r="Z39" s="12">
        <v>11.53</v>
      </c>
      <c r="AA39" s="12">
        <v>12.02</v>
      </c>
      <c r="AB39" s="105">
        <v>35725400</v>
      </c>
      <c r="AC39" s="12">
        <v>12.02</v>
      </c>
      <c r="AD39">
        <f t="shared" si="2"/>
        <v>0.73000000000000043</v>
      </c>
      <c r="AE39" s="148">
        <f t="shared" si="3"/>
        <v>-3.3167495854063977E-3</v>
      </c>
      <c r="AI39" t="s">
        <v>194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42382</v>
      </c>
      <c r="X40" s="12">
        <v>12.78</v>
      </c>
      <c r="Y40" s="12">
        <v>12.97</v>
      </c>
      <c r="Z40" s="12">
        <v>11.91</v>
      </c>
      <c r="AA40" s="12">
        <v>12.06</v>
      </c>
      <c r="AB40" s="105">
        <v>34426600</v>
      </c>
      <c r="AC40" s="12">
        <v>12.06</v>
      </c>
      <c r="AD40">
        <f t="shared" si="2"/>
        <v>1.0600000000000005</v>
      </c>
      <c r="AE40" s="148">
        <f t="shared" si="3"/>
        <v>-5.1886792452830233E-2</v>
      </c>
      <c r="AI40" t="s">
        <v>216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42381</v>
      </c>
      <c r="X41" s="12">
        <v>12.72</v>
      </c>
      <c r="Y41" s="12">
        <v>13.24</v>
      </c>
      <c r="Z41" s="12">
        <v>12.4</v>
      </c>
      <c r="AA41" s="12">
        <v>12.72</v>
      </c>
      <c r="AB41" s="105">
        <v>25635000</v>
      </c>
      <c r="AC41" s="12">
        <v>12.72</v>
      </c>
      <c r="AD41">
        <f t="shared" si="2"/>
        <v>0.83999999999999986</v>
      </c>
      <c r="AE41" s="148">
        <f t="shared" si="3"/>
        <v>1.5163607342378427E-2</v>
      </c>
      <c r="AI41" t="s">
        <v>194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42380</v>
      </c>
      <c r="X42" s="12">
        <v>13.37</v>
      </c>
      <c r="Y42" s="12">
        <v>13.46</v>
      </c>
      <c r="Z42" s="12">
        <v>12.21</v>
      </c>
      <c r="AA42" s="12">
        <v>12.53</v>
      </c>
      <c r="AB42" s="105">
        <v>43141800</v>
      </c>
      <c r="AC42" s="12">
        <v>12.53</v>
      </c>
      <c r="AD42">
        <f t="shared" si="2"/>
        <v>1.25</v>
      </c>
      <c r="AE42" s="148">
        <f t="shared" si="3"/>
        <v>-6.0015003750937823E-2</v>
      </c>
      <c r="AI42" t="s">
        <v>216</v>
      </c>
      <c r="AJ42">
        <v>75</v>
      </c>
      <c r="AK42">
        <v>21.06</v>
      </c>
      <c r="AL42" s="272">
        <v>1579.36</v>
      </c>
      <c r="AO42" s="272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42377</v>
      </c>
      <c r="X43" s="12">
        <v>13.78</v>
      </c>
      <c r="Y43" s="12">
        <v>13.95</v>
      </c>
      <c r="Z43" s="12">
        <v>13.29</v>
      </c>
      <c r="AA43" s="12">
        <v>13.33</v>
      </c>
      <c r="AB43" s="105">
        <v>26795100</v>
      </c>
      <c r="AC43" s="12">
        <v>13.33</v>
      </c>
      <c r="AD43">
        <f t="shared" si="2"/>
        <v>0.66000000000000014</v>
      </c>
      <c r="AE43" s="148">
        <f t="shared" si="3"/>
        <v>-2.4158125915080486E-2</v>
      </c>
      <c r="AI43" t="s">
        <v>194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5" t="s">
        <v>78</v>
      </c>
      <c r="P44" s="405"/>
      <c r="T44" s="101" t="s">
        <v>116</v>
      </c>
      <c r="W44" s="143">
        <v>42376</v>
      </c>
      <c r="X44" s="12">
        <v>13.86</v>
      </c>
      <c r="Y44" s="12">
        <v>14.27</v>
      </c>
      <c r="Z44" s="12">
        <v>13.63</v>
      </c>
      <c r="AA44" s="12">
        <v>13.66</v>
      </c>
      <c r="AB44" s="105">
        <v>25922700</v>
      </c>
      <c r="AC44" s="12">
        <v>13.66</v>
      </c>
      <c r="AD44">
        <f t="shared" si="2"/>
        <v>0.63999999999999879</v>
      </c>
      <c r="AE44" s="148">
        <f t="shared" si="3"/>
        <v>-3.9381153305203975E-2</v>
      </c>
      <c r="AI44" t="s">
        <v>216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11.891000000000002</v>
      </c>
      <c r="T45" s="138" t="s">
        <v>101</v>
      </c>
      <c r="U45" s="139">
        <v>10.66</v>
      </c>
      <c r="W45" s="143">
        <v>42375</v>
      </c>
      <c r="X45" s="12">
        <v>14.5</v>
      </c>
      <c r="Y45" s="12">
        <v>14.69</v>
      </c>
      <c r="Z45" s="12">
        <v>14.11</v>
      </c>
      <c r="AA45" s="12">
        <v>14.22</v>
      </c>
      <c r="AB45" s="105">
        <v>26739600</v>
      </c>
      <c r="AC45" s="12">
        <v>14.22</v>
      </c>
      <c r="AD45">
        <f t="shared" si="2"/>
        <v>0.58000000000000007</v>
      </c>
      <c r="AE45" s="148">
        <f t="shared" si="3"/>
        <v>-4.0485829959514108E-2</v>
      </c>
      <c r="AI45" t="s">
        <v>194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11.782900000000001</v>
      </c>
      <c r="T46" s="103" t="s">
        <v>102</v>
      </c>
      <c r="U46" s="140">
        <v>10.74</v>
      </c>
      <c r="W46" s="143">
        <v>42374</v>
      </c>
      <c r="X46" s="12">
        <v>14.42</v>
      </c>
      <c r="Y46" s="12">
        <v>15.08</v>
      </c>
      <c r="Z46" s="12">
        <v>14.36</v>
      </c>
      <c r="AA46" s="12">
        <v>14.82</v>
      </c>
      <c r="AB46" s="105">
        <v>29768400</v>
      </c>
      <c r="AC46" s="12">
        <v>14.82</v>
      </c>
      <c r="AD46">
        <f t="shared" si="2"/>
        <v>0.72000000000000064</v>
      </c>
      <c r="AE46" s="148">
        <f t="shared" si="3"/>
        <v>3.4193998604326703E-2</v>
      </c>
      <c r="AI46" t="s">
        <v>216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11.674800000000001</v>
      </c>
      <c r="T47" s="103" t="s">
        <v>103</v>
      </c>
      <c r="U47" s="140" t="s">
        <v>340</v>
      </c>
      <c r="W47" s="143">
        <v>42373</v>
      </c>
      <c r="X47" s="12">
        <v>13.83</v>
      </c>
      <c r="Y47" s="12">
        <v>14.36</v>
      </c>
      <c r="Z47" s="12">
        <v>13.81</v>
      </c>
      <c r="AA47" s="12">
        <v>14.33</v>
      </c>
      <c r="AB47" s="105">
        <v>22585300</v>
      </c>
      <c r="AC47" s="12">
        <v>14.33</v>
      </c>
      <c r="AD47">
        <f t="shared" si="2"/>
        <v>0.54999999999999893</v>
      </c>
      <c r="AE47" s="148">
        <f t="shared" si="3"/>
        <v>1.2005649717514055E-2</v>
      </c>
      <c r="AI47" t="s">
        <v>194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11.566700000000001</v>
      </c>
      <c r="T48" s="103" t="s">
        <v>104</v>
      </c>
      <c r="U48" s="140" t="s">
        <v>341</v>
      </c>
      <c r="W48" s="143">
        <v>42369</v>
      </c>
      <c r="X48" s="12">
        <v>14.1</v>
      </c>
      <c r="Y48" s="12">
        <v>14.29</v>
      </c>
      <c r="Z48" s="12">
        <v>14.03</v>
      </c>
      <c r="AA48" s="12">
        <v>14.16</v>
      </c>
      <c r="AB48" s="105">
        <v>13211200</v>
      </c>
      <c r="AC48" s="12">
        <v>14.16</v>
      </c>
      <c r="AD48">
        <f t="shared" si="2"/>
        <v>0.25999999999999979</v>
      </c>
      <c r="AE48" s="148">
        <f t="shared" si="3"/>
        <v>0</v>
      </c>
      <c r="AI48" t="s">
        <v>216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11.458600000000001</v>
      </c>
      <c r="T49" s="103" t="s">
        <v>105</v>
      </c>
      <c r="U49" s="140">
        <v>15.75</v>
      </c>
      <c r="W49" s="143">
        <v>42368</v>
      </c>
      <c r="X49" s="12">
        <v>14.27</v>
      </c>
      <c r="Y49" s="12">
        <v>14.44</v>
      </c>
      <c r="Z49" s="12">
        <v>14.1</v>
      </c>
      <c r="AA49" s="12">
        <v>14.16</v>
      </c>
      <c r="AB49" s="105">
        <v>10895100</v>
      </c>
      <c r="AC49" s="12">
        <v>14.16</v>
      </c>
      <c r="AD49">
        <f t="shared" si="2"/>
        <v>0.33999999999999986</v>
      </c>
      <c r="AE49" s="148">
        <f t="shared" si="3"/>
        <v>-1.2552301255230103E-2</v>
      </c>
      <c r="AI49" t="s">
        <v>194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11.3505</v>
      </c>
      <c r="T50" s="103" t="s">
        <v>106</v>
      </c>
      <c r="U50" s="140">
        <v>2.0663100000000001</v>
      </c>
      <c r="W50" s="143">
        <v>42367</v>
      </c>
      <c r="X50" s="12">
        <v>14.35</v>
      </c>
      <c r="Y50" s="12">
        <v>14.51</v>
      </c>
      <c r="Z50" s="12">
        <v>14.23</v>
      </c>
      <c r="AA50" s="12">
        <v>14.34</v>
      </c>
      <c r="AB50" s="105">
        <v>16093900</v>
      </c>
      <c r="AC50" s="12">
        <v>14.34</v>
      </c>
      <c r="AD50">
        <f t="shared" si="2"/>
        <v>0.27999999999999936</v>
      </c>
      <c r="AE50" s="148">
        <f t="shared" si="3"/>
        <v>1.0570824524313016E-2</v>
      </c>
      <c r="AI50" t="s">
        <v>216</v>
      </c>
      <c r="AJ50">
        <v>90</v>
      </c>
      <c r="AK50">
        <v>22.1</v>
      </c>
      <c r="AL50" s="272">
        <v>1989.12</v>
      </c>
      <c r="AO50" s="272">
        <v>1400.4</v>
      </c>
      <c r="AP50">
        <v>-588.72</v>
      </c>
      <c r="AQ50">
        <v>-29.6</v>
      </c>
    </row>
    <row r="51" spans="2:43" x14ac:dyDescent="0.25">
      <c r="B51" s="40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11.242400000000002</v>
      </c>
      <c r="T51" s="103" t="s">
        <v>107</v>
      </c>
      <c r="U51" s="140" t="s">
        <v>328</v>
      </c>
      <c r="W51" s="143">
        <v>42366</v>
      </c>
      <c r="X51" s="12">
        <v>14.45</v>
      </c>
      <c r="Y51" s="12">
        <v>14.51</v>
      </c>
      <c r="Z51" s="12">
        <v>14.05</v>
      </c>
      <c r="AA51" s="12">
        <v>14.19</v>
      </c>
      <c r="AB51" s="105">
        <v>17635000</v>
      </c>
      <c r="AC51" s="12">
        <v>14.19</v>
      </c>
      <c r="AD51">
        <f t="shared" si="2"/>
        <v>0.45999999999999908</v>
      </c>
      <c r="AE51" s="148">
        <f t="shared" si="3"/>
        <v>-2.0027624309392311E-2</v>
      </c>
      <c r="AI51" t="s">
        <v>194</v>
      </c>
    </row>
    <row r="52" spans="2:43" x14ac:dyDescent="0.25">
      <c r="B52" s="40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11.134300000000001</v>
      </c>
      <c r="T52" s="103"/>
      <c r="U52" s="140"/>
      <c r="W52" s="143">
        <v>42362</v>
      </c>
      <c r="X52" s="12">
        <v>14.2</v>
      </c>
      <c r="Y52" s="12">
        <v>14.59</v>
      </c>
      <c r="Z52" s="12">
        <v>14.19</v>
      </c>
      <c r="AA52" s="12">
        <v>14.48</v>
      </c>
      <c r="AB52" s="105">
        <v>14284200</v>
      </c>
      <c r="AC52" s="12">
        <v>14.48</v>
      </c>
      <c r="AD52">
        <f t="shared" si="2"/>
        <v>0.40000000000000036</v>
      </c>
      <c r="AE52" s="148">
        <f t="shared" si="3"/>
        <v>1.2587412587412583E-2</v>
      </c>
      <c r="AI52" t="s">
        <v>216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11.026200000000001</v>
      </c>
      <c r="T53" s="103" t="s">
        <v>108</v>
      </c>
      <c r="U53" s="140" t="s">
        <v>342</v>
      </c>
      <c r="W53" s="143">
        <v>42361</v>
      </c>
      <c r="X53" s="12">
        <v>13.72</v>
      </c>
      <c r="Y53" s="12">
        <v>14.3</v>
      </c>
      <c r="Z53" s="12">
        <v>13.55</v>
      </c>
      <c r="AA53" s="12">
        <v>14.3</v>
      </c>
      <c r="AB53" s="105">
        <v>59094200</v>
      </c>
      <c r="AC53" s="12">
        <v>14.3</v>
      </c>
      <c r="AD53">
        <f t="shared" si="2"/>
        <v>0.75</v>
      </c>
      <c r="AE53" s="148">
        <f t="shared" si="3"/>
        <v>-2.1218343600273748E-2</v>
      </c>
      <c r="AI53" t="s">
        <v>194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10.918100000000001</v>
      </c>
      <c r="T54" s="103" t="s">
        <v>109</v>
      </c>
      <c r="U54" s="140" t="s">
        <v>300</v>
      </c>
      <c r="W54" s="143">
        <v>42360</v>
      </c>
      <c r="X54" s="12">
        <v>14.8</v>
      </c>
      <c r="Y54" s="12">
        <v>14.95</v>
      </c>
      <c r="Z54" s="12">
        <v>14.52</v>
      </c>
      <c r="AA54" s="12">
        <v>14.61</v>
      </c>
      <c r="AB54" s="105">
        <v>24987300</v>
      </c>
      <c r="AC54" s="12">
        <v>14.61</v>
      </c>
      <c r="AD54">
        <f t="shared" si="2"/>
        <v>0.42999999999999972</v>
      </c>
      <c r="AE54" s="148">
        <f t="shared" si="3"/>
        <v>-1.0832769126608022E-2</v>
      </c>
      <c r="AI54" t="s">
        <v>216</v>
      </c>
      <c r="AJ54">
        <v>70</v>
      </c>
      <c r="AK54">
        <v>22.06</v>
      </c>
      <c r="AL54" s="272">
        <v>1544.41</v>
      </c>
      <c r="AO54" s="272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10.81</v>
      </c>
      <c r="T55" s="103" t="s">
        <v>110</v>
      </c>
      <c r="U55" s="141">
        <v>15133844</v>
      </c>
      <c r="W55" s="143">
        <v>42359</v>
      </c>
      <c r="X55" s="12">
        <v>14.44</v>
      </c>
      <c r="Y55" s="12">
        <v>14.79</v>
      </c>
      <c r="Z55" s="12">
        <v>14.33</v>
      </c>
      <c r="AA55" s="12">
        <v>14.77</v>
      </c>
      <c r="AB55" s="105">
        <v>22117000</v>
      </c>
      <c r="AC55" s="12">
        <v>14.77</v>
      </c>
      <c r="AD55">
        <f t="shared" si="2"/>
        <v>0.45999999999999908</v>
      </c>
      <c r="AE55" s="148">
        <f t="shared" si="3"/>
        <v>2.8551532033426197E-2</v>
      </c>
      <c r="AI55" t="s">
        <v>194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10.7019</v>
      </c>
      <c r="T56" s="103" t="s">
        <v>113</v>
      </c>
      <c r="U56" s="141">
        <v>26898300</v>
      </c>
      <c r="W56" s="143">
        <v>42356</v>
      </c>
      <c r="X56" s="12">
        <v>14.38</v>
      </c>
      <c r="Y56" s="12">
        <v>14.73</v>
      </c>
      <c r="Z56" s="12">
        <v>14.26</v>
      </c>
      <c r="AA56" s="12">
        <v>14.36</v>
      </c>
      <c r="AB56" s="105">
        <v>38218800</v>
      </c>
      <c r="AC56" s="12">
        <v>14.36</v>
      </c>
      <c r="AD56">
        <f t="shared" si="2"/>
        <v>0.47000000000000064</v>
      </c>
      <c r="AE56" s="148">
        <f t="shared" si="3"/>
        <v>2.7932960893854997E-3</v>
      </c>
      <c r="AI56" t="s">
        <v>216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10.5938</v>
      </c>
      <c r="T57" s="103" t="s">
        <v>111</v>
      </c>
      <c r="U57" s="140" t="s">
        <v>343</v>
      </c>
      <c r="W57" s="143">
        <v>42355</v>
      </c>
      <c r="X57" s="12">
        <v>14.65</v>
      </c>
      <c r="Y57" s="12">
        <v>14.77</v>
      </c>
      <c r="Z57" s="12">
        <v>14.25</v>
      </c>
      <c r="AA57" s="12">
        <v>14.32</v>
      </c>
      <c r="AB57" s="105">
        <v>28927700</v>
      </c>
      <c r="AC57" s="12">
        <v>14.32</v>
      </c>
      <c r="AD57">
        <f t="shared" si="2"/>
        <v>0.51999999999999957</v>
      </c>
      <c r="AE57" s="148">
        <f t="shared" si="3"/>
        <v>1.7768301350390869E-2</v>
      </c>
      <c r="AI57" t="s">
        <v>194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10.4857</v>
      </c>
      <c r="T58" s="103" t="s">
        <v>114</v>
      </c>
      <c r="U58" s="140">
        <v>5.88</v>
      </c>
      <c r="W58" s="143">
        <v>42354</v>
      </c>
      <c r="X58" s="12">
        <v>14.36</v>
      </c>
      <c r="Y58" s="12">
        <v>14.45</v>
      </c>
      <c r="Z58" s="12">
        <v>13.78</v>
      </c>
      <c r="AA58" s="12">
        <v>14.07</v>
      </c>
      <c r="AB58" s="105">
        <v>21511900</v>
      </c>
      <c r="AC58" s="12">
        <v>14.07</v>
      </c>
      <c r="AD58">
        <f t="shared" si="2"/>
        <v>0.66999999999999993</v>
      </c>
      <c r="AE58" s="148">
        <f t="shared" si="3"/>
        <v>-7.7574047954865888E-3</v>
      </c>
      <c r="AI58" t="s">
        <v>216</v>
      </c>
      <c r="AJ58">
        <v>75</v>
      </c>
      <c r="AK58">
        <v>21.9</v>
      </c>
      <c r="AL58" s="272">
        <v>1642.4</v>
      </c>
      <c r="AO58" s="272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10.377599999999999</v>
      </c>
      <c r="T59" s="103" t="s">
        <v>115</v>
      </c>
      <c r="U59" s="140">
        <v>1.84</v>
      </c>
      <c r="W59" s="143">
        <v>42353</v>
      </c>
      <c r="X59" s="12">
        <v>13.77</v>
      </c>
      <c r="Y59" s="12">
        <v>14.37</v>
      </c>
      <c r="Z59" s="12">
        <v>13.74</v>
      </c>
      <c r="AA59" s="12">
        <v>14.18</v>
      </c>
      <c r="AB59" s="105">
        <v>26395400</v>
      </c>
      <c r="AC59" s="12">
        <v>14.18</v>
      </c>
      <c r="AD59">
        <f t="shared" si="2"/>
        <v>0.62999999999999901</v>
      </c>
      <c r="AE59" s="148">
        <f t="shared" si="3"/>
        <v>3.8067349926793614E-2</v>
      </c>
      <c r="AI59" t="s">
        <v>194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10.269500000000001</v>
      </c>
      <c r="T60" s="103" t="s">
        <v>112</v>
      </c>
      <c r="U60" s="140" t="s">
        <v>127</v>
      </c>
      <c r="W60" s="143">
        <v>42352</v>
      </c>
      <c r="X60" s="12">
        <v>14.43</v>
      </c>
      <c r="Y60" s="12">
        <v>14.48</v>
      </c>
      <c r="Z60" s="12">
        <v>13.51</v>
      </c>
      <c r="AA60" s="12">
        <v>13.66</v>
      </c>
      <c r="AB60" s="105">
        <v>35155800</v>
      </c>
      <c r="AC60" s="12">
        <v>13.66</v>
      </c>
      <c r="AD60">
        <f t="shared" si="2"/>
        <v>0.97000000000000064</v>
      </c>
      <c r="AE60" s="148">
        <f t="shared" si="3"/>
        <v>-2.7065527065527006E-2</v>
      </c>
      <c r="AI60" t="s">
        <v>216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10.1614</v>
      </c>
      <c r="W61" s="143">
        <v>42349</v>
      </c>
      <c r="X61" s="12">
        <v>14.32</v>
      </c>
      <c r="Y61" s="12">
        <v>14.44</v>
      </c>
      <c r="Z61" s="12">
        <v>13.99</v>
      </c>
      <c r="AA61" s="12">
        <v>14.04</v>
      </c>
      <c r="AB61" s="105">
        <v>23601500</v>
      </c>
      <c r="AC61" s="12">
        <v>14.04</v>
      </c>
      <c r="AD61">
        <f t="shared" si="2"/>
        <v>0.44999999999999929</v>
      </c>
      <c r="AE61" s="148">
        <f t="shared" si="3"/>
        <v>-4.2291950886766738E-2</v>
      </c>
      <c r="AI61" t="s">
        <v>194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10.0533</v>
      </c>
      <c r="W62" s="143">
        <v>42348</v>
      </c>
      <c r="X62" s="12">
        <v>14.29</v>
      </c>
      <c r="Y62" s="12">
        <v>14.8</v>
      </c>
      <c r="Z62" s="12">
        <v>14.26</v>
      </c>
      <c r="AA62" s="12">
        <v>14.66</v>
      </c>
      <c r="AB62" s="105">
        <v>14788700</v>
      </c>
      <c r="AC62" s="12">
        <v>14.66</v>
      </c>
      <c r="AD62">
        <f t="shared" si="2"/>
        <v>0.54000000000000092</v>
      </c>
      <c r="AE62" s="148">
        <f t="shared" si="3"/>
        <v>2.3743016759776525E-2</v>
      </c>
      <c r="AI62" t="s">
        <v>216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9.9452000000000016</v>
      </c>
      <c r="W63" s="143">
        <v>42347</v>
      </c>
      <c r="X63" s="12">
        <v>14.6</v>
      </c>
      <c r="Y63" s="12">
        <v>14.67</v>
      </c>
      <c r="Z63" s="12">
        <v>14.24</v>
      </c>
      <c r="AA63" s="12">
        <v>14.32</v>
      </c>
      <c r="AB63" s="105">
        <v>20781700</v>
      </c>
      <c r="AC63" s="12">
        <v>14.32</v>
      </c>
      <c r="AD63">
        <f t="shared" si="2"/>
        <v>0.42999999999999972</v>
      </c>
      <c r="AE63" s="148">
        <f t="shared" si="3"/>
        <v>-1.9178082191780743E-2</v>
      </c>
      <c r="AI63" t="s">
        <v>194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9.8371000000000013</v>
      </c>
      <c r="W64" s="143">
        <v>42346</v>
      </c>
      <c r="X64" s="12">
        <v>14.61</v>
      </c>
      <c r="Y64" s="12">
        <v>14.7</v>
      </c>
      <c r="Z64" s="12">
        <v>14.42</v>
      </c>
      <c r="AA64" s="12">
        <v>14.6</v>
      </c>
      <c r="AB64" s="105">
        <v>18169900</v>
      </c>
      <c r="AC64" s="12">
        <v>14.6</v>
      </c>
      <c r="AD64">
        <f t="shared" si="2"/>
        <v>0.27999999999999936</v>
      </c>
      <c r="AE64" s="148">
        <f t="shared" si="3"/>
        <v>-1.6835016835016869E-2</v>
      </c>
      <c r="AI64" t="s">
        <v>216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9.729000000000001</v>
      </c>
      <c r="W65" s="143">
        <v>42345</v>
      </c>
      <c r="X65" s="12">
        <v>15.35</v>
      </c>
      <c r="Y65" s="12">
        <v>15.47</v>
      </c>
      <c r="Z65" s="12">
        <v>14.71</v>
      </c>
      <c r="AA65" s="12">
        <v>14.85</v>
      </c>
      <c r="AB65" s="105">
        <v>23542300</v>
      </c>
      <c r="AC65" s="12">
        <v>14.85</v>
      </c>
      <c r="AD65">
        <f t="shared" si="2"/>
        <v>0.75999999999999979</v>
      </c>
      <c r="AE65" s="148">
        <f t="shared" si="3"/>
        <v>-4.1935483870967794E-2</v>
      </c>
      <c r="AI65" t="s">
        <v>194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42342</v>
      </c>
      <c r="X66" s="12">
        <v>15.54</v>
      </c>
      <c r="Y66" s="12">
        <v>15.93</v>
      </c>
      <c r="Z66" s="12">
        <v>15.4</v>
      </c>
      <c r="AA66" s="12">
        <v>15.5</v>
      </c>
      <c r="AB66" s="105">
        <v>18867300</v>
      </c>
      <c r="AC66" s="12">
        <v>15.5</v>
      </c>
      <c r="AD66">
        <f t="shared" si="2"/>
        <v>0.52999999999999936</v>
      </c>
      <c r="AE66" s="148">
        <f t="shared" si="3"/>
        <v>-7.0467648942984518E-3</v>
      </c>
      <c r="AI66" t="s">
        <v>216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06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42341</v>
      </c>
      <c r="X67" s="12">
        <v>15.95</v>
      </c>
      <c r="Y67" s="12">
        <v>16.2</v>
      </c>
      <c r="Z67" s="12">
        <v>15.5</v>
      </c>
      <c r="AA67" s="12">
        <v>15.61</v>
      </c>
      <c r="AB67" s="105">
        <v>15164000</v>
      </c>
      <c r="AC67" s="12">
        <v>15.61</v>
      </c>
      <c r="AD67">
        <f>Y67-Z67</f>
        <v>0.69999999999999929</v>
      </c>
      <c r="AE67" s="148" t="e">
        <f>AC67/AC68-1</f>
        <v>#DIV/0!</v>
      </c>
      <c r="AI67" t="s">
        <v>194</v>
      </c>
    </row>
    <row r="68" spans="1:43" x14ac:dyDescent="0.25">
      <c r="B68" s="406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216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06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194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216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194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216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194</v>
      </c>
    </row>
    <row r="74" spans="1:43" x14ac:dyDescent="0.25">
      <c r="B74" s="1">
        <v>42436</v>
      </c>
      <c r="C74" s="400">
        <v>520</v>
      </c>
      <c r="D74" s="399">
        <v>11.1</v>
      </c>
      <c r="E74" s="399">
        <v>0.16</v>
      </c>
      <c r="F74" s="399">
        <f t="shared" si="6"/>
        <v>5772.16</v>
      </c>
      <c r="G74" s="4"/>
      <c r="AI74" t="s">
        <v>216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409">
        <v>42436</v>
      </c>
      <c r="C75" s="400">
        <v>500</v>
      </c>
      <c r="D75" s="400">
        <v>11.35</v>
      </c>
      <c r="E75" s="399">
        <v>0</v>
      </c>
      <c r="F75" s="399">
        <f t="shared" si="6"/>
        <v>5675</v>
      </c>
      <c r="AI75" t="s">
        <v>194</v>
      </c>
    </row>
    <row r="76" spans="1:43" x14ac:dyDescent="0.25">
      <c r="B76" s="409"/>
      <c r="C76">
        <v>30</v>
      </c>
      <c r="D76">
        <v>11.35</v>
      </c>
      <c r="E76" s="3">
        <v>0</v>
      </c>
      <c r="F76" s="3">
        <f t="shared" si="6"/>
        <v>340.5</v>
      </c>
      <c r="AI76" t="s">
        <v>216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F77" s="3"/>
      <c r="AI77" t="s">
        <v>194</v>
      </c>
    </row>
    <row r="78" spans="1:43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  <c r="AI78" t="s">
        <v>216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194</v>
      </c>
    </row>
    <row r="80" spans="1:43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62" t="s">
        <v>177</v>
      </c>
      <c r="H80" s="218" t="s">
        <v>90</v>
      </c>
      <c r="I80" s="262" t="s">
        <v>185</v>
      </c>
      <c r="AI80" t="s">
        <v>232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7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194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232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194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232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194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232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194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232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194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233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7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194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234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194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235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194</v>
      </c>
    </row>
    <row r="96" spans="2:43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7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/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>
        <v>42436</v>
      </c>
      <c r="C117" s="306">
        <v>5290</v>
      </c>
      <c r="D117" s="307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70">
        <f t="shared" si="14"/>
        <v>-0.28777469570512154</v>
      </c>
      <c r="I117" s="43">
        <v>16</v>
      </c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  <row r="120" spans="2:9" x14ac:dyDescent="0.25">
      <c r="B120" s="216"/>
      <c r="C120" s="12"/>
      <c r="D120" s="225"/>
      <c r="E120" s="43"/>
      <c r="F120" s="43"/>
      <c r="G120" s="43"/>
      <c r="H120" s="270"/>
      <c r="I120" s="43"/>
    </row>
    <row r="121" spans="2:9" x14ac:dyDescent="0.25">
      <c r="B121" s="216"/>
      <c r="C121" s="12"/>
      <c r="D121" s="225"/>
      <c r="E121" s="43"/>
      <c r="F121" s="43"/>
      <c r="G121" s="43"/>
      <c r="H121" s="270"/>
      <c r="I121" s="43"/>
    </row>
    <row r="122" spans="2:9" x14ac:dyDescent="0.25">
      <c r="B122" s="216"/>
      <c r="C122" s="12"/>
      <c r="D122" s="225"/>
      <c r="E122" s="43"/>
      <c r="F122" s="43"/>
      <c r="G122" s="43"/>
      <c r="H122" s="270"/>
      <c r="I122" s="43"/>
    </row>
    <row r="123" spans="2:9" x14ac:dyDescent="0.25">
      <c r="B123" s="216"/>
      <c r="C123" s="12"/>
      <c r="D123" s="225"/>
      <c r="E123" s="43"/>
      <c r="F123" s="43"/>
      <c r="G123" s="43"/>
      <c r="H123" s="270"/>
      <c r="I123" s="43"/>
    </row>
    <row r="124" spans="2:9" x14ac:dyDescent="0.25">
      <c r="B124" s="216"/>
      <c r="C124" s="12"/>
      <c r="D124" s="225"/>
      <c r="E124" s="43"/>
      <c r="F124" s="43"/>
      <c r="G124" s="43"/>
      <c r="H124" s="270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24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24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24">
    <cfRule type="expression" dxfId="335" priority="3">
      <formula>F101&gt;0</formula>
    </cfRule>
    <cfRule type="expression" dxfId="334" priority="4">
      <formula>F101&lt;0</formula>
    </cfRule>
  </conditionalFormatting>
  <conditionalFormatting sqref="H101:H124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247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42438</v>
      </c>
      <c r="W2" s="113">
        <v>38.090000000000003</v>
      </c>
      <c r="X2" s="113">
        <v>38.619999999999997</v>
      </c>
      <c r="Y2" s="113">
        <v>37.880000000000003</v>
      </c>
      <c r="Z2" s="113">
        <v>38.549999999999997</v>
      </c>
      <c r="AA2" s="111">
        <v>3928100</v>
      </c>
      <c r="AB2" s="110">
        <v>38.549999999999997</v>
      </c>
      <c r="AC2" s="2">
        <f>X2-Y2</f>
        <v>0.73999999999999488</v>
      </c>
      <c r="AD2" s="148">
        <f>AB2/AB3-1</f>
        <v>1.9032513877874635E-2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38.549999999999997</v>
      </c>
      <c r="S3" s="125"/>
      <c r="T3" s="20"/>
      <c r="U3" s="20"/>
      <c r="V3" s="109">
        <v>42437</v>
      </c>
      <c r="W3" s="113">
        <v>38.74</v>
      </c>
      <c r="X3" s="113">
        <v>38.9</v>
      </c>
      <c r="Y3" s="113">
        <v>37.770000000000003</v>
      </c>
      <c r="Z3" s="113">
        <v>37.83</v>
      </c>
      <c r="AA3" s="111">
        <v>3492000</v>
      </c>
      <c r="AB3" s="110">
        <v>37.83</v>
      </c>
      <c r="AC3" s="2">
        <f t="shared" ref="AC3:AC66" si="0">X3-Y3</f>
        <v>1.1299999999999955</v>
      </c>
      <c r="AD3" s="148">
        <f t="shared" ref="AD3:AD66" si="1">AB3/AB4-1</f>
        <v>-2.800616649537524E-2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38.549999999999997</v>
      </c>
      <c r="V4" s="109">
        <v>42436</v>
      </c>
      <c r="W4" s="113">
        <v>38.65</v>
      </c>
      <c r="X4" s="113">
        <v>39.090000000000003</v>
      </c>
      <c r="Y4" s="113">
        <v>38.549999999999997</v>
      </c>
      <c r="Z4" s="113">
        <v>38.92</v>
      </c>
      <c r="AA4" s="111">
        <v>2788500</v>
      </c>
      <c r="AB4" s="110">
        <v>38.92</v>
      </c>
      <c r="AC4" s="2">
        <f t="shared" si="0"/>
        <v>0.54000000000000625</v>
      </c>
      <c r="AD4" s="148">
        <f t="shared" si="1"/>
        <v>4.9057578104829691E-3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42433</v>
      </c>
      <c r="W5" s="113">
        <v>38.229999999999997</v>
      </c>
      <c r="X5" s="113">
        <v>39.17</v>
      </c>
      <c r="Y5" s="113">
        <v>38.130000000000003</v>
      </c>
      <c r="Z5" s="113">
        <v>38.729999999999997</v>
      </c>
      <c r="AA5" s="111">
        <v>4652100</v>
      </c>
      <c r="AB5" s="110">
        <v>38.729999999999997</v>
      </c>
      <c r="AC5" s="2">
        <f t="shared" si="0"/>
        <v>1.0399999999999991</v>
      </c>
      <c r="AD5" s="148">
        <f t="shared" si="1"/>
        <v>1.09631949882536E-2</v>
      </c>
    </row>
    <row r="6" spans="1:30" x14ac:dyDescent="0.25">
      <c r="O6" s="13" t="s">
        <v>64</v>
      </c>
      <c r="Q6" s="2">
        <f>Q3*Q2</f>
        <v>0</v>
      </c>
      <c r="S6" s="95"/>
      <c r="V6" s="109">
        <v>42432</v>
      </c>
      <c r="W6" s="113">
        <v>36.799999999999997</v>
      </c>
      <c r="X6" s="113">
        <v>38.369999999999997</v>
      </c>
      <c r="Y6" s="113">
        <v>36.78</v>
      </c>
      <c r="Z6" s="113">
        <v>38.31</v>
      </c>
      <c r="AA6" s="111">
        <v>5129500</v>
      </c>
      <c r="AB6" s="110">
        <v>38.31</v>
      </c>
      <c r="AC6" s="2">
        <f t="shared" si="0"/>
        <v>1.5899999999999963</v>
      </c>
      <c r="AD6" s="148">
        <f t="shared" si="1"/>
        <v>4.1598694942903691E-2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42431</v>
      </c>
      <c r="W7" s="113">
        <v>36.450000000000003</v>
      </c>
      <c r="X7" s="113">
        <v>37.049999999999997</v>
      </c>
      <c r="Y7" s="113">
        <v>36.42</v>
      </c>
      <c r="Z7" s="113">
        <v>36.78</v>
      </c>
      <c r="AA7" s="111">
        <v>3123300</v>
      </c>
      <c r="AB7" s="110">
        <v>36.78</v>
      </c>
      <c r="AC7" s="2">
        <f t="shared" si="0"/>
        <v>0.62999999999999545</v>
      </c>
      <c r="AD7" s="148">
        <f t="shared" si="1"/>
        <v>3.8209606986898681E-3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42430</v>
      </c>
      <c r="W8" s="113">
        <v>36.020000000000003</v>
      </c>
      <c r="X8" s="113">
        <v>36.909999999999997</v>
      </c>
      <c r="Y8" s="113">
        <v>35.93</v>
      </c>
      <c r="Z8" s="113">
        <v>36.64</v>
      </c>
      <c r="AA8" s="111">
        <v>3639800</v>
      </c>
      <c r="AB8" s="110">
        <v>36.64</v>
      </c>
      <c r="AC8" s="2">
        <f t="shared" si="0"/>
        <v>0.97999999999999687</v>
      </c>
      <c r="AD8" s="148">
        <f t="shared" si="1"/>
        <v>2.6330532212885061E-2</v>
      </c>
    </row>
    <row r="9" spans="1:30" x14ac:dyDescent="0.25">
      <c r="V9" s="109">
        <v>42429</v>
      </c>
      <c r="W9" s="113">
        <v>35.200000000000003</v>
      </c>
      <c r="X9" s="113">
        <v>36.200000000000003</v>
      </c>
      <c r="Y9" s="113">
        <v>35.159999999999997</v>
      </c>
      <c r="Z9" s="113">
        <v>35.700000000000003</v>
      </c>
      <c r="AA9" s="111">
        <v>4242700</v>
      </c>
      <c r="AB9" s="110">
        <v>35.700000000000003</v>
      </c>
      <c r="AC9" s="2">
        <f t="shared" si="0"/>
        <v>1.0400000000000063</v>
      </c>
      <c r="AD9" s="148">
        <f t="shared" si="1"/>
        <v>1.3053348467650494E-2</v>
      </c>
    </row>
    <row r="10" spans="1:30" x14ac:dyDescent="0.25">
      <c r="V10" s="109">
        <v>42426</v>
      </c>
      <c r="W10" s="113">
        <v>35</v>
      </c>
      <c r="X10" s="113">
        <v>35.5</v>
      </c>
      <c r="Y10" s="113">
        <v>34.97</v>
      </c>
      <c r="Z10" s="113">
        <v>35.24</v>
      </c>
      <c r="AA10" s="111">
        <v>3335400</v>
      </c>
      <c r="AB10" s="110">
        <v>35.24</v>
      </c>
      <c r="AC10" s="2">
        <f t="shared" si="0"/>
        <v>0.53000000000000114</v>
      </c>
      <c r="AD10" s="148">
        <f t="shared" si="1"/>
        <v>1.293475136533484E-2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V11" s="109">
        <v>42425</v>
      </c>
      <c r="W11" s="113">
        <v>34.78</v>
      </c>
      <c r="X11" s="113">
        <v>34.950000000000003</v>
      </c>
      <c r="Y11" s="113">
        <v>34.31</v>
      </c>
      <c r="Z11" s="113">
        <v>34.79</v>
      </c>
      <c r="AA11" s="111">
        <v>3083900</v>
      </c>
      <c r="AB11" s="110">
        <v>34.79</v>
      </c>
      <c r="AC11" s="2">
        <f t="shared" si="0"/>
        <v>0.64000000000000057</v>
      </c>
      <c r="AD11" s="148">
        <f t="shared" si="1"/>
        <v>2.3048112935752929E-3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42424</v>
      </c>
      <c r="W12" s="113">
        <v>33.99</v>
      </c>
      <c r="X12" s="113">
        <v>34.86</v>
      </c>
      <c r="Y12" s="113">
        <v>33.799999999999997</v>
      </c>
      <c r="Z12" s="113">
        <v>34.71</v>
      </c>
      <c r="AA12" s="111">
        <v>3610800</v>
      </c>
      <c r="AB12" s="110">
        <v>34.71</v>
      </c>
      <c r="AC12" s="2">
        <f t="shared" si="0"/>
        <v>1.0600000000000023</v>
      </c>
      <c r="AD12" s="148">
        <f t="shared" si="1"/>
        <v>1.5209125475285301E-2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42423</v>
      </c>
      <c r="W13" s="113">
        <v>34.18</v>
      </c>
      <c r="X13" s="113">
        <v>34.31</v>
      </c>
      <c r="Y13" s="113">
        <v>33.76</v>
      </c>
      <c r="Z13" s="113">
        <v>34.19</v>
      </c>
      <c r="AA13" s="111">
        <v>3749900</v>
      </c>
      <c r="AB13" s="110">
        <v>34.19</v>
      </c>
      <c r="AC13" s="2">
        <f t="shared" si="0"/>
        <v>0.55000000000000426</v>
      </c>
      <c r="AD13" s="148">
        <f t="shared" si="1"/>
        <v>-4.6579330422126253E-3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42422</v>
      </c>
      <c r="W14" s="113">
        <v>34.43</v>
      </c>
      <c r="X14" s="113">
        <v>34.5</v>
      </c>
      <c r="Y14" s="113">
        <v>34.08</v>
      </c>
      <c r="Z14" s="113">
        <v>34.35</v>
      </c>
      <c r="AA14" s="111">
        <v>4028100</v>
      </c>
      <c r="AB14" s="110">
        <v>34.35</v>
      </c>
      <c r="AC14" s="2">
        <f t="shared" si="0"/>
        <v>0.42000000000000171</v>
      </c>
      <c r="AD14" s="148">
        <f t="shared" si="1"/>
        <v>9.9970596883269813E-3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42419</v>
      </c>
      <c r="W15" s="113">
        <v>34.81</v>
      </c>
      <c r="X15" s="113">
        <v>34.81</v>
      </c>
      <c r="Y15" s="113">
        <v>33.43</v>
      </c>
      <c r="Z15" s="113">
        <v>34.01</v>
      </c>
      <c r="AA15" s="111">
        <v>5873900</v>
      </c>
      <c r="AB15" s="110">
        <v>34.01</v>
      </c>
      <c r="AC15" s="2">
        <f t="shared" si="0"/>
        <v>1.3800000000000026</v>
      </c>
      <c r="AD15" s="148">
        <f t="shared" si="1"/>
        <v>-3.7089467723669389E-2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42418</v>
      </c>
      <c r="W16" s="113">
        <v>35.54</v>
      </c>
      <c r="X16" s="113">
        <v>35.61</v>
      </c>
      <c r="Y16" s="113">
        <v>35.03</v>
      </c>
      <c r="Z16" s="113">
        <v>35.32</v>
      </c>
      <c r="AA16" s="111">
        <v>2970400</v>
      </c>
      <c r="AB16" s="110">
        <v>35.32</v>
      </c>
      <c r="AC16" s="2">
        <f t="shared" si="0"/>
        <v>0.57999999999999829</v>
      </c>
      <c r="AD16" s="148">
        <f t="shared" si="1"/>
        <v>-7.307476110174238E-3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42417</v>
      </c>
      <c r="W17" s="113">
        <v>35.299999999999997</v>
      </c>
      <c r="X17" s="113">
        <v>36.17</v>
      </c>
      <c r="Y17" s="113">
        <v>35.26</v>
      </c>
      <c r="Z17" s="113">
        <v>35.58</v>
      </c>
      <c r="AA17" s="111">
        <v>4466400</v>
      </c>
      <c r="AB17" s="110">
        <v>35.58</v>
      </c>
      <c r="AC17" s="2">
        <f t="shared" si="0"/>
        <v>0.91000000000000369</v>
      </c>
      <c r="AD17" s="148">
        <f t="shared" si="1"/>
        <v>1.3675213675213627E-2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42416</v>
      </c>
      <c r="W18" s="113">
        <v>34.549999999999997</v>
      </c>
      <c r="X18" s="113">
        <v>35.14</v>
      </c>
      <c r="Y18" s="113">
        <v>34.22</v>
      </c>
      <c r="Z18" s="113">
        <v>35.1</v>
      </c>
      <c r="AA18" s="111">
        <v>3380500</v>
      </c>
      <c r="AB18" s="110">
        <v>35.1</v>
      </c>
      <c r="AC18" s="2">
        <f t="shared" si="0"/>
        <v>0.92000000000000171</v>
      </c>
      <c r="AD18" s="148">
        <f t="shared" si="1"/>
        <v>2.7517564402810502E-2</v>
      </c>
    </row>
    <row r="19" spans="2:30" x14ac:dyDescent="0.25">
      <c r="V19" s="109">
        <v>42412</v>
      </c>
      <c r="W19" s="113">
        <v>33.57</v>
      </c>
      <c r="X19" s="113">
        <v>35.15</v>
      </c>
      <c r="Y19" s="113">
        <v>33.520000000000003</v>
      </c>
      <c r="Z19" s="113">
        <v>34.159999999999997</v>
      </c>
      <c r="AA19" s="111">
        <v>6366300</v>
      </c>
      <c r="AB19" s="110">
        <v>34.159999999999997</v>
      </c>
      <c r="AC19" s="2">
        <f t="shared" si="0"/>
        <v>1.6299999999999955</v>
      </c>
      <c r="AD19" s="148">
        <f t="shared" si="1"/>
        <v>3.1400966183574797E-2</v>
      </c>
    </row>
    <row r="20" spans="2:30" x14ac:dyDescent="0.25">
      <c r="V20" s="109">
        <v>42411</v>
      </c>
      <c r="W20" s="113">
        <v>33.85</v>
      </c>
      <c r="X20" s="113">
        <v>34.130000000000003</v>
      </c>
      <c r="Y20" s="113">
        <v>32.86</v>
      </c>
      <c r="Z20" s="113">
        <v>33.119999999999997</v>
      </c>
      <c r="AA20" s="111">
        <v>5885500</v>
      </c>
      <c r="AB20" s="110">
        <v>33.119999999999997</v>
      </c>
      <c r="AC20" s="2">
        <f t="shared" si="0"/>
        <v>1.2700000000000031</v>
      </c>
      <c r="AD20" s="148" t="e">
        <f t="shared" si="1"/>
        <v>#DIV/0!</v>
      </c>
    </row>
    <row r="21" spans="2:30" x14ac:dyDescent="0.25">
      <c r="V21" s="109">
        <v>42411</v>
      </c>
      <c r="W21" s="113" t="s">
        <v>243</v>
      </c>
      <c r="X21" s="113"/>
      <c r="Y21" s="113"/>
      <c r="Z21" s="113"/>
      <c r="AA21" s="111"/>
      <c r="AB21" s="110"/>
      <c r="AC21" s="2">
        <f t="shared" si="0"/>
        <v>0</v>
      </c>
      <c r="AD21" s="148">
        <f t="shared" si="1"/>
        <v>-1</v>
      </c>
    </row>
    <row r="22" spans="2:30" x14ac:dyDescent="0.25">
      <c r="V22" s="109">
        <v>42410</v>
      </c>
      <c r="W22" s="113">
        <v>35.270000000000003</v>
      </c>
      <c r="X22" s="113">
        <v>36.119999999999997</v>
      </c>
      <c r="Y22" s="113">
        <v>34.700000000000003</v>
      </c>
      <c r="Z22" s="113">
        <v>34.78</v>
      </c>
      <c r="AA22" s="111">
        <v>7779000</v>
      </c>
      <c r="AB22" s="110">
        <v>34.340000000000003</v>
      </c>
      <c r="AC22" s="2">
        <f t="shared" si="0"/>
        <v>1.4199999999999946</v>
      </c>
      <c r="AD22" s="148">
        <f t="shared" si="1"/>
        <v>-1.0089362928797807E-2</v>
      </c>
    </row>
    <row r="23" spans="2:30" x14ac:dyDescent="0.25">
      <c r="V23" s="109">
        <v>42409</v>
      </c>
      <c r="W23" s="113">
        <v>34.01</v>
      </c>
      <c r="X23" s="113">
        <v>35.200000000000003</v>
      </c>
      <c r="Y23" s="113">
        <v>33.75</v>
      </c>
      <c r="Z23" s="113">
        <v>35.130000000000003</v>
      </c>
      <c r="AA23" s="111">
        <v>6144000</v>
      </c>
      <c r="AB23" s="110">
        <v>34.69</v>
      </c>
      <c r="AC23" s="2">
        <f t="shared" si="0"/>
        <v>1.4500000000000028</v>
      </c>
      <c r="AD23" s="148">
        <f t="shared" si="1"/>
        <v>2.2399056881815538E-2</v>
      </c>
    </row>
    <row r="24" spans="2:30" x14ac:dyDescent="0.25">
      <c r="V24" s="109">
        <v>42408</v>
      </c>
      <c r="W24" s="113">
        <v>34.5</v>
      </c>
      <c r="X24" s="113">
        <v>34.61</v>
      </c>
      <c r="Y24" s="113">
        <v>33.72</v>
      </c>
      <c r="Z24" s="113">
        <v>34.36</v>
      </c>
      <c r="AA24" s="111">
        <v>4257100</v>
      </c>
      <c r="AB24" s="110">
        <v>33.93</v>
      </c>
      <c r="AC24" s="2">
        <f t="shared" si="0"/>
        <v>0.89000000000000057</v>
      </c>
      <c r="AD24" s="148">
        <f t="shared" si="1"/>
        <v>-1.7376194613379692E-2</v>
      </c>
    </row>
    <row r="25" spans="2:30" x14ac:dyDescent="0.25">
      <c r="V25" s="109">
        <v>42405</v>
      </c>
      <c r="W25" s="113">
        <v>35.06</v>
      </c>
      <c r="X25" s="113">
        <v>35.36</v>
      </c>
      <c r="Y25" s="113">
        <v>34.81</v>
      </c>
      <c r="Z25" s="113">
        <v>34.97</v>
      </c>
      <c r="AA25" s="111">
        <v>6531400</v>
      </c>
      <c r="AB25" s="110">
        <v>34.53</v>
      </c>
      <c r="AC25" s="2">
        <f t="shared" si="0"/>
        <v>0.54999999999999716</v>
      </c>
      <c r="AD25" s="148">
        <f t="shared" si="1"/>
        <v>-2.8876696505920618E-3</v>
      </c>
    </row>
    <row r="26" spans="2:30" x14ac:dyDescent="0.25">
      <c r="V26" s="109">
        <v>42404</v>
      </c>
      <c r="W26" s="113">
        <v>34.229999999999997</v>
      </c>
      <c r="X26" s="113">
        <v>35.39</v>
      </c>
      <c r="Y26" s="113">
        <v>33.9</v>
      </c>
      <c r="Z26" s="113">
        <v>35.07</v>
      </c>
      <c r="AA26" s="111">
        <v>6493900</v>
      </c>
      <c r="AB26" s="110">
        <v>34.630000000000003</v>
      </c>
      <c r="AC26" s="2">
        <f t="shared" si="0"/>
        <v>1.490000000000002</v>
      </c>
      <c r="AD26" s="148">
        <f t="shared" si="1"/>
        <v>2.637818612922338E-2</v>
      </c>
    </row>
    <row r="27" spans="2:30" x14ac:dyDescent="0.25">
      <c r="V27" s="109">
        <v>42403</v>
      </c>
      <c r="W27" s="113">
        <v>34.700000000000003</v>
      </c>
      <c r="X27" s="113">
        <v>35.479999999999997</v>
      </c>
      <c r="Y27" s="113">
        <v>33.06</v>
      </c>
      <c r="Z27" s="113">
        <v>34.17</v>
      </c>
      <c r="AA27" s="111">
        <v>8870700</v>
      </c>
      <c r="AB27" s="110">
        <v>33.74</v>
      </c>
      <c r="AC27" s="2">
        <f t="shared" si="0"/>
        <v>2.4199999999999946</v>
      </c>
      <c r="AD27" s="148">
        <f t="shared" si="1"/>
        <v>9.2731079868382249E-3</v>
      </c>
    </row>
    <row r="28" spans="2:30" x14ac:dyDescent="0.25">
      <c r="V28" s="109">
        <v>42402</v>
      </c>
      <c r="W28" s="113">
        <v>34.08</v>
      </c>
      <c r="X28" s="113">
        <v>34.090000000000003</v>
      </c>
      <c r="Y28" s="113">
        <v>33.479999999999997</v>
      </c>
      <c r="Z28" s="113">
        <v>33.86</v>
      </c>
      <c r="AA28" s="111">
        <v>5374200</v>
      </c>
      <c r="AB28" s="110">
        <v>33.43</v>
      </c>
      <c r="AC28" s="2">
        <f t="shared" si="0"/>
        <v>0.61000000000000654</v>
      </c>
      <c r="AD28" s="148">
        <f t="shared" si="1"/>
        <v>-6.8330362448008053E-3</v>
      </c>
    </row>
    <row r="29" spans="2:30" x14ac:dyDescent="0.25">
      <c r="V29" s="109">
        <v>42401</v>
      </c>
      <c r="W29" s="113">
        <v>34.03</v>
      </c>
      <c r="X29" s="113">
        <v>34.33</v>
      </c>
      <c r="Y29" s="113">
        <v>33.51</v>
      </c>
      <c r="Z29" s="113">
        <v>34.090000000000003</v>
      </c>
      <c r="AA29" s="111">
        <v>5573900</v>
      </c>
      <c r="AB29" s="110">
        <v>33.659999999999997</v>
      </c>
      <c r="AC29" s="2">
        <f t="shared" si="0"/>
        <v>0.82000000000000028</v>
      </c>
      <c r="AD29" s="148">
        <f t="shared" si="1"/>
        <v>-3.5523978685614299E-3</v>
      </c>
    </row>
    <row r="30" spans="2:30" x14ac:dyDescent="0.25">
      <c r="V30" s="109">
        <v>42398</v>
      </c>
      <c r="W30" s="113">
        <v>32.880000000000003</v>
      </c>
      <c r="X30" s="113">
        <v>34.22</v>
      </c>
      <c r="Y30" s="113">
        <v>32.83</v>
      </c>
      <c r="Z30" s="113">
        <v>34.21</v>
      </c>
      <c r="AA30" s="111">
        <v>6266000</v>
      </c>
      <c r="AB30" s="110">
        <v>33.78</v>
      </c>
      <c r="AC30" s="2">
        <f t="shared" si="0"/>
        <v>1.3900000000000006</v>
      </c>
      <c r="AD30" s="148">
        <f t="shared" si="1"/>
        <v>4.7766749379652529E-2</v>
      </c>
    </row>
    <row r="31" spans="2:30" x14ac:dyDescent="0.25">
      <c r="V31" s="109">
        <v>42397</v>
      </c>
      <c r="W31" s="113">
        <v>33.1</v>
      </c>
      <c r="X31" s="113">
        <v>33.24</v>
      </c>
      <c r="Y31" s="113">
        <v>32.56</v>
      </c>
      <c r="Z31" s="113">
        <v>32.65</v>
      </c>
      <c r="AA31" s="111">
        <v>4276100</v>
      </c>
      <c r="AB31" s="110">
        <v>32.24</v>
      </c>
      <c r="AC31" s="2">
        <f t="shared" si="0"/>
        <v>0.67999999999999972</v>
      </c>
      <c r="AD31" s="148">
        <f t="shared" si="1"/>
        <v>-7.6946752847030231E-3</v>
      </c>
    </row>
    <row r="32" spans="2:30" x14ac:dyDescent="0.25">
      <c r="V32" s="109">
        <v>42396</v>
      </c>
      <c r="W32" s="113">
        <v>32.770000000000003</v>
      </c>
      <c r="X32" s="113">
        <v>33.67</v>
      </c>
      <c r="Y32" s="113">
        <v>32.53</v>
      </c>
      <c r="Z32" s="113">
        <v>32.909999999999997</v>
      </c>
      <c r="AA32" s="111">
        <v>6765000</v>
      </c>
      <c r="AB32" s="110">
        <v>32.49</v>
      </c>
      <c r="AC32" s="2">
        <f t="shared" si="0"/>
        <v>1.1400000000000006</v>
      </c>
      <c r="AD32" s="148">
        <f t="shared" si="1"/>
        <v>1.2326656394452407E-3</v>
      </c>
    </row>
    <row r="33" spans="15:30" x14ac:dyDescent="0.25">
      <c r="V33" s="109">
        <v>42395</v>
      </c>
      <c r="W33" s="113">
        <v>32.81</v>
      </c>
      <c r="X33" s="113">
        <v>33.29</v>
      </c>
      <c r="Y33" s="113">
        <v>32.58</v>
      </c>
      <c r="Z33" s="113">
        <v>32.869999999999997</v>
      </c>
      <c r="AA33" s="111">
        <v>8396000</v>
      </c>
      <c r="AB33" s="110">
        <v>32.450000000000003</v>
      </c>
      <c r="AC33" s="2">
        <f t="shared" si="0"/>
        <v>0.71000000000000085</v>
      </c>
      <c r="AD33" s="148">
        <f t="shared" si="1"/>
        <v>8.7037612682623333E-3</v>
      </c>
    </row>
    <row r="34" spans="15:30" x14ac:dyDescent="0.25">
      <c r="V34" s="109">
        <v>42394</v>
      </c>
      <c r="W34" s="113">
        <v>34.979999999999997</v>
      </c>
      <c r="X34" s="113">
        <v>35.01</v>
      </c>
      <c r="Y34" s="113">
        <v>32.5</v>
      </c>
      <c r="Z34" s="113">
        <v>32.58</v>
      </c>
      <c r="AA34" s="111">
        <v>14645200</v>
      </c>
      <c r="AB34" s="110">
        <v>32.17</v>
      </c>
      <c r="AC34" s="2">
        <f t="shared" si="0"/>
        <v>2.509999999999998</v>
      </c>
      <c r="AD34" s="148">
        <f t="shared" si="1"/>
        <v>-0.10614059460961378</v>
      </c>
    </row>
    <row r="35" spans="15:30" x14ac:dyDescent="0.25">
      <c r="V35" s="109">
        <v>42391</v>
      </c>
      <c r="W35" s="113">
        <v>36.03</v>
      </c>
      <c r="X35" s="113">
        <v>36.799999999999997</v>
      </c>
      <c r="Y35" s="113">
        <v>36.03</v>
      </c>
      <c r="Z35" s="113">
        <v>36.450000000000003</v>
      </c>
      <c r="AA35" s="111">
        <v>3713800</v>
      </c>
      <c r="AB35" s="110">
        <v>35.99</v>
      </c>
      <c r="AC35" s="2">
        <f t="shared" si="0"/>
        <v>0.76999999999999602</v>
      </c>
      <c r="AD35" s="148">
        <f t="shared" si="1"/>
        <v>2.799200228506149E-2</v>
      </c>
    </row>
    <row r="36" spans="15:30" x14ac:dyDescent="0.25">
      <c r="V36" s="109">
        <v>42390</v>
      </c>
      <c r="W36" s="113">
        <v>35.450000000000003</v>
      </c>
      <c r="X36" s="113">
        <v>35.99</v>
      </c>
      <c r="Y36" s="113">
        <v>34.94</v>
      </c>
      <c r="Z36" s="113">
        <v>35.46</v>
      </c>
      <c r="AA36" s="111">
        <v>3355600</v>
      </c>
      <c r="AB36" s="110">
        <v>35.01</v>
      </c>
      <c r="AC36" s="2">
        <f t="shared" si="0"/>
        <v>1.0500000000000043</v>
      </c>
      <c r="AD36" s="148">
        <f t="shared" si="1"/>
        <v>4.8794489092995885E-3</v>
      </c>
    </row>
    <row r="37" spans="15:30" x14ac:dyDescent="0.25">
      <c r="V37" s="109">
        <v>42389</v>
      </c>
      <c r="W37" s="113">
        <v>35.07</v>
      </c>
      <c r="X37" s="113">
        <v>35.61</v>
      </c>
      <c r="Y37" s="113">
        <v>34.03</v>
      </c>
      <c r="Z37" s="113">
        <v>35.29</v>
      </c>
      <c r="AA37" s="111">
        <v>4650400</v>
      </c>
      <c r="AB37" s="110">
        <v>34.840000000000003</v>
      </c>
      <c r="AC37" s="2">
        <f t="shared" si="0"/>
        <v>1.5799999999999983</v>
      </c>
      <c r="AD37" s="148">
        <f t="shared" si="1"/>
        <v>-9.9460073884625189E-3</v>
      </c>
    </row>
    <row r="38" spans="15:30" x14ac:dyDescent="0.25">
      <c r="V38" s="109">
        <v>42388</v>
      </c>
      <c r="W38" s="113">
        <v>36.76</v>
      </c>
      <c r="X38" s="113">
        <v>36.83</v>
      </c>
      <c r="Y38" s="113">
        <v>35.020000000000003</v>
      </c>
      <c r="Z38" s="113">
        <v>35.64</v>
      </c>
      <c r="AA38" s="111">
        <v>4418100</v>
      </c>
      <c r="AB38" s="110">
        <v>35.19</v>
      </c>
      <c r="AC38" s="2">
        <f t="shared" si="0"/>
        <v>1.8099999999999952</v>
      </c>
      <c r="AD38" s="148">
        <f t="shared" si="1"/>
        <v>-2.141268075639613E-2</v>
      </c>
    </row>
    <row r="39" spans="15:30" x14ac:dyDescent="0.25">
      <c r="V39" s="109">
        <v>42384</v>
      </c>
      <c r="W39" s="113">
        <v>35.49</v>
      </c>
      <c r="X39" s="113">
        <v>36.799999999999997</v>
      </c>
      <c r="Y39" s="113">
        <v>35.49</v>
      </c>
      <c r="Z39" s="113">
        <v>36.42</v>
      </c>
      <c r="AA39" s="111">
        <v>5079700</v>
      </c>
      <c r="AB39" s="110">
        <v>35.96</v>
      </c>
      <c r="AC39" s="2">
        <f t="shared" si="0"/>
        <v>1.3099999999999952</v>
      </c>
      <c r="AD39" s="148">
        <f t="shared" si="1"/>
        <v>-3.3259423503325669E-3</v>
      </c>
    </row>
    <row r="40" spans="15:30" ht="20.25" thickBot="1" x14ac:dyDescent="0.35">
      <c r="O40" s="405" t="s">
        <v>78</v>
      </c>
      <c r="P40" s="405"/>
      <c r="S40" s="101" t="s">
        <v>116</v>
      </c>
      <c r="V40" s="109">
        <v>42383</v>
      </c>
      <c r="W40" s="113">
        <v>36.17</v>
      </c>
      <c r="X40" s="113">
        <v>36.79</v>
      </c>
      <c r="Y40" s="113">
        <v>35.69</v>
      </c>
      <c r="Z40" s="113">
        <v>36.54</v>
      </c>
      <c r="AA40" s="111">
        <v>4106100</v>
      </c>
      <c r="AB40" s="110">
        <v>36.08</v>
      </c>
      <c r="AC40" s="2">
        <f t="shared" si="0"/>
        <v>1.1000000000000014</v>
      </c>
      <c r="AD40" s="148">
        <f t="shared" si="1"/>
        <v>1.376791233492547E-2</v>
      </c>
    </row>
    <row r="41" spans="15:30" ht="15.75" thickTop="1" x14ac:dyDescent="0.25">
      <c r="O41" s="93">
        <v>1.1000000000000001</v>
      </c>
      <c r="P41" s="93">
        <f>O41*$Q$4</f>
        <v>42.405000000000001</v>
      </c>
      <c r="Q41" s="2"/>
      <c r="S41" s="107" t="s">
        <v>101</v>
      </c>
      <c r="T41" s="108">
        <v>37.83</v>
      </c>
      <c r="V41" s="109">
        <v>42382</v>
      </c>
      <c r="W41" s="113">
        <v>36.549999999999997</v>
      </c>
      <c r="X41" s="113">
        <v>37.049999999999997</v>
      </c>
      <c r="Y41" s="113">
        <v>35.979999999999997</v>
      </c>
      <c r="Z41" s="113">
        <v>36.049999999999997</v>
      </c>
      <c r="AA41" s="111">
        <v>3962300</v>
      </c>
      <c r="AB41" s="110">
        <v>35.590000000000003</v>
      </c>
      <c r="AC41" s="2">
        <f t="shared" si="0"/>
        <v>1.0700000000000003</v>
      </c>
      <c r="AD41" s="148">
        <f t="shared" si="1"/>
        <v>-8.3588743382556618E-3</v>
      </c>
    </row>
    <row r="42" spans="15:30" x14ac:dyDescent="0.25">
      <c r="O42" s="93">
        <v>1.0900000000000001</v>
      </c>
      <c r="P42" s="93">
        <f t="shared" ref="P42:P61" si="2">O42*$Q$4</f>
        <v>42.019500000000001</v>
      </c>
      <c r="Q42" s="2"/>
      <c r="S42" s="97" t="s">
        <v>102</v>
      </c>
      <c r="T42" s="98">
        <v>38.090000000000003</v>
      </c>
      <c r="V42" s="109">
        <v>42381</v>
      </c>
      <c r="W42" s="113">
        <v>36.72</v>
      </c>
      <c r="X42" s="113">
        <v>36.880000000000003</v>
      </c>
      <c r="Y42" s="113">
        <v>35.950000000000003</v>
      </c>
      <c r="Z42" s="113">
        <v>36.35</v>
      </c>
      <c r="AA42" s="111">
        <v>3960200</v>
      </c>
      <c r="AB42" s="110">
        <v>35.89</v>
      </c>
      <c r="AC42" s="2">
        <f t="shared" si="0"/>
        <v>0.92999999999999972</v>
      </c>
      <c r="AD42" s="148">
        <f t="shared" si="1"/>
        <v>-1.3912075681691283E-3</v>
      </c>
    </row>
    <row r="43" spans="15:30" x14ac:dyDescent="0.25">
      <c r="O43" s="93">
        <v>1.08</v>
      </c>
      <c r="P43" s="93">
        <f t="shared" si="2"/>
        <v>41.634</v>
      </c>
      <c r="Q43" s="2"/>
      <c r="S43" s="97" t="s">
        <v>103</v>
      </c>
      <c r="T43" s="98" t="s">
        <v>344</v>
      </c>
      <c r="V43" s="109">
        <v>42380</v>
      </c>
      <c r="W43" s="113">
        <v>36.18</v>
      </c>
      <c r="X43" s="113">
        <v>36.54</v>
      </c>
      <c r="Y43" s="113">
        <v>35.950000000000003</v>
      </c>
      <c r="Z43" s="113">
        <v>36.4</v>
      </c>
      <c r="AA43" s="111">
        <v>5870700</v>
      </c>
      <c r="AB43" s="110">
        <v>35.94</v>
      </c>
      <c r="AC43" s="2">
        <f t="shared" si="0"/>
        <v>0.58999999999999631</v>
      </c>
      <c r="AD43" s="148">
        <f t="shared" si="1"/>
        <v>1.3822284908321381E-2</v>
      </c>
    </row>
    <row r="44" spans="15:30" x14ac:dyDescent="0.25">
      <c r="O44" s="93">
        <v>1.07</v>
      </c>
      <c r="P44" s="93">
        <f t="shared" si="2"/>
        <v>41.2485</v>
      </c>
      <c r="Q44" s="2"/>
      <c r="S44" s="97" t="s">
        <v>104</v>
      </c>
      <c r="T44" s="98" t="s">
        <v>345</v>
      </c>
      <c r="V44" s="109">
        <v>42377</v>
      </c>
      <c r="W44" s="113">
        <v>36.299999999999997</v>
      </c>
      <c r="X44" s="113">
        <v>36.78</v>
      </c>
      <c r="Y44" s="113">
        <v>35.78</v>
      </c>
      <c r="Z44" s="113">
        <v>35.9</v>
      </c>
      <c r="AA44" s="111">
        <v>4781000</v>
      </c>
      <c r="AB44" s="110">
        <v>35.450000000000003</v>
      </c>
      <c r="AC44" s="2">
        <f t="shared" si="0"/>
        <v>1</v>
      </c>
      <c r="AD44" s="148">
        <f t="shared" si="1"/>
        <v>-1.0605637733742568E-2</v>
      </c>
    </row>
    <row r="45" spans="15:30" x14ac:dyDescent="0.25">
      <c r="O45" s="93">
        <v>1.06</v>
      </c>
      <c r="P45" s="93">
        <f t="shared" si="2"/>
        <v>40.863</v>
      </c>
      <c r="Q45" s="2"/>
      <c r="S45" s="97" t="s">
        <v>105</v>
      </c>
      <c r="T45" s="98">
        <v>43.27</v>
      </c>
      <c r="V45" s="109">
        <v>42376</v>
      </c>
      <c r="W45" s="113">
        <v>36.79</v>
      </c>
      <c r="X45" s="113">
        <v>37.22</v>
      </c>
      <c r="Y45" s="113">
        <v>36.18</v>
      </c>
      <c r="Z45" s="113">
        <v>36.29</v>
      </c>
      <c r="AA45" s="111">
        <v>4851900</v>
      </c>
      <c r="AB45" s="110">
        <v>35.83</v>
      </c>
      <c r="AC45" s="2">
        <f t="shared" si="0"/>
        <v>1.0399999999999991</v>
      </c>
      <c r="AD45" s="148">
        <f t="shared" si="1"/>
        <v>-2.9523293607800705E-2</v>
      </c>
    </row>
    <row r="46" spans="15:30" x14ac:dyDescent="0.25">
      <c r="O46" s="93">
        <v>1.05</v>
      </c>
      <c r="P46" s="93">
        <f t="shared" si="2"/>
        <v>40.477499999999999</v>
      </c>
      <c r="Q46" s="2"/>
      <c r="S46" s="97" t="s">
        <v>106</v>
      </c>
      <c r="T46" s="98">
        <v>1.4377800000000001</v>
      </c>
      <c r="V46" s="109">
        <v>42375</v>
      </c>
      <c r="W46" s="113">
        <v>37.47</v>
      </c>
      <c r="X46" s="113">
        <v>37.58</v>
      </c>
      <c r="Y46" s="113">
        <v>37.119999999999997</v>
      </c>
      <c r="Z46" s="113">
        <v>37.39</v>
      </c>
      <c r="AA46" s="111">
        <v>3536800</v>
      </c>
      <c r="AB46" s="110">
        <v>36.92</v>
      </c>
      <c r="AC46" s="2">
        <f t="shared" si="0"/>
        <v>0.46000000000000085</v>
      </c>
      <c r="AD46" s="148">
        <f t="shared" si="1"/>
        <v>-1.5729138896294237E-2</v>
      </c>
    </row>
    <row r="47" spans="15:30" x14ac:dyDescent="0.25">
      <c r="O47" s="93">
        <v>1.04</v>
      </c>
      <c r="P47" s="93">
        <f t="shared" si="2"/>
        <v>40.091999999999999</v>
      </c>
      <c r="Q47" s="2"/>
      <c r="S47" s="97" t="s">
        <v>107</v>
      </c>
      <c r="T47" s="99" t="s">
        <v>268</v>
      </c>
      <c r="V47" s="109">
        <v>42374</v>
      </c>
      <c r="W47" s="113">
        <v>37.79</v>
      </c>
      <c r="X47" s="113">
        <v>38</v>
      </c>
      <c r="Y47" s="113">
        <v>37.42</v>
      </c>
      <c r="Z47" s="113">
        <v>37.99</v>
      </c>
      <c r="AA47" s="111">
        <v>3313900</v>
      </c>
      <c r="AB47" s="110">
        <v>37.51</v>
      </c>
      <c r="AC47" s="2">
        <f t="shared" si="0"/>
        <v>0.57999999999999829</v>
      </c>
      <c r="AD47" s="148">
        <f t="shared" si="1"/>
        <v>8.6044635654745072E-3</v>
      </c>
    </row>
    <row r="48" spans="15:30" x14ac:dyDescent="0.25">
      <c r="O48" s="93">
        <v>1.03</v>
      </c>
      <c r="P48" s="93">
        <f t="shared" si="2"/>
        <v>39.706499999999998</v>
      </c>
      <c r="Q48" s="2"/>
      <c r="S48" s="97"/>
      <c r="T48" s="98"/>
      <c r="V48" s="109">
        <v>42373</v>
      </c>
      <c r="W48" s="113">
        <v>37.159999999999997</v>
      </c>
      <c r="X48" s="113">
        <v>37.67</v>
      </c>
      <c r="Y48" s="113">
        <v>36.86</v>
      </c>
      <c r="Z48" s="113">
        <v>37.67</v>
      </c>
      <c r="AA48" s="111">
        <v>4115100</v>
      </c>
      <c r="AB48" s="110">
        <v>37.19</v>
      </c>
      <c r="AC48" s="2">
        <f t="shared" si="0"/>
        <v>0.81000000000000227</v>
      </c>
      <c r="AD48" s="148">
        <f t="shared" si="1"/>
        <v>-8.0601826974746604E-4</v>
      </c>
    </row>
    <row r="49" spans="15:30" x14ac:dyDescent="0.25">
      <c r="O49" s="93">
        <v>1.02</v>
      </c>
      <c r="P49" s="93">
        <f t="shared" si="2"/>
        <v>39.320999999999998</v>
      </c>
      <c r="Q49" s="2"/>
      <c r="S49" s="97" t="s">
        <v>108</v>
      </c>
      <c r="T49" s="98" t="s">
        <v>346</v>
      </c>
      <c r="V49" s="109">
        <v>42369</v>
      </c>
      <c r="W49" s="113">
        <v>38.08</v>
      </c>
      <c r="X49" s="113">
        <v>38.200000000000003</v>
      </c>
      <c r="Y49" s="113">
        <v>37.69</v>
      </c>
      <c r="Z49" s="113">
        <v>37.700000000000003</v>
      </c>
      <c r="AA49" s="111">
        <v>2572500</v>
      </c>
      <c r="AB49" s="110">
        <v>37.22</v>
      </c>
      <c r="AC49" s="2">
        <f t="shared" si="0"/>
        <v>0.51000000000000512</v>
      </c>
      <c r="AD49" s="148">
        <f t="shared" si="1"/>
        <v>-1.3255567338282037E-2</v>
      </c>
    </row>
    <row r="50" spans="15:30" x14ac:dyDescent="0.25">
      <c r="O50" s="93">
        <v>1.01</v>
      </c>
      <c r="P50" s="93">
        <f t="shared" si="2"/>
        <v>38.935499999999998</v>
      </c>
      <c r="Q50" s="2"/>
      <c r="S50" s="97" t="s">
        <v>109</v>
      </c>
      <c r="T50" s="98" t="s">
        <v>301</v>
      </c>
      <c r="V50" s="109">
        <v>42368</v>
      </c>
      <c r="W50" s="113">
        <v>38.520000000000003</v>
      </c>
      <c r="X50" s="113">
        <v>38.79</v>
      </c>
      <c r="Y50" s="113">
        <v>38.159999999999997</v>
      </c>
      <c r="Z50" s="113">
        <v>38.200000000000003</v>
      </c>
      <c r="AA50" s="111">
        <v>2425200</v>
      </c>
      <c r="AB50" s="110">
        <v>37.72</v>
      </c>
      <c r="AC50" s="2">
        <f t="shared" si="0"/>
        <v>0.63000000000000256</v>
      </c>
      <c r="AD50" s="148">
        <f t="shared" si="1"/>
        <v>-1.1530398322851076E-2</v>
      </c>
    </row>
    <row r="51" spans="15:30" x14ac:dyDescent="0.25">
      <c r="O51" s="93">
        <v>1</v>
      </c>
      <c r="P51" s="93">
        <f t="shared" si="2"/>
        <v>38.549999999999997</v>
      </c>
      <c r="Q51" s="2"/>
      <c r="S51" s="97" t="s">
        <v>110</v>
      </c>
      <c r="T51" s="100">
        <v>3928122</v>
      </c>
      <c r="V51" s="109">
        <v>42367</v>
      </c>
      <c r="W51" s="113">
        <v>38.36</v>
      </c>
      <c r="X51" s="113">
        <v>38.75</v>
      </c>
      <c r="Y51" s="113">
        <v>38.21</v>
      </c>
      <c r="Z51" s="113">
        <v>38.65</v>
      </c>
      <c r="AA51" s="111">
        <v>2885200</v>
      </c>
      <c r="AB51" s="110">
        <v>38.159999999999997</v>
      </c>
      <c r="AC51" s="2">
        <f t="shared" si="0"/>
        <v>0.53999999999999915</v>
      </c>
      <c r="AD51" s="148">
        <f t="shared" si="1"/>
        <v>1.381509032943673E-2</v>
      </c>
    </row>
    <row r="52" spans="15:30" x14ac:dyDescent="0.25">
      <c r="O52" s="93">
        <v>0.99</v>
      </c>
      <c r="P52" s="93">
        <f t="shared" si="2"/>
        <v>38.164499999999997</v>
      </c>
      <c r="Q52" s="2"/>
      <c r="S52" s="97" t="s">
        <v>113</v>
      </c>
      <c r="T52" s="100">
        <v>4520330</v>
      </c>
      <c r="V52" s="109">
        <v>42366</v>
      </c>
      <c r="W52" s="113">
        <v>38.35</v>
      </c>
      <c r="X52" s="113">
        <v>38.44</v>
      </c>
      <c r="Y52" s="113">
        <v>37.96</v>
      </c>
      <c r="Z52" s="113">
        <v>38.119999999999997</v>
      </c>
      <c r="AA52" s="111">
        <v>2243600</v>
      </c>
      <c r="AB52" s="110">
        <v>37.64</v>
      </c>
      <c r="AC52" s="2">
        <f t="shared" si="0"/>
        <v>0.47999999999999687</v>
      </c>
      <c r="AD52" s="148">
        <f t="shared" si="1"/>
        <v>-1.025506179332103E-2</v>
      </c>
    </row>
    <row r="53" spans="15:30" x14ac:dyDescent="0.25">
      <c r="O53" s="93">
        <v>0.98</v>
      </c>
      <c r="P53" s="93">
        <f t="shared" si="2"/>
        <v>37.778999999999996</v>
      </c>
      <c r="Q53" s="2"/>
      <c r="S53" s="97" t="s">
        <v>111</v>
      </c>
      <c r="T53" s="98" t="s">
        <v>347</v>
      </c>
      <c r="V53" s="109">
        <v>42362</v>
      </c>
      <c r="W53" s="113">
        <v>38.380000000000003</v>
      </c>
      <c r="X53" s="113">
        <v>38.72</v>
      </c>
      <c r="Y53" s="113">
        <v>38.270000000000003</v>
      </c>
      <c r="Z53" s="113">
        <v>38.520000000000003</v>
      </c>
      <c r="AA53" s="111">
        <v>1147700</v>
      </c>
      <c r="AB53" s="110">
        <v>38.03</v>
      </c>
      <c r="AC53" s="2">
        <f t="shared" si="0"/>
        <v>0.44999999999999574</v>
      </c>
      <c r="AD53" s="148">
        <f t="shared" si="1"/>
        <v>4.7556142668427892E-3</v>
      </c>
    </row>
    <row r="54" spans="15:30" x14ac:dyDescent="0.25">
      <c r="O54" s="93">
        <v>0.97</v>
      </c>
      <c r="P54" s="93">
        <f t="shared" si="2"/>
        <v>37.393499999999996</v>
      </c>
      <c r="S54" s="97" t="s">
        <v>114</v>
      </c>
      <c r="T54" s="98">
        <v>17.29</v>
      </c>
      <c r="V54" s="109">
        <v>42361</v>
      </c>
      <c r="W54" s="113">
        <v>37.94</v>
      </c>
      <c r="X54" s="113">
        <v>38.35</v>
      </c>
      <c r="Y54" s="113">
        <v>37.729999999999997</v>
      </c>
      <c r="Z54" s="113">
        <v>38.33</v>
      </c>
      <c r="AA54" s="111">
        <v>2512000</v>
      </c>
      <c r="AB54" s="110">
        <v>37.85</v>
      </c>
      <c r="AC54" s="2">
        <f t="shared" si="0"/>
        <v>0.62000000000000455</v>
      </c>
      <c r="AD54" s="148">
        <f t="shared" si="1"/>
        <v>1.8294323379069111E-2</v>
      </c>
    </row>
    <row r="55" spans="15:30" x14ac:dyDescent="0.25">
      <c r="O55" s="93">
        <v>0.96</v>
      </c>
      <c r="P55" s="93">
        <f t="shared" si="2"/>
        <v>37.007999999999996</v>
      </c>
      <c r="S55" s="97" t="s">
        <v>115</v>
      </c>
      <c r="T55" s="98">
        <v>2.23</v>
      </c>
      <c r="V55" s="109">
        <v>42360</v>
      </c>
      <c r="W55" s="113">
        <v>37.39</v>
      </c>
      <c r="X55" s="113">
        <v>37.869999999999997</v>
      </c>
      <c r="Y55" s="113">
        <v>37.1</v>
      </c>
      <c r="Z55" s="113">
        <v>37.65</v>
      </c>
      <c r="AA55" s="111">
        <v>3716100</v>
      </c>
      <c r="AB55" s="110">
        <v>37.17</v>
      </c>
      <c r="AC55" s="2">
        <f t="shared" si="0"/>
        <v>0.76999999999999602</v>
      </c>
      <c r="AD55" s="148">
        <f t="shared" si="1"/>
        <v>9.2316046701059751E-3</v>
      </c>
    </row>
    <row r="56" spans="15:30" x14ac:dyDescent="0.25">
      <c r="O56" s="93">
        <v>0.95</v>
      </c>
      <c r="P56" s="93">
        <f t="shared" si="2"/>
        <v>36.622499999999995</v>
      </c>
      <c r="S56" s="97" t="s">
        <v>112</v>
      </c>
      <c r="T56" s="98" t="s">
        <v>308</v>
      </c>
      <c r="V56" s="109">
        <v>42359</v>
      </c>
      <c r="W56" s="113">
        <v>37.200000000000003</v>
      </c>
      <c r="X56" s="113">
        <v>37.61</v>
      </c>
      <c r="Y56" s="113">
        <v>36.950000000000003</v>
      </c>
      <c r="Z56" s="113">
        <v>37.299999999999997</v>
      </c>
      <c r="AA56" s="111">
        <v>2973600</v>
      </c>
      <c r="AB56" s="110">
        <v>36.83</v>
      </c>
      <c r="AC56" s="2">
        <f t="shared" si="0"/>
        <v>0.65999999999999659</v>
      </c>
      <c r="AD56" s="148">
        <f t="shared" si="1"/>
        <v>1.37627305257364E-2</v>
      </c>
    </row>
    <row r="57" spans="15:30" x14ac:dyDescent="0.25">
      <c r="O57" s="93">
        <v>0.94</v>
      </c>
      <c r="P57" s="93">
        <f t="shared" si="2"/>
        <v>36.236999999999995</v>
      </c>
      <c r="V57" s="109">
        <v>42356</v>
      </c>
      <c r="W57" s="113">
        <v>37.54</v>
      </c>
      <c r="X57" s="113">
        <v>37.58</v>
      </c>
      <c r="Y57" s="113">
        <v>36.76</v>
      </c>
      <c r="Z57" s="113">
        <v>36.799999999999997</v>
      </c>
      <c r="AA57" s="111">
        <v>6255600</v>
      </c>
      <c r="AB57" s="110">
        <v>36.33</v>
      </c>
      <c r="AC57" s="2">
        <f t="shared" si="0"/>
        <v>0.82000000000000028</v>
      </c>
      <c r="AD57" s="148">
        <f t="shared" si="1"/>
        <v>-2.4436090225564033E-2</v>
      </c>
    </row>
    <row r="58" spans="15:30" x14ac:dyDescent="0.25">
      <c r="O58" s="93">
        <v>0.93</v>
      </c>
      <c r="P58" s="93">
        <f t="shared" si="2"/>
        <v>35.851500000000001</v>
      </c>
      <c r="V58" s="109">
        <v>42355</v>
      </c>
      <c r="W58" s="113">
        <v>38.69</v>
      </c>
      <c r="X58" s="113">
        <v>38.75</v>
      </c>
      <c r="Y58" s="113">
        <v>37.72</v>
      </c>
      <c r="Z58" s="113">
        <v>37.72</v>
      </c>
      <c r="AA58" s="111">
        <v>3402100</v>
      </c>
      <c r="AB58" s="110">
        <v>37.24</v>
      </c>
      <c r="AC58" s="2">
        <f t="shared" si="0"/>
        <v>1.0300000000000011</v>
      </c>
      <c r="AD58" s="148">
        <f t="shared" si="1"/>
        <v>-2.2315568390653739E-2</v>
      </c>
    </row>
    <row r="59" spans="15:30" x14ac:dyDescent="0.25">
      <c r="O59" s="93">
        <v>0.92</v>
      </c>
      <c r="P59" s="93">
        <f t="shared" si="2"/>
        <v>35.466000000000001</v>
      </c>
      <c r="V59" s="109">
        <v>42354</v>
      </c>
      <c r="W59" s="113">
        <v>38.380000000000003</v>
      </c>
      <c r="X59" s="113">
        <v>38.659999999999997</v>
      </c>
      <c r="Y59" s="113">
        <v>37.76</v>
      </c>
      <c r="Z59" s="113">
        <v>38.58</v>
      </c>
      <c r="AA59" s="111">
        <v>3488900</v>
      </c>
      <c r="AB59" s="110">
        <v>38.090000000000003</v>
      </c>
      <c r="AC59" s="2">
        <f t="shared" si="0"/>
        <v>0.89999999999999858</v>
      </c>
      <c r="AD59" s="148">
        <f t="shared" si="1"/>
        <v>1.0881104033970468E-2</v>
      </c>
    </row>
    <row r="60" spans="15:30" x14ac:dyDescent="0.25">
      <c r="O60" s="93">
        <v>0.91</v>
      </c>
      <c r="P60" s="93">
        <f t="shared" si="2"/>
        <v>35.080500000000001</v>
      </c>
      <c r="V60" s="109">
        <v>42353</v>
      </c>
      <c r="W60" s="113">
        <v>37.97</v>
      </c>
      <c r="X60" s="113">
        <v>38.450000000000003</v>
      </c>
      <c r="Y60" s="113">
        <v>37.82</v>
      </c>
      <c r="Z60" s="113">
        <v>38.159999999999997</v>
      </c>
      <c r="AA60" s="111">
        <v>4033000</v>
      </c>
      <c r="AB60" s="110">
        <v>37.68</v>
      </c>
      <c r="AC60" s="2">
        <f t="shared" si="0"/>
        <v>0.63000000000000256</v>
      </c>
      <c r="AD60" s="148">
        <f t="shared" si="1"/>
        <v>1.5907252628740709E-2</v>
      </c>
    </row>
    <row r="61" spans="15:30" x14ac:dyDescent="0.25">
      <c r="O61" s="93">
        <v>0.9</v>
      </c>
      <c r="P61" s="93">
        <f t="shared" si="2"/>
        <v>34.695</v>
      </c>
      <c r="V61" s="109">
        <v>42352</v>
      </c>
      <c r="W61" s="113">
        <v>38.07</v>
      </c>
      <c r="X61" s="113">
        <v>38.18</v>
      </c>
      <c r="Y61" s="113">
        <v>37.29</v>
      </c>
      <c r="Z61" s="113">
        <v>37.57</v>
      </c>
      <c r="AA61" s="111">
        <v>3312800</v>
      </c>
      <c r="AB61" s="110">
        <v>37.090000000000003</v>
      </c>
      <c r="AC61" s="2">
        <f t="shared" si="0"/>
        <v>0.89000000000000057</v>
      </c>
      <c r="AD61" s="148">
        <f t="shared" si="1"/>
        <v>-1.4873837981407623E-2</v>
      </c>
    </row>
    <row r="62" spans="15:30" x14ac:dyDescent="0.25">
      <c r="V62" s="109">
        <v>42349</v>
      </c>
      <c r="W62" s="113">
        <v>38.5</v>
      </c>
      <c r="X62" s="113">
        <v>38.6</v>
      </c>
      <c r="Y62" s="113">
        <v>38.020000000000003</v>
      </c>
      <c r="Z62" s="113">
        <v>38.130000000000003</v>
      </c>
      <c r="AA62" s="111">
        <v>2541600</v>
      </c>
      <c r="AB62" s="110">
        <v>37.65</v>
      </c>
      <c r="AC62" s="2">
        <f t="shared" si="0"/>
        <v>0.57999999999999829</v>
      </c>
      <c r="AD62" s="148">
        <f t="shared" si="1"/>
        <v>-1.6200679383329142E-2</v>
      </c>
    </row>
    <row r="63" spans="15:30" x14ac:dyDescent="0.25">
      <c r="V63" s="109">
        <v>42348</v>
      </c>
      <c r="W63" s="113">
        <v>39.340000000000003</v>
      </c>
      <c r="X63" s="113">
        <v>39.51</v>
      </c>
      <c r="Y63" s="113">
        <v>38.72</v>
      </c>
      <c r="Z63" s="113">
        <v>38.76</v>
      </c>
      <c r="AA63" s="111">
        <v>2326000</v>
      </c>
      <c r="AB63" s="110">
        <v>38.270000000000003</v>
      </c>
      <c r="AC63" s="2">
        <f t="shared" si="0"/>
        <v>0.78999999999999915</v>
      </c>
      <c r="AD63" s="148">
        <f t="shared" si="1"/>
        <v>-1.6195372750642534E-2</v>
      </c>
    </row>
    <row r="64" spans="15:30" x14ac:dyDescent="0.25">
      <c r="V64" s="109">
        <v>42347</v>
      </c>
      <c r="W64" s="113">
        <v>39.11</v>
      </c>
      <c r="X64" s="113">
        <v>39.93</v>
      </c>
      <c r="Y64" s="113">
        <v>39.090000000000003</v>
      </c>
      <c r="Z64" s="113">
        <v>39.4</v>
      </c>
      <c r="AA64" s="111">
        <v>2796400</v>
      </c>
      <c r="AB64" s="110">
        <v>38.9</v>
      </c>
      <c r="AC64" s="2">
        <f t="shared" si="0"/>
        <v>0.83999999999999631</v>
      </c>
      <c r="AD64" s="148">
        <f t="shared" si="1"/>
        <v>2.5773195876288568E-3</v>
      </c>
    </row>
    <row r="65" spans="22:30" x14ac:dyDescent="0.25">
      <c r="V65" s="109">
        <v>42346</v>
      </c>
      <c r="W65" s="113">
        <v>39.36</v>
      </c>
      <c r="X65" s="113">
        <v>39.92</v>
      </c>
      <c r="Y65" s="113">
        <v>39.159999999999997</v>
      </c>
      <c r="Z65" s="113">
        <v>39.299999999999997</v>
      </c>
      <c r="AA65" s="111">
        <v>2944900</v>
      </c>
      <c r="AB65" s="110">
        <v>38.799999999999997</v>
      </c>
      <c r="AC65" s="2">
        <f t="shared" si="0"/>
        <v>0.76000000000000512</v>
      </c>
      <c r="AD65" s="148">
        <f t="shared" si="1"/>
        <v>-1.2219959266802527E-2</v>
      </c>
    </row>
    <row r="66" spans="22:30" x14ac:dyDescent="0.25">
      <c r="V66" s="109">
        <v>42345</v>
      </c>
      <c r="W66" s="113">
        <v>39.950000000000003</v>
      </c>
      <c r="X66" s="113">
        <v>40.06</v>
      </c>
      <c r="Y66" s="113">
        <v>39.47</v>
      </c>
      <c r="Z66" s="113">
        <v>39.78</v>
      </c>
      <c r="AA66" s="111">
        <v>2136500</v>
      </c>
      <c r="AB66" s="110">
        <v>39.28</v>
      </c>
      <c r="AC66" s="2">
        <f t="shared" si="0"/>
        <v>0.59000000000000341</v>
      </c>
      <c r="AD66" s="148">
        <f t="shared" si="1"/>
        <v>-1.1077542799597162E-2</v>
      </c>
    </row>
    <row r="67" spans="22:30" x14ac:dyDescent="0.25">
      <c r="V67" s="109">
        <v>42342</v>
      </c>
      <c r="W67" s="113">
        <v>39.65</v>
      </c>
      <c r="X67" s="113">
        <v>40.33</v>
      </c>
      <c r="Y67" s="113">
        <v>39.340000000000003</v>
      </c>
      <c r="Z67" s="113">
        <v>40.229999999999997</v>
      </c>
      <c r="AA67" s="111">
        <v>3137100</v>
      </c>
      <c r="AB67" s="110">
        <v>39.72</v>
      </c>
      <c r="AC67" s="2">
        <f>X67-Y67</f>
        <v>0.98999999999999488</v>
      </c>
      <c r="AD67" s="148">
        <f>AB67/AB68-1</f>
        <v>1.5597034006647803E-2</v>
      </c>
    </row>
    <row r="68" spans="22:30" x14ac:dyDescent="0.25">
      <c r="V68" s="109">
        <v>42341</v>
      </c>
      <c r="W68" s="113">
        <v>40.049999999999997</v>
      </c>
      <c r="X68" s="113">
        <v>40.450000000000003</v>
      </c>
      <c r="Y68" s="113">
        <v>39.380000000000003</v>
      </c>
      <c r="Z68" s="113">
        <v>39.61</v>
      </c>
      <c r="AA68" s="111">
        <v>4519900</v>
      </c>
      <c r="AB68" s="110">
        <v>39.11</v>
      </c>
      <c r="AC68" s="2">
        <f>X68-Y68</f>
        <v>1.0700000000000003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42438</v>
      </c>
      <c r="W2" s="113">
        <v>30.83</v>
      </c>
      <c r="X2" s="113">
        <v>31.04</v>
      </c>
      <c r="Y2" s="113">
        <v>30.67</v>
      </c>
      <c r="Z2" s="113">
        <v>30.87</v>
      </c>
      <c r="AA2" s="111">
        <v>14572800</v>
      </c>
      <c r="AB2" s="110">
        <v>30.87</v>
      </c>
      <c r="AC2" s="2">
        <f>X2-Y2</f>
        <v>0.36999999999999744</v>
      </c>
      <c r="AD2" s="148">
        <f>AB2/AB3-1</f>
        <v>1.0143979057591679E-2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30.864999999999998</v>
      </c>
      <c r="S3" s="125"/>
      <c r="T3" s="20"/>
      <c r="U3" s="20"/>
      <c r="V3" s="109">
        <v>42437</v>
      </c>
      <c r="W3" s="113">
        <v>30.83</v>
      </c>
      <c r="X3" s="113">
        <v>30.88</v>
      </c>
      <c r="Y3" s="113">
        <v>30.38</v>
      </c>
      <c r="Z3" s="113">
        <v>30.56</v>
      </c>
      <c r="AA3" s="111">
        <v>18850600</v>
      </c>
      <c r="AB3" s="110">
        <v>30.56</v>
      </c>
      <c r="AC3" s="2">
        <f t="shared" ref="AC3:AC66" si="2">X3-Y3</f>
        <v>0.5</v>
      </c>
      <c r="AD3" s="148">
        <f t="shared" ref="AD3:AD66" si="3">AB3/AB4-1</f>
        <v>-1.2281835811247643E-2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30.864999999999998</v>
      </c>
      <c r="V4" s="109">
        <v>42436</v>
      </c>
      <c r="W4" s="113">
        <v>30.59</v>
      </c>
      <c r="X4" s="113">
        <v>31.12</v>
      </c>
      <c r="Y4" s="113">
        <v>30.5</v>
      </c>
      <c r="Z4" s="113">
        <v>30.94</v>
      </c>
      <c r="AA4" s="111">
        <v>18858200</v>
      </c>
      <c r="AB4" s="110">
        <v>30.94</v>
      </c>
      <c r="AC4" s="2">
        <f t="shared" si="2"/>
        <v>0.62000000000000099</v>
      </c>
      <c r="AD4" s="148">
        <f t="shared" si="3"/>
        <v>1.0120796604636162E-2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42433</v>
      </c>
      <c r="W5" s="113">
        <v>30.5</v>
      </c>
      <c r="X5" s="113">
        <v>30.86</v>
      </c>
      <c r="Y5" s="113">
        <v>30.05</v>
      </c>
      <c r="Z5" s="113">
        <v>30.63</v>
      </c>
      <c r="AA5" s="111">
        <v>20169900</v>
      </c>
      <c r="AB5" s="110">
        <v>30.63</v>
      </c>
      <c r="AC5" s="2">
        <f t="shared" si="2"/>
        <v>0.80999999999999872</v>
      </c>
      <c r="AD5" s="148">
        <f t="shared" si="3"/>
        <v>1.6350555918902554E-3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42432</v>
      </c>
      <c r="W6" s="113">
        <v>31.13</v>
      </c>
      <c r="X6" s="113">
        <v>31.35</v>
      </c>
      <c r="Y6" s="113">
        <v>30.54</v>
      </c>
      <c r="Z6" s="113">
        <v>30.58</v>
      </c>
      <c r="AA6" s="111">
        <v>25608800</v>
      </c>
      <c r="AB6" s="110">
        <v>30.58</v>
      </c>
      <c r="AC6" s="2">
        <f t="shared" si="2"/>
        <v>0.81000000000000227</v>
      </c>
      <c r="AD6" s="148">
        <f t="shared" si="3"/>
        <v>1.3097576948264411E-3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42431</v>
      </c>
      <c r="W7" s="113">
        <v>30.3</v>
      </c>
      <c r="X7" s="113">
        <v>30.87</v>
      </c>
      <c r="Y7" s="113">
        <v>30.12</v>
      </c>
      <c r="Z7" s="113">
        <v>30.54</v>
      </c>
      <c r="AA7" s="111">
        <v>23418500</v>
      </c>
      <c r="AB7" s="110">
        <v>30.54</v>
      </c>
      <c r="AC7" s="2">
        <f t="shared" si="2"/>
        <v>0.75</v>
      </c>
      <c r="AD7" s="148">
        <f t="shared" si="3"/>
        <v>5.5976292393808968E-3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42430</v>
      </c>
      <c r="W8" s="113">
        <v>29.93</v>
      </c>
      <c r="X8" s="113">
        <v>30.53</v>
      </c>
      <c r="Y8" s="113">
        <v>29.75</v>
      </c>
      <c r="Z8" s="113">
        <v>30.37</v>
      </c>
      <c r="AA8" s="111">
        <v>25355600</v>
      </c>
      <c r="AB8" s="110">
        <v>30.37</v>
      </c>
      <c r="AC8" s="2">
        <f t="shared" si="2"/>
        <v>0.78000000000000114</v>
      </c>
      <c r="AD8" s="148">
        <f t="shared" si="3"/>
        <v>2.6360256843528163E-2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42429</v>
      </c>
      <c r="W9" s="113">
        <v>29.72</v>
      </c>
      <c r="X9" s="113">
        <v>30.14</v>
      </c>
      <c r="Y9" s="113">
        <v>29.58</v>
      </c>
      <c r="Z9" s="113">
        <v>29.59</v>
      </c>
      <c r="AA9" s="111">
        <v>21616500</v>
      </c>
      <c r="AB9" s="110">
        <v>29.59</v>
      </c>
      <c r="AC9" s="2">
        <f t="shared" si="2"/>
        <v>0.56000000000000227</v>
      </c>
      <c r="AD9" s="148">
        <f t="shared" si="3"/>
        <v>-7.0469798657718519E-3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42426</v>
      </c>
      <c r="W10" s="113">
        <v>29.88</v>
      </c>
      <c r="X10" s="113">
        <v>30.08</v>
      </c>
      <c r="Y10" s="113">
        <v>29.7</v>
      </c>
      <c r="Z10" s="113">
        <v>29.8</v>
      </c>
      <c r="AA10" s="111">
        <v>19878200</v>
      </c>
      <c r="AB10" s="110">
        <v>29.8</v>
      </c>
      <c r="AC10" s="2">
        <f t="shared" si="2"/>
        <v>0.37999999999999901</v>
      </c>
      <c r="AD10" s="148">
        <f t="shared" si="3"/>
        <v>6.076975016880537E-3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42425</v>
      </c>
      <c r="W11" s="113">
        <v>29.32</v>
      </c>
      <c r="X11" s="113">
        <v>29.62</v>
      </c>
      <c r="Y11" s="113">
        <v>28.95</v>
      </c>
      <c r="Z11" s="113">
        <v>29.62</v>
      </c>
      <c r="AA11" s="111">
        <v>17311000</v>
      </c>
      <c r="AB11" s="110">
        <v>29.62</v>
      </c>
      <c r="AC11" s="2">
        <f t="shared" si="2"/>
        <v>0.67000000000000171</v>
      </c>
      <c r="AD11" s="148">
        <f t="shared" si="3"/>
        <v>1.4731072285029123E-2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42424</v>
      </c>
      <c r="W12" s="113">
        <v>28.52</v>
      </c>
      <c r="X12" s="113">
        <v>29.3</v>
      </c>
      <c r="Y12" s="113">
        <v>28.38</v>
      </c>
      <c r="Z12" s="113">
        <v>29.19</v>
      </c>
      <c r="AA12" s="111">
        <v>21444600</v>
      </c>
      <c r="AB12" s="110">
        <v>29.19</v>
      </c>
      <c r="AC12" s="2">
        <f t="shared" si="2"/>
        <v>0.92000000000000171</v>
      </c>
      <c r="AD12" s="148">
        <f t="shared" si="3"/>
        <v>1.3541666666666785E-2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42423</v>
      </c>
      <c r="W13" s="113">
        <v>29.3</v>
      </c>
      <c r="X13" s="113">
        <v>29.35</v>
      </c>
      <c r="Y13" s="113">
        <v>28.6</v>
      </c>
      <c r="Z13" s="113">
        <v>28.8</v>
      </c>
      <c r="AA13" s="111">
        <v>26432900</v>
      </c>
      <c r="AB13" s="110">
        <v>28.8</v>
      </c>
      <c r="AC13" s="2">
        <f t="shared" si="2"/>
        <v>0.75</v>
      </c>
      <c r="AD13" s="148">
        <f t="shared" si="3"/>
        <v>-1.8739352640545159E-2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42422</v>
      </c>
      <c r="W14" s="113">
        <v>29.11</v>
      </c>
      <c r="X14" s="113">
        <v>29.54</v>
      </c>
      <c r="Y14" s="113">
        <v>29</v>
      </c>
      <c r="Z14" s="113">
        <v>29.35</v>
      </c>
      <c r="AA14" s="111">
        <v>23750400</v>
      </c>
      <c r="AB14" s="110">
        <v>29.35</v>
      </c>
      <c r="AC14" s="2">
        <f t="shared" si="2"/>
        <v>0.53999999999999915</v>
      </c>
      <c r="AD14" s="148">
        <f t="shared" si="3"/>
        <v>2.2291884360849945E-2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42419</v>
      </c>
      <c r="W15" s="113">
        <v>29.2</v>
      </c>
      <c r="X15" s="113">
        <v>29.33</v>
      </c>
      <c r="Y15" s="113">
        <v>28.71</v>
      </c>
      <c r="Z15" s="113">
        <v>28.71</v>
      </c>
      <c r="AA15" s="111">
        <v>41618800</v>
      </c>
      <c r="AB15" s="110">
        <v>28.71</v>
      </c>
      <c r="AC15" s="2">
        <f t="shared" si="2"/>
        <v>0.61999999999999744</v>
      </c>
      <c r="AD15" s="148">
        <f t="shared" si="3"/>
        <v>-2.4133242692046308E-2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42418</v>
      </c>
      <c r="W16" s="113">
        <v>29.53</v>
      </c>
      <c r="X16" s="113">
        <v>29.76</v>
      </c>
      <c r="Y16" s="113">
        <v>29.38</v>
      </c>
      <c r="Z16" s="113">
        <v>29.42</v>
      </c>
      <c r="AA16" s="111">
        <v>20261500</v>
      </c>
      <c r="AB16" s="110">
        <v>29.42</v>
      </c>
      <c r="AC16" s="2">
        <f t="shared" si="2"/>
        <v>0.38000000000000256</v>
      </c>
      <c r="AD16" s="148">
        <f t="shared" si="3"/>
        <v>-1.6966406515098731E-3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42417</v>
      </c>
      <c r="W17" s="113">
        <v>28.86</v>
      </c>
      <c r="X17" s="113">
        <v>29.62</v>
      </c>
      <c r="Y17" s="113">
        <v>28.73</v>
      </c>
      <c r="Z17" s="113">
        <v>29.47</v>
      </c>
      <c r="AA17" s="111">
        <v>27295100</v>
      </c>
      <c r="AB17" s="110">
        <v>29.47</v>
      </c>
      <c r="AC17" s="2">
        <f t="shared" si="2"/>
        <v>0.89000000000000057</v>
      </c>
      <c r="AD17" s="148">
        <f t="shared" si="3"/>
        <v>2.3974982626824071E-2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42416</v>
      </c>
      <c r="W18" s="113">
        <v>28.75</v>
      </c>
      <c r="X18" s="113">
        <v>28.95</v>
      </c>
      <c r="Y18" s="113">
        <v>28.36</v>
      </c>
      <c r="Z18" s="113">
        <v>28.78</v>
      </c>
      <c r="AA18" s="111">
        <v>30354200</v>
      </c>
      <c r="AB18" s="110">
        <v>28.78</v>
      </c>
      <c r="AC18" s="2">
        <f t="shared" si="2"/>
        <v>0.58999999999999986</v>
      </c>
      <c r="AD18" s="148">
        <f t="shared" si="3"/>
        <v>4.8882681564246244E-3</v>
      </c>
    </row>
    <row r="19" spans="1:30" x14ac:dyDescent="0.25">
      <c r="E19" s="2"/>
      <c r="G19" s="2"/>
      <c r="I19" s="2"/>
      <c r="K19" s="2"/>
      <c r="V19" s="109">
        <v>42412</v>
      </c>
      <c r="W19" s="113">
        <v>28.57</v>
      </c>
      <c r="X19" s="113">
        <v>28.7</v>
      </c>
      <c r="Y19" s="113">
        <v>28.14</v>
      </c>
      <c r="Z19" s="113">
        <v>28.64</v>
      </c>
      <c r="AA19" s="111">
        <v>19507900</v>
      </c>
      <c r="AB19" s="110">
        <v>28.64</v>
      </c>
      <c r="AC19" s="2">
        <f t="shared" si="2"/>
        <v>0.55999999999999872</v>
      </c>
      <c r="AD19" s="148">
        <f t="shared" si="3"/>
        <v>1.4883061658398367E-2</v>
      </c>
    </row>
    <row r="20" spans="1:30" x14ac:dyDescent="0.25">
      <c r="V20" s="109">
        <v>42411</v>
      </c>
      <c r="W20" s="113">
        <v>27.83</v>
      </c>
      <c r="X20" s="113">
        <v>28.41</v>
      </c>
      <c r="Y20" s="113">
        <v>27.68</v>
      </c>
      <c r="Z20" s="113">
        <v>28.22</v>
      </c>
      <c r="AA20" s="111">
        <v>28142600</v>
      </c>
      <c r="AB20" s="110">
        <v>28.22</v>
      </c>
      <c r="AC20" s="2">
        <f t="shared" si="2"/>
        <v>0.73000000000000043</v>
      </c>
      <c r="AD20" s="148">
        <f t="shared" si="3"/>
        <v>-3.5423308537019249E-4</v>
      </c>
    </row>
    <row r="21" spans="1:30" x14ac:dyDescent="0.25">
      <c r="V21" s="109">
        <v>42410</v>
      </c>
      <c r="W21" s="113">
        <v>28.88</v>
      </c>
      <c r="X21" s="113">
        <v>29</v>
      </c>
      <c r="Y21" s="113">
        <v>28.19</v>
      </c>
      <c r="Z21" s="113">
        <v>28.23</v>
      </c>
      <c r="AA21" s="111">
        <v>26850900</v>
      </c>
      <c r="AB21" s="110">
        <v>28.23</v>
      </c>
      <c r="AC21" s="2">
        <f t="shared" si="2"/>
        <v>0.80999999999999872</v>
      </c>
      <c r="AD21" s="148">
        <f t="shared" si="3"/>
        <v>-2.013189864630327E-2</v>
      </c>
    </row>
    <row r="22" spans="1:30" x14ac:dyDescent="0.25">
      <c r="V22" s="109">
        <v>42409</v>
      </c>
      <c r="W22" s="113">
        <v>28.49</v>
      </c>
      <c r="X22" s="113">
        <v>29.15</v>
      </c>
      <c r="Y22" s="113">
        <v>28.41</v>
      </c>
      <c r="Z22" s="113">
        <v>28.81</v>
      </c>
      <c r="AA22" s="111">
        <v>22710600</v>
      </c>
      <c r="AB22" s="110">
        <v>28.81</v>
      </c>
      <c r="AC22" s="2">
        <f t="shared" si="2"/>
        <v>0.73999999999999844</v>
      </c>
      <c r="AD22" s="148">
        <f t="shared" si="3"/>
        <v>-3.4698126301180299E-4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42408</v>
      </c>
      <c r="W23" s="113">
        <v>28.74</v>
      </c>
      <c r="X23" s="113">
        <v>28.98</v>
      </c>
      <c r="Y23" s="113">
        <v>28.3</v>
      </c>
      <c r="Z23" s="113">
        <v>28.82</v>
      </c>
      <c r="AA23" s="111">
        <v>28623800</v>
      </c>
      <c r="AB23" s="110">
        <v>28.82</v>
      </c>
      <c r="AC23" s="2">
        <f t="shared" si="2"/>
        <v>0.67999999999999972</v>
      </c>
      <c r="AD23" s="148">
        <f t="shared" si="3"/>
        <v>-7.575757575757569E-3</v>
      </c>
    </row>
    <row r="24" spans="1:30" x14ac:dyDescent="0.25">
      <c r="V24" s="109">
        <v>42405</v>
      </c>
      <c r="W24" s="113">
        <v>29.58</v>
      </c>
      <c r="X24" s="113">
        <v>29.76</v>
      </c>
      <c r="Y24" s="113">
        <v>28.91</v>
      </c>
      <c r="Z24" s="113">
        <v>29.04</v>
      </c>
      <c r="AA24" s="111">
        <v>27429400</v>
      </c>
      <c r="AB24" s="110">
        <v>29.04</v>
      </c>
      <c r="AC24" s="2">
        <f t="shared" si="2"/>
        <v>0.85000000000000142</v>
      </c>
      <c r="AD24" s="148">
        <f t="shared" si="3"/>
        <v>-2.4521330198186142E-2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62" t="s">
        <v>177</v>
      </c>
      <c r="V25" s="109">
        <v>42404</v>
      </c>
      <c r="W25" s="113">
        <v>29.14</v>
      </c>
      <c r="X25" s="113">
        <v>29.88</v>
      </c>
      <c r="Y25" s="113">
        <v>29.11</v>
      </c>
      <c r="Z25" s="113">
        <v>29.77</v>
      </c>
      <c r="AA25" s="111">
        <v>29109700</v>
      </c>
      <c r="AB25" s="110">
        <v>29.77</v>
      </c>
      <c r="AC25" s="2">
        <f t="shared" si="2"/>
        <v>0.76999999999999957</v>
      </c>
      <c r="AD25" s="148">
        <f t="shared" si="3"/>
        <v>1.4655760054532951E-2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42403</v>
      </c>
      <c r="W26" s="113">
        <v>29.72</v>
      </c>
      <c r="X26" s="113">
        <v>29.72</v>
      </c>
      <c r="Y26" s="113">
        <v>28.52</v>
      </c>
      <c r="Z26" s="113">
        <v>29.34</v>
      </c>
      <c r="AA26" s="111">
        <v>44632000</v>
      </c>
      <c r="AB26" s="110">
        <v>29.34</v>
      </c>
      <c r="AC26" s="2">
        <f t="shared" si="2"/>
        <v>1.1999999999999993</v>
      </c>
      <c r="AD26" s="148" t="e">
        <f t="shared" si="3"/>
        <v>#DIV/0!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42403</v>
      </c>
      <c r="W27" s="113" t="s">
        <v>146</v>
      </c>
      <c r="X27" s="113"/>
      <c r="Y27" s="113"/>
      <c r="Z27" s="113"/>
      <c r="AA27" s="111"/>
      <c r="AB27" s="110"/>
      <c r="AC27" s="2">
        <f t="shared" si="2"/>
        <v>0</v>
      </c>
      <c r="AD27" s="148">
        <f t="shared" si="3"/>
        <v>-1</v>
      </c>
    </row>
    <row r="28" spans="1:30" x14ac:dyDescent="0.25">
      <c r="B28" s="12"/>
      <c r="C28" s="12"/>
      <c r="D28" s="43"/>
      <c r="E28" s="43"/>
      <c r="F28" s="43"/>
      <c r="G28" s="43"/>
      <c r="V28" s="109">
        <v>42402</v>
      </c>
      <c r="W28" s="113">
        <v>30.45</v>
      </c>
      <c r="X28" s="113">
        <v>30.49</v>
      </c>
      <c r="Y28" s="113">
        <v>29.63</v>
      </c>
      <c r="Z28" s="113">
        <v>29.8</v>
      </c>
      <c r="AA28" s="111">
        <v>24994300</v>
      </c>
      <c r="AB28" s="110">
        <v>29.54</v>
      </c>
      <c r="AC28" s="2">
        <f t="shared" si="2"/>
        <v>0.85999999999999943</v>
      </c>
      <c r="AD28" s="148">
        <f t="shared" si="3"/>
        <v>-3.3060556464811874E-2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42401</v>
      </c>
      <c r="W29" s="113">
        <v>30.72</v>
      </c>
      <c r="X29" s="113">
        <v>31.12</v>
      </c>
      <c r="Y29" s="113">
        <v>30.64</v>
      </c>
      <c r="Z29" s="113">
        <v>30.82</v>
      </c>
      <c r="AA29" s="111">
        <v>19015100</v>
      </c>
      <c r="AB29" s="110">
        <v>30.55</v>
      </c>
      <c r="AC29" s="2">
        <f t="shared" si="2"/>
        <v>0.48000000000000043</v>
      </c>
      <c r="AD29" s="148">
        <f t="shared" si="3"/>
        <v>-6.5040650406503753E-3</v>
      </c>
    </row>
    <row r="30" spans="1:30" x14ac:dyDescent="0.25">
      <c r="B30" s="12"/>
      <c r="C30" s="12"/>
      <c r="D30" s="43"/>
      <c r="E30" s="43"/>
      <c r="F30" s="43"/>
      <c r="G30" s="43"/>
      <c r="V30" s="109">
        <v>42398</v>
      </c>
      <c r="W30" s="113">
        <v>30.21</v>
      </c>
      <c r="X30" s="113">
        <v>31.03</v>
      </c>
      <c r="Y30" s="113">
        <v>30.1</v>
      </c>
      <c r="Z30" s="113">
        <v>31.02</v>
      </c>
      <c r="AA30" s="111">
        <v>38311400</v>
      </c>
      <c r="AB30" s="110">
        <v>30.75</v>
      </c>
      <c r="AC30" s="2">
        <f t="shared" si="2"/>
        <v>0.92999999999999972</v>
      </c>
      <c r="AD30" s="148">
        <f t="shared" si="3"/>
        <v>3.5005048805116123E-2</v>
      </c>
    </row>
    <row r="31" spans="1:30" x14ac:dyDescent="0.25">
      <c r="B31" s="12"/>
      <c r="C31" s="12"/>
      <c r="D31" s="43"/>
      <c r="E31" s="43"/>
      <c r="F31" s="43"/>
      <c r="G31" s="43"/>
      <c r="V31" s="109">
        <v>42397</v>
      </c>
      <c r="W31" s="113">
        <v>30.02</v>
      </c>
      <c r="X31" s="113">
        <v>30.18</v>
      </c>
      <c r="Y31" s="113">
        <v>29.75</v>
      </c>
      <c r="Z31" s="113">
        <v>29.97</v>
      </c>
      <c r="AA31" s="111">
        <v>22028100</v>
      </c>
      <c r="AB31" s="110">
        <v>29.71</v>
      </c>
      <c r="AC31" s="2">
        <f t="shared" si="2"/>
        <v>0.42999999999999972</v>
      </c>
      <c r="AD31" s="148">
        <f t="shared" si="3"/>
        <v>5.4145516074450839E-3</v>
      </c>
    </row>
    <row r="32" spans="1:30" x14ac:dyDescent="0.25">
      <c r="B32" s="12"/>
      <c r="C32" s="12"/>
      <c r="D32" s="43"/>
      <c r="E32" s="43"/>
      <c r="F32" s="43"/>
      <c r="G32" s="43"/>
      <c r="V32" s="109">
        <v>42396</v>
      </c>
      <c r="W32" s="113">
        <v>29.88</v>
      </c>
      <c r="X32" s="113">
        <v>30.22</v>
      </c>
      <c r="Y32" s="113">
        <v>29.64</v>
      </c>
      <c r="Z32" s="113">
        <v>29.81</v>
      </c>
      <c r="AA32" s="111">
        <v>26384100</v>
      </c>
      <c r="AB32" s="110">
        <v>29.55</v>
      </c>
      <c r="AC32" s="2">
        <f t="shared" si="2"/>
        <v>0.57999999999999829</v>
      </c>
      <c r="AD32" s="148">
        <f t="shared" si="3"/>
        <v>-4.3800539083557188E-3</v>
      </c>
    </row>
    <row r="33" spans="2:30" x14ac:dyDescent="0.25">
      <c r="B33" s="12"/>
      <c r="C33" s="12"/>
      <c r="D33" s="43"/>
      <c r="E33" s="43"/>
      <c r="F33" s="43"/>
      <c r="G33" s="43"/>
      <c r="V33" s="109">
        <v>42395</v>
      </c>
      <c r="W33" s="113">
        <v>29.61</v>
      </c>
      <c r="X33" s="113">
        <v>30.05</v>
      </c>
      <c r="Y33" s="113">
        <v>29.61</v>
      </c>
      <c r="Z33" s="113">
        <v>29.94</v>
      </c>
      <c r="AA33" s="111">
        <v>24754900</v>
      </c>
      <c r="AB33" s="110">
        <v>29.68</v>
      </c>
      <c r="AC33" s="2">
        <f t="shared" si="2"/>
        <v>0.44000000000000128</v>
      </c>
      <c r="AD33" s="148">
        <f t="shared" si="3"/>
        <v>1.1588275391956282E-2</v>
      </c>
    </row>
    <row r="34" spans="2:30" x14ac:dyDescent="0.25">
      <c r="B34" s="12"/>
      <c r="C34" s="12"/>
      <c r="D34" s="43"/>
      <c r="E34" s="43"/>
      <c r="F34" s="43"/>
      <c r="G34" s="43"/>
      <c r="V34" s="109">
        <v>42394</v>
      </c>
      <c r="W34" s="113">
        <v>29.99</v>
      </c>
      <c r="X34" s="113">
        <v>30.22</v>
      </c>
      <c r="Y34" s="113">
        <v>29.57</v>
      </c>
      <c r="Z34" s="113">
        <v>29.6</v>
      </c>
      <c r="AA34" s="111">
        <v>26441000</v>
      </c>
      <c r="AB34" s="110">
        <v>29.34</v>
      </c>
      <c r="AC34" s="2">
        <f t="shared" si="2"/>
        <v>0.64999999999999858</v>
      </c>
      <c r="AD34" s="148">
        <f t="shared" si="3"/>
        <v>-1.1122345803842304E-2</v>
      </c>
    </row>
    <row r="35" spans="2:30" x14ac:dyDescent="0.25">
      <c r="B35" s="12"/>
      <c r="C35" s="12"/>
      <c r="D35" s="43"/>
      <c r="E35" s="43"/>
      <c r="F35" s="43"/>
      <c r="G35" s="43"/>
      <c r="V35" s="109">
        <v>42391</v>
      </c>
      <c r="W35" s="113">
        <v>30.12</v>
      </c>
      <c r="X35" s="113">
        <v>30.24</v>
      </c>
      <c r="Y35" s="113">
        <v>29.51</v>
      </c>
      <c r="Z35" s="113">
        <v>29.93</v>
      </c>
      <c r="AA35" s="111">
        <v>25326500</v>
      </c>
      <c r="AB35" s="110">
        <v>29.67</v>
      </c>
      <c r="AC35" s="2">
        <f t="shared" si="2"/>
        <v>0.72999999999999687</v>
      </c>
      <c r="AD35" s="148">
        <f t="shared" si="3"/>
        <v>9.1836734693877542E-3</v>
      </c>
    </row>
    <row r="36" spans="2:30" x14ac:dyDescent="0.25">
      <c r="V36" s="109">
        <v>42390</v>
      </c>
      <c r="W36" s="113">
        <v>29.65</v>
      </c>
      <c r="X36" s="113">
        <v>30.03</v>
      </c>
      <c r="Y36" s="113">
        <v>29.24</v>
      </c>
      <c r="Z36" s="113">
        <v>29.66</v>
      </c>
      <c r="AA36" s="111">
        <v>30157400</v>
      </c>
      <c r="AB36" s="110">
        <v>29.4</v>
      </c>
      <c r="AC36" s="2">
        <f t="shared" si="2"/>
        <v>0.7900000000000027</v>
      </c>
      <c r="AD36" s="148">
        <f t="shared" si="3"/>
        <v>2.3866348448686736E-3</v>
      </c>
    </row>
    <row r="37" spans="2:30" x14ac:dyDescent="0.25">
      <c r="V37" s="109">
        <v>42389</v>
      </c>
      <c r="W37" s="113">
        <v>29.35</v>
      </c>
      <c r="X37" s="113">
        <v>29.87</v>
      </c>
      <c r="Y37" s="113">
        <v>29.21</v>
      </c>
      <c r="Z37" s="113">
        <v>29.59</v>
      </c>
      <c r="AA37" s="111">
        <v>39598200</v>
      </c>
      <c r="AB37" s="110">
        <v>29.33</v>
      </c>
      <c r="AC37" s="2">
        <f t="shared" si="2"/>
        <v>0.66000000000000014</v>
      </c>
      <c r="AD37" s="148">
        <f t="shared" si="3"/>
        <v>-7.1090047393365108E-3</v>
      </c>
    </row>
    <row r="38" spans="2:30" x14ac:dyDescent="0.25">
      <c r="V38" s="109">
        <v>42388</v>
      </c>
      <c r="W38" s="113">
        <v>29.98</v>
      </c>
      <c r="X38" s="113">
        <v>30.06</v>
      </c>
      <c r="Y38" s="113">
        <v>29.48</v>
      </c>
      <c r="Z38" s="113">
        <v>29.8</v>
      </c>
      <c r="AA38" s="111">
        <v>28878100</v>
      </c>
      <c r="AB38" s="110">
        <v>29.54</v>
      </c>
      <c r="AC38" s="2">
        <f t="shared" si="2"/>
        <v>0.57999999999999829</v>
      </c>
      <c r="AD38" s="148">
        <f t="shared" si="3"/>
        <v>1.3559322033898091E-3</v>
      </c>
    </row>
    <row r="39" spans="2:30" x14ac:dyDescent="0.25">
      <c r="V39" s="109">
        <v>42384</v>
      </c>
      <c r="W39" s="113">
        <v>29.73</v>
      </c>
      <c r="X39" s="113">
        <v>30.5</v>
      </c>
      <c r="Y39" s="113">
        <v>29.45</v>
      </c>
      <c r="Z39" s="113">
        <v>29.76</v>
      </c>
      <c r="AA39" s="111">
        <v>76373900</v>
      </c>
      <c r="AB39" s="110">
        <v>29.5</v>
      </c>
      <c r="AC39" s="2">
        <f t="shared" si="2"/>
        <v>1.0500000000000007</v>
      </c>
      <c r="AD39" s="148">
        <f t="shared" si="3"/>
        <v>-9.0909090909090939E-2</v>
      </c>
    </row>
    <row r="40" spans="2:30" ht="20.25" thickBot="1" x14ac:dyDescent="0.35">
      <c r="O40" s="405" t="s">
        <v>78</v>
      </c>
      <c r="P40" s="405"/>
      <c r="S40" s="101" t="s">
        <v>116</v>
      </c>
      <c r="V40" s="109">
        <v>42383</v>
      </c>
      <c r="W40" s="113">
        <v>31.97</v>
      </c>
      <c r="X40" s="113">
        <v>32.869999999999997</v>
      </c>
      <c r="Y40" s="113">
        <v>31.8</v>
      </c>
      <c r="Z40" s="113">
        <v>32.74</v>
      </c>
      <c r="AA40" s="111">
        <v>48728200</v>
      </c>
      <c r="AB40" s="110">
        <v>32.450000000000003</v>
      </c>
      <c r="AC40" s="2">
        <f t="shared" si="2"/>
        <v>1.0699999999999967</v>
      </c>
      <c r="AD40" s="148">
        <f t="shared" si="3"/>
        <v>2.5924754979449904E-2</v>
      </c>
    </row>
    <row r="41" spans="2:30" ht="15.75" thickTop="1" x14ac:dyDescent="0.25">
      <c r="O41" s="93">
        <v>1.1000000000000001</v>
      </c>
      <c r="P41" s="93">
        <f>O41*$Q$4</f>
        <v>33.951500000000003</v>
      </c>
      <c r="Q41" s="2"/>
      <c r="S41" s="107" t="s">
        <v>101</v>
      </c>
      <c r="T41" s="108">
        <v>30.56</v>
      </c>
      <c r="V41" s="109">
        <v>42382</v>
      </c>
      <c r="W41" s="113">
        <v>32.76</v>
      </c>
      <c r="X41" s="113">
        <v>32.93</v>
      </c>
      <c r="Y41" s="113">
        <v>31.83</v>
      </c>
      <c r="Z41" s="113">
        <v>31.91</v>
      </c>
      <c r="AA41" s="111">
        <v>34445700</v>
      </c>
      <c r="AB41" s="110">
        <v>31.63</v>
      </c>
      <c r="AC41" s="2">
        <f t="shared" si="2"/>
        <v>1.1000000000000014</v>
      </c>
      <c r="AD41" s="148">
        <f t="shared" si="3"/>
        <v>-2.3464032108675537E-2</v>
      </c>
    </row>
    <row r="42" spans="2:30" x14ac:dyDescent="0.25">
      <c r="O42" s="93">
        <v>1.0900000000000001</v>
      </c>
      <c r="P42" s="93">
        <f t="shared" ref="P42:P61" si="4">O42*$Q$4</f>
        <v>33.642850000000003</v>
      </c>
      <c r="Q42" s="2"/>
      <c r="S42" s="97" t="s">
        <v>102</v>
      </c>
      <c r="T42" s="98">
        <v>30.83</v>
      </c>
      <c r="V42" s="109">
        <v>42381</v>
      </c>
      <c r="W42" s="113">
        <v>32.76</v>
      </c>
      <c r="X42" s="113">
        <v>32.89</v>
      </c>
      <c r="Y42" s="113">
        <v>32.270000000000003</v>
      </c>
      <c r="Z42" s="113">
        <v>32.68</v>
      </c>
      <c r="AA42" s="111">
        <v>28587700</v>
      </c>
      <c r="AB42" s="110">
        <v>32.39</v>
      </c>
      <c r="AC42" s="2">
        <f t="shared" si="2"/>
        <v>0.61999999999999744</v>
      </c>
      <c r="AD42" s="148">
        <f t="shared" si="3"/>
        <v>1.919446192573937E-2</v>
      </c>
    </row>
    <row r="43" spans="2:30" x14ac:dyDescent="0.25">
      <c r="O43" s="93">
        <v>1.08</v>
      </c>
      <c r="P43" s="93">
        <f t="shared" si="4"/>
        <v>33.334200000000003</v>
      </c>
      <c r="Q43" s="2"/>
      <c r="S43" s="97" t="s">
        <v>103</v>
      </c>
      <c r="T43" s="98" t="s">
        <v>348</v>
      </c>
      <c r="V43" s="109">
        <v>42380</v>
      </c>
      <c r="W43" s="113">
        <v>31.81</v>
      </c>
      <c r="X43" s="113">
        <v>32.22</v>
      </c>
      <c r="Y43" s="113">
        <v>31.68</v>
      </c>
      <c r="Z43" s="113">
        <v>32.06</v>
      </c>
      <c r="AA43" s="111">
        <v>27732400</v>
      </c>
      <c r="AB43" s="110">
        <v>31.78</v>
      </c>
      <c r="AC43" s="2">
        <f t="shared" si="2"/>
        <v>0.53999999999999915</v>
      </c>
      <c r="AD43" s="148">
        <f t="shared" si="3"/>
        <v>1.7285531370038409E-2</v>
      </c>
    </row>
    <row r="44" spans="2:30" x14ac:dyDescent="0.25">
      <c r="O44" s="93">
        <v>1.07</v>
      </c>
      <c r="P44" s="93">
        <f t="shared" si="4"/>
        <v>33.025550000000003</v>
      </c>
      <c r="Q44" s="2"/>
      <c r="S44" s="97" t="s">
        <v>104</v>
      </c>
      <c r="T44" s="98" t="s">
        <v>349</v>
      </c>
      <c r="V44" s="109">
        <v>42377</v>
      </c>
      <c r="W44" s="113">
        <v>32.090000000000003</v>
      </c>
      <c r="X44" s="113">
        <v>32.22</v>
      </c>
      <c r="Y44" s="113">
        <v>31.43</v>
      </c>
      <c r="Z44" s="113">
        <v>31.51</v>
      </c>
      <c r="AA44" s="111">
        <v>29953800</v>
      </c>
      <c r="AB44" s="110">
        <v>31.24</v>
      </c>
      <c r="AC44" s="2">
        <f t="shared" si="2"/>
        <v>0.78999999999999915</v>
      </c>
      <c r="AD44" s="148">
        <f t="shared" si="3"/>
        <v>-1.0139416983523497E-2</v>
      </c>
    </row>
    <row r="45" spans="2:30" x14ac:dyDescent="0.25">
      <c r="O45" s="93">
        <v>1.06</v>
      </c>
      <c r="P45" s="93">
        <f t="shared" si="4"/>
        <v>32.716900000000003</v>
      </c>
      <c r="Q45" s="2"/>
      <c r="S45" s="97" t="s">
        <v>105</v>
      </c>
      <c r="T45" s="98">
        <v>36.049999999999997</v>
      </c>
      <c r="V45" s="109">
        <v>42376</v>
      </c>
      <c r="W45" s="113">
        <v>32.28</v>
      </c>
      <c r="X45" s="113">
        <v>33.01</v>
      </c>
      <c r="Y45" s="113">
        <v>31.84</v>
      </c>
      <c r="Z45" s="113">
        <v>31.84</v>
      </c>
      <c r="AA45" s="111">
        <v>37680500</v>
      </c>
      <c r="AB45" s="110">
        <v>31.56</v>
      </c>
      <c r="AC45" s="2">
        <f t="shared" si="2"/>
        <v>1.1699999999999982</v>
      </c>
      <c r="AD45" s="148">
        <f t="shared" si="3"/>
        <v>-3.7511436413540711E-2</v>
      </c>
    </row>
    <row r="46" spans="2:30" x14ac:dyDescent="0.25">
      <c r="O46" s="93">
        <v>1.05</v>
      </c>
      <c r="P46" s="93">
        <f t="shared" si="4"/>
        <v>32.408250000000002</v>
      </c>
      <c r="Q46" s="2"/>
      <c r="S46" s="97" t="s">
        <v>106</v>
      </c>
      <c r="T46" s="98">
        <v>1.0309299999999999</v>
      </c>
      <c r="V46" s="109">
        <v>42375</v>
      </c>
      <c r="W46" s="113">
        <v>33.25</v>
      </c>
      <c r="X46" s="113">
        <v>33.520000000000003</v>
      </c>
      <c r="Y46" s="113">
        <v>32.799999999999997</v>
      </c>
      <c r="Z46" s="113">
        <v>33.08</v>
      </c>
      <c r="AA46" s="111">
        <v>25491300</v>
      </c>
      <c r="AB46" s="110">
        <v>32.79</v>
      </c>
      <c r="AC46" s="2">
        <f t="shared" si="2"/>
        <v>0.72000000000000597</v>
      </c>
      <c r="AD46" s="148">
        <f t="shared" si="3"/>
        <v>-2.2069788249329036E-2</v>
      </c>
    </row>
    <row r="47" spans="2:30" x14ac:dyDescent="0.25">
      <c r="O47" s="93">
        <v>1.04</v>
      </c>
      <c r="P47" s="93">
        <f t="shared" si="4"/>
        <v>32.099600000000002</v>
      </c>
      <c r="Q47" s="2"/>
      <c r="S47" s="97" t="s">
        <v>107</v>
      </c>
      <c r="T47" s="99" t="s">
        <v>251</v>
      </c>
      <c r="V47" s="109">
        <v>42374</v>
      </c>
      <c r="W47" s="113">
        <v>33.96</v>
      </c>
      <c r="X47" s="113">
        <v>34</v>
      </c>
      <c r="Y47" s="113">
        <v>33.53</v>
      </c>
      <c r="Z47" s="113">
        <v>33.83</v>
      </c>
      <c r="AA47" s="111">
        <v>16709500</v>
      </c>
      <c r="AB47" s="110">
        <v>33.53</v>
      </c>
      <c r="AC47" s="2">
        <f t="shared" si="2"/>
        <v>0.46999999999999886</v>
      </c>
      <c r="AD47" s="148">
        <f t="shared" si="3"/>
        <v>-4.7491837340456478E-3</v>
      </c>
    </row>
    <row r="48" spans="2:30" x14ac:dyDescent="0.25">
      <c r="O48" s="93">
        <v>1.03</v>
      </c>
      <c r="P48" s="93">
        <f t="shared" si="4"/>
        <v>31.790949999999999</v>
      </c>
      <c r="Q48" s="2"/>
      <c r="S48" s="97"/>
      <c r="T48" s="98"/>
      <c r="V48" s="109">
        <v>42373</v>
      </c>
      <c r="W48" s="113">
        <v>33.880000000000003</v>
      </c>
      <c r="X48" s="113">
        <v>34.01</v>
      </c>
      <c r="Y48" s="113">
        <v>33.46</v>
      </c>
      <c r="Z48" s="113">
        <v>33.99</v>
      </c>
      <c r="AA48" s="111">
        <v>27882200</v>
      </c>
      <c r="AB48" s="110">
        <v>33.69</v>
      </c>
      <c r="AC48" s="2">
        <f t="shared" si="2"/>
        <v>0.54999999999999716</v>
      </c>
      <c r="AD48" s="148">
        <f t="shared" si="3"/>
        <v>-1.3469985358711578E-2</v>
      </c>
    </row>
    <row r="49" spans="15:30" x14ac:dyDescent="0.25">
      <c r="O49" s="93">
        <v>1.02</v>
      </c>
      <c r="P49" s="93">
        <f t="shared" si="4"/>
        <v>31.482299999999999</v>
      </c>
      <c r="Q49" s="2"/>
      <c r="S49" s="97" t="s">
        <v>108</v>
      </c>
      <c r="T49" s="98" t="s">
        <v>350</v>
      </c>
      <c r="V49" s="109">
        <v>42369</v>
      </c>
      <c r="W49" s="113">
        <v>34.82</v>
      </c>
      <c r="X49" s="113">
        <v>34.96</v>
      </c>
      <c r="Y49" s="113">
        <v>34.44</v>
      </c>
      <c r="Z49" s="113">
        <v>34.450000000000003</v>
      </c>
      <c r="AA49" s="111">
        <v>14736700</v>
      </c>
      <c r="AB49" s="110">
        <v>34.15</v>
      </c>
      <c r="AC49" s="2">
        <f t="shared" si="2"/>
        <v>0.52000000000000313</v>
      </c>
      <c r="AD49" s="148">
        <f t="shared" si="3"/>
        <v>-1.5282583621683998E-2</v>
      </c>
    </row>
    <row r="50" spans="15:30" x14ac:dyDescent="0.25">
      <c r="O50" s="93">
        <v>1.01</v>
      </c>
      <c r="P50" s="93">
        <f t="shared" si="4"/>
        <v>31.173649999999999</v>
      </c>
      <c r="Q50" s="2"/>
      <c r="S50" s="97" t="s">
        <v>109</v>
      </c>
      <c r="T50" s="98" t="s">
        <v>252</v>
      </c>
      <c r="V50" s="109">
        <v>42368</v>
      </c>
      <c r="W50" s="113">
        <v>35.380000000000003</v>
      </c>
      <c r="X50" s="113">
        <v>35.450000000000003</v>
      </c>
      <c r="Y50" s="113">
        <v>34.950000000000003</v>
      </c>
      <c r="Z50" s="113">
        <v>34.99</v>
      </c>
      <c r="AA50" s="111">
        <v>11566800</v>
      </c>
      <c r="AB50" s="110">
        <v>34.68</v>
      </c>
      <c r="AC50" s="2">
        <f t="shared" si="2"/>
        <v>0.5</v>
      </c>
      <c r="AD50" s="148">
        <f t="shared" si="3"/>
        <v>-1.2809564474807966E-2</v>
      </c>
    </row>
    <row r="51" spans="15:30" x14ac:dyDescent="0.25">
      <c r="O51" s="93">
        <v>1</v>
      </c>
      <c r="P51" s="93">
        <f t="shared" si="4"/>
        <v>30.864999999999998</v>
      </c>
      <c r="Q51" s="2"/>
      <c r="S51" s="97" t="s">
        <v>110</v>
      </c>
      <c r="T51" s="100">
        <v>14707806</v>
      </c>
      <c r="V51" s="109">
        <v>42367</v>
      </c>
      <c r="W51" s="113">
        <v>35.01</v>
      </c>
      <c r="X51" s="113">
        <v>35.590000000000003</v>
      </c>
      <c r="Y51" s="113">
        <v>35.01</v>
      </c>
      <c r="Z51" s="113">
        <v>35.44</v>
      </c>
      <c r="AA51" s="111">
        <v>14188600</v>
      </c>
      <c r="AB51" s="110">
        <v>35.130000000000003</v>
      </c>
      <c r="AC51" s="2">
        <f t="shared" si="2"/>
        <v>0.5800000000000054</v>
      </c>
      <c r="AD51" s="148">
        <f t="shared" si="3"/>
        <v>1.4438348252959754E-2</v>
      </c>
    </row>
    <row r="52" spans="15:30" x14ac:dyDescent="0.25">
      <c r="O52" s="93">
        <v>0.99</v>
      </c>
      <c r="P52" s="93">
        <f t="shared" si="4"/>
        <v>30.556349999999998</v>
      </c>
      <c r="Q52" s="2"/>
      <c r="S52" s="97" t="s">
        <v>113</v>
      </c>
      <c r="T52" s="100">
        <v>25675100</v>
      </c>
      <c r="V52" s="109">
        <v>42366</v>
      </c>
      <c r="W52" s="113">
        <v>34.950000000000003</v>
      </c>
      <c r="X52" s="113">
        <v>35</v>
      </c>
      <c r="Y52" s="113">
        <v>34.57</v>
      </c>
      <c r="Z52" s="113">
        <v>34.93</v>
      </c>
      <c r="AA52" s="111">
        <v>9449400</v>
      </c>
      <c r="AB52" s="110">
        <v>34.630000000000003</v>
      </c>
      <c r="AC52" s="2">
        <f t="shared" si="2"/>
        <v>0.42999999999999972</v>
      </c>
      <c r="AD52" s="148">
        <f t="shared" si="3"/>
        <v>-1.1537352177675153E-3</v>
      </c>
    </row>
    <row r="53" spans="15:30" x14ac:dyDescent="0.25">
      <c r="O53" s="93">
        <v>0.98</v>
      </c>
      <c r="P53" s="93">
        <f t="shared" si="4"/>
        <v>30.247699999999998</v>
      </c>
      <c r="Q53" s="2"/>
      <c r="S53" s="97" t="s">
        <v>111</v>
      </c>
      <c r="T53" s="98" t="s">
        <v>351</v>
      </c>
      <c r="V53" s="109">
        <v>42362</v>
      </c>
      <c r="W53" s="113">
        <v>35.07</v>
      </c>
      <c r="X53" s="113">
        <v>35.26</v>
      </c>
      <c r="Y53" s="113">
        <v>34.96</v>
      </c>
      <c r="Z53" s="113">
        <v>34.979999999999997</v>
      </c>
      <c r="AA53" s="111">
        <v>5893800</v>
      </c>
      <c r="AB53" s="110">
        <v>34.67</v>
      </c>
      <c r="AC53" s="2">
        <f t="shared" si="2"/>
        <v>0.29999999999999716</v>
      </c>
      <c r="AD53" s="148">
        <f t="shared" si="3"/>
        <v>-5.7653502450261129E-4</v>
      </c>
    </row>
    <row r="54" spans="15:30" x14ac:dyDescent="0.25">
      <c r="O54" s="93">
        <v>0.97</v>
      </c>
      <c r="P54" s="93">
        <f t="shared" si="4"/>
        <v>29.939049999999998</v>
      </c>
      <c r="S54" s="97" t="s">
        <v>114</v>
      </c>
      <c r="T54" s="98">
        <v>13.25</v>
      </c>
      <c r="V54" s="109">
        <v>42361</v>
      </c>
      <c r="W54" s="113">
        <v>34.950000000000003</v>
      </c>
      <c r="X54" s="113">
        <v>35.049999999999997</v>
      </c>
      <c r="Y54" s="113">
        <v>34.78</v>
      </c>
      <c r="Z54" s="113">
        <v>35</v>
      </c>
      <c r="AA54" s="111">
        <v>12526500</v>
      </c>
      <c r="AB54" s="110">
        <v>34.69</v>
      </c>
      <c r="AC54" s="2">
        <f t="shared" si="2"/>
        <v>0.26999999999999602</v>
      </c>
      <c r="AD54" s="148">
        <f t="shared" si="3"/>
        <v>7.5515538774324487E-3</v>
      </c>
    </row>
    <row r="55" spans="15:30" x14ac:dyDescent="0.25">
      <c r="O55" s="93">
        <v>0.96</v>
      </c>
      <c r="P55" s="93">
        <f t="shared" si="4"/>
        <v>29.630399999999998</v>
      </c>
      <c r="S55" s="97" t="s">
        <v>115</v>
      </c>
      <c r="T55" s="98">
        <v>2.33</v>
      </c>
      <c r="V55" s="109">
        <v>42360</v>
      </c>
      <c r="W55" s="113">
        <v>34.36</v>
      </c>
      <c r="X55" s="113">
        <v>34.78</v>
      </c>
      <c r="Y55" s="113">
        <v>34.270000000000003</v>
      </c>
      <c r="Z55" s="113">
        <v>34.729999999999997</v>
      </c>
      <c r="AA55" s="111">
        <v>18422000</v>
      </c>
      <c r="AB55" s="110">
        <v>34.43</v>
      </c>
      <c r="AC55" s="2">
        <f t="shared" si="2"/>
        <v>0.50999999999999801</v>
      </c>
      <c r="AD55" s="148">
        <f t="shared" si="3"/>
        <v>1.4437242192103739E-2</v>
      </c>
    </row>
    <row r="56" spans="15:30" x14ac:dyDescent="0.25">
      <c r="O56" s="93">
        <v>0.95</v>
      </c>
      <c r="P56" s="93">
        <f t="shared" si="4"/>
        <v>29.321749999999998</v>
      </c>
      <c r="S56" s="97" t="s">
        <v>112</v>
      </c>
      <c r="T56" s="98" t="s">
        <v>309</v>
      </c>
      <c r="V56" s="109">
        <v>42359</v>
      </c>
      <c r="W56" s="113">
        <v>34.11</v>
      </c>
      <c r="X56" s="113">
        <v>34.299999999999997</v>
      </c>
      <c r="Y56" s="113">
        <v>33.82</v>
      </c>
      <c r="Z56" s="113">
        <v>34.24</v>
      </c>
      <c r="AA56" s="111">
        <v>18006800</v>
      </c>
      <c r="AB56" s="110">
        <v>33.94</v>
      </c>
      <c r="AC56" s="2">
        <f t="shared" si="2"/>
        <v>0.47999999999999687</v>
      </c>
      <c r="AD56" s="148">
        <f t="shared" si="3"/>
        <v>1.1021745606195843E-2</v>
      </c>
    </row>
    <row r="57" spans="15:30" x14ac:dyDescent="0.25">
      <c r="O57" s="93">
        <v>0.94</v>
      </c>
      <c r="P57" s="93">
        <f t="shared" si="4"/>
        <v>29.013099999999998</v>
      </c>
      <c r="V57" s="109">
        <v>42356</v>
      </c>
      <c r="W57" s="113">
        <v>34.729999999999997</v>
      </c>
      <c r="X57" s="113">
        <v>34.75</v>
      </c>
      <c r="Y57" s="113">
        <v>33.86</v>
      </c>
      <c r="Z57" s="113">
        <v>33.869999999999997</v>
      </c>
      <c r="AA57" s="111">
        <v>41336600</v>
      </c>
      <c r="AB57" s="110">
        <v>33.57</v>
      </c>
      <c r="AC57" s="2">
        <f t="shared" si="2"/>
        <v>0.89000000000000057</v>
      </c>
      <c r="AD57" s="148">
        <f t="shared" si="3"/>
        <v>-3.0049118751805826E-2</v>
      </c>
    </row>
    <row r="58" spans="15:30" x14ac:dyDescent="0.25">
      <c r="O58" s="93">
        <v>0.93</v>
      </c>
      <c r="P58" s="93">
        <f t="shared" si="4"/>
        <v>28.704450000000001</v>
      </c>
      <c r="V58" s="109">
        <v>42355</v>
      </c>
      <c r="W58" s="113">
        <v>35.32</v>
      </c>
      <c r="X58" s="113">
        <v>35.369999999999997</v>
      </c>
      <c r="Y58" s="113">
        <v>34.76</v>
      </c>
      <c r="Z58" s="113">
        <v>34.909999999999997</v>
      </c>
      <c r="AA58" s="111">
        <v>24963600</v>
      </c>
      <c r="AB58" s="110">
        <v>34.61</v>
      </c>
      <c r="AC58" s="2">
        <f t="shared" si="2"/>
        <v>0.60999999999999943</v>
      </c>
      <c r="AD58" s="148">
        <f t="shared" si="3"/>
        <v>-1.0860245784509948E-2</v>
      </c>
    </row>
    <row r="59" spans="15:30" x14ac:dyDescent="0.25">
      <c r="O59" s="93">
        <v>0.92</v>
      </c>
      <c r="P59" s="93">
        <f t="shared" si="4"/>
        <v>28.395800000000001</v>
      </c>
      <c r="V59" s="109">
        <v>42354</v>
      </c>
      <c r="W59" s="113">
        <v>35.36</v>
      </c>
      <c r="X59" s="113">
        <v>35.47</v>
      </c>
      <c r="Y59" s="113">
        <v>34.770000000000003</v>
      </c>
      <c r="Z59" s="113">
        <v>35.299999999999997</v>
      </c>
      <c r="AA59" s="111">
        <v>23257900</v>
      </c>
      <c r="AB59" s="110">
        <v>34.99</v>
      </c>
      <c r="AC59" s="2">
        <f t="shared" si="2"/>
        <v>0.69999999999999574</v>
      </c>
      <c r="AD59" s="148">
        <f t="shared" si="3"/>
        <v>3.4413535990824862E-3</v>
      </c>
    </row>
    <row r="60" spans="15:30" x14ac:dyDescent="0.25">
      <c r="O60" s="93">
        <v>0.91</v>
      </c>
      <c r="P60" s="93">
        <f t="shared" si="4"/>
        <v>28.087150000000001</v>
      </c>
      <c r="V60" s="109">
        <v>42353</v>
      </c>
      <c r="W60" s="113">
        <v>34.65</v>
      </c>
      <c r="X60" s="113">
        <v>35.35</v>
      </c>
      <c r="Y60" s="113">
        <v>34.64</v>
      </c>
      <c r="Z60" s="113">
        <v>35.18</v>
      </c>
      <c r="AA60" s="111">
        <v>24051300</v>
      </c>
      <c r="AB60" s="110">
        <v>34.869999999999997</v>
      </c>
      <c r="AC60" s="2">
        <f t="shared" si="2"/>
        <v>0.71000000000000085</v>
      </c>
      <c r="AD60" s="148">
        <f t="shared" si="3"/>
        <v>2.0485806262803496E-2</v>
      </c>
    </row>
    <row r="61" spans="15:30" x14ac:dyDescent="0.25">
      <c r="O61" s="93">
        <v>0.9</v>
      </c>
      <c r="P61" s="93">
        <f t="shared" si="4"/>
        <v>27.778499999999998</v>
      </c>
      <c r="V61" s="109">
        <v>42352</v>
      </c>
      <c r="W61" s="113">
        <v>34.380000000000003</v>
      </c>
      <c r="X61" s="113">
        <v>34.479999999999997</v>
      </c>
      <c r="Y61" s="113">
        <v>33.880000000000003</v>
      </c>
      <c r="Z61" s="113">
        <v>34.47</v>
      </c>
      <c r="AA61" s="111">
        <v>19357100</v>
      </c>
      <c r="AB61" s="110">
        <v>34.17</v>
      </c>
      <c r="AC61" s="2">
        <f t="shared" si="2"/>
        <v>0.59999999999999432</v>
      </c>
      <c r="AD61" s="148">
        <f t="shared" si="3"/>
        <v>5.887547836326279E-3</v>
      </c>
    </row>
    <row r="62" spans="15:30" x14ac:dyDescent="0.25">
      <c r="V62" s="109">
        <v>42349</v>
      </c>
      <c r="W62" s="113">
        <v>34.31</v>
      </c>
      <c r="X62" s="113">
        <v>34.65</v>
      </c>
      <c r="Y62" s="113">
        <v>34.200000000000003</v>
      </c>
      <c r="Z62" s="113">
        <v>34.270000000000003</v>
      </c>
      <c r="AA62" s="111">
        <v>21251400</v>
      </c>
      <c r="AB62" s="110">
        <v>33.97</v>
      </c>
      <c r="AC62" s="2">
        <f t="shared" si="2"/>
        <v>0.44999999999999574</v>
      </c>
      <c r="AD62" s="148">
        <f t="shared" si="3"/>
        <v>-1.4505366985784751E-2</v>
      </c>
    </row>
    <row r="63" spans="15:30" x14ac:dyDescent="0.25">
      <c r="V63" s="109">
        <v>42348</v>
      </c>
      <c r="W63" s="113">
        <v>34.85</v>
      </c>
      <c r="X63" s="113">
        <v>35.07</v>
      </c>
      <c r="Y63" s="113">
        <v>34.659999999999997</v>
      </c>
      <c r="Z63" s="113">
        <v>34.770000000000003</v>
      </c>
      <c r="AA63" s="111">
        <v>17400700</v>
      </c>
      <c r="AB63" s="110">
        <v>34.47</v>
      </c>
      <c r="AC63" s="2">
        <f t="shared" si="2"/>
        <v>0.41000000000000369</v>
      </c>
      <c r="AD63" s="148">
        <f t="shared" si="3"/>
        <v>-1.1590843233845183E-3</v>
      </c>
    </row>
    <row r="64" spans="15:30" x14ac:dyDescent="0.25">
      <c r="V64" s="109">
        <v>42347</v>
      </c>
      <c r="W64" s="113">
        <v>34.880000000000003</v>
      </c>
      <c r="X64" s="113">
        <v>35.22</v>
      </c>
      <c r="Y64" s="113">
        <v>34.51</v>
      </c>
      <c r="Z64" s="113">
        <v>34.81</v>
      </c>
      <c r="AA64" s="111">
        <v>22548300</v>
      </c>
      <c r="AB64" s="110">
        <v>34.51</v>
      </c>
      <c r="AC64" s="2">
        <f t="shared" si="2"/>
        <v>0.71000000000000085</v>
      </c>
      <c r="AD64" s="148">
        <f t="shared" si="3"/>
        <v>1.7416545718431653E-3</v>
      </c>
    </row>
    <row r="65" spans="22:30" x14ac:dyDescent="0.25">
      <c r="V65" s="109">
        <v>42346</v>
      </c>
      <c r="W65" s="113">
        <v>34.67</v>
      </c>
      <c r="X65" s="113">
        <v>34.950000000000003</v>
      </c>
      <c r="Y65" s="113">
        <v>34.42</v>
      </c>
      <c r="Z65" s="113">
        <v>34.75</v>
      </c>
      <c r="AA65" s="111">
        <v>13380200</v>
      </c>
      <c r="AB65" s="110">
        <v>34.450000000000003</v>
      </c>
      <c r="AC65" s="2">
        <f t="shared" si="2"/>
        <v>0.53000000000000114</v>
      </c>
      <c r="AD65" s="148">
        <f t="shared" si="3"/>
        <v>-6.6320645905419973E-3</v>
      </c>
    </row>
    <row r="66" spans="22:30" x14ac:dyDescent="0.25">
      <c r="V66" s="109">
        <v>42345</v>
      </c>
      <c r="W66" s="113">
        <v>34.79</v>
      </c>
      <c r="X66" s="113">
        <v>35.17</v>
      </c>
      <c r="Y66" s="113">
        <v>34.75</v>
      </c>
      <c r="Z66" s="113">
        <v>34.99</v>
      </c>
      <c r="AA66" s="111">
        <v>17731900</v>
      </c>
      <c r="AB66" s="110">
        <v>34.68</v>
      </c>
      <c r="AC66" s="2">
        <f t="shared" si="2"/>
        <v>0.42000000000000171</v>
      </c>
      <c r="AD66" s="148">
        <f t="shared" si="3"/>
        <v>1.1547344110853786E-3</v>
      </c>
    </row>
    <row r="67" spans="22:30" x14ac:dyDescent="0.25">
      <c r="V67" s="109">
        <v>42342</v>
      </c>
      <c r="W67" s="113">
        <v>34.11</v>
      </c>
      <c r="X67" s="113">
        <v>35.03</v>
      </c>
      <c r="Y67" s="113">
        <v>34</v>
      </c>
      <c r="Z67" s="113">
        <v>34.94</v>
      </c>
      <c r="AA67" s="111">
        <v>24901000</v>
      </c>
      <c r="AB67" s="110">
        <v>34.64</v>
      </c>
      <c r="AC67" s="2">
        <f>X67-Y67</f>
        <v>1.0300000000000011</v>
      </c>
      <c r="AD67" s="148">
        <f>AB67/AB68-1</f>
        <v>2.6674570243034879E-2</v>
      </c>
    </row>
    <row r="68" spans="22:30" x14ac:dyDescent="0.25">
      <c r="V68" s="109">
        <v>42341</v>
      </c>
      <c r="W68" s="113">
        <v>34.97</v>
      </c>
      <c r="X68" s="113">
        <v>34.99</v>
      </c>
      <c r="Y68" s="113">
        <v>34</v>
      </c>
      <c r="Z68" s="113">
        <v>34.04</v>
      </c>
      <c r="AA68" s="111">
        <v>30131100</v>
      </c>
      <c r="AB68" s="110">
        <v>33.74</v>
      </c>
      <c r="AC68" s="2">
        <f>X68-Y68</f>
        <v>0.99000000000000199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8" si="1">H2*I2-J2</f>
        <v>1501.22</v>
      </c>
      <c r="L2" s="1">
        <v>42185</v>
      </c>
      <c r="M2" s="2">
        <v>5</v>
      </c>
      <c r="O2" s="13" t="s">
        <v>57</v>
      </c>
      <c r="Q2">
        <f>C53-H53</f>
        <v>200</v>
      </c>
      <c r="W2" s="120">
        <v>42438</v>
      </c>
      <c r="X2" s="44">
        <v>47.68</v>
      </c>
      <c r="Y2" s="44">
        <v>48.21</v>
      </c>
      <c r="Z2" s="44">
        <v>46.23</v>
      </c>
      <c r="AA2" s="44">
        <v>47.08</v>
      </c>
      <c r="AB2" s="114">
        <v>4652700</v>
      </c>
      <c r="AC2" s="44">
        <v>47.08</v>
      </c>
      <c r="AD2" s="2">
        <f>Y2-Z2</f>
        <v>1.980000000000004</v>
      </c>
      <c r="AE2" s="148">
        <f>AC2/AC3-1</f>
        <v>6.8434559452523747E-3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39.675249999999942</v>
      </c>
      <c r="W3" s="120">
        <v>42437</v>
      </c>
      <c r="X3" s="44">
        <v>48.84</v>
      </c>
      <c r="Y3" s="44">
        <v>48.96</v>
      </c>
      <c r="Z3" s="44">
        <v>46.53</v>
      </c>
      <c r="AA3" s="44">
        <v>46.76</v>
      </c>
      <c r="AB3" s="114">
        <v>5861500</v>
      </c>
      <c r="AC3" s="44">
        <v>46.76</v>
      </c>
      <c r="AD3" s="2">
        <f t="shared" ref="AD3:AD66" si="2">Y3-Z3</f>
        <v>2.4299999999999997</v>
      </c>
      <c r="AE3" s="148">
        <f t="shared" ref="AE3:AE66" si="3">AC3/AC4-1</f>
        <v>-5.1136363636363646E-2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47.08</v>
      </c>
      <c r="T4" s="134"/>
      <c r="U4" s="33"/>
      <c r="V4" s="38"/>
      <c r="W4" s="120">
        <v>42436</v>
      </c>
      <c r="X4" s="44">
        <v>48.51</v>
      </c>
      <c r="Y4" s="44">
        <v>49.88</v>
      </c>
      <c r="Z4" s="44">
        <v>47.96</v>
      </c>
      <c r="AA4" s="44">
        <v>49.28</v>
      </c>
      <c r="AB4" s="114">
        <v>8457800</v>
      </c>
      <c r="AC4" s="44">
        <v>49.28</v>
      </c>
      <c r="AD4" s="2">
        <f t="shared" si="2"/>
        <v>1.9200000000000017</v>
      </c>
      <c r="AE4" s="148">
        <f t="shared" si="3"/>
        <v>1.8392229799545357E-2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9416</v>
      </c>
      <c r="W5" s="120">
        <v>42433</v>
      </c>
      <c r="X5" s="44">
        <v>49.17</v>
      </c>
      <c r="Y5" s="44">
        <v>50.54</v>
      </c>
      <c r="Z5" s="44">
        <v>47.61</v>
      </c>
      <c r="AA5" s="44">
        <v>48.39</v>
      </c>
      <c r="AB5" s="114">
        <v>7050800</v>
      </c>
      <c r="AC5" s="44">
        <v>48.39</v>
      </c>
      <c r="AD5" s="2">
        <f t="shared" si="2"/>
        <v>2.9299999999999997</v>
      </c>
      <c r="AE5" s="148">
        <f t="shared" si="3"/>
        <v>8.1249999999999378E-3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7935.0499999999884</v>
      </c>
      <c r="W6" s="120">
        <v>42432</v>
      </c>
      <c r="X6" s="44">
        <v>46.6</v>
      </c>
      <c r="Y6" s="44">
        <v>48.24</v>
      </c>
      <c r="Z6" s="44">
        <v>46.25</v>
      </c>
      <c r="AA6" s="44">
        <v>48</v>
      </c>
      <c r="AB6" s="114">
        <v>5748600</v>
      </c>
      <c r="AC6" s="44">
        <v>48</v>
      </c>
      <c r="AD6" s="2">
        <f t="shared" si="2"/>
        <v>1.990000000000002</v>
      </c>
      <c r="AE6" s="148">
        <f t="shared" si="3"/>
        <v>2.3017902813299296E-2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1480.9500000000116</v>
      </c>
      <c r="R7" s="212"/>
      <c r="W7" s="120">
        <v>42431</v>
      </c>
      <c r="X7" s="44">
        <v>44.09</v>
      </c>
      <c r="Y7" s="44">
        <v>46.94</v>
      </c>
      <c r="Z7" s="44">
        <v>43.86</v>
      </c>
      <c r="AA7" s="44">
        <v>46.92</v>
      </c>
      <c r="AB7" s="114">
        <v>5047000</v>
      </c>
      <c r="AC7" s="44">
        <v>46.92</v>
      </c>
      <c r="AD7" s="2">
        <f t="shared" si="2"/>
        <v>3.0799999999999983</v>
      </c>
      <c r="AE7" s="148">
        <f t="shared" si="3"/>
        <v>5.8903182125930931E-2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0.18663398466298431</v>
      </c>
      <c r="W8" s="120">
        <v>42430</v>
      </c>
      <c r="X8" s="44">
        <v>43.79</v>
      </c>
      <c r="Y8" s="44">
        <v>44.71</v>
      </c>
      <c r="Z8" s="44">
        <v>42.56</v>
      </c>
      <c r="AA8" s="44">
        <v>44.31</v>
      </c>
      <c r="AB8" s="114">
        <v>5227800</v>
      </c>
      <c r="AC8" s="44">
        <v>44.31</v>
      </c>
      <c r="AD8" s="2">
        <f t="shared" si="2"/>
        <v>2.1499999999999986</v>
      </c>
      <c r="AE8" s="148">
        <f t="shared" si="3"/>
        <v>1.6284403669724723E-2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42429</v>
      </c>
      <c r="X9" s="44">
        <v>43.05</v>
      </c>
      <c r="Y9" s="44">
        <v>44.01</v>
      </c>
      <c r="Z9" s="44">
        <v>42.62</v>
      </c>
      <c r="AA9" s="44">
        <v>43.6</v>
      </c>
      <c r="AB9" s="114">
        <v>6601500</v>
      </c>
      <c r="AC9" s="44">
        <v>43.6</v>
      </c>
      <c r="AD9" s="2">
        <f t="shared" si="2"/>
        <v>1.3900000000000006</v>
      </c>
      <c r="AE9" s="148">
        <f t="shared" si="3"/>
        <v>1.2305549106106373E-2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42426</v>
      </c>
      <c r="X10" s="44">
        <v>42.69</v>
      </c>
      <c r="Y10" s="44">
        <v>43.62</v>
      </c>
      <c r="Z10" s="44">
        <v>42.48</v>
      </c>
      <c r="AA10" s="44">
        <v>43.07</v>
      </c>
      <c r="AB10" s="114">
        <v>5547600</v>
      </c>
      <c r="AC10" s="44">
        <v>43.07</v>
      </c>
      <c r="AD10" s="2">
        <f t="shared" si="2"/>
        <v>1.1400000000000006</v>
      </c>
      <c r="AE10" s="148">
        <f t="shared" si="3"/>
        <v>3.5834535834535775E-2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42425</v>
      </c>
      <c r="X11" s="44">
        <v>41.66</v>
      </c>
      <c r="Y11" s="44">
        <v>42.37</v>
      </c>
      <c r="Z11" s="44">
        <v>39.950000000000003</v>
      </c>
      <c r="AA11" s="44">
        <v>41.58</v>
      </c>
      <c r="AB11" s="114">
        <v>4256400</v>
      </c>
      <c r="AC11" s="44">
        <v>41.58</v>
      </c>
      <c r="AD11" s="2">
        <f t="shared" si="2"/>
        <v>2.4199999999999946</v>
      </c>
      <c r="AE11" s="148">
        <f t="shared" si="3"/>
        <v>-2.8776978417267562E-3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42424</v>
      </c>
      <c r="X12" s="44">
        <v>40.65</v>
      </c>
      <c r="Y12" s="44">
        <v>42.04</v>
      </c>
      <c r="Z12" s="44">
        <v>39.979999999999997</v>
      </c>
      <c r="AA12" s="44">
        <v>41.7</v>
      </c>
      <c r="AB12" s="114">
        <v>4904300</v>
      </c>
      <c r="AC12" s="44">
        <v>41.7</v>
      </c>
      <c r="AD12" s="2">
        <f t="shared" si="2"/>
        <v>2.0600000000000023</v>
      </c>
      <c r="AE12" s="148">
        <f t="shared" si="3"/>
        <v>-5.2480916030533953E-3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42423</v>
      </c>
      <c r="X13" s="44">
        <v>43.66</v>
      </c>
      <c r="Y13" s="44">
        <v>44.71</v>
      </c>
      <c r="Z13" s="44">
        <v>41.61</v>
      </c>
      <c r="AA13" s="44">
        <v>41.92</v>
      </c>
      <c r="AB13" s="114">
        <v>5141400</v>
      </c>
      <c r="AC13" s="44">
        <v>41.92</v>
      </c>
      <c r="AD13" s="2">
        <f t="shared" si="2"/>
        <v>3.1000000000000014</v>
      </c>
      <c r="AE13" s="148">
        <f t="shared" si="3"/>
        <v>-5.9668012561686745E-2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42422</v>
      </c>
      <c r="X14" s="44">
        <v>43.47</v>
      </c>
      <c r="Y14" s="44">
        <v>44.59</v>
      </c>
      <c r="Z14" s="44">
        <v>43.04</v>
      </c>
      <c r="AA14" s="44">
        <v>44.58</v>
      </c>
      <c r="AB14" s="114">
        <v>5398100</v>
      </c>
      <c r="AC14" s="44">
        <v>44.58</v>
      </c>
      <c r="AD14" s="2">
        <f t="shared" si="2"/>
        <v>1.5500000000000043</v>
      </c>
      <c r="AE14" s="148">
        <f t="shared" si="3"/>
        <v>5.3651619002599737E-2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42419</v>
      </c>
      <c r="X15" s="44">
        <v>41.54</v>
      </c>
      <c r="Y15" s="44">
        <v>42.34</v>
      </c>
      <c r="Z15" s="44">
        <v>40.25</v>
      </c>
      <c r="AA15" s="44">
        <v>42.31</v>
      </c>
      <c r="AB15" s="114">
        <v>6154400</v>
      </c>
      <c r="AC15" s="44">
        <v>42.31</v>
      </c>
      <c r="AD15" s="2">
        <f t="shared" si="2"/>
        <v>2.0900000000000034</v>
      </c>
      <c r="AE15" s="148">
        <f t="shared" si="3"/>
        <v>5.7047777513667963E-3</v>
      </c>
    </row>
    <row r="16" spans="1:40" x14ac:dyDescent="0.25">
      <c r="B16" s="41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42418</v>
      </c>
      <c r="X16" s="44">
        <v>44</v>
      </c>
      <c r="Y16" s="44">
        <v>44.2</v>
      </c>
      <c r="Z16" s="44">
        <v>41.49</v>
      </c>
      <c r="AA16" s="44">
        <v>42.07</v>
      </c>
      <c r="AB16" s="114">
        <v>7995500</v>
      </c>
      <c r="AC16" s="44">
        <v>42.07</v>
      </c>
      <c r="AD16" s="2">
        <f t="shared" si="2"/>
        <v>2.7100000000000009</v>
      </c>
      <c r="AE16" s="148">
        <f t="shared" si="3"/>
        <v>-3.2206119162640823E-2</v>
      </c>
    </row>
    <row r="17" spans="2:31" x14ac:dyDescent="0.25">
      <c r="B17" s="41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42417</v>
      </c>
      <c r="X17" s="44">
        <v>41.57</v>
      </c>
      <c r="Y17" s="44">
        <v>44.14</v>
      </c>
      <c r="Z17" s="44">
        <v>41.43</v>
      </c>
      <c r="AA17" s="44">
        <v>43.47</v>
      </c>
      <c r="AB17" s="114">
        <v>7789100</v>
      </c>
      <c r="AC17" s="44">
        <v>43.47</v>
      </c>
      <c r="AD17" s="2">
        <f t="shared" si="2"/>
        <v>2.7100000000000009</v>
      </c>
      <c r="AE17" s="148">
        <f t="shared" si="3"/>
        <v>6.4397649363369114E-2</v>
      </c>
    </row>
    <row r="18" spans="2:31" x14ac:dyDescent="0.25">
      <c r="B18" s="40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42416</v>
      </c>
      <c r="X18" s="44">
        <v>41</v>
      </c>
      <c r="Y18" s="44">
        <v>41.25</v>
      </c>
      <c r="Z18" s="44">
        <v>39.96</v>
      </c>
      <c r="AA18" s="44">
        <v>40.840000000000003</v>
      </c>
      <c r="AB18" s="114">
        <v>6573700</v>
      </c>
      <c r="AC18" s="44">
        <v>40.840000000000003</v>
      </c>
      <c r="AD18" s="2">
        <f t="shared" si="2"/>
        <v>1.2899999999999991</v>
      </c>
      <c r="AE18" s="148">
        <f t="shared" si="3"/>
        <v>1.8199950137123055E-2</v>
      </c>
    </row>
    <row r="19" spans="2:31" x14ac:dyDescent="0.25">
      <c r="B19" s="40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42412</v>
      </c>
      <c r="X19" s="44">
        <v>39.28</v>
      </c>
      <c r="Y19" s="44">
        <v>40.15</v>
      </c>
      <c r="Z19" s="44">
        <v>38.5</v>
      </c>
      <c r="AA19" s="44">
        <v>40.11</v>
      </c>
      <c r="AB19" s="114">
        <v>12385800</v>
      </c>
      <c r="AC19" s="44">
        <v>40.11</v>
      </c>
      <c r="AD19" s="2">
        <f t="shared" si="2"/>
        <v>1.6499999999999986</v>
      </c>
      <c r="AE19" s="148">
        <f t="shared" si="3"/>
        <v>3.031081428204474E-2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42411</v>
      </c>
      <c r="X20" s="44">
        <v>38.44</v>
      </c>
      <c r="Y20" s="44">
        <v>39.409999999999997</v>
      </c>
      <c r="Z20" s="44">
        <v>36.950000000000003</v>
      </c>
      <c r="AA20" s="44">
        <v>38.93</v>
      </c>
      <c r="AB20" s="114">
        <v>9688400</v>
      </c>
      <c r="AC20" s="44">
        <v>38.93</v>
      </c>
      <c r="AD20" s="2">
        <f t="shared" si="2"/>
        <v>2.4599999999999937</v>
      </c>
      <c r="AE20" s="148">
        <f t="shared" si="3"/>
        <v>-9.1626368032577954E-3</v>
      </c>
    </row>
    <row r="21" spans="2:31" x14ac:dyDescent="0.25">
      <c r="B21" s="40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42410</v>
      </c>
      <c r="X21" s="44">
        <v>39.22</v>
      </c>
      <c r="Y21" s="44">
        <v>40.15</v>
      </c>
      <c r="Z21" s="44">
        <v>38.75</v>
      </c>
      <c r="AA21" s="44">
        <v>39.29</v>
      </c>
      <c r="AB21" s="114">
        <v>9976200</v>
      </c>
      <c r="AC21" s="44">
        <v>39.29</v>
      </c>
      <c r="AD21" s="2">
        <f t="shared" si="2"/>
        <v>1.3999999999999986</v>
      </c>
      <c r="AE21" s="148">
        <f t="shared" si="3"/>
        <v>1.5245478036175708E-2</v>
      </c>
    </row>
    <row r="22" spans="2:31" x14ac:dyDescent="0.25">
      <c r="B22" s="40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42409</v>
      </c>
      <c r="X22" s="44">
        <v>38.28</v>
      </c>
      <c r="Y22" s="44">
        <v>39.369999999999997</v>
      </c>
      <c r="Z22" s="44">
        <v>37.35</v>
      </c>
      <c r="AA22" s="44">
        <v>38.700000000000003</v>
      </c>
      <c r="AB22" s="114">
        <v>8797100</v>
      </c>
      <c r="AC22" s="44">
        <v>38.700000000000003</v>
      </c>
      <c r="AD22" s="2">
        <f t="shared" si="2"/>
        <v>2.019999999999996</v>
      </c>
      <c r="AE22" s="148">
        <f t="shared" si="3"/>
        <v>-7.4378045652730984E-3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42408</v>
      </c>
      <c r="X23" s="44">
        <v>37.229999999999997</v>
      </c>
      <c r="Y23" s="44">
        <v>39.119999999999997</v>
      </c>
      <c r="Z23" s="44">
        <v>37</v>
      </c>
      <c r="AA23" s="44">
        <v>38.99</v>
      </c>
      <c r="AB23" s="114">
        <v>14392700</v>
      </c>
      <c r="AC23" s="44">
        <v>38.99</v>
      </c>
      <c r="AD23" s="2">
        <f t="shared" si="2"/>
        <v>2.1199999999999974</v>
      </c>
      <c r="AE23" s="148">
        <f t="shared" si="3"/>
        <v>2.5512887953708541E-2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42405</v>
      </c>
      <c r="X24" s="44">
        <v>38.700000000000003</v>
      </c>
      <c r="Y24" s="44">
        <v>39.299999999999997</v>
      </c>
      <c r="Z24" s="44">
        <v>38</v>
      </c>
      <c r="AA24" s="44">
        <v>38.020000000000003</v>
      </c>
      <c r="AB24" s="114">
        <v>40159300</v>
      </c>
      <c r="AC24" s="44">
        <v>38.020000000000003</v>
      </c>
      <c r="AD24" s="2">
        <f t="shared" si="2"/>
        <v>1.2999999999999972</v>
      </c>
      <c r="AE24" s="148">
        <f t="shared" si="3"/>
        <v>-0.12537382102599481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42404</v>
      </c>
      <c r="X25" s="44">
        <v>43.38</v>
      </c>
      <c r="Y25" s="44">
        <v>45.16</v>
      </c>
      <c r="Z25" s="44">
        <v>42.53</v>
      </c>
      <c r="AA25" s="44">
        <v>43.47</v>
      </c>
      <c r="AB25" s="114">
        <v>9968900</v>
      </c>
      <c r="AC25" s="44">
        <v>43.47</v>
      </c>
      <c r="AD25" s="2">
        <f t="shared" si="2"/>
        <v>2.6299999999999955</v>
      </c>
      <c r="AE25" s="148">
        <f t="shared" si="3"/>
        <v>1.1165387299371776E-2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42403</v>
      </c>
      <c r="X26" s="44">
        <v>40.270000000000003</v>
      </c>
      <c r="Y26" s="44">
        <v>43.02</v>
      </c>
      <c r="Z26" s="44">
        <v>38.97</v>
      </c>
      <c r="AA26" s="44">
        <v>42.99</v>
      </c>
      <c r="AB26" s="114">
        <v>10059700</v>
      </c>
      <c r="AC26" s="44">
        <v>42.99</v>
      </c>
      <c r="AD26" s="2">
        <f t="shared" si="2"/>
        <v>4.0500000000000043</v>
      </c>
      <c r="AE26" s="148">
        <f t="shared" si="3"/>
        <v>9.2225609756097615E-2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42402</v>
      </c>
      <c r="X27" s="44">
        <v>40.57</v>
      </c>
      <c r="Y27" s="44">
        <v>40.57</v>
      </c>
      <c r="Z27" s="44">
        <v>38.770000000000003</v>
      </c>
      <c r="AA27" s="44">
        <v>39.36</v>
      </c>
      <c r="AB27" s="114">
        <v>7280400</v>
      </c>
      <c r="AC27" s="44">
        <v>39.36</v>
      </c>
      <c r="AD27" s="2">
        <f t="shared" si="2"/>
        <v>1.7999999999999972</v>
      </c>
      <c r="AE27" s="148">
        <f t="shared" si="3"/>
        <v>-5.7471264367816022E-2</v>
      </c>
    </row>
    <row r="28" spans="2:31" x14ac:dyDescent="0.25">
      <c r="B28" s="403" t="s">
        <v>241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H28" s="81">
        <v>250</v>
      </c>
      <c r="I28" s="2">
        <v>50.35</v>
      </c>
      <c r="J28" s="2">
        <v>0</v>
      </c>
      <c r="K28" s="2">
        <f t="shared" si="1"/>
        <v>12587.5</v>
      </c>
      <c r="W28" s="120">
        <v>42401</v>
      </c>
      <c r="X28" s="44">
        <v>41.38</v>
      </c>
      <c r="Y28" s="44">
        <v>42.26</v>
      </c>
      <c r="Z28" s="44">
        <v>40.799999999999997</v>
      </c>
      <c r="AA28" s="44">
        <v>41.76</v>
      </c>
      <c r="AB28" s="114">
        <v>6180900</v>
      </c>
      <c r="AC28" s="44">
        <v>41.76</v>
      </c>
      <c r="AD28" s="2">
        <f t="shared" si="2"/>
        <v>1.4600000000000009</v>
      </c>
      <c r="AE28" s="148">
        <f t="shared" si="3"/>
        <v>-1.7411764705882349E-2</v>
      </c>
    </row>
    <row r="29" spans="2:31" x14ac:dyDescent="0.25">
      <c r="B29" s="403"/>
      <c r="C29" s="7">
        <v>75</v>
      </c>
      <c r="D29" s="89">
        <v>50.42</v>
      </c>
      <c r="E29" s="47">
        <v>0</v>
      </c>
      <c r="F29" s="47">
        <f t="shared" ref="F29:F46" si="4">D29*C29+E29</f>
        <v>3781.5</v>
      </c>
      <c r="W29" s="120">
        <v>42398</v>
      </c>
      <c r="X29" s="44">
        <v>40.83</v>
      </c>
      <c r="Y29" s="44">
        <v>42.66</v>
      </c>
      <c r="Z29" s="44">
        <v>40.520000000000003</v>
      </c>
      <c r="AA29" s="44">
        <v>42.5</v>
      </c>
      <c r="AB29" s="114">
        <v>8134500</v>
      </c>
      <c r="AC29" s="44">
        <v>42.5</v>
      </c>
      <c r="AD29" s="2">
        <f t="shared" si="2"/>
        <v>2.1399999999999935</v>
      </c>
      <c r="AE29" s="148">
        <f t="shared" si="3"/>
        <v>5.3544868616757446E-2</v>
      </c>
    </row>
    <row r="30" spans="2:31" x14ac:dyDescent="0.25">
      <c r="B30" s="403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42397</v>
      </c>
      <c r="X30" s="44">
        <v>40.590000000000003</v>
      </c>
      <c r="Y30" s="44">
        <v>41.99</v>
      </c>
      <c r="Z30" s="44">
        <v>39.049999999999997</v>
      </c>
      <c r="AA30" s="44">
        <v>40.340000000000003</v>
      </c>
      <c r="AB30" s="114">
        <v>9889000</v>
      </c>
      <c r="AC30" s="44">
        <v>40.340000000000003</v>
      </c>
      <c r="AD30" s="2">
        <f t="shared" si="2"/>
        <v>2.9400000000000048</v>
      </c>
      <c r="AE30" s="148">
        <f t="shared" si="3"/>
        <v>9.4708276797829116E-2</v>
      </c>
    </row>
    <row r="31" spans="2:31" x14ac:dyDescent="0.25">
      <c r="B31" s="403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42396</v>
      </c>
      <c r="X31" s="222">
        <v>34.97</v>
      </c>
      <c r="Y31" s="44">
        <v>39.659999999999997</v>
      </c>
      <c r="Z31" s="44">
        <v>34.020000000000003</v>
      </c>
      <c r="AA31" s="44">
        <v>36.85</v>
      </c>
      <c r="AB31" s="114">
        <v>11428700</v>
      </c>
      <c r="AC31" s="44">
        <v>36.85</v>
      </c>
      <c r="AD31" s="2">
        <f t="shared" si="2"/>
        <v>5.6399999999999935</v>
      </c>
      <c r="AE31" s="148">
        <f t="shared" si="3"/>
        <v>5.8603849468543467E-2</v>
      </c>
    </row>
    <row r="32" spans="2:31" x14ac:dyDescent="0.25">
      <c r="B32" s="403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42395</v>
      </c>
      <c r="X32" s="44">
        <v>35.119999999999997</v>
      </c>
      <c r="Y32" s="44">
        <v>35.979999999999997</v>
      </c>
      <c r="Z32" s="44">
        <v>34.549999999999997</v>
      </c>
      <c r="AA32" s="44">
        <v>34.81</v>
      </c>
      <c r="AB32" s="114">
        <v>8791100</v>
      </c>
      <c r="AC32" s="44">
        <v>34.81</v>
      </c>
      <c r="AD32" s="2">
        <f t="shared" si="2"/>
        <v>1.4299999999999997</v>
      </c>
      <c r="AE32" s="148">
        <f t="shared" si="3"/>
        <v>1.2507271669575326E-2</v>
      </c>
    </row>
    <row r="33" spans="2:31" x14ac:dyDescent="0.25">
      <c r="B33" s="403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42394</v>
      </c>
      <c r="X33" s="44">
        <v>37.159999999999997</v>
      </c>
      <c r="Y33" s="44">
        <v>37.840000000000003</v>
      </c>
      <c r="Z33" s="44">
        <v>34.28</v>
      </c>
      <c r="AA33" s="44">
        <v>34.380000000000003</v>
      </c>
      <c r="AB33" s="114">
        <v>10090500</v>
      </c>
      <c r="AC33" s="44">
        <v>34.380000000000003</v>
      </c>
      <c r="AD33" s="2">
        <f t="shared" si="2"/>
        <v>3.5600000000000023</v>
      </c>
      <c r="AE33" s="148">
        <f t="shared" si="3"/>
        <v>-0.10305243934255137</v>
      </c>
    </row>
    <row r="34" spans="2:31" x14ac:dyDescent="0.25">
      <c r="B34" s="403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42391</v>
      </c>
      <c r="X34" s="44">
        <v>39.409999999999997</v>
      </c>
      <c r="Y34" s="44">
        <v>39.950000000000003</v>
      </c>
      <c r="Z34" s="44">
        <v>36.799999999999997</v>
      </c>
      <c r="AA34" s="44">
        <v>38.33</v>
      </c>
      <c r="AB34" s="114">
        <v>7601000</v>
      </c>
      <c r="AC34" s="44">
        <v>38.33</v>
      </c>
      <c r="AD34" s="2">
        <f t="shared" si="2"/>
        <v>3.1500000000000057</v>
      </c>
      <c r="AE34" s="148">
        <f t="shared" si="3"/>
        <v>1.8872939925571597E-2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42390</v>
      </c>
      <c r="X35" s="44">
        <v>35.07</v>
      </c>
      <c r="Y35" s="44">
        <v>37.950000000000003</v>
      </c>
      <c r="Z35" s="44">
        <v>35</v>
      </c>
      <c r="AA35" s="44">
        <v>37.619999999999997</v>
      </c>
      <c r="AB35" s="114">
        <v>7468600</v>
      </c>
      <c r="AC35" s="44">
        <v>37.619999999999997</v>
      </c>
      <c r="AD35" s="2">
        <f t="shared" si="2"/>
        <v>2.9500000000000028</v>
      </c>
      <c r="AE35" s="148">
        <f t="shared" si="3"/>
        <v>6.8446464072706492E-2</v>
      </c>
    </row>
    <row r="36" spans="2:31" x14ac:dyDescent="0.25">
      <c r="B36" s="22">
        <v>42362</v>
      </c>
      <c r="C36" s="4">
        <v>300</v>
      </c>
      <c r="D36" s="282">
        <v>47.73</v>
      </c>
      <c r="E36" s="3">
        <v>-0.03</v>
      </c>
      <c r="F36" s="3">
        <f t="shared" si="4"/>
        <v>14318.969999999998</v>
      </c>
      <c r="W36" s="120">
        <v>42389</v>
      </c>
      <c r="X36" s="44">
        <v>35.770000000000003</v>
      </c>
      <c r="Y36" s="44">
        <v>35.770000000000003</v>
      </c>
      <c r="Z36" s="44">
        <v>32.409999999999997</v>
      </c>
      <c r="AA36" s="44">
        <v>35.21</v>
      </c>
      <c r="AB36" s="114">
        <v>10518900</v>
      </c>
      <c r="AC36" s="44">
        <v>35.21</v>
      </c>
      <c r="AD36" s="2">
        <f t="shared" si="2"/>
        <v>3.3600000000000065</v>
      </c>
      <c r="AE36" s="148">
        <f t="shared" si="3"/>
        <v>-3.6134683821516522E-2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42388</v>
      </c>
      <c r="X37" s="44">
        <v>38.97</v>
      </c>
      <c r="Y37" s="44">
        <v>39.26</v>
      </c>
      <c r="Z37" s="44">
        <v>35.72</v>
      </c>
      <c r="AA37" s="44">
        <v>36.53</v>
      </c>
      <c r="AB37" s="114">
        <v>6149500</v>
      </c>
      <c r="AC37" s="44">
        <v>36.53</v>
      </c>
      <c r="AD37" s="2">
        <f t="shared" si="2"/>
        <v>3.5399999999999991</v>
      </c>
      <c r="AE37" s="148">
        <f t="shared" si="3"/>
        <v>-5.6559917355371803E-2</v>
      </c>
    </row>
    <row r="38" spans="2:31" x14ac:dyDescent="0.25">
      <c r="B38" s="22">
        <v>42375</v>
      </c>
      <c r="C38" s="4">
        <v>100</v>
      </c>
      <c r="D38" s="282">
        <v>46.02</v>
      </c>
      <c r="E38" s="3">
        <v>0</v>
      </c>
      <c r="F38" s="3">
        <f t="shared" si="4"/>
        <v>4602</v>
      </c>
      <c r="W38" s="120">
        <v>42384</v>
      </c>
      <c r="X38" s="44">
        <v>38</v>
      </c>
      <c r="Y38" s="44">
        <v>39.21</v>
      </c>
      <c r="Z38" s="44">
        <v>37.71</v>
      </c>
      <c r="AA38" s="44">
        <v>38.72</v>
      </c>
      <c r="AB38" s="114">
        <v>6923600</v>
      </c>
      <c r="AC38" s="44">
        <v>38.72</v>
      </c>
      <c r="AD38" s="2">
        <f t="shared" si="2"/>
        <v>1.5</v>
      </c>
      <c r="AE38" s="148">
        <f t="shared" si="3"/>
        <v>-3.1031031031031109E-2</v>
      </c>
    </row>
    <row r="39" spans="2:31" x14ac:dyDescent="0.25">
      <c r="B39" s="22">
        <v>42375</v>
      </c>
      <c r="C39" s="4">
        <v>50</v>
      </c>
      <c r="D39" s="282">
        <v>45.1</v>
      </c>
      <c r="E39" s="3">
        <v>0</v>
      </c>
      <c r="F39" s="3">
        <f t="shared" si="4"/>
        <v>2255</v>
      </c>
      <c r="W39" s="120">
        <v>42383</v>
      </c>
      <c r="X39" s="44">
        <v>38.880000000000003</v>
      </c>
      <c r="Y39" s="44">
        <v>40.54</v>
      </c>
      <c r="Z39" s="44">
        <v>38.47</v>
      </c>
      <c r="AA39" s="44">
        <v>39.96</v>
      </c>
      <c r="AB39" s="114">
        <v>7968400</v>
      </c>
      <c r="AC39" s="44">
        <v>39.96</v>
      </c>
      <c r="AD39" s="2">
        <f t="shared" si="2"/>
        <v>2.0700000000000003</v>
      </c>
      <c r="AE39" s="148">
        <f t="shared" si="3"/>
        <v>3.5501425239699236E-2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42382</v>
      </c>
      <c r="X40" s="44">
        <v>40.19</v>
      </c>
      <c r="Y40" s="44">
        <v>41.05</v>
      </c>
      <c r="Z40" s="44">
        <v>38.22</v>
      </c>
      <c r="AA40" s="44">
        <v>38.590000000000003</v>
      </c>
      <c r="AB40" s="114">
        <v>7043000</v>
      </c>
      <c r="AC40" s="44">
        <v>38.590000000000003</v>
      </c>
      <c r="AD40" s="2">
        <f t="shared" si="2"/>
        <v>2.8299999999999983</v>
      </c>
      <c r="AE40" s="148">
        <f t="shared" si="3"/>
        <v>-2.5505050505050475E-2</v>
      </c>
    </row>
    <row r="41" spans="2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42381</v>
      </c>
      <c r="X41" s="44">
        <v>42.49</v>
      </c>
      <c r="Y41" s="44">
        <v>42.82</v>
      </c>
      <c r="Z41" s="44">
        <v>38.799999999999997</v>
      </c>
      <c r="AA41" s="44">
        <v>39.6</v>
      </c>
      <c r="AB41" s="114">
        <v>6291100</v>
      </c>
      <c r="AC41" s="44">
        <v>39.6</v>
      </c>
      <c r="AD41" s="2">
        <f t="shared" si="2"/>
        <v>4.0200000000000031</v>
      </c>
      <c r="AE41" s="148">
        <f t="shared" si="3"/>
        <v>-5.0131926121371961E-2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42380</v>
      </c>
      <c r="X42" s="44">
        <v>43.55</v>
      </c>
      <c r="Y42" s="44">
        <v>43.77</v>
      </c>
      <c r="Z42" s="44">
        <v>41.3</v>
      </c>
      <c r="AA42" s="44">
        <v>41.69</v>
      </c>
      <c r="AB42" s="114">
        <v>6021500</v>
      </c>
      <c r="AC42" s="44">
        <v>41.69</v>
      </c>
      <c r="AD42" s="2">
        <f t="shared" si="2"/>
        <v>2.470000000000006</v>
      </c>
      <c r="AE42" s="148">
        <f t="shared" si="3"/>
        <v>-4.3368517668655349E-2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42377</v>
      </c>
      <c r="X43" s="44">
        <v>43.93</v>
      </c>
      <c r="Y43" s="44">
        <v>44.42</v>
      </c>
      <c r="Z43" s="44">
        <v>42.86</v>
      </c>
      <c r="AA43" s="44">
        <v>43.58</v>
      </c>
      <c r="AB43" s="114">
        <v>3851900</v>
      </c>
      <c r="AC43" s="44">
        <v>43.58</v>
      </c>
      <c r="AD43" s="2">
        <f t="shared" si="2"/>
        <v>1.5600000000000023</v>
      </c>
      <c r="AE43" s="148">
        <f t="shared" si="3"/>
        <v>-9.1701054562121076E-4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5" t="s">
        <v>78</v>
      </c>
      <c r="P44" s="405"/>
      <c r="T44" s="115" t="s">
        <v>94</v>
      </c>
      <c r="U44" s="37"/>
      <c r="W44" s="120">
        <v>42376</v>
      </c>
      <c r="X44" s="44">
        <v>44</v>
      </c>
      <c r="Y44" s="44">
        <v>45.51</v>
      </c>
      <c r="Z44" s="44">
        <v>43.49</v>
      </c>
      <c r="AA44" s="44">
        <v>43.62</v>
      </c>
      <c r="AB44" s="114">
        <v>4562900</v>
      </c>
      <c r="AC44" s="44">
        <v>43.62</v>
      </c>
      <c r="AD44" s="2">
        <f t="shared" si="2"/>
        <v>2.019999999999996</v>
      </c>
      <c r="AE44" s="148">
        <f t="shared" si="3"/>
        <v>-3.2172176614155834E-2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51.788000000000004</v>
      </c>
      <c r="R45" s="37"/>
      <c r="T45" s="118" t="s">
        <v>101</v>
      </c>
      <c r="U45" s="116">
        <v>46.76</v>
      </c>
      <c r="W45" s="120">
        <v>42375</v>
      </c>
      <c r="X45" s="44">
        <v>46.68</v>
      </c>
      <c r="Y45" s="44">
        <v>46.77</v>
      </c>
      <c r="Z45" s="44">
        <v>44.86</v>
      </c>
      <c r="AA45" s="44">
        <v>45.07</v>
      </c>
      <c r="AB45" s="114">
        <v>7968400</v>
      </c>
      <c r="AC45" s="44">
        <v>45.07</v>
      </c>
      <c r="AD45" s="2">
        <f t="shared" si="2"/>
        <v>1.9100000000000037</v>
      </c>
      <c r="AE45" s="148">
        <f t="shared" si="3"/>
        <v>-6.2408986894112783E-2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51.3172</v>
      </c>
      <c r="Q46" s="2"/>
      <c r="R46" s="37"/>
      <c r="T46" s="118" t="s">
        <v>102</v>
      </c>
      <c r="U46" s="116">
        <v>47.68</v>
      </c>
      <c r="W46" s="120">
        <v>42374</v>
      </c>
      <c r="X46" s="44">
        <v>47.68</v>
      </c>
      <c r="Y46" s="44">
        <v>48.12</v>
      </c>
      <c r="Z46" s="44">
        <v>46.63</v>
      </c>
      <c r="AA46" s="44">
        <v>48.07</v>
      </c>
      <c r="AB46" s="114">
        <v>3143500</v>
      </c>
      <c r="AC46" s="44">
        <v>48.07</v>
      </c>
      <c r="AD46" s="2">
        <f t="shared" si="2"/>
        <v>1.4899999999999949</v>
      </c>
      <c r="AE46" s="148">
        <f t="shared" si="3"/>
        <v>-2.2831050228310223E-3</v>
      </c>
    </row>
    <row r="47" spans="2:31" x14ac:dyDescent="0.25">
      <c r="O47" s="93">
        <v>1.08</v>
      </c>
      <c r="P47" s="93">
        <f t="shared" si="5"/>
        <v>50.846400000000003</v>
      </c>
      <c r="Q47" s="2"/>
      <c r="R47" s="37"/>
      <c r="T47" s="118" t="s">
        <v>103</v>
      </c>
      <c r="U47" s="116" t="s">
        <v>352</v>
      </c>
      <c r="W47" s="120">
        <v>42373</v>
      </c>
      <c r="X47" s="44">
        <v>48.4</v>
      </c>
      <c r="Y47" s="44">
        <v>49.85</v>
      </c>
      <c r="Z47" s="44">
        <v>47.57</v>
      </c>
      <c r="AA47" s="44">
        <v>48.18</v>
      </c>
      <c r="AB47" s="114">
        <v>3273600</v>
      </c>
      <c r="AC47" s="44">
        <v>48.18</v>
      </c>
      <c r="AD47" s="2">
        <f t="shared" si="2"/>
        <v>2.2800000000000011</v>
      </c>
      <c r="AE47" s="148">
        <f t="shared" si="3"/>
        <v>-6.1881188118810826E-3</v>
      </c>
    </row>
    <row r="48" spans="2:31" x14ac:dyDescent="0.25">
      <c r="O48" s="93">
        <v>1.07</v>
      </c>
      <c r="P48" s="93">
        <f t="shared" si="5"/>
        <v>50.375599999999999</v>
      </c>
      <c r="Q48" s="2"/>
      <c r="R48" s="37"/>
      <c r="T48" s="118" t="s">
        <v>104</v>
      </c>
      <c r="U48" s="116" t="s">
        <v>353</v>
      </c>
      <c r="W48" s="120">
        <v>42369</v>
      </c>
      <c r="X48" s="44">
        <v>47.74</v>
      </c>
      <c r="Y48" s="44">
        <v>48.9</v>
      </c>
      <c r="Z48" s="44">
        <v>47.71</v>
      </c>
      <c r="AA48" s="44">
        <v>48.48</v>
      </c>
      <c r="AB48" s="114">
        <v>2394700</v>
      </c>
      <c r="AC48" s="44">
        <v>48.48</v>
      </c>
      <c r="AD48" s="2">
        <f t="shared" si="2"/>
        <v>1.1899999999999977</v>
      </c>
      <c r="AE48" s="148">
        <f t="shared" si="3"/>
        <v>6.4355407930245523E-3</v>
      </c>
    </row>
    <row r="49" spans="1:31" x14ac:dyDescent="0.25">
      <c r="O49" s="93">
        <v>1.06</v>
      </c>
      <c r="P49" s="93">
        <f t="shared" si="5"/>
        <v>49.904800000000002</v>
      </c>
      <c r="Q49" s="2"/>
      <c r="R49" s="37"/>
      <c r="T49" s="118" t="s">
        <v>105</v>
      </c>
      <c r="U49" s="116">
        <v>54.35</v>
      </c>
      <c r="W49" s="120">
        <v>42368</v>
      </c>
      <c r="X49" s="44">
        <v>48.49</v>
      </c>
      <c r="Y49" s="44">
        <v>49.61</v>
      </c>
      <c r="Z49" s="44">
        <v>48.1</v>
      </c>
      <c r="AA49" s="44">
        <v>48.17</v>
      </c>
      <c r="AB49" s="114">
        <v>1932300</v>
      </c>
      <c r="AC49" s="44">
        <v>48.17</v>
      </c>
      <c r="AD49" s="2">
        <f t="shared" si="2"/>
        <v>1.509999999999998</v>
      </c>
      <c r="AE49" s="148">
        <f t="shared" si="3"/>
        <v>-2.4108589951377546E-2</v>
      </c>
    </row>
    <row r="50" spans="1:31" x14ac:dyDescent="0.25">
      <c r="O50" s="93">
        <v>1.05</v>
      </c>
      <c r="P50" s="93">
        <f t="shared" si="5"/>
        <v>49.433999999999997</v>
      </c>
      <c r="Q50" s="2"/>
      <c r="R50" s="37"/>
      <c r="T50" s="118" t="s">
        <v>106</v>
      </c>
      <c r="U50" s="116">
        <v>1.4104399999999999</v>
      </c>
      <c r="W50" s="120">
        <v>42367</v>
      </c>
      <c r="X50" s="44">
        <v>49.8</v>
      </c>
      <c r="Y50" s="44">
        <v>49.99</v>
      </c>
      <c r="Z50" s="44">
        <v>48.79</v>
      </c>
      <c r="AA50" s="44">
        <v>49.36</v>
      </c>
      <c r="AB50" s="114">
        <v>1893500</v>
      </c>
      <c r="AC50" s="44">
        <v>49.36</v>
      </c>
      <c r="AD50" s="2">
        <f t="shared" si="2"/>
        <v>1.2000000000000028</v>
      </c>
      <c r="AE50" s="148">
        <f t="shared" si="3"/>
        <v>7.5525617472953499E-3</v>
      </c>
    </row>
    <row r="51" spans="1:31" x14ac:dyDescent="0.25">
      <c r="O51" s="93">
        <v>1.04</v>
      </c>
      <c r="P51" s="93">
        <f t="shared" si="5"/>
        <v>48.963200000000001</v>
      </c>
      <c r="Q51" s="2"/>
      <c r="R51" s="37"/>
      <c r="T51" s="118" t="s">
        <v>126</v>
      </c>
      <c r="U51" s="116" t="s">
        <v>254</v>
      </c>
      <c r="W51" s="120">
        <v>42366</v>
      </c>
      <c r="X51" s="44">
        <v>49.43</v>
      </c>
      <c r="Y51" s="44">
        <v>49.9</v>
      </c>
      <c r="Z51" s="44">
        <v>48.74</v>
      </c>
      <c r="AA51" s="44">
        <v>48.99</v>
      </c>
      <c r="AB51" s="114">
        <v>2298600</v>
      </c>
      <c r="AC51" s="44">
        <v>48.99</v>
      </c>
      <c r="AD51" s="2">
        <f t="shared" si="2"/>
        <v>1.1599999999999966</v>
      </c>
      <c r="AE51" s="148">
        <f t="shared" si="3"/>
        <v>-3.1243820446905213E-2</v>
      </c>
    </row>
    <row r="52" spans="1:31" x14ac:dyDescent="0.25">
      <c r="O52" s="93">
        <v>1.03</v>
      </c>
      <c r="P52" s="93">
        <f t="shared" si="5"/>
        <v>48.492399999999996</v>
      </c>
      <c r="Q52" s="2"/>
      <c r="R52" s="37"/>
      <c r="T52" s="118"/>
      <c r="U52" s="116"/>
      <c r="W52" s="120">
        <v>42362</v>
      </c>
      <c r="X52" s="44">
        <v>51.11</v>
      </c>
      <c r="Y52" s="44">
        <v>51.26</v>
      </c>
      <c r="Z52" s="44">
        <v>49.83</v>
      </c>
      <c r="AA52" s="44">
        <v>50.57</v>
      </c>
      <c r="AB52" s="114">
        <v>1147100</v>
      </c>
      <c r="AC52" s="44">
        <v>50.57</v>
      </c>
      <c r="AD52" s="2">
        <f t="shared" si="2"/>
        <v>1.4299999999999997</v>
      </c>
      <c r="AE52" s="148">
        <f t="shared" si="3"/>
        <v>-1.3653208503998537E-2</v>
      </c>
    </row>
    <row r="53" spans="1:31" x14ac:dyDescent="0.25">
      <c r="A53" s="35" t="s">
        <v>81</v>
      </c>
      <c r="B53" s="128"/>
      <c r="C53" s="16">
        <f>SUM(C2:C46)</f>
        <v>3330</v>
      </c>
      <c r="D53" s="91"/>
      <c r="E53" s="16"/>
      <c r="F53" s="21">
        <f>SUM(F2:F46)</f>
        <v>164235.88</v>
      </c>
      <c r="G53" s="16"/>
      <c r="H53" s="82">
        <f>SUM(H2:H52)</f>
        <v>3130</v>
      </c>
      <c r="I53" s="16"/>
      <c r="J53" s="16"/>
      <c r="K53" s="21">
        <f>SUM(K2:K52)</f>
        <v>156158.33000000002</v>
      </c>
      <c r="L53" s="16"/>
      <c r="M53" s="21">
        <f>SUM(M2:M25)</f>
        <v>142.5</v>
      </c>
      <c r="O53" s="93">
        <v>1.02</v>
      </c>
      <c r="P53" s="93">
        <f t="shared" si="5"/>
        <v>48.021599999999999</v>
      </c>
      <c r="Q53" s="2"/>
      <c r="R53" s="37"/>
      <c r="T53" s="118" t="s">
        <v>108</v>
      </c>
      <c r="U53" s="116" t="s">
        <v>354</v>
      </c>
      <c r="W53" s="120">
        <v>42361</v>
      </c>
      <c r="X53" s="44">
        <v>49.77</v>
      </c>
      <c r="Y53" s="44">
        <v>51.32</v>
      </c>
      <c r="Z53" s="44">
        <v>49.55</v>
      </c>
      <c r="AA53" s="44">
        <v>51.27</v>
      </c>
      <c r="AB53" s="114">
        <v>3910500</v>
      </c>
      <c r="AC53" s="44">
        <v>51.27</v>
      </c>
      <c r="AD53" s="2">
        <f t="shared" si="2"/>
        <v>1.7700000000000031</v>
      </c>
      <c r="AE53" s="148">
        <f t="shared" si="3"/>
        <v>5.7549504950495267E-2</v>
      </c>
    </row>
    <row r="54" spans="1:31" x14ac:dyDescent="0.25">
      <c r="O54" s="93">
        <v>1.01</v>
      </c>
      <c r="P54" s="93">
        <f t="shared" si="5"/>
        <v>47.550799999999995</v>
      </c>
      <c r="Q54" s="2"/>
      <c r="R54" s="37"/>
      <c r="T54" s="118" t="s">
        <v>109</v>
      </c>
      <c r="U54" s="116" t="s">
        <v>253</v>
      </c>
      <c r="W54" s="120">
        <v>42360</v>
      </c>
      <c r="X54" s="44">
        <v>47.72</v>
      </c>
      <c r="Y54" s="44">
        <v>48.76</v>
      </c>
      <c r="Z54" s="44">
        <v>47.37</v>
      </c>
      <c r="AA54" s="44">
        <v>48.48</v>
      </c>
      <c r="AB54" s="114">
        <v>3320200</v>
      </c>
      <c r="AC54" s="44">
        <v>48.48</v>
      </c>
      <c r="AD54" s="2">
        <f t="shared" si="2"/>
        <v>1.3900000000000006</v>
      </c>
      <c r="AE54" s="148">
        <f t="shared" si="3"/>
        <v>2.1922428330522825E-2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62" t="s">
        <v>177</v>
      </c>
      <c r="H55" s="218" t="s">
        <v>90</v>
      </c>
      <c r="I55" s="218" t="s">
        <v>185</v>
      </c>
      <c r="J55" s="2" t="s">
        <v>128</v>
      </c>
      <c r="O55" s="93">
        <v>1</v>
      </c>
      <c r="P55" s="93">
        <f t="shared" si="5"/>
        <v>47.08</v>
      </c>
      <c r="Q55" s="2"/>
      <c r="R55" s="37"/>
      <c r="T55" s="118" t="s">
        <v>110</v>
      </c>
      <c r="U55" s="117">
        <v>4652781</v>
      </c>
      <c r="W55" s="120">
        <v>42359</v>
      </c>
      <c r="X55" s="44">
        <v>48.87</v>
      </c>
      <c r="Y55" s="44">
        <v>49.24</v>
      </c>
      <c r="Z55" s="44">
        <v>47.04</v>
      </c>
      <c r="AA55" s="44">
        <v>47.44</v>
      </c>
      <c r="AB55" s="114">
        <v>5436300</v>
      </c>
      <c r="AC55" s="44">
        <v>47.44</v>
      </c>
      <c r="AD55" s="2">
        <f t="shared" si="2"/>
        <v>2.2000000000000028</v>
      </c>
      <c r="AE55" s="148">
        <f t="shared" si="3"/>
        <v>-2.1855670103092861E-2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46.609200000000001</v>
      </c>
      <c r="Q56" s="2"/>
      <c r="R56" s="37"/>
      <c r="T56" s="118" t="s">
        <v>113</v>
      </c>
      <c r="U56" s="117">
        <v>6917130</v>
      </c>
      <c r="W56" s="120">
        <v>42356</v>
      </c>
      <c r="X56" s="44">
        <v>49.2</v>
      </c>
      <c r="Y56" s="44">
        <v>50.84</v>
      </c>
      <c r="Z56" s="44">
        <v>48.47</v>
      </c>
      <c r="AA56" s="44">
        <v>48.5</v>
      </c>
      <c r="AB56" s="114">
        <v>5523600</v>
      </c>
      <c r="AC56" s="44">
        <v>48.5</v>
      </c>
      <c r="AD56" s="2">
        <f t="shared" si="2"/>
        <v>2.3700000000000045</v>
      </c>
      <c r="AE56" s="148">
        <f t="shared" si="3"/>
        <v>-1.4227642276422814E-2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46.138399999999997</v>
      </c>
      <c r="Q57" s="2"/>
      <c r="R57" s="37"/>
      <c r="T57" s="118" t="s">
        <v>111</v>
      </c>
      <c r="U57" s="116" t="s">
        <v>355</v>
      </c>
      <c r="W57" s="120">
        <v>42355</v>
      </c>
      <c r="X57" s="44">
        <v>51.04</v>
      </c>
      <c r="Y57" s="44">
        <v>51.18</v>
      </c>
      <c r="Z57" s="44">
        <v>48.47</v>
      </c>
      <c r="AA57" s="44">
        <v>49.2</v>
      </c>
      <c r="AB57" s="114">
        <v>4490000</v>
      </c>
      <c r="AC57" s="44">
        <v>49.2</v>
      </c>
      <c r="AD57" s="2">
        <f t="shared" si="2"/>
        <v>2.7100000000000009</v>
      </c>
      <c r="AE57" s="148">
        <f t="shared" si="3"/>
        <v>-3.3778476040848382E-2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45.6676</v>
      </c>
      <c r="Q58" s="2"/>
      <c r="R58" s="37"/>
      <c r="T58" s="118" t="s">
        <v>114</v>
      </c>
      <c r="U58" s="116" t="s">
        <v>134</v>
      </c>
      <c r="W58" s="120">
        <v>42354</v>
      </c>
      <c r="X58" s="44">
        <v>51.37</v>
      </c>
      <c r="Y58" s="44">
        <v>52.52</v>
      </c>
      <c r="Z58" s="44">
        <v>50.4</v>
      </c>
      <c r="AA58" s="44">
        <v>50.92</v>
      </c>
      <c r="AB58" s="114">
        <v>4409000</v>
      </c>
      <c r="AC58" s="44">
        <v>50.92</v>
      </c>
      <c r="AD58" s="2">
        <f t="shared" si="2"/>
        <v>2.1200000000000045</v>
      </c>
      <c r="AE58" s="148">
        <f t="shared" si="3"/>
        <v>-1.5658225401121162E-2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45.196799999999996</v>
      </c>
      <c r="T59" s="118" t="s">
        <v>115</v>
      </c>
      <c r="U59" s="116">
        <v>-10.78</v>
      </c>
      <c r="W59" s="120">
        <v>42353</v>
      </c>
      <c r="X59" s="44">
        <v>51.12</v>
      </c>
      <c r="Y59" s="44">
        <v>51.94</v>
      </c>
      <c r="Z59" s="44">
        <v>50.79</v>
      </c>
      <c r="AA59" s="44">
        <v>51.73</v>
      </c>
      <c r="AB59" s="114">
        <v>4095000</v>
      </c>
      <c r="AC59" s="44">
        <v>51.73</v>
      </c>
      <c r="AD59" s="2">
        <f t="shared" si="2"/>
        <v>1.1499999999999986</v>
      </c>
      <c r="AE59" s="148" t="e">
        <f t="shared" si="3"/>
        <v>#DIV/0!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44.725999999999999</v>
      </c>
      <c r="T60" s="118" t="s">
        <v>112</v>
      </c>
      <c r="U60" s="116" t="s">
        <v>310</v>
      </c>
      <c r="W60" s="120">
        <v>42353</v>
      </c>
      <c r="X60" s="44" t="s">
        <v>130</v>
      </c>
      <c r="Y60" s="44"/>
      <c r="Z60" s="44"/>
      <c r="AA60" s="44"/>
      <c r="AB60" s="114"/>
      <c r="AC60" s="44"/>
      <c r="AD60" s="2">
        <f t="shared" si="2"/>
        <v>0</v>
      </c>
      <c r="AE60" s="148">
        <f t="shared" si="3"/>
        <v>-1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5" si="9">C61*(E61-D61)</f>
        <v>943.60000000000014</v>
      </c>
      <c r="G61" s="43">
        <f t="shared" ref="G61:G85" si="10">D61*C61</f>
        <v>3448.3999999999996</v>
      </c>
      <c r="H61" s="269">
        <f t="shared" ref="H61:H85" si="11">(E61-D61)/D61</f>
        <v>0.27363414917062989</v>
      </c>
      <c r="I61" s="218"/>
      <c r="O61" s="93">
        <v>0.94</v>
      </c>
      <c r="P61" s="93">
        <f t="shared" si="5"/>
        <v>44.255199999999995</v>
      </c>
      <c r="W61" s="120">
        <v>42352</v>
      </c>
      <c r="X61" s="44">
        <v>49.85</v>
      </c>
      <c r="Y61" s="44">
        <v>50.72</v>
      </c>
      <c r="Z61" s="44">
        <v>48.89</v>
      </c>
      <c r="AA61" s="44">
        <v>50.12</v>
      </c>
      <c r="AB61" s="114">
        <v>4079200</v>
      </c>
      <c r="AC61" s="44">
        <v>49.87</v>
      </c>
      <c r="AD61" s="2">
        <f t="shared" si="2"/>
        <v>1.8299999999999983</v>
      </c>
      <c r="AE61" s="148">
        <f t="shared" si="3"/>
        <v>-6.1777600637704655E-3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43.784399999999998</v>
      </c>
      <c r="W62" s="120">
        <v>42349</v>
      </c>
      <c r="X62" s="44">
        <v>51.73</v>
      </c>
      <c r="Y62" s="44">
        <v>51.75</v>
      </c>
      <c r="Z62" s="44">
        <v>49.5</v>
      </c>
      <c r="AA62" s="44">
        <v>50.43</v>
      </c>
      <c r="AB62" s="114">
        <v>4142200</v>
      </c>
      <c r="AC62" s="44">
        <v>50.18</v>
      </c>
      <c r="AD62" s="2">
        <f t="shared" si="2"/>
        <v>2.25</v>
      </c>
      <c r="AE62" s="148">
        <f t="shared" si="3"/>
        <v>-3.9065492148601999E-2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43.313600000000001</v>
      </c>
      <c r="W63" s="120">
        <v>42348</v>
      </c>
      <c r="X63" s="44">
        <v>51.62</v>
      </c>
      <c r="Y63" s="44">
        <v>53.11</v>
      </c>
      <c r="Z63" s="44">
        <v>51.1</v>
      </c>
      <c r="AA63" s="44">
        <v>52.48</v>
      </c>
      <c r="AB63" s="114">
        <v>3718700</v>
      </c>
      <c r="AC63" s="44">
        <v>52.22</v>
      </c>
      <c r="AD63" s="2">
        <f t="shared" si="2"/>
        <v>2.009999999999998</v>
      </c>
      <c r="AE63" s="148">
        <f t="shared" si="3"/>
        <v>9.8626958035195056E-3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42.842799999999997</v>
      </c>
      <c r="W64" s="120">
        <v>42347</v>
      </c>
      <c r="X64" s="44">
        <v>52.4</v>
      </c>
      <c r="Y64" s="44">
        <v>54.12</v>
      </c>
      <c r="Z64" s="44">
        <v>51.43</v>
      </c>
      <c r="AA64" s="44">
        <v>51.97</v>
      </c>
      <c r="AB64" s="114">
        <v>3336000</v>
      </c>
      <c r="AC64" s="44">
        <v>51.71</v>
      </c>
      <c r="AD64" s="2">
        <f t="shared" si="2"/>
        <v>2.6899999999999977</v>
      </c>
      <c r="AE64" s="148">
        <f t="shared" si="3"/>
        <v>3.8692203520995783E-4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42.372</v>
      </c>
      <c r="W65" s="120">
        <v>42346</v>
      </c>
      <c r="X65" s="44">
        <v>51.43</v>
      </c>
      <c r="Y65" s="44">
        <v>53.08</v>
      </c>
      <c r="Z65" s="44">
        <v>50.62</v>
      </c>
      <c r="AA65" s="44">
        <v>51.95</v>
      </c>
      <c r="AB65" s="114">
        <v>3666000</v>
      </c>
      <c r="AC65" s="44">
        <v>51.69</v>
      </c>
      <c r="AD65" s="2">
        <f t="shared" si="2"/>
        <v>2.4600000000000009</v>
      </c>
      <c r="AE65" s="148">
        <f t="shared" si="3"/>
        <v>-1.9908987485779406E-2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42345</v>
      </c>
      <c r="X66" s="44">
        <v>53.01</v>
      </c>
      <c r="Y66" s="44">
        <v>53.47</v>
      </c>
      <c r="Z66" s="44">
        <v>51.83</v>
      </c>
      <c r="AA66" s="44">
        <v>53</v>
      </c>
      <c r="AB66" s="114">
        <v>4956800</v>
      </c>
      <c r="AC66" s="44">
        <v>52.74</v>
      </c>
      <c r="AD66" s="2">
        <f t="shared" si="2"/>
        <v>1.6400000000000006</v>
      </c>
      <c r="AE66" s="148">
        <f t="shared" si="3"/>
        <v>-3.4596375617792385E-2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42342</v>
      </c>
      <c r="X67" s="44">
        <v>54.36</v>
      </c>
      <c r="Y67" s="44">
        <v>55.23</v>
      </c>
      <c r="Z67" s="44">
        <v>53.15</v>
      </c>
      <c r="AA67" s="44">
        <v>54.9</v>
      </c>
      <c r="AB67" s="114">
        <v>4964600</v>
      </c>
      <c r="AC67" s="44">
        <v>54.63</v>
      </c>
      <c r="AD67" s="2">
        <f>Y67-Z67</f>
        <v>2.0799999999999983</v>
      </c>
      <c r="AE67" s="148">
        <f>AC67/AC68-1</f>
        <v>-1.1758321273516614E-2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42341</v>
      </c>
      <c r="X68" s="44">
        <v>57.15</v>
      </c>
      <c r="Y68" s="44">
        <v>57.99</v>
      </c>
      <c r="Z68" s="44">
        <v>55.36</v>
      </c>
      <c r="AA68" s="44">
        <v>55.56</v>
      </c>
      <c r="AB68" s="114">
        <v>5252200</v>
      </c>
      <c r="AC68" s="44">
        <v>55.28</v>
      </c>
      <c r="AD68" s="2">
        <f>Y68-Z68</f>
        <v>2.6300000000000026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70">
        <f t="shared" si="11"/>
        <v>0.11711911357340712</v>
      </c>
      <c r="I84" s="218"/>
    </row>
    <row r="85" spans="2:9" x14ac:dyDescent="0.25">
      <c r="B85" s="216">
        <v>42433</v>
      </c>
      <c r="C85" s="306">
        <v>450</v>
      </c>
      <c r="D85" s="307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70">
        <f t="shared" si="11"/>
        <v>8.4287155198877362E-2</v>
      </c>
      <c r="I85" s="218">
        <v>45</v>
      </c>
    </row>
    <row r="86" spans="2:9" x14ac:dyDescent="0.25">
      <c r="B86" s="216"/>
      <c r="C86" s="12"/>
      <c r="D86" s="225"/>
      <c r="E86" s="43"/>
      <c r="F86" s="43"/>
      <c r="G86" s="43"/>
      <c r="H86" s="270"/>
      <c r="I86" s="218"/>
    </row>
    <row r="87" spans="2:9" x14ac:dyDescent="0.25">
      <c r="B87" s="216"/>
      <c r="C87" s="12"/>
      <c r="D87" s="225"/>
      <c r="E87" s="43"/>
      <c r="F87" s="43"/>
      <c r="G87" s="43"/>
      <c r="H87" s="270"/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42438</v>
      </c>
      <c r="X2" s="12">
        <v>78.900000000000006</v>
      </c>
      <c r="Y2" s="12">
        <v>80.2</v>
      </c>
      <c r="Z2" s="12">
        <v>78.67</v>
      </c>
      <c r="AA2" s="12">
        <v>80.14</v>
      </c>
      <c r="AB2" s="105">
        <v>6028500</v>
      </c>
      <c r="AC2" s="12">
        <v>80.14</v>
      </c>
      <c r="AD2" s="2">
        <f>Y2-Z2</f>
        <v>1.5300000000000011</v>
      </c>
      <c r="AE2" s="148">
        <f>AC2/AC3-1</f>
        <v>2.4153354632587831E-2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80.14</v>
      </c>
      <c r="W3" s="143">
        <v>42437</v>
      </c>
      <c r="X3" s="12">
        <v>80.64</v>
      </c>
      <c r="Y3" s="12">
        <v>81.06</v>
      </c>
      <c r="Z3" s="12">
        <v>78.150000000000006</v>
      </c>
      <c r="AA3" s="12">
        <v>78.25</v>
      </c>
      <c r="AB3" s="105">
        <v>5912100</v>
      </c>
      <c r="AC3" s="12">
        <v>78.25</v>
      </c>
      <c r="AD3" s="2">
        <f t="shared" ref="AD3:AD66" si="1">Y3-Z3</f>
        <v>2.9099999999999966</v>
      </c>
      <c r="AE3" s="148">
        <f t="shared" ref="AE3:AE66" si="2">AC3/AC4-1</f>
        <v>-3.9287906691221619E-2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80.14</v>
      </c>
      <c r="W4" s="143">
        <v>42436</v>
      </c>
      <c r="X4" s="12">
        <v>80.03</v>
      </c>
      <c r="Y4" s="12">
        <v>81.569999999999993</v>
      </c>
      <c r="Z4" s="12">
        <v>79.75</v>
      </c>
      <c r="AA4" s="12">
        <v>81.45</v>
      </c>
      <c r="AB4" s="105">
        <v>6534300</v>
      </c>
      <c r="AC4" s="12">
        <v>81.45</v>
      </c>
      <c r="AD4" s="2">
        <f t="shared" si="1"/>
        <v>1.8199999999999932</v>
      </c>
      <c r="AE4" s="148">
        <f t="shared" si="2"/>
        <v>1.1801242236024967E-2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42433</v>
      </c>
      <c r="X5" s="12">
        <v>80.22</v>
      </c>
      <c r="Y5" s="12">
        <v>81.45</v>
      </c>
      <c r="Z5" s="12">
        <v>79.989999999999995</v>
      </c>
      <c r="AA5" s="12">
        <v>80.5</v>
      </c>
      <c r="AB5" s="105">
        <v>6411500</v>
      </c>
      <c r="AC5" s="12">
        <v>80.5</v>
      </c>
      <c r="AD5" s="2">
        <f t="shared" si="1"/>
        <v>1.460000000000008</v>
      </c>
      <c r="AE5" s="148">
        <f t="shared" si="2"/>
        <v>6.1242344706911034E-3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42432</v>
      </c>
      <c r="X6" s="12">
        <v>79.86</v>
      </c>
      <c r="Y6" s="12">
        <v>80.55</v>
      </c>
      <c r="Z6" s="12">
        <v>79.08</v>
      </c>
      <c r="AA6" s="12">
        <v>80.010000000000005</v>
      </c>
      <c r="AB6" s="105">
        <v>5167400</v>
      </c>
      <c r="AC6" s="12">
        <v>80.010000000000005</v>
      </c>
      <c r="AD6" s="2">
        <f t="shared" si="1"/>
        <v>1.4699999999999989</v>
      </c>
      <c r="AE6" s="148">
        <f t="shared" si="2"/>
        <v>6.4150943396226179E-3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42431</v>
      </c>
      <c r="X7" s="12">
        <v>80.239999999999995</v>
      </c>
      <c r="Y7" s="12">
        <v>80.83</v>
      </c>
      <c r="Z7" s="12">
        <v>79.25</v>
      </c>
      <c r="AA7" s="12">
        <v>79.5</v>
      </c>
      <c r="AB7" s="105">
        <v>5610200</v>
      </c>
      <c r="AC7" s="12">
        <v>79.5</v>
      </c>
      <c r="AD7" s="2">
        <f t="shared" si="1"/>
        <v>1.5799999999999983</v>
      </c>
      <c r="AE7" s="148">
        <f t="shared" si="2"/>
        <v>-7.7383924113829661E-3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42430</v>
      </c>
      <c r="X8" s="12">
        <v>79.7</v>
      </c>
      <c r="Y8" s="12">
        <v>80.92</v>
      </c>
      <c r="Z8" s="12">
        <v>79.14</v>
      </c>
      <c r="AA8" s="12">
        <v>80.12</v>
      </c>
      <c r="AB8" s="105">
        <v>5909800</v>
      </c>
      <c r="AC8" s="12">
        <v>80.12</v>
      </c>
      <c r="AD8" s="2">
        <f t="shared" si="1"/>
        <v>1.7800000000000011</v>
      </c>
      <c r="AE8" s="148">
        <f t="shared" si="2"/>
        <v>1.597768196804461E-2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42429</v>
      </c>
      <c r="X9" s="12">
        <v>79.81</v>
      </c>
      <c r="Y9" s="12">
        <v>79.98</v>
      </c>
      <c r="Z9" s="12">
        <v>78.75</v>
      </c>
      <c r="AA9" s="12">
        <v>78.86</v>
      </c>
      <c r="AB9" s="105">
        <v>5358600</v>
      </c>
      <c r="AC9" s="12">
        <v>78.86</v>
      </c>
      <c r="AD9" s="2">
        <f t="shared" si="1"/>
        <v>1.230000000000004</v>
      </c>
      <c r="AE9" s="148">
        <f t="shared" si="2"/>
        <v>-1.4249999999999985E-2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42426</v>
      </c>
      <c r="X10" s="12">
        <v>80.09</v>
      </c>
      <c r="Y10" s="12">
        <v>81.260000000000005</v>
      </c>
      <c r="Z10" s="12">
        <v>79.790000000000006</v>
      </c>
      <c r="AA10" s="12">
        <v>80</v>
      </c>
      <c r="AB10" s="105">
        <v>3836900</v>
      </c>
      <c r="AC10" s="12">
        <v>80</v>
      </c>
      <c r="AD10" s="2">
        <f t="shared" si="1"/>
        <v>1.4699999999999989</v>
      </c>
      <c r="AE10" s="148">
        <f t="shared" si="2"/>
        <v>8.5728693898134978E-3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42425</v>
      </c>
      <c r="X11" s="12">
        <v>79.5</v>
      </c>
      <c r="Y11" s="12">
        <v>80.349999999999994</v>
      </c>
      <c r="Z11" s="12">
        <v>78.53</v>
      </c>
      <c r="AA11" s="12">
        <v>79.319999999999993</v>
      </c>
      <c r="AB11" s="105">
        <v>3243000</v>
      </c>
      <c r="AC11" s="12">
        <v>79.319999999999993</v>
      </c>
      <c r="AD11" s="2">
        <f t="shared" si="1"/>
        <v>1.8199999999999932</v>
      </c>
      <c r="AE11" s="148" t="e">
        <f t="shared" si="2"/>
        <v>#DIV/0!</v>
      </c>
    </row>
    <row r="12" spans="1:31" x14ac:dyDescent="0.25">
      <c r="U12" s="147"/>
      <c r="W12" s="143">
        <v>42425</v>
      </c>
      <c r="X12" s="12" t="s">
        <v>135</v>
      </c>
      <c r="Y12" s="12"/>
      <c r="Z12" s="12"/>
      <c r="AA12" s="12"/>
      <c r="AB12" s="105"/>
      <c r="AC12" s="12"/>
      <c r="AD12" s="2">
        <f t="shared" si="1"/>
        <v>0</v>
      </c>
      <c r="AE12" s="148">
        <f t="shared" si="2"/>
        <v>-1</v>
      </c>
    </row>
    <row r="13" spans="1:31" x14ac:dyDescent="0.25">
      <c r="T13" s="75"/>
      <c r="W13" s="143">
        <v>42424</v>
      </c>
      <c r="X13" s="12">
        <v>78.02</v>
      </c>
      <c r="Y13" s="12">
        <v>80.290000000000006</v>
      </c>
      <c r="Z13" s="12">
        <v>77.069999999999993</v>
      </c>
      <c r="AA13" s="12">
        <v>80.09</v>
      </c>
      <c r="AB13" s="105">
        <v>4800500</v>
      </c>
      <c r="AC13" s="12">
        <v>79.540000000000006</v>
      </c>
      <c r="AD13" s="2">
        <f t="shared" si="1"/>
        <v>3.2200000000000131</v>
      </c>
      <c r="AE13" s="148">
        <f t="shared" si="2"/>
        <v>1.4411427113888653E-2</v>
      </c>
    </row>
    <row r="14" spans="1:31" x14ac:dyDescent="0.25">
      <c r="W14" s="143">
        <v>42423</v>
      </c>
      <c r="X14" s="12">
        <v>80.5</v>
      </c>
      <c r="Y14" s="12">
        <v>81.05</v>
      </c>
      <c r="Z14" s="12">
        <v>78.790000000000006</v>
      </c>
      <c r="AA14" s="12">
        <v>78.95</v>
      </c>
      <c r="AB14" s="105">
        <v>4966300</v>
      </c>
      <c r="AC14" s="12">
        <v>78.41</v>
      </c>
      <c r="AD14" s="2">
        <f t="shared" si="1"/>
        <v>2.2599999999999909</v>
      </c>
      <c r="AE14" s="148">
        <f t="shared" si="2"/>
        <v>-3.2572486119679223E-2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42422</v>
      </c>
      <c r="X15" s="12">
        <v>79.900000000000006</v>
      </c>
      <c r="Y15" s="12">
        <v>82.26</v>
      </c>
      <c r="Z15" s="12">
        <v>79.900000000000006</v>
      </c>
      <c r="AA15" s="12">
        <v>81.61</v>
      </c>
      <c r="AB15" s="105">
        <v>5448300</v>
      </c>
      <c r="AC15" s="12">
        <v>81.05</v>
      </c>
      <c r="AD15" s="2">
        <f t="shared" si="1"/>
        <v>2.3599999999999994</v>
      </c>
      <c r="AE15" s="148">
        <f t="shared" si="2"/>
        <v>2.1424070573409004E-2</v>
      </c>
    </row>
    <row r="16" spans="1:31" x14ac:dyDescent="0.25">
      <c r="W16" s="143">
        <v>42419</v>
      </c>
      <c r="X16" s="12">
        <v>78.52</v>
      </c>
      <c r="Y16" s="12">
        <v>80</v>
      </c>
      <c r="Z16" s="12">
        <v>78</v>
      </c>
      <c r="AA16" s="12">
        <v>79.900000000000006</v>
      </c>
      <c r="AB16" s="105">
        <v>4793200</v>
      </c>
      <c r="AC16" s="12">
        <v>79.349999999999994</v>
      </c>
      <c r="AD16" s="2">
        <f t="shared" si="1"/>
        <v>2</v>
      </c>
      <c r="AE16" s="148">
        <f t="shared" si="2"/>
        <v>1.5745007680491474E-2</v>
      </c>
    </row>
    <row r="17" spans="2:31" x14ac:dyDescent="0.25">
      <c r="W17" s="143">
        <v>42418</v>
      </c>
      <c r="X17" s="12">
        <v>79.760000000000005</v>
      </c>
      <c r="Y17" s="12">
        <v>80.13</v>
      </c>
      <c r="Z17" s="12">
        <v>78.180000000000007</v>
      </c>
      <c r="AA17" s="12">
        <v>78.66</v>
      </c>
      <c r="AB17" s="105">
        <v>5578000</v>
      </c>
      <c r="AC17" s="12">
        <v>78.12</v>
      </c>
      <c r="AD17" s="2">
        <f t="shared" si="1"/>
        <v>1.9499999999999886</v>
      </c>
      <c r="AE17" s="148">
        <f t="shared" si="2"/>
        <v>-1.6244805440120746E-2</v>
      </c>
    </row>
    <row r="18" spans="2:31" x14ac:dyDescent="0.25">
      <c r="W18" s="143">
        <v>42417</v>
      </c>
      <c r="X18" s="12">
        <v>78.72</v>
      </c>
      <c r="Y18" s="12">
        <v>80.5</v>
      </c>
      <c r="Z18" s="12">
        <v>78.47</v>
      </c>
      <c r="AA18" s="12">
        <v>79.959999999999994</v>
      </c>
      <c r="AB18" s="105">
        <v>6308000</v>
      </c>
      <c r="AC18" s="12">
        <v>79.41</v>
      </c>
      <c r="AD18" s="2">
        <f t="shared" si="1"/>
        <v>2.0300000000000011</v>
      </c>
      <c r="AE18" s="148">
        <f t="shared" si="2"/>
        <v>7.4854097944685449E-3</v>
      </c>
    </row>
    <row r="19" spans="2:31" x14ac:dyDescent="0.25">
      <c r="W19" s="143">
        <v>42416</v>
      </c>
      <c r="X19" s="12">
        <v>78</v>
      </c>
      <c r="Y19" s="12">
        <v>80.27</v>
      </c>
      <c r="Z19" s="12">
        <v>76.900000000000006</v>
      </c>
      <c r="AA19" s="12">
        <v>79.37</v>
      </c>
      <c r="AB19" s="105">
        <v>6640000</v>
      </c>
      <c r="AC19" s="12">
        <v>78.819999999999993</v>
      </c>
      <c r="AD19" s="2">
        <f t="shared" si="1"/>
        <v>3.3699999999999903</v>
      </c>
      <c r="AE19" s="148">
        <f t="shared" si="2"/>
        <v>2.8042259032215799E-2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62" t="s">
        <v>177</v>
      </c>
      <c r="H20" s="262" t="s">
        <v>90</v>
      </c>
      <c r="I20" s="262" t="s">
        <v>185</v>
      </c>
      <c r="W20" s="143">
        <v>42412</v>
      </c>
      <c r="X20" s="12">
        <v>77.33</v>
      </c>
      <c r="Y20" s="12">
        <v>78.34</v>
      </c>
      <c r="Z20" s="12">
        <v>76.25</v>
      </c>
      <c r="AA20" s="12">
        <v>77.2</v>
      </c>
      <c r="AB20" s="105">
        <v>5716400</v>
      </c>
      <c r="AC20" s="12">
        <v>76.67</v>
      </c>
      <c r="AD20" s="2">
        <f t="shared" si="1"/>
        <v>2.0900000000000034</v>
      </c>
      <c r="AE20" s="148">
        <f t="shared" si="2"/>
        <v>2.1994134897360684E-2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42411</v>
      </c>
      <c r="X21" s="12">
        <v>75.73</v>
      </c>
      <c r="Y21" s="12">
        <v>76.31</v>
      </c>
      <c r="Z21" s="12">
        <v>73.59</v>
      </c>
      <c r="AA21" s="12">
        <v>75.540000000000006</v>
      </c>
      <c r="AB21" s="105">
        <v>6715200</v>
      </c>
      <c r="AC21" s="12">
        <v>75.02</v>
      </c>
      <c r="AD21" s="2">
        <f t="shared" si="1"/>
        <v>2.7199999999999989</v>
      </c>
      <c r="AE21" s="148">
        <f t="shared" si="2"/>
        <v>-1.8191336212537657E-2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42410</v>
      </c>
      <c r="X22" s="12">
        <v>78.02</v>
      </c>
      <c r="Y22" s="12">
        <v>78.62</v>
      </c>
      <c r="Z22" s="12">
        <v>76.34</v>
      </c>
      <c r="AA22" s="12">
        <v>76.94</v>
      </c>
      <c r="AB22" s="105">
        <v>6259900</v>
      </c>
      <c r="AC22" s="12">
        <v>76.41</v>
      </c>
      <c r="AD22" s="2">
        <f t="shared" si="1"/>
        <v>2.2800000000000011</v>
      </c>
      <c r="AE22" s="148">
        <f t="shared" si="2"/>
        <v>-2.3501762632198719E-3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42409</v>
      </c>
      <c r="X23" s="12">
        <v>75.099999999999994</v>
      </c>
      <c r="Y23" s="12">
        <v>77.849999999999994</v>
      </c>
      <c r="Z23" s="12">
        <v>75</v>
      </c>
      <c r="AA23" s="12">
        <v>77.12</v>
      </c>
      <c r="AB23" s="105">
        <v>7406300</v>
      </c>
      <c r="AC23" s="12">
        <v>76.59</v>
      </c>
      <c r="AD23" s="2">
        <f t="shared" si="1"/>
        <v>2.8499999999999943</v>
      </c>
      <c r="AE23" s="148">
        <f t="shared" si="2"/>
        <v>1.4302741358760418E-2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42408</v>
      </c>
      <c r="X24" s="12">
        <v>74.48</v>
      </c>
      <c r="Y24" s="12">
        <v>76.56</v>
      </c>
      <c r="Z24" s="12">
        <v>73.459999999999994</v>
      </c>
      <c r="AA24" s="12">
        <v>76.03</v>
      </c>
      <c r="AB24" s="105">
        <v>7602400</v>
      </c>
      <c r="AC24" s="12">
        <v>75.510000000000005</v>
      </c>
      <c r="AD24" s="2">
        <f t="shared" si="1"/>
        <v>3.1000000000000085</v>
      </c>
      <c r="AE24" s="148">
        <f t="shared" si="2"/>
        <v>1.3421017313112404E-2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42405</v>
      </c>
      <c r="X25" s="12">
        <v>75.209999999999994</v>
      </c>
      <c r="Y25" s="12">
        <v>76.010000000000005</v>
      </c>
      <c r="Z25" s="12">
        <v>74.2</v>
      </c>
      <c r="AA25" s="12">
        <v>75.03</v>
      </c>
      <c r="AB25" s="105">
        <v>5768200</v>
      </c>
      <c r="AC25" s="12">
        <v>74.510000000000005</v>
      </c>
      <c r="AD25" s="2">
        <f t="shared" si="1"/>
        <v>1.8100000000000023</v>
      </c>
      <c r="AE25" s="148">
        <f t="shared" si="2"/>
        <v>-6.5333333333332799E-3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42404</v>
      </c>
      <c r="X26" s="12">
        <v>72.02</v>
      </c>
      <c r="Y26" s="12">
        <v>76.42</v>
      </c>
      <c r="Z26" s="12">
        <v>72.02</v>
      </c>
      <c r="AA26" s="12">
        <v>75.52</v>
      </c>
      <c r="AB26" s="105">
        <v>7297000</v>
      </c>
      <c r="AC26" s="12">
        <v>75</v>
      </c>
      <c r="AD26" s="2">
        <f t="shared" si="1"/>
        <v>4.4000000000000057</v>
      </c>
      <c r="AE26" s="148">
        <f t="shared" si="2"/>
        <v>4.5150501672240662E-2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42403</v>
      </c>
      <c r="X27" s="12">
        <v>71.989999999999995</v>
      </c>
      <c r="Y27" s="12">
        <v>72.39</v>
      </c>
      <c r="Z27" s="12">
        <v>70.540000000000006</v>
      </c>
      <c r="AA27" s="12">
        <v>72.260000000000005</v>
      </c>
      <c r="AB27" s="105">
        <v>6501200</v>
      </c>
      <c r="AC27" s="12">
        <v>71.760000000000005</v>
      </c>
      <c r="AD27" s="2">
        <f t="shared" si="1"/>
        <v>1.8499999999999943</v>
      </c>
      <c r="AE27" s="148">
        <f t="shared" si="2"/>
        <v>7.5821398483573166E-3</v>
      </c>
    </row>
    <row r="28" spans="2:31" x14ac:dyDescent="0.25">
      <c r="W28" s="143">
        <v>42402</v>
      </c>
      <c r="X28" s="12">
        <v>73.260000000000005</v>
      </c>
      <c r="Y28" s="12">
        <v>73.36</v>
      </c>
      <c r="Z28" s="12">
        <v>71.17</v>
      </c>
      <c r="AA28" s="12">
        <v>71.709999999999994</v>
      </c>
      <c r="AB28" s="105">
        <v>8607400</v>
      </c>
      <c r="AC28" s="12">
        <v>71.22</v>
      </c>
      <c r="AD28" s="2">
        <f t="shared" si="1"/>
        <v>2.1899999999999977</v>
      </c>
      <c r="AE28" s="148">
        <f t="shared" si="2"/>
        <v>-1.8873123019699789E-2</v>
      </c>
    </row>
    <row r="29" spans="2:31" x14ac:dyDescent="0.25">
      <c r="W29" s="143">
        <v>42401</v>
      </c>
      <c r="X29" s="12">
        <v>70.900000000000006</v>
      </c>
      <c r="Y29" s="12">
        <v>73.56</v>
      </c>
      <c r="Z29" s="12">
        <v>70.349999999999994</v>
      </c>
      <c r="AA29" s="12">
        <v>73.09</v>
      </c>
      <c r="AB29" s="105">
        <v>8402900</v>
      </c>
      <c r="AC29" s="12">
        <v>72.59</v>
      </c>
      <c r="AD29" s="2">
        <f t="shared" si="1"/>
        <v>3.210000000000008</v>
      </c>
      <c r="AE29" s="148">
        <f t="shared" si="2"/>
        <v>1.5102782827576489E-2</v>
      </c>
    </row>
    <row r="30" spans="2:31" x14ac:dyDescent="0.25">
      <c r="W30" s="143">
        <v>42398</v>
      </c>
      <c r="X30" s="12">
        <v>70.5</v>
      </c>
      <c r="Y30" s="12">
        <v>72.03</v>
      </c>
      <c r="Z30" s="12">
        <v>70.17</v>
      </c>
      <c r="AA30" s="12">
        <v>72</v>
      </c>
      <c r="AB30" s="105">
        <v>6920500</v>
      </c>
      <c r="AC30" s="12">
        <v>71.510000000000005</v>
      </c>
      <c r="AD30" s="2">
        <f t="shared" si="1"/>
        <v>1.8599999999999994</v>
      </c>
      <c r="AE30" s="148">
        <f t="shared" si="2"/>
        <v>2.6262916188289243E-2</v>
      </c>
    </row>
    <row r="31" spans="2:31" x14ac:dyDescent="0.25">
      <c r="W31" s="143">
        <v>42397</v>
      </c>
      <c r="X31" s="12">
        <v>69.849999999999994</v>
      </c>
      <c r="Y31" s="12">
        <v>70.31</v>
      </c>
      <c r="Z31" s="12">
        <v>68.72</v>
      </c>
      <c r="AA31" s="12">
        <v>70.16</v>
      </c>
      <c r="AB31" s="105">
        <v>6741300</v>
      </c>
      <c r="AC31" s="12">
        <v>69.680000000000007</v>
      </c>
      <c r="AD31" s="2">
        <f t="shared" si="1"/>
        <v>1.5900000000000034</v>
      </c>
      <c r="AE31" s="148">
        <f t="shared" si="2"/>
        <v>1.5891529377460412E-2</v>
      </c>
    </row>
    <row r="32" spans="2:31" x14ac:dyDescent="0.25">
      <c r="W32" s="143">
        <v>42396</v>
      </c>
      <c r="X32" s="12">
        <v>70</v>
      </c>
      <c r="Y32" s="12">
        <v>70.97</v>
      </c>
      <c r="Z32" s="12">
        <v>68.72</v>
      </c>
      <c r="AA32" s="12">
        <v>69.06</v>
      </c>
      <c r="AB32" s="105">
        <v>6202400</v>
      </c>
      <c r="AC32" s="12">
        <v>68.59</v>
      </c>
      <c r="AD32" s="2">
        <f t="shared" si="1"/>
        <v>2.25</v>
      </c>
      <c r="AE32" s="148">
        <f t="shared" si="2"/>
        <v>-1.3944795859689441E-2</v>
      </c>
    </row>
    <row r="33" spans="4:31" x14ac:dyDescent="0.25">
      <c r="W33" s="143">
        <v>42395</v>
      </c>
      <c r="X33" s="12">
        <v>69.34</v>
      </c>
      <c r="Y33" s="12">
        <v>70.47</v>
      </c>
      <c r="Z33" s="12">
        <v>69.11</v>
      </c>
      <c r="AA33" s="12">
        <v>70.040000000000006</v>
      </c>
      <c r="AB33" s="105">
        <v>6741200</v>
      </c>
      <c r="AC33" s="12">
        <v>69.56</v>
      </c>
      <c r="AD33" s="2">
        <f t="shared" si="1"/>
        <v>1.3599999999999994</v>
      </c>
      <c r="AE33" s="148">
        <f t="shared" si="2"/>
        <v>1.8149882903981451E-2</v>
      </c>
    </row>
    <row r="34" spans="4:31" x14ac:dyDescent="0.25">
      <c r="W34" s="143">
        <v>42394</v>
      </c>
      <c r="X34" s="12">
        <v>69.66</v>
      </c>
      <c r="Y34" s="12">
        <v>69.77</v>
      </c>
      <c r="Z34" s="12">
        <v>68.66</v>
      </c>
      <c r="AA34" s="12">
        <v>68.790000000000006</v>
      </c>
      <c r="AB34" s="105">
        <v>7171400</v>
      </c>
      <c r="AC34" s="12">
        <v>68.319999999999993</v>
      </c>
      <c r="AD34" s="2">
        <f t="shared" si="1"/>
        <v>1.1099999999999994</v>
      </c>
      <c r="AE34" s="148">
        <f t="shared" si="2"/>
        <v>-1.7119838872104887E-2</v>
      </c>
    </row>
    <row r="35" spans="4:31" x14ac:dyDescent="0.25">
      <c r="W35" s="143">
        <v>42391</v>
      </c>
      <c r="X35" s="12">
        <v>71.34</v>
      </c>
      <c r="Y35" s="12">
        <v>72.349999999999994</v>
      </c>
      <c r="Z35" s="12">
        <v>68.430000000000007</v>
      </c>
      <c r="AA35" s="12">
        <v>69.989999999999995</v>
      </c>
      <c r="AB35" s="105">
        <v>15358600</v>
      </c>
      <c r="AC35" s="12">
        <v>69.510000000000005</v>
      </c>
      <c r="AD35" s="2">
        <f t="shared" si="1"/>
        <v>3.9199999999999875</v>
      </c>
      <c r="AE35" s="148">
        <f t="shared" si="2"/>
        <v>-1.4182385477237269E-2</v>
      </c>
    </row>
    <row r="36" spans="4:31" x14ac:dyDescent="0.25">
      <c r="W36" s="143">
        <v>42390</v>
      </c>
      <c r="X36" s="12">
        <v>69.5</v>
      </c>
      <c r="Y36" s="12">
        <v>71.73</v>
      </c>
      <c r="Z36" s="12">
        <v>67.06</v>
      </c>
      <c r="AA36" s="12">
        <v>71</v>
      </c>
      <c r="AB36" s="105">
        <v>19539900</v>
      </c>
      <c r="AC36" s="12">
        <v>70.510000000000005</v>
      </c>
      <c r="AD36" s="2">
        <f t="shared" si="1"/>
        <v>4.6700000000000017</v>
      </c>
      <c r="AE36" s="148">
        <f t="shared" si="2"/>
        <v>-3.5430916552667391E-2</v>
      </c>
    </row>
    <row r="37" spans="4:31" x14ac:dyDescent="0.25">
      <c r="W37" s="143">
        <v>42389</v>
      </c>
      <c r="X37" s="12">
        <v>72.680000000000007</v>
      </c>
      <c r="Y37" s="12">
        <v>74.150000000000006</v>
      </c>
      <c r="Z37" s="12">
        <v>71.569999999999993</v>
      </c>
      <c r="AA37" s="12">
        <v>73.61</v>
      </c>
      <c r="AB37" s="105">
        <v>10549900</v>
      </c>
      <c r="AC37" s="12">
        <v>73.099999999999994</v>
      </c>
      <c r="AD37" s="2">
        <f t="shared" si="1"/>
        <v>2.5800000000000125</v>
      </c>
      <c r="AE37" s="148">
        <f t="shared" si="2"/>
        <v>-6.658513384970921E-3</v>
      </c>
    </row>
    <row r="38" spans="4:31" x14ac:dyDescent="0.25">
      <c r="D38" s="76"/>
      <c r="W38" s="143">
        <v>42388</v>
      </c>
      <c r="X38" s="12">
        <v>74.989999999999995</v>
      </c>
      <c r="Y38" s="12">
        <v>75.16</v>
      </c>
      <c r="Z38" s="12">
        <v>73.27</v>
      </c>
      <c r="AA38" s="12">
        <v>74.099999999999994</v>
      </c>
      <c r="AB38" s="105">
        <v>7470100</v>
      </c>
      <c r="AC38" s="12">
        <v>73.59</v>
      </c>
      <c r="AD38" s="2">
        <f t="shared" si="1"/>
        <v>1.8900000000000006</v>
      </c>
      <c r="AE38" s="148">
        <f t="shared" si="2"/>
        <v>-1.3586956521727256E-4</v>
      </c>
    </row>
    <row r="39" spans="4:31" x14ac:dyDescent="0.25">
      <c r="W39" s="143">
        <v>42384</v>
      </c>
      <c r="X39" s="12">
        <v>72.84</v>
      </c>
      <c r="Y39" s="12">
        <v>74.27</v>
      </c>
      <c r="Z39" s="12">
        <v>72.63</v>
      </c>
      <c r="AA39" s="12">
        <v>74.11</v>
      </c>
      <c r="AB39" s="105">
        <v>7460000</v>
      </c>
      <c r="AC39" s="12">
        <v>73.599999999999994</v>
      </c>
      <c r="AD39" s="2">
        <f t="shared" si="1"/>
        <v>1.6400000000000006</v>
      </c>
      <c r="AE39" s="148">
        <f t="shared" si="2"/>
        <v>-1.7356475300400631E-2</v>
      </c>
    </row>
    <row r="40" spans="4:31" x14ac:dyDescent="0.25">
      <c r="W40" s="143">
        <v>42383</v>
      </c>
      <c r="X40" s="12">
        <v>73.86</v>
      </c>
      <c r="Y40" s="12">
        <v>76.599999999999994</v>
      </c>
      <c r="Z40" s="12">
        <v>73.7</v>
      </c>
      <c r="AA40" s="12">
        <v>75.42</v>
      </c>
      <c r="AB40" s="105">
        <v>7457600</v>
      </c>
      <c r="AC40" s="12">
        <v>74.900000000000006</v>
      </c>
      <c r="AD40" s="2">
        <f t="shared" si="1"/>
        <v>2.8999999999999915</v>
      </c>
      <c r="AE40" s="148">
        <f t="shared" si="2"/>
        <v>2.1270793564221568E-2</v>
      </c>
    </row>
    <row r="41" spans="4:31" x14ac:dyDescent="0.25">
      <c r="W41" s="143">
        <v>42382</v>
      </c>
      <c r="X41" s="12">
        <v>76.2</v>
      </c>
      <c r="Y41" s="12">
        <v>76.84</v>
      </c>
      <c r="Z41" s="12">
        <v>73.209999999999994</v>
      </c>
      <c r="AA41" s="12">
        <v>73.849999999999994</v>
      </c>
      <c r="AB41" s="105">
        <v>8618400</v>
      </c>
      <c r="AC41" s="12">
        <v>73.34</v>
      </c>
      <c r="AD41" s="2">
        <f t="shared" si="1"/>
        <v>3.6300000000000097</v>
      </c>
      <c r="AE41" s="148">
        <f t="shared" si="2"/>
        <v>-3.1815181518151769E-2</v>
      </c>
    </row>
    <row r="42" spans="4:31" x14ac:dyDescent="0.25">
      <c r="W42" s="143">
        <v>42381</v>
      </c>
      <c r="X42" s="12">
        <v>75.510000000000005</v>
      </c>
      <c r="Y42" s="12">
        <v>76.459999999999994</v>
      </c>
      <c r="Z42" s="12">
        <v>74.38</v>
      </c>
      <c r="AA42" s="12">
        <v>76.27</v>
      </c>
      <c r="AB42" s="105">
        <v>6985600</v>
      </c>
      <c r="AC42" s="12">
        <v>75.75</v>
      </c>
      <c r="AD42" s="2">
        <f t="shared" si="1"/>
        <v>2.0799999999999983</v>
      </c>
      <c r="AE42" s="148">
        <f t="shared" si="2"/>
        <v>1.9515477792732216E-2</v>
      </c>
    </row>
    <row r="43" spans="4:31" x14ac:dyDescent="0.25">
      <c r="W43" s="143">
        <v>42380</v>
      </c>
      <c r="X43" s="12">
        <v>74.36</v>
      </c>
      <c r="Y43" s="12">
        <v>75.05</v>
      </c>
      <c r="Z43" s="12">
        <v>73.63</v>
      </c>
      <c r="AA43" s="12">
        <v>74.81</v>
      </c>
      <c r="AB43" s="105">
        <v>7763500</v>
      </c>
      <c r="AC43" s="12">
        <v>74.3</v>
      </c>
      <c r="AD43" s="2">
        <f t="shared" si="1"/>
        <v>1.4200000000000017</v>
      </c>
      <c r="AE43" s="148">
        <f t="shared" si="2"/>
        <v>1.2951601908657073E-2</v>
      </c>
    </row>
    <row r="44" spans="4:31" x14ac:dyDescent="0.25">
      <c r="W44" s="143">
        <v>42377</v>
      </c>
      <c r="X44" s="12">
        <v>73.56</v>
      </c>
      <c r="Y44" s="12">
        <v>74.38</v>
      </c>
      <c r="Z44" s="12">
        <v>73.2</v>
      </c>
      <c r="AA44" s="12">
        <v>73.86</v>
      </c>
      <c r="AB44" s="105">
        <v>7567700</v>
      </c>
      <c r="AC44" s="12">
        <v>73.349999999999994</v>
      </c>
      <c r="AD44" s="2">
        <f t="shared" si="1"/>
        <v>1.1799999999999926</v>
      </c>
      <c r="AE44" s="148">
        <f t="shared" si="2"/>
        <v>1.0608983190961707E-2</v>
      </c>
    </row>
    <row r="45" spans="4:31" x14ac:dyDescent="0.25">
      <c r="W45" s="143">
        <v>42376</v>
      </c>
      <c r="X45" s="12">
        <v>73.39</v>
      </c>
      <c r="Y45" s="12">
        <v>74.19</v>
      </c>
      <c r="Z45" s="12">
        <v>72.42</v>
      </c>
      <c r="AA45" s="12">
        <v>73.08</v>
      </c>
      <c r="AB45" s="105">
        <v>9077600</v>
      </c>
      <c r="AC45" s="12">
        <v>72.58</v>
      </c>
      <c r="AD45" s="2">
        <f t="shared" si="1"/>
        <v>1.769999999999996</v>
      </c>
      <c r="AE45" s="148">
        <f t="shared" si="2"/>
        <v>-2.3412271259418693E-2</v>
      </c>
    </row>
    <row r="46" spans="4:31" ht="20.25" thickBot="1" x14ac:dyDescent="0.35">
      <c r="O46" s="405" t="s">
        <v>78</v>
      </c>
      <c r="P46" s="405"/>
      <c r="Q46" s="37"/>
      <c r="R46"/>
      <c r="T46" s="101" t="s">
        <v>116</v>
      </c>
      <c r="W46" s="143">
        <v>42375</v>
      </c>
      <c r="X46" s="12">
        <v>76.75</v>
      </c>
      <c r="Y46" s="12">
        <v>77.19</v>
      </c>
      <c r="Z46" s="12">
        <v>74.239999999999995</v>
      </c>
      <c r="AA46" s="12">
        <v>74.83</v>
      </c>
      <c r="AB46" s="105">
        <v>8125200</v>
      </c>
      <c r="AC46" s="12">
        <v>74.319999999999993</v>
      </c>
      <c r="AD46" s="2">
        <f t="shared" si="1"/>
        <v>2.9500000000000028</v>
      </c>
      <c r="AE46" s="148">
        <f t="shared" si="2"/>
        <v>-4.3131196086005019E-2</v>
      </c>
    </row>
    <row r="47" spans="4:31" ht="15.75" thickTop="1" x14ac:dyDescent="0.25">
      <c r="O47" s="93">
        <v>1.1000000000000001</v>
      </c>
      <c r="P47" s="93">
        <f>O47*$Q$4</f>
        <v>88.154000000000011</v>
      </c>
      <c r="Q47" s="37"/>
      <c r="R47"/>
      <c r="T47" s="107" t="s">
        <v>101</v>
      </c>
      <c r="U47" s="139">
        <v>76.36</v>
      </c>
      <c r="W47" s="143">
        <v>42374</v>
      </c>
      <c r="X47" s="12">
        <v>79.010000000000005</v>
      </c>
      <c r="Y47" s="12">
        <v>79.34</v>
      </c>
      <c r="Z47" s="12">
        <v>77.3</v>
      </c>
      <c r="AA47" s="12">
        <v>78.209999999999994</v>
      </c>
      <c r="AB47" s="105">
        <v>6117300</v>
      </c>
      <c r="AC47" s="12">
        <v>77.67</v>
      </c>
      <c r="AD47" s="2">
        <f t="shared" si="1"/>
        <v>2.0400000000000063</v>
      </c>
      <c r="AE47" s="148">
        <f t="shared" si="2"/>
        <v>-9.6901695779676444E-3</v>
      </c>
    </row>
    <row r="48" spans="4:31" x14ac:dyDescent="0.25">
      <c r="O48" s="93">
        <v>1.0900000000000001</v>
      </c>
      <c r="P48" s="93">
        <f t="shared" ref="P48:P67" si="8">O48*$Q$4</f>
        <v>87.35260000000001</v>
      </c>
      <c r="Q48" s="37"/>
      <c r="R48"/>
      <c r="T48" s="97" t="s">
        <v>102</v>
      </c>
      <c r="U48" s="140">
        <v>76.97</v>
      </c>
      <c r="W48" s="143">
        <v>42373</v>
      </c>
      <c r="X48" s="12">
        <v>76.87</v>
      </c>
      <c r="Y48" s="12">
        <v>79.040000000000006</v>
      </c>
      <c r="Z48" s="12">
        <v>76.13</v>
      </c>
      <c r="AA48" s="12">
        <v>78.97</v>
      </c>
      <c r="AB48" s="105">
        <v>6902600</v>
      </c>
      <c r="AC48" s="12">
        <v>78.430000000000007</v>
      </c>
      <c r="AD48" s="2">
        <f t="shared" si="1"/>
        <v>2.9100000000000108</v>
      </c>
      <c r="AE48" s="148">
        <f t="shared" si="2"/>
        <v>9.9150141643060685E-3</v>
      </c>
    </row>
    <row r="49" spans="15:31" x14ac:dyDescent="0.25">
      <c r="O49" s="93">
        <v>1.08</v>
      </c>
      <c r="P49" s="93">
        <f t="shared" si="8"/>
        <v>86.551200000000009</v>
      </c>
      <c r="Q49" s="37"/>
      <c r="R49"/>
      <c r="T49" s="97" t="s">
        <v>103</v>
      </c>
      <c r="U49" s="140" t="s">
        <v>356</v>
      </c>
      <c r="W49" s="143">
        <v>42369</v>
      </c>
      <c r="X49" s="12">
        <v>77.73</v>
      </c>
      <c r="Y49" s="12">
        <v>79.150000000000006</v>
      </c>
      <c r="Z49" s="12">
        <v>77.569999999999993</v>
      </c>
      <c r="AA49" s="12">
        <v>78.2</v>
      </c>
      <c r="AB49" s="105">
        <v>3754600</v>
      </c>
      <c r="AC49" s="12">
        <v>77.66</v>
      </c>
      <c r="AD49" s="2">
        <f t="shared" si="1"/>
        <v>1.5800000000000125</v>
      </c>
      <c r="AE49" s="148">
        <f t="shared" si="2"/>
        <v>-3.9758881621136943E-3</v>
      </c>
    </row>
    <row r="50" spans="15:31" x14ac:dyDescent="0.25">
      <c r="O50" s="93">
        <v>1.07</v>
      </c>
      <c r="P50" s="93">
        <f t="shared" si="8"/>
        <v>85.749800000000008</v>
      </c>
      <c r="Q50" s="93"/>
      <c r="R50"/>
      <c r="T50" s="97" t="s">
        <v>104</v>
      </c>
      <c r="U50" s="140" t="s">
        <v>357</v>
      </c>
      <c r="W50" s="143">
        <v>42368</v>
      </c>
      <c r="X50" s="12">
        <v>78.66</v>
      </c>
      <c r="Y50" s="12">
        <v>78.78</v>
      </c>
      <c r="Z50" s="12">
        <v>78.16</v>
      </c>
      <c r="AA50" s="12">
        <v>78.510000000000005</v>
      </c>
      <c r="AB50" s="105">
        <v>3685500</v>
      </c>
      <c r="AC50" s="12">
        <v>77.97</v>
      </c>
      <c r="AD50" s="2">
        <f t="shared" si="1"/>
        <v>0.62000000000000455</v>
      </c>
      <c r="AE50" s="148">
        <f t="shared" si="2"/>
        <v>-5.8651026392962935E-3</v>
      </c>
    </row>
    <row r="51" spans="15:31" x14ac:dyDescent="0.25">
      <c r="O51" s="93">
        <v>1.06</v>
      </c>
      <c r="P51" s="93">
        <f t="shared" si="8"/>
        <v>84.948400000000007</v>
      </c>
      <c r="Q51" s="93"/>
      <c r="R51"/>
      <c r="T51" s="97" t="s">
        <v>105</v>
      </c>
      <c r="U51" s="140">
        <v>82.95</v>
      </c>
      <c r="W51" s="143">
        <v>42367</v>
      </c>
      <c r="X51" s="12">
        <v>78.599999999999994</v>
      </c>
      <c r="Y51" s="12">
        <v>79.05</v>
      </c>
      <c r="Z51" s="12">
        <v>78.11</v>
      </c>
      <c r="AA51" s="12">
        <v>78.97</v>
      </c>
      <c r="AB51" s="105">
        <v>3505600</v>
      </c>
      <c r="AC51" s="12">
        <v>78.430000000000007</v>
      </c>
      <c r="AD51" s="2">
        <f t="shared" si="1"/>
        <v>0.93999999999999773</v>
      </c>
      <c r="AE51" s="148">
        <f t="shared" si="2"/>
        <v>8.0976863753214889E-3</v>
      </c>
    </row>
    <row r="52" spans="15:31" x14ac:dyDescent="0.25">
      <c r="O52" s="93">
        <v>1.05</v>
      </c>
      <c r="P52" s="93">
        <f t="shared" si="8"/>
        <v>84.147000000000006</v>
      </c>
      <c r="Q52" s="93"/>
      <c r="R52"/>
      <c r="T52" s="97" t="s">
        <v>106</v>
      </c>
      <c r="U52" s="140">
        <v>1.1974100000000001</v>
      </c>
      <c r="W52" s="143">
        <v>42366</v>
      </c>
      <c r="X52" s="12">
        <v>78.489999999999995</v>
      </c>
      <c r="Y52" s="12">
        <v>78.73</v>
      </c>
      <c r="Z52" s="12">
        <v>77.94</v>
      </c>
      <c r="AA52" s="12">
        <v>78.34</v>
      </c>
      <c r="AB52" s="105">
        <v>3958400</v>
      </c>
      <c r="AC52" s="12">
        <v>77.8</v>
      </c>
      <c r="AD52" s="2">
        <f t="shared" si="1"/>
        <v>0.79000000000000625</v>
      </c>
      <c r="AE52" s="148">
        <f t="shared" si="2"/>
        <v>-5.8778430871455623E-3</v>
      </c>
    </row>
    <row r="53" spans="15:31" x14ac:dyDescent="0.25">
      <c r="O53" s="93">
        <v>1.04</v>
      </c>
      <c r="P53" s="93">
        <f t="shared" si="8"/>
        <v>83.345600000000005</v>
      </c>
      <c r="Q53" s="93"/>
      <c r="R53"/>
      <c r="T53" s="97" t="s">
        <v>126</v>
      </c>
      <c r="U53" s="104" t="s">
        <v>254</v>
      </c>
      <c r="W53" s="143">
        <v>42362</v>
      </c>
      <c r="X53" s="12">
        <v>78.790000000000006</v>
      </c>
      <c r="Y53" s="12">
        <v>79.099999999999994</v>
      </c>
      <c r="Z53" s="12">
        <v>78.5</v>
      </c>
      <c r="AA53" s="12">
        <v>78.8</v>
      </c>
      <c r="AB53" s="105">
        <v>2327500</v>
      </c>
      <c r="AC53" s="12">
        <v>78.260000000000005</v>
      </c>
      <c r="AD53" s="2">
        <f t="shared" si="1"/>
        <v>0.59999999999999432</v>
      </c>
      <c r="AE53" s="148">
        <f t="shared" si="2"/>
        <v>3.8348459670212165E-4</v>
      </c>
    </row>
    <row r="54" spans="15:31" x14ac:dyDescent="0.25">
      <c r="O54" s="93">
        <v>1.03</v>
      </c>
      <c r="P54" s="93">
        <f t="shared" si="8"/>
        <v>82.544200000000004</v>
      </c>
      <c r="Q54" s="93"/>
      <c r="R54"/>
      <c r="T54" s="97"/>
      <c r="U54" s="140"/>
      <c r="W54" s="143">
        <v>42361</v>
      </c>
      <c r="X54" s="12">
        <v>77.84</v>
      </c>
      <c r="Y54" s="12">
        <v>79.13</v>
      </c>
      <c r="Z54" s="12">
        <v>77.569999999999993</v>
      </c>
      <c r="AA54" s="12">
        <v>78.77</v>
      </c>
      <c r="AB54" s="105">
        <v>6148700</v>
      </c>
      <c r="AC54" s="12">
        <v>78.23</v>
      </c>
      <c r="AD54" s="2">
        <f t="shared" si="1"/>
        <v>1.5600000000000023</v>
      </c>
      <c r="AE54" s="148">
        <f t="shared" si="2"/>
        <v>2.2213511041421663E-2</v>
      </c>
    </row>
    <row r="55" spans="15:31" x14ac:dyDescent="0.25">
      <c r="O55" s="93">
        <v>1.02</v>
      </c>
      <c r="P55" s="93">
        <f t="shared" si="8"/>
        <v>81.742800000000003</v>
      </c>
      <c r="Q55" s="93"/>
      <c r="R55"/>
      <c r="T55" s="97" t="s">
        <v>108</v>
      </c>
      <c r="U55" s="140" t="s">
        <v>358</v>
      </c>
      <c r="W55" s="143">
        <v>42360</v>
      </c>
      <c r="X55" s="12">
        <v>76.06</v>
      </c>
      <c r="Y55" s="12">
        <v>77.59</v>
      </c>
      <c r="Z55" s="12">
        <v>75.87</v>
      </c>
      <c r="AA55" s="12">
        <v>77.06</v>
      </c>
      <c r="AB55" s="105">
        <v>5706500</v>
      </c>
      <c r="AC55" s="12">
        <v>76.53</v>
      </c>
      <c r="AD55" s="2">
        <f t="shared" si="1"/>
        <v>1.7199999999999989</v>
      </c>
      <c r="AE55" s="148">
        <f t="shared" si="2"/>
        <v>2.080832332933169E-2</v>
      </c>
    </row>
    <row r="56" spans="15:31" x14ac:dyDescent="0.25">
      <c r="O56" s="93">
        <v>1.01</v>
      </c>
      <c r="P56" s="93">
        <f t="shared" si="8"/>
        <v>80.941400000000002</v>
      </c>
      <c r="Q56" s="93"/>
      <c r="R56"/>
      <c r="T56" s="97" t="s">
        <v>109</v>
      </c>
      <c r="U56" s="140" t="s">
        <v>286</v>
      </c>
      <c r="W56" s="143">
        <v>42359</v>
      </c>
      <c r="X56" s="12">
        <v>75.989999999999995</v>
      </c>
      <c r="Y56" s="12">
        <v>76.430000000000007</v>
      </c>
      <c r="Z56" s="12">
        <v>75.02</v>
      </c>
      <c r="AA56" s="12">
        <v>75.489999999999995</v>
      </c>
      <c r="AB56" s="105">
        <v>5247900</v>
      </c>
      <c r="AC56" s="12">
        <v>74.97</v>
      </c>
      <c r="AD56" s="2">
        <f t="shared" si="1"/>
        <v>1.4100000000000108</v>
      </c>
      <c r="AE56" s="148">
        <f t="shared" si="2"/>
        <v>8.0096115338412766E-4</v>
      </c>
    </row>
    <row r="57" spans="15:31" x14ac:dyDescent="0.25">
      <c r="O57" s="93">
        <v>1</v>
      </c>
      <c r="P57" s="93">
        <f t="shared" si="8"/>
        <v>80.14</v>
      </c>
      <c r="Q57" s="93"/>
      <c r="R57"/>
      <c r="T57" s="97" t="s">
        <v>110</v>
      </c>
      <c r="U57" s="141">
        <v>2479045</v>
      </c>
      <c r="W57" s="143">
        <v>42356</v>
      </c>
      <c r="X57" s="12">
        <v>76.819999999999993</v>
      </c>
      <c r="Y57" s="12">
        <v>76.83</v>
      </c>
      <c r="Z57" s="12">
        <v>75.28</v>
      </c>
      <c r="AA57" s="12">
        <v>75.430000000000007</v>
      </c>
      <c r="AB57" s="105">
        <v>10160000</v>
      </c>
      <c r="AC57" s="12">
        <v>74.91</v>
      </c>
      <c r="AD57" s="2">
        <f t="shared" si="1"/>
        <v>1.5499999999999972</v>
      </c>
      <c r="AE57" s="148">
        <f t="shared" si="2"/>
        <v>-2.4609375000000044E-2</v>
      </c>
    </row>
    <row r="58" spans="15:31" x14ac:dyDescent="0.25">
      <c r="O58" s="93">
        <v>0.99</v>
      </c>
      <c r="P58" s="93">
        <f t="shared" si="8"/>
        <v>79.3386</v>
      </c>
      <c r="Q58" s="93"/>
      <c r="R58"/>
      <c r="T58" s="97" t="s">
        <v>113</v>
      </c>
      <c r="U58" s="141">
        <v>1829030</v>
      </c>
      <c r="W58" s="143">
        <v>42355</v>
      </c>
      <c r="X58" s="12">
        <v>78.72</v>
      </c>
      <c r="Y58" s="12">
        <v>79.489999999999995</v>
      </c>
      <c r="Z58" s="12">
        <v>77.3</v>
      </c>
      <c r="AA58" s="12">
        <v>77.33</v>
      </c>
      <c r="AB58" s="105">
        <v>5890900</v>
      </c>
      <c r="AC58" s="12">
        <v>76.8</v>
      </c>
      <c r="AD58" s="2">
        <f t="shared" si="1"/>
        <v>2.1899999999999977</v>
      </c>
      <c r="AE58" s="148">
        <f t="shared" si="2"/>
        <v>-2.0033175960188943E-2</v>
      </c>
    </row>
    <row r="59" spans="15:31" x14ac:dyDescent="0.25">
      <c r="O59" s="93">
        <v>0.98</v>
      </c>
      <c r="P59" s="93">
        <f t="shared" si="8"/>
        <v>78.537199999999999</v>
      </c>
      <c r="Q59" s="93"/>
      <c r="R59"/>
      <c r="T59" s="97" t="s">
        <v>111</v>
      </c>
      <c r="U59" s="140" t="s">
        <v>359</v>
      </c>
      <c r="W59" s="143">
        <v>42354</v>
      </c>
      <c r="X59" s="12">
        <v>77.099999999999994</v>
      </c>
      <c r="Y59" s="12">
        <v>79.02</v>
      </c>
      <c r="Z59" s="12">
        <v>76.84</v>
      </c>
      <c r="AA59" s="12">
        <v>78.91</v>
      </c>
      <c r="AB59" s="105">
        <v>5763800</v>
      </c>
      <c r="AC59" s="12">
        <v>78.37</v>
      </c>
      <c r="AD59" s="2">
        <f t="shared" si="1"/>
        <v>2.1799999999999926</v>
      </c>
      <c r="AE59" s="148">
        <f t="shared" si="2"/>
        <v>3.2678877322440458E-2</v>
      </c>
    </row>
    <row r="60" spans="15:31" x14ac:dyDescent="0.25">
      <c r="O60" s="93">
        <v>0.97</v>
      </c>
      <c r="P60" s="93">
        <f t="shared" si="8"/>
        <v>77.735799999999998</v>
      </c>
      <c r="Q60" s="93"/>
      <c r="R60"/>
      <c r="T60" s="97" t="s">
        <v>114</v>
      </c>
      <c r="U60" s="140">
        <v>14.87</v>
      </c>
      <c r="W60" s="143">
        <v>42353</v>
      </c>
      <c r="X60" s="12">
        <v>77.569999999999993</v>
      </c>
      <c r="Y60" s="12">
        <v>77.739999999999995</v>
      </c>
      <c r="Z60" s="12">
        <v>76.12</v>
      </c>
      <c r="AA60" s="12">
        <v>76.41</v>
      </c>
      <c r="AB60" s="105">
        <v>7786800</v>
      </c>
      <c r="AC60" s="12">
        <v>75.89</v>
      </c>
      <c r="AD60" s="2">
        <f t="shared" si="1"/>
        <v>1.6199999999999903</v>
      </c>
      <c r="AE60" s="148">
        <f t="shared" si="2"/>
        <v>-6.0248853962016069E-3</v>
      </c>
    </row>
    <row r="61" spans="15:31" x14ac:dyDescent="0.25">
      <c r="O61" s="93">
        <v>0.96</v>
      </c>
      <c r="P61" s="93">
        <f t="shared" si="8"/>
        <v>76.934399999999997</v>
      </c>
      <c r="Q61" s="93"/>
      <c r="R61"/>
      <c r="T61" s="97" t="s">
        <v>115</v>
      </c>
      <c r="U61" s="140">
        <v>5.0999999999999996</v>
      </c>
      <c r="W61" s="143">
        <v>42352</v>
      </c>
      <c r="X61" s="12">
        <v>77.5</v>
      </c>
      <c r="Y61" s="12">
        <v>77.97</v>
      </c>
      <c r="Z61" s="12">
        <v>76.42</v>
      </c>
      <c r="AA61" s="12">
        <v>76.88</v>
      </c>
      <c r="AB61" s="105">
        <v>7517400</v>
      </c>
      <c r="AC61" s="12">
        <v>76.349999999999994</v>
      </c>
      <c r="AD61" s="2">
        <f t="shared" si="1"/>
        <v>1.5499999999999972</v>
      </c>
      <c r="AE61" s="148">
        <f t="shared" si="2"/>
        <v>-5.2117263843648454E-3</v>
      </c>
    </row>
    <row r="62" spans="15:31" x14ac:dyDescent="0.25">
      <c r="O62" s="93">
        <v>0.95</v>
      </c>
      <c r="P62" s="93">
        <f t="shared" si="8"/>
        <v>76.132999999999996</v>
      </c>
      <c r="Q62" s="93"/>
      <c r="R62"/>
      <c r="T62" s="97" t="s">
        <v>112</v>
      </c>
      <c r="U62" s="140" t="s">
        <v>311</v>
      </c>
      <c r="W62" s="143">
        <v>42349</v>
      </c>
      <c r="X62" s="12">
        <v>77.45</v>
      </c>
      <c r="Y62" s="12">
        <v>77.95</v>
      </c>
      <c r="Z62" s="12">
        <v>76.38</v>
      </c>
      <c r="AA62" s="12">
        <v>77.28</v>
      </c>
      <c r="AB62" s="105">
        <v>6100400</v>
      </c>
      <c r="AC62" s="12">
        <v>76.75</v>
      </c>
      <c r="AD62" s="2">
        <f t="shared" si="1"/>
        <v>1.5700000000000074</v>
      </c>
      <c r="AE62" s="148">
        <f t="shared" si="2"/>
        <v>-2.2100884035362034E-3</v>
      </c>
    </row>
    <row r="63" spans="15:31" x14ac:dyDescent="0.25">
      <c r="O63" s="93">
        <v>0.94</v>
      </c>
      <c r="P63" s="93">
        <f t="shared" si="8"/>
        <v>75.331599999999995</v>
      </c>
      <c r="Q63" s="93"/>
      <c r="R63"/>
      <c r="T63" s="96"/>
      <c r="W63" s="143">
        <v>42348</v>
      </c>
      <c r="X63" s="12">
        <v>77.540000000000006</v>
      </c>
      <c r="Y63" s="12">
        <v>78.62</v>
      </c>
      <c r="Z63" s="12">
        <v>77.31</v>
      </c>
      <c r="AA63" s="12">
        <v>77.45</v>
      </c>
      <c r="AB63" s="105">
        <v>6341000</v>
      </c>
      <c r="AC63" s="12">
        <v>76.92</v>
      </c>
      <c r="AD63" s="2">
        <f t="shared" si="1"/>
        <v>1.3100000000000023</v>
      </c>
      <c r="AE63" s="148">
        <f t="shared" si="2"/>
        <v>-1.1686793922867089E-3</v>
      </c>
    </row>
    <row r="64" spans="15:31" x14ac:dyDescent="0.25">
      <c r="O64" s="93">
        <v>0.93</v>
      </c>
      <c r="P64" s="93">
        <f t="shared" si="8"/>
        <v>74.530200000000008</v>
      </c>
      <c r="Q64" s="93"/>
      <c r="R64"/>
      <c r="S64" s="96"/>
      <c r="T64"/>
      <c r="W64" s="143">
        <v>42347</v>
      </c>
      <c r="X64" s="12">
        <v>75.03</v>
      </c>
      <c r="Y64" s="12">
        <v>77.8</v>
      </c>
      <c r="Z64" s="12">
        <v>74.94</v>
      </c>
      <c r="AA64" s="12">
        <v>77.540000000000006</v>
      </c>
      <c r="AB64" s="105">
        <v>9972300</v>
      </c>
      <c r="AC64" s="12">
        <v>77.010000000000005</v>
      </c>
      <c r="AD64" s="2">
        <f t="shared" si="1"/>
        <v>2.8599999999999994</v>
      </c>
      <c r="AE64" s="148">
        <f t="shared" si="2"/>
        <v>2.5705913692061877E-2</v>
      </c>
    </row>
    <row r="65" spans="15:31" x14ac:dyDescent="0.25">
      <c r="O65" s="93">
        <v>0.92</v>
      </c>
      <c r="P65" s="93">
        <f t="shared" si="8"/>
        <v>73.728800000000007</v>
      </c>
      <c r="Q65" s="93"/>
      <c r="R65"/>
      <c r="S65" s="96"/>
      <c r="T65"/>
      <c r="W65" s="143">
        <v>42346</v>
      </c>
      <c r="X65" s="12">
        <v>76.34</v>
      </c>
      <c r="Y65" s="12">
        <v>76.69</v>
      </c>
      <c r="Z65" s="12">
        <v>74.78</v>
      </c>
      <c r="AA65" s="12">
        <v>75.599999999999994</v>
      </c>
      <c r="AB65" s="105">
        <v>8115300</v>
      </c>
      <c r="AC65" s="12">
        <v>75.08</v>
      </c>
      <c r="AD65" s="2">
        <f t="shared" si="1"/>
        <v>1.9099999999999966</v>
      </c>
      <c r="AE65" s="148">
        <f t="shared" si="2"/>
        <v>-2.1886399166232473E-2</v>
      </c>
    </row>
    <row r="66" spans="15:31" x14ac:dyDescent="0.25">
      <c r="O66" s="93">
        <v>0.91</v>
      </c>
      <c r="P66" s="93">
        <f t="shared" si="8"/>
        <v>72.927400000000006</v>
      </c>
      <c r="Q66" s="93"/>
      <c r="R66"/>
      <c r="S66" s="96"/>
      <c r="T66"/>
      <c r="W66" s="143">
        <v>42345</v>
      </c>
      <c r="X66" s="12">
        <v>78.150000000000006</v>
      </c>
      <c r="Y66" s="12">
        <v>78.62</v>
      </c>
      <c r="Z66" s="12">
        <v>76.7</v>
      </c>
      <c r="AA66" s="12">
        <v>77.290000000000006</v>
      </c>
      <c r="AB66" s="105">
        <v>9414300</v>
      </c>
      <c r="AC66" s="12">
        <v>76.760000000000005</v>
      </c>
      <c r="AD66" s="2">
        <f t="shared" si="1"/>
        <v>1.9200000000000017</v>
      </c>
      <c r="AE66" s="148">
        <f t="shared" si="2"/>
        <v>-1.298701298701288E-2</v>
      </c>
    </row>
    <row r="67" spans="15:31" x14ac:dyDescent="0.25">
      <c r="O67" s="93">
        <v>0.9</v>
      </c>
      <c r="P67" s="93">
        <f t="shared" si="8"/>
        <v>72.126000000000005</v>
      </c>
      <c r="Q67" s="93"/>
      <c r="R67"/>
      <c r="S67" s="96"/>
      <c r="T67"/>
      <c r="W67" s="143">
        <v>42342</v>
      </c>
      <c r="X67" s="12">
        <v>77.37</v>
      </c>
      <c r="Y67" s="12">
        <v>78.63</v>
      </c>
      <c r="Z67" s="12">
        <v>77.03</v>
      </c>
      <c r="AA67" s="12">
        <v>78.31</v>
      </c>
      <c r="AB67" s="105">
        <v>11007100</v>
      </c>
      <c r="AC67" s="12">
        <v>77.77</v>
      </c>
      <c r="AD67" s="2">
        <f>Y67-Z67</f>
        <v>1.5999999999999943</v>
      </c>
      <c r="AE67" s="148">
        <f>AC67/AC68-1</f>
        <v>-1.1314518179506794E-2</v>
      </c>
    </row>
    <row r="68" spans="15:31" x14ac:dyDescent="0.25">
      <c r="W68" s="143">
        <v>42341</v>
      </c>
      <c r="X68" s="12">
        <v>82.14</v>
      </c>
      <c r="Y68" s="12">
        <v>82.3</v>
      </c>
      <c r="Z68" s="12">
        <v>78.760000000000005</v>
      </c>
      <c r="AA68" s="12">
        <v>79.2</v>
      </c>
      <c r="AB68" s="105">
        <v>11254200</v>
      </c>
      <c r="AC68" s="12">
        <v>78.66</v>
      </c>
      <c r="AD68" s="2">
        <f>Y68-Z68</f>
        <v>3.539999999999992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7"/>
      <c r="AD1" s="13" t="s">
        <v>131</v>
      </c>
      <c r="AE1" s="13" t="s">
        <v>133</v>
      </c>
    </row>
    <row r="2" spans="1:40" ht="14.25" customHeight="1" x14ac:dyDescent="0.25">
      <c r="A2" s="6" t="s">
        <v>250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199.38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G5" s="1">
        <f>B5+30</f>
        <v>42438</v>
      </c>
      <c r="H5" s="81"/>
      <c r="O5" s="13" t="s">
        <v>67</v>
      </c>
      <c r="Q5" s="3">
        <f>Q4*Q2</f>
        <v>996.9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149.94999999999925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90</v>
      </c>
      <c r="P8"/>
      <c r="Q8" s="148">
        <f>(Q4-Q3)/Q3</f>
        <v>0.17704705118365791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219.31800000000001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217.32420000000002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215.3304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213.3366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211.34280000000001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209.34900000000002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207.3552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205.3614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203.36760000000001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201.37379999999999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199.38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197.3862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195.39239999999998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193.39859999999999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191.40479999999999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189.41099999999997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187.41719999999998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185.42340000000002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183.42959999999999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181.4358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179.44200000000001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7" t="s">
        <v>123</v>
      </c>
      <c r="AD1" s="13" t="s">
        <v>131</v>
      </c>
      <c r="AE1" s="13" t="s">
        <v>133</v>
      </c>
    </row>
    <row r="2" spans="1:40" x14ac:dyDescent="0.25">
      <c r="A2" s="6" t="s">
        <v>244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>I2*H2-J2</f>
        <v>2063.96</v>
      </c>
      <c r="L2" s="1">
        <v>42432</v>
      </c>
      <c r="M2" s="3">
        <v>31.2</v>
      </c>
      <c r="O2" s="13" t="s">
        <v>57</v>
      </c>
      <c r="Q2">
        <f>C11-H11</f>
        <v>30</v>
      </c>
      <c r="T2" s="95"/>
      <c r="W2" s="104">
        <v>42438</v>
      </c>
      <c r="X2" s="12">
        <v>70.319999999999993</v>
      </c>
      <c r="Y2" s="43">
        <v>71.91</v>
      </c>
      <c r="Z2" s="43">
        <v>69.959999999999994</v>
      </c>
      <c r="AA2" s="12">
        <v>71.02</v>
      </c>
      <c r="AB2" s="105">
        <v>2999300</v>
      </c>
      <c r="AC2" s="286">
        <v>71.02</v>
      </c>
      <c r="AD2" s="2">
        <f>Y2-Z2</f>
        <v>1.9500000000000028</v>
      </c>
      <c r="AE2" s="148">
        <f>AC2/AC3-1</f>
        <v>1.5877556858818531E-2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>I3*H3-J3</f>
        <v>1838.96</v>
      </c>
      <c r="O3" s="13" t="s">
        <v>58</v>
      </c>
      <c r="Q3" s="264">
        <f>IF(Q2=0, Q4, (F11-K11-M11)/Q2)</f>
        <v>63.767333333333369</v>
      </c>
      <c r="T3" s="131"/>
      <c r="W3" s="104">
        <v>42437</v>
      </c>
      <c r="X3" s="12">
        <v>72</v>
      </c>
      <c r="Y3" s="43">
        <v>72.099999999999994</v>
      </c>
      <c r="Z3" s="43">
        <v>69.25</v>
      </c>
      <c r="AA3" s="12">
        <v>69.91</v>
      </c>
      <c r="AB3" s="105">
        <v>4678100</v>
      </c>
      <c r="AC3" s="286">
        <v>69.91</v>
      </c>
      <c r="AD3" s="2">
        <f>Y3-Z3</f>
        <v>2.8499999999999943</v>
      </c>
      <c r="AE3" s="148">
        <f>AC3/AC4-1</f>
        <v>-4.1278113000548622E-2</v>
      </c>
      <c r="AN3" s="272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>I4*H4-J4</f>
        <v>2024.96</v>
      </c>
      <c r="O4" s="13" t="s">
        <v>66</v>
      </c>
      <c r="Q4" s="59">
        <v>71.02</v>
      </c>
      <c r="T4" s="131"/>
      <c r="W4" s="104">
        <v>42436</v>
      </c>
      <c r="X4" s="12">
        <v>72.16</v>
      </c>
      <c r="Y4" s="43">
        <v>74.73</v>
      </c>
      <c r="Z4" s="43">
        <v>71.81</v>
      </c>
      <c r="AA4" s="12">
        <v>72.92</v>
      </c>
      <c r="AB4" s="105">
        <v>4220400</v>
      </c>
      <c r="AC4" s="286">
        <v>72.92</v>
      </c>
      <c r="AD4" s="2">
        <f t="shared" ref="AD4:AD67" si="1">Y4-Z4</f>
        <v>2.9200000000000017</v>
      </c>
      <c r="AE4" s="148">
        <f t="shared" ref="AE4:AE67" si="2">AC4/AC5-1</f>
        <v>-1.2327078482400333E-3</v>
      </c>
      <c r="AK4" s="272"/>
      <c r="AN4" s="272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>I5*H5-J5</f>
        <v>2080.4499999999998</v>
      </c>
      <c r="O5" s="13" t="s">
        <v>67</v>
      </c>
      <c r="Q5" s="3">
        <f>Q4*Q2</f>
        <v>2130.6</v>
      </c>
      <c r="W5" s="104">
        <v>42433</v>
      </c>
      <c r="X5" s="12">
        <v>71.180000000000007</v>
      </c>
      <c r="Y5" s="43">
        <v>75.11</v>
      </c>
      <c r="Z5" s="43">
        <v>70.33</v>
      </c>
      <c r="AA5" s="12">
        <v>73.010000000000005</v>
      </c>
      <c r="AB5" s="105">
        <v>7321900</v>
      </c>
      <c r="AC5" s="286">
        <v>73.010000000000005</v>
      </c>
      <c r="AD5" s="2">
        <f t="shared" si="1"/>
        <v>4.7800000000000011</v>
      </c>
      <c r="AE5" s="148">
        <f t="shared" si="2"/>
        <v>4.1512125534950206E-2</v>
      </c>
      <c r="AK5" s="272"/>
      <c r="AN5" s="272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>I6*H6-J6</f>
        <v>2203.4499999999998</v>
      </c>
      <c r="O6" s="13" t="s">
        <v>64</v>
      </c>
      <c r="Q6" s="2">
        <f>Q3*Q2</f>
        <v>1913.0200000000011</v>
      </c>
      <c r="W6" s="104">
        <v>42432</v>
      </c>
      <c r="X6" s="12">
        <v>68.42</v>
      </c>
      <c r="Y6" s="43">
        <v>70.489999999999995</v>
      </c>
      <c r="Z6" s="43">
        <v>68.3</v>
      </c>
      <c r="AA6" s="12">
        <v>70.099999999999994</v>
      </c>
      <c r="AB6" s="105">
        <v>4093800</v>
      </c>
      <c r="AC6" s="286">
        <v>70.099999999999994</v>
      </c>
      <c r="AD6" s="2">
        <f t="shared" si="1"/>
        <v>2.1899999999999977</v>
      </c>
      <c r="AE6" s="148">
        <f t="shared" si="2"/>
        <v>1.6236590316033528E-2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H7" s="203"/>
      <c r="I7" s="3"/>
      <c r="J7" s="3"/>
      <c r="K7" s="3"/>
      <c r="O7" s="13" t="s">
        <v>65</v>
      </c>
      <c r="Q7" s="2">
        <f>IF(Q2=0, K11+M11-F11,Q5-Q6)</f>
        <v>217.57999999999879</v>
      </c>
      <c r="R7" s="212"/>
      <c r="T7" s="95"/>
      <c r="W7" s="104">
        <v>42431</v>
      </c>
      <c r="X7" s="12">
        <v>69.94</v>
      </c>
      <c r="Y7" s="43">
        <v>70.849999999999994</v>
      </c>
      <c r="Z7" s="43">
        <v>68.45</v>
      </c>
      <c r="AA7" s="12">
        <v>68.98</v>
      </c>
      <c r="AB7" s="105">
        <v>3962600</v>
      </c>
      <c r="AC7" s="286">
        <v>68.98</v>
      </c>
      <c r="AD7" s="2">
        <f t="shared" si="1"/>
        <v>2.3999999999999915</v>
      </c>
      <c r="AE7" s="148">
        <f t="shared" si="2"/>
        <v>-2.0170454545454519E-2</v>
      </c>
      <c r="AK7" s="272"/>
      <c r="AN7" s="272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0.11373639585576664</v>
      </c>
      <c r="W8" s="104">
        <v>42430</v>
      </c>
      <c r="X8" s="12">
        <v>67.62</v>
      </c>
      <c r="Y8" s="43">
        <v>70.42</v>
      </c>
      <c r="Z8" s="43">
        <v>67.040000000000006</v>
      </c>
      <c r="AA8" s="12">
        <v>70.400000000000006</v>
      </c>
      <c r="AB8" s="105">
        <v>4630300</v>
      </c>
      <c r="AC8" s="286">
        <v>70.400000000000006</v>
      </c>
      <c r="AD8" s="2">
        <f t="shared" si="1"/>
        <v>3.3799999999999955</v>
      </c>
      <c r="AE8" s="148">
        <f t="shared" si="2"/>
        <v>5.9443190368698273E-2</v>
      </c>
    </row>
    <row r="9" spans="1:40" x14ac:dyDescent="0.25">
      <c r="W9" s="104">
        <v>42429</v>
      </c>
      <c r="X9" s="12">
        <v>65.88</v>
      </c>
      <c r="Y9" s="43">
        <v>68.790000000000006</v>
      </c>
      <c r="Z9" s="43">
        <v>65.540000000000006</v>
      </c>
      <c r="AA9" s="12">
        <v>66.45</v>
      </c>
      <c r="AB9" s="105">
        <v>4985800</v>
      </c>
      <c r="AC9" s="286">
        <v>66.45</v>
      </c>
      <c r="AD9" s="2">
        <f t="shared" si="1"/>
        <v>3.25</v>
      </c>
      <c r="AE9" s="148">
        <f t="shared" si="2"/>
        <v>2.3882896764252592E-2</v>
      </c>
      <c r="AK9" s="272"/>
      <c r="AN9" s="272"/>
    </row>
    <row r="10" spans="1:40" ht="12.75" customHeight="1" x14ac:dyDescent="0.25">
      <c r="W10" s="104">
        <v>42426</v>
      </c>
      <c r="X10" s="12">
        <v>65.08</v>
      </c>
      <c r="Y10" s="43">
        <v>65.400000000000006</v>
      </c>
      <c r="Z10" s="43">
        <v>64.430000000000007</v>
      </c>
      <c r="AA10" s="12">
        <v>64.900000000000006</v>
      </c>
      <c r="AB10" s="105">
        <v>2226600</v>
      </c>
      <c r="AC10" s="286">
        <v>64.900000000000006</v>
      </c>
      <c r="AD10" s="2">
        <f t="shared" si="1"/>
        <v>0.96999999999999886</v>
      </c>
      <c r="AE10" s="148">
        <f t="shared" si="2"/>
        <v>5.422153369481153E-3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150</v>
      </c>
      <c r="I11" s="21"/>
      <c r="J11" s="21"/>
      <c r="K11" s="21">
        <f>SUM(K2:K7)</f>
        <v>10211.779999999999</v>
      </c>
      <c r="L11" s="21"/>
      <c r="M11" s="21">
        <f>SUM(M2:M6)</f>
        <v>31.2</v>
      </c>
      <c r="W11" s="104">
        <v>42425</v>
      </c>
      <c r="X11" s="12">
        <v>63.53</v>
      </c>
      <c r="Y11" s="43">
        <v>64.56</v>
      </c>
      <c r="Z11" s="43">
        <v>62.59</v>
      </c>
      <c r="AA11" s="12">
        <v>64.55</v>
      </c>
      <c r="AB11" s="105">
        <v>2539200</v>
      </c>
      <c r="AC11" s="286">
        <v>64.55</v>
      </c>
      <c r="AD11" s="2">
        <f t="shared" si="1"/>
        <v>1.9699999999999989</v>
      </c>
      <c r="AE11" s="148">
        <f t="shared" si="2"/>
        <v>1.3184743368388041E-2</v>
      </c>
      <c r="AK11" s="272"/>
      <c r="AN11" s="272"/>
    </row>
    <row r="12" spans="1:40" x14ac:dyDescent="0.25">
      <c r="W12" s="104">
        <v>42424</v>
      </c>
      <c r="X12" s="12">
        <v>61.58</v>
      </c>
      <c r="Y12" s="43">
        <v>63.86</v>
      </c>
      <c r="Z12" s="43">
        <v>61.11</v>
      </c>
      <c r="AA12" s="12">
        <v>63.71</v>
      </c>
      <c r="AB12" s="105">
        <v>2669800</v>
      </c>
      <c r="AC12" s="286">
        <v>63.71</v>
      </c>
      <c r="AD12" s="2">
        <f t="shared" si="1"/>
        <v>2.75</v>
      </c>
      <c r="AE12" s="148">
        <f t="shared" si="2"/>
        <v>1.7406579367614139E-2</v>
      </c>
    </row>
    <row r="13" spans="1:40" x14ac:dyDescent="0.25">
      <c r="W13" s="104">
        <v>42423</v>
      </c>
      <c r="X13" s="12">
        <v>63.74</v>
      </c>
      <c r="Y13" s="43">
        <v>63.76</v>
      </c>
      <c r="Z13" s="43">
        <v>62.07</v>
      </c>
      <c r="AA13" s="12">
        <v>62.62</v>
      </c>
      <c r="AB13" s="105">
        <v>2445400</v>
      </c>
      <c r="AC13" s="286">
        <v>62.62</v>
      </c>
      <c r="AD13" s="2">
        <f t="shared" si="1"/>
        <v>1.6899999999999977</v>
      </c>
      <c r="AE13" s="148">
        <f t="shared" si="2"/>
        <v>-2.5976046041375156E-2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42422</v>
      </c>
      <c r="X14" s="12">
        <v>63.6</v>
      </c>
      <c r="Y14" s="43">
        <v>65.19</v>
      </c>
      <c r="Z14" s="43">
        <v>63.29</v>
      </c>
      <c r="AA14" s="12">
        <v>64.290000000000006</v>
      </c>
      <c r="AB14" s="105">
        <v>3200900</v>
      </c>
      <c r="AC14" s="286">
        <v>64.290000000000006</v>
      </c>
      <c r="AD14" s="2">
        <f t="shared" si="1"/>
        <v>1.8999999999999986</v>
      </c>
      <c r="AE14" s="148">
        <f t="shared" si="2"/>
        <v>1.9990480723464987E-2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42419</v>
      </c>
      <c r="X15" s="12">
        <v>61.51</v>
      </c>
      <c r="Y15" s="43">
        <v>63.5</v>
      </c>
      <c r="Z15" s="43">
        <v>61.29</v>
      </c>
      <c r="AA15" s="12">
        <v>63.03</v>
      </c>
      <c r="AB15" s="105">
        <v>3371800</v>
      </c>
      <c r="AC15" s="286">
        <v>63.03</v>
      </c>
      <c r="AD15" s="2">
        <f t="shared" si="1"/>
        <v>2.2100000000000009</v>
      </c>
      <c r="AE15" s="148">
        <f t="shared" si="2"/>
        <v>1.5466408893185069E-2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4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42418</v>
      </c>
      <c r="X16" s="12">
        <v>64.430000000000007</v>
      </c>
      <c r="Y16" s="43">
        <v>64.489999999999995</v>
      </c>
      <c r="Z16" s="43">
        <v>61.1</v>
      </c>
      <c r="AA16" s="12">
        <v>62.07</v>
      </c>
      <c r="AB16" s="105">
        <v>2984000</v>
      </c>
      <c r="AC16" s="286">
        <v>62.07</v>
      </c>
      <c r="AD16" s="2">
        <f t="shared" si="1"/>
        <v>3.3899999999999935</v>
      </c>
      <c r="AE16" s="148">
        <f t="shared" si="2"/>
        <v>-2.5741641814471805E-2</v>
      </c>
    </row>
    <row r="17" spans="2:40" x14ac:dyDescent="0.25">
      <c r="B17" s="216">
        <v>42380</v>
      </c>
      <c r="C17" s="329">
        <v>90</v>
      </c>
      <c r="D17" s="394">
        <v>69.5</v>
      </c>
      <c r="E17" s="394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42417</v>
      </c>
      <c r="X17" s="12">
        <v>61.82</v>
      </c>
      <c r="Y17" s="43">
        <v>64.88</v>
      </c>
      <c r="Z17" s="43">
        <v>61.57</v>
      </c>
      <c r="AA17" s="12">
        <v>63.71</v>
      </c>
      <c r="AB17" s="105">
        <v>4488700</v>
      </c>
      <c r="AC17" s="286">
        <v>63.71</v>
      </c>
      <c r="AD17" s="2">
        <f t="shared" si="1"/>
        <v>3.3099999999999952</v>
      </c>
      <c r="AE17" s="148">
        <f t="shared" si="2"/>
        <v>3.6946614583333481E-2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4">
        <v>68.8</v>
      </c>
      <c r="F18" s="43">
        <f t="shared" ref="F18:F27" si="6">C18*(E18-D18)</f>
        <v>-62.999999999999829</v>
      </c>
      <c r="G18" s="43">
        <f t="shared" ref="G18:G27" si="7">D18*C18</f>
        <v>4191</v>
      </c>
      <c r="H18" s="269">
        <f t="shared" ref="H18:H27" si="8">(E18-D18)/D18</f>
        <v>-1.5032211882605544E-2</v>
      </c>
      <c r="I18" s="43"/>
      <c r="W18" s="104">
        <v>42416</v>
      </c>
      <c r="X18" s="12">
        <v>59.27</v>
      </c>
      <c r="Y18" s="43">
        <v>62.44</v>
      </c>
      <c r="Z18" s="43">
        <v>59.14</v>
      </c>
      <c r="AA18" s="12">
        <v>61.44</v>
      </c>
      <c r="AB18" s="105">
        <v>4831800</v>
      </c>
      <c r="AC18" s="286">
        <v>61.44</v>
      </c>
      <c r="AD18" s="2">
        <f t="shared" si="1"/>
        <v>3.2999999999999972</v>
      </c>
      <c r="AE18" s="148">
        <f t="shared" si="2"/>
        <v>6.611140031233731E-2</v>
      </c>
    </row>
    <row r="19" spans="2:40" x14ac:dyDescent="0.25">
      <c r="B19" s="216">
        <v>42402</v>
      </c>
      <c r="C19" s="329">
        <v>90</v>
      </c>
      <c r="D19" s="394">
        <v>68.97</v>
      </c>
      <c r="E19" s="394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42412</v>
      </c>
      <c r="X19" s="12">
        <v>57.06</v>
      </c>
      <c r="Y19" s="43">
        <v>57.96</v>
      </c>
      <c r="Z19" s="43">
        <v>56.01</v>
      </c>
      <c r="AA19" s="12">
        <v>57.63</v>
      </c>
      <c r="AB19" s="105">
        <v>3885100</v>
      </c>
      <c r="AC19" s="286">
        <v>57.63</v>
      </c>
      <c r="AD19" s="2">
        <f t="shared" si="1"/>
        <v>1.9500000000000028</v>
      </c>
      <c r="AE19" s="148">
        <f t="shared" si="2"/>
        <v>3.1871083258728783E-2</v>
      </c>
      <c r="AK19" s="272"/>
      <c r="AN19" s="272"/>
    </row>
    <row r="20" spans="2:40" x14ac:dyDescent="0.25">
      <c r="B20" s="216">
        <v>42405</v>
      </c>
      <c r="C20" s="329">
        <v>120</v>
      </c>
      <c r="D20" s="394">
        <v>67.412800000000004</v>
      </c>
      <c r="E20" s="394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42411</v>
      </c>
      <c r="X20" s="12">
        <v>56.1</v>
      </c>
      <c r="Y20" s="43">
        <v>56.97</v>
      </c>
      <c r="Z20" s="43">
        <v>54.5</v>
      </c>
      <c r="AA20" s="12">
        <v>55.85</v>
      </c>
      <c r="AB20" s="105">
        <v>6569200</v>
      </c>
      <c r="AC20" s="286">
        <v>55.85</v>
      </c>
      <c r="AD20" s="2">
        <f t="shared" si="1"/>
        <v>2.4699999999999989</v>
      </c>
      <c r="AE20" s="148">
        <f t="shared" si="2"/>
        <v>-2.3601398601398649E-2</v>
      </c>
    </row>
    <row r="21" spans="2:40" x14ac:dyDescent="0.25">
      <c r="B21" s="216">
        <v>42415</v>
      </c>
      <c r="C21" s="329">
        <v>120</v>
      </c>
      <c r="D21" s="394">
        <v>67.412800000000004</v>
      </c>
      <c r="E21" s="394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42410</v>
      </c>
      <c r="X21" s="12">
        <v>58.68</v>
      </c>
      <c r="Y21" s="43">
        <v>59.76</v>
      </c>
      <c r="Z21" s="43">
        <v>57.01</v>
      </c>
      <c r="AA21" s="12">
        <v>57.2</v>
      </c>
      <c r="AB21" s="105">
        <v>3429700</v>
      </c>
      <c r="AC21" s="286">
        <v>57.2</v>
      </c>
      <c r="AD21" s="2">
        <f t="shared" si="1"/>
        <v>2.75</v>
      </c>
      <c r="AE21" s="148">
        <f t="shared" si="2"/>
        <v>-8.6655112651646826E-3</v>
      </c>
      <c r="AK21" s="272"/>
      <c r="AN21" s="272"/>
    </row>
    <row r="22" spans="2:40" x14ac:dyDescent="0.25">
      <c r="B22" s="216">
        <v>42416</v>
      </c>
      <c r="C22" s="329">
        <v>90</v>
      </c>
      <c r="D22" s="394">
        <v>69.45</v>
      </c>
      <c r="E22" s="394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42409</v>
      </c>
      <c r="X22" s="12">
        <v>58.24</v>
      </c>
      <c r="Y22" s="43">
        <v>60.08</v>
      </c>
      <c r="Z22" s="43">
        <v>57.46</v>
      </c>
      <c r="AA22" s="12">
        <v>57.7</v>
      </c>
      <c r="AB22" s="105">
        <v>4610800</v>
      </c>
      <c r="AC22" s="286">
        <v>57.7</v>
      </c>
      <c r="AD22" s="2">
        <f t="shared" si="1"/>
        <v>2.6199999999999974</v>
      </c>
      <c r="AE22" s="148" t="e">
        <f t="shared" si="2"/>
        <v>#DIV/0!</v>
      </c>
    </row>
    <row r="23" spans="2:40" x14ac:dyDescent="0.25">
      <c r="B23" s="216">
        <v>42429</v>
      </c>
      <c r="C23" s="329">
        <v>90</v>
      </c>
      <c r="D23" s="394">
        <v>69.201300000000003</v>
      </c>
      <c r="E23" s="394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42409</v>
      </c>
      <c r="X23" s="12" t="s">
        <v>146</v>
      </c>
      <c r="Y23" s="43"/>
      <c r="Z23" s="43"/>
      <c r="AA23" s="12"/>
      <c r="AB23" s="105"/>
      <c r="AC23" s="286"/>
      <c r="AD23" s="2">
        <f t="shared" si="1"/>
        <v>0</v>
      </c>
      <c r="AE23" s="148">
        <f t="shared" si="2"/>
        <v>-1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6"/>
        <v>76.338000000000079</v>
      </c>
      <c r="G24" s="43">
        <f t="shared" si="7"/>
        <v>4147.6620000000003</v>
      </c>
      <c r="H24" s="269">
        <f t="shared" si="8"/>
        <v>1.8405067722490422E-2</v>
      </c>
      <c r="I24" s="43"/>
      <c r="W24" s="104">
        <v>42408</v>
      </c>
      <c r="X24" s="12">
        <v>60.81</v>
      </c>
      <c r="Y24" s="43">
        <v>61.19</v>
      </c>
      <c r="Z24" s="43">
        <v>58.23</v>
      </c>
      <c r="AA24" s="12">
        <v>59.3</v>
      </c>
      <c r="AB24" s="105">
        <v>5708700</v>
      </c>
      <c r="AC24" s="286">
        <v>59.04</v>
      </c>
      <c r="AD24" s="2">
        <f t="shared" si="1"/>
        <v>2.9600000000000009</v>
      </c>
      <c r="AE24" s="148">
        <f t="shared" si="2"/>
        <v>-4.6049442559379594E-2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6"/>
        <v>-8.8679999999993697</v>
      </c>
      <c r="G25" s="43">
        <f t="shared" si="7"/>
        <v>4147.6679999999997</v>
      </c>
      <c r="H25" s="269">
        <f t="shared" si="8"/>
        <v>-2.1380689100476149E-3</v>
      </c>
      <c r="I25" s="43"/>
      <c r="W25" s="104">
        <v>42405</v>
      </c>
      <c r="X25" s="12">
        <v>64.87</v>
      </c>
      <c r="Y25" s="43">
        <v>65.849999999999994</v>
      </c>
      <c r="Z25" s="43">
        <v>61</v>
      </c>
      <c r="AA25" s="12">
        <v>62.16</v>
      </c>
      <c r="AB25" s="105">
        <v>6333700</v>
      </c>
      <c r="AC25" s="286">
        <v>61.89</v>
      </c>
      <c r="AD25" s="2">
        <f t="shared" si="1"/>
        <v>4.8499999999999943</v>
      </c>
      <c r="AE25" s="148">
        <f t="shared" si="2"/>
        <v>-5.8134226145183265E-2</v>
      </c>
    </row>
    <row r="26" spans="2:40" x14ac:dyDescent="0.25">
      <c r="B26" s="216">
        <v>42432</v>
      </c>
      <c r="C26" s="306">
        <v>60</v>
      </c>
      <c r="D26" s="275">
        <v>68.607799999999997</v>
      </c>
      <c r="E26" s="43">
        <v>70.099999999999994</v>
      </c>
      <c r="F26" s="43">
        <f t="shared" si="6"/>
        <v>89.531999999999812</v>
      </c>
      <c r="G26" s="43">
        <f t="shared" si="7"/>
        <v>4116.4679999999998</v>
      </c>
      <c r="H26" s="269">
        <f t="shared" si="8"/>
        <v>2.1749713589416901E-2</v>
      </c>
      <c r="I26" s="43" t="s">
        <v>297</v>
      </c>
      <c r="W26" s="104">
        <v>42404</v>
      </c>
      <c r="X26" s="12">
        <v>66.58</v>
      </c>
      <c r="Y26" s="43">
        <v>66.790000000000006</v>
      </c>
      <c r="Z26" s="43">
        <v>65.12</v>
      </c>
      <c r="AA26" s="12">
        <v>66</v>
      </c>
      <c r="AB26" s="105">
        <v>4337300</v>
      </c>
      <c r="AC26" s="286">
        <v>65.709999999999994</v>
      </c>
      <c r="AD26" s="2">
        <f t="shared" si="1"/>
        <v>1.6700000000000017</v>
      </c>
      <c r="AE26" s="148">
        <f t="shared" si="2"/>
        <v>-2.8831562974205305E-3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6"/>
        <v>277.28100000000018</v>
      </c>
      <c r="G27" s="43">
        <f t="shared" si="7"/>
        <v>1913.019</v>
      </c>
      <c r="H27" s="269">
        <f t="shared" si="8"/>
        <v>0.14494419553595661</v>
      </c>
      <c r="I27" s="43"/>
      <c r="W27" s="104">
        <v>42403</v>
      </c>
      <c r="X27" s="12">
        <v>67.8</v>
      </c>
      <c r="Y27" s="43">
        <v>68.790000000000006</v>
      </c>
      <c r="Z27" s="43">
        <v>64.88</v>
      </c>
      <c r="AA27" s="12">
        <v>66.19</v>
      </c>
      <c r="AB27" s="105">
        <v>4893800</v>
      </c>
      <c r="AC27" s="286">
        <v>65.900000000000006</v>
      </c>
      <c r="AD27" s="2">
        <f t="shared" si="1"/>
        <v>3.9100000000000108</v>
      </c>
      <c r="AE27" s="148">
        <f t="shared" si="2"/>
        <v>-4.3813264843630684E-3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42402</v>
      </c>
      <c r="X28" s="12">
        <v>69.069999999999993</v>
      </c>
      <c r="Y28" s="43">
        <v>69.2</v>
      </c>
      <c r="Z28" s="43">
        <v>66.38</v>
      </c>
      <c r="AA28" s="12">
        <v>66.48</v>
      </c>
      <c r="AB28" s="105">
        <v>3834900</v>
      </c>
      <c r="AC28" s="286">
        <v>66.19</v>
      </c>
      <c r="AD28" s="2">
        <f t="shared" si="1"/>
        <v>2.8200000000000074</v>
      </c>
      <c r="AE28" s="148">
        <f t="shared" si="2"/>
        <v>-4.5015149329101223E-2</v>
      </c>
    </row>
    <row r="29" spans="2:40" x14ac:dyDescent="0.25">
      <c r="B29" s="216"/>
      <c r="C29" s="12"/>
      <c r="D29" s="43"/>
      <c r="E29" s="43"/>
      <c r="F29" s="43"/>
      <c r="G29" s="43"/>
      <c r="H29" s="269"/>
      <c r="I29" s="43"/>
      <c r="W29" s="104">
        <v>42401</v>
      </c>
      <c r="X29" s="12">
        <v>68.180000000000007</v>
      </c>
      <c r="Y29" s="43">
        <v>70.39</v>
      </c>
      <c r="Z29" s="43">
        <v>67.52</v>
      </c>
      <c r="AA29" s="12">
        <v>69.62</v>
      </c>
      <c r="AB29" s="105">
        <v>4726300</v>
      </c>
      <c r="AC29" s="286">
        <v>69.31</v>
      </c>
      <c r="AD29" s="2">
        <f t="shared" si="1"/>
        <v>2.8700000000000045</v>
      </c>
      <c r="AE29" s="148">
        <f t="shared" si="2"/>
        <v>1.0055377440979285E-2</v>
      </c>
    </row>
    <row r="30" spans="2:40" x14ac:dyDescent="0.25">
      <c r="B30" s="216"/>
      <c r="C30" s="12"/>
      <c r="D30" s="43"/>
      <c r="E30" s="43"/>
      <c r="F30" s="43"/>
      <c r="G30" s="43"/>
      <c r="H30" s="269"/>
      <c r="I30" s="43"/>
      <c r="W30" s="104">
        <v>42398</v>
      </c>
      <c r="X30" s="12">
        <v>68.819999999999993</v>
      </c>
      <c r="Y30" s="43">
        <v>69.77</v>
      </c>
      <c r="Z30" s="43">
        <v>66.22</v>
      </c>
      <c r="AA30" s="12">
        <v>68.92</v>
      </c>
      <c r="AB30" s="105">
        <v>8200700</v>
      </c>
      <c r="AC30" s="286">
        <v>68.62</v>
      </c>
      <c r="AD30" s="2">
        <f t="shared" si="1"/>
        <v>3.5499999999999972</v>
      </c>
      <c r="AE30" s="148">
        <f t="shared" si="2"/>
        <v>6.3711052549992209E-2</v>
      </c>
    </row>
    <row r="31" spans="2:40" x14ac:dyDescent="0.25">
      <c r="B31" s="216"/>
      <c r="C31" s="12"/>
      <c r="D31" s="43"/>
      <c r="E31" s="43"/>
      <c r="F31" s="43"/>
      <c r="G31" s="43"/>
      <c r="H31" s="269"/>
      <c r="I31" s="43"/>
      <c r="W31" s="104">
        <v>42397</v>
      </c>
      <c r="X31" s="12">
        <v>62.77</v>
      </c>
      <c r="Y31" s="43">
        <v>64.900000000000006</v>
      </c>
      <c r="Z31" s="43">
        <v>62.61</v>
      </c>
      <c r="AA31" s="12">
        <v>64.790000000000006</v>
      </c>
      <c r="AB31" s="105">
        <v>7098900</v>
      </c>
      <c r="AC31" s="286">
        <v>64.510000000000005</v>
      </c>
      <c r="AD31" s="2">
        <f t="shared" si="1"/>
        <v>2.2900000000000063</v>
      </c>
      <c r="AE31" s="148">
        <f t="shared" si="2"/>
        <v>4.267011475674809E-2</v>
      </c>
    </row>
    <row r="32" spans="2:40" x14ac:dyDescent="0.25">
      <c r="B32" s="216"/>
      <c r="C32" s="12"/>
      <c r="D32" s="43"/>
      <c r="E32" s="43"/>
      <c r="F32" s="43"/>
      <c r="G32" s="43"/>
      <c r="H32" s="269"/>
      <c r="I32" s="43"/>
      <c r="W32" s="104">
        <v>42396</v>
      </c>
      <c r="X32" s="12">
        <v>65.680000000000007</v>
      </c>
      <c r="Y32" s="43">
        <v>66.459999999999994</v>
      </c>
      <c r="Z32" s="43">
        <v>61.71</v>
      </c>
      <c r="AA32" s="12">
        <v>62.14</v>
      </c>
      <c r="AB32" s="105">
        <v>5848300</v>
      </c>
      <c r="AC32" s="286">
        <v>61.87</v>
      </c>
      <c r="AD32" s="2">
        <f t="shared" si="1"/>
        <v>4.7499999999999929</v>
      </c>
      <c r="AE32" s="148">
        <f t="shared" si="2"/>
        <v>-5.5564036025034458E-2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04">
        <v>42395</v>
      </c>
      <c r="X33" s="12">
        <v>65.75</v>
      </c>
      <c r="Y33" s="43">
        <v>67.040000000000006</v>
      </c>
      <c r="Z33" s="43">
        <v>64.989999999999995</v>
      </c>
      <c r="AA33" s="12">
        <v>65.8</v>
      </c>
      <c r="AB33" s="105">
        <v>2789400</v>
      </c>
      <c r="AC33" s="286">
        <v>65.510000000000005</v>
      </c>
      <c r="AD33" s="2">
        <f t="shared" si="1"/>
        <v>2.0500000000000114</v>
      </c>
      <c r="AE33" s="148">
        <f t="shared" si="2"/>
        <v>3.2159264931088671E-3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04">
        <v>42394</v>
      </c>
      <c r="X34" s="12">
        <v>66.849999999999994</v>
      </c>
      <c r="Y34" s="43">
        <v>66.92</v>
      </c>
      <c r="Z34" s="43">
        <v>65.489999999999995</v>
      </c>
      <c r="AA34" s="12">
        <v>65.59</v>
      </c>
      <c r="AB34" s="105">
        <v>3069000</v>
      </c>
      <c r="AC34" s="286">
        <v>65.3</v>
      </c>
      <c r="AD34" s="2">
        <f t="shared" si="1"/>
        <v>1.4300000000000068</v>
      </c>
      <c r="AE34" s="148">
        <f t="shared" si="2"/>
        <v>-2.1576266107281916E-2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04">
        <v>42391</v>
      </c>
      <c r="X35" s="12">
        <v>65</v>
      </c>
      <c r="Y35" s="43">
        <v>67.42</v>
      </c>
      <c r="Z35" s="43">
        <v>64.97</v>
      </c>
      <c r="AA35" s="12">
        <v>67.03</v>
      </c>
      <c r="AB35" s="105">
        <v>5714300</v>
      </c>
      <c r="AC35" s="286">
        <v>66.739999999999995</v>
      </c>
      <c r="AD35" s="2">
        <f t="shared" si="1"/>
        <v>2.4500000000000028</v>
      </c>
      <c r="AE35" s="148">
        <f t="shared" si="2"/>
        <v>5.9196952864624564E-2</v>
      </c>
    </row>
    <row r="36" spans="2:31" ht="20.25" thickBot="1" x14ac:dyDescent="0.35">
      <c r="O36" s="13"/>
      <c r="P36" s="304" t="s">
        <v>78</v>
      </c>
      <c r="Q36" s="304"/>
      <c r="R36" s="37"/>
      <c r="T36" s="101" t="s">
        <v>116</v>
      </c>
      <c r="W36" s="104">
        <v>42390</v>
      </c>
      <c r="X36" s="12">
        <v>62.23</v>
      </c>
      <c r="Y36" s="43">
        <v>64.73</v>
      </c>
      <c r="Z36" s="43">
        <v>61.52</v>
      </c>
      <c r="AA36" s="12">
        <v>63.29</v>
      </c>
      <c r="AB36" s="105">
        <v>4252400</v>
      </c>
      <c r="AC36" s="286">
        <v>63.01</v>
      </c>
      <c r="AD36" s="2">
        <f t="shared" si="1"/>
        <v>3.2100000000000009</v>
      </c>
      <c r="AE36" s="148">
        <f t="shared" si="2"/>
        <v>2.7057864710676283E-2</v>
      </c>
    </row>
    <row r="37" spans="2:31" ht="15.75" thickTop="1" x14ac:dyDescent="0.25">
      <c r="O37" s="2"/>
      <c r="P37" s="93">
        <v>1.1000000000000001</v>
      </c>
      <c r="Q37" s="93">
        <f>P37*$Q$4</f>
        <v>78.122</v>
      </c>
      <c r="R37" s="37"/>
      <c r="T37" s="107" t="s">
        <v>101</v>
      </c>
      <c r="U37" s="139">
        <v>69.91</v>
      </c>
      <c r="W37" s="104">
        <v>42389</v>
      </c>
      <c r="X37" s="12">
        <v>59.37</v>
      </c>
      <c r="Y37" s="43">
        <v>62.31</v>
      </c>
      <c r="Z37" s="43">
        <v>58.5</v>
      </c>
      <c r="AA37" s="12">
        <v>61.62</v>
      </c>
      <c r="AB37" s="105">
        <v>5997300</v>
      </c>
      <c r="AC37" s="286">
        <v>61.35</v>
      </c>
      <c r="AD37" s="2">
        <f t="shared" si="1"/>
        <v>3.8100000000000023</v>
      </c>
      <c r="AE37" s="148">
        <f t="shared" si="2"/>
        <v>2.0459081836327497E-2</v>
      </c>
    </row>
    <row r="38" spans="2:31" x14ac:dyDescent="0.25">
      <c r="O38" s="2"/>
      <c r="P38" s="93">
        <v>1.0900000000000001</v>
      </c>
      <c r="Q38" s="93">
        <f t="shared" ref="Q38:Q57" si="9">P38*$Q$4</f>
        <v>77.411799999999999</v>
      </c>
      <c r="R38" s="37"/>
      <c r="T38" s="97" t="s">
        <v>102</v>
      </c>
      <c r="U38" s="140">
        <v>70.319999999999993</v>
      </c>
      <c r="W38" s="104">
        <v>42388</v>
      </c>
      <c r="X38" s="12">
        <v>62.38</v>
      </c>
      <c r="Y38" s="43">
        <v>63.34</v>
      </c>
      <c r="Z38" s="43">
        <v>59.87</v>
      </c>
      <c r="AA38" s="12">
        <v>60.38</v>
      </c>
      <c r="AB38" s="105">
        <v>4928400</v>
      </c>
      <c r="AC38" s="286">
        <v>60.12</v>
      </c>
      <c r="AD38" s="2">
        <f t="shared" si="1"/>
        <v>3.470000000000006</v>
      </c>
      <c r="AE38" s="148">
        <f t="shared" si="2"/>
        <v>-4.6357615894040416E-3</v>
      </c>
    </row>
    <row r="39" spans="2:31" x14ac:dyDescent="0.25">
      <c r="O39" s="2"/>
      <c r="P39" s="93">
        <v>1.08</v>
      </c>
      <c r="Q39" s="93">
        <f t="shared" si="9"/>
        <v>76.701599999999999</v>
      </c>
      <c r="R39" s="37"/>
      <c r="T39" s="97" t="s">
        <v>103</v>
      </c>
      <c r="U39" s="140" t="s">
        <v>360</v>
      </c>
      <c r="W39" s="104">
        <v>42384</v>
      </c>
      <c r="X39" s="12">
        <v>61.1</v>
      </c>
      <c r="Y39" s="43">
        <v>62.45</v>
      </c>
      <c r="Z39" s="43">
        <v>59.92</v>
      </c>
      <c r="AA39" s="12">
        <v>60.67</v>
      </c>
      <c r="AB39" s="105">
        <v>6045100</v>
      </c>
      <c r="AC39" s="286">
        <v>60.4</v>
      </c>
      <c r="AD39" s="2">
        <f t="shared" si="1"/>
        <v>2.5300000000000011</v>
      </c>
      <c r="AE39" s="148">
        <f t="shared" si="2"/>
        <v>-6.0068471833177761E-2</v>
      </c>
    </row>
    <row r="40" spans="2:31" x14ac:dyDescent="0.25">
      <c r="O40" s="2"/>
      <c r="P40" s="93">
        <v>1.07</v>
      </c>
      <c r="Q40" s="93">
        <f t="shared" si="9"/>
        <v>75.991399999999999</v>
      </c>
      <c r="R40" s="93"/>
      <c r="T40" s="97" t="s">
        <v>104</v>
      </c>
      <c r="U40" s="140" t="s">
        <v>361</v>
      </c>
      <c r="W40" s="104">
        <v>42383</v>
      </c>
      <c r="X40" s="12">
        <v>62.01</v>
      </c>
      <c r="Y40" s="43">
        <v>65.14</v>
      </c>
      <c r="Z40" s="43">
        <v>60.07</v>
      </c>
      <c r="AA40" s="12">
        <v>64.540000000000006</v>
      </c>
      <c r="AB40" s="105">
        <v>5674200</v>
      </c>
      <c r="AC40" s="286">
        <v>64.260000000000005</v>
      </c>
      <c r="AD40" s="2">
        <f t="shared" si="1"/>
        <v>5.07</v>
      </c>
      <c r="AE40" s="148">
        <f t="shared" si="2"/>
        <v>3.8293746970431419E-2</v>
      </c>
    </row>
    <row r="41" spans="2:31" x14ac:dyDescent="0.25">
      <c r="O41" s="2"/>
      <c r="P41" s="93">
        <v>1.06</v>
      </c>
      <c r="Q41" s="93">
        <f t="shared" si="9"/>
        <v>75.281199999999998</v>
      </c>
      <c r="R41" s="93"/>
      <c r="T41" s="97" t="s">
        <v>105</v>
      </c>
      <c r="U41" s="140">
        <v>90.74</v>
      </c>
      <c r="W41" s="104">
        <v>42382</v>
      </c>
      <c r="X41" s="12">
        <v>64.2</v>
      </c>
      <c r="Y41" s="43">
        <v>65.66</v>
      </c>
      <c r="Z41" s="43">
        <v>61.9</v>
      </c>
      <c r="AA41" s="12">
        <v>62.16</v>
      </c>
      <c r="AB41" s="105">
        <v>7247200</v>
      </c>
      <c r="AC41" s="286">
        <v>61.89</v>
      </c>
      <c r="AD41" s="2">
        <f t="shared" si="1"/>
        <v>3.759999999999998</v>
      </c>
      <c r="AE41" s="148">
        <f t="shared" si="2"/>
        <v>-6.7078685559240347E-2</v>
      </c>
    </row>
    <row r="42" spans="2:31" x14ac:dyDescent="0.25">
      <c r="O42" s="2"/>
      <c r="P42" s="93">
        <v>1.05</v>
      </c>
      <c r="Q42" s="93">
        <f t="shared" si="9"/>
        <v>74.570999999999998</v>
      </c>
      <c r="R42" s="93"/>
      <c r="T42" s="97" t="s">
        <v>106</v>
      </c>
      <c r="U42" s="140">
        <v>0.60286600000000001</v>
      </c>
      <c r="W42" s="104">
        <v>42381</v>
      </c>
      <c r="X42" s="12">
        <v>66.72</v>
      </c>
      <c r="Y42" s="43">
        <v>67.81</v>
      </c>
      <c r="Z42" s="43">
        <v>65.06</v>
      </c>
      <c r="AA42" s="12">
        <v>66.63</v>
      </c>
      <c r="AB42" s="105">
        <v>3352400</v>
      </c>
      <c r="AC42" s="286">
        <v>66.34</v>
      </c>
      <c r="AD42" s="2">
        <f t="shared" si="1"/>
        <v>2.75</v>
      </c>
      <c r="AE42" s="148">
        <f t="shared" si="2"/>
        <v>8.819951338199461E-3</v>
      </c>
    </row>
    <row r="43" spans="2:31" x14ac:dyDescent="0.25">
      <c r="O43" s="2"/>
      <c r="P43" s="93">
        <v>1.04</v>
      </c>
      <c r="Q43" s="93">
        <f t="shared" si="9"/>
        <v>73.860799999999998</v>
      </c>
      <c r="R43" s="93"/>
      <c r="T43" s="97" t="s">
        <v>126</v>
      </c>
      <c r="U43" s="104" t="s">
        <v>259</v>
      </c>
      <c r="W43" s="104">
        <v>42380</v>
      </c>
      <c r="X43" s="12">
        <v>67.180000000000007</v>
      </c>
      <c r="Y43" s="43">
        <v>68</v>
      </c>
      <c r="Z43" s="43">
        <v>64.930000000000007</v>
      </c>
      <c r="AA43" s="12">
        <v>66.05</v>
      </c>
      <c r="AB43" s="105">
        <v>5140200</v>
      </c>
      <c r="AC43" s="286">
        <v>65.760000000000005</v>
      </c>
      <c r="AD43" s="2">
        <f t="shared" si="1"/>
        <v>3.0699999999999932</v>
      </c>
      <c r="AE43" s="148">
        <f t="shared" si="2"/>
        <v>-1.2612612612612484E-2</v>
      </c>
    </row>
    <row r="44" spans="2:31" x14ac:dyDescent="0.25">
      <c r="O44" s="2"/>
      <c r="P44" s="93">
        <v>1.03</v>
      </c>
      <c r="Q44" s="93">
        <f t="shared" si="9"/>
        <v>73.150599999999997</v>
      </c>
      <c r="R44" s="93"/>
      <c r="T44" s="97"/>
      <c r="U44" s="140"/>
      <c r="W44" s="104">
        <v>42377</v>
      </c>
      <c r="X44" s="12">
        <v>68.56</v>
      </c>
      <c r="Y44" s="43">
        <v>69.12</v>
      </c>
      <c r="Z44" s="43">
        <v>66.55</v>
      </c>
      <c r="AA44" s="12">
        <v>66.89</v>
      </c>
      <c r="AB44" s="105">
        <v>7171000</v>
      </c>
      <c r="AC44" s="286">
        <v>66.599999999999994</v>
      </c>
      <c r="AD44" s="2">
        <f t="shared" si="1"/>
        <v>2.5700000000000074</v>
      </c>
      <c r="AE44" s="148">
        <f t="shared" si="2"/>
        <v>-4.0376850605654546E-3</v>
      </c>
    </row>
    <row r="45" spans="2:31" x14ac:dyDescent="0.25">
      <c r="O45" s="2"/>
      <c r="P45" s="93">
        <v>1.02</v>
      </c>
      <c r="Q45" s="93">
        <f t="shared" si="9"/>
        <v>72.440399999999997</v>
      </c>
      <c r="R45" s="93"/>
      <c r="T45" s="97" t="s">
        <v>108</v>
      </c>
      <c r="U45" s="140" t="s">
        <v>362</v>
      </c>
      <c r="W45" s="104">
        <v>42376</v>
      </c>
      <c r="X45" s="12">
        <v>66.599999999999994</v>
      </c>
      <c r="Y45" s="43">
        <v>70.28</v>
      </c>
      <c r="Z45" s="43">
        <v>66.099999999999994</v>
      </c>
      <c r="AA45" s="12">
        <v>67.16</v>
      </c>
      <c r="AB45" s="105">
        <v>7120100</v>
      </c>
      <c r="AC45" s="286">
        <v>66.87</v>
      </c>
      <c r="AD45" s="2">
        <f t="shared" si="1"/>
        <v>4.1800000000000068</v>
      </c>
      <c r="AE45" s="148">
        <f t="shared" si="2"/>
        <v>-2.8758169934640421E-2</v>
      </c>
    </row>
    <row r="46" spans="2:31" x14ac:dyDescent="0.25">
      <c r="O46" s="2"/>
      <c r="P46" s="93">
        <v>1.01</v>
      </c>
      <c r="Q46" s="93">
        <f t="shared" si="9"/>
        <v>71.730199999999996</v>
      </c>
      <c r="R46" s="93"/>
      <c r="T46" s="97" t="s">
        <v>109</v>
      </c>
      <c r="U46" s="140" t="s">
        <v>279</v>
      </c>
      <c r="W46" s="104">
        <v>42375</v>
      </c>
      <c r="X46" s="12">
        <v>71.55</v>
      </c>
      <c r="Y46" s="43">
        <v>72.06</v>
      </c>
      <c r="Z46" s="43">
        <v>68.33</v>
      </c>
      <c r="AA46" s="12">
        <v>69.150000000000006</v>
      </c>
      <c r="AB46" s="105">
        <v>8047300</v>
      </c>
      <c r="AC46" s="286">
        <v>68.849999999999994</v>
      </c>
      <c r="AD46" s="2">
        <f t="shared" si="1"/>
        <v>3.730000000000004</v>
      </c>
      <c r="AE46" s="148">
        <f t="shared" si="2"/>
        <v>-5.6461559545018525E-2</v>
      </c>
    </row>
    <row r="47" spans="2:31" x14ac:dyDescent="0.25">
      <c r="O47" s="2"/>
      <c r="P47" s="93">
        <v>1</v>
      </c>
      <c r="Q47" s="93">
        <f t="shared" si="9"/>
        <v>71.02</v>
      </c>
      <c r="R47" s="93"/>
      <c r="T47" s="97" t="s">
        <v>110</v>
      </c>
      <c r="U47" s="141">
        <v>3002489</v>
      </c>
      <c r="W47" s="104">
        <v>42374</v>
      </c>
      <c r="X47" s="12">
        <v>78.040000000000006</v>
      </c>
      <c r="Y47" s="43">
        <v>78.12</v>
      </c>
      <c r="Z47" s="43">
        <v>72.78</v>
      </c>
      <c r="AA47" s="12">
        <v>73.290000000000006</v>
      </c>
      <c r="AB47" s="105">
        <v>6011000</v>
      </c>
      <c r="AC47" s="286">
        <v>72.97</v>
      </c>
      <c r="AD47" s="2">
        <f t="shared" si="1"/>
        <v>5.3400000000000034</v>
      </c>
      <c r="AE47" s="148">
        <f t="shared" si="2"/>
        <v>-5.9543755638613249E-2</v>
      </c>
    </row>
    <row r="48" spans="2:31" x14ac:dyDescent="0.25">
      <c r="O48" s="2"/>
      <c r="P48" s="93">
        <v>0.99</v>
      </c>
      <c r="Q48" s="93">
        <f t="shared" si="9"/>
        <v>70.309799999999996</v>
      </c>
      <c r="R48" s="93"/>
      <c r="T48" s="97" t="s">
        <v>113</v>
      </c>
      <c r="U48" s="141">
        <v>4361520</v>
      </c>
      <c r="W48" s="104">
        <v>42373</v>
      </c>
      <c r="X48" s="12">
        <v>75.010000000000005</v>
      </c>
      <c r="Y48" s="43">
        <v>78</v>
      </c>
      <c r="Z48" s="43">
        <v>74.91</v>
      </c>
      <c r="AA48" s="12">
        <v>77.930000000000007</v>
      </c>
      <c r="AB48" s="105">
        <v>3848000</v>
      </c>
      <c r="AC48" s="286">
        <v>77.59</v>
      </c>
      <c r="AD48" s="2">
        <f t="shared" si="1"/>
        <v>3.0900000000000034</v>
      </c>
      <c r="AE48" s="148">
        <f t="shared" si="2"/>
        <v>1.438096483200435E-2</v>
      </c>
    </row>
    <row r="49" spans="15:31" x14ac:dyDescent="0.25">
      <c r="O49" s="2"/>
      <c r="P49" s="93">
        <v>0.98</v>
      </c>
      <c r="Q49" s="93">
        <f t="shared" si="9"/>
        <v>69.599599999999995</v>
      </c>
      <c r="R49" s="93"/>
      <c r="T49" s="97" t="s">
        <v>111</v>
      </c>
      <c r="U49" s="140" t="s">
        <v>363</v>
      </c>
      <c r="W49" s="104">
        <v>42369</v>
      </c>
      <c r="X49" s="12">
        <v>78.91</v>
      </c>
      <c r="Y49" s="43">
        <v>79.25</v>
      </c>
      <c r="Z49" s="43">
        <v>76.8</v>
      </c>
      <c r="AA49" s="12">
        <v>76.83</v>
      </c>
      <c r="AB49" s="105">
        <v>2341300</v>
      </c>
      <c r="AC49" s="286">
        <v>76.489999999999995</v>
      </c>
      <c r="AD49" s="2">
        <f t="shared" si="1"/>
        <v>2.4500000000000028</v>
      </c>
      <c r="AE49" s="148">
        <f t="shared" si="2"/>
        <v>-2.9807204464738835E-2</v>
      </c>
    </row>
    <row r="50" spans="15:31" x14ac:dyDescent="0.25">
      <c r="O50" s="2"/>
      <c r="P50" s="93">
        <v>0.97</v>
      </c>
      <c r="Q50" s="93">
        <f t="shared" si="9"/>
        <v>68.889399999999995</v>
      </c>
      <c r="R50" s="93"/>
      <c r="T50" s="97" t="s">
        <v>114</v>
      </c>
      <c r="U50" s="140">
        <v>14.47</v>
      </c>
      <c r="W50" s="104">
        <v>42368</v>
      </c>
      <c r="X50" s="12">
        <v>80.180000000000007</v>
      </c>
      <c r="Y50" s="43">
        <v>80.930000000000007</v>
      </c>
      <c r="Z50" s="43">
        <v>79.150000000000006</v>
      </c>
      <c r="AA50" s="12">
        <v>79.19</v>
      </c>
      <c r="AB50" s="105">
        <v>1368800</v>
      </c>
      <c r="AC50" s="286">
        <v>78.84</v>
      </c>
      <c r="AD50" s="2">
        <f t="shared" si="1"/>
        <v>1.7800000000000011</v>
      </c>
      <c r="AE50" s="148">
        <f t="shared" si="2"/>
        <v>-1.548451548451546E-2</v>
      </c>
    </row>
    <row r="51" spans="15:31" x14ac:dyDescent="0.25">
      <c r="O51" s="2"/>
      <c r="P51" s="93">
        <v>0.96</v>
      </c>
      <c r="Q51" s="93">
        <f t="shared" si="9"/>
        <v>68.179199999999994</v>
      </c>
      <c r="R51" s="93"/>
      <c r="T51" s="97" t="s">
        <v>115</v>
      </c>
      <c r="U51" s="140">
        <v>4.91</v>
      </c>
      <c r="W51" s="104">
        <v>42367</v>
      </c>
      <c r="X51" s="12">
        <v>79.430000000000007</v>
      </c>
      <c r="Y51" s="43">
        <v>81.349999999999994</v>
      </c>
      <c r="Z51" s="43">
        <v>79.08</v>
      </c>
      <c r="AA51" s="12">
        <v>80.430000000000007</v>
      </c>
      <c r="AB51" s="105">
        <v>2437300</v>
      </c>
      <c r="AC51" s="286">
        <v>80.08</v>
      </c>
      <c r="AD51" s="2">
        <f t="shared" si="1"/>
        <v>2.269999999999996</v>
      </c>
      <c r="AE51" s="148">
        <f t="shared" si="2"/>
        <v>1.4184397163120588E-2</v>
      </c>
    </row>
    <row r="52" spans="15:31" x14ac:dyDescent="0.25">
      <c r="O52" s="2"/>
      <c r="P52" s="93">
        <v>0.95</v>
      </c>
      <c r="Q52" s="93">
        <f t="shared" si="9"/>
        <v>67.468999999999994</v>
      </c>
      <c r="R52" s="93"/>
      <c r="T52" s="97" t="s">
        <v>112</v>
      </c>
      <c r="U52" s="140" t="s">
        <v>312</v>
      </c>
      <c r="W52" s="104">
        <v>42366</v>
      </c>
      <c r="X52" s="12">
        <v>78.81</v>
      </c>
      <c r="Y52" s="43">
        <v>79.900000000000006</v>
      </c>
      <c r="Z52" s="43">
        <v>77.569999999999993</v>
      </c>
      <c r="AA52" s="12">
        <v>79.31</v>
      </c>
      <c r="AB52" s="105">
        <v>3210300</v>
      </c>
      <c r="AC52" s="286">
        <v>78.959999999999994</v>
      </c>
      <c r="AD52" s="2">
        <f t="shared" si="1"/>
        <v>2.3300000000000125</v>
      </c>
      <c r="AE52" s="148">
        <f t="shared" si="2"/>
        <v>-1.2663036596183286E-4</v>
      </c>
    </row>
    <row r="53" spans="15:31" x14ac:dyDescent="0.25">
      <c r="O53" s="2"/>
      <c r="P53" s="93">
        <v>0.94</v>
      </c>
      <c r="Q53" s="93">
        <f t="shared" si="9"/>
        <v>66.758799999999994</v>
      </c>
      <c r="R53" s="93"/>
      <c r="W53" s="104">
        <v>42362</v>
      </c>
      <c r="X53" s="12">
        <v>79.17</v>
      </c>
      <c r="Y53" s="43">
        <v>80.48</v>
      </c>
      <c r="Z53" s="43">
        <v>79</v>
      </c>
      <c r="AA53" s="12">
        <v>79.319999999999993</v>
      </c>
      <c r="AB53" s="105">
        <v>1022700</v>
      </c>
      <c r="AC53" s="286">
        <v>78.97</v>
      </c>
      <c r="AD53" s="2">
        <f t="shared" si="1"/>
        <v>1.480000000000004</v>
      </c>
      <c r="AE53" s="148">
        <f t="shared" si="2"/>
        <v>1.9030702867293137E-3</v>
      </c>
    </row>
    <row r="54" spans="15:31" x14ac:dyDescent="0.25">
      <c r="O54" s="2"/>
      <c r="P54" s="93">
        <v>0.93</v>
      </c>
      <c r="Q54" s="93">
        <f t="shared" si="9"/>
        <v>66.048599999999993</v>
      </c>
      <c r="R54" s="93"/>
      <c r="W54" s="104">
        <v>42361</v>
      </c>
      <c r="X54" s="12">
        <v>78.86</v>
      </c>
      <c r="Y54" s="43">
        <v>79.86</v>
      </c>
      <c r="Z54" s="43">
        <v>77.66</v>
      </c>
      <c r="AA54" s="12">
        <v>79.17</v>
      </c>
      <c r="AB54" s="105">
        <v>1919700</v>
      </c>
      <c r="AC54" s="286">
        <v>78.819999999999993</v>
      </c>
      <c r="AD54" s="2">
        <f t="shared" si="1"/>
        <v>2.2000000000000028</v>
      </c>
      <c r="AE54" s="148">
        <f t="shared" si="2"/>
        <v>9.6067631612655191E-3</v>
      </c>
    </row>
    <row r="55" spans="15:31" x14ac:dyDescent="0.25">
      <c r="O55" s="2"/>
      <c r="P55" s="93">
        <v>0.92</v>
      </c>
      <c r="Q55" s="93">
        <f t="shared" si="9"/>
        <v>65.338399999999993</v>
      </c>
      <c r="R55" s="93"/>
      <c r="W55" s="104">
        <v>42360</v>
      </c>
      <c r="X55" s="12">
        <v>78.81</v>
      </c>
      <c r="Y55" s="43">
        <v>79.11</v>
      </c>
      <c r="Z55" s="43">
        <v>76.709999999999994</v>
      </c>
      <c r="AA55" s="12">
        <v>78.41</v>
      </c>
      <c r="AB55" s="105">
        <v>2586200</v>
      </c>
      <c r="AC55" s="286">
        <v>78.069999999999993</v>
      </c>
      <c r="AD55" s="2">
        <f t="shared" si="1"/>
        <v>2.4000000000000057</v>
      </c>
      <c r="AE55" s="148">
        <f t="shared" si="2"/>
        <v>-1.2807377049184332E-4</v>
      </c>
    </row>
    <row r="56" spans="15:31" x14ac:dyDescent="0.25">
      <c r="O56" s="2"/>
      <c r="P56" s="93">
        <v>0.91</v>
      </c>
      <c r="Q56" s="93">
        <f t="shared" si="9"/>
        <v>64.628199999999993</v>
      </c>
      <c r="R56" s="93"/>
      <c r="W56" s="104">
        <v>42359</v>
      </c>
      <c r="X56" s="12">
        <v>77.5</v>
      </c>
      <c r="Y56" s="43">
        <v>78.42</v>
      </c>
      <c r="Z56" s="43">
        <v>76.400000000000006</v>
      </c>
      <c r="AA56" s="12">
        <v>78.42</v>
      </c>
      <c r="AB56" s="105">
        <v>2287400</v>
      </c>
      <c r="AC56" s="286">
        <v>78.08</v>
      </c>
      <c r="AD56" s="2">
        <f t="shared" si="1"/>
        <v>2.019999999999996</v>
      </c>
      <c r="AE56" s="148">
        <f t="shared" si="2"/>
        <v>2.669296515450359E-2</v>
      </c>
    </row>
    <row r="57" spans="15:31" x14ac:dyDescent="0.25">
      <c r="O57" s="2"/>
      <c r="P57" s="93">
        <v>0.9</v>
      </c>
      <c r="Q57" s="93">
        <f t="shared" si="9"/>
        <v>63.917999999999999</v>
      </c>
      <c r="R57" s="93"/>
      <c r="W57" s="104">
        <v>42356</v>
      </c>
      <c r="X57" s="12">
        <v>77.23</v>
      </c>
      <c r="Y57" s="43">
        <v>78.44</v>
      </c>
      <c r="Z57" s="43">
        <v>76.150000000000006</v>
      </c>
      <c r="AA57" s="12">
        <v>76.38</v>
      </c>
      <c r="AB57" s="105">
        <v>3788200</v>
      </c>
      <c r="AC57" s="286">
        <v>76.05</v>
      </c>
      <c r="AD57" s="2">
        <f t="shared" si="1"/>
        <v>2.289999999999992</v>
      </c>
      <c r="AE57" s="148">
        <f t="shared" si="2"/>
        <v>-1.8202943454686205E-2</v>
      </c>
    </row>
    <row r="58" spans="15:31" x14ac:dyDescent="0.25">
      <c r="W58" s="104">
        <v>42355</v>
      </c>
      <c r="X58" s="12">
        <v>79.819999999999993</v>
      </c>
      <c r="Y58" s="43">
        <v>80.63</v>
      </c>
      <c r="Z58" s="43">
        <v>77.760000000000005</v>
      </c>
      <c r="AA58" s="12">
        <v>77.8</v>
      </c>
      <c r="AB58" s="105">
        <v>2298600</v>
      </c>
      <c r="AC58" s="286">
        <v>77.459999999999994</v>
      </c>
      <c r="AD58" s="2">
        <f t="shared" si="1"/>
        <v>2.8699999999999903</v>
      </c>
      <c r="AE58" s="148">
        <f t="shared" si="2"/>
        <v>-1.4754515390486E-2</v>
      </c>
    </row>
    <row r="59" spans="15:31" x14ac:dyDescent="0.25">
      <c r="W59" s="104">
        <v>42354</v>
      </c>
      <c r="X59" s="12">
        <v>78.25</v>
      </c>
      <c r="Y59" s="43">
        <v>79.459999999999994</v>
      </c>
      <c r="Z59" s="43">
        <v>77.13</v>
      </c>
      <c r="AA59" s="12">
        <v>78.97</v>
      </c>
      <c r="AB59" s="105">
        <v>3020700</v>
      </c>
      <c r="AC59" s="286">
        <v>78.62</v>
      </c>
      <c r="AD59" s="2">
        <f t="shared" si="1"/>
        <v>2.3299999999999983</v>
      </c>
      <c r="AE59" s="148">
        <f t="shared" si="2"/>
        <v>1.5237603305785274E-2</v>
      </c>
    </row>
    <row r="60" spans="15:31" x14ac:dyDescent="0.25">
      <c r="W60" s="104">
        <v>42353</v>
      </c>
      <c r="X60" s="12">
        <v>78.180000000000007</v>
      </c>
      <c r="Y60" s="43">
        <v>78.78</v>
      </c>
      <c r="Z60" s="43">
        <v>76.849999999999994</v>
      </c>
      <c r="AA60" s="12">
        <v>77.78</v>
      </c>
      <c r="AB60" s="105">
        <v>4556100</v>
      </c>
      <c r="AC60" s="286">
        <v>77.44</v>
      </c>
      <c r="AD60" s="2">
        <f t="shared" si="1"/>
        <v>1.9300000000000068</v>
      </c>
      <c r="AE60" s="148">
        <f t="shared" si="2"/>
        <v>-9.3386209543303567E-3</v>
      </c>
    </row>
    <row r="61" spans="15:31" x14ac:dyDescent="0.25">
      <c r="W61" s="104">
        <v>42352</v>
      </c>
      <c r="X61" s="12">
        <v>79.64</v>
      </c>
      <c r="Y61" s="43">
        <v>79.989999999999995</v>
      </c>
      <c r="Z61" s="43">
        <v>76.45</v>
      </c>
      <c r="AA61" s="12">
        <v>78.510000000000005</v>
      </c>
      <c r="AB61" s="105">
        <v>6032200</v>
      </c>
      <c r="AC61" s="286">
        <v>78.17</v>
      </c>
      <c r="AD61" s="2">
        <f t="shared" si="1"/>
        <v>3.539999999999992</v>
      </c>
      <c r="AE61" s="148">
        <f t="shared" si="2"/>
        <v>-3.5771555445910819E-2</v>
      </c>
    </row>
    <row r="62" spans="15:31" x14ac:dyDescent="0.25">
      <c r="W62" s="104">
        <v>42349</v>
      </c>
      <c r="X62" s="12">
        <v>83.07</v>
      </c>
      <c r="Y62" s="43">
        <v>83.56</v>
      </c>
      <c r="Z62" s="43">
        <v>80.81</v>
      </c>
      <c r="AA62" s="12">
        <v>81.430000000000007</v>
      </c>
      <c r="AB62" s="105">
        <v>4162700</v>
      </c>
      <c r="AC62" s="286">
        <v>81.069999999999993</v>
      </c>
      <c r="AD62" s="2">
        <f t="shared" si="1"/>
        <v>2.75</v>
      </c>
      <c r="AE62" s="148">
        <f t="shared" si="2"/>
        <v>-4.0818741126360636E-2</v>
      </c>
    </row>
    <row r="63" spans="15:31" x14ac:dyDescent="0.25">
      <c r="W63" s="104">
        <v>42348</v>
      </c>
      <c r="X63" s="12">
        <v>84.51</v>
      </c>
      <c r="Y63" s="43">
        <v>86.18</v>
      </c>
      <c r="Z63" s="43">
        <v>84.17</v>
      </c>
      <c r="AA63" s="12">
        <v>84.89</v>
      </c>
      <c r="AB63" s="105">
        <v>2573700</v>
      </c>
      <c r="AC63" s="286">
        <v>84.52</v>
      </c>
      <c r="AD63" s="2">
        <f t="shared" si="1"/>
        <v>2.0100000000000051</v>
      </c>
      <c r="AE63" s="148">
        <f t="shared" si="2"/>
        <v>2.4908077333649636E-3</v>
      </c>
    </row>
    <row r="64" spans="15:31" x14ac:dyDescent="0.25">
      <c r="W64" s="104">
        <v>42347</v>
      </c>
      <c r="X64" s="12">
        <v>86.53</v>
      </c>
      <c r="Y64" s="43">
        <v>86.74</v>
      </c>
      <c r="Z64" s="43">
        <v>83.92</v>
      </c>
      <c r="AA64" s="12">
        <v>84.68</v>
      </c>
      <c r="AB64" s="105">
        <v>4055100</v>
      </c>
      <c r="AC64" s="286">
        <v>84.31</v>
      </c>
      <c r="AD64" s="2">
        <f t="shared" si="1"/>
        <v>2.8199999999999932</v>
      </c>
      <c r="AE64" s="148">
        <f t="shared" si="2"/>
        <v>-2.7790590405904037E-2</v>
      </c>
    </row>
    <row r="65" spans="23:31" x14ac:dyDescent="0.25">
      <c r="W65" s="104">
        <v>42346</v>
      </c>
      <c r="X65" s="12">
        <v>85.43</v>
      </c>
      <c r="Y65" s="43">
        <v>87.77</v>
      </c>
      <c r="Z65" s="43">
        <v>84.5</v>
      </c>
      <c r="AA65" s="12">
        <v>87.1</v>
      </c>
      <c r="AB65" s="105">
        <v>3000400</v>
      </c>
      <c r="AC65" s="286">
        <v>86.72</v>
      </c>
      <c r="AD65" s="2">
        <f t="shared" si="1"/>
        <v>3.269999999999996</v>
      </c>
      <c r="AE65" s="148">
        <f t="shared" si="2"/>
        <v>4.7503186189317148E-3</v>
      </c>
    </row>
    <row r="66" spans="23:31" x14ac:dyDescent="0.25">
      <c r="W66" s="104">
        <v>42345</v>
      </c>
      <c r="X66" s="12">
        <v>87.92</v>
      </c>
      <c r="Y66" s="43">
        <v>87.99</v>
      </c>
      <c r="Z66" s="43">
        <v>86.17</v>
      </c>
      <c r="AA66" s="12">
        <v>86.69</v>
      </c>
      <c r="AB66" s="105">
        <v>2867900</v>
      </c>
      <c r="AC66" s="286">
        <v>86.31</v>
      </c>
      <c r="AD66" s="2">
        <f t="shared" si="1"/>
        <v>1.8199999999999932</v>
      </c>
      <c r="AE66" s="148">
        <f t="shared" si="2"/>
        <v>-1.3938078373129215E-2</v>
      </c>
    </row>
    <row r="67" spans="23:31" x14ac:dyDescent="0.25">
      <c r="W67" s="104">
        <v>42342</v>
      </c>
      <c r="X67" s="12">
        <v>83.24</v>
      </c>
      <c r="Y67" s="43">
        <v>88.52</v>
      </c>
      <c r="Z67" s="43">
        <v>82.13</v>
      </c>
      <c r="AA67" s="12">
        <v>87.92</v>
      </c>
      <c r="AB67" s="105">
        <v>5119100</v>
      </c>
      <c r="AC67" s="286">
        <v>87.53</v>
      </c>
      <c r="AD67" s="2">
        <f t="shared" si="1"/>
        <v>6.3900000000000006</v>
      </c>
      <c r="AE67" s="148">
        <f t="shared" si="2"/>
        <v>5.3689659323462147E-2</v>
      </c>
    </row>
    <row r="68" spans="23:31" x14ac:dyDescent="0.25">
      <c r="W68" s="104">
        <v>42341</v>
      </c>
      <c r="X68" s="12">
        <v>86.71</v>
      </c>
      <c r="Y68" s="43">
        <v>87.1</v>
      </c>
      <c r="Z68" s="43">
        <v>83.13</v>
      </c>
      <c r="AA68" s="12">
        <v>83.44</v>
      </c>
      <c r="AB68" s="105">
        <v>4183700</v>
      </c>
      <c r="AC68" s="286">
        <v>83.07</v>
      </c>
      <c r="AD68" s="2">
        <f>Y68-Z68</f>
        <v>3.9699999999999989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1" priority="19">
      <formula>F22&gt;0</formula>
    </cfRule>
    <cfRule type="expression" dxfId="280" priority="20">
      <formula>F22&lt;0</formula>
    </cfRule>
  </conditionalFormatting>
  <conditionalFormatting sqref="F22:F35">
    <cfRule type="expression" dxfId="279" priority="21">
      <formula>F22&gt;0</formula>
    </cfRule>
    <cfRule type="expression" dxfId="278" priority="22">
      <formula>F22&lt;0</formula>
    </cfRule>
  </conditionalFormatting>
  <conditionalFormatting sqref="H20:H35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42438</v>
      </c>
      <c r="X2" s="44">
        <v>59.79</v>
      </c>
      <c r="Y2" s="44">
        <v>60.74</v>
      </c>
      <c r="Z2" s="44">
        <v>59.49</v>
      </c>
      <c r="AA2" s="44">
        <v>60.37</v>
      </c>
      <c r="AB2" s="114">
        <v>1138800</v>
      </c>
      <c r="AC2" s="11">
        <v>60.37</v>
      </c>
      <c r="AD2" s="2">
        <f>Y2-Z2</f>
        <v>1.25</v>
      </c>
      <c r="AE2" s="148">
        <f>AC2/AC3-1</f>
        <v>1.445135271382969E-2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60.37</v>
      </c>
      <c r="W3" s="133">
        <v>42437</v>
      </c>
      <c r="X3" s="44">
        <v>59.58</v>
      </c>
      <c r="Y3" s="44">
        <v>59.94</v>
      </c>
      <c r="Z3" s="44">
        <v>59.24</v>
      </c>
      <c r="AA3" s="44">
        <v>59.51</v>
      </c>
      <c r="AB3" s="114">
        <v>1057900</v>
      </c>
      <c r="AC3" s="11">
        <v>59.51</v>
      </c>
      <c r="AD3" s="2">
        <f t="shared" ref="AD3:AD66" si="0">Y3-Z3</f>
        <v>0.69999999999999574</v>
      </c>
      <c r="AE3" s="148" t="e">
        <f t="shared" ref="AE3:AE66" si="1">AC3/AC4-1</f>
        <v>#DIV/0!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60.37</v>
      </c>
      <c r="T4" s="1"/>
      <c r="W4" s="133">
        <v>42437</v>
      </c>
      <c r="X4" s="44" t="s">
        <v>329</v>
      </c>
      <c r="Y4" s="44"/>
      <c r="Z4" s="44"/>
      <c r="AA4" s="44"/>
      <c r="AB4" s="114"/>
      <c r="AC4" s="11"/>
      <c r="AD4" s="2">
        <f t="shared" si="0"/>
        <v>0</v>
      </c>
      <c r="AE4" s="148">
        <f t="shared" si="1"/>
        <v>-1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42436</v>
      </c>
      <c r="X5" s="44">
        <v>58.66</v>
      </c>
      <c r="Y5" s="44">
        <v>60.42</v>
      </c>
      <c r="Z5" s="44">
        <v>58.63</v>
      </c>
      <c r="AA5" s="44">
        <v>60.09</v>
      </c>
      <c r="AB5" s="114">
        <v>1151100</v>
      </c>
      <c r="AC5" s="11">
        <v>59.81</v>
      </c>
      <c r="AD5" s="2">
        <f t="shared" si="0"/>
        <v>1.7899999999999991</v>
      </c>
      <c r="AE5" s="148">
        <f t="shared" si="1"/>
        <v>1.5622346748174643E-2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42433</v>
      </c>
      <c r="X6" s="44">
        <v>57.81</v>
      </c>
      <c r="Y6" s="44">
        <v>59.34</v>
      </c>
      <c r="Z6" s="44">
        <v>57.81</v>
      </c>
      <c r="AA6" s="44">
        <v>59.17</v>
      </c>
      <c r="AB6" s="114">
        <v>830500</v>
      </c>
      <c r="AC6" s="11">
        <v>58.89</v>
      </c>
      <c r="AD6" s="2">
        <f t="shared" si="0"/>
        <v>1.5300000000000011</v>
      </c>
      <c r="AE6" s="148">
        <f t="shared" si="1"/>
        <v>2.1686328938237409E-2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42432</v>
      </c>
      <c r="X7" s="44">
        <v>58.03</v>
      </c>
      <c r="Y7" s="44">
        <v>58.29</v>
      </c>
      <c r="Z7" s="44">
        <v>57.57</v>
      </c>
      <c r="AA7" s="44">
        <v>57.91</v>
      </c>
      <c r="AB7" s="114">
        <v>904800</v>
      </c>
      <c r="AC7" s="11">
        <v>57.64</v>
      </c>
      <c r="AD7" s="2">
        <f t="shared" si="0"/>
        <v>0.71999999999999886</v>
      </c>
      <c r="AE7" s="148">
        <f t="shared" si="1"/>
        <v>1.5638575152041589E-3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42431</v>
      </c>
      <c r="X8" s="44">
        <v>58.57</v>
      </c>
      <c r="Y8" s="44">
        <v>59.08</v>
      </c>
      <c r="Z8" s="44">
        <v>57.51</v>
      </c>
      <c r="AA8" s="44">
        <v>57.82</v>
      </c>
      <c r="AB8" s="114">
        <v>1134500</v>
      </c>
      <c r="AC8" s="11">
        <v>57.55</v>
      </c>
      <c r="AD8" s="2">
        <f t="shared" si="0"/>
        <v>1.5700000000000003</v>
      </c>
      <c r="AE8" s="148">
        <f t="shared" si="1"/>
        <v>-2.0258767449778725E-2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261</v>
      </c>
      <c r="Q9" s="148">
        <f>VALUE(TRIM(CLEAN(MID(U62, FIND("(", U62)+1, 5))))</f>
        <v>1.77E-2</v>
      </c>
      <c r="W9" s="133">
        <v>42430</v>
      </c>
      <c r="X9" s="44">
        <v>58.5</v>
      </c>
      <c r="Y9" s="44">
        <v>59.46</v>
      </c>
      <c r="Z9" s="44">
        <v>58.48</v>
      </c>
      <c r="AA9" s="44">
        <v>59.02</v>
      </c>
      <c r="AB9" s="114">
        <v>1364900</v>
      </c>
      <c r="AC9" s="11">
        <v>58.74</v>
      </c>
      <c r="AD9" s="2">
        <f t="shared" si="0"/>
        <v>0.98000000000000398</v>
      </c>
      <c r="AE9" s="148">
        <f t="shared" si="1"/>
        <v>1.9260801665799132E-2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42429</v>
      </c>
      <c r="X10" s="44">
        <v>58.35</v>
      </c>
      <c r="Y10" s="44">
        <v>58.8</v>
      </c>
      <c r="Z10" s="44">
        <v>57.76</v>
      </c>
      <c r="AA10" s="44">
        <v>57.9</v>
      </c>
      <c r="AB10" s="114">
        <v>1279300</v>
      </c>
      <c r="AC10" s="11">
        <v>57.63</v>
      </c>
      <c r="AD10" s="2">
        <f t="shared" si="0"/>
        <v>1.0399999999999991</v>
      </c>
      <c r="AE10" s="148">
        <f t="shared" si="1"/>
        <v>-8.9423903697334328E-3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42426</v>
      </c>
      <c r="X11" s="44">
        <v>58.4</v>
      </c>
      <c r="Y11" s="44">
        <v>59.06</v>
      </c>
      <c r="Z11" s="44">
        <v>58.33</v>
      </c>
      <c r="AA11" s="44">
        <v>58.42</v>
      </c>
      <c r="AB11" s="114">
        <v>1068200</v>
      </c>
      <c r="AC11" s="11">
        <v>58.15</v>
      </c>
      <c r="AD11" s="2">
        <f t="shared" si="0"/>
        <v>0.73000000000000398</v>
      </c>
      <c r="AE11" s="148">
        <f t="shared" si="1"/>
        <v>4.14436194094292E-3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42425</v>
      </c>
      <c r="X12" s="44">
        <v>57.9</v>
      </c>
      <c r="Y12" s="44">
        <v>58.4</v>
      </c>
      <c r="Z12" s="44">
        <v>57.35</v>
      </c>
      <c r="AA12" s="44">
        <v>58.18</v>
      </c>
      <c r="AB12" s="114">
        <v>1611800</v>
      </c>
      <c r="AC12" s="11">
        <v>57.91</v>
      </c>
      <c r="AD12" s="2">
        <f t="shared" si="0"/>
        <v>1.0499999999999972</v>
      </c>
      <c r="AE12" s="148">
        <f t="shared" si="1"/>
        <v>9.7646033129903387E-3</v>
      </c>
      <c r="AL12" s="272"/>
      <c r="AO12" s="272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62" t="s">
        <v>177</v>
      </c>
      <c r="H13" s="218" t="s">
        <v>90</v>
      </c>
      <c r="I13" s="283" t="s">
        <v>185</v>
      </c>
      <c r="J13" s="3"/>
      <c r="K13" s="3"/>
      <c r="L13" s="4"/>
      <c r="W13" s="133">
        <v>42424</v>
      </c>
      <c r="X13" s="44">
        <v>56.2</v>
      </c>
      <c r="Y13" s="44">
        <v>57.85</v>
      </c>
      <c r="Z13" s="44">
        <v>55.27</v>
      </c>
      <c r="AA13" s="44">
        <v>57.62</v>
      </c>
      <c r="AB13" s="114">
        <v>1451700</v>
      </c>
      <c r="AC13" s="11">
        <v>57.35</v>
      </c>
      <c r="AD13" s="2">
        <f t="shared" si="0"/>
        <v>2.5799999999999983</v>
      </c>
      <c r="AE13" s="148">
        <f t="shared" si="1"/>
        <v>1.1285487568330144E-2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42423</v>
      </c>
      <c r="X14" s="44">
        <v>57.77</v>
      </c>
      <c r="Y14" s="44">
        <v>57.89</v>
      </c>
      <c r="Z14" s="44">
        <v>56.7</v>
      </c>
      <c r="AA14" s="44">
        <v>56.98</v>
      </c>
      <c r="AB14" s="114">
        <v>1173000</v>
      </c>
      <c r="AC14" s="11">
        <v>56.71</v>
      </c>
      <c r="AD14" s="2">
        <f t="shared" si="0"/>
        <v>1.1899999999999977</v>
      </c>
      <c r="AE14" s="148">
        <f t="shared" si="1"/>
        <v>-1.0642009769713856E-2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42422</v>
      </c>
      <c r="X15" s="44">
        <v>57.62</v>
      </c>
      <c r="Y15" s="44">
        <v>58.32</v>
      </c>
      <c r="Z15" s="44">
        <v>57.33</v>
      </c>
      <c r="AA15" s="44">
        <v>57.59</v>
      </c>
      <c r="AB15" s="114">
        <v>1153700</v>
      </c>
      <c r="AC15" s="11">
        <v>57.32</v>
      </c>
      <c r="AD15" s="2">
        <f t="shared" si="0"/>
        <v>0.99000000000000199</v>
      </c>
      <c r="AE15" s="148">
        <f t="shared" si="1"/>
        <v>1.0044052863436237E-2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42419</v>
      </c>
      <c r="X16" s="44">
        <v>56.42</v>
      </c>
      <c r="Y16" s="44">
        <v>57.13</v>
      </c>
      <c r="Z16" s="44">
        <v>56.22</v>
      </c>
      <c r="AA16" s="44">
        <v>57.02</v>
      </c>
      <c r="AB16" s="114">
        <v>1340500</v>
      </c>
      <c r="AC16" s="11">
        <v>56.75</v>
      </c>
      <c r="AD16" s="2">
        <f t="shared" si="0"/>
        <v>0.91000000000000369</v>
      </c>
      <c r="AE16" s="148">
        <f t="shared" si="1"/>
        <v>-1.7590149516271136E-3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42418</v>
      </c>
      <c r="X17" s="44">
        <v>57.31</v>
      </c>
      <c r="Y17" s="44">
        <v>57.47</v>
      </c>
      <c r="Z17" s="44">
        <v>56.48</v>
      </c>
      <c r="AA17" s="44">
        <v>57.12</v>
      </c>
      <c r="AB17" s="114">
        <v>1107100</v>
      </c>
      <c r="AC17" s="11">
        <v>56.85</v>
      </c>
      <c r="AD17" s="2">
        <f t="shared" si="0"/>
        <v>0.99000000000000199</v>
      </c>
      <c r="AE17" s="148">
        <f t="shared" si="1"/>
        <v>5.2798310454060804E-4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42417</v>
      </c>
      <c r="X18" s="44">
        <v>55.93</v>
      </c>
      <c r="Y18" s="44">
        <v>57.32</v>
      </c>
      <c r="Z18" s="44">
        <v>55.7</v>
      </c>
      <c r="AA18" s="44">
        <v>57.09</v>
      </c>
      <c r="AB18" s="114">
        <v>1404400</v>
      </c>
      <c r="AC18" s="11">
        <v>56.82</v>
      </c>
      <c r="AD18" s="2">
        <f t="shared" si="0"/>
        <v>1.6199999999999974</v>
      </c>
      <c r="AE18" s="148">
        <f t="shared" si="1"/>
        <v>2.7300668956788954E-2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42416</v>
      </c>
      <c r="X19" s="44">
        <v>55.9</v>
      </c>
      <c r="Y19" s="44">
        <v>55.95</v>
      </c>
      <c r="Z19" s="44">
        <v>54.6</v>
      </c>
      <c r="AA19" s="44">
        <v>55.57</v>
      </c>
      <c r="AB19" s="114">
        <v>1296100</v>
      </c>
      <c r="AC19" s="11">
        <v>55.31</v>
      </c>
      <c r="AD19" s="2">
        <f t="shared" si="0"/>
        <v>1.3500000000000014</v>
      </c>
      <c r="AE19" s="148">
        <f t="shared" si="1"/>
        <v>6.3682678311498542E-3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42412</v>
      </c>
      <c r="X20" s="44">
        <v>54.7</v>
      </c>
      <c r="Y20" s="44">
        <v>55.49</v>
      </c>
      <c r="Z20" s="44">
        <v>54.61</v>
      </c>
      <c r="AA20" s="44">
        <v>55.22</v>
      </c>
      <c r="AB20" s="114">
        <v>1141700</v>
      </c>
      <c r="AC20" s="11">
        <v>54.96</v>
      </c>
      <c r="AD20" s="2">
        <f t="shared" si="0"/>
        <v>0.88000000000000256</v>
      </c>
      <c r="AE20" s="148">
        <f t="shared" si="1"/>
        <v>9.7372772368180538E-3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42411</v>
      </c>
      <c r="X21" s="44">
        <v>52.84</v>
      </c>
      <c r="Y21" s="44">
        <v>54.81</v>
      </c>
      <c r="Z21" s="44">
        <v>52.53</v>
      </c>
      <c r="AA21" s="44">
        <v>54.69</v>
      </c>
      <c r="AB21" s="114">
        <v>1694800</v>
      </c>
      <c r="AC21" s="11">
        <v>54.43</v>
      </c>
      <c r="AD21" s="2">
        <f t="shared" si="0"/>
        <v>2.2800000000000011</v>
      </c>
      <c r="AE21" s="148">
        <f t="shared" si="1"/>
        <v>6.4718934911243142E-3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42410</v>
      </c>
      <c r="X22" s="44">
        <v>55.03</v>
      </c>
      <c r="Y22" s="44">
        <v>55.61</v>
      </c>
      <c r="Z22" s="44">
        <v>54.17</v>
      </c>
      <c r="AA22" s="44">
        <v>54.34</v>
      </c>
      <c r="AB22" s="114">
        <v>1370400</v>
      </c>
      <c r="AC22" s="11">
        <v>54.08</v>
      </c>
      <c r="AD22" s="2">
        <f t="shared" si="0"/>
        <v>1.4399999999999977</v>
      </c>
      <c r="AE22" s="148">
        <f t="shared" si="1"/>
        <v>-1.4218009478673022E-2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42409</v>
      </c>
      <c r="X23" s="44">
        <v>53.37</v>
      </c>
      <c r="Y23" s="44">
        <v>55.28</v>
      </c>
      <c r="Z23" s="44">
        <v>53.35</v>
      </c>
      <c r="AA23" s="44">
        <v>55.12</v>
      </c>
      <c r="AB23" s="114">
        <v>1920900</v>
      </c>
      <c r="AC23" s="11">
        <v>54.86</v>
      </c>
      <c r="AD23" s="2">
        <f t="shared" si="0"/>
        <v>1.9299999999999997</v>
      </c>
      <c r="AE23" s="148">
        <f t="shared" si="1"/>
        <v>2.1791767554479424E-2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42408</v>
      </c>
      <c r="X24" s="44">
        <v>52.7</v>
      </c>
      <c r="Y24" s="44">
        <v>54.14</v>
      </c>
      <c r="Z24" s="44">
        <v>52.38</v>
      </c>
      <c r="AA24" s="44">
        <v>53.94</v>
      </c>
      <c r="AB24" s="114">
        <v>1525000</v>
      </c>
      <c r="AC24" s="11">
        <v>53.69</v>
      </c>
      <c r="AD24" s="2">
        <f t="shared" si="0"/>
        <v>1.759999999999998</v>
      </c>
      <c r="AE24" s="148">
        <f t="shared" si="1"/>
        <v>1.1111111111111072E-2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42405</v>
      </c>
      <c r="X25" s="44">
        <v>54.97</v>
      </c>
      <c r="Y25" s="44">
        <v>55.02</v>
      </c>
      <c r="Z25" s="44">
        <v>53.04</v>
      </c>
      <c r="AA25" s="44">
        <v>53.35</v>
      </c>
      <c r="AB25" s="114">
        <v>1474700</v>
      </c>
      <c r="AC25" s="11">
        <v>53.1</v>
      </c>
      <c r="AD25" s="2">
        <f t="shared" si="0"/>
        <v>1.980000000000004</v>
      </c>
      <c r="AE25" s="148">
        <f t="shared" si="1"/>
        <v>-3.1552070034652546E-2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42404</v>
      </c>
      <c r="X26" s="44">
        <v>53.51</v>
      </c>
      <c r="Y26" s="44">
        <v>55.63</v>
      </c>
      <c r="Z26" s="44">
        <v>53.5</v>
      </c>
      <c r="AA26" s="44">
        <v>55.09</v>
      </c>
      <c r="AB26" s="114">
        <v>1935700</v>
      </c>
      <c r="AC26" s="11">
        <v>54.83</v>
      </c>
      <c r="AD26" s="2">
        <f t="shared" si="0"/>
        <v>2.1300000000000026</v>
      </c>
      <c r="AE26" s="148">
        <f t="shared" si="1"/>
        <v>3.3358462118356469E-2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42403</v>
      </c>
      <c r="X27" s="44">
        <v>52.99</v>
      </c>
      <c r="Y27" s="44">
        <v>53.54</v>
      </c>
      <c r="Z27" s="44">
        <v>51.78</v>
      </c>
      <c r="AA27" s="44">
        <v>53.31</v>
      </c>
      <c r="AB27" s="114">
        <v>1606300</v>
      </c>
      <c r="AC27" s="11">
        <v>53.06</v>
      </c>
      <c r="AD27" s="2">
        <f t="shared" si="0"/>
        <v>1.759999999999998</v>
      </c>
      <c r="AE27" s="148">
        <f t="shared" si="1"/>
        <v>2.5115919629057348E-2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42402</v>
      </c>
      <c r="X28" s="44">
        <v>52.29</v>
      </c>
      <c r="Y28" s="44">
        <v>52.91</v>
      </c>
      <c r="Z28" s="44">
        <v>51.75</v>
      </c>
      <c r="AA28" s="44">
        <v>52</v>
      </c>
      <c r="AB28" s="114">
        <v>1658700</v>
      </c>
      <c r="AC28" s="11">
        <v>51.76</v>
      </c>
      <c r="AD28" s="2">
        <f t="shared" si="0"/>
        <v>1.1599999999999966</v>
      </c>
      <c r="AE28" s="148">
        <f t="shared" si="1"/>
        <v>-2.7250516820146675E-2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42401</v>
      </c>
      <c r="X29" s="44">
        <v>52.65</v>
      </c>
      <c r="Y29" s="44">
        <v>53.67</v>
      </c>
      <c r="Z29" s="44">
        <v>52.11</v>
      </c>
      <c r="AA29" s="44">
        <v>53.46</v>
      </c>
      <c r="AB29" s="114">
        <v>1780900</v>
      </c>
      <c r="AC29" s="11">
        <v>53.21</v>
      </c>
      <c r="AD29" s="2">
        <f t="shared" si="0"/>
        <v>1.5600000000000023</v>
      </c>
      <c r="AE29" s="148">
        <f t="shared" si="1"/>
        <v>-5.6348610067624705E-4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42398</v>
      </c>
      <c r="X30" s="44">
        <v>53.28</v>
      </c>
      <c r="Y30" s="44">
        <v>53.65</v>
      </c>
      <c r="Z30" s="44">
        <v>52.73</v>
      </c>
      <c r="AA30" s="44">
        <v>53.49</v>
      </c>
      <c r="AB30" s="114">
        <v>1605900</v>
      </c>
      <c r="AC30" s="11">
        <v>53.24</v>
      </c>
      <c r="AD30" s="2">
        <f t="shared" si="0"/>
        <v>0.92000000000000171</v>
      </c>
      <c r="AE30" s="148">
        <f t="shared" si="1"/>
        <v>1.351608604606902E-2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42397</v>
      </c>
      <c r="X31" s="44">
        <v>51.56</v>
      </c>
      <c r="Y31" s="44">
        <v>52.99</v>
      </c>
      <c r="Z31" s="44">
        <v>51.13</v>
      </c>
      <c r="AA31" s="44">
        <v>52.78</v>
      </c>
      <c r="AB31" s="114">
        <v>2245500</v>
      </c>
      <c r="AC31" s="11">
        <v>52.53</v>
      </c>
      <c r="AD31" s="2">
        <f t="shared" si="0"/>
        <v>1.8599999999999994</v>
      </c>
      <c r="AE31" s="148">
        <f t="shared" si="1"/>
        <v>3.8963607594936667E-2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42396</v>
      </c>
      <c r="X32" s="44">
        <v>51.87</v>
      </c>
      <c r="Y32" s="44">
        <v>52.06</v>
      </c>
      <c r="Z32" s="44">
        <v>50.2</v>
      </c>
      <c r="AA32" s="44">
        <v>50.8</v>
      </c>
      <c r="AB32" s="114">
        <v>2087600</v>
      </c>
      <c r="AC32" s="11">
        <v>50.56</v>
      </c>
      <c r="AD32" s="2">
        <f t="shared" si="0"/>
        <v>1.8599999999999994</v>
      </c>
      <c r="AE32" s="148">
        <f t="shared" si="1"/>
        <v>4.5698390621895513E-3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42395</v>
      </c>
      <c r="X33" s="44">
        <v>49.52</v>
      </c>
      <c r="Y33" s="44">
        <v>50.83</v>
      </c>
      <c r="Z33" s="44">
        <v>49.39</v>
      </c>
      <c r="AA33" s="44">
        <v>50.57</v>
      </c>
      <c r="AB33" s="114">
        <v>1874400</v>
      </c>
      <c r="AC33" s="11">
        <v>50.33</v>
      </c>
      <c r="AD33" s="2">
        <f t="shared" si="0"/>
        <v>1.4399999999999977</v>
      </c>
      <c r="AE33" s="148">
        <f t="shared" si="1"/>
        <v>2.9243353783231063E-2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42394</v>
      </c>
      <c r="X34" s="44">
        <v>49.56</v>
      </c>
      <c r="Y34" s="44">
        <v>49.9</v>
      </c>
      <c r="Z34" s="44">
        <v>48.89</v>
      </c>
      <c r="AA34" s="44">
        <v>49.13</v>
      </c>
      <c r="AB34" s="114">
        <v>1970300</v>
      </c>
      <c r="AC34" s="11">
        <v>48.9</v>
      </c>
      <c r="AD34" s="2">
        <f t="shared" si="0"/>
        <v>1.009999999999998</v>
      </c>
      <c r="AE34" s="148">
        <f t="shared" si="1"/>
        <v>-1.2719563900666309E-2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42391</v>
      </c>
      <c r="X35" s="44">
        <v>49.64</v>
      </c>
      <c r="Y35" s="44">
        <v>50.56</v>
      </c>
      <c r="Z35" s="44">
        <v>49.44</v>
      </c>
      <c r="AA35" s="44">
        <v>49.76</v>
      </c>
      <c r="AB35" s="114">
        <v>2428900</v>
      </c>
      <c r="AC35" s="11">
        <v>49.53</v>
      </c>
      <c r="AD35" s="2">
        <f t="shared" si="0"/>
        <v>1.1200000000000045</v>
      </c>
      <c r="AE35" s="148">
        <f t="shared" si="1"/>
        <v>2.7380211574362212E-2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42390</v>
      </c>
      <c r="X36" s="44">
        <v>47.56</v>
      </c>
      <c r="Y36" s="44">
        <v>48.58</v>
      </c>
      <c r="Z36" s="44">
        <v>46.23</v>
      </c>
      <c r="AA36" s="44">
        <v>48.44</v>
      </c>
      <c r="AB36" s="114">
        <v>2912900</v>
      </c>
      <c r="AC36" s="11">
        <v>48.21</v>
      </c>
      <c r="AD36" s="2">
        <f t="shared" si="0"/>
        <v>2.3500000000000014</v>
      </c>
      <c r="AE36" s="148">
        <f t="shared" si="1"/>
        <v>1.70886075949368E-2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42389</v>
      </c>
      <c r="X37" s="44">
        <v>48.26</v>
      </c>
      <c r="Y37" s="44">
        <v>48.41</v>
      </c>
      <c r="Z37" s="44">
        <v>46.49</v>
      </c>
      <c r="AA37" s="44">
        <v>47.62</v>
      </c>
      <c r="AB37" s="114">
        <v>2750900</v>
      </c>
      <c r="AC37" s="11">
        <v>47.4</v>
      </c>
      <c r="AD37" s="2">
        <f t="shared" si="0"/>
        <v>1.9199999999999946</v>
      </c>
      <c r="AE37" s="148">
        <f t="shared" si="1"/>
        <v>-3.2455603184323389E-2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42388</v>
      </c>
      <c r="X38" s="44">
        <v>50.58</v>
      </c>
      <c r="Y38" s="44">
        <v>50.86</v>
      </c>
      <c r="Z38" s="44">
        <v>48.89</v>
      </c>
      <c r="AA38" s="44">
        <v>49.22</v>
      </c>
      <c r="AB38" s="114">
        <v>1915300</v>
      </c>
      <c r="AC38" s="11">
        <v>48.99</v>
      </c>
      <c r="AD38" s="2">
        <f t="shared" si="0"/>
        <v>1.9699999999999989</v>
      </c>
      <c r="AE38" s="148">
        <f t="shared" si="1"/>
        <v>-1.2298387096774221E-2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42384</v>
      </c>
      <c r="X39" s="44">
        <v>49.88</v>
      </c>
      <c r="Y39" s="44">
        <v>50.71</v>
      </c>
      <c r="Z39" s="44">
        <v>49.25</v>
      </c>
      <c r="AA39" s="44">
        <v>49.83</v>
      </c>
      <c r="AB39" s="114">
        <v>1618500</v>
      </c>
      <c r="AC39" s="11">
        <v>49.6</v>
      </c>
      <c r="AD39" s="2">
        <f t="shared" si="0"/>
        <v>1.4600000000000009</v>
      </c>
      <c r="AE39" s="148">
        <f t="shared" si="1"/>
        <v>-3.4267912772585674E-2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42383</v>
      </c>
      <c r="X40" s="44">
        <v>50.9</v>
      </c>
      <c r="Y40" s="44">
        <v>51.96</v>
      </c>
      <c r="Z40" s="44">
        <v>50.45</v>
      </c>
      <c r="AA40" s="44">
        <v>51.6</v>
      </c>
      <c r="AB40" s="114">
        <v>1733500</v>
      </c>
      <c r="AC40" s="11">
        <v>51.36</v>
      </c>
      <c r="AD40" s="2">
        <f t="shared" si="0"/>
        <v>1.509999999999998</v>
      </c>
      <c r="AE40" s="148">
        <f t="shared" si="1"/>
        <v>1.6425885612507463E-2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42382</v>
      </c>
      <c r="X41" s="44">
        <v>53.4</v>
      </c>
      <c r="Y41" s="44">
        <v>53.4</v>
      </c>
      <c r="Z41" s="44">
        <v>50.2</v>
      </c>
      <c r="AA41" s="44">
        <v>50.77</v>
      </c>
      <c r="AB41" s="114">
        <v>2287200</v>
      </c>
      <c r="AC41" s="11">
        <v>50.53</v>
      </c>
      <c r="AD41" s="2">
        <f t="shared" si="0"/>
        <v>3.1999999999999957</v>
      </c>
      <c r="AE41" s="148">
        <f t="shared" si="1"/>
        <v>-3.273353751914243E-2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42381</v>
      </c>
      <c r="X42" s="44">
        <v>51.84</v>
      </c>
      <c r="Y42" s="44">
        <v>52.57</v>
      </c>
      <c r="Z42" s="44">
        <v>51.32</v>
      </c>
      <c r="AA42" s="44">
        <v>52.49</v>
      </c>
      <c r="AB42" s="114">
        <v>1707400</v>
      </c>
      <c r="AC42" s="11">
        <v>52.24</v>
      </c>
      <c r="AD42" s="2">
        <f t="shared" si="0"/>
        <v>1.25</v>
      </c>
      <c r="AE42" s="148">
        <f t="shared" si="1"/>
        <v>1.6935954837453915E-2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42380</v>
      </c>
      <c r="X43" s="44">
        <v>51.69</v>
      </c>
      <c r="Y43" s="44">
        <v>52.1</v>
      </c>
      <c r="Z43" s="44">
        <v>51.09</v>
      </c>
      <c r="AA43" s="44">
        <v>51.61</v>
      </c>
      <c r="AB43" s="114">
        <v>1919100</v>
      </c>
      <c r="AC43" s="11">
        <v>51.37</v>
      </c>
      <c r="AD43" s="2">
        <f t="shared" si="0"/>
        <v>1.009999999999998</v>
      </c>
      <c r="AE43" s="148">
        <f t="shared" si="1"/>
        <v>5.4805245644939937E-3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42377</v>
      </c>
      <c r="X44" s="44">
        <v>51.34</v>
      </c>
      <c r="Y44" s="44">
        <v>51.86</v>
      </c>
      <c r="Z44" s="44">
        <v>50.98</v>
      </c>
      <c r="AA44" s="44">
        <v>51.33</v>
      </c>
      <c r="AB44" s="114">
        <v>1717200</v>
      </c>
      <c r="AC44" s="11">
        <v>51.09</v>
      </c>
      <c r="AD44" s="2">
        <f t="shared" si="0"/>
        <v>0.88000000000000256</v>
      </c>
      <c r="AE44" s="148">
        <f t="shared" si="1"/>
        <v>5.9066745422327038E-3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42376</v>
      </c>
      <c r="X45" s="44">
        <v>51.08</v>
      </c>
      <c r="Y45" s="44">
        <v>51.44</v>
      </c>
      <c r="Z45" s="44">
        <v>50.4</v>
      </c>
      <c r="AA45" s="44">
        <v>51.03</v>
      </c>
      <c r="AB45" s="114">
        <v>1673200</v>
      </c>
      <c r="AC45" s="11">
        <v>50.79</v>
      </c>
      <c r="AD45" s="2">
        <f t="shared" si="0"/>
        <v>1.0399999999999991</v>
      </c>
      <c r="AE45" s="148">
        <f t="shared" si="1"/>
        <v>-2.1952628538417063E-2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5" t="s">
        <v>78</v>
      </c>
      <c r="P46" s="405"/>
      <c r="Q46" s="2"/>
      <c r="T46" s="115" t="s">
        <v>94</v>
      </c>
      <c r="U46" s="119"/>
      <c r="W46" s="133">
        <v>42375</v>
      </c>
      <c r="X46" s="44">
        <v>52.94</v>
      </c>
      <c r="Y46" s="44">
        <v>53.53</v>
      </c>
      <c r="Z46" s="44">
        <v>51.98</v>
      </c>
      <c r="AA46" s="44">
        <v>52.17</v>
      </c>
      <c r="AB46" s="114">
        <v>1272100</v>
      </c>
      <c r="AC46" s="11">
        <v>51.93</v>
      </c>
      <c r="AD46" s="2">
        <f t="shared" si="0"/>
        <v>1.5500000000000043</v>
      </c>
      <c r="AE46" s="148">
        <f t="shared" si="1"/>
        <v>-3.3140942096443915E-2</v>
      </c>
    </row>
    <row r="47" spans="2:41" ht="15.75" thickTop="1" x14ac:dyDescent="0.25">
      <c r="B47" s="407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66.406999999999996</v>
      </c>
      <c r="Q47" s="2"/>
      <c r="T47" s="149" t="s">
        <v>101</v>
      </c>
      <c r="U47" s="150">
        <v>59.51</v>
      </c>
      <c r="W47" s="133">
        <v>42374</v>
      </c>
      <c r="X47" s="44">
        <v>54.67</v>
      </c>
      <c r="Y47" s="44">
        <v>54.84</v>
      </c>
      <c r="Z47" s="44">
        <v>53.53</v>
      </c>
      <c r="AA47" s="44">
        <v>53.96</v>
      </c>
      <c r="AB47" s="114">
        <v>1322500</v>
      </c>
      <c r="AC47" s="11">
        <v>53.71</v>
      </c>
      <c r="AD47" s="2">
        <f t="shared" si="0"/>
        <v>1.3100000000000023</v>
      </c>
      <c r="AE47" s="148">
        <f t="shared" si="1"/>
        <v>-1.6300366300366353E-2</v>
      </c>
    </row>
    <row r="48" spans="2:41" x14ac:dyDescent="0.25">
      <c r="B48" s="407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65.803300000000007</v>
      </c>
      <c r="Q48" s="2"/>
      <c r="T48" s="118" t="s">
        <v>102</v>
      </c>
      <c r="U48" s="116">
        <v>59.79</v>
      </c>
      <c r="W48" s="133">
        <v>42373</v>
      </c>
      <c r="X48" s="44">
        <v>54.75</v>
      </c>
      <c r="Y48" s="44">
        <v>54.89</v>
      </c>
      <c r="Z48" s="44">
        <v>53.41</v>
      </c>
      <c r="AA48" s="44">
        <v>54.86</v>
      </c>
      <c r="AB48" s="114">
        <v>1349200</v>
      </c>
      <c r="AC48" s="11">
        <v>54.6</v>
      </c>
      <c r="AD48" s="2">
        <f t="shared" si="0"/>
        <v>1.480000000000004</v>
      </c>
      <c r="AE48" s="148">
        <f t="shared" si="1"/>
        <v>-1.8338727076591121E-2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65.199600000000004</v>
      </c>
      <c r="Q49" s="2"/>
      <c r="T49" s="118" t="s">
        <v>103</v>
      </c>
      <c r="U49" s="116" t="s">
        <v>364</v>
      </c>
      <c r="W49" s="133">
        <v>42369</v>
      </c>
      <c r="X49" s="44">
        <v>55.54</v>
      </c>
      <c r="Y49" s="44">
        <v>56.24</v>
      </c>
      <c r="Z49" s="44">
        <v>55.31</v>
      </c>
      <c r="AA49" s="44">
        <v>55.88</v>
      </c>
      <c r="AB49" s="114">
        <v>1294200</v>
      </c>
      <c r="AC49" s="11">
        <v>55.62</v>
      </c>
      <c r="AD49" s="2">
        <f t="shared" si="0"/>
        <v>0.92999999999999972</v>
      </c>
      <c r="AE49" s="148">
        <f t="shared" si="1"/>
        <v>-1.0144153764015007E-2</v>
      </c>
    </row>
    <row r="50" spans="2:42" x14ac:dyDescent="0.25">
      <c r="O50" s="93">
        <v>1.07</v>
      </c>
      <c r="P50" s="93">
        <f t="shared" si="4"/>
        <v>64.5959</v>
      </c>
      <c r="Q50" s="2"/>
      <c r="T50" s="118" t="s">
        <v>104</v>
      </c>
      <c r="U50" s="116" t="s">
        <v>365</v>
      </c>
      <c r="W50" s="133">
        <v>42368</v>
      </c>
      <c r="X50" s="44">
        <v>56.41</v>
      </c>
      <c r="Y50" s="44">
        <v>56.76</v>
      </c>
      <c r="Z50" s="44">
        <v>56.25</v>
      </c>
      <c r="AA50" s="44">
        <v>56.45</v>
      </c>
      <c r="AB50" s="114">
        <v>1128200</v>
      </c>
      <c r="AC50" s="11">
        <v>56.19</v>
      </c>
      <c r="AD50" s="2">
        <f t="shared" si="0"/>
        <v>0.50999999999999801</v>
      </c>
      <c r="AE50" s="148">
        <f t="shared" si="1"/>
        <v>-4.0765685926976714E-3</v>
      </c>
    </row>
    <row r="51" spans="2:42" x14ac:dyDescent="0.25">
      <c r="O51" s="93">
        <v>1.06</v>
      </c>
      <c r="P51" s="93">
        <f t="shared" si="4"/>
        <v>63.992200000000004</v>
      </c>
      <c r="Q51" s="2"/>
      <c r="T51" s="118" t="s">
        <v>105</v>
      </c>
      <c r="U51" s="116">
        <v>59.13</v>
      </c>
      <c r="W51" s="133">
        <v>42367</v>
      </c>
      <c r="X51" s="44">
        <v>56.73</v>
      </c>
      <c r="Y51" s="44">
        <v>57.09</v>
      </c>
      <c r="Z51" s="44">
        <v>56.41</v>
      </c>
      <c r="AA51" s="44">
        <v>56.69</v>
      </c>
      <c r="AB51" s="114">
        <v>1568800</v>
      </c>
      <c r="AC51" s="11">
        <v>56.42</v>
      </c>
      <c r="AD51" s="2">
        <f t="shared" si="0"/>
        <v>0.68000000000000682</v>
      </c>
      <c r="AE51" s="148">
        <f>AC51/AC52-1</f>
        <v>4.9875311720697368E-3</v>
      </c>
    </row>
    <row r="52" spans="2:42" x14ac:dyDescent="0.25">
      <c r="O52" s="93">
        <v>1.05</v>
      </c>
      <c r="P52" s="93">
        <f t="shared" si="4"/>
        <v>63.388500000000001</v>
      </c>
      <c r="Q52" s="2"/>
      <c r="T52" s="118" t="s">
        <v>106</v>
      </c>
      <c r="U52" s="116">
        <v>1.1555800000000001</v>
      </c>
      <c r="W52" s="133">
        <v>42366</v>
      </c>
      <c r="X52" s="44">
        <v>56.67</v>
      </c>
      <c r="Y52" s="44">
        <v>56.68</v>
      </c>
      <c r="Z52" s="44">
        <v>56.18</v>
      </c>
      <c r="AA52" s="44">
        <v>56.4</v>
      </c>
      <c r="AB52" s="114">
        <v>503100</v>
      </c>
      <c r="AC52" s="11">
        <v>56.14</v>
      </c>
      <c r="AD52" s="2">
        <f t="shared" si="0"/>
        <v>0.5</v>
      </c>
      <c r="AE52" s="148">
        <f t="shared" si="1"/>
        <v>-8.1272084805653622E-3</v>
      </c>
    </row>
    <row r="53" spans="2:42" x14ac:dyDescent="0.25">
      <c r="O53" s="93">
        <v>1.04</v>
      </c>
      <c r="P53" s="93">
        <f t="shared" si="4"/>
        <v>62.784799999999997</v>
      </c>
      <c r="Q53" s="2"/>
      <c r="T53" s="118" t="s">
        <v>107</v>
      </c>
      <c r="U53" s="116" t="s">
        <v>134</v>
      </c>
      <c r="W53" s="133">
        <v>42362</v>
      </c>
      <c r="X53" s="44">
        <v>56.86</v>
      </c>
      <c r="Y53" s="44">
        <v>57.4</v>
      </c>
      <c r="Z53" s="44">
        <v>56.8</v>
      </c>
      <c r="AA53" s="44">
        <v>56.87</v>
      </c>
      <c r="AB53" s="114">
        <v>376600</v>
      </c>
      <c r="AC53" s="11">
        <v>56.6</v>
      </c>
      <c r="AD53" s="2">
        <f t="shared" si="0"/>
        <v>0.60000000000000142</v>
      </c>
      <c r="AE53" s="148">
        <f t="shared" si="1"/>
        <v>1.4154281670204494E-3</v>
      </c>
      <c r="AL53" s="272"/>
      <c r="AO53" s="272"/>
    </row>
    <row r="54" spans="2:42" x14ac:dyDescent="0.25">
      <c r="O54" s="93">
        <v>1.03</v>
      </c>
      <c r="P54" s="93">
        <f t="shared" si="4"/>
        <v>62.181100000000001</v>
      </c>
      <c r="Q54" s="2"/>
      <c r="T54" s="118"/>
      <c r="U54" s="116"/>
      <c r="W54" s="133">
        <v>42361</v>
      </c>
      <c r="X54" s="44">
        <v>57.18</v>
      </c>
      <c r="Y54" s="44">
        <v>57.3</v>
      </c>
      <c r="Z54" s="44">
        <v>56.66</v>
      </c>
      <c r="AA54" s="44">
        <v>56.79</v>
      </c>
      <c r="AB54" s="114">
        <v>1013300</v>
      </c>
      <c r="AC54" s="11">
        <v>56.52</v>
      </c>
      <c r="AD54" s="2">
        <f t="shared" si="0"/>
        <v>0.64000000000000057</v>
      </c>
      <c r="AE54" s="148">
        <f t="shared" si="1"/>
        <v>2.3053732931370696E-3</v>
      </c>
    </row>
    <row r="55" spans="2:42" x14ac:dyDescent="0.25">
      <c r="O55" s="93">
        <v>1.02</v>
      </c>
      <c r="P55" s="93">
        <f t="shared" si="4"/>
        <v>61.577399999999997</v>
      </c>
      <c r="T55" s="118" t="s">
        <v>108</v>
      </c>
      <c r="U55" s="116" t="s">
        <v>366</v>
      </c>
      <c r="W55" s="133">
        <v>42360</v>
      </c>
      <c r="X55" s="44">
        <v>56.42</v>
      </c>
      <c r="Y55" s="44">
        <v>57.06</v>
      </c>
      <c r="Z55" s="44">
        <v>55.76</v>
      </c>
      <c r="AA55" s="44">
        <v>56.66</v>
      </c>
      <c r="AB55" s="114">
        <v>1203100</v>
      </c>
      <c r="AC55" s="11">
        <v>56.39</v>
      </c>
      <c r="AD55" s="2">
        <f t="shared" si="0"/>
        <v>1.3000000000000043</v>
      </c>
      <c r="AE55" s="148">
        <f t="shared" si="1"/>
        <v>3.3807829181493609E-3</v>
      </c>
    </row>
    <row r="56" spans="2:42" x14ac:dyDescent="0.25">
      <c r="O56" s="93">
        <v>1.01</v>
      </c>
      <c r="P56" s="93">
        <f t="shared" si="4"/>
        <v>60.973700000000001</v>
      </c>
      <c r="T56" s="118" t="s">
        <v>109</v>
      </c>
      <c r="U56" s="116" t="s">
        <v>293</v>
      </c>
      <c r="W56" s="133">
        <v>42359</v>
      </c>
      <c r="X56" s="44">
        <v>56.34</v>
      </c>
      <c r="Y56" s="44">
        <v>56.93</v>
      </c>
      <c r="Z56" s="44">
        <v>55.72</v>
      </c>
      <c r="AA56" s="44">
        <v>56.46</v>
      </c>
      <c r="AB56" s="114">
        <v>1701800</v>
      </c>
      <c r="AC56" s="11">
        <v>56.2</v>
      </c>
      <c r="AD56" s="2">
        <f t="shared" si="0"/>
        <v>1.2100000000000009</v>
      </c>
      <c r="AE56" s="148">
        <f t="shared" si="1"/>
        <v>1.0973196618096814E-2</v>
      </c>
    </row>
    <row r="57" spans="2:42" x14ac:dyDescent="0.25">
      <c r="O57" s="93">
        <v>1</v>
      </c>
      <c r="P57" s="93">
        <f t="shared" si="4"/>
        <v>60.37</v>
      </c>
      <c r="T57" s="118" t="s">
        <v>110</v>
      </c>
      <c r="U57" s="117">
        <v>1138806</v>
      </c>
      <c r="W57" s="133">
        <v>42356</v>
      </c>
      <c r="X57" s="44">
        <v>55.18</v>
      </c>
      <c r="Y57" s="44">
        <v>56.14</v>
      </c>
      <c r="Z57" s="44">
        <v>54.98</v>
      </c>
      <c r="AA57" s="44">
        <v>55.85</v>
      </c>
      <c r="AB57" s="114">
        <v>2544800</v>
      </c>
      <c r="AC57" s="11">
        <v>55.59</v>
      </c>
      <c r="AD57" s="2">
        <f t="shared" si="0"/>
        <v>1.1600000000000037</v>
      </c>
      <c r="AE57" s="148">
        <f t="shared" si="1"/>
        <v>4.3360433604335835E-3</v>
      </c>
      <c r="AL57" s="272"/>
      <c r="AO57" s="272"/>
    </row>
    <row r="58" spans="2:42" x14ac:dyDescent="0.25">
      <c r="O58" s="93">
        <v>0.99</v>
      </c>
      <c r="P58" s="93">
        <f t="shared" si="4"/>
        <v>59.766299999999994</v>
      </c>
      <c r="T58" s="118" t="s">
        <v>113</v>
      </c>
      <c r="U58" s="117">
        <v>1537480</v>
      </c>
      <c r="W58" s="133">
        <v>42355</v>
      </c>
      <c r="X58" s="44">
        <v>55.62</v>
      </c>
      <c r="Y58" s="44">
        <v>56.13</v>
      </c>
      <c r="Z58" s="44">
        <v>55.07</v>
      </c>
      <c r="AA58" s="44">
        <v>55.61</v>
      </c>
      <c r="AB58" s="114">
        <v>2461700</v>
      </c>
      <c r="AC58" s="11">
        <v>55.35</v>
      </c>
      <c r="AD58" s="2">
        <f t="shared" si="0"/>
        <v>1.0600000000000023</v>
      </c>
      <c r="AE58" s="148">
        <f t="shared" si="1"/>
        <v>-1.0828370330264736E-3</v>
      </c>
    </row>
    <row r="59" spans="2:42" x14ac:dyDescent="0.25">
      <c r="O59" s="93">
        <v>0.98</v>
      </c>
      <c r="P59" s="93">
        <f t="shared" si="4"/>
        <v>59.162599999999998</v>
      </c>
      <c r="T59" s="118" t="s">
        <v>111</v>
      </c>
      <c r="U59" s="116" t="s">
        <v>367</v>
      </c>
      <c r="W59" s="133">
        <v>42354</v>
      </c>
      <c r="X59" s="44">
        <v>54.48</v>
      </c>
      <c r="Y59" s="44">
        <v>55.93</v>
      </c>
      <c r="Z59" s="44">
        <v>54.22</v>
      </c>
      <c r="AA59" s="44">
        <v>55.67</v>
      </c>
      <c r="AB59" s="114">
        <v>1284200</v>
      </c>
      <c r="AC59" s="11">
        <v>55.41</v>
      </c>
      <c r="AD59" s="2">
        <f t="shared" si="0"/>
        <v>1.7100000000000009</v>
      </c>
      <c r="AE59" s="148">
        <f t="shared" si="1"/>
        <v>2.1570796460176789E-2</v>
      </c>
      <c r="AL59" s="272"/>
    </row>
    <row r="60" spans="2:42" x14ac:dyDescent="0.25">
      <c r="O60" s="93">
        <v>0.97</v>
      </c>
      <c r="P60" s="93">
        <f t="shared" si="4"/>
        <v>58.558899999999994</v>
      </c>
      <c r="T60" s="118" t="s">
        <v>114</v>
      </c>
      <c r="U60" s="116">
        <v>18.899999999999999</v>
      </c>
      <c r="W60" s="133">
        <v>42353</v>
      </c>
      <c r="X60" s="44">
        <v>54.58</v>
      </c>
      <c r="Y60" s="44">
        <v>55.01</v>
      </c>
      <c r="Z60" s="44">
        <v>54.17</v>
      </c>
      <c r="AA60" s="44">
        <v>54.5</v>
      </c>
      <c r="AB60" s="114">
        <v>1388900</v>
      </c>
      <c r="AC60" s="11">
        <v>54.24</v>
      </c>
      <c r="AD60" s="2">
        <f t="shared" si="0"/>
        <v>0.83999999999999631</v>
      </c>
      <c r="AE60" s="148">
        <f t="shared" si="1"/>
        <v>1.0243993294840825E-2</v>
      </c>
    </row>
    <row r="61" spans="2:42" x14ac:dyDescent="0.25">
      <c r="O61" s="93">
        <v>0.96</v>
      </c>
      <c r="P61" s="93">
        <f t="shared" si="4"/>
        <v>57.955199999999998</v>
      </c>
      <c r="T61" s="118" t="s">
        <v>115</v>
      </c>
      <c r="U61" s="116">
        <v>3.2</v>
      </c>
      <c r="W61" s="133">
        <v>42352</v>
      </c>
      <c r="X61" s="44">
        <v>52.87</v>
      </c>
      <c r="Y61" s="44">
        <v>53.98</v>
      </c>
      <c r="Z61" s="44">
        <v>52.5</v>
      </c>
      <c r="AA61" s="44">
        <v>53.94</v>
      </c>
      <c r="AB61" s="114">
        <v>1976400</v>
      </c>
      <c r="AC61" s="11">
        <v>53.69</v>
      </c>
      <c r="AD61" s="2">
        <f t="shared" si="0"/>
        <v>1.4799999999999969</v>
      </c>
      <c r="AE61" s="148">
        <f t="shared" si="1"/>
        <v>2.3056402439024515E-2</v>
      </c>
      <c r="AL61" s="272"/>
      <c r="AO61" s="272"/>
    </row>
    <row r="62" spans="2:42" x14ac:dyDescent="0.25">
      <c r="O62" s="93">
        <v>0.95</v>
      </c>
      <c r="P62" s="93">
        <f t="shared" si="4"/>
        <v>57.351499999999994</v>
      </c>
      <c r="T62" s="118" t="s">
        <v>112</v>
      </c>
      <c r="U62" s="116" t="s">
        <v>313</v>
      </c>
      <c r="W62" s="133">
        <v>42349</v>
      </c>
      <c r="X62" s="44">
        <v>53.44</v>
      </c>
      <c r="Y62" s="44">
        <v>53.98</v>
      </c>
      <c r="Z62" s="44">
        <v>52.58</v>
      </c>
      <c r="AA62" s="44">
        <v>52.73</v>
      </c>
      <c r="AB62" s="114">
        <v>1422500</v>
      </c>
      <c r="AC62" s="11">
        <v>52.48</v>
      </c>
      <c r="AD62" s="2">
        <f t="shared" si="0"/>
        <v>1.3999999999999986</v>
      </c>
      <c r="AE62" s="148">
        <f t="shared" si="1"/>
        <v>-2.162565249813575E-2</v>
      </c>
    </row>
    <row r="63" spans="2:42" x14ac:dyDescent="0.25">
      <c r="O63" s="93">
        <v>0.94</v>
      </c>
      <c r="P63" s="93">
        <f t="shared" si="4"/>
        <v>56.747799999999991</v>
      </c>
      <c r="W63" s="133">
        <v>42348</v>
      </c>
      <c r="X63" s="44">
        <v>54.27</v>
      </c>
      <c r="Y63" s="44">
        <v>54.63</v>
      </c>
      <c r="Z63" s="44">
        <v>53.75</v>
      </c>
      <c r="AA63" s="44">
        <v>53.89</v>
      </c>
      <c r="AB63" s="114">
        <v>949500</v>
      </c>
      <c r="AC63" s="11">
        <v>53.64</v>
      </c>
      <c r="AD63" s="2">
        <f t="shared" si="0"/>
        <v>0.88000000000000256</v>
      </c>
      <c r="AE63" s="148">
        <f t="shared" si="1"/>
        <v>-9.052281544430163E-3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56.144100000000002</v>
      </c>
      <c r="W64" s="133">
        <v>42347</v>
      </c>
      <c r="X64" s="44">
        <v>53.67</v>
      </c>
      <c r="Y64" s="44">
        <v>54.9</v>
      </c>
      <c r="Z64" s="44">
        <v>53.48</v>
      </c>
      <c r="AA64" s="44">
        <v>54.39</v>
      </c>
      <c r="AB64" s="114">
        <v>1308200</v>
      </c>
      <c r="AC64" s="11">
        <v>54.13</v>
      </c>
      <c r="AD64" s="2">
        <f t="shared" si="0"/>
        <v>1.4200000000000017</v>
      </c>
      <c r="AE64" s="148">
        <f t="shared" si="1"/>
        <v>1.3101253977166438E-2</v>
      </c>
    </row>
    <row r="65" spans="15:41" x14ac:dyDescent="0.25">
      <c r="O65" s="93">
        <v>0.92</v>
      </c>
      <c r="P65" s="93">
        <f t="shared" si="4"/>
        <v>55.540399999999998</v>
      </c>
      <c r="W65" s="133">
        <v>42346</v>
      </c>
      <c r="X65" s="44">
        <v>54.11</v>
      </c>
      <c r="Y65" s="44">
        <v>54.22</v>
      </c>
      <c r="Z65" s="44">
        <v>53.34</v>
      </c>
      <c r="AA65" s="44">
        <v>53.68</v>
      </c>
      <c r="AB65" s="114">
        <v>1330400</v>
      </c>
      <c r="AC65" s="11">
        <v>53.43</v>
      </c>
      <c r="AD65" s="2">
        <f t="shared" si="0"/>
        <v>0.87999999999999545</v>
      </c>
      <c r="AE65" s="148" t="e">
        <f t="shared" si="1"/>
        <v>#DIV/0!</v>
      </c>
      <c r="AL65" s="272"/>
      <c r="AO65" s="272"/>
    </row>
    <row r="66" spans="15:41" x14ac:dyDescent="0.25">
      <c r="O66" s="93">
        <v>0.91</v>
      </c>
      <c r="P66" s="93">
        <f t="shared" si="4"/>
        <v>54.936700000000002</v>
      </c>
      <c r="W66" s="133">
        <v>42346</v>
      </c>
      <c r="X66" s="44" t="s">
        <v>245</v>
      </c>
      <c r="Y66" s="44"/>
      <c r="Z66" s="44"/>
      <c r="AA66" s="44"/>
      <c r="AB66" s="114"/>
      <c r="AC66" s="11"/>
      <c r="AD66" s="2">
        <f t="shared" si="0"/>
        <v>0</v>
      </c>
      <c r="AE66" s="148">
        <f t="shared" si="1"/>
        <v>-1</v>
      </c>
    </row>
    <row r="67" spans="15:41" x14ac:dyDescent="0.25">
      <c r="O67" s="93">
        <v>0.9</v>
      </c>
      <c r="P67" s="93">
        <f t="shared" si="4"/>
        <v>54.332999999999998</v>
      </c>
      <c r="W67" s="133">
        <v>42345</v>
      </c>
      <c r="X67" s="44">
        <v>56.35</v>
      </c>
      <c r="Y67" s="44">
        <v>56.54</v>
      </c>
      <c r="Z67" s="44">
        <v>54.92</v>
      </c>
      <c r="AA67" s="44">
        <v>54.98</v>
      </c>
      <c r="AB67" s="114">
        <v>1887700</v>
      </c>
      <c r="AC67" s="11">
        <v>54.49</v>
      </c>
      <c r="AD67" s="2">
        <f>Y67-Z67</f>
        <v>1.6199999999999974</v>
      </c>
      <c r="AE67" s="148">
        <f>AC67/AC68-1</f>
        <v>-3.437887648413962E-2</v>
      </c>
      <c r="AL67" s="272"/>
    </row>
    <row r="68" spans="15:41" x14ac:dyDescent="0.25">
      <c r="W68" s="133">
        <v>42342</v>
      </c>
      <c r="X68" s="44">
        <v>57.1</v>
      </c>
      <c r="Y68" s="44">
        <v>57.62</v>
      </c>
      <c r="Z68" s="44">
        <v>56.69</v>
      </c>
      <c r="AA68" s="44">
        <v>56.94</v>
      </c>
      <c r="AB68" s="114">
        <v>1518800</v>
      </c>
      <c r="AC68" s="11">
        <v>56.43</v>
      </c>
      <c r="AD68" s="2">
        <f>Y68-Z68</f>
        <v>0.92999999999999972</v>
      </c>
      <c r="AE68" s="148" t="e">
        <f>AC68/AC70-1</f>
        <v>#DIV/0!</v>
      </c>
    </row>
    <row r="69" spans="15:41" x14ac:dyDescent="0.25">
      <c r="W69" s="33">
        <v>42341</v>
      </c>
      <c r="X69" s="2">
        <v>58.97</v>
      </c>
      <c r="Y69" s="2">
        <v>58.97</v>
      </c>
      <c r="Z69" s="2">
        <v>57.18</v>
      </c>
      <c r="AA69" s="2">
        <v>57.47</v>
      </c>
      <c r="AB69" s="274">
        <v>1156900</v>
      </c>
      <c r="AC69">
        <v>56.96</v>
      </c>
    </row>
    <row r="70" spans="15:41" x14ac:dyDescent="0.25">
      <c r="W70" s="133" t="s">
        <v>125</v>
      </c>
      <c r="X70" s="44"/>
      <c r="Y70" s="44"/>
      <c r="Z70" s="44"/>
      <c r="AA70" s="44"/>
      <c r="AB70" s="114"/>
      <c r="AC70" s="11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248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42438</v>
      </c>
      <c r="X2" s="12">
        <v>49.38</v>
      </c>
      <c r="Y2" s="12">
        <v>49.5</v>
      </c>
      <c r="Z2" s="12">
        <v>48.51</v>
      </c>
      <c r="AA2" s="12">
        <v>48.79</v>
      </c>
      <c r="AB2" s="105">
        <v>17888700</v>
      </c>
      <c r="AC2" s="12">
        <v>48.79</v>
      </c>
      <c r="AD2" s="2">
        <f>Y2-Z2</f>
        <v>0.99000000000000199</v>
      </c>
      <c r="AE2" s="148">
        <f>AC2/AC3-1</f>
        <v>-5.3007135575942055E-3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42437</v>
      </c>
      <c r="X3" s="12">
        <v>49.61</v>
      </c>
      <c r="Y3" s="12">
        <v>49.66</v>
      </c>
      <c r="Z3" s="12">
        <v>48.92</v>
      </c>
      <c r="AA3" s="12">
        <v>49.05</v>
      </c>
      <c r="AB3" s="105">
        <v>17968000</v>
      </c>
      <c r="AC3" s="12">
        <v>49.05</v>
      </c>
      <c r="AD3" s="2">
        <f>Y3-Z3</f>
        <v>0.73999999999999488</v>
      </c>
      <c r="AE3" s="148">
        <f>AC3/AC4-1</f>
        <v>-2.0371479928100733E-2</v>
      </c>
      <c r="AN3" s="272"/>
    </row>
    <row r="4" spans="1:40" x14ac:dyDescent="0.25">
      <c r="O4" s="13" t="s">
        <v>66</v>
      </c>
      <c r="Q4" s="59">
        <v>48.79</v>
      </c>
      <c r="T4" s="131"/>
      <c r="W4" s="104">
        <v>42436</v>
      </c>
      <c r="X4" s="12">
        <v>49.77</v>
      </c>
      <c r="Y4" s="12">
        <v>50.16</v>
      </c>
      <c r="Z4" s="12">
        <v>49.44</v>
      </c>
      <c r="AA4" s="12">
        <v>50.07</v>
      </c>
      <c r="AB4" s="105">
        <v>14289200</v>
      </c>
      <c r="AC4" s="12">
        <v>50.07</v>
      </c>
      <c r="AD4" s="2">
        <f t="shared" ref="AD4:AD67" si="0">Y4-Z4</f>
        <v>0.71999999999999886</v>
      </c>
      <c r="AE4" s="148">
        <f t="shared" ref="AE4:AE67" si="1">AC4/AC5-1</f>
        <v>-7.9824386350024756E-4</v>
      </c>
      <c r="AK4" s="272"/>
      <c r="AN4" s="272"/>
    </row>
    <row r="5" spans="1:40" x14ac:dyDescent="0.25">
      <c r="O5" s="13" t="s">
        <v>67</v>
      </c>
      <c r="Q5" s="3">
        <f>Q4*Q2</f>
        <v>1951.6</v>
      </c>
      <c r="W5" s="104">
        <v>42433</v>
      </c>
      <c r="X5" s="12">
        <v>50.01</v>
      </c>
      <c r="Y5" s="12">
        <v>50.49</v>
      </c>
      <c r="Z5" s="12">
        <v>49.68</v>
      </c>
      <c r="AA5" s="12">
        <v>50.11</v>
      </c>
      <c r="AB5" s="105">
        <v>18554200</v>
      </c>
      <c r="AC5" s="12">
        <v>50.11</v>
      </c>
      <c r="AD5" s="2">
        <f t="shared" si="0"/>
        <v>0.81000000000000227</v>
      </c>
      <c r="AE5" s="148">
        <f t="shared" si="1"/>
        <v>6.8314245529434992E-3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42432</v>
      </c>
      <c r="X6" s="12">
        <v>49.63</v>
      </c>
      <c r="Y6" s="12">
        <v>49.79</v>
      </c>
      <c r="Z6" s="12">
        <v>49.07</v>
      </c>
      <c r="AA6" s="12">
        <v>49.77</v>
      </c>
      <c r="AB6" s="105">
        <v>14207600</v>
      </c>
      <c r="AC6" s="12">
        <v>49.77</v>
      </c>
      <c r="AD6" s="2">
        <f t="shared" si="0"/>
        <v>0.71999999999999886</v>
      </c>
      <c r="AE6" s="148">
        <f t="shared" si="1"/>
        <v>4.0346984062942237E-3</v>
      </c>
    </row>
    <row r="7" spans="1:40" ht="15.75" x14ac:dyDescent="0.25">
      <c r="O7" s="13" t="s">
        <v>65</v>
      </c>
      <c r="Q7" s="2">
        <f>IF(Q2=0, K11+M11-F11,Q5-Q6)</f>
        <v>-53.400000000000091</v>
      </c>
      <c r="R7" s="212"/>
      <c r="T7" s="95"/>
      <c r="W7" s="104">
        <v>42431</v>
      </c>
      <c r="X7" s="12">
        <v>48.84</v>
      </c>
      <c r="Y7" s="12">
        <v>49.57</v>
      </c>
      <c r="Z7" s="12">
        <v>48.61</v>
      </c>
      <c r="AA7" s="12">
        <v>49.57</v>
      </c>
      <c r="AB7" s="105">
        <v>18519000</v>
      </c>
      <c r="AC7" s="12">
        <v>49.57</v>
      </c>
      <c r="AD7" s="2">
        <f t="shared" si="0"/>
        <v>0.96000000000000085</v>
      </c>
      <c r="AE7" s="148">
        <f t="shared" si="1"/>
        <v>1.7446633825944247E-2</v>
      </c>
      <c r="AK7" s="272"/>
      <c r="AN7" s="272"/>
    </row>
    <row r="8" spans="1:40" x14ac:dyDescent="0.25">
      <c r="O8" s="13" t="s">
        <v>90</v>
      </c>
      <c r="P8"/>
      <c r="Q8" s="148">
        <f>(Q4-Q3)/Q3</f>
        <v>-2.6633416458852886E-2</v>
      </c>
      <c r="W8" s="104">
        <v>42430</v>
      </c>
      <c r="X8" s="12">
        <v>47.14</v>
      </c>
      <c r="Y8" s="12">
        <v>48.72</v>
      </c>
      <c r="Z8" s="12">
        <v>47.14</v>
      </c>
      <c r="AA8" s="12">
        <v>48.72</v>
      </c>
      <c r="AB8" s="105">
        <v>24559200</v>
      </c>
      <c r="AC8" s="12">
        <v>48.72</v>
      </c>
      <c r="AD8" s="2">
        <f t="shared" si="0"/>
        <v>1.5799999999999983</v>
      </c>
      <c r="AE8" s="148">
        <f t="shared" si="1"/>
        <v>3.8363171355498604E-2</v>
      </c>
    </row>
    <row r="9" spans="1:40" x14ac:dyDescent="0.25">
      <c r="W9" s="104">
        <v>42429</v>
      </c>
      <c r="X9" s="12">
        <v>48.03</v>
      </c>
      <c r="Y9" s="12">
        <v>48.03</v>
      </c>
      <c r="Z9" s="12">
        <v>46.91</v>
      </c>
      <c r="AA9" s="12">
        <v>46.92</v>
      </c>
      <c r="AB9" s="105">
        <v>23284500</v>
      </c>
      <c r="AC9" s="12">
        <v>46.92</v>
      </c>
      <c r="AD9" s="2">
        <f t="shared" si="0"/>
        <v>1.1200000000000045</v>
      </c>
      <c r="AE9" s="148">
        <f t="shared" si="1"/>
        <v>-2.3923444976076569E-2</v>
      </c>
      <c r="AK9" s="272"/>
      <c r="AN9" s="272"/>
    </row>
    <row r="10" spans="1:40" x14ac:dyDescent="0.25">
      <c r="W10" s="104">
        <v>42426</v>
      </c>
      <c r="X10" s="12">
        <v>48.13</v>
      </c>
      <c r="Y10" s="12">
        <v>48.54</v>
      </c>
      <c r="Z10" s="12">
        <v>47.83</v>
      </c>
      <c r="AA10" s="12">
        <v>48.07</v>
      </c>
      <c r="AB10" s="105">
        <v>20238800</v>
      </c>
      <c r="AC10" s="12">
        <v>48.07</v>
      </c>
      <c r="AD10" s="2">
        <f t="shared" si="0"/>
        <v>0.71000000000000085</v>
      </c>
      <c r="AE10" s="148">
        <f t="shared" si="1"/>
        <v>6.701570680628377E-3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42425</v>
      </c>
      <c r="X11" s="12">
        <v>47.71</v>
      </c>
      <c r="Y11" s="12">
        <v>48.16</v>
      </c>
      <c r="Z11" s="12">
        <v>47.71</v>
      </c>
      <c r="AA11" s="12">
        <v>47.75</v>
      </c>
      <c r="AB11" s="105">
        <v>16620200</v>
      </c>
      <c r="AC11" s="12">
        <v>47.75</v>
      </c>
      <c r="AD11" s="2">
        <f t="shared" si="0"/>
        <v>0.44999999999999574</v>
      </c>
      <c r="AE11" s="148">
        <f t="shared" si="1"/>
        <v>2.9405587061541727E-3</v>
      </c>
      <c r="AK11" s="272"/>
      <c r="AN11" s="272"/>
    </row>
    <row r="12" spans="1:40" x14ac:dyDescent="0.25">
      <c r="W12" s="104">
        <v>42424</v>
      </c>
      <c r="X12" s="12">
        <v>47.34</v>
      </c>
      <c r="Y12" s="12">
        <v>47.68</v>
      </c>
      <c r="Z12" s="12">
        <v>46.56</v>
      </c>
      <c r="AA12" s="12">
        <v>47.61</v>
      </c>
      <c r="AB12" s="105">
        <v>18459500</v>
      </c>
      <c r="AC12" s="12">
        <v>47.61</v>
      </c>
      <c r="AD12" s="2">
        <f t="shared" si="0"/>
        <v>1.1199999999999974</v>
      </c>
      <c r="AE12" s="148">
        <f t="shared" si="1"/>
        <v>-1.0187110187110271E-2</v>
      </c>
    </row>
    <row r="13" spans="1:40" x14ac:dyDescent="0.25">
      <c r="W13" s="104">
        <v>42423</v>
      </c>
      <c r="X13" s="12">
        <v>48.87</v>
      </c>
      <c r="Y13" s="12">
        <v>48.92</v>
      </c>
      <c r="Z13" s="12">
        <v>47.98</v>
      </c>
      <c r="AA13" s="12">
        <v>48.1</v>
      </c>
      <c r="AB13" s="105">
        <v>14970500</v>
      </c>
      <c r="AC13" s="12">
        <v>48.1</v>
      </c>
      <c r="AD13" s="2">
        <f t="shared" si="0"/>
        <v>0.94000000000000483</v>
      </c>
      <c r="AE13" s="148">
        <f t="shared" si="1"/>
        <v>-2.2158975401504244E-2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42422</v>
      </c>
      <c r="X14" s="12">
        <v>48.09</v>
      </c>
      <c r="Y14" s="12">
        <v>49.34</v>
      </c>
      <c r="Z14" s="12">
        <v>48.09</v>
      </c>
      <c r="AA14" s="12">
        <v>49.19</v>
      </c>
      <c r="AB14" s="105">
        <v>17549100</v>
      </c>
      <c r="AC14" s="12">
        <v>49.19</v>
      </c>
      <c r="AD14" s="2">
        <f t="shared" si="0"/>
        <v>1.25</v>
      </c>
      <c r="AE14" s="148">
        <f t="shared" si="1"/>
        <v>2.2873778332293426E-2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42419</v>
      </c>
      <c r="X15" s="12">
        <v>47.4</v>
      </c>
      <c r="Y15" s="12">
        <v>48.17</v>
      </c>
      <c r="Z15" s="12">
        <v>47.34</v>
      </c>
      <c r="AA15" s="12">
        <v>48.09</v>
      </c>
      <c r="AB15" s="105">
        <v>18098100</v>
      </c>
      <c r="AC15" s="12">
        <v>48.09</v>
      </c>
      <c r="AD15" s="2">
        <f t="shared" si="0"/>
        <v>0.82999999999999829</v>
      </c>
      <c r="AE15" s="148">
        <f t="shared" si="1"/>
        <v>7.5424261470773413E-3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42418</v>
      </c>
      <c r="X16" s="12">
        <v>48.09</v>
      </c>
      <c r="Y16" s="12">
        <v>48.14</v>
      </c>
      <c r="Z16" s="12">
        <v>47.48</v>
      </c>
      <c r="AA16" s="12">
        <v>47.73</v>
      </c>
      <c r="AB16" s="105">
        <v>17026300</v>
      </c>
      <c r="AC16" s="12">
        <v>47.73</v>
      </c>
      <c r="AD16" s="2">
        <f t="shared" si="0"/>
        <v>0.66000000000000369</v>
      </c>
      <c r="AE16" s="148">
        <f t="shared" si="1"/>
        <v>-8.310824849366405E-3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297</v>
      </c>
      <c r="W17" s="104">
        <v>42417</v>
      </c>
      <c r="X17" s="12">
        <v>48.65</v>
      </c>
      <c r="Y17" s="12">
        <v>48.96</v>
      </c>
      <c r="Z17" s="12">
        <v>47.99</v>
      </c>
      <c r="AA17" s="12">
        <v>48.13</v>
      </c>
      <c r="AB17" s="105">
        <v>17997500</v>
      </c>
      <c r="AC17" s="12">
        <v>48.13</v>
      </c>
      <c r="AD17" s="2">
        <f t="shared" si="0"/>
        <v>0.96999999999999886</v>
      </c>
      <c r="AE17" s="148">
        <f t="shared" si="1"/>
        <v>-2.280265339966836E-3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>
        <v>49.6</v>
      </c>
      <c r="W18" s="104">
        <v>42416</v>
      </c>
      <c r="X18" s="12">
        <v>48.05</v>
      </c>
      <c r="Y18" s="12">
        <v>48.41</v>
      </c>
      <c r="Z18" s="12">
        <v>47.57</v>
      </c>
      <c r="AA18" s="12">
        <v>48.24</v>
      </c>
      <c r="AB18" s="105">
        <v>20110400</v>
      </c>
      <c r="AC18" s="12">
        <v>48.24</v>
      </c>
      <c r="AD18" s="2">
        <f t="shared" si="0"/>
        <v>0.83999999999999631</v>
      </c>
      <c r="AE18" s="148">
        <f t="shared" si="1"/>
        <v>1.9657577679137672E-2</v>
      </c>
    </row>
    <row r="19" spans="2:40" x14ac:dyDescent="0.25">
      <c r="B19" s="216"/>
      <c r="C19" s="12"/>
      <c r="D19" s="225"/>
      <c r="E19" s="43"/>
      <c r="F19" s="43"/>
      <c r="G19" s="43"/>
      <c r="H19" s="269"/>
      <c r="I19" s="43"/>
      <c r="W19" s="104">
        <v>42412</v>
      </c>
      <c r="X19" s="12">
        <v>45.96</v>
      </c>
      <c r="Y19" s="12">
        <v>47.39</v>
      </c>
      <c r="Z19" s="12">
        <v>45.93</v>
      </c>
      <c r="AA19" s="12">
        <v>47.31</v>
      </c>
      <c r="AB19" s="105">
        <v>28442100</v>
      </c>
      <c r="AC19" s="12">
        <v>47.31</v>
      </c>
      <c r="AD19" s="2">
        <f t="shared" si="0"/>
        <v>1.4600000000000009</v>
      </c>
      <c r="AE19" s="148">
        <f t="shared" si="1"/>
        <v>4.7608503100088795E-2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42411</v>
      </c>
      <c r="X20" s="12">
        <v>44.93</v>
      </c>
      <c r="Y20" s="12">
        <v>45.53</v>
      </c>
      <c r="Z20" s="12">
        <v>44.5</v>
      </c>
      <c r="AA20" s="12">
        <v>45.16</v>
      </c>
      <c r="AB20" s="105">
        <v>32356700</v>
      </c>
      <c r="AC20" s="12">
        <v>45.16</v>
      </c>
      <c r="AD20" s="2">
        <f t="shared" si="0"/>
        <v>1.0300000000000011</v>
      </c>
      <c r="AE20" s="148">
        <f t="shared" si="1"/>
        <v>-2.1875676846437209E-2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42410</v>
      </c>
      <c r="X21" s="12">
        <v>46.88</v>
      </c>
      <c r="Y21" s="12">
        <v>47.22</v>
      </c>
      <c r="Z21" s="12">
        <v>46.11</v>
      </c>
      <c r="AA21" s="12">
        <v>46.17</v>
      </c>
      <c r="AB21" s="105">
        <v>19865200</v>
      </c>
      <c r="AC21" s="12">
        <v>46.17</v>
      </c>
      <c r="AD21" s="2">
        <f t="shared" si="0"/>
        <v>1.1099999999999994</v>
      </c>
      <c r="AE21" s="148">
        <f t="shared" si="1"/>
        <v>-6.0279870828848781E-3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42409</v>
      </c>
      <c r="X22" s="12">
        <v>45.61</v>
      </c>
      <c r="Y22" s="12">
        <v>46.76</v>
      </c>
      <c r="Z22" s="12">
        <v>45.36</v>
      </c>
      <c r="AA22" s="12">
        <v>46.45</v>
      </c>
      <c r="AB22" s="105">
        <v>29580100</v>
      </c>
      <c r="AC22" s="12">
        <v>46.45</v>
      </c>
      <c r="AD22" s="2">
        <f t="shared" si="0"/>
        <v>1.3999999999999986</v>
      </c>
      <c r="AE22" s="148">
        <f t="shared" si="1"/>
        <v>-1.0752688172042113E-3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42408</v>
      </c>
      <c r="X23" s="12">
        <v>47.11</v>
      </c>
      <c r="Y23" s="12">
        <v>47.34</v>
      </c>
      <c r="Z23" s="12">
        <v>46.06</v>
      </c>
      <c r="AA23" s="12">
        <v>46.5</v>
      </c>
      <c r="AB23" s="105">
        <v>30727900</v>
      </c>
      <c r="AC23" s="12">
        <v>46.5</v>
      </c>
      <c r="AD23" s="2">
        <f t="shared" si="0"/>
        <v>1.2800000000000011</v>
      </c>
      <c r="AE23" s="148">
        <f t="shared" si="1"/>
        <v>-2.8416213957375702E-2</v>
      </c>
      <c r="AK23" s="272"/>
    </row>
    <row r="24" spans="2:40" x14ac:dyDescent="0.25">
      <c r="W24" s="104">
        <v>42405</v>
      </c>
      <c r="X24" s="12">
        <v>48.35</v>
      </c>
      <c r="Y24" s="12">
        <v>48.66</v>
      </c>
      <c r="Z24" s="12">
        <v>47.6</v>
      </c>
      <c r="AA24" s="12">
        <v>47.86</v>
      </c>
      <c r="AB24" s="105">
        <v>23613300</v>
      </c>
      <c r="AC24" s="12">
        <v>47.86</v>
      </c>
      <c r="AD24" s="2">
        <f t="shared" si="0"/>
        <v>1.0599999999999952</v>
      </c>
      <c r="AE24" s="148">
        <f t="shared" si="1"/>
        <v>-8.0829015544041649E-3</v>
      </c>
    </row>
    <row r="25" spans="2:40" x14ac:dyDescent="0.25">
      <c r="W25" s="104">
        <v>42404</v>
      </c>
      <c r="X25" s="12">
        <v>47.4</v>
      </c>
      <c r="Y25" s="12">
        <v>48.61</v>
      </c>
      <c r="Z25" s="12">
        <v>47.37</v>
      </c>
      <c r="AA25" s="12">
        <v>48.25</v>
      </c>
      <c r="AB25" s="105">
        <v>30603700</v>
      </c>
      <c r="AC25" s="12">
        <v>48.25</v>
      </c>
      <c r="AD25" s="2">
        <f t="shared" si="0"/>
        <v>1.240000000000002</v>
      </c>
      <c r="AE25" s="148">
        <f t="shared" si="1"/>
        <v>1.3655462184873901E-2</v>
      </c>
    </row>
    <row r="26" spans="2:40" x14ac:dyDescent="0.25">
      <c r="W26" s="104">
        <v>42403</v>
      </c>
      <c r="X26" s="12">
        <v>48.45</v>
      </c>
      <c r="Y26" s="12">
        <v>48.51</v>
      </c>
      <c r="Z26" s="12">
        <v>46.51</v>
      </c>
      <c r="AA26" s="12">
        <v>47.6</v>
      </c>
      <c r="AB26" s="105">
        <v>47107800</v>
      </c>
      <c r="AC26" s="12">
        <v>47.6</v>
      </c>
      <c r="AD26" s="2">
        <f t="shared" si="0"/>
        <v>2</v>
      </c>
      <c r="AE26" s="148" t="e">
        <f t="shared" si="1"/>
        <v>#DIV/0!</v>
      </c>
    </row>
    <row r="27" spans="2:40" x14ac:dyDescent="0.25">
      <c r="W27" s="104">
        <v>42403</v>
      </c>
      <c r="X27" s="12" t="s">
        <v>280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40" x14ac:dyDescent="0.25">
      <c r="W28" s="104">
        <v>42402</v>
      </c>
      <c r="X28" s="12">
        <v>49.26</v>
      </c>
      <c r="Y28" s="12">
        <v>49.32</v>
      </c>
      <c r="Z28" s="12">
        <v>48.78</v>
      </c>
      <c r="AA28" s="12">
        <v>48.83</v>
      </c>
      <c r="AB28" s="105">
        <v>25593200</v>
      </c>
      <c r="AC28" s="12">
        <v>48.46</v>
      </c>
      <c r="AD28" s="2">
        <f t="shared" si="0"/>
        <v>0.53999999999999915</v>
      </c>
      <c r="AE28" s="148">
        <f t="shared" si="1"/>
        <v>-2.2195318805488307E-2</v>
      </c>
    </row>
    <row r="29" spans="2:40" x14ac:dyDescent="0.25">
      <c r="W29" s="104">
        <v>42401</v>
      </c>
      <c r="X29" s="12">
        <v>50.12</v>
      </c>
      <c r="Y29" s="12">
        <v>50.18</v>
      </c>
      <c r="Z29" s="12">
        <v>49.56</v>
      </c>
      <c r="AA29" s="12">
        <v>49.94</v>
      </c>
      <c r="AB29" s="105">
        <v>17385400</v>
      </c>
      <c r="AC29" s="12">
        <v>49.56</v>
      </c>
      <c r="AD29" s="2">
        <f t="shared" si="0"/>
        <v>0.61999999999999744</v>
      </c>
      <c r="AE29" s="148">
        <f t="shared" si="1"/>
        <v>-5.6179775280899014E-3</v>
      </c>
    </row>
    <row r="30" spans="2:40" x14ac:dyDescent="0.25">
      <c r="W30" s="104">
        <v>42398</v>
      </c>
      <c r="X30" s="12">
        <v>49.29</v>
      </c>
      <c r="Y30" s="12">
        <v>50.25</v>
      </c>
      <c r="Z30" s="12">
        <v>49.17</v>
      </c>
      <c r="AA30" s="12">
        <v>50.23</v>
      </c>
      <c r="AB30" s="105">
        <v>25358300</v>
      </c>
      <c r="AC30" s="12">
        <v>49.84</v>
      </c>
      <c r="AD30" s="2">
        <f t="shared" si="0"/>
        <v>1.0799999999999983</v>
      </c>
      <c r="AE30" s="148">
        <f t="shared" si="1"/>
        <v>2.6782035434693041E-2</v>
      </c>
    </row>
    <row r="31" spans="2:40" x14ac:dyDescent="0.25">
      <c r="W31" s="104">
        <v>42397</v>
      </c>
      <c r="X31" s="12">
        <v>49.1</v>
      </c>
      <c r="Y31" s="12">
        <v>49.4</v>
      </c>
      <c r="Z31" s="12">
        <v>48.6</v>
      </c>
      <c r="AA31" s="12">
        <v>48.92</v>
      </c>
      <c r="AB31" s="105">
        <v>21306600</v>
      </c>
      <c r="AC31" s="12">
        <v>48.54</v>
      </c>
      <c r="AD31" s="2">
        <f t="shared" si="0"/>
        <v>0.79999999999999716</v>
      </c>
      <c r="AE31" s="148">
        <f t="shared" si="1"/>
        <v>7.0539419087136679E-3</v>
      </c>
    </row>
    <row r="32" spans="2:40" x14ac:dyDescent="0.25">
      <c r="W32" s="104">
        <v>42396</v>
      </c>
      <c r="X32" s="12">
        <v>48.3</v>
      </c>
      <c r="Y32" s="12">
        <v>49.3</v>
      </c>
      <c r="Z32" s="12">
        <v>48.13</v>
      </c>
      <c r="AA32" s="12">
        <v>48.57</v>
      </c>
      <c r="AB32" s="105">
        <v>20441500</v>
      </c>
      <c r="AC32" s="12">
        <v>48.2</v>
      </c>
      <c r="AD32" s="2">
        <f t="shared" si="0"/>
        <v>1.1699999999999946</v>
      </c>
      <c r="AE32" s="148">
        <f t="shared" si="1"/>
        <v>6.4731676759239853E-3</v>
      </c>
    </row>
    <row r="33" spans="15:31" x14ac:dyDescent="0.25">
      <c r="W33" s="104">
        <v>42395</v>
      </c>
      <c r="X33" s="12">
        <v>47.75</v>
      </c>
      <c r="Y33" s="12">
        <v>48.56</v>
      </c>
      <c r="Z33" s="12">
        <v>47.66</v>
      </c>
      <c r="AA33" s="12">
        <v>48.26</v>
      </c>
      <c r="AB33" s="105">
        <v>18895100</v>
      </c>
      <c r="AC33" s="12">
        <v>47.89</v>
      </c>
      <c r="AD33" s="2">
        <f t="shared" si="0"/>
        <v>0.90000000000000568</v>
      </c>
      <c r="AE33" s="148">
        <f t="shared" si="1"/>
        <v>1.2687671812222412E-2</v>
      </c>
    </row>
    <row r="34" spans="15:31" x14ac:dyDescent="0.25">
      <c r="W34" s="104">
        <v>42394</v>
      </c>
      <c r="X34" s="12">
        <v>48.91</v>
      </c>
      <c r="Y34" s="12">
        <v>48.98</v>
      </c>
      <c r="Z34" s="12">
        <v>47.62</v>
      </c>
      <c r="AA34" s="12">
        <v>47.66</v>
      </c>
      <c r="AB34" s="105">
        <v>23440800</v>
      </c>
      <c r="AC34" s="12">
        <v>47.29</v>
      </c>
      <c r="AD34" s="2">
        <f t="shared" si="0"/>
        <v>1.3599999999999994</v>
      </c>
      <c r="AE34" s="148">
        <f t="shared" si="1"/>
        <v>-2.7754934210526327E-2</v>
      </c>
    </row>
    <row r="35" spans="15:31" x14ac:dyDescent="0.25">
      <c r="W35" s="104">
        <v>42391</v>
      </c>
      <c r="X35" s="12">
        <v>49.03</v>
      </c>
      <c r="Y35" s="12">
        <v>49.27</v>
      </c>
      <c r="Z35" s="12">
        <v>48.56</v>
      </c>
      <c r="AA35" s="12">
        <v>49.02</v>
      </c>
      <c r="AB35" s="105">
        <v>18298700</v>
      </c>
      <c r="AC35" s="12">
        <v>48.64</v>
      </c>
      <c r="AD35" s="2">
        <f t="shared" si="0"/>
        <v>0.71000000000000085</v>
      </c>
      <c r="AE35" s="148">
        <f t="shared" si="1"/>
        <v>2.099076406381184E-2</v>
      </c>
    </row>
    <row r="36" spans="15:31" x14ac:dyDescent="0.25">
      <c r="W36" s="104">
        <v>42390</v>
      </c>
      <c r="X36" s="12">
        <v>48.03</v>
      </c>
      <c r="Y36" s="12">
        <v>49.05</v>
      </c>
      <c r="Z36" s="12">
        <v>47.91</v>
      </c>
      <c r="AA36" s="12">
        <v>48.01</v>
      </c>
      <c r="AB36" s="105">
        <v>24272900</v>
      </c>
      <c r="AC36" s="12">
        <v>47.64</v>
      </c>
      <c r="AD36" s="2">
        <f t="shared" si="0"/>
        <v>1.1400000000000006</v>
      </c>
      <c r="AE36" s="148">
        <f t="shared" si="1"/>
        <v>2.9473684210525875E-3</v>
      </c>
    </row>
    <row r="37" spans="15:31" x14ac:dyDescent="0.25">
      <c r="W37" s="104">
        <v>42389</v>
      </c>
      <c r="X37" s="12">
        <v>47.28</v>
      </c>
      <c r="Y37" s="12">
        <v>48.25</v>
      </c>
      <c r="Z37" s="12">
        <v>46.88</v>
      </c>
      <c r="AA37" s="12">
        <v>47.87</v>
      </c>
      <c r="AB37" s="105">
        <v>40241100</v>
      </c>
      <c r="AC37" s="12">
        <v>47.5</v>
      </c>
      <c r="AD37" s="2">
        <f t="shared" si="0"/>
        <v>1.3699999999999974</v>
      </c>
      <c r="AE37" s="148">
        <f t="shared" si="1"/>
        <v>-7.1070234113712605E-3</v>
      </c>
    </row>
    <row r="38" spans="15:31" x14ac:dyDescent="0.25">
      <c r="W38" s="104">
        <v>42388</v>
      </c>
      <c r="X38" s="12">
        <v>49.25</v>
      </c>
      <c r="Y38" s="12">
        <v>49.54</v>
      </c>
      <c r="Z38" s="12">
        <v>47.99</v>
      </c>
      <c r="AA38" s="12">
        <v>48.21</v>
      </c>
      <c r="AB38" s="105">
        <v>29918500</v>
      </c>
      <c r="AC38" s="12">
        <v>47.84</v>
      </c>
      <c r="AD38" s="2">
        <f t="shared" si="0"/>
        <v>1.5499999999999972</v>
      </c>
      <c r="AE38" s="148">
        <f t="shared" si="1"/>
        <v>-1.2590299277605799E-2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>
        <v>42384</v>
      </c>
      <c r="X39" s="12">
        <v>48.59</v>
      </c>
      <c r="Y39" s="12">
        <v>49.64</v>
      </c>
      <c r="Z39" s="12">
        <v>48.13</v>
      </c>
      <c r="AA39" s="12">
        <v>48.82</v>
      </c>
      <c r="AB39" s="105">
        <v>41090400</v>
      </c>
      <c r="AC39" s="12">
        <v>48.45</v>
      </c>
      <c r="AD39" s="2">
        <f t="shared" si="0"/>
        <v>1.509999999999998</v>
      </c>
      <c r="AE39" s="148">
        <f t="shared" si="1"/>
        <v>-3.5820895522387985E-2</v>
      </c>
    </row>
    <row r="40" spans="15:31" ht="15.75" thickTop="1" x14ac:dyDescent="0.25">
      <c r="O40" s="2"/>
      <c r="P40" s="93">
        <v>1.1000000000000001</v>
      </c>
      <c r="Q40" s="93">
        <f>P40*$Q$4</f>
        <v>53.669000000000004</v>
      </c>
      <c r="R40" s="37"/>
      <c r="T40" s="107" t="s">
        <v>101</v>
      </c>
      <c r="U40" s="108">
        <v>49.05</v>
      </c>
      <c r="W40" s="104">
        <v>42383</v>
      </c>
      <c r="X40" s="12">
        <v>50.08</v>
      </c>
      <c r="Y40" s="12">
        <v>51</v>
      </c>
      <c r="Z40" s="12">
        <v>49.6</v>
      </c>
      <c r="AA40" s="12">
        <v>50.64</v>
      </c>
      <c r="AB40" s="105">
        <v>24569800</v>
      </c>
      <c r="AC40" s="12">
        <v>50.25</v>
      </c>
      <c r="AD40" s="2">
        <f t="shared" si="0"/>
        <v>1.3999999999999986</v>
      </c>
      <c r="AE40" s="148">
        <f t="shared" si="1"/>
        <v>1.8237082066869359E-2</v>
      </c>
    </row>
    <row r="41" spans="15:31" x14ac:dyDescent="0.25">
      <c r="O41" s="2"/>
      <c r="P41" s="93">
        <v>1.0900000000000001</v>
      </c>
      <c r="Q41" s="93">
        <f t="shared" ref="Q41:Q60" si="2">P41*$Q$4</f>
        <v>53.181100000000001</v>
      </c>
      <c r="R41" s="37"/>
      <c r="T41" s="97" t="s">
        <v>102</v>
      </c>
      <c r="U41" s="98">
        <v>49.38</v>
      </c>
      <c r="W41" s="104">
        <v>42382</v>
      </c>
      <c r="X41" s="12">
        <v>51.73</v>
      </c>
      <c r="Y41" s="12">
        <v>51.8</v>
      </c>
      <c r="Z41" s="12">
        <v>49.5</v>
      </c>
      <c r="AA41" s="12">
        <v>49.73</v>
      </c>
      <c r="AB41" s="105">
        <v>22013500</v>
      </c>
      <c r="AC41" s="12">
        <v>49.35</v>
      </c>
      <c r="AD41" s="2">
        <f t="shared" si="0"/>
        <v>2.2999999999999972</v>
      </c>
      <c r="AE41" s="148">
        <f t="shared" si="1"/>
        <v>-3.178340200117713E-2</v>
      </c>
    </row>
    <row r="42" spans="15:31" x14ac:dyDescent="0.25">
      <c r="O42" s="2"/>
      <c r="P42" s="93">
        <v>1.08</v>
      </c>
      <c r="Q42" s="93">
        <f t="shared" si="2"/>
        <v>52.693200000000004</v>
      </c>
      <c r="R42" s="37"/>
      <c r="T42" s="97" t="s">
        <v>103</v>
      </c>
      <c r="U42" s="98" t="s">
        <v>445</v>
      </c>
      <c r="W42" s="104">
        <v>42381</v>
      </c>
      <c r="X42" s="12">
        <v>50.88</v>
      </c>
      <c r="Y42" s="12">
        <v>51.52</v>
      </c>
      <c r="Z42" s="12">
        <v>50.45</v>
      </c>
      <c r="AA42" s="12">
        <v>51.36</v>
      </c>
      <c r="AB42" s="105">
        <v>28961500</v>
      </c>
      <c r="AC42" s="12">
        <v>50.97</v>
      </c>
      <c r="AD42" s="2">
        <f t="shared" si="0"/>
        <v>1.0700000000000003</v>
      </c>
      <c r="AE42" s="148">
        <f t="shared" si="1"/>
        <v>2.5347012673506253E-2</v>
      </c>
    </row>
    <row r="43" spans="15:31" x14ac:dyDescent="0.25">
      <c r="O43" s="2"/>
      <c r="P43" s="93">
        <v>1.07</v>
      </c>
      <c r="Q43" s="93">
        <f t="shared" si="2"/>
        <v>52.205300000000001</v>
      </c>
      <c r="R43" s="93"/>
      <c r="T43" s="97" t="s">
        <v>104</v>
      </c>
      <c r="U43" s="98" t="s">
        <v>446</v>
      </c>
      <c r="W43" s="104">
        <v>42380</v>
      </c>
      <c r="X43" s="12">
        <v>50.18</v>
      </c>
      <c r="Y43" s="12">
        <v>50.33</v>
      </c>
      <c r="Z43" s="12">
        <v>49.64</v>
      </c>
      <c r="AA43" s="12">
        <v>50.09</v>
      </c>
      <c r="AB43" s="105">
        <v>19046400</v>
      </c>
      <c r="AC43" s="12">
        <v>49.71</v>
      </c>
      <c r="AD43" s="2">
        <f t="shared" si="0"/>
        <v>0.68999999999999773</v>
      </c>
      <c r="AE43" s="148">
        <f t="shared" si="1"/>
        <v>1.0776738511590001E-2</v>
      </c>
    </row>
    <row r="44" spans="15:31" x14ac:dyDescent="0.25">
      <c r="O44" s="2"/>
      <c r="P44" s="93">
        <v>1.06</v>
      </c>
      <c r="Q44" s="93">
        <f t="shared" si="2"/>
        <v>51.717400000000005</v>
      </c>
      <c r="R44" s="93"/>
      <c r="T44" s="97" t="s">
        <v>105</v>
      </c>
      <c r="U44" s="98">
        <v>57.02</v>
      </c>
      <c r="W44" s="104">
        <v>42377</v>
      </c>
      <c r="X44" s="12">
        <v>50.8</v>
      </c>
      <c r="Y44" s="12">
        <v>50.86</v>
      </c>
      <c r="Z44" s="12">
        <v>49.46</v>
      </c>
      <c r="AA44" s="12">
        <v>49.56</v>
      </c>
      <c r="AB44" s="105">
        <v>22981400</v>
      </c>
      <c r="AC44" s="12">
        <v>49.18</v>
      </c>
      <c r="AD44" s="2">
        <f t="shared" si="0"/>
        <v>1.3999999999999986</v>
      </c>
      <c r="AE44" s="148">
        <f t="shared" si="1"/>
        <v>-1.6596680663867214E-2</v>
      </c>
    </row>
    <row r="45" spans="15:31" x14ac:dyDescent="0.25">
      <c r="O45" s="2"/>
      <c r="P45" s="93">
        <v>1.05</v>
      </c>
      <c r="Q45" s="93">
        <f t="shared" si="2"/>
        <v>51.229500000000002</v>
      </c>
      <c r="R45" s="93"/>
      <c r="T45" s="97" t="s">
        <v>106</v>
      </c>
      <c r="U45" s="98">
        <v>0.98563900000000004</v>
      </c>
      <c r="W45" s="104">
        <v>42376</v>
      </c>
      <c r="X45" s="12">
        <v>51.01</v>
      </c>
      <c r="Y45" s="12">
        <v>51.19</v>
      </c>
      <c r="Z45" s="12">
        <v>50.15</v>
      </c>
      <c r="AA45" s="12">
        <v>50.4</v>
      </c>
      <c r="AB45" s="105">
        <v>30425600</v>
      </c>
      <c r="AC45" s="12">
        <v>50.01</v>
      </c>
      <c r="AD45" s="2">
        <f t="shared" si="0"/>
        <v>1.0399999999999991</v>
      </c>
      <c r="AE45" s="148">
        <f t="shared" si="1"/>
        <v>-2.8554778554778504E-2</v>
      </c>
    </row>
    <row r="46" spans="15:31" x14ac:dyDescent="0.25">
      <c r="O46" s="2"/>
      <c r="P46" s="93">
        <v>1.04</v>
      </c>
      <c r="Q46" s="93">
        <f t="shared" si="2"/>
        <v>50.741599999999998</v>
      </c>
      <c r="R46" s="93"/>
      <c r="T46" s="97" t="s">
        <v>107</v>
      </c>
      <c r="U46" s="99" t="s">
        <v>288</v>
      </c>
      <c r="W46" s="104">
        <v>42375</v>
      </c>
      <c r="X46" s="12">
        <v>52.12</v>
      </c>
      <c r="Y46" s="12">
        <v>52.62</v>
      </c>
      <c r="Z46" s="12">
        <v>51.83</v>
      </c>
      <c r="AA46" s="12">
        <v>51.88</v>
      </c>
      <c r="AB46" s="105">
        <v>20026400</v>
      </c>
      <c r="AC46" s="12">
        <v>51.48</v>
      </c>
      <c r="AD46" s="2">
        <f t="shared" si="0"/>
        <v>0.78999999999999915</v>
      </c>
      <c r="AE46" s="148">
        <f t="shared" si="1"/>
        <v>-1.9054878048780477E-2</v>
      </c>
    </row>
    <row r="47" spans="15:31" x14ac:dyDescent="0.25">
      <c r="O47" s="2"/>
      <c r="P47" s="93">
        <v>1.03</v>
      </c>
      <c r="Q47" s="93">
        <f t="shared" si="2"/>
        <v>50.253700000000002</v>
      </c>
      <c r="R47" s="93"/>
      <c r="T47" s="97"/>
      <c r="U47" s="98"/>
      <c r="W47" s="104">
        <v>42374</v>
      </c>
      <c r="X47" s="12">
        <v>52.93</v>
      </c>
      <c r="Y47" s="12">
        <v>53.27</v>
      </c>
      <c r="Z47" s="12">
        <v>52.55</v>
      </c>
      <c r="AA47" s="12">
        <v>52.89</v>
      </c>
      <c r="AB47" s="105">
        <v>14759600</v>
      </c>
      <c r="AC47" s="12">
        <v>52.48</v>
      </c>
      <c r="AD47" s="2">
        <f t="shared" si="0"/>
        <v>0.72000000000000597</v>
      </c>
      <c r="AE47" s="148">
        <f t="shared" si="1"/>
        <v>-3.8095238095248174E-4</v>
      </c>
    </row>
    <row r="48" spans="15:31" x14ac:dyDescent="0.25">
      <c r="O48" s="2"/>
      <c r="P48" s="93">
        <v>1.02</v>
      </c>
      <c r="Q48" s="93">
        <f t="shared" si="2"/>
        <v>49.765799999999999</v>
      </c>
      <c r="R48" s="93"/>
      <c r="T48" s="97" t="s">
        <v>108</v>
      </c>
      <c r="U48" s="98" t="s">
        <v>447</v>
      </c>
      <c r="W48" s="104">
        <v>42373</v>
      </c>
      <c r="X48" s="12">
        <v>53.09</v>
      </c>
      <c r="Y48" s="12">
        <v>53.27</v>
      </c>
      <c r="Z48" s="12">
        <v>52.3</v>
      </c>
      <c r="AA48" s="12">
        <v>52.91</v>
      </c>
      <c r="AB48" s="105">
        <v>25985400</v>
      </c>
      <c r="AC48" s="12">
        <v>52.5</v>
      </c>
      <c r="AD48" s="2">
        <f t="shared" si="0"/>
        <v>0.97000000000000597</v>
      </c>
      <c r="AE48" s="148">
        <f t="shared" si="1"/>
        <v>-2.6696329254727424E-2</v>
      </c>
    </row>
    <row r="49" spans="15:31" x14ac:dyDescent="0.25">
      <c r="O49" s="2"/>
      <c r="P49" s="93">
        <v>1.01</v>
      </c>
      <c r="Q49" s="93">
        <f t="shared" si="2"/>
        <v>49.277900000000002</v>
      </c>
      <c r="R49" s="93"/>
      <c r="T49" s="97" t="s">
        <v>109</v>
      </c>
      <c r="U49" s="98" t="s">
        <v>281</v>
      </c>
      <c r="W49" s="104">
        <v>42369</v>
      </c>
      <c r="X49" s="12">
        <v>54.51</v>
      </c>
      <c r="Y49" s="12">
        <v>54.95</v>
      </c>
      <c r="Z49" s="12">
        <v>54.22</v>
      </c>
      <c r="AA49" s="12">
        <v>54.36</v>
      </c>
      <c r="AB49" s="105">
        <v>10929800</v>
      </c>
      <c r="AC49" s="12">
        <v>53.94</v>
      </c>
      <c r="AD49" s="2">
        <f t="shared" si="0"/>
        <v>0.73000000000000398</v>
      </c>
      <c r="AE49" s="148">
        <f t="shared" si="1"/>
        <v>-9.7301266752340965E-3</v>
      </c>
    </row>
    <row r="50" spans="15:31" x14ac:dyDescent="0.25">
      <c r="O50" s="2"/>
      <c r="P50" s="93">
        <v>1</v>
      </c>
      <c r="Q50" s="93">
        <f t="shared" si="2"/>
        <v>48.79</v>
      </c>
      <c r="R50" s="93"/>
      <c r="T50" s="97" t="s">
        <v>110</v>
      </c>
      <c r="U50" s="100">
        <v>17920105</v>
      </c>
      <c r="W50" s="104">
        <v>42368</v>
      </c>
      <c r="X50" s="12">
        <v>55.27</v>
      </c>
      <c r="Y50" s="12">
        <v>55.31</v>
      </c>
      <c r="Z50" s="12">
        <v>54.79</v>
      </c>
      <c r="AA50" s="12">
        <v>54.89</v>
      </c>
      <c r="AB50" s="105">
        <v>8016900</v>
      </c>
      <c r="AC50" s="12">
        <v>54.47</v>
      </c>
      <c r="AD50" s="2">
        <f t="shared" si="0"/>
        <v>0.52000000000000313</v>
      </c>
      <c r="AE50" s="148">
        <f t="shared" si="1"/>
        <v>-7.2899580827410215E-3</v>
      </c>
    </row>
    <row r="51" spans="15:31" x14ac:dyDescent="0.25">
      <c r="O51" s="2"/>
      <c r="P51" s="93">
        <v>0.99</v>
      </c>
      <c r="Q51" s="93">
        <f t="shared" si="2"/>
        <v>48.302099999999996</v>
      </c>
      <c r="R51" s="93"/>
      <c r="T51" s="97" t="s">
        <v>113</v>
      </c>
      <c r="U51" s="100">
        <v>21188600</v>
      </c>
      <c r="W51" s="104">
        <v>42367</v>
      </c>
      <c r="X51" s="12">
        <v>55.11</v>
      </c>
      <c r="Y51" s="12">
        <v>55.35</v>
      </c>
      <c r="Z51" s="12">
        <v>54.99</v>
      </c>
      <c r="AA51" s="12">
        <v>55.29</v>
      </c>
      <c r="AB51" s="105">
        <v>7894900</v>
      </c>
      <c r="AC51" s="12">
        <v>54.87</v>
      </c>
      <c r="AD51" s="2">
        <f t="shared" si="0"/>
        <v>0.35999999999999943</v>
      </c>
      <c r="AE51" s="148">
        <f t="shared" si="1"/>
        <v>1.1242167342425446E-2</v>
      </c>
    </row>
    <row r="52" spans="15:31" x14ac:dyDescent="0.25">
      <c r="O52" s="2"/>
      <c r="P52" s="93">
        <v>0.98</v>
      </c>
      <c r="Q52" s="93">
        <f t="shared" si="2"/>
        <v>47.8142</v>
      </c>
      <c r="R52" s="93"/>
      <c r="T52" s="97" t="s">
        <v>111</v>
      </c>
      <c r="U52" s="98" t="s">
        <v>448</v>
      </c>
      <c r="W52" s="104">
        <v>42366</v>
      </c>
      <c r="X52" s="12">
        <v>54.55</v>
      </c>
      <c r="Y52" s="12">
        <v>54.78</v>
      </c>
      <c r="Z52" s="12">
        <v>54.17</v>
      </c>
      <c r="AA52" s="12">
        <v>54.68</v>
      </c>
      <c r="AB52" s="105">
        <v>8288800</v>
      </c>
      <c r="AC52" s="12">
        <v>54.26</v>
      </c>
      <c r="AD52" s="2">
        <f t="shared" si="0"/>
        <v>0.60999999999999943</v>
      </c>
      <c r="AE52" s="148">
        <f t="shared" si="1"/>
        <v>-2.5735294117646967E-3</v>
      </c>
    </row>
    <row r="53" spans="15:31" x14ac:dyDescent="0.25">
      <c r="O53" s="2"/>
      <c r="P53" s="93">
        <v>0.97</v>
      </c>
      <c r="Q53" s="93">
        <f t="shared" si="2"/>
        <v>47.326299999999996</v>
      </c>
      <c r="R53" s="93"/>
      <c r="T53" s="97" t="s">
        <v>114</v>
      </c>
      <c r="U53" s="98">
        <v>11.84</v>
      </c>
      <c r="W53" s="104">
        <v>42362</v>
      </c>
      <c r="X53" s="12">
        <v>54.97</v>
      </c>
      <c r="Y53" s="12">
        <v>55.09</v>
      </c>
      <c r="Z53" s="12">
        <v>54.71</v>
      </c>
      <c r="AA53" s="12">
        <v>54.82</v>
      </c>
      <c r="AB53" s="105">
        <v>4999400</v>
      </c>
      <c r="AC53" s="12">
        <v>54.4</v>
      </c>
      <c r="AD53" s="2">
        <f t="shared" si="0"/>
        <v>0.38000000000000256</v>
      </c>
      <c r="AE53" s="148">
        <f t="shared" si="1"/>
        <v>-4.0278286341999259E-3</v>
      </c>
    </row>
    <row r="54" spans="15:31" x14ac:dyDescent="0.25">
      <c r="O54" s="2"/>
      <c r="P54" s="93">
        <v>0.96</v>
      </c>
      <c r="Q54" s="93">
        <f t="shared" si="2"/>
        <v>46.8384</v>
      </c>
      <c r="R54" s="93"/>
      <c r="T54" s="97" t="s">
        <v>115</v>
      </c>
      <c r="U54" s="98">
        <v>4.12</v>
      </c>
      <c r="W54" s="104">
        <v>42361</v>
      </c>
      <c r="X54" s="12">
        <v>54.6</v>
      </c>
      <c r="Y54" s="12">
        <v>55.06</v>
      </c>
      <c r="Z54" s="12">
        <v>54.46</v>
      </c>
      <c r="AA54" s="12">
        <v>55.04</v>
      </c>
      <c r="AB54" s="105">
        <v>13033600</v>
      </c>
      <c r="AC54" s="12">
        <v>54.62</v>
      </c>
      <c r="AD54" s="2">
        <f t="shared" si="0"/>
        <v>0.60000000000000142</v>
      </c>
      <c r="AE54" s="148">
        <f t="shared" si="1"/>
        <v>1.2982195845697264E-2</v>
      </c>
    </row>
    <row r="55" spans="15:31" x14ac:dyDescent="0.25">
      <c r="O55" s="2"/>
      <c r="P55" s="93">
        <v>0.95</v>
      </c>
      <c r="Q55" s="93">
        <f t="shared" si="2"/>
        <v>46.350499999999997</v>
      </c>
      <c r="R55" s="93"/>
      <c r="T55" s="97" t="s">
        <v>112</v>
      </c>
      <c r="U55" s="98" t="s">
        <v>327</v>
      </c>
      <c r="W55" s="104">
        <v>42360</v>
      </c>
      <c r="X55" s="12">
        <v>54.36</v>
      </c>
      <c r="Y55" s="12">
        <v>54.5</v>
      </c>
      <c r="Z55" s="12">
        <v>53.7</v>
      </c>
      <c r="AA55" s="12">
        <v>54.34</v>
      </c>
      <c r="AB55" s="105">
        <v>10318100</v>
      </c>
      <c r="AC55" s="12">
        <v>53.92</v>
      </c>
      <c r="AD55" s="2">
        <f t="shared" si="0"/>
        <v>0.79999999999999716</v>
      </c>
      <c r="AE55" s="148">
        <f>AC55/AC56-1</f>
        <v>5.7825032643163965E-3</v>
      </c>
    </row>
    <row r="56" spans="15:31" x14ac:dyDescent="0.25">
      <c r="O56" s="2"/>
      <c r="P56" s="93">
        <v>0.94</v>
      </c>
      <c r="Q56" s="93">
        <f t="shared" si="2"/>
        <v>45.862599999999993</v>
      </c>
      <c r="R56" s="93"/>
      <c r="W56" s="104">
        <v>42359</v>
      </c>
      <c r="X56" s="12">
        <v>54.3</v>
      </c>
      <c r="Y56" s="12">
        <v>54.54</v>
      </c>
      <c r="Z56" s="12">
        <v>53.55</v>
      </c>
      <c r="AA56" s="12">
        <v>54.02</v>
      </c>
      <c r="AB56" s="105">
        <v>12993400</v>
      </c>
      <c r="AC56" s="12">
        <v>53.61</v>
      </c>
      <c r="AD56" s="2">
        <f t="shared" si="0"/>
        <v>0.99000000000000199</v>
      </c>
      <c r="AE56" s="148">
        <f t="shared" si="1"/>
        <v>4.3087298613713187E-3</v>
      </c>
    </row>
    <row r="57" spans="15:31" x14ac:dyDescent="0.25">
      <c r="O57" s="2"/>
      <c r="P57" s="93">
        <v>0.93</v>
      </c>
      <c r="Q57" s="93">
        <f t="shared" si="2"/>
        <v>45.374700000000004</v>
      </c>
      <c r="R57" s="93"/>
      <c r="W57" s="104">
        <v>42356</v>
      </c>
      <c r="X57" s="12">
        <v>55</v>
      </c>
      <c r="Y57" s="12">
        <v>55.15</v>
      </c>
      <c r="Z57" s="12">
        <v>53.79</v>
      </c>
      <c r="AA57" s="12">
        <v>53.79</v>
      </c>
      <c r="AB57" s="105">
        <v>31468600</v>
      </c>
      <c r="AC57" s="12">
        <v>53.38</v>
      </c>
      <c r="AD57" s="2">
        <f t="shared" si="0"/>
        <v>1.3599999999999994</v>
      </c>
      <c r="AE57" s="148">
        <f t="shared" si="1"/>
        <v>-3.0159883720930147E-2</v>
      </c>
    </row>
    <row r="58" spans="15:31" x14ac:dyDescent="0.25">
      <c r="O58" s="2"/>
      <c r="P58" s="93">
        <v>0.92</v>
      </c>
      <c r="Q58" s="93">
        <f t="shared" si="2"/>
        <v>44.886800000000001</v>
      </c>
      <c r="R58" s="93"/>
      <c r="W58" s="104">
        <v>42355</v>
      </c>
      <c r="X58" s="12">
        <v>56.11</v>
      </c>
      <c r="Y58" s="12">
        <v>56.24</v>
      </c>
      <c r="Z58" s="12">
        <v>55.47</v>
      </c>
      <c r="AA58" s="12">
        <v>55.47</v>
      </c>
      <c r="AB58" s="105">
        <v>18800500</v>
      </c>
      <c r="AC58" s="12">
        <v>55.04</v>
      </c>
      <c r="AD58" s="2">
        <f t="shared" si="0"/>
        <v>0.77000000000000313</v>
      </c>
      <c r="AE58" s="148">
        <f t="shared" si="1"/>
        <v>-6.8567304222303394E-3</v>
      </c>
    </row>
    <row r="59" spans="15:31" x14ac:dyDescent="0.25">
      <c r="O59" s="2"/>
      <c r="P59" s="93">
        <v>0.91</v>
      </c>
      <c r="Q59" s="93">
        <f t="shared" si="2"/>
        <v>44.398899999999998</v>
      </c>
      <c r="R59" s="93"/>
      <c r="W59" s="104">
        <v>42354</v>
      </c>
      <c r="X59" s="12">
        <v>55.21</v>
      </c>
      <c r="Y59" s="12">
        <v>56.04</v>
      </c>
      <c r="Z59" s="12">
        <v>54.82</v>
      </c>
      <c r="AA59" s="12">
        <v>55.85</v>
      </c>
      <c r="AB59" s="105">
        <v>21086800</v>
      </c>
      <c r="AC59" s="12">
        <v>55.42</v>
      </c>
      <c r="AD59" s="2">
        <f t="shared" si="0"/>
        <v>1.2199999999999989</v>
      </c>
      <c r="AE59" s="148">
        <f t="shared" si="1"/>
        <v>1.7067351807671161E-2</v>
      </c>
    </row>
    <row r="60" spans="15:31" x14ac:dyDescent="0.25">
      <c r="O60" s="2"/>
      <c r="P60" s="93">
        <v>0.9</v>
      </c>
      <c r="Q60" s="93">
        <f t="shared" si="2"/>
        <v>43.911000000000001</v>
      </c>
      <c r="R60" s="93"/>
      <c r="W60" s="104">
        <v>42353</v>
      </c>
      <c r="X60" s="12">
        <v>53.83</v>
      </c>
      <c r="Y60" s="12">
        <v>55.12</v>
      </c>
      <c r="Z60" s="12">
        <v>53.81</v>
      </c>
      <c r="AA60" s="12">
        <v>54.91</v>
      </c>
      <c r="AB60" s="105">
        <v>18917600</v>
      </c>
      <c r="AC60" s="12">
        <v>54.49</v>
      </c>
      <c r="AD60" s="2">
        <f t="shared" si="0"/>
        <v>1.3099999999999952</v>
      </c>
      <c r="AE60" s="148">
        <f t="shared" si="1"/>
        <v>3.2203068763023257E-2</v>
      </c>
    </row>
    <row r="61" spans="15:31" x14ac:dyDescent="0.25">
      <c r="W61" s="104">
        <v>42352</v>
      </c>
      <c r="X61" s="12">
        <v>53.32</v>
      </c>
      <c r="Y61" s="12">
        <v>53.57</v>
      </c>
      <c r="Z61" s="12">
        <v>52.75</v>
      </c>
      <c r="AA61" s="12">
        <v>53.2</v>
      </c>
      <c r="AB61" s="105">
        <v>22055100</v>
      </c>
      <c r="AC61" s="12">
        <v>52.79</v>
      </c>
      <c r="AD61" s="2">
        <f t="shared" si="0"/>
        <v>0.82000000000000028</v>
      </c>
      <c r="AE61" s="148">
        <f t="shared" si="1"/>
        <v>-2.0793950850661602E-3</v>
      </c>
    </row>
    <row r="62" spans="15:31" x14ac:dyDescent="0.25">
      <c r="W62" s="104">
        <v>42349</v>
      </c>
      <c r="X62" s="12">
        <v>53.45</v>
      </c>
      <c r="Y62" s="12">
        <v>53.94</v>
      </c>
      <c r="Z62" s="12">
        <v>52.99</v>
      </c>
      <c r="AA62" s="12">
        <v>53.31</v>
      </c>
      <c r="AB62" s="105">
        <v>17815700</v>
      </c>
      <c r="AC62" s="12">
        <v>52.9</v>
      </c>
      <c r="AD62" s="2">
        <f t="shared" si="0"/>
        <v>0.94999999999999574</v>
      </c>
      <c r="AE62" s="148">
        <f t="shared" si="1"/>
        <v>-1.8916913946587566E-2</v>
      </c>
    </row>
    <row r="63" spans="15:31" x14ac:dyDescent="0.25">
      <c r="W63" s="104">
        <v>42348</v>
      </c>
      <c r="X63" s="12">
        <v>54.25</v>
      </c>
      <c r="Y63" s="12">
        <v>54.99</v>
      </c>
      <c r="Z63" s="12">
        <v>53.88</v>
      </c>
      <c r="AA63" s="12">
        <v>54.34</v>
      </c>
      <c r="AB63" s="105">
        <v>14075300</v>
      </c>
      <c r="AC63" s="12">
        <v>53.92</v>
      </c>
      <c r="AD63" s="2">
        <f t="shared" si="0"/>
        <v>1.1099999999999994</v>
      </c>
      <c r="AE63" s="148">
        <f t="shared" si="1"/>
        <v>4.096834264432081E-3</v>
      </c>
    </row>
    <row r="64" spans="15:31" x14ac:dyDescent="0.25">
      <c r="W64" s="104">
        <v>42347</v>
      </c>
      <c r="X64" s="12">
        <v>54.12</v>
      </c>
      <c r="Y64" s="12">
        <v>54.94</v>
      </c>
      <c r="Z64" s="12">
        <v>53.71</v>
      </c>
      <c r="AA64" s="12">
        <v>54.12</v>
      </c>
      <c r="AB64" s="105">
        <v>18499600</v>
      </c>
      <c r="AC64" s="12">
        <v>53.7</v>
      </c>
      <c r="AD64" s="2">
        <f t="shared" si="0"/>
        <v>1.2299999999999969</v>
      </c>
      <c r="AE64" s="148">
        <f t="shared" si="1"/>
        <v>-5.1871063356797587E-3</v>
      </c>
    </row>
    <row r="65" spans="23:31" x14ac:dyDescent="0.25">
      <c r="W65" s="104">
        <v>42346</v>
      </c>
      <c r="X65" s="12">
        <v>54.98</v>
      </c>
      <c r="Y65" s="12">
        <v>55.21</v>
      </c>
      <c r="Z65" s="12">
        <v>54.28</v>
      </c>
      <c r="AA65" s="12">
        <v>54.4</v>
      </c>
      <c r="AB65" s="105">
        <v>19949500</v>
      </c>
      <c r="AC65" s="12">
        <v>53.98</v>
      </c>
      <c r="AD65" s="2">
        <f t="shared" si="0"/>
        <v>0.92999999999999972</v>
      </c>
      <c r="AE65" s="148">
        <f t="shared" si="1"/>
        <v>-1.8366975813784436E-2</v>
      </c>
    </row>
    <row r="66" spans="23:31" x14ac:dyDescent="0.25">
      <c r="W66" s="104">
        <v>42345</v>
      </c>
      <c r="X66" s="12">
        <v>55.45</v>
      </c>
      <c r="Y66" s="12">
        <v>55.56</v>
      </c>
      <c r="Z66" s="12">
        <v>55.02</v>
      </c>
      <c r="AA66" s="12">
        <v>55.42</v>
      </c>
      <c r="AB66" s="105">
        <v>17991600</v>
      </c>
      <c r="AC66" s="12">
        <v>54.99</v>
      </c>
      <c r="AD66" s="2">
        <f t="shared" si="0"/>
        <v>0.53999999999999915</v>
      </c>
      <c r="AE66" s="148">
        <f t="shared" si="1"/>
        <v>-4.5257060101375757E-3</v>
      </c>
    </row>
    <row r="67" spans="23:31" x14ac:dyDescent="0.25">
      <c r="W67" s="104">
        <v>42342</v>
      </c>
      <c r="X67" s="12">
        <v>54.48</v>
      </c>
      <c r="Y67" s="12">
        <v>55.88</v>
      </c>
      <c r="Z67" s="12">
        <v>54.31</v>
      </c>
      <c r="AA67" s="12">
        <v>55.67</v>
      </c>
      <c r="AB67" s="105">
        <v>19647700</v>
      </c>
      <c r="AC67" s="12">
        <v>55.24</v>
      </c>
      <c r="AD67" s="2">
        <f t="shared" si="0"/>
        <v>1.5700000000000003</v>
      </c>
      <c r="AE67" s="148">
        <f t="shared" si="1"/>
        <v>2.7147638527333706E-2</v>
      </c>
    </row>
    <row r="68" spans="23:31" x14ac:dyDescent="0.25">
      <c r="W68" s="104">
        <v>42341</v>
      </c>
      <c r="X68" s="12">
        <v>55.13</v>
      </c>
      <c r="Y68" s="12">
        <v>55.22</v>
      </c>
      <c r="Z68" s="12">
        <v>54.03</v>
      </c>
      <c r="AA68" s="12">
        <v>54.2</v>
      </c>
      <c r="AB68" s="105">
        <v>15410100</v>
      </c>
      <c r="AC68" s="12">
        <v>53.78</v>
      </c>
      <c r="AD68" s="2">
        <f>Y68-Z68</f>
        <v>1.1899999999999977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42438</v>
      </c>
      <c r="X2" s="12">
        <v>9.43</v>
      </c>
      <c r="Y2" s="12">
        <v>9.52</v>
      </c>
      <c r="Z2" s="12">
        <v>9.1199999999999992</v>
      </c>
      <c r="AA2" s="12">
        <v>9.42</v>
      </c>
      <c r="AB2" s="105">
        <v>21765900</v>
      </c>
      <c r="AC2" s="12">
        <v>9.42</v>
      </c>
      <c r="AD2" s="2">
        <f>Y2-Z2</f>
        <v>0.40000000000000036</v>
      </c>
      <c r="AE2" s="148">
        <f>AC2/AC3-1</f>
        <v>9.6463022508037621E-3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9.42</v>
      </c>
      <c r="T3" s="131"/>
      <c r="W3" s="104">
        <v>42437</v>
      </c>
      <c r="X3" s="12">
        <v>9.77</v>
      </c>
      <c r="Y3" s="12">
        <v>9.9</v>
      </c>
      <c r="Z3" s="12">
        <v>9.2899999999999991</v>
      </c>
      <c r="AA3" s="12">
        <v>9.33</v>
      </c>
      <c r="AB3" s="105">
        <v>37791000</v>
      </c>
      <c r="AC3" s="12">
        <v>9.33</v>
      </c>
      <c r="AD3" s="2">
        <f>Y3-Z3</f>
        <v>0.61000000000000121</v>
      </c>
      <c r="AE3" s="148">
        <f>AC3/AC4-1</f>
        <v>-7.0717131474103523E-2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9.42</v>
      </c>
      <c r="T4" s="131"/>
      <c r="W4" s="104">
        <v>42436</v>
      </c>
      <c r="X4" s="12">
        <v>9.66</v>
      </c>
      <c r="Y4" s="12">
        <v>10.07</v>
      </c>
      <c r="Z4" s="12">
        <v>9.61</v>
      </c>
      <c r="AA4" s="12">
        <v>10.039999999999999</v>
      </c>
      <c r="AB4" s="105">
        <v>41542400</v>
      </c>
      <c r="AC4" s="12">
        <v>10.039999999999999</v>
      </c>
      <c r="AD4" s="2">
        <f t="shared" ref="AD4:AD67" si="0">Y4-Z4</f>
        <v>0.46000000000000085</v>
      </c>
      <c r="AE4" s="148">
        <f t="shared" ref="AE4:AE67" si="1">AC4/AC5-1</f>
        <v>4.9111807732497237E-2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42433</v>
      </c>
      <c r="X5" s="12">
        <v>9.59</v>
      </c>
      <c r="Y5" s="12">
        <v>10.039999999999999</v>
      </c>
      <c r="Z5" s="12">
        <v>9.42</v>
      </c>
      <c r="AA5" s="12">
        <v>9.57</v>
      </c>
      <c r="AB5" s="105">
        <v>40736700</v>
      </c>
      <c r="AC5" s="12">
        <v>9.57</v>
      </c>
      <c r="AD5" s="2">
        <f t="shared" si="0"/>
        <v>0.61999999999999922</v>
      </c>
      <c r="AE5" s="148">
        <f t="shared" si="1"/>
        <v>1.0559662090813049E-2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42432</v>
      </c>
      <c r="X6" s="12">
        <v>9.4</v>
      </c>
      <c r="Y6" s="12">
        <v>9.6999999999999993</v>
      </c>
      <c r="Z6" s="12">
        <v>9.17</v>
      </c>
      <c r="AA6" s="12">
        <v>9.4700000000000006</v>
      </c>
      <c r="AB6" s="105">
        <v>35492900</v>
      </c>
      <c r="AC6" s="12">
        <v>9.4700000000000006</v>
      </c>
      <c r="AD6" s="2">
        <f t="shared" si="0"/>
        <v>0.52999999999999936</v>
      </c>
      <c r="AE6" s="148">
        <f t="shared" si="1"/>
        <v>-1.5592515592515399E-2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282</v>
      </c>
      <c r="Q7" s="2">
        <f>IF(Q2=0, K10+M10-F10,Q5-Q6)+M21</f>
        <v>808.47000000000116</v>
      </c>
      <c r="R7" s="212"/>
      <c r="T7" s="95"/>
      <c r="W7" s="104">
        <v>42431</v>
      </c>
      <c r="X7" s="12">
        <v>9.15</v>
      </c>
      <c r="Y7" s="12">
        <v>9.6999999999999993</v>
      </c>
      <c r="Z7" s="12">
        <v>9.1</v>
      </c>
      <c r="AA7" s="12">
        <v>9.6199999999999992</v>
      </c>
      <c r="AB7" s="105">
        <v>48764600</v>
      </c>
      <c r="AC7" s="12">
        <v>9.6199999999999992</v>
      </c>
      <c r="AD7" s="2">
        <f t="shared" si="0"/>
        <v>0.59999999999999964</v>
      </c>
      <c r="AE7" s="148">
        <f t="shared" si="1"/>
        <v>5.598243688254656E-2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90</v>
      </c>
      <c r="P8"/>
      <c r="Q8" s="148">
        <f>(Q4-Q3)/Q3</f>
        <v>0</v>
      </c>
      <c r="W8" s="104">
        <v>42430</v>
      </c>
      <c r="X8" s="12">
        <v>9.1199999999999992</v>
      </c>
      <c r="Y8" s="12">
        <v>9.1999999999999993</v>
      </c>
      <c r="Z8" s="12">
        <v>8.92</v>
      </c>
      <c r="AA8" s="12">
        <v>9.11</v>
      </c>
      <c r="AB8" s="105">
        <v>16203300</v>
      </c>
      <c r="AC8" s="12">
        <v>9.11</v>
      </c>
      <c r="AD8" s="2">
        <f t="shared" si="0"/>
        <v>0.27999999999999936</v>
      </c>
      <c r="AE8" s="148">
        <f t="shared" si="1"/>
        <v>2.015677491601342E-2</v>
      </c>
    </row>
    <row r="9" spans="1:40" x14ac:dyDescent="0.25">
      <c r="O9" s="13" t="s">
        <v>261</v>
      </c>
      <c r="Q9" s="148">
        <f>VALUE(TRIM(CLEAN(MID(U55, FIND("(", U55)+1, 5))))</f>
        <v>1.2500000000000001E-2</v>
      </c>
      <c r="W9" s="104">
        <v>42429</v>
      </c>
      <c r="X9" s="12">
        <v>8.9499999999999993</v>
      </c>
      <c r="Y9" s="12">
        <v>9.11</v>
      </c>
      <c r="Z9" s="12">
        <v>8.85</v>
      </c>
      <c r="AA9" s="12">
        <v>8.93</v>
      </c>
      <c r="AB9" s="105">
        <v>20952100</v>
      </c>
      <c r="AC9" s="12">
        <v>8.93</v>
      </c>
      <c r="AD9" s="2">
        <f t="shared" si="0"/>
        <v>0.25999999999999979</v>
      </c>
      <c r="AE9" s="148">
        <f t="shared" si="1"/>
        <v>6.7643742953777952E-3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42426</v>
      </c>
      <c r="X10" s="12">
        <v>9.1199999999999992</v>
      </c>
      <c r="Y10" s="12">
        <v>9.2100000000000009</v>
      </c>
      <c r="Z10" s="12">
        <v>8.82</v>
      </c>
      <c r="AA10" s="12">
        <v>8.8699999999999992</v>
      </c>
      <c r="AB10" s="105">
        <v>22360200</v>
      </c>
      <c r="AC10" s="12">
        <v>8.8699999999999992</v>
      </c>
      <c r="AD10" s="2">
        <f t="shared" si="0"/>
        <v>0.39000000000000057</v>
      </c>
      <c r="AE10" s="148">
        <f t="shared" si="1"/>
        <v>0</v>
      </c>
    </row>
    <row r="11" spans="1:40" x14ac:dyDescent="0.25">
      <c r="W11" s="104">
        <v>42425</v>
      </c>
      <c r="X11" s="12">
        <v>8.7899999999999991</v>
      </c>
      <c r="Y11" s="12">
        <v>8.92</v>
      </c>
      <c r="Z11" s="12">
        <v>8.5500000000000007</v>
      </c>
      <c r="AA11" s="12">
        <v>8.8699999999999992</v>
      </c>
      <c r="AB11" s="105">
        <v>27645400</v>
      </c>
      <c r="AC11" s="12">
        <v>8.8699999999999992</v>
      </c>
      <c r="AD11" s="2">
        <f t="shared" si="0"/>
        <v>0.36999999999999922</v>
      </c>
      <c r="AE11" s="148">
        <f t="shared" si="1"/>
        <v>1.2557077625570789E-2</v>
      </c>
      <c r="AK11" s="272"/>
      <c r="AN11" s="272"/>
    </row>
    <row r="12" spans="1:40" x14ac:dyDescent="0.25">
      <c r="W12" s="104">
        <v>42424</v>
      </c>
      <c r="X12" s="12">
        <v>8.26</v>
      </c>
      <c r="Y12" s="12">
        <v>8.7899999999999991</v>
      </c>
      <c r="Z12" s="12">
        <v>8.25</v>
      </c>
      <c r="AA12" s="12">
        <v>8.76</v>
      </c>
      <c r="AB12" s="105">
        <v>30995200</v>
      </c>
      <c r="AC12" s="12">
        <v>8.76</v>
      </c>
      <c r="AD12" s="2">
        <f t="shared" si="0"/>
        <v>0.53999999999999915</v>
      </c>
      <c r="AE12" s="148">
        <f t="shared" si="1"/>
        <v>2.6963657678780839E-2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62" t="s">
        <v>177</v>
      </c>
      <c r="H13" s="262" t="s">
        <v>90</v>
      </c>
      <c r="I13" s="262" t="s">
        <v>185</v>
      </c>
      <c r="W13" s="104">
        <v>42423</v>
      </c>
      <c r="X13" s="12">
        <v>8.75</v>
      </c>
      <c r="Y13" s="12">
        <v>8.77</v>
      </c>
      <c r="Z13" s="12">
        <v>8.51</v>
      </c>
      <c r="AA13" s="12">
        <v>8.5299999999999994</v>
      </c>
      <c r="AB13" s="105">
        <v>26334700</v>
      </c>
      <c r="AC13" s="12">
        <v>8.5299999999999994</v>
      </c>
      <c r="AD13" s="2">
        <f t="shared" si="0"/>
        <v>0.25999999999999979</v>
      </c>
      <c r="AE13" s="148">
        <f t="shared" si="1"/>
        <v>-4.2648709315376121E-2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42422</v>
      </c>
      <c r="X14" s="12">
        <v>8.0399999999999991</v>
      </c>
      <c r="Y14" s="12">
        <v>8.93</v>
      </c>
      <c r="Z14" s="12">
        <v>8.0399999999999991</v>
      </c>
      <c r="AA14" s="12">
        <v>8.91</v>
      </c>
      <c r="AB14" s="105">
        <v>54926400</v>
      </c>
      <c r="AC14" s="12">
        <v>8.91</v>
      </c>
      <c r="AD14" s="2">
        <f t="shared" si="0"/>
        <v>0.89000000000000057</v>
      </c>
      <c r="AE14" s="148">
        <f t="shared" si="1"/>
        <v>0.13214739517153751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42419</v>
      </c>
      <c r="X15" s="12">
        <v>8.0299999999999994</v>
      </c>
      <c r="Y15" s="12">
        <v>8.09</v>
      </c>
      <c r="Z15" s="12">
        <v>7.84</v>
      </c>
      <c r="AA15" s="12">
        <v>7.87</v>
      </c>
      <c r="AB15" s="105">
        <v>30882200</v>
      </c>
      <c r="AC15" s="12">
        <v>7.87</v>
      </c>
      <c r="AD15" s="2">
        <f t="shared" si="0"/>
        <v>0.25</v>
      </c>
      <c r="AE15" s="148">
        <f t="shared" si="1"/>
        <v>-3.0788177339901357E-2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42418</v>
      </c>
      <c r="X16" s="12">
        <v>8.5399999999999991</v>
      </c>
      <c r="Y16" s="12">
        <v>8.56</v>
      </c>
      <c r="Z16" s="12">
        <v>8.08</v>
      </c>
      <c r="AA16" s="12">
        <v>8.1199999999999992</v>
      </c>
      <c r="AB16" s="105">
        <v>29248700</v>
      </c>
      <c r="AC16" s="12">
        <v>8.1199999999999992</v>
      </c>
      <c r="AD16" s="2">
        <f t="shared" si="0"/>
        <v>0.48000000000000043</v>
      </c>
      <c r="AE16" s="148">
        <f t="shared" si="1"/>
        <v>-4.6948356807511749E-2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42417</v>
      </c>
      <c r="X17" s="12">
        <v>8.23</v>
      </c>
      <c r="Y17" s="12">
        <v>8.6</v>
      </c>
      <c r="Z17" s="12">
        <v>8.1999999999999993</v>
      </c>
      <c r="AA17" s="12">
        <v>8.52</v>
      </c>
      <c r="AB17" s="105">
        <v>29017100</v>
      </c>
      <c r="AC17" s="12">
        <v>8.52</v>
      </c>
      <c r="AD17" s="2">
        <f t="shared" si="0"/>
        <v>0.40000000000000036</v>
      </c>
      <c r="AE17" s="148">
        <f t="shared" si="1"/>
        <v>4.9261083743842304E-2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42416</v>
      </c>
      <c r="X18" s="12">
        <v>7.8</v>
      </c>
      <c r="Y18" s="12">
        <v>8.1300000000000008</v>
      </c>
      <c r="Z18" s="12">
        <v>7.68</v>
      </c>
      <c r="AA18" s="12">
        <v>8.1199999999999992</v>
      </c>
      <c r="AB18" s="105">
        <v>21811000</v>
      </c>
      <c r="AC18" s="12">
        <v>8.1199999999999992</v>
      </c>
      <c r="AD18" s="2">
        <f t="shared" si="0"/>
        <v>0.45000000000000107</v>
      </c>
      <c r="AE18" s="148">
        <f t="shared" si="1"/>
        <v>5.591677503250958E-2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42412</v>
      </c>
      <c r="X19" s="12">
        <v>7.53</v>
      </c>
      <c r="Y19" s="12">
        <v>7.78</v>
      </c>
      <c r="Z19" s="12">
        <v>7.36</v>
      </c>
      <c r="AA19" s="12">
        <v>7.69</v>
      </c>
      <c r="AB19" s="105">
        <v>25980400</v>
      </c>
      <c r="AC19" s="12">
        <v>7.69</v>
      </c>
      <c r="AD19" s="2">
        <f t="shared" si="0"/>
        <v>0.41999999999999993</v>
      </c>
      <c r="AE19" s="148">
        <f t="shared" si="1"/>
        <v>4.9113233287858105E-2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42411</v>
      </c>
      <c r="X20" s="12">
        <v>7.36</v>
      </c>
      <c r="Y20" s="12">
        <v>7.55</v>
      </c>
      <c r="Z20" s="12">
        <v>7.11</v>
      </c>
      <c r="AA20" s="12">
        <v>7.33</v>
      </c>
      <c r="AB20" s="105">
        <v>31846300</v>
      </c>
      <c r="AC20" s="12">
        <v>7.33</v>
      </c>
      <c r="AD20" s="2">
        <f t="shared" si="0"/>
        <v>0.4399999999999995</v>
      </c>
      <c r="AE20" s="148">
        <f t="shared" si="1"/>
        <v>-2.7851458885941649E-2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137</v>
      </c>
      <c r="L21" s="308"/>
      <c r="M21" s="309">
        <f>K61+M61-F61</f>
        <v>808.47000000000116</v>
      </c>
      <c r="N21" s="308"/>
      <c r="W21" s="104">
        <v>42410</v>
      </c>
      <c r="X21" s="12">
        <v>7.9</v>
      </c>
      <c r="Y21" s="12">
        <v>7.91</v>
      </c>
      <c r="Z21" s="12">
        <v>7.45</v>
      </c>
      <c r="AA21" s="12">
        <v>7.54</v>
      </c>
      <c r="AB21" s="105">
        <v>27036000</v>
      </c>
      <c r="AC21" s="12">
        <v>7.54</v>
      </c>
      <c r="AD21" s="2">
        <f t="shared" si="0"/>
        <v>0.45999999999999996</v>
      </c>
      <c r="AE21" s="148">
        <f t="shared" si="1"/>
        <v>-3.4571062740076819E-2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92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91</v>
      </c>
      <c r="K22" s="311" t="s">
        <v>61</v>
      </c>
      <c r="L22" s="310" t="s">
        <v>77</v>
      </c>
      <c r="M22" s="310" t="s">
        <v>38</v>
      </c>
      <c r="N22" s="310"/>
      <c r="W22" s="104">
        <v>42409</v>
      </c>
      <c r="X22" s="12">
        <v>7.72</v>
      </c>
      <c r="Y22" s="12">
        <v>7.95</v>
      </c>
      <c r="Z22" s="12">
        <v>7.58</v>
      </c>
      <c r="AA22" s="12">
        <v>7.81</v>
      </c>
      <c r="AB22" s="105">
        <v>26451500</v>
      </c>
      <c r="AC22" s="12">
        <v>7.81</v>
      </c>
      <c r="AD22" s="2">
        <f t="shared" si="0"/>
        <v>0.37000000000000011</v>
      </c>
      <c r="AE22" s="148">
        <f t="shared" si="1"/>
        <v>-1.13924050632912E-2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42408</v>
      </c>
      <c r="X23" s="12">
        <v>7.73</v>
      </c>
      <c r="Y23" s="12">
        <v>8.42</v>
      </c>
      <c r="Z23" s="12">
        <v>7.71</v>
      </c>
      <c r="AA23" s="12">
        <v>7.9</v>
      </c>
      <c r="AB23" s="105">
        <v>39502400</v>
      </c>
      <c r="AC23" s="12">
        <v>7.9</v>
      </c>
      <c r="AD23" s="2">
        <f t="shared" si="0"/>
        <v>0.71</v>
      </c>
      <c r="AE23" s="148">
        <f t="shared" si="1"/>
        <v>-2.7093596059113212E-2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42405</v>
      </c>
      <c r="X24" s="12">
        <v>8.14</v>
      </c>
      <c r="Y24" s="12">
        <v>8.5</v>
      </c>
      <c r="Z24" s="12">
        <v>7.88</v>
      </c>
      <c r="AA24" s="12">
        <v>8.1199999999999992</v>
      </c>
      <c r="AB24" s="105">
        <v>42783400</v>
      </c>
      <c r="AC24" s="12">
        <v>8.1199999999999992</v>
      </c>
      <c r="AD24" s="2">
        <f t="shared" si="0"/>
        <v>0.62000000000000011</v>
      </c>
      <c r="AE24" s="148">
        <f t="shared" si="1"/>
        <v>-2.2864019253911128E-2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42404</v>
      </c>
      <c r="X25" s="12">
        <v>7.64</v>
      </c>
      <c r="Y25" s="12">
        <v>8.4499999999999993</v>
      </c>
      <c r="Z25" s="12">
        <v>7.63</v>
      </c>
      <c r="AA25" s="12">
        <v>8.31</v>
      </c>
      <c r="AB25" s="105">
        <v>53494500</v>
      </c>
      <c r="AC25" s="12">
        <v>8.31</v>
      </c>
      <c r="AD25" s="2">
        <f t="shared" si="0"/>
        <v>0.8199999999999994</v>
      </c>
      <c r="AE25" s="148">
        <f t="shared" si="1"/>
        <v>0.10066225165562925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42403</v>
      </c>
      <c r="X26" s="12">
        <v>7.06</v>
      </c>
      <c r="Y26" s="12">
        <v>7.57</v>
      </c>
      <c r="Z26" s="12">
        <v>6.85</v>
      </c>
      <c r="AA26" s="12">
        <v>7.55</v>
      </c>
      <c r="AB26" s="105">
        <v>33790000</v>
      </c>
      <c r="AC26" s="12">
        <v>7.55</v>
      </c>
      <c r="AD26" s="2">
        <f t="shared" si="0"/>
        <v>0.72000000000000064</v>
      </c>
      <c r="AE26" s="148" t="e">
        <f t="shared" si="1"/>
        <v>#DIV/0!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42403</v>
      </c>
      <c r="X27" s="12" t="s">
        <v>124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42402</v>
      </c>
      <c r="X28" s="12">
        <v>7.02</v>
      </c>
      <c r="Y28" s="12">
        <v>7.07</v>
      </c>
      <c r="Z28" s="12">
        <v>6.91</v>
      </c>
      <c r="AA28" s="12">
        <v>6.97</v>
      </c>
      <c r="AB28" s="105">
        <v>22162900</v>
      </c>
      <c r="AC28" s="12">
        <v>6.94</v>
      </c>
      <c r="AD28" s="2">
        <f t="shared" si="0"/>
        <v>0.16000000000000014</v>
      </c>
      <c r="AE28" s="148">
        <f t="shared" si="1"/>
        <v>-3.3426183844011081E-2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42401</v>
      </c>
      <c r="X29" s="12">
        <v>7.38</v>
      </c>
      <c r="Y29" s="12">
        <v>7.38</v>
      </c>
      <c r="Z29" s="12">
        <v>7.11</v>
      </c>
      <c r="AA29" s="12">
        <v>7.21</v>
      </c>
      <c r="AB29" s="105">
        <v>26539500</v>
      </c>
      <c r="AC29" s="12">
        <v>7.18</v>
      </c>
      <c r="AD29" s="2">
        <f t="shared" si="0"/>
        <v>0.26999999999999957</v>
      </c>
      <c r="AE29" s="148">
        <f t="shared" si="1"/>
        <v>-1.1019283746556474E-2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42398</v>
      </c>
      <c r="X30" s="12">
        <v>6.98</v>
      </c>
      <c r="Y30" s="12">
        <v>7.29</v>
      </c>
      <c r="Z30" s="12">
        <v>6.98</v>
      </c>
      <c r="AA30" s="12">
        <v>7.29</v>
      </c>
      <c r="AB30" s="105">
        <v>35772400</v>
      </c>
      <c r="AC30" s="12">
        <v>7.26</v>
      </c>
      <c r="AD30" s="2">
        <f t="shared" si="0"/>
        <v>0.30999999999999961</v>
      </c>
      <c r="AE30" s="148">
        <f t="shared" si="1"/>
        <v>4.1606886657101771E-2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42397</v>
      </c>
      <c r="X31" s="12">
        <v>7.17</v>
      </c>
      <c r="Y31" s="12">
        <v>7.19</v>
      </c>
      <c r="Z31" s="12">
        <v>6.82</v>
      </c>
      <c r="AA31" s="12">
        <v>7</v>
      </c>
      <c r="AB31" s="105">
        <v>26887400</v>
      </c>
      <c r="AC31" s="12">
        <v>6.97</v>
      </c>
      <c r="AD31" s="2">
        <f t="shared" si="0"/>
        <v>0.37000000000000011</v>
      </c>
      <c r="AE31" s="148">
        <f t="shared" si="1"/>
        <v>5.7720057720058726E-3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42396</v>
      </c>
      <c r="X32" s="12">
        <v>7.06</v>
      </c>
      <c r="Y32" s="12">
        <v>7.28</v>
      </c>
      <c r="Z32" s="12">
        <v>6.92</v>
      </c>
      <c r="AA32" s="12">
        <v>6.96</v>
      </c>
      <c r="AB32" s="105">
        <v>34547400</v>
      </c>
      <c r="AC32" s="12">
        <v>6.93</v>
      </c>
      <c r="AD32" s="2">
        <f t="shared" si="0"/>
        <v>0.36000000000000032</v>
      </c>
      <c r="AE32" s="148">
        <f t="shared" si="1"/>
        <v>-2.5316455696202667E-2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42395</v>
      </c>
      <c r="X33" s="12">
        <v>6.89</v>
      </c>
      <c r="Y33" s="12">
        <v>7.18</v>
      </c>
      <c r="Z33" s="12">
        <v>6.77</v>
      </c>
      <c r="AA33" s="12">
        <v>7.14</v>
      </c>
      <c r="AB33" s="105">
        <v>36559900</v>
      </c>
      <c r="AC33" s="12">
        <v>7.11</v>
      </c>
      <c r="AD33" s="2">
        <f t="shared" si="0"/>
        <v>0.41000000000000014</v>
      </c>
      <c r="AE33" s="148">
        <f t="shared" si="1"/>
        <v>5.0221565731167095E-2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42394</v>
      </c>
      <c r="X34" s="12">
        <v>6.81</v>
      </c>
      <c r="Y34" s="12">
        <v>7</v>
      </c>
      <c r="Z34" s="12">
        <v>6.76</v>
      </c>
      <c r="AA34" s="12">
        <v>6.8</v>
      </c>
      <c r="AB34" s="105">
        <v>34030400</v>
      </c>
      <c r="AC34" s="12">
        <v>6.77</v>
      </c>
      <c r="AD34" s="2">
        <f t="shared" si="0"/>
        <v>0.24000000000000021</v>
      </c>
      <c r="AE34" s="148">
        <f t="shared" si="1"/>
        <v>-1.023391812865504E-2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42391</v>
      </c>
      <c r="X35" s="12">
        <v>7.29</v>
      </c>
      <c r="Y35" s="12">
        <v>7.42</v>
      </c>
      <c r="Z35" s="12">
        <v>6.83</v>
      </c>
      <c r="AA35" s="12">
        <v>6.87</v>
      </c>
      <c r="AB35" s="105">
        <v>34384300</v>
      </c>
      <c r="AC35" s="12">
        <v>6.84</v>
      </c>
      <c r="AD35" s="2">
        <f t="shared" si="0"/>
        <v>0.58999999999999986</v>
      </c>
      <c r="AE35" s="148">
        <f t="shared" si="1"/>
        <v>-3.1161473087818692E-2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42390</v>
      </c>
      <c r="X36" s="12">
        <v>6.74</v>
      </c>
      <c r="Y36" s="12">
        <v>7.26</v>
      </c>
      <c r="Z36" s="12">
        <v>6.71</v>
      </c>
      <c r="AA36" s="12">
        <v>7.09</v>
      </c>
      <c r="AB36" s="105">
        <v>47630200</v>
      </c>
      <c r="AC36" s="12">
        <v>7.06</v>
      </c>
      <c r="AD36" s="2">
        <f t="shared" si="0"/>
        <v>0.54999999999999982</v>
      </c>
      <c r="AE36" s="148">
        <f t="shared" si="1"/>
        <v>5.216095380029806E-2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42389</v>
      </c>
      <c r="X37" s="12">
        <v>6.51</v>
      </c>
      <c r="Y37" s="12">
        <v>6.81</v>
      </c>
      <c r="Z37" s="12">
        <v>6.14</v>
      </c>
      <c r="AA37" s="12">
        <v>6.74</v>
      </c>
      <c r="AB37" s="105">
        <v>67550000</v>
      </c>
      <c r="AC37" s="12">
        <v>6.71</v>
      </c>
      <c r="AD37" s="2">
        <f t="shared" si="0"/>
        <v>0.66999999999999993</v>
      </c>
      <c r="AE37" s="148">
        <f t="shared" si="1"/>
        <v>0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42388</v>
      </c>
      <c r="X38" s="12">
        <v>6.98</v>
      </c>
      <c r="Y38" s="12">
        <v>7.02</v>
      </c>
      <c r="Z38" s="12">
        <v>6.56</v>
      </c>
      <c r="AA38" s="12">
        <v>6.74</v>
      </c>
      <c r="AB38" s="105">
        <v>51940800</v>
      </c>
      <c r="AC38" s="12">
        <v>6.71</v>
      </c>
      <c r="AD38" s="2">
        <f t="shared" si="0"/>
        <v>0.45999999999999996</v>
      </c>
      <c r="AE38" s="148">
        <f t="shared" si="1"/>
        <v>-2.3289665211062571E-2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5" t="s">
        <v>78</v>
      </c>
      <c r="Q39" s="405"/>
      <c r="R39" s="37"/>
      <c r="T39" s="101" t="s">
        <v>116</v>
      </c>
      <c r="W39" s="104">
        <v>42384</v>
      </c>
      <c r="X39" s="12">
        <v>6.94</v>
      </c>
      <c r="Y39" s="12">
        <v>7.02</v>
      </c>
      <c r="Z39" s="12">
        <v>6.77</v>
      </c>
      <c r="AA39" s="12">
        <v>6.9</v>
      </c>
      <c r="AB39" s="105">
        <v>52299000</v>
      </c>
      <c r="AC39" s="12">
        <v>6.87</v>
      </c>
      <c r="AD39" s="2">
        <f t="shared" si="0"/>
        <v>0.25</v>
      </c>
      <c r="AE39" s="148">
        <f t="shared" si="1"/>
        <v>-4.7156726768377233E-2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10.362</v>
      </c>
      <c r="R40" s="37"/>
      <c r="T40" s="97" t="s">
        <v>101</v>
      </c>
      <c r="U40" s="98">
        <v>9.33</v>
      </c>
      <c r="W40" s="104">
        <v>42383</v>
      </c>
      <c r="X40" s="12">
        <v>7.09</v>
      </c>
      <c r="Y40" s="12">
        <v>7.37</v>
      </c>
      <c r="Z40" s="12">
        <v>6.85</v>
      </c>
      <c r="AA40" s="12">
        <v>7.24</v>
      </c>
      <c r="AB40" s="105">
        <v>44292600</v>
      </c>
      <c r="AC40" s="12">
        <v>7.21</v>
      </c>
      <c r="AD40" s="2">
        <f t="shared" si="0"/>
        <v>0.52000000000000046</v>
      </c>
      <c r="AE40" s="148">
        <f t="shared" si="1"/>
        <v>1.5492957746478853E-2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10.267800000000001</v>
      </c>
      <c r="R41" s="37"/>
      <c r="T41" s="97" t="s">
        <v>102</v>
      </c>
      <c r="U41" s="98">
        <v>9.43</v>
      </c>
      <c r="W41" s="104">
        <v>42382</v>
      </c>
      <c r="X41" s="12">
        <v>7.32</v>
      </c>
      <c r="Y41" s="12">
        <v>7.44</v>
      </c>
      <c r="Z41" s="12">
        <v>7.08</v>
      </c>
      <c r="AA41" s="12">
        <v>7.13</v>
      </c>
      <c r="AB41" s="105">
        <v>45704300</v>
      </c>
      <c r="AC41" s="12">
        <v>7.1</v>
      </c>
      <c r="AD41" s="2">
        <f t="shared" si="0"/>
        <v>0.36000000000000032</v>
      </c>
      <c r="AE41" s="148">
        <f t="shared" si="1"/>
        <v>-2.0689655172413834E-2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10.1736</v>
      </c>
      <c r="R42" s="37"/>
      <c r="T42" s="97" t="s">
        <v>103</v>
      </c>
      <c r="U42" s="98" t="s">
        <v>368</v>
      </c>
      <c r="W42" s="104">
        <v>42381</v>
      </c>
      <c r="X42" s="12">
        <v>8.01</v>
      </c>
      <c r="Y42" s="12">
        <v>8.02</v>
      </c>
      <c r="Z42" s="12">
        <v>7.1</v>
      </c>
      <c r="AA42" s="12">
        <v>7.28</v>
      </c>
      <c r="AB42" s="105">
        <v>91384000</v>
      </c>
      <c r="AC42" s="12">
        <v>7.25</v>
      </c>
      <c r="AD42" s="2">
        <f t="shared" si="0"/>
        <v>0.91999999999999993</v>
      </c>
      <c r="AE42" s="148">
        <f t="shared" si="1"/>
        <v>-9.0338770388958545E-2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10.0794</v>
      </c>
      <c r="R43" s="93"/>
      <c r="T43" s="97" t="s">
        <v>104</v>
      </c>
      <c r="U43" s="98" t="s">
        <v>369</v>
      </c>
      <c r="W43" s="104">
        <v>42380</v>
      </c>
      <c r="X43" s="12">
        <v>8.2899999999999991</v>
      </c>
      <c r="Y43" s="12">
        <v>8.2899999999999991</v>
      </c>
      <c r="Z43" s="12">
        <v>7.9</v>
      </c>
      <c r="AA43" s="12">
        <v>8</v>
      </c>
      <c r="AB43" s="105">
        <v>47942500</v>
      </c>
      <c r="AC43" s="12">
        <v>7.97</v>
      </c>
      <c r="AD43" s="2">
        <f t="shared" si="0"/>
        <v>0.38999999999999879</v>
      </c>
      <c r="AE43" s="148">
        <f t="shared" si="1"/>
        <v>-8.7064676616914749E-3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9.9852000000000007</v>
      </c>
      <c r="R44" s="93"/>
      <c r="T44" s="97" t="s">
        <v>105</v>
      </c>
      <c r="U44" s="98">
        <v>10.14</v>
      </c>
      <c r="W44" s="104">
        <v>42377</v>
      </c>
      <c r="X44" s="12">
        <v>8.52</v>
      </c>
      <c r="Y44" s="12">
        <v>8.56</v>
      </c>
      <c r="Z44" s="12">
        <v>8.02</v>
      </c>
      <c r="AA44" s="12">
        <v>8.07</v>
      </c>
      <c r="AB44" s="105">
        <v>41731900</v>
      </c>
      <c r="AC44" s="12">
        <v>8.0399999999999991</v>
      </c>
      <c r="AD44" s="2">
        <f t="shared" si="0"/>
        <v>0.54000000000000092</v>
      </c>
      <c r="AE44" s="148">
        <f t="shared" si="1"/>
        <v>-2.3086269744836074E-2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9.891</v>
      </c>
      <c r="R45" s="93"/>
      <c r="T45" s="97" t="s">
        <v>106</v>
      </c>
      <c r="U45" s="98">
        <v>0.62682499999999997</v>
      </c>
      <c r="W45" s="104">
        <v>42376</v>
      </c>
      <c r="X45" s="12">
        <v>8.39</v>
      </c>
      <c r="Y45" s="12">
        <v>8.51</v>
      </c>
      <c r="Z45" s="12">
        <v>8.23</v>
      </c>
      <c r="AA45" s="12">
        <v>8.27</v>
      </c>
      <c r="AB45" s="105">
        <v>34080800</v>
      </c>
      <c r="AC45" s="12">
        <v>8.23</v>
      </c>
      <c r="AD45" s="2">
        <f t="shared" si="0"/>
        <v>0.27999999999999936</v>
      </c>
      <c r="AE45" s="148">
        <f t="shared" si="1"/>
        <v>-3.9673278879813312E-2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9.7968000000000011</v>
      </c>
      <c r="R46" s="93"/>
      <c r="T46" s="97" t="s">
        <v>107</v>
      </c>
      <c r="U46" s="99" t="s">
        <v>134</v>
      </c>
      <c r="W46" s="104">
        <v>42375</v>
      </c>
      <c r="X46" s="12">
        <v>9</v>
      </c>
      <c r="Y46" s="12">
        <v>9.02</v>
      </c>
      <c r="Z46" s="12">
        <v>8.5500000000000007</v>
      </c>
      <c r="AA46" s="12">
        <v>8.61</v>
      </c>
      <c r="AB46" s="105">
        <v>55199300</v>
      </c>
      <c r="AC46" s="12">
        <v>8.57</v>
      </c>
      <c r="AD46" s="2">
        <f t="shared" si="0"/>
        <v>0.46999999999999886</v>
      </c>
      <c r="AE46" s="148">
        <f t="shared" si="1"/>
        <v>-7.1505958829902516E-2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9.7026000000000003</v>
      </c>
      <c r="R47" s="93"/>
      <c r="T47" s="97"/>
      <c r="U47" s="98"/>
      <c r="W47" s="104">
        <v>42374</v>
      </c>
      <c r="X47" s="12">
        <v>9.7200000000000006</v>
      </c>
      <c r="Y47" s="12">
        <v>9.77</v>
      </c>
      <c r="Z47" s="12">
        <v>9.16</v>
      </c>
      <c r="AA47" s="12">
        <v>9.27</v>
      </c>
      <c r="AB47" s="105">
        <v>39322700</v>
      </c>
      <c r="AC47" s="12">
        <v>9.23</v>
      </c>
      <c r="AD47" s="2">
        <f t="shared" si="0"/>
        <v>0.60999999999999943</v>
      </c>
      <c r="AE47" s="148">
        <f t="shared" si="1"/>
        <v>-4.5501551189245037E-2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9.6083999999999996</v>
      </c>
      <c r="R48" s="93"/>
      <c r="T48" s="97" t="s">
        <v>108</v>
      </c>
      <c r="U48" s="98" t="s">
        <v>370</v>
      </c>
      <c r="W48" s="104">
        <v>42373</v>
      </c>
      <c r="X48" s="12">
        <v>9.52</v>
      </c>
      <c r="Y48" s="12">
        <v>9.8000000000000007</v>
      </c>
      <c r="Z48" s="12">
        <v>9.4499999999999993</v>
      </c>
      <c r="AA48" s="12">
        <v>9.7100000000000009</v>
      </c>
      <c r="AB48" s="105">
        <v>37919300</v>
      </c>
      <c r="AC48" s="12">
        <v>9.67</v>
      </c>
      <c r="AD48" s="2">
        <f t="shared" si="0"/>
        <v>0.35000000000000142</v>
      </c>
      <c r="AE48" s="148">
        <f t="shared" si="1"/>
        <v>-1.6276703967446626E-2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9.5142000000000007</v>
      </c>
      <c r="R49" s="93"/>
      <c r="T49" s="97" t="s">
        <v>109</v>
      </c>
      <c r="U49" s="98" t="s">
        <v>305</v>
      </c>
      <c r="W49" s="104">
        <v>42369</v>
      </c>
      <c r="X49" s="12">
        <v>9.8699999999999992</v>
      </c>
      <c r="Y49" s="12">
        <v>9.98</v>
      </c>
      <c r="Z49" s="12">
        <v>9.81</v>
      </c>
      <c r="AA49" s="12">
        <v>9.8699999999999992</v>
      </c>
      <c r="AB49" s="105">
        <v>13362400</v>
      </c>
      <c r="AC49" s="12">
        <v>9.83</v>
      </c>
      <c r="AD49" s="2">
        <f t="shared" si="0"/>
        <v>0.16999999999999993</v>
      </c>
      <c r="AE49" s="148">
        <f t="shared" si="1"/>
        <v>-9.0725806451612545E-3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9.42</v>
      </c>
      <c r="R50" s="93"/>
      <c r="T50" s="97" t="s">
        <v>110</v>
      </c>
      <c r="U50" s="100">
        <v>21780501</v>
      </c>
      <c r="W50" s="104">
        <v>42368</v>
      </c>
      <c r="X50" s="12">
        <v>9.94</v>
      </c>
      <c r="Y50" s="12">
        <v>10.029999999999999</v>
      </c>
      <c r="Z50" s="12">
        <v>9.85</v>
      </c>
      <c r="AA50" s="12">
        <v>9.9600000000000009</v>
      </c>
      <c r="AB50" s="105">
        <v>23528300</v>
      </c>
      <c r="AC50" s="12">
        <v>9.92</v>
      </c>
      <c r="AD50" s="2">
        <f t="shared" si="0"/>
        <v>0.17999999999999972</v>
      </c>
      <c r="AE50" s="148">
        <f t="shared" si="1"/>
        <v>-1.6848364717542141E-2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9.3257999999999992</v>
      </c>
      <c r="R51" s="93"/>
      <c r="T51" s="97" t="s">
        <v>113</v>
      </c>
      <c r="U51" s="100">
        <v>34476800</v>
      </c>
      <c r="W51" s="104">
        <v>42367</v>
      </c>
      <c r="X51" s="12">
        <v>10.11</v>
      </c>
      <c r="Y51" s="12">
        <v>10.27</v>
      </c>
      <c r="Z51" s="12">
        <v>10</v>
      </c>
      <c r="AA51" s="12">
        <v>10.130000000000001</v>
      </c>
      <c r="AB51" s="105">
        <v>13436800</v>
      </c>
      <c r="AC51" s="12">
        <v>10.09</v>
      </c>
      <c r="AD51" s="2">
        <f t="shared" si="0"/>
        <v>0.26999999999999957</v>
      </c>
      <c r="AE51" s="148">
        <f t="shared" si="1"/>
        <v>1.5090543259557387E-2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9.2316000000000003</v>
      </c>
      <c r="R52" s="93"/>
      <c r="T52" s="97" t="s">
        <v>111</v>
      </c>
      <c r="U52" s="98" t="s">
        <v>371</v>
      </c>
      <c r="W52" s="104">
        <v>42366</v>
      </c>
      <c r="X52" s="12">
        <v>10</v>
      </c>
      <c r="Y52" s="12">
        <v>10.01</v>
      </c>
      <c r="Z52" s="12">
        <v>9.81</v>
      </c>
      <c r="AA52" s="12">
        <v>9.98</v>
      </c>
      <c r="AB52" s="105">
        <v>15608600</v>
      </c>
      <c r="AC52" s="12">
        <v>9.94</v>
      </c>
      <c r="AD52" s="2">
        <f t="shared" si="0"/>
        <v>0.19999999999999929</v>
      </c>
      <c r="AE52" s="148">
        <f t="shared" si="1"/>
        <v>-1.3888888888888951E-2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9.1373999999999995</v>
      </c>
      <c r="R53" s="93"/>
      <c r="T53" s="97" t="s">
        <v>114</v>
      </c>
      <c r="U53" s="98" t="s">
        <v>134</v>
      </c>
      <c r="W53" s="104">
        <v>42362</v>
      </c>
      <c r="X53" s="12">
        <v>10.16</v>
      </c>
      <c r="Y53" s="12">
        <v>10.23</v>
      </c>
      <c r="Z53" s="12">
        <v>10.08</v>
      </c>
      <c r="AA53" s="12">
        <v>10.119999999999999</v>
      </c>
      <c r="AB53" s="105">
        <v>11794700</v>
      </c>
      <c r="AC53" s="12">
        <v>10.08</v>
      </c>
      <c r="AD53" s="2">
        <f t="shared" si="0"/>
        <v>0.15000000000000036</v>
      </c>
      <c r="AE53" s="148">
        <f t="shared" si="1"/>
        <v>-6.8965517241379448E-3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9.0431999999999988</v>
      </c>
      <c r="R54" s="93"/>
      <c r="T54" s="97" t="s">
        <v>115</v>
      </c>
      <c r="U54" s="98">
        <v>-0.31</v>
      </c>
      <c r="W54" s="104">
        <v>42361</v>
      </c>
      <c r="X54" s="12">
        <v>9.6999999999999993</v>
      </c>
      <c r="Y54" s="12">
        <v>10.220000000000001</v>
      </c>
      <c r="Z54" s="12">
        <v>9.68</v>
      </c>
      <c r="AA54" s="12">
        <v>10.19</v>
      </c>
      <c r="AB54" s="105">
        <v>39077900</v>
      </c>
      <c r="AC54" s="12">
        <v>10.15</v>
      </c>
      <c r="AD54" s="2">
        <f t="shared" si="0"/>
        <v>0.54000000000000092</v>
      </c>
      <c r="AE54" s="148">
        <f t="shared" si="1"/>
        <v>6.6176470588235281E-2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8.9489999999999998</v>
      </c>
      <c r="R55" s="93"/>
      <c r="T55" s="97" t="s">
        <v>112</v>
      </c>
      <c r="U55" s="98" t="s">
        <v>314</v>
      </c>
      <c r="W55" s="104">
        <v>42360</v>
      </c>
      <c r="X55" s="12">
        <v>9.35</v>
      </c>
      <c r="Y55" s="12">
        <v>9.57</v>
      </c>
      <c r="Z55" s="12">
        <v>9.26</v>
      </c>
      <c r="AA55" s="12">
        <v>9.56</v>
      </c>
      <c r="AB55" s="105">
        <v>19475000</v>
      </c>
      <c r="AC55" s="12">
        <v>9.52</v>
      </c>
      <c r="AD55" s="2">
        <f t="shared" si="0"/>
        <v>0.3100000000000005</v>
      </c>
      <c r="AE55" s="148">
        <f t="shared" si="1"/>
        <v>2.5862068965517349E-2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8.8547999999999991</v>
      </c>
      <c r="R56" s="93"/>
      <c r="W56" s="104">
        <v>42359</v>
      </c>
      <c r="X56" s="12">
        <v>9.35</v>
      </c>
      <c r="Y56" s="12">
        <v>9.43</v>
      </c>
      <c r="Z56" s="12">
        <v>9.23</v>
      </c>
      <c r="AA56" s="12">
        <v>9.32</v>
      </c>
      <c r="AB56" s="105">
        <v>24995300</v>
      </c>
      <c r="AC56" s="12">
        <v>9.2799999999999994</v>
      </c>
      <c r="AD56" s="2">
        <f t="shared" si="0"/>
        <v>0.19999999999999929</v>
      </c>
      <c r="AE56" s="148">
        <f t="shared" si="1"/>
        <v>9.7932535364526618E-3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8.7606000000000002</v>
      </c>
      <c r="R57" s="93"/>
      <c r="W57" s="104">
        <v>42356</v>
      </c>
      <c r="X57" s="12">
        <v>9.16</v>
      </c>
      <c r="Y57" s="12">
        <v>9.41</v>
      </c>
      <c r="Z57" s="12">
        <v>9.1300000000000008</v>
      </c>
      <c r="AA57" s="12">
        <v>9.23</v>
      </c>
      <c r="AB57" s="105">
        <v>32459700</v>
      </c>
      <c r="AC57" s="12">
        <v>9.19</v>
      </c>
      <c r="AD57" s="2">
        <f t="shared" si="0"/>
        <v>0.27999999999999936</v>
      </c>
      <c r="AE57" s="148">
        <f t="shared" si="1"/>
        <v>8.7815587266739659E-3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8.6663999999999994</v>
      </c>
      <c r="R58" s="93"/>
      <c r="W58" s="104">
        <v>42355</v>
      </c>
      <c r="X58" s="12">
        <v>9.1999999999999993</v>
      </c>
      <c r="Y58" s="12">
        <v>9.24</v>
      </c>
      <c r="Z58" s="12">
        <v>9.0399999999999991</v>
      </c>
      <c r="AA58" s="12">
        <v>9.15</v>
      </c>
      <c r="AB58" s="105">
        <v>21607600</v>
      </c>
      <c r="AC58" s="12">
        <v>9.11</v>
      </c>
      <c r="AD58" s="2">
        <f t="shared" si="0"/>
        <v>0.20000000000000107</v>
      </c>
      <c r="AE58" s="148">
        <f t="shared" si="1"/>
        <v>-9.7826086956521729E-3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8.5722000000000005</v>
      </c>
      <c r="R59" s="93"/>
      <c r="W59" s="104">
        <v>42354</v>
      </c>
      <c r="X59" s="12">
        <v>9.23</v>
      </c>
      <c r="Y59" s="12">
        <v>9.27</v>
      </c>
      <c r="Z59" s="12">
        <v>9.07</v>
      </c>
      <c r="AA59" s="12">
        <v>9.24</v>
      </c>
      <c r="AB59" s="105">
        <v>25597200</v>
      </c>
      <c r="AC59" s="12">
        <v>9.1999999999999993</v>
      </c>
      <c r="AD59" s="2">
        <f t="shared" si="0"/>
        <v>0.19999999999999929</v>
      </c>
      <c r="AE59" s="148">
        <f t="shared" si="1"/>
        <v>1.3215859030836885E-2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8.4779999999999998</v>
      </c>
      <c r="R60" s="93"/>
      <c r="W60" s="104">
        <v>42353</v>
      </c>
      <c r="X60" s="12">
        <v>9.1</v>
      </c>
      <c r="Y60" s="12">
        <v>9.34</v>
      </c>
      <c r="Z60" s="12">
        <v>9.08</v>
      </c>
      <c r="AA60" s="12">
        <v>9.1199999999999992</v>
      </c>
      <c r="AB60" s="105">
        <v>27928900</v>
      </c>
      <c r="AC60" s="12">
        <v>9.08</v>
      </c>
      <c r="AD60" s="2">
        <f t="shared" si="0"/>
        <v>0.25999999999999979</v>
      </c>
      <c r="AE60" s="148">
        <f t="shared" si="1"/>
        <v>1.3392857142856984E-2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42352</v>
      </c>
      <c r="X61" s="12">
        <v>8.84</v>
      </c>
      <c r="Y61" s="12">
        <v>9.0500000000000007</v>
      </c>
      <c r="Z61" s="12">
        <v>8.68</v>
      </c>
      <c r="AA61" s="12">
        <v>9</v>
      </c>
      <c r="AB61" s="105">
        <v>36698700</v>
      </c>
      <c r="AC61" s="12">
        <v>8.9600000000000009</v>
      </c>
      <c r="AD61" s="2">
        <f t="shared" si="0"/>
        <v>0.37000000000000099</v>
      </c>
      <c r="AE61" s="148">
        <f t="shared" si="1"/>
        <v>1.5873015873016039E-2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42349</v>
      </c>
      <c r="X62" s="12">
        <v>8.98</v>
      </c>
      <c r="Y62" s="12">
        <v>9.02</v>
      </c>
      <c r="Z62" s="12">
        <v>8.75</v>
      </c>
      <c r="AA62" s="12">
        <v>8.86</v>
      </c>
      <c r="AB62" s="105">
        <v>31180200</v>
      </c>
      <c r="AC62" s="12">
        <v>8.82</v>
      </c>
      <c r="AD62" s="2">
        <f t="shared" si="0"/>
        <v>0.26999999999999957</v>
      </c>
      <c r="AE62" s="148">
        <f t="shared" si="1"/>
        <v>-3.3953997809419545E-2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42348</v>
      </c>
      <c r="X63" s="12">
        <v>8.7899999999999991</v>
      </c>
      <c r="Y63" s="12">
        <v>9.34</v>
      </c>
      <c r="Z63" s="12">
        <v>8.74</v>
      </c>
      <c r="AA63" s="12">
        <v>9.17</v>
      </c>
      <c r="AB63" s="105">
        <v>36478500</v>
      </c>
      <c r="AC63" s="12">
        <v>9.1300000000000008</v>
      </c>
      <c r="AD63" s="2">
        <f t="shared" si="0"/>
        <v>0.59999999999999964</v>
      </c>
      <c r="AE63" s="148">
        <f t="shared" si="1"/>
        <v>4.9425287356322123E-2</v>
      </c>
    </row>
    <row r="64" spans="1:31" x14ac:dyDescent="0.25">
      <c r="A64" s="308"/>
      <c r="B64" s="316" t="s">
        <v>117</v>
      </c>
      <c r="C64" s="316" t="s">
        <v>171</v>
      </c>
      <c r="D64" s="317" t="s">
        <v>170</v>
      </c>
      <c r="E64" s="318" t="s">
        <v>172</v>
      </c>
      <c r="F64" s="318" t="s">
        <v>65</v>
      </c>
      <c r="G64" s="320" t="s">
        <v>177</v>
      </c>
      <c r="H64" s="320" t="s">
        <v>90</v>
      </c>
      <c r="I64" s="320" t="s">
        <v>185</v>
      </c>
      <c r="J64" s="309"/>
      <c r="K64" s="309"/>
      <c r="L64" s="308"/>
      <c r="M64" s="308"/>
      <c r="N64" s="308"/>
      <c r="W64" s="104">
        <v>42347</v>
      </c>
      <c r="X64" s="12">
        <v>8.6300000000000008</v>
      </c>
      <c r="Y64" s="12">
        <v>8.7899999999999991</v>
      </c>
      <c r="Z64" s="12">
        <v>8.5</v>
      </c>
      <c r="AA64" s="12">
        <v>8.74</v>
      </c>
      <c r="AB64" s="105">
        <v>28194200</v>
      </c>
      <c r="AC64" s="12">
        <v>8.6999999999999993</v>
      </c>
      <c r="AD64" s="2">
        <f t="shared" si="0"/>
        <v>0.28999999999999915</v>
      </c>
      <c r="AE64" s="148">
        <f t="shared" si="1"/>
        <v>2.5943396226415061E-2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42346</v>
      </c>
      <c r="X65" s="12">
        <v>8.81</v>
      </c>
      <c r="Y65" s="12">
        <v>8.82</v>
      </c>
      <c r="Z65" s="12">
        <v>8.5</v>
      </c>
      <c r="AA65" s="12">
        <v>8.52</v>
      </c>
      <c r="AB65" s="105">
        <v>48896600</v>
      </c>
      <c r="AC65" s="12">
        <v>8.48</v>
      </c>
      <c r="AD65" s="2">
        <f t="shared" si="0"/>
        <v>0.32000000000000028</v>
      </c>
      <c r="AE65" s="148">
        <f t="shared" si="1"/>
        <v>-5.7777777777777706E-2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42345</v>
      </c>
      <c r="X66" s="12">
        <v>9.4600000000000009</v>
      </c>
      <c r="Y66" s="12">
        <v>9.4700000000000006</v>
      </c>
      <c r="Z66" s="12">
        <v>8.9499999999999993</v>
      </c>
      <c r="AA66" s="12">
        <v>9.0399999999999991</v>
      </c>
      <c r="AB66" s="105">
        <v>37444700</v>
      </c>
      <c r="AC66" s="12">
        <v>9</v>
      </c>
      <c r="AD66" s="2">
        <f t="shared" si="0"/>
        <v>0.52000000000000135</v>
      </c>
      <c r="AE66" s="148">
        <f t="shared" si="1"/>
        <v>-3.2258064516129115E-2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42342</v>
      </c>
      <c r="X67" s="12">
        <v>9.0299999999999994</v>
      </c>
      <c r="Y67" s="12">
        <v>9.3800000000000008</v>
      </c>
      <c r="Z67" s="12">
        <v>9</v>
      </c>
      <c r="AA67" s="12">
        <v>9.34</v>
      </c>
      <c r="AB67" s="105">
        <v>29518700</v>
      </c>
      <c r="AC67" s="12">
        <v>9.3000000000000007</v>
      </c>
      <c r="AD67" s="2">
        <f t="shared" si="0"/>
        <v>0.38000000000000078</v>
      </c>
      <c r="AE67" s="148">
        <f t="shared" si="1"/>
        <v>3.9106145251396773E-2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42341</v>
      </c>
      <c r="X68" s="12">
        <v>9.36</v>
      </c>
      <c r="Y68" s="12">
        <v>9.4</v>
      </c>
      <c r="Z68" s="12">
        <v>8.91</v>
      </c>
      <c r="AA68" s="12">
        <v>8.99</v>
      </c>
      <c r="AB68" s="105">
        <v>23322800</v>
      </c>
      <c r="AC68" s="12">
        <v>8.9499999999999993</v>
      </c>
      <c r="AD68" s="2">
        <f>Y68-Z68</f>
        <v>0.49000000000000021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42438</v>
      </c>
      <c r="X2" s="12">
        <v>23.46</v>
      </c>
      <c r="Y2" s="12">
        <v>23.54</v>
      </c>
      <c r="Z2" s="12">
        <v>22.89</v>
      </c>
      <c r="AA2" s="12">
        <v>23.3</v>
      </c>
      <c r="AB2" s="105">
        <v>1949100</v>
      </c>
      <c r="AC2" s="12">
        <v>23.3</v>
      </c>
      <c r="AD2" s="2">
        <f>Y2-Z2</f>
        <v>0.64999999999999858</v>
      </c>
      <c r="AE2" s="148">
        <f>AC2/AC3-1</f>
        <v>1.7196904557179593E-3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23.3</v>
      </c>
      <c r="W3" s="143">
        <v>42437</v>
      </c>
      <c r="X3" s="12">
        <v>23.38</v>
      </c>
      <c r="Y3" s="12">
        <v>23.65</v>
      </c>
      <c r="Z3" s="12">
        <v>23.09</v>
      </c>
      <c r="AA3" s="12">
        <v>23.26</v>
      </c>
      <c r="AB3" s="105">
        <v>1359100</v>
      </c>
      <c r="AC3" s="12">
        <v>23.26</v>
      </c>
      <c r="AD3" s="2">
        <f t="shared" ref="AD3:AD66" si="2">Y3-Z3</f>
        <v>0.55999999999999872</v>
      </c>
      <c r="AE3" s="148">
        <f t="shared" ref="AE3:AE66" si="3">AC3/AC4-1</f>
        <v>-1.2733446519524461E-2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23.3</v>
      </c>
      <c r="W4" s="143">
        <v>42436</v>
      </c>
      <c r="X4" s="12">
        <v>23.21</v>
      </c>
      <c r="Y4" s="12">
        <v>23.67</v>
      </c>
      <c r="Z4" s="12">
        <v>23.13</v>
      </c>
      <c r="AA4" s="12">
        <v>23.56</v>
      </c>
      <c r="AB4" s="105">
        <v>1784200</v>
      </c>
      <c r="AC4" s="12">
        <v>23.56</v>
      </c>
      <c r="AD4" s="2">
        <f t="shared" si="2"/>
        <v>0.5400000000000027</v>
      </c>
      <c r="AE4" s="148">
        <f t="shared" si="3"/>
        <v>1.2027491408934665E-2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42433</v>
      </c>
      <c r="X5" s="12">
        <v>23.03</v>
      </c>
      <c r="Y5" s="12">
        <v>23.91</v>
      </c>
      <c r="Z5" s="12">
        <v>22.86</v>
      </c>
      <c r="AA5" s="12">
        <v>23.28</v>
      </c>
      <c r="AB5" s="105">
        <v>3518500</v>
      </c>
      <c r="AC5" s="12">
        <v>23.28</v>
      </c>
      <c r="AD5" s="2">
        <f t="shared" si="2"/>
        <v>1.0500000000000007</v>
      </c>
      <c r="AE5" s="148">
        <f t="shared" si="3"/>
        <v>9.1027308192457301E-3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42432</v>
      </c>
      <c r="X6" s="12">
        <v>22.57</v>
      </c>
      <c r="Y6" s="12">
        <v>23.22</v>
      </c>
      <c r="Z6" s="12">
        <v>22.48</v>
      </c>
      <c r="AA6" s="12">
        <v>23.07</v>
      </c>
      <c r="AB6" s="105">
        <v>4064100</v>
      </c>
      <c r="AC6" s="12">
        <v>23.07</v>
      </c>
      <c r="AD6" s="2">
        <f t="shared" si="2"/>
        <v>0.73999999999999844</v>
      </c>
      <c r="AE6" s="148">
        <f t="shared" si="3"/>
        <v>2.2606382978723527E-2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42431</v>
      </c>
      <c r="X7" s="12">
        <v>22.03</v>
      </c>
      <c r="Y7" s="12">
        <v>22.68</v>
      </c>
      <c r="Z7" s="12">
        <v>21.68</v>
      </c>
      <c r="AA7" s="12">
        <v>22.56</v>
      </c>
      <c r="AB7" s="105">
        <v>6998000</v>
      </c>
      <c r="AC7" s="12">
        <v>22.56</v>
      </c>
      <c r="AD7" s="2">
        <f t="shared" si="2"/>
        <v>1</v>
      </c>
      <c r="AE7" s="148">
        <f t="shared" si="3"/>
        <v>2.592087312414737E-2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42430</v>
      </c>
      <c r="X8" s="12">
        <v>20.92</v>
      </c>
      <c r="Y8" s="12">
        <v>22.25</v>
      </c>
      <c r="Z8" s="12">
        <v>20.36</v>
      </c>
      <c r="AA8" s="12">
        <v>21.99</v>
      </c>
      <c r="AB8" s="105">
        <v>13156500</v>
      </c>
      <c r="AC8" s="12">
        <v>21.99</v>
      </c>
      <c r="AD8" s="2">
        <f t="shared" si="2"/>
        <v>1.8900000000000006</v>
      </c>
      <c r="AE8" s="148">
        <f t="shared" si="3"/>
        <v>0.10948536831483335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42429</v>
      </c>
      <c r="X9" s="12">
        <v>19.59</v>
      </c>
      <c r="Y9" s="12">
        <v>20.36</v>
      </c>
      <c r="Z9" s="12">
        <v>19.329999999999998</v>
      </c>
      <c r="AA9" s="12">
        <v>19.82</v>
      </c>
      <c r="AB9" s="105">
        <v>5853100</v>
      </c>
      <c r="AC9" s="12">
        <v>19.82</v>
      </c>
      <c r="AD9" s="2">
        <f t="shared" si="2"/>
        <v>1.0300000000000011</v>
      </c>
      <c r="AE9" s="148">
        <f t="shared" si="3"/>
        <v>1.3292433537832382E-2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42426</v>
      </c>
      <c r="X10" s="12">
        <v>19.61</v>
      </c>
      <c r="Y10" s="12">
        <v>19.75</v>
      </c>
      <c r="Z10" s="12">
        <v>19.239999999999998</v>
      </c>
      <c r="AA10" s="12">
        <v>19.559999999999999</v>
      </c>
      <c r="AB10" s="105">
        <v>2594400</v>
      </c>
      <c r="AC10" s="12">
        <v>19.559999999999999</v>
      </c>
      <c r="AD10" s="2">
        <f t="shared" si="2"/>
        <v>0.51000000000000156</v>
      </c>
      <c r="AE10" s="148">
        <f t="shared" si="3"/>
        <v>4.6224961479197635E-3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42425</v>
      </c>
      <c r="X11" s="12">
        <v>18.98</v>
      </c>
      <c r="Y11" s="12">
        <v>19.52</v>
      </c>
      <c r="Z11" s="12">
        <v>18.600000000000001</v>
      </c>
      <c r="AA11" s="12">
        <v>19.47</v>
      </c>
      <c r="AB11" s="105">
        <v>1938600</v>
      </c>
      <c r="AC11" s="12">
        <v>19.47</v>
      </c>
      <c r="AD11" s="2">
        <f t="shared" si="2"/>
        <v>0.91999999999999815</v>
      </c>
      <c r="AE11" s="148">
        <f t="shared" si="3"/>
        <v>2.4736842105263168E-2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42424</v>
      </c>
      <c r="X12" s="12">
        <v>18</v>
      </c>
      <c r="Y12" s="12">
        <v>19.149999999999999</v>
      </c>
      <c r="Z12" s="12">
        <v>17.829999999999998</v>
      </c>
      <c r="AA12" s="12">
        <v>19</v>
      </c>
      <c r="AB12" s="105">
        <v>3358900</v>
      </c>
      <c r="AC12" s="12">
        <v>19</v>
      </c>
      <c r="AD12" s="2">
        <f t="shared" si="2"/>
        <v>1.3200000000000003</v>
      </c>
      <c r="AE12" s="148">
        <f t="shared" si="3"/>
        <v>4.1095890410958846E-2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42423</v>
      </c>
      <c r="X13" s="12">
        <v>17.8</v>
      </c>
      <c r="Y13" s="12">
        <v>18.73</v>
      </c>
      <c r="Z13" s="12">
        <v>17.600000000000001</v>
      </c>
      <c r="AA13" s="12">
        <v>18.25</v>
      </c>
      <c r="AB13" s="105">
        <v>3344200</v>
      </c>
      <c r="AC13" s="12">
        <v>18.25</v>
      </c>
      <c r="AD13" s="2">
        <f t="shared" si="2"/>
        <v>1.129999999999999</v>
      </c>
      <c r="AE13" s="148">
        <f t="shared" si="3"/>
        <v>3.1656302996042829E-2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42422</v>
      </c>
      <c r="X14" s="12">
        <v>17.190000000000001</v>
      </c>
      <c r="Y14" s="12">
        <v>17.899999999999999</v>
      </c>
      <c r="Z14" s="12">
        <v>17.190000000000001</v>
      </c>
      <c r="AA14" s="12">
        <v>17.690000000000001</v>
      </c>
      <c r="AB14" s="105">
        <v>2137500</v>
      </c>
      <c r="AC14" s="12">
        <v>17.690000000000001</v>
      </c>
      <c r="AD14" s="2">
        <f t="shared" si="2"/>
        <v>0.7099999999999973</v>
      </c>
      <c r="AE14" s="148">
        <f t="shared" si="3"/>
        <v>3.9976484420928937E-2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42419</v>
      </c>
      <c r="X15" s="12">
        <v>16.79</v>
      </c>
      <c r="Y15" s="12">
        <v>17.04</v>
      </c>
      <c r="Z15" s="12">
        <v>16.41</v>
      </c>
      <c r="AA15" s="12">
        <v>17.010000000000002</v>
      </c>
      <c r="AB15" s="105">
        <v>1766600</v>
      </c>
      <c r="AC15" s="12">
        <v>17.010000000000002</v>
      </c>
      <c r="AD15" s="2">
        <f t="shared" si="2"/>
        <v>0.62999999999999901</v>
      </c>
      <c r="AE15" s="148">
        <f t="shared" si="3"/>
        <v>-5.8754406580485696E-4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42418</v>
      </c>
      <c r="X16" s="12">
        <v>17.260000000000002</v>
      </c>
      <c r="Y16" s="12">
        <v>17.329999999999998</v>
      </c>
      <c r="Z16" s="12">
        <v>16.809999999999999</v>
      </c>
      <c r="AA16" s="12">
        <v>17.02</v>
      </c>
      <c r="AB16" s="105">
        <v>1577000</v>
      </c>
      <c r="AC16" s="12">
        <v>17.02</v>
      </c>
      <c r="AD16" s="2">
        <f t="shared" si="2"/>
        <v>0.51999999999999957</v>
      </c>
      <c r="AE16" s="148">
        <f t="shared" si="3"/>
        <v>-2.5200458190148933E-2</v>
      </c>
    </row>
    <row r="17" spans="1:31" x14ac:dyDescent="0.25">
      <c r="W17" s="143">
        <v>42417</v>
      </c>
      <c r="X17" s="12">
        <v>16.98</v>
      </c>
      <c r="Y17" s="12">
        <v>17.46</v>
      </c>
      <c r="Z17" s="12">
        <v>16.87</v>
      </c>
      <c r="AA17" s="12">
        <v>17.46</v>
      </c>
      <c r="AB17" s="105">
        <v>2373000</v>
      </c>
      <c r="AC17" s="12">
        <v>17.46</v>
      </c>
      <c r="AD17" s="2">
        <f t="shared" si="2"/>
        <v>0.58999999999999986</v>
      </c>
      <c r="AE17" s="148">
        <f t="shared" si="3"/>
        <v>4.3634190077704638E-2</v>
      </c>
    </row>
    <row r="18" spans="1:31" x14ac:dyDescent="0.25">
      <c r="W18" s="143">
        <v>42416</v>
      </c>
      <c r="X18" s="12">
        <v>16.39</v>
      </c>
      <c r="Y18" s="12">
        <v>16.84</v>
      </c>
      <c r="Z18" s="12">
        <v>16.149999999999999</v>
      </c>
      <c r="AA18" s="12">
        <v>16.73</v>
      </c>
      <c r="AB18" s="105">
        <v>1301100</v>
      </c>
      <c r="AC18" s="12">
        <v>16.73</v>
      </c>
      <c r="AD18" s="2">
        <f t="shared" si="2"/>
        <v>0.69000000000000128</v>
      </c>
      <c r="AE18" s="148">
        <f t="shared" si="3"/>
        <v>4.0422885572139355E-2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42412</v>
      </c>
      <c r="X19" s="12">
        <v>15.73</v>
      </c>
      <c r="Y19" s="12">
        <v>16.16</v>
      </c>
      <c r="Z19" s="12">
        <v>15.41</v>
      </c>
      <c r="AA19" s="12">
        <v>16.079999999999998</v>
      </c>
      <c r="AB19" s="105">
        <v>1019400</v>
      </c>
      <c r="AC19" s="12">
        <v>16.079999999999998</v>
      </c>
      <c r="AD19" s="2">
        <f t="shared" si="2"/>
        <v>0.75</v>
      </c>
      <c r="AE19" s="148">
        <f t="shared" si="3"/>
        <v>3.7419354838709618E-2</v>
      </c>
    </row>
    <row r="20" spans="1:31" x14ac:dyDescent="0.25">
      <c r="W20" s="143">
        <v>42411</v>
      </c>
      <c r="X20" s="12">
        <v>15.77</v>
      </c>
      <c r="Y20" s="12">
        <v>15.99</v>
      </c>
      <c r="Z20" s="12">
        <v>15.21</v>
      </c>
      <c r="AA20" s="12">
        <v>15.5</v>
      </c>
      <c r="AB20" s="105">
        <v>1553300</v>
      </c>
      <c r="AC20" s="12">
        <v>15.5</v>
      </c>
      <c r="AD20" s="2">
        <f t="shared" si="2"/>
        <v>0.77999999999999936</v>
      </c>
      <c r="AE20" s="148">
        <f t="shared" si="3"/>
        <v>-2.3929471032745675E-2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62" t="s">
        <v>177</v>
      </c>
      <c r="H21" s="262" t="s">
        <v>90</v>
      </c>
      <c r="I21" s="262" t="s">
        <v>185</v>
      </c>
      <c r="W21" s="143">
        <v>42410</v>
      </c>
      <c r="X21" s="12">
        <v>15.66</v>
      </c>
      <c r="Y21" s="12">
        <v>16.760000000000002</v>
      </c>
      <c r="Z21" s="12">
        <v>15.51</v>
      </c>
      <c r="AA21" s="12">
        <v>15.88</v>
      </c>
      <c r="AB21" s="105">
        <v>2688100</v>
      </c>
      <c r="AC21" s="12">
        <v>15.88</v>
      </c>
      <c r="AD21" s="2">
        <f t="shared" si="2"/>
        <v>1.2500000000000018</v>
      </c>
      <c r="AE21" s="148">
        <f t="shared" si="3"/>
        <v>1.5345268542199531E-2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42409</v>
      </c>
      <c r="X22" s="12">
        <v>16.04</v>
      </c>
      <c r="Y22" s="12">
        <v>16.36</v>
      </c>
      <c r="Z22" s="12">
        <v>15.26</v>
      </c>
      <c r="AA22" s="12">
        <v>15.64</v>
      </c>
      <c r="AB22" s="105">
        <v>2569200</v>
      </c>
      <c r="AC22" s="12">
        <v>15.64</v>
      </c>
      <c r="AD22" s="2">
        <f t="shared" si="2"/>
        <v>1.0999999999999996</v>
      </c>
      <c r="AE22" s="148">
        <f t="shared" si="3"/>
        <v>-3.5163479333744641E-2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42408</v>
      </c>
      <c r="X23" s="12">
        <v>17.170000000000002</v>
      </c>
      <c r="Y23" s="12">
        <v>17.25</v>
      </c>
      <c r="Z23" s="12">
        <v>15.75</v>
      </c>
      <c r="AA23" s="12">
        <v>16.21</v>
      </c>
      <c r="AB23" s="105">
        <v>3227500</v>
      </c>
      <c r="AC23" s="12">
        <v>16.21</v>
      </c>
      <c r="AD23" s="2">
        <f t="shared" si="2"/>
        <v>1.5</v>
      </c>
      <c r="AE23" s="148">
        <f t="shared" si="3"/>
        <v>-6.9460390355912782E-2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42405</v>
      </c>
      <c r="X24" s="12">
        <v>18.36</v>
      </c>
      <c r="Y24" s="12">
        <v>18.36</v>
      </c>
      <c r="Z24" s="12">
        <v>17.41</v>
      </c>
      <c r="AA24" s="12">
        <v>17.420000000000002</v>
      </c>
      <c r="AB24" s="105">
        <v>2180200</v>
      </c>
      <c r="AC24" s="12">
        <v>17.420000000000002</v>
      </c>
      <c r="AD24" s="2">
        <f t="shared" si="2"/>
        <v>0.94999999999999929</v>
      </c>
      <c r="AE24" s="148">
        <f t="shared" si="3"/>
        <v>-5.8887088060507797E-2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42404</v>
      </c>
      <c r="X25" s="12">
        <v>18.25</v>
      </c>
      <c r="Y25" s="12">
        <v>19.170000000000002</v>
      </c>
      <c r="Z25" s="12">
        <v>18.079999999999998</v>
      </c>
      <c r="AA25" s="12">
        <v>18.510000000000002</v>
      </c>
      <c r="AB25" s="105">
        <v>1483600</v>
      </c>
      <c r="AC25" s="12">
        <v>18.510000000000002</v>
      </c>
      <c r="AD25" s="2">
        <f t="shared" si="2"/>
        <v>1.0900000000000034</v>
      </c>
      <c r="AE25" s="148">
        <f t="shared" si="3"/>
        <v>-3.2310177705976439E-3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42403</v>
      </c>
      <c r="X26" s="12">
        <v>18.399999999999999</v>
      </c>
      <c r="Y26" s="12">
        <v>18.75</v>
      </c>
      <c r="Z26" s="12">
        <v>17.760000000000002</v>
      </c>
      <c r="AA26" s="12">
        <v>18.57</v>
      </c>
      <c r="AB26" s="105">
        <v>2737700</v>
      </c>
      <c r="AC26" s="12">
        <v>18.57</v>
      </c>
      <c r="AD26" s="2">
        <f t="shared" si="2"/>
        <v>0.98999999999999844</v>
      </c>
      <c r="AE26" s="148">
        <f t="shared" si="3"/>
        <v>1.1437908496731986E-2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42402</v>
      </c>
      <c r="X27" s="12">
        <v>18.649999999999999</v>
      </c>
      <c r="Y27" s="12">
        <v>18.95</v>
      </c>
      <c r="Z27" s="12">
        <v>18</v>
      </c>
      <c r="AA27" s="12">
        <v>18.36</v>
      </c>
      <c r="AB27" s="105">
        <v>4078900</v>
      </c>
      <c r="AC27" s="12">
        <v>18.36</v>
      </c>
      <c r="AD27" s="2">
        <f t="shared" si="2"/>
        <v>0.94999999999999929</v>
      </c>
      <c r="AE27" s="148">
        <f t="shared" si="3"/>
        <v>2.857142857142847E-2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42401</v>
      </c>
      <c r="X28" s="12">
        <v>17.63</v>
      </c>
      <c r="Y28" s="12">
        <v>18.04</v>
      </c>
      <c r="Z28" s="12">
        <v>17.350000000000001</v>
      </c>
      <c r="AA28" s="12">
        <v>17.850000000000001</v>
      </c>
      <c r="AB28" s="105">
        <v>2516800</v>
      </c>
      <c r="AC28" s="12">
        <v>17.850000000000001</v>
      </c>
      <c r="AD28" s="2">
        <f t="shared" si="2"/>
        <v>0.68999999999999773</v>
      </c>
      <c r="AE28" s="148">
        <f t="shared" si="3"/>
        <v>2.2459292532286401E-3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42398</v>
      </c>
      <c r="X29" s="12">
        <v>17.13</v>
      </c>
      <c r="Y29" s="12">
        <v>17.82</v>
      </c>
      <c r="Z29" s="12">
        <v>17.09</v>
      </c>
      <c r="AA29" s="12">
        <v>17.809999999999999</v>
      </c>
      <c r="AB29" s="105">
        <v>2127400</v>
      </c>
      <c r="AC29" s="12">
        <v>17.809999999999999</v>
      </c>
      <c r="AD29" s="2">
        <f t="shared" si="2"/>
        <v>0.73000000000000043</v>
      </c>
      <c r="AE29" s="148">
        <f t="shared" si="3"/>
        <v>4.2129900526623798E-2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42397</v>
      </c>
      <c r="X30" s="12">
        <v>17.239999999999998</v>
      </c>
      <c r="Y30" s="12">
        <v>17.29</v>
      </c>
      <c r="Z30" s="12">
        <v>16.84</v>
      </c>
      <c r="AA30" s="12">
        <v>17.09</v>
      </c>
      <c r="AB30" s="105">
        <v>1283600</v>
      </c>
      <c r="AC30" s="12">
        <v>17.09</v>
      </c>
      <c r="AD30" s="2">
        <f t="shared" si="2"/>
        <v>0.44999999999999929</v>
      </c>
      <c r="AE30" s="148">
        <f t="shared" si="3"/>
        <v>5.2941176470588935E-3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42396</v>
      </c>
      <c r="X31" s="12">
        <v>16.850000000000001</v>
      </c>
      <c r="Y31" s="12">
        <v>17.559999999999999</v>
      </c>
      <c r="Z31" s="12">
        <v>16.61</v>
      </c>
      <c r="AA31" s="12">
        <v>17</v>
      </c>
      <c r="AB31" s="105">
        <v>1625400</v>
      </c>
      <c r="AC31" s="12">
        <v>17</v>
      </c>
      <c r="AD31" s="2">
        <f t="shared" si="2"/>
        <v>0.94999999999999929</v>
      </c>
      <c r="AE31" s="148">
        <f t="shared" si="3"/>
        <v>-2.3474178403755097E-3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42395</v>
      </c>
      <c r="X32" s="12">
        <v>16.84</v>
      </c>
      <c r="Y32" s="12">
        <v>17.239999999999998</v>
      </c>
      <c r="Z32" s="12">
        <v>16.37</v>
      </c>
      <c r="AA32" s="12">
        <v>17.04</v>
      </c>
      <c r="AB32" s="105">
        <v>2470900</v>
      </c>
      <c r="AC32" s="12">
        <v>17.04</v>
      </c>
      <c r="AD32" s="2">
        <f t="shared" si="2"/>
        <v>0.86999999999999744</v>
      </c>
      <c r="AE32" s="148">
        <f t="shared" si="3"/>
        <v>2.5270758122743597E-2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42394</v>
      </c>
      <c r="X33" s="12">
        <v>16.2</v>
      </c>
      <c r="Y33" s="12">
        <v>16.93</v>
      </c>
      <c r="Z33" s="12">
        <v>15.97</v>
      </c>
      <c r="AA33" s="12">
        <v>16.62</v>
      </c>
      <c r="AB33" s="105">
        <v>3229800</v>
      </c>
      <c r="AC33" s="12">
        <v>16.62</v>
      </c>
      <c r="AD33" s="2">
        <f t="shared" si="2"/>
        <v>0.95999999999999908</v>
      </c>
      <c r="AE33" s="148">
        <f t="shared" si="3"/>
        <v>3.7453183520599342E-2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42391</v>
      </c>
      <c r="X34" s="12">
        <v>16.239999999999998</v>
      </c>
      <c r="Y34" s="12">
        <v>16.48</v>
      </c>
      <c r="Z34" s="12">
        <v>15.78</v>
      </c>
      <c r="AA34" s="12">
        <v>16.02</v>
      </c>
      <c r="AB34" s="105">
        <v>2178400</v>
      </c>
      <c r="AC34" s="12">
        <v>16.02</v>
      </c>
      <c r="AD34" s="2">
        <f t="shared" si="2"/>
        <v>0.70000000000000107</v>
      </c>
      <c r="AE34" s="148">
        <f t="shared" si="3"/>
        <v>8.8161209068009505E-3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42390</v>
      </c>
      <c r="X35" s="12">
        <v>15.73</v>
      </c>
      <c r="Y35" s="12">
        <v>16.350000000000001</v>
      </c>
      <c r="Z35" s="12">
        <v>15.55</v>
      </c>
      <c r="AA35" s="12">
        <v>15.88</v>
      </c>
      <c r="AB35" s="105">
        <v>3821300</v>
      </c>
      <c r="AC35" s="12">
        <v>15.88</v>
      </c>
      <c r="AD35" s="2">
        <f t="shared" si="2"/>
        <v>0.80000000000000071</v>
      </c>
      <c r="AE35" s="148">
        <f t="shared" si="3"/>
        <v>6.3371356147021718E-3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42389</v>
      </c>
      <c r="X36" s="12">
        <v>15.43</v>
      </c>
      <c r="Y36" s="12">
        <v>16.079999999999998</v>
      </c>
      <c r="Z36" s="12">
        <v>15.1</v>
      </c>
      <c r="AA36" s="12">
        <v>15.78</v>
      </c>
      <c r="AB36" s="105">
        <v>3859700</v>
      </c>
      <c r="AC36" s="12">
        <v>15.78</v>
      </c>
      <c r="AD36" s="2">
        <f t="shared" si="2"/>
        <v>0.97999999999999865</v>
      </c>
      <c r="AE36" s="148">
        <f t="shared" si="3"/>
        <v>5.0955414012738842E-3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42388</v>
      </c>
      <c r="X37" s="12">
        <v>16.260000000000002</v>
      </c>
      <c r="Y37" s="12">
        <v>16.37</v>
      </c>
      <c r="Z37" s="12">
        <v>15.52</v>
      </c>
      <c r="AA37" s="12">
        <v>15.7</v>
      </c>
      <c r="AB37" s="105">
        <v>3086200</v>
      </c>
      <c r="AC37" s="12">
        <v>15.7</v>
      </c>
      <c r="AD37" s="2">
        <f t="shared" si="2"/>
        <v>0.85000000000000142</v>
      </c>
      <c r="AE37" s="148">
        <f t="shared" si="3"/>
        <v>-2.4844720496894568E-2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42384</v>
      </c>
      <c r="X38" s="12">
        <v>15.99</v>
      </c>
      <c r="Y38" s="12">
        <v>16.37</v>
      </c>
      <c r="Z38" s="12">
        <v>15.67</v>
      </c>
      <c r="AA38" s="12">
        <v>16.100000000000001</v>
      </c>
      <c r="AB38" s="105">
        <v>2542700</v>
      </c>
      <c r="AC38" s="12">
        <v>16.100000000000001</v>
      </c>
      <c r="AD38" s="2">
        <f t="shared" si="2"/>
        <v>0.70000000000000107</v>
      </c>
      <c r="AE38" s="148">
        <f t="shared" si="3"/>
        <v>-1.8890920170627545E-2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42383</v>
      </c>
      <c r="X39" s="12">
        <v>16.27</v>
      </c>
      <c r="Y39" s="12">
        <v>16.71</v>
      </c>
      <c r="Z39" s="12">
        <v>15.68</v>
      </c>
      <c r="AA39" s="12">
        <v>16.41</v>
      </c>
      <c r="AB39" s="105">
        <v>1552800</v>
      </c>
      <c r="AC39" s="12">
        <v>16.41</v>
      </c>
      <c r="AD39" s="2">
        <f t="shared" si="2"/>
        <v>1.0300000000000011</v>
      </c>
      <c r="AE39" s="148">
        <f t="shared" si="3"/>
        <v>1.0467980295566504E-2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42382</v>
      </c>
      <c r="X40" s="12">
        <v>16.79</v>
      </c>
      <c r="Y40" s="12">
        <v>17.07</v>
      </c>
      <c r="Z40" s="12">
        <v>16.13</v>
      </c>
      <c r="AA40" s="12">
        <v>16.239999999999998</v>
      </c>
      <c r="AB40" s="105">
        <v>1967700</v>
      </c>
      <c r="AC40" s="12">
        <v>16.239999999999998</v>
      </c>
      <c r="AD40" s="2">
        <f t="shared" si="2"/>
        <v>0.94000000000000128</v>
      </c>
      <c r="AE40" s="148">
        <f t="shared" si="3"/>
        <v>-2.9288702928870425E-2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42381</v>
      </c>
      <c r="X41" s="12">
        <v>16.489999999999998</v>
      </c>
      <c r="Y41" s="12">
        <v>16.91</v>
      </c>
      <c r="Z41" s="12">
        <v>16.399999999999999</v>
      </c>
      <c r="AA41" s="12">
        <v>16.73</v>
      </c>
      <c r="AB41" s="105">
        <v>3124500</v>
      </c>
      <c r="AC41" s="12">
        <v>16.73</v>
      </c>
      <c r="AD41" s="2">
        <f t="shared" si="2"/>
        <v>0.51000000000000156</v>
      </c>
      <c r="AE41" s="148">
        <f t="shared" si="3"/>
        <v>3.2078963602714339E-2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42380</v>
      </c>
      <c r="X42" s="12">
        <v>16.66</v>
      </c>
      <c r="Y42" s="12">
        <v>16.760000000000002</v>
      </c>
      <c r="Z42" s="12">
        <v>16.010000000000002</v>
      </c>
      <c r="AA42" s="12">
        <v>16.21</v>
      </c>
      <c r="AB42" s="105">
        <v>1863500</v>
      </c>
      <c r="AC42" s="12">
        <v>16.21</v>
      </c>
      <c r="AD42" s="2">
        <f t="shared" si="2"/>
        <v>0.75</v>
      </c>
      <c r="AE42" s="148">
        <f t="shared" si="3"/>
        <v>-2.0543806646525664E-2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42377</v>
      </c>
      <c r="X43" s="12">
        <v>17.28</v>
      </c>
      <c r="Y43" s="12">
        <v>17.32</v>
      </c>
      <c r="Z43" s="12">
        <v>16.440000000000001</v>
      </c>
      <c r="AA43" s="12">
        <v>16.55</v>
      </c>
      <c r="AB43" s="105">
        <v>3105300</v>
      </c>
      <c r="AC43" s="12">
        <v>16.55</v>
      </c>
      <c r="AD43" s="2">
        <f t="shared" si="2"/>
        <v>0.87999999999999901</v>
      </c>
      <c r="AE43" s="148">
        <f t="shared" si="3"/>
        <v>-3.7230948225712601E-2</v>
      </c>
    </row>
    <row r="44" spans="2:31" ht="20.25" thickBot="1" x14ac:dyDescent="0.35">
      <c r="O44" s="405" t="s">
        <v>78</v>
      </c>
      <c r="P44" s="405"/>
      <c r="T44" s="101" t="s">
        <v>116</v>
      </c>
      <c r="W44" s="143">
        <v>42376</v>
      </c>
      <c r="X44" s="12">
        <v>17.100000000000001</v>
      </c>
      <c r="Y44" s="12">
        <v>17.66</v>
      </c>
      <c r="Z44" s="12">
        <v>17.03</v>
      </c>
      <c r="AA44" s="12">
        <v>17.190000000000001</v>
      </c>
      <c r="AB44" s="105">
        <v>3502700</v>
      </c>
      <c r="AC44" s="12">
        <v>17.190000000000001</v>
      </c>
      <c r="AD44" s="2">
        <f t="shared" si="2"/>
        <v>0.62999999999999901</v>
      </c>
      <c r="AE44" s="148">
        <f t="shared" si="3"/>
        <v>-1.4334862385321112E-2</v>
      </c>
    </row>
    <row r="45" spans="2:31" ht="15.75" thickTop="1" x14ac:dyDescent="0.25">
      <c r="O45" s="93">
        <v>1.1000000000000001</v>
      </c>
      <c r="P45" s="93">
        <f>O45*$Q$4</f>
        <v>25.630000000000003</v>
      </c>
      <c r="Q45" s="2"/>
      <c r="T45" s="138" t="s">
        <v>101</v>
      </c>
      <c r="U45" s="108">
        <v>23.26</v>
      </c>
      <c r="W45" s="143">
        <v>42375</v>
      </c>
      <c r="X45" s="12">
        <v>17.53</v>
      </c>
      <c r="Y45" s="12">
        <v>17.87</v>
      </c>
      <c r="Z45" s="12">
        <v>17.25</v>
      </c>
      <c r="AA45" s="12">
        <v>17.440000000000001</v>
      </c>
      <c r="AB45" s="105">
        <v>2032800</v>
      </c>
      <c r="AC45" s="12">
        <v>17.440000000000001</v>
      </c>
      <c r="AD45" s="2">
        <f t="shared" si="2"/>
        <v>0.62000000000000099</v>
      </c>
      <c r="AE45" s="148">
        <f t="shared" si="3"/>
        <v>-2.187324733595053E-2</v>
      </c>
    </row>
    <row r="46" spans="2:31" x14ac:dyDescent="0.25">
      <c r="O46" s="93">
        <v>1.0900000000000001</v>
      </c>
      <c r="P46" s="93">
        <f t="shared" ref="P46:P65" si="7">O46*$Q$4</f>
        <v>25.397000000000002</v>
      </c>
      <c r="Q46" s="2"/>
      <c r="T46" s="103" t="s">
        <v>102</v>
      </c>
      <c r="U46" s="98">
        <v>23.46</v>
      </c>
      <c r="W46" s="143">
        <v>42374</v>
      </c>
      <c r="X46" s="12">
        <v>17.920000000000002</v>
      </c>
      <c r="Y46" s="12">
        <v>18</v>
      </c>
      <c r="Z46" s="12">
        <v>17.260000000000002</v>
      </c>
      <c r="AA46" s="12">
        <v>17.829999999999998</v>
      </c>
      <c r="AB46" s="105">
        <v>2730100</v>
      </c>
      <c r="AC46" s="12">
        <v>17.829999999999998</v>
      </c>
      <c r="AD46" s="2">
        <f t="shared" si="2"/>
        <v>0.73999999999999844</v>
      </c>
      <c r="AE46" s="148">
        <f t="shared" si="3"/>
        <v>-5.0223214285716189E-3</v>
      </c>
    </row>
    <row r="47" spans="2:31" x14ac:dyDescent="0.25">
      <c r="O47" s="93">
        <v>1.08</v>
      </c>
      <c r="P47" s="93">
        <f t="shared" si="7"/>
        <v>25.164000000000001</v>
      </c>
      <c r="Q47" s="2"/>
      <c r="T47" s="103" t="s">
        <v>103</v>
      </c>
      <c r="U47" s="98" t="s">
        <v>372</v>
      </c>
      <c r="W47" s="143">
        <v>42373</v>
      </c>
      <c r="X47" s="12">
        <v>17.309999999999999</v>
      </c>
      <c r="Y47" s="12">
        <v>17.96</v>
      </c>
      <c r="Z47" s="12">
        <v>17.16</v>
      </c>
      <c r="AA47" s="12">
        <v>17.920000000000002</v>
      </c>
      <c r="AB47" s="105">
        <v>2686600</v>
      </c>
      <c r="AC47" s="12">
        <v>17.920000000000002</v>
      </c>
      <c r="AD47" s="2">
        <f t="shared" si="2"/>
        <v>0.80000000000000071</v>
      </c>
      <c r="AE47" s="148">
        <f t="shared" si="3"/>
        <v>8.4411930219472353E-3</v>
      </c>
    </row>
    <row r="48" spans="2:31" x14ac:dyDescent="0.25">
      <c r="O48" s="93">
        <v>1.07</v>
      </c>
      <c r="P48" s="93">
        <f t="shared" si="7"/>
        <v>24.931000000000001</v>
      </c>
      <c r="Q48" s="2"/>
      <c r="T48" s="103" t="s">
        <v>104</v>
      </c>
      <c r="U48" s="98" t="s">
        <v>373</v>
      </c>
      <c r="W48" s="143">
        <v>42369</v>
      </c>
      <c r="X48" s="12">
        <v>17.37</v>
      </c>
      <c r="Y48" s="12">
        <v>17.93</v>
      </c>
      <c r="Z48" s="12">
        <v>17.3</v>
      </c>
      <c r="AA48" s="12">
        <v>17.77</v>
      </c>
      <c r="AB48" s="105">
        <v>1930800</v>
      </c>
      <c r="AC48" s="12">
        <v>17.77</v>
      </c>
      <c r="AD48" s="2">
        <f t="shared" si="2"/>
        <v>0.62999999999999901</v>
      </c>
      <c r="AE48" s="148">
        <f t="shared" si="3"/>
        <v>1.8338108882521409E-2</v>
      </c>
    </row>
    <row r="49" spans="15:31" x14ac:dyDescent="0.25">
      <c r="O49" s="93">
        <v>1.06</v>
      </c>
      <c r="P49" s="93">
        <f t="shared" si="7"/>
        <v>24.698</v>
      </c>
      <c r="Q49" s="2"/>
      <c r="T49" s="103" t="s">
        <v>105</v>
      </c>
      <c r="U49" s="98">
        <v>26.27</v>
      </c>
      <c r="W49" s="143">
        <v>42368</v>
      </c>
      <c r="X49" s="12">
        <v>17.63</v>
      </c>
      <c r="Y49" s="12">
        <v>17.739999999999998</v>
      </c>
      <c r="Z49" s="12">
        <v>17.38</v>
      </c>
      <c r="AA49" s="12">
        <v>17.45</v>
      </c>
      <c r="AB49" s="105">
        <v>1190100</v>
      </c>
      <c r="AC49" s="12">
        <v>17.45</v>
      </c>
      <c r="AD49" s="2">
        <f t="shared" si="2"/>
        <v>0.35999999999999943</v>
      </c>
      <c r="AE49" s="148">
        <f t="shared" si="3"/>
        <v>-1.5792442188381384E-2</v>
      </c>
    </row>
    <row r="50" spans="15:31" x14ac:dyDescent="0.25">
      <c r="O50" s="93">
        <v>1.05</v>
      </c>
      <c r="P50" s="93">
        <f t="shared" si="7"/>
        <v>24.465000000000003</v>
      </c>
      <c r="Q50" s="2"/>
      <c r="T50" s="103" t="s">
        <v>106</v>
      </c>
      <c r="U50" s="98">
        <v>1.0510600000000001</v>
      </c>
      <c r="W50" s="143">
        <v>42367</v>
      </c>
      <c r="X50" s="12">
        <v>17.29</v>
      </c>
      <c r="Y50" s="12">
        <v>17.79</v>
      </c>
      <c r="Z50" s="12">
        <v>17.29</v>
      </c>
      <c r="AA50" s="12">
        <v>17.73</v>
      </c>
      <c r="AB50" s="105">
        <v>1701200</v>
      </c>
      <c r="AC50" s="12">
        <v>17.73</v>
      </c>
      <c r="AD50" s="2">
        <f t="shared" si="2"/>
        <v>0.5</v>
      </c>
      <c r="AE50" s="148">
        <f t="shared" si="3"/>
        <v>3.3216783216783341E-2</v>
      </c>
    </row>
    <row r="51" spans="15:31" x14ac:dyDescent="0.25">
      <c r="O51" s="93">
        <v>1.04</v>
      </c>
      <c r="P51" s="93">
        <f t="shared" si="7"/>
        <v>24.232000000000003</v>
      </c>
      <c r="Q51" s="2"/>
      <c r="T51" s="103" t="s">
        <v>126</v>
      </c>
      <c r="U51" s="98" t="s">
        <v>302</v>
      </c>
      <c r="W51" s="143">
        <v>42366</v>
      </c>
      <c r="X51" s="12">
        <v>17.57</v>
      </c>
      <c r="Y51" s="12">
        <v>17.649999999999999</v>
      </c>
      <c r="Z51" s="12">
        <v>17.059999999999999</v>
      </c>
      <c r="AA51" s="12">
        <v>17.16</v>
      </c>
      <c r="AB51" s="105">
        <v>1387600</v>
      </c>
      <c r="AC51" s="12">
        <v>17.16</v>
      </c>
      <c r="AD51" s="2">
        <f t="shared" si="2"/>
        <v>0.58999999999999986</v>
      </c>
      <c r="AE51" s="148">
        <f t="shared" si="3"/>
        <v>-2.5000000000000022E-2</v>
      </c>
    </row>
    <row r="52" spans="15:31" x14ac:dyDescent="0.25">
      <c r="O52" s="93">
        <v>1.03</v>
      </c>
      <c r="P52" s="93">
        <f t="shared" si="7"/>
        <v>23.999000000000002</v>
      </c>
      <c r="Q52" s="2"/>
      <c r="T52" s="103"/>
      <c r="U52" s="98"/>
      <c r="W52" s="143">
        <v>42362</v>
      </c>
      <c r="X52" s="12">
        <v>17.64</v>
      </c>
      <c r="Y52" s="12">
        <v>17.77</v>
      </c>
      <c r="Z52" s="12">
        <v>17.420000000000002</v>
      </c>
      <c r="AA52" s="12">
        <v>17.600000000000001</v>
      </c>
      <c r="AB52" s="105">
        <v>595300</v>
      </c>
      <c r="AC52" s="12">
        <v>17.600000000000001</v>
      </c>
      <c r="AD52" s="2">
        <f t="shared" si="2"/>
        <v>0.34999999999999787</v>
      </c>
      <c r="AE52" s="148">
        <f t="shared" si="3"/>
        <v>-4.5248868778279272E-3</v>
      </c>
    </row>
    <row r="53" spans="15:31" x14ac:dyDescent="0.25">
      <c r="O53" s="93">
        <v>1.02</v>
      </c>
      <c r="P53" s="93">
        <f t="shared" si="7"/>
        <v>23.766000000000002</v>
      </c>
      <c r="Q53" s="2"/>
      <c r="T53" s="103" t="s">
        <v>108</v>
      </c>
      <c r="U53" s="98" t="s">
        <v>374</v>
      </c>
      <c r="W53" s="143">
        <v>42361</v>
      </c>
      <c r="X53" s="12">
        <v>17.45</v>
      </c>
      <c r="Y53" s="12">
        <v>17.71</v>
      </c>
      <c r="Z53" s="12">
        <v>17.28</v>
      </c>
      <c r="AA53" s="12">
        <v>17.68</v>
      </c>
      <c r="AB53" s="105">
        <v>3721300</v>
      </c>
      <c r="AC53" s="12">
        <v>17.68</v>
      </c>
      <c r="AD53" s="2">
        <f t="shared" si="2"/>
        <v>0.42999999999999972</v>
      </c>
      <c r="AE53" s="148">
        <f t="shared" si="3"/>
        <v>2.1374927787406239E-2</v>
      </c>
    </row>
    <row r="54" spans="15:31" x14ac:dyDescent="0.25">
      <c r="O54" s="93">
        <v>1.01</v>
      </c>
      <c r="P54" s="93">
        <f t="shared" si="7"/>
        <v>23.533000000000001</v>
      </c>
      <c r="Q54" s="2"/>
      <c r="T54" s="103" t="s">
        <v>109</v>
      </c>
      <c r="U54" s="98" t="s">
        <v>303</v>
      </c>
      <c r="W54" s="143">
        <v>42360</v>
      </c>
      <c r="X54" s="12">
        <v>17.3</v>
      </c>
      <c r="Y54" s="12">
        <v>17.559999999999999</v>
      </c>
      <c r="Z54" s="12">
        <v>16.86</v>
      </c>
      <c r="AA54" s="12">
        <v>17.309999999999999</v>
      </c>
      <c r="AB54" s="105">
        <v>3158300</v>
      </c>
      <c r="AC54" s="12">
        <v>17.309999999999999</v>
      </c>
      <c r="AD54" s="2">
        <f t="shared" si="2"/>
        <v>0.69999999999999929</v>
      </c>
      <c r="AE54" s="148">
        <f t="shared" si="3"/>
        <v>6.9808027923210503E-3</v>
      </c>
    </row>
    <row r="55" spans="15:31" x14ac:dyDescent="0.25">
      <c r="O55" s="93">
        <v>1</v>
      </c>
      <c r="P55" s="93">
        <f t="shared" si="7"/>
        <v>23.3</v>
      </c>
      <c r="Q55" s="2"/>
      <c r="T55" s="103" t="s">
        <v>110</v>
      </c>
      <c r="U55" s="100">
        <v>1949235</v>
      </c>
      <c r="W55" s="143">
        <v>42359</v>
      </c>
      <c r="X55" s="12">
        <v>17.93</v>
      </c>
      <c r="Y55" s="12">
        <v>18</v>
      </c>
      <c r="Z55" s="12">
        <v>17.04</v>
      </c>
      <c r="AA55" s="12">
        <v>17.190000000000001</v>
      </c>
      <c r="AB55" s="105">
        <v>4071700</v>
      </c>
      <c r="AC55" s="12">
        <v>17.190000000000001</v>
      </c>
      <c r="AD55" s="2">
        <f t="shared" si="2"/>
        <v>0.96000000000000085</v>
      </c>
      <c r="AE55" s="148">
        <f t="shared" si="3"/>
        <v>-3.6434977578475247E-2</v>
      </c>
    </row>
    <row r="56" spans="15:31" x14ac:dyDescent="0.25">
      <c r="O56" s="93">
        <v>0.99</v>
      </c>
      <c r="P56" s="93">
        <f t="shared" si="7"/>
        <v>23.067</v>
      </c>
      <c r="Q56" s="2"/>
      <c r="T56" s="103" t="s">
        <v>113</v>
      </c>
      <c r="U56" s="100">
        <v>2798830</v>
      </c>
      <c r="W56" s="143">
        <v>42356</v>
      </c>
      <c r="X56" s="12">
        <v>17.940000000000001</v>
      </c>
      <c r="Y56" s="12">
        <v>18.190000000000001</v>
      </c>
      <c r="Z56" s="12">
        <v>17.690000000000001</v>
      </c>
      <c r="AA56" s="12">
        <v>17.84</v>
      </c>
      <c r="AB56" s="105">
        <v>4369800</v>
      </c>
      <c r="AC56" s="12">
        <v>17.84</v>
      </c>
      <c r="AD56" s="2">
        <f t="shared" si="2"/>
        <v>0.5</v>
      </c>
      <c r="AE56" s="148">
        <f t="shared" si="3"/>
        <v>-1.0537992235163718E-2</v>
      </c>
    </row>
    <row r="57" spans="15:31" x14ac:dyDescent="0.25">
      <c r="O57" s="93">
        <v>0.98</v>
      </c>
      <c r="P57" s="93">
        <f t="shared" si="7"/>
        <v>22.834</v>
      </c>
      <c r="Q57" s="2"/>
      <c r="T57" s="103" t="s">
        <v>111</v>
      </c>
      <c r="U57" s="98" t="s">
        <v>375</v>
      </c>
      <c r="W57" s="143">
        <v>42355</v>
      </c>
      <c r="X57" s="12">
        <v>18.34</v>
      </c>
      <c r="Y57" s="12">
        <v>18.62</v>
      </c>
      <c r="Z57" s="12">
        <v>17.760000000000002</v>
      </c>
      <c r="AA57" s="12">
        <v>18.03</v>
      </c>
      <c r="AB57" s="105">
        <v>3811900</v>
      </c>
      <c r="AC57" s="12">
        <v>18.03</v>
      </c>
      <c r="AD57" s="2">
        <f t="shared" si="2"/>
        <v>0.85999999999999943</v>
      </c>
      <c r="AE57" s="148">
        <f t="shared" si="3"/>
        <v>-2.6457883369330415E-2</v>
      </c>
    </row>
    <row r="58" spans="15:31" x14ac:dyDescent="0.25">
      <c r="O58" s="93">
        <v>0.97</v>
      </c>
      <c r="P58" s="93">
        <f t="shared" si="7"/>
        <v>22.600999999999999</v>
      </c>
      <c r="T58" s="103" t="s">
        <v>114</v>
      </c>
      <c r="U58" s="98">
        <v>36.24</v>
      </c>
      <c r="W58" s="143">
        <v>42354</v>
      </c>
      <c r="X58" s="12">
        <v>17.95</v>
      </c>
      <c r="Y58" s="12">
        <v>18.63</v>
      </c>
      <c r="Z58" s="12">
        <v>17.84</v>
      </c>
      <c r="AA58" s="12">
        <v>18.52</v>
      </c>
      <c r="AB58" s="105">
        <v>2755800</v>
      </c>
      <c r="AC58" s="12">
        <v>18.52</v>
      </c>
      <c r="AD58" s="2">
        <f t="shared" si="2"/>
        <v>0.78999999999999915</v>
      </c>
      <c r="AE58" s="148">
        <f t="shared" si="3"/>
        <v>3.9281705948372547E-2</v>
      </c>
    </row>
    <row r="59" spans="15:31" x14ac:dyDescent="0.25">
      <c r="O59" s="93">
        <v>0.96</v>
      </c>
      <c r="P59" s="93">
        <f t="shared" si="7"/>
        <v>22.367999999999999</v>
      </c>
      <c r="T59" s="103" t="s">
        <v>115</v>
      </c>
      <c r="U59" s="98">
        <v>0.64</v>
      </c>
      <c r="W59" s="143">
        <v>42353</v>
      </c>
      <c r="X59" s="12">
        <v>17.88</v>
      </c>
      <c r="Y59" s="12">
        <v>18.25</v>
      </c>
      <c r="Z59" s="12">
        <v>17.73</v>
      </c>
      <c r="AA59" s="12">
        <v>17.82</v>
      </c>
      <c r="AB59" s="105">
        <v>2886200</v>
      </c>
      <c r="AC59" s="12">
        <v>17.82</v>
      </c>
      <c r="AD59" s="2">
        <f t="shared" si="2"/>
        <v>0.51999999999999957</v>
      </c>
      <c r="AE59" s="148">
        <f t="shared" si="3"/>
        <v>6.2111801242235032E-3</v>
      </c>
    </row>
    <row r="60" spans="15:31" x14ac:dyDescent="0.25">
      <c r="O60" s="93">
        <v>0.95</v>
      </c>
      <c r="P60" s="93">
        <f t="shared" si="7"/>
        <v>22.134999999999998</v>
      </c>
      <c r="T60" s="103" t="s">
        <v>112</v>
      </c>
      <c r="U60" s="98" t="s">
        <v>127</v>
      </c>
      <c r="W60" s="143">
        <v>42352</v>
      </c>
      <c r="X60" s="12">
        <v>18.13</v>
      </c>
      <c r="Y60" s="12">
        <v>18.239999999999998</v>
      </c>
      <c r="Z60" s="12">
        <v>17.46</v>
      </c>
      <c r="AA60" s="12">
        <v>17.71</v>
      </c>
      <c r="AB60" s="105">
        <v>2701500</v>
      </c>
      <c r="AC60" s="12">
        <v>17.71</v>
      </c>
      <c r="AD60" s="2">
        <f t="shared" si="2"/>
        <v>0.77999999999999758</v>
      </c>
      <c r="AE60" s="148">
        <f t="shared" si="3"/>
        <v>-1.8292682926829174E-2</v>
      </c>
    </row>
    <row r="61" spans="15:31" x14ac:dyDescent="0.25">
      <c r="O61" s="93">
        <v>0.94</v>
      </c>
      <c r="P61" s="93">
        <f t="shared" si="7"/>
        <v>21.902000000000001</v>
      </c>
      <c r="W61" s="143">
        <v>42349</v>
      </c>
      <c r="X61" s="12">
        <v>18.73</v>
      </c>
      <c r="Y61" s="12">
        <v>18.78</v>
      </c>
      <c r="Z61" s="12">
        <v>17.84</v>
      </c>
      <c r="AA61" s="12">
        <v>18.04</v>
      </c>
      <c r="AB61" s="105">
        <v>2933300</v>
      </c>
      <c r="AC61" s="12">
        <v>18.04</v>
      </c>
      <c r="AD61" s="2">
        <f t="shared" si="2"/>
        <v>0.94000000000000128</v>
      </c>
      <c r="AE61" s="148">
        <f t="shared" si="3"/>
        <v>-4.6511627906976827E-2</v>
      </c>
    </row>
    <row r="62" spans="15:31" x14ac:dyDescent="0.25">
      <c r="O62" s="93">
        <v>0.93</v>
      </c>
      <c r="P62" s="93">
        <f t="shared" si="7"/>
        <v>21.669</v>
      </c>
      <c r="W62" s="143">
        <v>42348</v>
      </c>
      <c r="X62" s="12">
        <v>18.88</v>
      </c>
      <c r="Y62" s="12">
        <v>19.25</v>
      </c>
      <c r="Z62" s="12">
        <v>18.72</v>
      </c>
      <c r="AA62" s="12">
        <v>18.920000000000002</v>
      </c>
      <c r="AB62" s="105">
        <v>1128200</v>
      </c>
      <c r="AC62" s="12">
        <v>18.920000000000002</v>
      </c>
      <c r="AD62" s="2">
        <f t="shared" si="2"/>
        <v>0.53000000000000114</v>
      </c>
      <c r="AE62" s="148">
        <f t="shared" si="3"/>
        <v>1.5881418740075759E-3</v>
      </c>
    </row>
    <row r="63" spans="15:31" x14ac:dyDescent="0.25">
      <c r="O63" s="93">
        <v>0.92</v>
      </c>
      <c r="P63" s="93">
        <f t="shared" si="7"/>
        <v>21.436</v>
      </c>
      <c r="W63" s="143">
        <v>42347</v>
      </c>
      <c r="X63" s="12">
        <v>18.84</v>
      </c>
      <c r="Y63" s="12">
        <v>19.61</v>
      </c>
      <c r="Z63" s="12">
        <v>18.7</v>
      </c>
      <c r="AA63" s="12">
        <v>18.89</v>
      </c>
      <c r="AB63" s="105">
        <v>3443900</v>
      </c>
      <c r="AC63" s="12">
        <v>18.89</v>
      </c>
      <c r="AD63" s="2">
        <f t="shared" si="2"/>
        <v>0.91000000000000014</v>
      </c>
      <c r="AE63" s="148">
        <f t="shared" si="3"/>
        <v>-5.265929436545469E-3</v>
      </c>
    </row>
    <row r="64" spans="15:31" x14ac:dyDescent="0.25">
      <c r="O64" s="93">
        <v>0.91</v>
      </c>
      <c r="P64" s="93">
        <f t="shared" si="7"/>
        <v>21.203000000000003</v>
      </c>
      <c r="W64" s="143">
        <v>42346</v>
      </c>
      <c r="X64" s="12">
        <v>18.89</v>
      </c>
      <c r="Y64" s="12">
        <v>19.190000000000001</v>
      </c>
      <c r="Z64" s="12">
        <v>18.7</v>
      </c>
      <c r="AA64" s="12">
        <v>18.989999999999998</v>
      </c>
      <c r="AB64" s="105">
        <v>2466500</v>
      </c>
      <c r="AC64" s="12">
        <v>18.989999999999998</v>
      </c>
      <c r="AD64" s="2">
        <f t="shared" si="2"/>
        <v>0.49000000000000199</v>
      </c>
      <c r="AE64" s="148">
        <f t="shared" si="3"/>
        <v>-4.1950707918196883E-3</v>
      </c>
    </row>
    <row r="65" spans="15:31" x14ac:dyDescent="0.25">
      <c r="O65" s="93">
        <v>0.9</v>
      </c>
      <c r="P65" s="93">
        <f t="shared" si="7"/>
        <v>20.970000000000002</v>
      </c>
      <c r="W65" s="143">
        <v>42345</v>
      </c>
      <c r="X65" s="12">
        <v>19.21</v>
      </c>
      <c r="Y65" s="12">
        <v>19.350000000000001</v>
      </c>
      <c r="Z65" s="12">
        <v>18.54</v>
      </c>
      <c r="AA65" s="12">
        <v>19.07</v>
      </c>
      <c r="AB65" s="105">
        <v>2640700</v>
      </c>
      <c r="AC65" s="12">
        <v>19.07</v>
      </c>
      <c r="AD65" s="2">
        <f t="shared" si="2"/>
        <v>0.81000000000000227</v>
      </c>
      <c r="AE65" s="148">
        <f t="shared" si="3"/>
        <v>-8.3203328133125698E-3</v>
      </c>
    </row>
    <row r="66" spans="15:31" x14ac:dyDescent="0.25">
      <c r="O66" s="37"/>
      <c r="W66" s="143">
        <v>42342</v>
      </c>
      <c r="X66" s="12">
        <v>19.02</v>
      </c>
      <c r="Y66" s="12">
        <v>19.440000000000001</v>
      </c>
      <c r="Z66" s="12">
        <v>18.91</v>
      </c>
      <c r="AA66" s="12">
        <v>19.23</v>
      </c>
      <c r="AB66" s="105">
        <v>2079800</v>
      </c>
      <c r="AC66" s="12">
        <v>19.23</v>
      </c>
      <c r="AD66" s="2">
        <f t="shared" si="2"/>
        <v>0.53000000000000114</v>
      </c>
      <c r="AE66" s="148">
        <f t="shared" si="3"/>
        <v>1.6384778012684897E-2</v>
      </c>
    </row>
    <row r="67" spans="15:31" x14ac:dyDescent="0.25">
      <c r="W67" s="143">
        <v>42341</v>
      </c>
      <c r="X67" s="12">
        <v>19.96</v>
      </c>
      <c r="Y67" s="12">
        <v>20.02</v>
      </c>
      <c r="Z67" s="12">
        <v>18.77</v>
      </c>
      <c r="AA67" s="12">
        <v>18.920000000000002</v>
      </c>
      <c r="AB67" s="105">
        <v>2185300</v>
      </c>
      <c r="AC67" s="12">
        <v>18.920000000000002</v>
      </c>
      <c r="AD67" s="2">
        <f t="shared" ref="AD67:AD68" si="8">Y67-Z67</f>
        <v>1.25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249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42438</v>
      </c>
      <c r="X2" s="12">
        <v>38.979999999999997</v>
      </c>
      <c r="Y2" s="12">
        <v>39.869999999999997</v>
      </c>
      <c r="Z2" s="12">
        <v>38.82</v>
      </c>
      <c r="AA2" s="12">
        <v>39.85</v>
      </c>
      <c r="AB2" s="105">
        <v>6918600</v>
      </c>
      <c r="AC2" s="12">
        <v>39.85</v>
      </c>
      <c r="AD2" s="2">
        <f>Y2-Z2</f>
        <v>1.0499999999999972</v>
      </c>
      <c r="AE2" s="148">
        <f>AC2/AC3-1</f>
        <v>2.9715762273901714E-2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173</v>
      </c>
      <c r="W3" s="143">
        <v>42437</v>
      </c>
      <c r="X3" s="12">
        <v>39.229999999999997</v>
      </c>
      <c r="Y3" s="12">
        <v>39.229999999999997</v>
      </c>
      <c r="Z3" s="12">
        <v>38.14</v>
      </c>
      <c r="AA3" s="12">
        <v>38.700000000000003</v>
      </c>
      <c r="AB3" s="105">
        <v>4893300</v>
      </c>
      <c r="AC3" s="12">
        <v>38.700000000000003</v>
      </c>
      <c r="AD3" s="2">
        <f t="shared" ref="AD3:AD66" si="0">Y3-Z3</f>
        <v>1.0899999999999963</v>
      </c>
      <c r="AE3" s="148">
        <f t="shared" ref="AE3:AE66" si="1">AC3/AC4-1</f>
        <v>-2.2480424349583195E-2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39.85</v>
      </c>
      <c r="W4" s="143">
        <v>42436</v>
      </c>
      <c r="X4" s="12">
        <v>40.909999999999997</v>
      </c>
      <c r="Y4" s="12">
        <v>40.909999999999997</v>
      </c>
      <c r="Z4" s="12">
        <v>39.39</v>
      </c>
      <c r="AA4" s="12">
        <v>39.590000000000003</v>
      </c>
      <c r="AB4" s="105">
        <v>5208600</v>
      </c>
      <c r="AC4" s="12">
        <v>39.590000000000003</v>
      </c>
      <c r="AD4" s="2">
        <f t="shared" si="0"/>
        <v>1.519999999999996</v>
      </c>
      <c r="AE4" s="148">
        <f t="shared" si="1"/>
        <v>-3.3918984870668467E-2</v>
      </c>
    </row>
    <row r="5" spans="1:41" x14ac:dyDescent="0.25">
      <c r="O5" t="s">
        <v>67</v>
      </c>
      <c r="Q5" s="3">
        <f>Q4*Q2</f>
        <v>1195.5</v>
      </c>
      <c r="W5" s="143">
        <v>42433</v>
      </c>
      <c r="X5" s="12">
        <v>41.3</v>
      </c>
      <c r="Y5" s="12">
        <v>42.09</v>
      </c>
      <c r="Z5" s="12">
        <v>40.799999999999997</v>
      </c>
      <c r="AA5" s="12">
        <v>40.98</v>
      </c>
      <c r="AB5" s="105">
        <v>5515800</v>
      </c>
      <c r="AC5" s="12">
        <v>40.98</v>
      </c>
      <c r="AD5" s="2">
        <f t="shared" si="0"/>
        <v>1.2900000000000063</v>
      </c>
      <c r="AE5" s="148">
        <f t="shared" si="1"/>
        <v>-7.2674418604652402E-3</v>
      </c>
    </row>
    <row r="6" spans="1:41" x14ac:dyDescent="0.25">
      <c r="O6" t="s">
        <v>64</v>
      </c>
      <c r="Q6" s="2">
        <f>Q3*Q2</f>
        <v>1239.1499999999999</v>
      </c>
      <c r="W6" s="143">
        <v>42432</v>
      </c>
      <c r="X6" s="12">
        <v>40.369999999999997</v>
      </c>
      <c r="Y6" s="12">
        <v>41.3</v>
      </c>
      <c r="Z6" s="12">
        <v>40.06</v>
      </c>
      <c r="AA6" s="12">
        <v>41.28</v>
      </c>
      <c r="AB6" s="105">
        <v>5540900</v>
      </c>
      <c r="AC6" s="12">
        <v>41.28</v>
      </c>
      <c r="AD6" s="2">
        <f t="shared" si="0"/>
        <v>1.2399999999999949</v>
      </c>
      <c r="AE6" s="148">
        <f t="shared" si="1"/>
        <v>2.4063507814438001E-2</v>
      </c>
    </row>
    <row r="7" spans="1:41" ht="15.75" x14ac:dyDescent="0.25">
      <c r="O7" t="s">
        <v>65</v>
      </c>
      <c r="Q7" s="2">
        <f>IF(Q2=0, K14+M14-F14,Q5-Q6)</f>
        <v>-43.649999999999864</v>
      </c>
      <c r="R7" s="212"/>
      <c r="W7" s="143">
        <v>42431</v>
      </c>
      <c r="X7" s="12">
        <v>39.42</v>
      </c>
      <c r="Y7" s="12">
        <v>40.4</v>
      </c>
      <c r="Z7" s="12">
        <v>39.159999999999997</v>
      </c>
      <c r="AA7" s="12">
        <v>40.31</v>
      </c>
      <c r="AB7" s="105">
        <v>4569800</v>
      </c>
      <c r="AC7" s="12">
        <v>40.31</v>
      </c>
      <c r="AD7" s="2">
        <f t="shared" si="0"/>
        <v>1.240000000000002</v>
      </c>
      <c r="AE7" s="148">
        <f t="shared" si="1"/>
        <v>2.02480384712731E-2</v>
      </c>
    </row>
    <row r="8" spans="1:41" x14ac:dyDescent="0.25">
      <c r="O8" s="13" t="s">
        <v>90</v>
      </c>
      <c r="Q8" s="148">
        <f>(Q4-Q3)/Q3</f>
        <v>-3.5225759593269373E-2</v>
      </c>
      <c r="W8" s="143">
        <v>42430</v>
      </c>
      <c r="X8" s="12">
        <v>38.33</v>
      </c>
      <c r="Y8" s="12">
        <v>39.68</v>
      </c>
      <c r="Z8" s="12">
        <v>37.96</v>
      </c>
      <c r="AA8" s="12">
        <v>39.51</v>
      </c>
      <c r="AB8" s="105">
        <v>4079100</v>
      </c>
      <c r="AC8" s="12">
        <v>39.51</v>
      </c>
      <c r="AD8" s="2">
        <f t="shared" si="0"/>
        <v>1.7199999999999989</v>
      </c>
      <c r="AE8" s="148">
        <f t="shared" si="1"/>
        <v>3.946329913180735E-2</v>
      </c>
    </row>
    <row r="9" spans="1:41" x14ac:dyDescent="0.25">
      <c r="Q9" s="148"/>
      <c r="W9" s="143">
        <v>42429</v>
      </c>
      <c r="X9" s="12">
        <v>38.520000000000003</v>
      </c>
      <c r="Y9" s="12">
        <v>38.92</v>
      </c>
      <c r="Z9" s="12">
        <v>37.83</v>
      </c>
      <c r="AA9" s="12">
        <v>38.01</v>
      </c>
      <c r="AB9" s="105">
        <v>4834000</v>
      </c>
      <c r="AC9" s="12">
        <v>38.01</v>
      </c>
      <c r="AD9" s="2">
        <f t="shared" si="0"/>
        <v>1.0900000000000034</v>
      </c>
      <c r="AE9" s="148">
        <f t="shared" si="1"/>
        <v>-1.7067494181536191E-2</v>
      </c>
    </row>
    <row r="10" spans="1:41" x14ac:dyDescent="0.25">
      <c r="W10" s="143">
        <v>42426</v>
      </c>
      <c r="X10" s="12">
        <v>37.93</v>
      </c>
      <c r="Y10" s="12">
        <v>39.18</v>
      </c>
      <c r="Z10" s="12">
        <v>37.9</v>
      </c>
      <c r="AA10" s="12">
        <v>38.67</v>
      </c>
      <c r="AB10" s="105">
        <v>6248200</v>
      </c>
      <c r="AC10" s="12">
        <v>38.67</v>
      </c>
      <c r="AD10" s="2">
        <f t="shared" si="0"/>
        <v>1.2800000000000011</v>
      </c>
      <c r="AE10" s="148">
        <f t="shared" si="1"/>
        <v>2.1124900977026684E-2</v>
      </c>
    </row>
    <row r="11" spans="1:41" x14ac:dyDescent="0.25">
      <c r="W11" s="143">
        <v>42425</v>
      </c>
      <c r="X11" s="12">
        <v>37.53</v>
      </c>
      <c r="Y11" s="12">
        <v>38.04</v>
      </c>
      <c r="Z11" s="12">
        <v>36.72</v>
      </c>
      <c r="AA11" s="12">
        <v>37.869999999999997</v>
      </c>
      <c r="AB11" s="105">
        <v>5487100</v>
      </c>
      <c r="AC11" s="12">
        <v>37.869999999999997</v>
      </c>
      <c r="AD11" s="2">
        <f t="shared" si="0"/>
        <v>1.3200000000000003</v>
      </c>
      <c r="AE11" s="148" t="e">
        <f t="shared" si="1"/>
        <v>#DIV/0!</v>
      </c>
    </row>
    <row r="12" spans="1:41" x14ac:dyDescent="0.25">
      <c r="W12" s="143">
        <v>42425</v>
      </c>
      <c r="X12" s="12" t="s">
        <v>277</v>
      </c>
      <c r="Y12" s="12"/>
      <c r="Z12" s="12"/>
      <c r="AA12" s="12"/>
      <c r="AB12" s="105"/>
      <c r="AC12" s="12"/>
      <c r="AD12" s="2">
        <f t="shared" si="0"/>
        <v>0</v>
      </c>
      <c r="AE12" s="148">
        <f t="shared" si="1"/>
        <v>-1</v>
      </c>
    </row>
    <row r="13" spans="1:41" x14ac:dyDescent="0.25">
      <c r="W13" s="143">
        <v>42424</v>
      </c>
      <c r="X13" s="12">
        <v>37.5</v>
      </c>
      <c r="Y13" s="12">
        <v>37.86</v>
      </c>
      <c r="Z13" s="12">
        <v>37.08</v>
      </c>
      <c r="AA13" s="12">
        <v>37.74</v>
      </c>
      <c r="AB13" s="105">
        <v>2755300</v>
      </c>
      <c r="AC13" s="12">
        <v>37.549999999999997</v>
      </c>
      <c r="AD13" s="2">
        <f t="shared" si="0"/>
        <v>0.78000000000000114</v>
      </c>
      <c r="AE13" s="148">
        <f t="shared" si="1"/>
        <v>-3.450106157112609E-3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42423</v>
      </c>
      <c r="X14" s="12">
        <v>37.82</v>
      </c>
      <c r="Y14" s="12">
        <v>38.1</v>
      </c>
      <c r="Z14" s="12">
        <v>37.520000000000003</v>
      </c>
      <c r="AA14" s="12">
        <v>37.869999999999997</v>
      </c>
      <c r="AB14" s="105">
        <v>3719900</v>
      </c>
      <c r="AC14" s="12">
        <v>37.68</v>
      </c>
      <c r="AD14" s="2">
        <f t="shared" si="0"/>
        <v>0.57999999999999829</v>
      </c>
      <c r="AE14" s="148">
        <f t="shared" si="1"/>
        <v>-6.3291139240506666E-3</v>
      </c>
    </row>
    <row r="15" spans="1:41" x14ac:dyDescent="0.25">
      <c r="G15" s="2"/>
      <c r="W15" s="143">
        <v>42422</v>
      </c>
      <c r="X15" s="12">
        <v>37.97</v>
      </c>
      <c r="Y15" s="12">
        <v>38.799999999999997</v>
      </c>
      <c r="Z15" s="12">
        <v>37.89</v>
      </c>
      <c r="AA15" s="12">
        <v>38.11</v>
      </c>
      <c r="AB15" s="105">
        <v>3529700</v>
      </c>
      <c r="AC15" s="12">
        <v>37.92</v>
      </c>
      <c r="AD15" s="2">
        <f t="shared" si="0"/>
        <v>0.90999999999999659</v>
      </c>
      <c r="AE15" s="148">
        <f t="shared" si="1"/>
        <v>1.7440300509793394E-2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42419</v>
      </c>
      <c r="X16" s="12">
        <v>37.44</v>
      </c>
      <c r="Y16" s="12">
        <v>37.58</v>
      </c>
      <c r="Z16" s="12">
        <v>36.85</v>
      </c>
      <c r="AA16" s="12">
        <v>37.46</v>
      </c>
      <c r="AB16" s="105">
        <v>3507900</v>
      </c>
      <c r="AC16" s="12">
        <v>37.270000000000003</v>
      </c>
      <c r="AD16" s="2">
        <f t="shared" si="0"/>
        <v>0.72999999999999687</v>
      </c>
      <c r="AE16" s="148">
        <f t="shared" si="1"/>
        <v>-1.0720986330742255E-3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42418</v>
      </c>
      <c r="X17" s="12">
        <v>37.299999999999997</v>
      </c>
      <c r="Y17" s="12">
        <v>37.549999999999997</v>
      </c>
      <c r="Z17" s="12">
        <v>36.89</v>
      </c>
      <c r="AA17" s="12">
        <v>37.5</v>
      </c>
      <c r="AB17" s="105">
        <v>4634700</v>
      </c>
      <c r="AC17" s="12">
        <v>37.31</v>
      </c>
      <c r="AD17" s="2">
        <f t="shared" si="0"/>
        <v>0.65999999999999659</v>
      </c>
      <c r="AE17" s="148">
        <f t="shared" si="1"/>
        <v>1.879699248120259E-3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42417</v>
      </c>
      <c r="X18" s="12">
        <v>36.130000000000003</v>
      </c>
      <c r="Y18" s="12">
        <v>37.799999999999997</v>
      </c>
      <c r="Z18" s="12">
        <v>36.03</v>
      </c>
      <c r="AA18" s="12">
        <v>37.43</v>
      </c>
      <c r="AB18" s="105">
        <v>6600900</v>
      </c>
      <c r="AC18" s="12">
        <v>37.24</v>
      </c>
      <c r="AD18" s="2">
        <f t="shared" si="0"/>
        <v>1.769999999999996</v>
      </c>
      <c r="AE18" s="148">
        <f t="shared" si="1"/>
        <v>3.9642657733109932E-2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42416</v>
      </c>
      <c r="X19" s="12">
        <v>35.270000000000003</v>
      </c>
      <c r="Y19" s="12">
        <v>36.1</v>
      </c>
      <c r="Z19" s="12">
        <v>34.840000000000003</v>
      </c>
      <c r="AA19" s="12">
        <v>36</v>
      </c>
      <c r="AB19" s="105">
        <v>4754300</v>
      </c>
      <c r="AC19" s="12">
        <v>35.82</v>
      </c>
      <c r="AD19" s="2">
        <f t="shared" si="0"/>
        <v>1.259999999999998</v>
      </c>
      <c r="AE19" s="148">
        <f t="shared" si="1"/>
        <v>3.4960993932389606E-2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5" si="6">C20*(E20-D20)</f>
        <v>-94.799999999999898</v>
      </c>
      <c r="G20" s="43">
        <f t="shared" ref="G20:G25" si="7">D20*C20</f>
        <v>2401.8000000000002</v>
      </c>
      <c r="H20" s="269">
        <f t="shared" ref="H20:H25" si="8">(E20-D20)/D20</f>
        <v>-3.9470397202098384E-2</v>
      </c>
      <c r="W20" s="143">
        <v>42412</v>
      </c>
      <c r="X20" s="12">
        <v>33.76</v>
      </c>
      <c r="Y20" s="12">
        <v>34.81</v>
      </c>
      <c r="Z20" s="12">
        <v>33.42</v>
      </c>
      <c r="AA20" s="12">
        <v>34.79</v>
      </c>
      <c r="AB20" s="105">
        <v>4006900</v>
      </c>
      <c r="AC20" s="12">
        <v>34.61</v>
      </c>
      <c r="AD20" s="2">
        <f t="shared" si="0"/>
        <v>1.3900000000000006</v>
      </c>
      <c r="AE20" s="148">
        <f t="shared" si="1"/>
        <v>3.0366180410836385E-2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42411</v>
      </c>
      <c r="X21" s="12">
        <v>34.020000000000003</v>
      </c>
      <c r="Y21" s="12">
        <v>34.520000000000003</v>
      </c>
      <c r="Z21" s="12">
        <v>33.26</v>
      </c>
      <c r="AA21" s="12">
        <v>33.76</v>
      </c>
      <c r="AB21" s="105">
        <v>4834700</v>
      </c>
      <c r="AC21" s="12">
        <v>33.590000000000003</v>
      </c>
      <c r="AD21" s="2">
        <f t="shared" si="0"/>
        <v>1.2600000000000051</v>
      </c>
      <c r="AE21" s="148">
        <f t="shared" si="1"/>
        <v>-3.1709426347650504E-2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42410</v>
      </c>
      <c r="X22" s="12">
        <v>34.549999999999997</v>
      </c>
      <c r="Y22" s="12">
        <v>35.24</v>
      </c>
      <c r="Z22" s="12">
        <v>34.299999999999997</v>
      </c>
      <c r="AA22" s="12">
        <v>34.869999999999997</v>
      </c>
      <c r="AB22" s="105">
        <v>3657400</v>
      </c>
      <c r="AC22" s="12">
        <v>34.69</v>
      </c>
      <c r="AD22" s="2">
        <f t="shared" si="0"/>
        <v>0.94000000000000483</v>
      </c>
      <c r="AE22" s="148">
        <f t="shared" si="1"/>
        <v>1.7302052785923561E-2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42409</v>
      </c>
      <c r="X23" s="12">
        <v>33.92</v>
      </c>
      <c r="Y23" s="12">
        <v>34.700000000000003</v>
      </c>
      <c r="Z23" s="12">
        <v>33.43</v>
      </c>
      <c r="AA23" s="12">
        <v>34.270000000000003</v>
      </c>
      <c r="AB23" s="105">
        <v>8404600</v>
      </c>
      <c r="AC23" s="12">
        <v>34.1</v>
      </c>
      <c r="AD23" s="2">
        <f t="shared" si="0"/>
        <v>1.2700000000000031</v>
      </c>
      <c r="AE23" s="148">
        <f t="shared" si="1"/>
        <v>2.9334115576418185E-4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70">
        <f t="shared" si="8"/>
        <v>-7.8682968163661261E-3</v>
      </c>
      <c r="W24" s="143">
        <v>42408</v>
      </c>
      <c r="X24" s="12">
        <v>36.049999999999997</v>
      </c>
      <c r="Y24" s="12">
        <v>36.119999999999997</v>
      </c>
      <c r="Z24" s="12">
        <v>33.770000000000003</v>
      </c>
      <c r="AA24" s="12">
        <v>34.26</v>
      </c>
      <c r="AB24" s="105">
        <v>9930400</v>
      </c>
      <c r="AC24" s="12">
        <v>34.090000000000003</v>
      </c>
      <c r="AD24" s="2">
        <f t="shared" si="0"/>
        <v>2.3499999999999943</v>
      </c>
      <c r="AE24" s="148">
        <f t="shared" si="1"/>
        <v>-5.9586206896551586E-2</v>
      </c>
    </row>
    <row r="25" spans="2:31" x14ac:dyDescent="0.25">
      <c r="B25" s="216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70">
        <f t="shared" si="8"/>
        <v>-4.1520397046362338E-2</v>
      </c>
      <c r="W25" s="143">
        <v>42405</v>
      </c>
      <c r="X25" s="12">
        <v>37.31</v>
      </c>
      <c r="Y25" s="12">
        <v>37.61</v>
      </c>
      <c r="Z25" s="12">
        <v>36.39</v>
      </c>
      <c r="AA25" s="12">
        <v>36.43</v>
      </c>
      <c r="AB25" s="105">
        <v>7357000</v>
      </c>
      <c r="AC25" s="12">
        <v>36.25</v>
      </c>
      <c r="AD25" s="2">
        <f t="shared" si="0"/>
        <v>1.2199999999999989</v>
      </c>
      <c r="AE25" s="148">
        <f t="shared" si="1"/>
        <v>-2.8931154567372053E-2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42404</v>
      </c>
      <c r="X26" s="12">
        <v>36.21</v>
      </c>
      <c r="Y26" s="12">
        <v>37.57</v>
      </c>
      <c r="Z26" s="12">
        <v>36.049999999999997</v>
      </c>
      <c r="AA26" s="12">
        <v>37.520000000000003</v>
      </c>
      <c r="AB26" s="105">
        <v>6034400</v>
      </c>
      <c r="AC26" s="12">
        <v>37.33</v>
      </c>
      <c r="AD26" s="2">
        <f t="shared" si="0"/>
        <v>1.5200000000000031</v>
      </c>
      <c r="AE26" s="148">
        <f t="shared" si="1"/>
        <v>3.5506241331484167E-2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42403</v>
      </c>
      <c r="X27" s="12">
        <v>37.65</v>
      </c>
      <c r="Y27" s="12">
        <v>37.71</v>
      </c>
      <c r="Z27" s="12">
        <v>35.47</v>
      </c>
      <c r="AA27" s="12">
        <v>36.229999999999997</v>
      </c>
      <c r="AB27" s="105">
        <v>6553900</v>
      </c>
      <c r="AC27" s="12">
        <v>36.049999999999997</v>
      </c>
      <c r="AD27" s="2">
        <f t="shared" si="0"/>
        <v>2.240000000000002</v>
      </c>
      <c r="AE27" s="148">
        <f t="shared" si="1"/>
        <v>-2.7253103076092966E-2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42402</v>
      </c>
      <c r="X28" s="12">
        <v>38.380000000000003</v>
      </c>
      <c r="Y28" s="12">
        <v>38.51</v>
      </c>
      <c r="Z28" s="12">
        <v>37.06</v>
      </c>
      <c r="AA28" s="12">
        <v>37.25</v>
      </c>
      <c r="AB28" s="105">
        <v>5731000</v>
      </c>
      <c r="AC28" s="12">
        <v>37.06</v>
      </c>
      <c r="AD28" s="2">
        <f t="shared" si="0"/>
        <v>1.4499999999999957</v>
      </c>
      <c r="AE28" s="148">
        <f t="shared" si="1"/>
        <v>-4.5091471270291117E-2</v>
      </c>
    </row>
    <row r="29" spans="2:31" x14ac:dyDescent="0.25">
      <c r="B29" s="12"/>
      <c r="C29" s="12"/>
      <c r="D29" s="43"/>
      <c r="E29" s="43"/>
      <c r="F29" s="43"/>
      <c r="G29" s="43"/>
      <c r="H29" s="270"/>
      <c r="W29" s="143">
        <v>42401</v>
      </c>
      <c r="X29" s="12">
        <v>39.18</v>
      </c>
      <c r="Y29" s="12">
        <v>39.42</v>
      </c>
      <c r="Z29" s="12">
        <v>38.479999999999997</v>
      </c>
      <c r="AA29" s="12">
        <v>39.01</v>
      </c>
      <c r="AB29" s="105">
        <v>8183300</v>
      </c>
      <c r="AC29" s="12">
        <v>38.81</v>
      </c>
      <c r="AD29" s="2">
        <f t="shared" si="0"/>
        <v>0.94000000000000483</v>
      </c>
      <c r="AE29" s="148">
        <f t="shared" si="1"/>
        <v>5.9616381544842501E-3</v>
      </c>
    </row>
    <row r="30" spans="2:31" x14ac:dyDescent="0.25">
      <c r="B30" s="12"/>
      <c r="C30" s="12"/>
      <c r="D30" s="43"/>
      <c r="E30" s="43"/>
      <c r="F30" s="43"/>
      <c r="G30" s="43"/>
      <c r="H30" s="270"/>
      <c r="W30" s="143">
        <v>42398</v>
      </c>
      <c r="X30" s="12">
        <v>37.24</v>
      </c>
      <c r="Y30" s="12">
        <v>38.840000000000003</v>
      </c>
      <c r="Z30" s="12">
        <v>37</v>
      </c>
      <c r="AA30" s="12">
        <v>38.78</v>
      </c>
      <c r="AB30" s="105">
        <v>9700900</v>
      </c>
      <c r="AC30" s="12">
        <v>38.58</v>
      </c>
      <c r="AD30" s="2">
        <f t="shared" si="0"/>
        <v>1.8400000000000034</v>
      </c>
      <c r="AE30" s="148">
        <f t="shared" si="1"/>
        <v>3.3762057877813501E-2</v>
      </c>
    </row>
    <row r="31" spans="2:31" x14ac:dyDescent="0.25">
      <c r="W31" s="143">
        <v>42397</v>
      </c>
      <c r="X31" s="12">
        <v>37.35</v>
      </c>
      <c r="Y31" s="12">
        <v>37.770000000000003</v>
      </c>
      <c r="Z31" s="12">
        <v>36.520000000000003</v>
      </c>
      <c r="AA31" s="12">
        <v>37.51</v>
      </c>
      <c r="AB31" s="105">
        <v>6026200</v>
      </c>
      <c r="AC31" s="12">
        <v>37.32</v>
      </c>
      <c r="AD31" s="2">
        <f t="shared" si="0"/>
        <v>1.25</v>
      </c>
      <c r="AE31" s="148">
        <f t="shared" si="1"/>
        <v>9.7402597402598268E-3</v>
      </c>
    </row>
    <row r="32" spans="2:31" x14ac:dyDescent="0.25">
      <c r="W32" s="143">
        <v>42396</v>
      </c>
      <c r="X32" s="12">
        <v>37.92</v>
      </c>
      <c r="Y32" s="12">
        <v>38.31</v>
      </c>
      <c r="Z32" s="12">
        <v>36.96</v>
      </c>
      <c r="AA32" s="12">
        <v>37.15</v>
      </c>
      <c r="AB32" s="105">
        <v>5122700</v>
      </c>
      <c r="AC32" s="12">
        <v>36.96</v>
      </c>
      <c r="AD32" s="2">
        <f t="shared" si="0"/>
        <v>1.3500000000000014</v>
      </c>
      <c r="AE32" s="148">
        <f t="shared" si="1"/>
        <v>-2.7112397999473625E-2</v>
      </c>
    </row>
    <row r="33" spans="15:31" x14ac:dyDescent="0.25">
      <c r="W33" s="143">
        <v>42395</v>
      </c>
      <c r="X33" s="12">
        <v>37.22</v>
      </c>
      <c r="Y33" s="12">
        <v>38.24</v>
      </c>
      <c r="Z33" s="12">
        <v>37.11</v>
      </c>
      <c r="AA33" s="12">
        <v>38.18</v>
      </c>
      <c r="AB33" s="105">
        <v>5461300</v>
      </c>
      <c r="AC33" s="12">
        <v>37.99</v>
      </c>
      <c r="AD33" s="2">
        <f t="shared" si="0"/>
        <v>1.1300000000000026</v>
      </c>
      <c r="AE33" s="148">
        <f t="shared" si="1"/>
        <v>2.8424472116946431E-2</v>
      </c>
    </row>
    <row r="34" spans="15:31" x14ac:dyDescent="0.25">
      <c r="W34" s="143">
        <v>42394</v>
      </c>
      <c r="X34" s="12">
        <v>36.799999999999997</v>
      </c>
      <c r="Y34" s="12">
        <v>37.479999999999997</v>
      </c>
      <c r="Z34" s="12">
        <v>36.67</v>
      </c>
      <c r="AA34" s="12">
        <v>37.130000000000003</v>
      </c>
      <c r="AB34" s="105">
        <v>5988300</v>
      </c>
      <c r="AC34" s="12">
        <v>36.94</v>
      </c>
      <c r="AD34" s="2">
        <f t="shared" si="0"/>
        <v>0.80999999999999517</v>
      </c>
      <c r="AE34" s="148">
        <f t="shared" si="1"/>
        <v>4.350190320826508E-3</v>
      </c>
    </row>
    <row r="35" spans="15:31" x14ac:dyDescent="0.25">
      <c r="W35" s="143">
        <v>42391</v>
      </c>
      <c r="X35" s="12">
        <v>37.39</v>
      </c>
      <c r="Y35" s="12">
        <v>37.799999999999997</v>
      </c>
      <c r="Z35" s="12">
        <v>36.590000000000003</v>
      </c>
      <c r="AA35" s="12">
        <v>36.97</v>
      </c>
      <c r="AB35" s="105">
        <v>3676100</v>
      </c>
      <c r="AC35" s="12">
        <v>36.78</v>
      </c>
      <c r="AD35" s="2">
        <f t="shared" si="0"/>
        <v>1.2099999999999937</v>
      </c>
      <c r="AE35" s="148">
        <f t="shared" si="1"/>
        <v>3.2733224222587509E-3</v>
      </c>
    </row>
    <row r="36" spans="15:31" x14ac:dyDescent="0.25">
      <c r="W36" s="143">
        <v>42390</v>
      </c>
      <c r="X36" s="12">
        <v>36.18</v>
      </c>
      <c r="Y36" s="12">
        <v>37.49</v>
      </c>
      <c r="Z36" s="12">
        <v>35.630000000000003</v>
      </c>
      <c r="AA36" s="12">
        <v>36.85</v>
      </c>
      <c r="AB36" s="105">
        <v>7980800</v>
      </c>
      <c r="AC36" s="12">
        <v>36.659999999999997</v>
      </c>
      <c r="AD36" s="2">
        <f t="shared" si="0"/>
        <v>1.8599999999999994</v>
      </c>
      <c r="AE36" s="148">
        <f t="shared" si="1"/>
        <v>2.145444413485631E-2</v>
      </c>
    </row>
    <row r="37" spans="15:31" x14ac:dyDescent="0.25">
      <c r="W37" s="143">
        <v>42389</v>
      </c>
      <c r="X37" s="12">
        <v>35.58</v>
      </c>
      <c r="Y37" s="12">
        <v>36.43</v>
      </c>
      <c r="Z37" s="12">
        <v>34.5</v>
      </c>
      <c r="AA37" s="12">
        <v>36.07</v>
      </c>
      <c r="AB37" s="105">
        <v>8847100</v>
      </c>
      <c r="AC37" s="12">
        <v>35.89</v>
      </c>
      <c r="AD37" s="2">
        <f t="shared" si="0"/>
        <v>1.9299999999999997</v>
      </c>
      <c r="AE37" s="148">
        <f t="shared" si="1"/>
        <v>-3.6091060521933338E-3</v>
      </c>
    </row>
    <row r="38" spans="15:31" x14ac:dyDescent="0.25">
      <c r="W38" s="143">
        <v>42388</v>
      </c>
      <c r="X38" s="12">
        <v>37.68</v>
      </c>
      <c r="Y38" s="12">
        <v>37.840000000000003</v>
      </c>
      <c r="Z38" s="12">
        <v>35.630000000000003</v>
      </c>
      <c r="AA38" s="12">
        <v>36.200000000000003</v>
      </c>
      <c r="AB38" s="105">
        <v>5970700</v>
      </c>
      <c r="AC38" s="12">
        <v>36.020000000000003</v>
      </c>
      <c r="AD38" s="2">
        <f t="shared" si="0"/>
        <v>2.2100000000000009</v>
      </c>
      <c r="AE38" s="148">
        <f t="shared" si="1"/>
        <v>-2.4905251759610003E-2</v>
      </c>
    </row>
    <row r="39" spans="15:31" x14ac:dyDescent="0.25">
      <c r="W39" s="143">
        <v>42384</v>
      </c>
      <c r="X39" s="12">
        <v>36.369999999999997</v>
      </c>
      <c r="Y39" s="12">
        <v>37.19</v>
      </c>
      <c r="Z39" s="12">
        <v>36.1</v>
      </c>
      <c r="AA39" s="12">
        <v>37.130000000000003</v>
      </c>
      <c r="AB39" s="105">
        <v>6538600</v>
      </c>
      <c r="AC39" s="12">
        <v>36.94</v>
      </c>
      <c r="AD39" s="2">
        <f t="shared" si="0"/>
        <v>1.0899999999999963</v>
      </c>
      <c r="AE39" s="148">
        <f t="shared" si="1"/>
        <v>-9.3858943416466056E-3</v>
      </c>
    </row>
    <row r="40" spans="15:31" x14ac:dyDescent="0.25">
      <c r="W40" s="143">
        <v>42383</v>
      </c>
      <c r="X40" s="12">
        <v>37.61</v>
      </c>
      <c r="Y40" s="12">
        <v>38.04</v>
      </c>
      <c r="Z40" s="12">
        <v>36.880000000000003</v>
      </c>
      <c r="AA40" s="12">
        <v>37.479999999999997</v>
      </c>
      <c r="AB40" s="105">
        <v>8768300</v>
      </c>
      <c r="AC40" s="12">
        <v>37.29</v>
      </c>
      <c r="AD40" s="2">
        <f t="shared" si="0"/>
        <v>1.1599999999999966</v>
      </c>
      <c r="AE40" s="148">
        <f t="shared" si="1"/>
        <v>-1.2969825304393945E-2</v>
      </c>
    </row>
    <row r="41" spans="15:31" x14ac:dyDescent="0.25">
      <c r="W41" s="143">
        <v>42382</v>
      </c>
      <c r="X41" s="12">
        <v>40.15</v>
      </c>
      <c r="Y41" s="12">
        <v>40.78</v>
      </c>
      <c r="Z41" s="12">
        <v>37.93</v>
      </c>
      <c r="AA41" s="12">
        <v>37.97</v>
      </c>
      <c r="AB41" s="105">
        <v>7430300</v>
      </c>
      <c r="AC41" s="12">
        <v>37.78</v>
      </c>
      <c r="AD41" s="2">
        <f t="shared" si="0"/>
        <v>2.8500000000000014</v>
      </c>
      <c r="AE41" s="148">
        <f t="shared" si="1"/>
        <v>-5.0037716872014082E-2</v>
      </c>
    </row>
    <row r="42" spans="15:31" x14ac:dyDescent="0.25">
      <c r="W42" s="143">
        <v>42381</v>
      </c>
      <c r="X42" s="12">
        <v>39.81</v>
      </c>
      <c r="Y42" s="12">
        <v>40.049999999999997</v>
      </c>
      <c r="Z42" s="12">
        <v>38.869999999999997</v>
      </c>
      <c r="AA42" s="12">
        <v>39.97</v>
      </c>
      <c r="AB42" s="105">
        <v>3923000</v>
      </c>
      <c r="AC42" s="12">
        <v>39.770000000000003</v>
      </c>
      <c r="AD42" s="2">
        <f t="shared" si="0"/>
        <v>1.1799999999999997</v>
      </c>
      <c r="AE42" s="148">
        <f t="shared" si="1"/>
        <v>1.5836526181353783E-2</v>
      </c>
    </row>
    <row r="43" spans="15:31" x14ac:dyDescent="0.25">
      <c r="W43" s="143">
        <v>42380</v>
      </c>
      <c r="X43" s="12">
        <v>39.409999999999997</v>
      </c>
      <c r="Y43" s="12">
        <v>39.74</v>
      </c>
      <c r="Z43" s="12">
        <v>38.43</v>
      </c>
      <c r="AA43" s="12">
        <v>39.35</v>
      </c>
      <c r="AB43" s="105">
        <v>5387200</v>
      </c>
      <c r="AC43" s="12">
        <v>39.15</v>
      </c>
      <c r="AD43" s="2">
        <f t="shared" si="0"/>
        <v>1.3100000000000023</v>
      </c>
      <c r="AE43" s="148">
        <f t="shared" si="1"/>
        <v>-7.6569678407356623E-4</v>
      </c>
    </row>
    <row r="44" spans="15:31" x14ac:dyDescent="0.25">
      <c r="W44" s="143">
        <v>42377</v>
      </c>
      <c r="X44" s="12">
        <v>40.79</v>
      </c>
      <c r="Y44" s="12">
        <v>40.79</v>
      </c>
      <c r="Z44" s="12">
        <v>39.28</v>
      </c>
      <c r="AA44" s="12">
        <v>39.380000000000003</v>
      </c>
      <c r="AB44" s="105">
        <v>5811000</v>
      </c>
      <c r="AC44" s="12">
        <v>39.18</v>
      </c>
      <c r="AD44" s="2">
        <f t="shared" si="0"/>
        <v>1.509999999999998</v>
      </c>
      <c r="AE44" s="148">
        <f t="shared" si="1"/>
        <v>-2.3673062546723189E-2</v>
      </c>
    </row>
    <row r="45" spans="15:31" x14ac:dyDescent="0.25">
      <c r="O45" s="37"/>
      <c r="R45" s="37"/>
      <c r="W45" s="143">
        <v>42376</v>
      </c>
      <c r="X45" s="12">
        <v>41.62</v>
      </c>
      <c r="Y45" s="12">
        <v>41.62</v>
      </c>
      <c r="Z45" s="12">
        <v>40.15</v>
      </c>
      <c r="AA45" s="12">
        <v>40.33</v>
      </c>
      <c r="AB45" s="105">
        <v>6087500</v>
      </c>
      <c r="AC45" s="12">
        <v>40.130000000000003</v>
      </c>
      <c r="AD45" s="2">
        <f t="shared" si="0"/>
        <v>1.4699999999999989</v>
      </c>
      <c r="AE45" s="148">
        <f t="shared" si="1"/>
        <v>-4.4751249702451701E-2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116</v>
      </c>
      <c r="W46" s="143">
        <v>42375</v>
      </c>
      <c r="X46" s="12">
        <v>42.77</v>
      </c>
      <c r="Y46" s="12">
        <v>42.97</v>
      </c>
      <c r="Z46" s="12">
        <v>41.78</v>
      </c>
      <c r="AA46" s="12">
        <v>42.22</v>
      </c>
      <c r="AB46" s="105">
        <v>5857700</v>
      </c>
      <c r="AC46" s="12">
        <v>42.01</v>
      </c>
      <c r="AD46" s="2">
        <f t="shared" si="0"/>
        <v>1.1899999999999977</v>
      </c>
      <c r="AE46" s="148">
        <f t="shared" si="1"/>
        <v>-2.7546296296296457E-2</v>
      </c>
    </row>
    <row r="47" spans="15:31" ht="15.75" thickTop="1" x14ac:dyDescent="0.25">
      <c r="O47" s="93">
        <v>1.1000000000000001</v>
      </c>
      <c r="P47" s="93">
        <f>O47*$Q$4</f>
        <v>43.835000000000008</v>
      </c>
      <c r="Q47" s="37"/>
      <c r="R47" s="37"/>
      <c r="T47" s="138" t="s">
        <v>101</v>
      </c>
      <c r="U47" s="108">
        <v>38.700000000000003</v>
      </c>
      <c r="W47" s="143">
        <v>42374</v>
      </c>
      <c r="X47" s="12">
        <v>43.46</v>
      </c>
      <c r="Y47" s="12">
        <v>43.83</v>
      </c>
      <c r="Z47" s="12">
        <v>43.03</v>
      </c>
      <c r="AA47" s="12">
        <v>43.42</v>
      </c>
      <c r="AB47" s="105">
        <v>3693100</v>
      </c>
      <c r="AC47" s="12">
        <v>43.2</v>
      </c>
      <c r="AD47" s="2">
        <f t="shared" si="0"/>
        <v>0.79999999999999716</v>
      </c>
      <c r="AE47" s="148">
        <f t="shared" si="1"/>
        <v>-4.6274872744089812E-4</v>
      </c>
    </row>
    <row r="48" spans="15:31" x14ac:dyDescent="0.25">
      <c r="O48" s="93">
        <v>1.0900000000000001</v>
      </c>
      <c r="P48" s="93">
        <f t="shared" ref="P48:P67" si="9">O48*$Q$4</f>
        <v>43.436500000000002</v>
      </c>
      <c r="Q48" s="37"/>
      <c r="R48" s="37"/>
      <c r="T48" s="103" t="s">
        <v>102</v>
      </c>
      <c r="U48" s="98">
        <v>38.979999999999997</v>
      </c>
      <c r="W48" s="143">
        <v>42373</v>
      </c>
      <c r="X48" s="12">
        <v>43.31</v>
      </c>
      <c r="Y48" s="12">
        <v>43.57</v>
      </c>
      <c r="Z48" s="12">
        <v>42.47</v>
      </c>
      <c r="AA48" s="12">
        <v>43.44</v>
      </c>
      <c r="AB48" s="105">
        <v>5525900</v>
      </c>
      <c r="AC48" s="12">
        <v>43.22</v>
      </c>
      <c r="AD48" s="2">
        <f t="shared" si="0"/>
        <v>1.1000000000000014</v>
      </c>
      <c r="AE48" s="148">
        <f t="shared" si="1"/>
        <v>-1.459188326493388E-2</v>
      </c>
    </row>
    <row r="49" spans="15:31" x14ac:dyDescent="0.25">
      <c r="O49" s="93">
        <v>1.08</v>
      </c>
      <c r="P49" s="93">
        <f t="shared" si="9"/>
        <v>43.038000000000004</v>
      </c>
      <c r="Q49" s="37"/>
      <c r="R49" s="37"/>
      <c r="T49" s="103" t="s">
        <v>103</v>
      </c>
      <c r="U49" s="98" t="s">
        <v>376</v>
      </c>
      <c r="W49" s="143">
        <v>42369</v>
      </c>
      <c r="X49" s="12">
        <v>43.63</v>
      </c>
      <c r="Y49" s="12">
        <v>44.63</v>
      </c>
      <c r="Z49" s="12">
        <v>43.42</v>
      </c>
      <c r="AA49" s="12">
        <v>44.08</v>
      </c>
      <c r="AB49" s="105">
        <v>2155000</v>
      </c>
      <c r="AC49" s="12">
        <v>43.86</v>
      </c>
      <c r="AD49" s="2">
        <f t="shared" si="0"/>
        <v>1.2100000000000009</v>
      </c>
      <c r="AE49" s="148">
        <f t="shared" si="1"/>
        <v>7.5809786354237296E-3</v>
      </c>
    </row>
    <row r="50" spans="15:31" x14ac:dyDescent="0.25">
      <c r="O50" s="93">
        <v>1.07</v>
      </c>
      <c r="P50" s="93">
        <f t="shared" si="9"/>
        <v>42.639500000000005</v>
      </c>
      <c r="Q50" s="93"/>
      <c r="R50" s="37"/>
      <c r="T50" s="103" t="s">
        <v>104</v>
      </c>
      <c r="U50" s="98" t="s">
        <v>377</v>
      </c>
      <c r="W50" s="143">
        <v>42368</v>
      </c>
      <c r="X50" s="12">
        <v>44.29</v>
      </c>
      <c r="Y50" s="12">
        <v>44.29</v>
      </c>
      <c r="Z50" s="12">
        <v>43.74</v>
      </c>
      <c r="AA50" s="12">
        <v>43.75</v>
      </c>
      <c r="AB50" s="105">
        <v>1795900</v>
      </c>
      <c r="AC50" s="12">
        <v>43.53</v>
      </c>
      <c r="AD50" s="2">
        <f t="shared" si="0"/>
        <v>0.54999999999999716</v>
      </c>
      <c r="AE50" s="148">
        <f t="shared" si="1"/>
        <v>-1.113130395274875E-2</v>
      </c>
    </row>
    <row r="51" spans="15:31" x14ac:dyDescent="0.25">
      <c r="O51" s="93">
        <v>1.06</v>
      </c>
      <c r="P51" s="93">
        <f t="shared" si="9"/>
        <v>42.241000000000007</v>
      </c>
      <c r="Q51" s="93"/>
      <c r="R51" s="37"/>
      <c r="T51" s="103" t="s">
        <v>105</v>
      </c>
      <c r="U51" s="98">
        <v>48.33</v>
      </c>
      <c r="W51" s="143">
        <v>42367</v>
      </c>
      <c r="X51" s="12">
        <v>44.58</v>
      </c>
      <c r="Y51" s="12">
        <v>44.76</v>
      </c>
      <c r="Z51" s="12">
        <v>43.91</v>
      </c>
      <c r="AA51" s="12">
        <v>44.24</v>
      </c>
      <c r="AB51" s="105">
        <v>3038300</v>
      </c>
      <c r="AC51" s="12">
        <v>44.02</v>
      </c>
      <c r="AD51" s="2">
        <f t="shared" si="0"/>
        <v>0.85000000000000142</v>
      </c>
      <c r="AE51" s="148">
        <f t="shared" si="1"/>
        <v>-2.9445073612682782E-3</v>
      </c>
    </row>
    <row r="52" spans="15:31" x14ac:dyDescent="0.25">
      <c r="O52" s="93">
        <v>1.05</v>
      </c>
      <c r="P52" s="93">
        <f t="shared" si="9"/>
        <v>41.842500000000001</v>
      </c>
      <c r="Q52" s="93"/>
      <c r="R52" s="37"/>
      <c r="T52" s="103" t="s">
        <v>106</v>
      </c>
      <c r="U52" s="98">
        <v>1.1141700000000001</v>
      </c>
      <c r="W52" s="143">
        <v>42366</v>
      </c>
      <c r="X52" s="12">
        <v>43.61</v>
      </c>
      <c r="Y52" s="12">
        <v>44.4</v>
      </c>
      <c r="Z52" s="12">
        <v>43.17</v>
      </c>
      <c r="AA52" s="12">
        <v>44.37</v>
      </c>
      <c r="AB52" s="105">
        <v>2934600</v>
      </c>
      <c r="AC52" s="12">
        <v>44.15</v>
      </c>
      <c r="AD52" s="2">
        <f t="shared" si="0"/>
        <v>1.2299999999999969</v>
      </c>
      <c r="AE52" s="148">
        <f t="shared" si="1"/>
        <v>1.7515556579857039E-2</v>
      </c>
    </row>
    <row r="53" spans="15:31" x14ac:dyDescent="0.25">
      <c r="O53" s="93">
        <v>1.04</v>
      </c>
      <c r="P53" s="93">
        <f t="shared" si="9"/>
        <v>41.444000000000003</v>
      </c>
      <c r="Q53" s="93"/>
      <c r="R53" s="37"/>
      <c r="T53" s="103" t="s">
        <v>126</v>
      </c>
      <c r="U53" s="98" t="s">
        <v>272</v>
      </c>
      <c r="W53" s="143">
        <v>42362</v>
      </c>
      <c r="X53" s="12">
        <v>44.15</v>
      </c>
      <c r="Y53" s="12">
        <v>44.31</v>
      </c>
      <c r="Z53" s="12">
        <v>43.53</v>
      </c>
      <c r="AA53" s="12">
        <v>43.61</v>
      </c>
      <c r="AB53" s="105">
        <v>1184500</v>
      </c>
      <c r="AC53" s="12">
        <v>43.39</v>
      </c>
      <c r="AD53" s="2">
        <f t="shared" si="0"/>
        <v>0.78000000000000114</v>
      </c>
      <c r="AE53" s="148">
        <f t="shared" si="1"/>
        <v>-1.4982973893302942E-2</v>
      </c>
    </row>
    <row r="54" spans="15:31" x14ac:dyDescent="0.25">
      <c r="O54" s="93">
        <v>1.03</v>
      </c>
      <c r="P54" s="93">
        <f t="shared" si="9"/>
        <v>41.045500000000004</v>
      </c>
      <c r="Q54" s="93"/>
      <c r="R54" s="37"/>
      <c r="T54" s="103"/>
      <c r="U54" s="98"/>
      <c r="W54" s="143">
        <v>42361</v>
      </c>
      <c r="X54" s="12">
        <v>44.67</v>
      </c>
      <c r="Y54" s="12">
        <v>44.76</v>
      </c>
      <c r="Z54" s="12">
        <v>43.68</v>
      </c>
      <c r="AA54" s="12">
        <v>44.27</v>
      </c>
      <c r="AB54" s="105">
        <v>4498100</v>
      </c>
      <c r="AC54" s="12">
        <v>44.05</v>
      </c>
      <c r="AD54" s="2">
        <f t="shared" si="0"/>
        <v>1.0799999999999983</v>
      </c>
      <c r="AE54" s="148">
        <f t="shared" si="1"/>
        <v>-3.6190907034608921E-3</v>
      </c>
    </row>
    <row r="55" spans="15:31" x14ac:dyDescent="0.25">
      <c r="O55" s="93">
        <v>1.02</v>
      </c>
      <c r="P55" s="93">
        <f t="shared" si="9"/>
        <v>40.647000000000006</v>
      </c>
      <c r="Q55" s="93"/>
      <c r="R55" s="37"/>
      <c r="T55" s="103" t="s">
        <v>108</v>
      </c>
      <c r="U55" s="98" t="s">
        <v>378</v>
      </c>
      <c r="W55" s="143">
        <v>42360</v>
      </c>
      <c r="X55" s="12">
        <v>44.83</v>
      </c>
      <c r="Y55" s="12">
        <v>44.94</v>
      </c>
      <c r="Z55" s="12">
        <v>43.47</v>
      </c>
      <c r="AA55" s="12">
        <v>44.43</v>
      </c>
      <c r="AB55" s="105">
        <v>4641200</v>
      </c>
      <c r="AC55" s="12">
        <v>44.21</v>
      </c>
      <c r="AD55" s="2">
        <f t="shared" si="0"/>
        <v>1.4699999999999989</v>
      </c>
      <c r="AE55" s="148">
        <f t="shared" si="1"/>
        <v>-8.0771819609603002E-3</v>
      </c>
    </row>
    <row r="56" spans="15:31" x14ac:dyDescent="0.25">
      <c r="O56" s="93">
        <v>1.01</v>
      </c>
      <c r="P56" s="93">
        <f t="shared" si="9"/>
        <v>40.2485</v>
      </c>
      <c r="Q56" s="93"/>
      <c r="R56" s="37"/>
      <c r="T56" s="103" t="s">
        <v>109</v>
      </c>
      <c r="U56" s="98" t="s">
        <v>278</v>
      </c>
      <c r="W56" s="143">
        <v>42359</v>
      </c>
      <c r="X56" s="12">
        <v>44.94</v>
      </c>
      <c r="Y56" s="12">
        <v>45.09</v>
      </c>
      <c r="Z56" s="12">
        <v>44.43</v>
      </c>
      <c r="AA56" s="12">
        <v>44.8</v>
      </c>
      <c r="AB56" s="105">
        <v>2704700</v>
      </c>
      <c r="AC56" s="12">
        <v>44.57</v>
      </c>
      <c r="AD56" s="2">
        <f t="shared" si="0"/>
        <v>0.66000000000000369</v>
      </c>
      <c r="AE56" s="148">
        <f t="shared" si="1"/>
        <v>2.023381294964155E-3</v>
      </c>
    </row>
    <row r="57" spans="15:31" x14ac:dyDescent="0.25">
      <c r="O57" s="93">
        <v>1</v>
      </c>
      <c r="P57" s="93">
        <f t="shared" si="9"/>
        <v>39.85</v>
      </c>
      <c r="Q57" s="93"/>
      <c r="R57" s="37"/>
      <c r="T57" s="103" t="s">
        <v>110</v>
      </c>
      <c r="U57" s="100">
        <v>6918661</v>
      </c>
      <c r="W57" s="143">
        <v>42356</v>
      </c>
      <c r="X57" s="12">
        <v>44.57</v>
      </c>
      <c r="Y57" s="12">
        <v>45.03</v>
      </c>
      <c r="Z57" s="12">
        <v>44.11</v>
      </c>
      <c r="AA57" s="12">
        <v>44.71</v>
      </c>
      <c r="AB57" s="105">
        <v>5537000</v>
      </c>
      <c r="AC57" s="12">
        <v>44.48</v>
      </c>
      <c r="AD57" s="2">
        <f t="shared" si="0"/>
        <v>0.92000000000000171</v>
      </c>
      <c r="AE57" s="148">
        <f t="shared" si="1"/>
        <v>-2.4669208342679161E-3</v>
      </c>
    </row>
    <row r="58" spans="15:31" x14ac:dyDescent="0.25">
      <c r="O58" s="93">
        <v>0.99</v>
      </c>
      <c r="P58" s="93">
        <f t="shared" si="9"/>
        <v>39.451500000000003</v>
      </c>
      <c r="Q58" s="93"/>
      <c r="R58" s="37"/>
      <c r="T58" s="103" t="s">
        <v>113</v>
      </c>
      <c r="U58" s="100">
        <v>5954230</v>
      </c>
      <c r="W58" s="143">
        <v>42355</v>
      </c>
      <c r="X58" s="12">
        <v>45.33</v>
      </c>
      <c r="Y58" s="12">
        <v>45.43</v>
      </c>
      <c r="Z58" s="12">
        <v>44.04</v>
      </c>
      <c r="AA58" s="12">
        <v>44.82</v>
      </c>
      <c r="AB58" s="105">
        <v>6693900</v>
      </c>
      <c r="AC58" s="12">
        <v>44.59</v>
      </c>
      <c r="AD58" s="2">
        <f t="shared" si="0"/>
        <v>1.3900000000000006</v>
      </c>
      <c r="AE58" s="148">
        <f t="shared" si="1"/>
        <v>-8.008898776418194E-3</v>
      </c>
    </row>
    <row r="59" spans="15:31" x14ac:dyDescent="0.25">
      <c r="O59" s="93">
        <v>0.98</v>
      </c>
      <c r="P59" s="93">
        <f t="shared" si="9"/>
        <v>39.052999999999997</v>
      </c>
      <c r="Q59" s="93"/>
      <c r="T59" s="103" t="s">
        <v>111</v>
      </c>
      <c r="U59" s="98" t="s">
        <v>379</v>
      </c>
      <c r="W59" s="143">
        <v>42354</v>
      </c>
      <c r="X59" s="12">
        <v>44.98</v>
      </c>
      <c r="Y59" s="12">
        <v>45.87</v>
      </c>
      <c r="Z59" s="12">
        <v>43.91</v>
      </c>
      <c r="AA59" s="12">
        <v>45.18</v>
      </c>
      <c r="AB59" s="105">
        <v>10678200</v>
      </c>
      <c r="AC59" s="12">
        <v>44.95</v>
      </c>
      <c r="AD59" s="2">
        <f t="shared" si="0"/>
        <v>1.9600000000000009</v>
      </c>
      <c r="AE59" s="148">
        <f t="shared" si="1"/>
        <v>2.3684809838305787E-2</v>
      </c>
    </row>
    <row r="60" spans="15:31" x14ac:dyDescent="0.25">
      <c r="O60" s="93">
        <v>0.97</v>
      </c>
      <c r="P60" s="93">
        <f t="shared" si="9"/>
        <v>38.654499999999999</v>
      </c>
      <c r="Q60" s="93"/>
      <c r="T60" s="103" t="s">
        <v>114</v>
      </c>
      <c r="U60" s="98">
        <v>30.8</v>
      </c>
      <c r="W60" s="143">
        <v>42353</v>
      </c>
      <c r="X60" s="12">
        <v>42.61</v>
      </c>
      <c r="Y60" s="12">
        <v>44.48</v>
      </c>
      <c r="Z60" s="12">
        <v>42.4</v>
      </c>
      <c r="AA60" s="12">
        <v>44.13</v>
      </c>
      <c r="AB60" s="105">
        <v>20298600</v>
      </c>
      <c r="AC60" s="12">
        <v>43.91</v>
      </c>
      <c r="AD60" s="2">
        <f t="shared" si="0"/>
        <v>2.0799999999999983</v>
      </c>
      <c r="AE60" s="148">
        <f t="shared" si="1"/>
        <v>4.6971864568431165E-2</v>
      </c>
    </row>
    <row r="61" spans="15:31" x14ac:dyDescent="0.25">
      <c r="O61" s="93">
        <v>0.96</v>
      </c>
      <c r="P61" s="93">
        <f t="shared" si="9"/>
        <v>38.256</v>
      </c>
      <c r="Q61" s="93"/>
      <c r="T61" s="103" t="s">
        <v>115</v>
      </c>
      <c r="U61" s="98">
        <v>1.29</v>
      </c>
      <c r="W61" s="143">
        <v>42352</v>
      </c>
      <c r="X61" s="12">
        <v>41.63</v>
      </c>
      <c r="Y61" s="12">
        <v>43.55</v>
      </c>
      <c r="Z61" s="12">
        <v>40.119999999999997</v>
      </c>
      <c r="AA61" s="12">
        <v>42.15</v>
      </c>
      <c r="AB61" s="105">
        <v>24933300</v>
      </c>
      <c r="AC61" s="12">
        <v>41.94</v>
      </c>
      <c r="AD61" s="2">
        <f t="shared" si="0"/>
        <v>3.4299999999999997</v>
      </c>
      <c r="AE61" s="148">
        <f t="shared" si="1"/>
        <v>-6.9034406215316313E-2</v>
      </c>
    </row>
    <row r="62" spans="15:31" x14ac:dyDescent="0.25">
      <c r="O62" s="93">
        <v>0.95</v>
      </c>
      <c r="P62" s="93">
        <f t="shared" si="9"/>
        <v>37.857500000000002</v>
      </c>
      <c r="Q62" s="93"/>
      <c r="T62" s="103" t="s">
        <v>112</v>
      </c>
      <c r="U62" s="98" t="s">
        <v>315</v>
      </c>
      <c r="W62" s="143">
        <v>42349</v>
      </c>
      <c r="X62" s="12">
        <v>46.69</v>
      </c>
      <c r="Y62" s="12">
        <v>46.69</v>
      </c>
      <c r="Z62" s="12">
        <v>45.08</v>
      </c>
      <c r="AA62" s="12">
        <v>45.28</v>
      </c>
      <c r="AB62" s="105">
        <v>2253700</v>
      </c>
      <c r="AC62" s="12">
        <v>45.05</v>
      </c>
      <c r="AD62" s="2">
        <f t="shared" si="0"/>
        <v>1.6099999999999994</v>
      </c>
      <c r="AE62" s="148">
        <f t="shared" si="1"/>
        <v>-4.1081311196253689E-2</v>
      </c>
    </row>
    <row r="63" spans="15:31" x14ac:dyDescent="0.25">
      <c r="O63" s="93">
        <v>0.94</v>
      </c>
      <c r="P63" s="93">
        <f t="shared" si="9"/>
        <v>37.458999999999996</v>
      </c>
      <c r="Q63" s="93"/>
      <c r="W63" s="143">
        <v>42348</v>
      </c>
      <c r="X63" s="12">
        <v>46.58</v>
      </c>
      <c r="Y63" s="12">
        <v>48.18</v>
      </c>
      <c r="Z63" s="12">
        <v>46.48</v>
      </c>
      <c r="AA63" s="12">
        <v>47.22</v>
      </c>
      <c r="AB63" s="105">
        <v>4560800</v>
      </c>
      <c r="AC63" s="12">
        <v>46.98</v>
      </c>
      <c r="AD63" s="2">
        <f t="shared" si="0"/>
        <v>1.7000000000000028</v>
      </c>
      <c r="AE63" s="148">
        <f t="shared" si="1"/>
        <v>1.4906027219701912E-2</v>
      </c>
    </row>
    <row r="64" spans="15:31" x14ac:dyDescent="0.25">
      <c r="O64" s="93">
        <v>0.93</v>
      </c>
      <c r="P64" s="93">
        <f t="shared" si="9"/>
        <v>37.060500000000005</v>
      </c>
      <c r="Q64" s="93"/>
      <c r="W64" s="143">
        <v>42347</v>
      </c>
      <c r="X64" s="12">
        <v>46.57</v>
      </c>
      <c r="Y64" s="12">
        <v>47.54</v>
      </c>
      <c r="Z64" s="12">
        <v>45.8</v>
      </c>
      <c r="AA64" s="12">
        <v>46.52</v>
      </c>
      <c r="AB64" s="105">
        <v>4709000</v>
      </c>
      <c r="AC64" s="12">
        <v>46.29</v>
      </c>
      <c r="AD64" s="2">
        <f t="shared" si="0"/>
        <v>1.740000000000002</v>
      </c>
      <c r="AE64" s="148">
        <f t="shared" si="1"/>
        <v>-8.9916506101477278E-3</v>
      </c>
    </row>
    <row r="65" spans="15:31" x14ac:dyDescent="0.25">
      <c r="O65" s="93">
        <v>0.92</v>
      </c>
      <c r="P65" s="93">
        <f t="shared" si="9"/>
        <v>36.662000000000006</v>
      </c>
      <c r="Q65" s="93"/>
      <c r="W65" s="143">
        <v>42346</v>
      </c>
      <c r="X65" s="12">
        <v>48.24</v>
      </c>
      <c r="Y65" s="12">
        <v>48.38</v>
      </c>
      <c r="Z65" s="12">
        <v>45.53</v>
      </c>
      <c r="AA65" s="12">
        <v>46.95</v>
      </c>
      <c r="AB65" s="105">
        <v>7509100</v>
      </c>
      <c r="AC65" s="12">
        <v>46.71</v>
      </c>
      <c r="AD65" s="2">
        <f t="shared" si="0"/>
        <v>2.8500000000000014</v>
      </c>
      <c r="AE65" s="148">
        <f t="shared" si="1"/>
        <v>-2.5250417362270516E-2</v>
      </c>
    </row>
    <row r="66" spans="15:31" x14ac:dyDescent="0.25">
      <c r="O66" s="93">
        <v>0.91</v>
      </c>
      <c r="P66" s="93">
        <f t="shared" si="9"/>
        <v>36.263500000000001</v>
      </c>
      <c r="Q66" s="93"/>
      <c r="W66" s="143">
        <v>42345</v>
      </c>
      <c r="X66" s="12">
        <v>44.67</v>
      </c>
      <c r="Y66" s="12">
        <v>50.9</v>
      </c>
      <c r="Z66" s="12">
        <v>43.95</v>
      </c>
      <c r="AA66" s="12">
        <v>48.16</v>
      </c>
      <c r="AB66" s="105">
        <v>7264600</v>
      </c>
      <c r="AC66" s="12">
        <v>47.92</v>
      </c>
      <c r="AD66" s="2">
        <f t="shared" si="0"/>
        <v>6.9499999999999957</v>
      </c>
      <c r="AE66" s="148">
        <f t="shared" si="1"/>
        <v>7.4439461883408109E-2</v>
      </c>
    </row>
    <row r="67" spans="15:31" x14ac:dyDescent="0.25">
      <c r="O67" s="93">
        <v>0.9</v>
      </c>
      <c r="P67" s="93">
        <f t="shared" si="9"/>
        <v>35.865000000000002</v>
      </c>
      <c r="Q67" s="93"/>
      <c r="W67" s="143">
        <v>42342</v>
      </c>
      <c r="X67" s="12">
        <v>43.98</v>
      </c>
      <c r="Y67" s="12">
        <v>44.89</v>
      </c>
      <c r="Z67" s="12">
        <v>43.85</v>
      </c>
      <c r="AA67" s="12">
        <v>44.83</v>
      </c>
      <c r="AB67" s="105">
        <v>1666400</v>
      </c>
      <c r="AC67" s="12">
        <v>44.6</v>
      </c>
      <c r="AD67" s="2">
        <f t="shared" ref="AD67:AD68" si="10">Y67-Z67</f>
        <v>1.0399999999999991</v>
      </c>
      <c r="AE67" s="148">
        <f t="shared" ref="AE67" si="11">AC67/AC68-1</f>
        <v>2.3405231757687162E-2</v>
      </c>
    </row>
    <row r="68" spans="15:31" x14ac:dyDescent="0.25">
      <c r="O68" s="37"/>
      <c r="W68" s="143">
        <v>42341</v>
      </c>
      <c r="X68" s="12">
        <v>44.9</v>
      </c>
      <c r="Y68" s="12">
        <v>44.9</v>
      </c>
      <c r="Z68" s="12">
        <v>43.52</v>
      </c>
      <c r="AA68" s="12">
        <v>43.8</v>
      </c>
      <c r="AB68" s="105">
        <v>1997500</v>
      </c>
      <c r="AC68" s="12">
        <v>43.58</v>
      </c>
      <c r="AD68" s="2">
        <f t="shared" si="10"/>
        <v>1.3799999999999955</v>
      </c>
      <c r="AE68" s="148" t="e">
        <f>AC68/AC69-1</f>
        <v>#DIV/0!</v>
      </c>
    </row>
    <row r="69" spans="15:31" x14ac:dyDescent="0.25">
      <c r="O69" s="37"/>
      <c r="W69" s="337" t="s">
        <v>125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:H30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42438</v>
      </c>
      <c r="X2" s="12">
        <v>57.27</v>
      </c>
      <c r="Y2" s="12">
        <v>58.5</v>
      </c>
      <c r="Z2" s="12">
        <v>56.73</v>
      </c>
      <c r="AA2" s="12">
        <v>58.14</v>
      </c>
      <c r="AB2" s="105">
        <v>2958000</v>
      </c>
      <c r="AC2" s="12">
        <v>58.14</v>
      </c>
      <c r="AD2" s="2">
        <f>Y2-Z2</f>
        <v>1.7700000000000031</v>
      </c>
      <c r="AE2" s="148">
        <f>AC2/AC3-1</f>
        <v>2.4493392070484621E-2</v>
      </c>
      <c r="AP2" t="s">
        <v>191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58.14</v>
      </c>
      <c r="T3" s="1">
        <v>42312</v>
      </c>
      <c r="U3" t="s">
        <v>173</v>
      </c>
      <c r="W3" s="143">
        <v>42437</v>
      </c>
      <c r="X3" s="12">
        <v>57.08</v>
      </c>
      <c r="Y3" s="12">
        <v>57.61</v>
      </c>
      <c r="Z3" s="12">
        <v>56.34</v>
      </c>
      <c r="AA3" s="12">
        <v>56.75</v>
      </c>
      <c r="AB3" s="105">
        <v>2278300</v>
      </c>
      <c r="AC3" s="12">
        <v>56.75</v>
      </c>
      <c r="AD3" s="2">
        <f t="shared" ref="AD3:AD66" si="1">Y3-Z3</f>
        <v>1.269999999999996</v>
      </c>
      <c r="AE3" s="148">
        <f t="shared" ref="AE3:AE66" si="2">AC3/AC4-1</f>
        <v>-1.184050148006266E-2</v>
      </c>
      <c r="AI3" t="s">
        <v>193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58.14</v>
      </c>
      <c r="W4" s="143">
        <v>42436</v>
      </c>
      <c r="X4" s="12">
        <v>57.14</v>
      </c>
      <c r="Y4" s="12">
        <v>57.7</v>
      </c>
      <c r="Z4" s="12">
        <v>56.77</v>
      </c>
      <c r="AA4" s="12">
        <v>57.43</v>
      </c>
      <c r="AB4" s="105">
        <v>2010100</v>
      </c>
      <c r="AC4" s="12">
        <v>57.43</v>
      </c>
      <c r="AD4" s="2">
        <f t="shared" si="1"/>
        <v>0.92999999999999972</v>
      </c>
      <c r="AE4" s="148">
        <f t="shared" si="2"/>
        <v>4.7235829251224271E-3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42433</v>
      </c>
      <c r="X5" s="12">
        <v>57.52</v>
      </c>
      <c r="Y5" s="12">
        <v>57.86</v>
      </c>
      <c r="Z5" s="12">
        <v>56.87</v>
      </c>
      <c r="AA5" s="12">
        <v>57.16</v>
      </c>
      <c r="AB5" s="105">
        <v>2317700</v>
      </c>
      <c r="AC5" s="12">
        <v>57.16</v>
      </c>
      <c r="AD5" s="2">
        <f t="shared" si="1"/>
        <v>0.99000000000000199</v>
      </c>
      <c r="AE5" s="148">
        <f t="shared" si="2"/>
        <v>-5.2456723203364586E-4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42432</v>
      </c>
      <c r="X6" s="12">
        <v>57.75</v>
      </c>
      <c r="Y6" s="12">
        <v>57.76</v>
      </c>
      <c r="Z6" s="12">
        <v>56.71</v>
      </c>
      <c r="AA6" s="12">
        <v>57.19</v>
      </c>
      <c r="AB6" s="105">
        <v>3155500</v>
      </c>
      <c r="AC6" s="12">
        <v>57.19</v>
      </c>
      <c r="AD6" s="2">
        <f t="shared" si="1"/>
        <v>1.0499999999999972</v>
      </c>
      <c r="AE6" s="148">
        <f t="shared" si="2"/>
        <v>-1.1237897648686102E-2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42431</v>
      </c>
      <c r="X7" s="12">
        <v>57.35</v>
      </c>
      <c r="Y7" s="12">
        <v>57.87</v>
      </c>
      <c r="Z7" s="12">
        <v>56.62</v>
      </c>
      <c r="AA7" s="12">
        <v>57.84</v>
      </c>
      <c r="AB7" s="105">
        <v>2704800</v>
      </c>
      <c r="AC7" s="12">
        <v>57.84</v>
      </c>
      <c r="AD7" s="2">
        <f t="shared" si="1"/>
        <v>1.25</v>
      </c>
      <c r="AE7" s="148">
        <f t="shared" si="2"/>
        <v>9.6002792808518311E-3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42430</v>
      </c>
      <c r="X8" s="12">
        <v>56.99</v>
      </c>
      <c r="Y8" s="12">
        <v>57.74</v>
      </c>
      <c r="Z8" s="12">
        <v>56.76</v>
      </c>
      <c r="AA8" s="12">
        <v>57.29</v>
      </c>
      <c r="AB8" s="105">
        <v>3547300</v>
      </c>
      <c r="AC8" s="12">
        <v>57.29</v>
      </c>
      <c r="AD8" s="2">
        <f t="shared" si="1"/>
        <v>0.98000000000000398</v>
      </c>
      <c r="AE8" s="148">
        <f t="shared" si="2"/>
        <v>1.1297440423654104E-2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42429</v>
      </c>
      <c r="X9" s="12">
        <v>56.75</v>
      </c>
      <c r="Y9" s="12">
        <v>57.39</v>
      </c>
      <c r="Z9" s="12">
        <v>56.33</v>
      </c>
      <c r="AA9" s="12">
        <v>56.65</v>
      </c>
      <c r="AB9" s="105">
        <v>4104800</v>
      </c>
      <c r="AC9" s="12">
        <v>56.65</v>
      </c>
      <c r="AD9" s="2">
        <f t="shared" si="1"/>
        <v>1.0600000000000023</v>
      </c>
      <c r="AE9" s="148">
        <f t="shared" si="2"/>
        <v>1.237186284906322E-3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42426</v>
      </c>
      <c r="X10" s="12">
        <v>56.52</v>
      </c>
      <c r="Y10" s="12">
        <v>57.24</v>
      </c>
      <c r="Z10" s="12">
        <v>55.43</v>
      </c>
      <c r="AA10" s="12">
        <v>56.58</v>
      </c>
      <c r="AB10" s="105">
        <v>3848700</v>
      </c>
      <c r="AC10" s="12">
        <v>56.58</v>
      </c>
      <c r="AD10" s="2">
        <f t="shared" si="1"/>
        <v>1.8100000000000023</v>
      </c>
      <c r="AE10" s="148">
        <f t="shared" si="2"/>
        <v>1.9479369576766992E-3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42425</v>
      </c>
      <c r="X11" s="12">
        <v>55.22</v>
      </c>
      <c r="Y11" s="12">
        <v>56.66</v>
      </c>
      <c r="Z11" s="12">
        <v>55.02</v>
      </c>
      <c r="AA11" s="12">
        <v>56.47</v>
      </c>
      <c r="AB11" s="105">
        <v>3634400</v>
      </c>
      <c r="AC11" s="12">
        <v>56.47</v>
      </c>
      <c r="AD11" s="2">
        <f t="shared" si="1"/>
        <v>1.6399999999999935</v>
      </c>
      <c r="AE11" s="148">
        <f t="shared" si="2"/>
        <v>1.8578643578643694E-2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42424</v>
      </c>
      <c r="X12" s="12">
        <v>54.2</v>
      </c>
      <c r="Y12" s="12">
        <v>55.83</v>
      </c>
      <c r="Z12" s="12">
        <v>54.12</v>
      </c>
      <c r="AA12" s="12">
        <v>55.44</v>
      </c>
      <c r="AB12" s="105">
        <v>3494900</v>
      </c>
      <c r="AC12" s="12">
        <v>55.44</v>
      </c>
      <c r="AD12" s="2">
        <f t="shared" si="1"/>
        <v>1.7100000000000009</v>
      </c>
      <c r="AE12" s="148">
        <f t="shared" si="2"/>
        <v>1.2232974255979467E-2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42423</v>
      </c>
      <c r="X13" s="12">
        <v>54.56</v>
      </c>
      <c r="Y13" s="12">
        <v>55.77</v>
      </c>
      <c r="Z13" s="12">
        <v>54.15</v>
      </c>
      <c r="AA13" s="12">
        <v>54.77</v>
      </c>
      <c r="AB13" s="105">
        <v>3179800</v>
      </c>
      <c r="AC13" s="12">
        <v>54.77</v>
      </c>
      <c r="AD13" s="2">
        <f t="shared" si="1"/>
        <v>1.6200000000000045</v>
      </c>
      <c r="AE13" s="148">
        <f t="shared" si="2"/>
        <v>-9.1207588471353684E-4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42422</v>
      </c>
      <c r="X14" s="12">
        <v>53.01</v>
      </c>
      <c r="Y14" s="12">
        <v>55</v>
      </c>
      <c r="Z14" s="12">
        <v>52.74</v>
      </c>
      <c r="AA14" s="12">
        <v>54.82</v>
      </c>
      <c r="AB14" s="105">
        <v>4837900</v>
      </c>
      <c r="AC14" s="12">
        <v>54.82</v>
      </c>
      <c r="AD14" s="2">
        <f t="shared" si="1"/>
        <v>2.259999999999998</v>
      </c>
      <c r="AE14" s="148">
        <f t="shared" si="2"/>
        <v>3.9635880902711973E-2</v>
      </c>
    </row>
    <row r="15" spans="1:43" x14ac:dyDescent="0.25">
      <c r="B15" s="1"/>
      <c r="C15" s="4"/>
      <c r="W15" s="143">
        <v>42419</v>
      </c>
      <c r="X15" s="12">
        <v>52.78</v>
      </c>
      <c r="Y15" s="12">
        <v>53.28</v>
      </c>
      <c r="Z15" s="12">
        <v>51.91</v>
      </c>
      <c r="AA15" s="12">
        <v>52.73</v>
      </c>
      <c r="AB15" s="105">
        <v>2631600</v>
      </c>
      <c r="AC15" s="12">
        <v>52.73</v>
      </c>
      <c r="AD15" s="2">
        <f t="shared" si="1"/>
        <v>1.3700000000000045</v>
      </c>
      <c r="AE15" s="148">
        <f t="shared" si="2"/>
        <v>-9.5792637114952006E-3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42418</v>
      </c>
      <c r="X16" s="12">
        <v>52.54</v>
      </c>
      <c r="Y16" s="12">
        <v>53.93</v>
      </c>
      <c r="Z16" s="12">
        <v>52.07</v>
      </c>
      <c r="AA16" s="12">
        <v>53.24</v>
      </c>
      <c r="AB16" s="105">
        <v>4843200</v>
      </c>
      <c r="AC16" s="12">
        <v>53.24</v>
      </c>
      <c r="AD16" s="2">
        <f t="shared" si="1"/>
        <v>1.8599999999999994</v>
      </c>
      <c r="AE16" s="148">
        <f t="shared" si="2"/>
        <v>1.4288435892551021E-2</v>
      </c>
    </row>
    <row r="17" spans="2:31" x14ac:dyDescent="0.25">
      <c r="G17" s="2"/>
      <c r="W17" s="143">
        <v>42417</v>
      </c>
      <c r="X17" s="12">
        <v>51.78</v>
      </c>
      <c r="Y17" s="12">
        <v>52.54</v>
      </c>
      <c r="Z17" s="12">
        <v>51.55</v>
      </c>
      <c r="AA17" s="12">
        <v>52.49</v>
      </c>
      <c r="AB17" s="105">
        <v>4791400</v>
      </c>
      <c r="AC17" s="12">
        <v>52.49</v>
      </c>
      <c r="AD17" s="2">
        <f t="shared" si="1"/>
        <v>0.99000000000000199</v>
      </c>
      <c r="AE17" s="148">
        <f t="shared" si="2"/>
        <v>3.4081954294720385E-2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18" t="s">
        <v>90</v>
      </c>
      <c r="W18" s="143">
        <v>42416</v>
      </c>
      <c r="X18" s="12">
        <v>50.05</v>
      </c>
      <c r="Y18" s="12">
        <v>51.6</v>
      </c>
      <c r="Z18" s="12">
        <v>49.25</v>
      </c>
      <c r="AA18" s="12">
        <v>50.76</v>
      </c>
      <c r="AB18" s="105">
        <v>3891000</v>
      </c>
      <c r="AC18" s="12">
        <v>50.76</v>
      </c>
      <c r="AD18" s="2">
        <f t="shared" si="1"/>
        <v>2.3500000000000014</v>
      </c>
      <c r="AE18" s="148">
        <f t="shared" si="2"/>
        <v>2.4006455517449954E-2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42412</v>
      </c>
      <c r="X19" s="12">
        <v>49.57</v>
      </c>
      <c r="Y19" s="12">
        <v>50</v>
      </c>
      <c r="Z19" s="12">
        <v>48.13</v>
      </c>
      <c r="AA19" s="12">
        <v>49.57</v>
      </c>
      <c r="AB19" s="105">
        <v>4214200</v>
      </c>
      <c r="AC19" s="12">
        <v>49.57</v>
      </c>
      <c r="AD19" s="2">
        <f t="shared" si="1"/>
        <v>1.8699999999999974</v>
      </c>
      <c r="AE19" s="148">
        <f t="shared" si="2"/>
        <v>8.7505087505086454E-3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42411</v>
      </c>
      <c r="X20" s="12">
        <v>49.72</v>
      </c>
      <c r="Y20" s="12">
        <v>50.44</v>
      </c>
      <c r="Z20" s="12">
        <v>48.6</v>
      </c>
      <c r="AA20" s="12">
        <v>49.14</v>
      </c>
      <c r="AB20" s="105">
        <v>4508200</v>
      </c>
      <c r="AC20" s="12">
        <v>49.14</v>
      </c>
      <c r="AD20" s="2">
        <f t="shared" si="1"/>
        <v>1.8399999999999963</v>
      </c>
      <c r="AE20" s="148">
        <f t="shared" si="2"/>
        <v>-2.0334928229664984E-2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42410</v>
      </c>
      <c r="X21" s="12">
        <v>51</v>
      </c>
      <c r="Y21" s="12">
        <v>51.64</v>
      </c>
      <c r="Z21" s="12">
        <v>49.54</v>
      </c>
      <c r="AA21" s="12">
        <v>50.16</v>
      </c>
      <c r="AB21" s="105">
        <v>3698800</v>
      </c>
      <c r="AC21" s="12">
        <v>50.16</v>
      </c>
      <c r="AD21" s="2">
        <f t="shared" si="1"/>
        <v>2.1000000000000014</v>
      </c>
      <c r="AE21" s="148">
        <f t="shared" si="2"/>
        <v>-1.3935894883535527E-3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42409</v>
      </c>
      <c r="X22" s="12">
        <v>48.32</v>
      </c>
      <c r="Y22" s="12">
        <v>50.87</v>
      </c>
      <c r="Z22" s="12">
        <v>48.32</v>
      </c>
      <c r="AA22" s="12">
        <v>50.23</v>
      </c>
      <c r="AB22" s="105">
        <v>4482600</v>
      </c>
      <c r="AC22" s="12">
        <v>50.23</v>
      </c>
      <c r="AD22" s="2">
        <f t="shared" si="1"/>
        <v>2.5499999999999972</v>
      </c>
      <c r="AE22" s="148">
        <f t="shared" si="2"/>
        <v>5.9760956175280988E-4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42408</v>
      </c>
      <c r="X23" s="12">
        <v>51.46</v>
      </c>
      <c r="Y23" s="12">
        <v>52.07</v>
      </c>
      <c r="Z23" s="12">
        <v>49.34</v>
      </c>
      <c r="AA23" s="12">
        <v>50.2</v>
      </c>
      <c r="AB23" s="105">
        <v>5403600</v>
      </c>
      <c r="AC23" s="12">
        <v>50.2</v>
      </c>
      <c r="AD23" s="2">
        <f t="shared" si="1"/>
        <v>2.7299999999999969</v>
      </c>
      <c r="AE23" s="148">
        <f t="shared" si="2"/>
        <v>-3.1635802469135776E-2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42405</v>
      </c>
      <c r="X24" s="12">
        <v>51.38</v>
      </c>
      <c r="Y24" s="12">
        <v>52.47</v>
      </c>
      <c r="Z24" s="12">
        <v>50.73</v>
      </c>
      <c r="AA24" s="12">
        <v>51.84</v>
      </c>
      <c r="AB24" s="105">
        <v>5363000</v>
      </c>
      <c r="AC24" s="12">
        <v>51.84</v>
      </c>
      <c r="AD24" s="2">
        <f t="shared" si="1"/>
        <v>1.740000000000002</v>
      </c>
      <c r="AE24" s="148">
        <f t="shared" si="2"/>
        <v>2.3201856148493682E-3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42404</v>
      </c>
      <c r="X25" s="12">
        <v>51.1</v>
      </c>
      <c r="Y25" s="12">
        <v>52.15</v>
      </c>
      <c r="Z25" s="12">
        <v>50.7</v>
      </c>
      <c r="AA25" s="12">
        <v>51.72</v>
      </c>
      <c r="AB25" s="105">
        <v>6332400</v>
      </c>
      <c r="AC25" s="12">
        <v>51.72</v>
      </c>
      <c r="AD25" s="2">
        <f t="shared" si="1"/>
        <v>1.4499999999999957</v>
      </c>
      <c r="AE25" s="148">
        <f t="shared" si="2"/>
        <v>0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42403</v>
      </c>
      <c r="X26" s="12">
        <v>49.84</v>
      </c>
      <c r="Y26" s="12">
        <v>52.63</v>
      </c>
      <c r="Z26" s="12">
        <v>49.24</v>
      </c>
      <c r="AA26" s="12">
        <v>51.72</v>
      </c>
      <c r="AB26" s="105">
        <v>11622900</v>
      </c>
      <c r="AC26" s="12">
        <v>51.72</v>
      </c>
      <c r="AD26" s="2">
        <f t="shared" si="1"/>
        <v>3.3900000000000006</v>
      </c>
      <c r="AE26" s="148">
        <f t="shared" si="2"/>
        <v>3.2129315505887046E-2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42402</v>
      </c>
      <c r="X27" s="12">
        <v>47.11</v>
      </c>
      <c r="Y27" s="12">
        <v>51.05</v>
      </c>
      <c r="Z27" s="12">
        <v>46.44</v>
      </c>
      <c r="AA27" s="12">
        <v>50.11</v>
      </c>
      <c r="AB27" s="105">
        <v>28498600</v>
      </c>
      <c r="AC27" s="12">
        <v>50.11</v>
      </c>
      <c r="AD27" s="2">
        <f t="shared" si="1"/>
        <v>4.6099999999999994</v>
      </c>
      <c r="AE27" s="148">
        <f t="shared" si="2"/>
        <v>0.23911968348170132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42401</v>
      </c>
      <c r="X28" s="12">
        <v>39.93</v>
      </c>
      <c r="Y28" s="12">
        <v>40.78</v>
      </c>
      <c r="Z28" s="12">
        <v>39.619999999999997</v>
      </c>
      <c r="AA28" s="12">
        <v>40.44</v>
      </c>
      <c r="AB28" s="105">
        <v>4745900</v>
      </c>
      <c r="AC28" s="12">
        <v>40.44</v>
      </c>
      <c r="AD28" s="2">
        <f t="shared" si="1"/>
        <v>1.1600000000000037</v>
      </c>
      <c r="AE28" s="148">
        <f t="shared" si="2"/>
        <v>1.3533834586466176E-2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42398</v>
      </c>
      <c r="X29" s="12">
        <v>38.89</v>
      </c>
      <c r="Y29" s="12">
        <v>40</v>
      </c>
      <c r="Z29" s="12">
        <v>38.69</v>
      </c>
      <c r="AA29" s="12">
        <v>39.9</v>
      </c>
      <c r="AB29" s="105">
        <v>3167800</v>
      </c>
      <c r="AC29" s="12">
        <v>39.9</v>
      </c>
      <c r="AD29" s="2">
        <f t="shared" si="1"/>
        <v>1.3100000000000023</v>
      </c>
      <c r="AE29" s="148">
        <f t="shared" si="2"/>
        <v>3.0209140201394424E-2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42397</v>
      </c>
      <c r="X30" s="12">
        <v>38.700000000000003</v>
      </c>
      <c r="Y30" s="12">
        <v>39.049999999999997</v>
      </c>
      <c r="Z30" s="12">
        <v>37.79</v>
      </c>
      <c r="AA30" s="12">
        <v>38.729999999999997</v>
      </c>
      <c r="AB30" s="105">
        <v>2444700</v>
      </c>
      <c r="AC30" s="12">
        <v>38.729999999999997</v>
      </c>
      <c r="AD30" s="2">
        <f t="shared" si="1"/>
        <v>1.259999999999998</v>
      </c>
      <c r="AE30" s="148">
        <f t="shared" si="2"/>
        <v>1.8406521167499301E-2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42396</v>
      </c>
      <c r="X31" s="12">
        <v>37.57</v>
      </c>
      <c r="Y31" s="12">
        <v>39.08</v>
      </c>
      <c r="Z31" s="12">
        <v>37.33</v>
      </c>
      <c r="AA31" s="12">
        <v>38.03</v>
      </c>
      <c r="AB31" s="105">
        <v>2869500</v>
      </c>
      <c r="AC31" s="12">
        <v>38.03</v>
      </c>
      <c r="AD31" s="2">
        <f t="shared" si="1"/>
        <v>1.75</v>
      </c>
      <c r="AE31" s="148">
        <f t="shared" si="2"/>
        <v>6.3508864779042717E-3</v>
      </c>
    </row>
    <row r="32" spans="2:31" x14ac:dyDescent="0.25">
      <c r="W32" s="143">
        <v>42395</v>
      </c>
      <c r="X32" s="12">
        <v>37.07</v>
      </c>
      <c r="Y32" s="12">
        <v>38.11</v>
      </c>
      <c r="Z32" s="12">
        <v>36.729999999999997</v>
      </c>
      <c r="AA32" s="12">
        <v>37.79</v>
      </c>
      <c r="AB32" s="105">
        <v>2547000</v>
      </c>
      <c r="AC32" s="12">
        <v>37.79</v>
      </c>
      <c r="AD32" s="2">
        <f t="shared" si="1"/>
        <v>1.3800000000000026</v>
      </c>
      <c r="AE32" s="148">
        <f t="shared" si="2"/>
        <v>2.8859243125510581E-2</v>
      </c>
    </row>
    <row r="33" spans="15:31" x14ac:dyDescent="0.25">
      <c r="W33" s="143">
        <v>42394</v>
      </c>
      <c r="X33" s="12">
        <v>38.119999999999997</v>
      </c>
      <c r="Y33" s="12">
        <v>38.369999999999997</v>
      </c>
      <c r="Z33" s="12">
        <v>36.57</v>
      </c>
      <c r="AA33" s="12">
        <v>36.729999999999997</v>
      </c>
      <c r="AB33" s="105">
        <v>3301500</v>
      </c>
      <c r="AC33" s="12">
        <v>36.729999999999997</v>
      </c>
      <c r="AD33" s="2">
        <f t="shared" si="1"/>
        <v>1.7999999999999972</v>
      </c>
      <c r="AE33" s="148">
        <f t="shared" si="2"/>
        <v>-4.3738609737047685E-2</v>
      </c>
    </row>
    <row r="34" spans="15:31" x14ac:dyDescent="0.25">
      <c r="W34" s="143">
        <v>42391</v>
      </c>
      <c r="X34" s="12">
        <v>38.06</v>
      </c>
      <c r="Y34" s="12">
        <v>38.78</v>
      </c>
      <c r="Z34" s="12">
        <v>37.89</v>
      </c>
      <c r="AA34" s="12">
        <v>38.409999999999997</v>
      </c>
      <c r="AB34" s="105">
        <v>2042100</v>
      </c>
      <c r="AC34" s="12">
        <v>38.409999999999997</v>
      </c>
      <c r="AD34" s="2">
        <f t="shared" si="1"/>
        <v>0.89000000000000057</v>
      </c>
      <c r="AE34" s="148">
        <f t="shared" si="2"/>
        <v>2.3993601706211676E-2</v>
      </c>
    </row>
    <row r="35" spans="15:31" x14ac:dyDescent="0.25">
      <c r="W35" s="143">
        <v>42390</v>
      </c>
      <c r="X35" s="12">
        <v>37</v>
      </c>
      <c r="Y35" s="12">
        <v>38.36</v>
      </c>
      <c r="Z35" s="12">
        <v>36.43</v>
      </c>
      <c r="AA35" s="12">
        <v>37.51</v>
      </c>
      <c r="AB35" s="105">
        <v>3488000</v>
      </c>
      <c r="AC35" s="12">
        <v>37.51</v>
      </c>
      <c r="AD35" s="2">
        <f t="shared" si="1"/>
        <v>1.9299999999999997</v>
      </c>
      <c r="AE35" s="148">
        <f t="shared" si="2"/>
        <v>2.7952863798300864E-2</v>
      </c>
    </row>
    <row r="36" spans="15:31" x14ac:dyDescent="0.25">
      <c r="W36" s="143">
        <v>42389</v>
      </c>
      <c r="X36" s="12">
        <v>35</v>
      </c>
      <c r="Y36" s="12">
        <v>36.89</v>
      </c>
      <c r="Z36" s="12">
        <v>34.83</v>
      </c>
      <c r="AA36" s="12">
        <v>36.49</v>
      </c>
      <c r="AB36" s="105">
        <v>3312100</v>
      </c>
      <c r="AC36" s="12">
        <v>36.49</v>
      </c>
      <c r="AD36" s="2">
        <f t="shared" si="1"/>
        <v>2.0600000000000023</v>
      </c>
      <c r="AE36" s="148">
        <f t="shared" si="2"/>
        <v>2.0413870246085208E-2</v>
      </c>
    </row>
    <row r="37" spans="15:31" x14ac:dyDescent="0.25">
      <c r="W37" s="143">
        <v>42388</v>
      </c>
      <c r="X37" s="12">
        <v>36.15</v>
      </c>
      <c r="Y37" s="12">
        <v>36.369999999999997</v>
      </c>
      <c r="Z37" s="12">
        <v>35.33</v>
      </c>
      <c r="AA37" s="12">
        <v>35.76</v>
      </c>
      <c r="AB37" s="105">
        <v>2950800</v>
      </c>
      <c r="AC37" s="12">
        <v>35.76</v>
      </c>
      <c r="AD37" s="2">
        <f t="shared" si="1"/>
        <v>1.0399999999999991</v>
      </c>
      <c r="AE37" s="148">
        <f t="shared" si="2"/>
        <v>5.3415799831317834E-3</v>
      </c>
    </row>
    <row r="38" spans="15:31" x14ac:dyDescent="0.25">
      <c r="W38" s="143">
        <v>42384</v>
      </c>
      <c r="X38" s="12">
        <v>35.049999999999997</v>
      </c>
      <c r="Y38" s="12">
        <v>36.03</v>
      </c>
      <c r="Z38" s="12">
        <v>34.909999999999997</v>
      </c>
      <c r="AA38" s="12">
        <v>35.57</v>
      </c>
      <c r="AB38" s="105">
        <v>3917900</v>
      </c>
      <c r="AC38" s="12">
        <v>35.57</v>
      </c>
      <c r="AD38" s="2">
        <f t="shared" si="1"/>
        <v>1.1200000000000045</v>
      </c>
      <c r="AE38" s="148">
        <f t="shared" si="2"/>
        <v>-1.4954306286347196E-2</v>
      </c>
    </row>
    <row r="39" spans="15:31" x14ac:dyDescent="0.25">
      <c r="W39" s="143">
        <v>42383</v>
      </c>
      <c r="X39" s="12">
        <v>36.26</v>
      </c>
      <c r="Y39" s="12">
        <v>36.619999999999997</v>
      </c>
      <c r="Z39" s="12">
        <v>35.020000000000003</v>
      </c>
      <c r="AA39" s="12">
        <v>36.11</v>
      </c>
      <c r="AB39" s="105">
        <v>2752200</v>
      </c>
      <c r="AC39" s="12">
        <v>36.11</v>
      </c>
      <c r="AD39" s="2">
        <f t="shared" si="1"/>
        <v>1.5999999999999943</v>
      </c>
      <c r="AE39" s="148">
        <f t="shared" si="2"/>
        <v>-1.1065006915629283E-3</v>
      </c>
    </row>
    <row r="40" spans="15:31" x14ac:dyDescent="0.25">
      <c r="W40" s="143">
        <v>42382</v>
      </c>
      <c r="X40" s="12">
        <v>37.67</v>
      </c>
      <c r="Y40" s="12">
        <v>38.119999999999997</v>
      </c>
      <c r="Z40" s="12">
        <v>36.06</v>
      </c>
      <c r="AA40" s="12">
        <v>36.15</v>
      </c>
      <c r="AB40" s="105">
        <v>3043900</v>
      </c>
      <c r="AC40" s="12">
        <v>36.15</v>
      </c>
      <c r="AD40" s="2">
        <f t="shared" si="1"/>
        <v>2.0599999999999952</v>
      </c>
      <c r="AE40" s="148">
        <f t="shared" si="2"/>
        <v>-3.6513859275053462E-2</v>
      </c>
    </row>
    <row r="41" spans="15:31" x14ac:dyDescent="0.25">
      <c r="W41" s="143">
        <v>42381</v>
      </c>
      <c r="X41" s="12">
        <v>37.71</v>
      </c>
      <c r="Y41" s="12">
        <v>37.99</v>
      </c>
      <c r="Z41" s="12">
        <v>36.81</v>
      </c>
      <c r="AA41" s="12">
        <v>37.520000000000003</v>
      </c>
      <c r="AB41" s="105">
        <v>1876200</v>
      </c>
      <c r="AC41" s="12">
        <v>37.520000000000003</v>
      </c>
      <c r="AD41" s="2">
        <f t="shared" si="1"/>
        <v>1.1799999999999997</v>
      </c>
      <c r="AE41" s="148">
        <f t="shared" si="2"/>
        <v>1.0231556273559539E-2</v>
      </c>
    </row>
    <row r="42" spans="15:31" x14ac:dyDescent="0.25">
      <c r="W42" s="143">
        <v>42380</v>
      </c>
      <c r="X42" s="12">
        <v>37.58</v>
      </c>
      <c r="Y42" s="12">
        <v>38.22</v>
      </c>
      <c r="Z42" s="12">
        <v>36.590000000000003</v>
      </c>
      <c r="AA42" s="12">
        <v>37.14</v>
      </c>
      <c r="AB42" s="105">
        <v>3564900</v>
      </c>
      <c r="AC42" s="12">
        <v>37.14</v>
      </c>
      <c r="AD42" s="2">
        <f t="shared" si="1"/>
        <v>1.6299999999999955</v>
      </c>
      <c r="AE42" s="148">
        <f t="shared" si="2"/>
        <v>-1.7200317544323829E-2</v>
      </c>
    </row>
    <row r="43" spans="15:31" x14ac:dyDescent="0.25">
      <c r="W43" s="143">
        <v>42377</v>
      </c>
      <c r="X43" s="12">
        <v>39.130000000000003</v>
      </c>
      <c r="Y43" s="12">
        <v>39.35</v>
      </c>
      <c r="Z43" s="12">
        <v>37.729999999999997</v>
      </c>
      <c r="AA43" s="12">
        <v>37.79</v>
      </c>
      <c r="AB43" s="105">
        <v>3952800</v>
      </c>
      <c r="AC43" s="12">
        <v>37.79</v>
      </c>
      <c r="AD43" s="2">
        <f t="shared" si="1"/>
        <v>1.6200000000000045</v>
      </c>
      <c r="AE43" s="148">
        <f t="shared" si="2"/>
        <v>-3.003080082135523E-2</v>
      </c>
    </row>
    <row r="44" spans="15:31" x14ac:dyDescent="0.25">
      <c r="W44" s="143">
        <v>42376</v>
      </c>
      <c r="X44" s="12">
        <v>39.020000000000003</v>
      </c>
      <c r="Y44" s="12">
        <v>40.28</v>
      </c>
      <c r="Z44" s="12">
        <v>38.729999999999997</v>
      </c>
      <c r="AA44" s="12">
        <v>38.96</v>
      </c>
      <c r="AB44" s="105">
        <v>2807100</v>
      </c>
      <c r="AC44" s="12">
        <v>38.96</v>
      </c>
      <c r="AD44" s="2">
        <f t="shared" si="1"/>
        <v>1.5500000000000043</v>
      </c>
      <c r="AE44" s="148">
        <f t="shared" si="2"/>
        <v>-2.0120724346076369E-2</v>
      </c>
    </row>
    <row r="45" spans="15:31" x14ac:dyDescent="0.25">
      <c r="O45" s="37"/>
      <c r="R45" s="37"/>
      <c r="W45" s="143">
        <v>42375</v>
      </c>
      <c r="X45" s="12">
        <v>39.979999999999997</v>
      </c>
      <c r="Y45" s="12">
        <v>40.86</v>
      </c>
      <c r="Z45" s="12">
        <v>39.29</v>
      </c>
      <c r="AA45" s="12">
        <v>39.76</v>
      </c>
      <c r="AB45" s="105">
        <v>3715900</v>
      </c>
      <c r="AC45" s="12">
        <v>39.76</v>
      </c>
      <c r="AD45" s="2">
        <f t="shared" si="1"/>
        <v>1.5700000000000003</v>
      </c>
      <c r="AE45" s="148">
        <f t="shared" si="2"/>
        <v>-2.3575638506876273E-2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42374</v>
      </c>
      <c r="X46" s="12">
        <v>40.5</v>
      </c>
      <c r="Y46" s="12">
        <v>40.79</v>
      </c>
      <c r="Z46" s="12">
        <v>39.4</v>
      </c>
      <c r="AA46" s="12">
        <v>40.72</v>
      </c>
      <c r="AB46" s="105">
        <v>2374100</v>
      </c>
      <c r="AC46" s="12">
        <v>40.72</v>
      </c>
      <c r="AD46" s="2">
        <f t="shared" si="1"/>
        <v>1.3900000000000006</v>
      </c>
      <c r="AE46" s="148">
        <f t="shared" si="2"/>
        <v>8.6698043101314237E-3</v>
      </c>
    </row>
    <row r="47" spans="15:31" ht="15.75" thickTop="1" x14ac:dyDescent="0.25">
      <c r="O47" s="93">
        <v>1.1000000000000001</v>
      </c>
      <c r="P47" s="93">
        <f>O47*$Q$4</f>
        <v>63.954000000000008</v>
      </c>
      <c r="Q47" s="37"/>
      <c r="R47" s="37"/>
      <c r="T47" s="138" t="s">
        <v>101</v>
      </c>
      <c r="U47" s="108">
        <v>56.75</v>
      </c>
      <c r="W47" s="143">
        <v>42373</v>
      </c>
      <c r="X47" s="12">
        <v>39.39</v>
      </c>
      <c r="Y47" s="12">
        <v>40.51</v>
      </c>
      <c r="Z47" s="12">
        <v>39.229999999999997</v>
      </c>
      <c r="AA47" s="12">
        <v>40.369999999999997</v>
      </c>
      <c r="AB47" s="105">
        <v>2544300</v>
      </c>
      <c r="AC47" s="12">
        <v>40.369999999999997</v>
      </c>
      <c r="AD47" s="2">
        <f t="shared" si="1"/>
        <v>1.2800000000000011</v>
      </c>
      <c r="AE47" s="148">
        <f t="shared" si="2"/>
        <v>7.738392411382744E-3</v>
      </c>
    </row>
    <row r="48" spans="15:31" x14ac:dyDescent="0.25">
      <c r="O48" s="93">
        <v>1.0900000000000001</v>
      </c>
      <c r="P48" s="93">
        <f t="shared" ref="P48:P67" si="8">O48*$Q$4</f>
        <v>63.372600000000006</v>
      </c>
      <c r="Q48" s="37"/>
      <c r="R48" s="37"/>
      <c r="T48" s="103" t="s">
        <v>102</v>
      </c>
      <c r="U48" s="98">
        <v>57.27</v>
      </c>
      <c r="W48" s="143">
        <v>42369</v>
      </c>
      <c r="X48" s="12">
        <v>40.08</v>
      </c>
      <c r="Y48" s="12">
        <v>40.49</v>
      </c>
      <c r="Z48" s="12">
        <v>39.869999999999997</v>
      </c>
      <c r="AA48" s="12">
        <v>40.06</v>
      </c>
      <c r="AB48" s="105">
        <v>1849500</v>
      </c>
      <c r="AC48" s="12">
        <v>40.06</v>
      </c>
      <c r="AD48" s="2">
        <f t="shared" si="1"/>
        <v>0.62000000000000455</v>
      </c>
      <c r="AE48" s="148">
        <f t="shared" si="2"/>
        <v>-3.9781203381401564E-3</v>
      </c>
    </row>
    <row r="49" spans="15:31" x14ac:dyDescent="0.25">
      <c r="O49" s="93">
        <v>1.08</v>
      </c>
      <c r="P49" s="93">
        <f t="shared" si="8"/>
        <v>62.791200000000003</v>
      </c>
      <c r="Q49" s="37"/>
      <c r="R49" s="37"/>
      <c r="T49" s="103" t="s">
        <v>103</v>
      </c>
      <c r="U49" s="98" t="s">
        <v>380</v>
      </c>
      <c r="W49" s="143">
        <v>42368</v>
      </c>
      <c r="X49" s="12">
        <v>41</v>
      </c>
      <c r="Y49" s="12">
        <v>41.4</v>
      </c>
      <c r="Z49" s="12">
        <v>40.1</v>
      </c>
      <c r="AA49" s="12">
        <v>40.22</v>
      </c>
      <c r="AB49" s="105">
        <v>1864100</v>
      </c>
      <c r="AC49" s="12">
        <v>40.22</v>
      </c>
      <c r="AD49" s="2">
        <f t="shared" si="1"/>
        <v>1.2999999999999972</v>
      </c>
      <c r="AE49" s="148">
        <f t="shared" si="2"/>
        <v>-1.9263594245305993E-2</v>
      </c>
    </row>
    <row r="50" spans="15:31" x14ac:dyDescent="0.25">
      <c r="O50" s="93">
        <v>1.07</v>
      </c>
      <c r="P50" s="93">
        <f t="shared" si="8"/>
        <v>62.209800000000001</v>
      </c>
      <c r="Q50" s="93"/>
      <c r="R50" s="37"/>
      <c r="T50" s="103" t="s">
        <v>104</v>
      </c>
      <c r="U50" s="98" t="s">
        <v>381</v>
      </c>
      <c r="W50" s="143">
        <v>42367</v>
      </c>
      <c r="X50" s="12">
        <v>40.89</v>
      </c>
      <c r="Y50" s="12">
        <v>41.21</v>
      </c>
      <c r="Z50" s="12">
        <v>40.74</v>
      </c>
      <c r="AA50" s="12">
        <v>41.01</v>
      </c>
      <c r="AB50" s="105">
        <v>1440000</v>
      </c>
      <c r="AC50" s="12">
        <v>41.01</v>
      </c>
      <c r="AD50" s="2">
        <f t="shared" si="1"/>
        <v>0.46999999999999886</v>
      </c>
      <c r="AE50" s="148">
        <f t="shared" si="2"/>
        <v>9.3526950529163599E-3</v>
      </c>
    </row>
    <row r="51" spans="15:31" x14ac:dyDescent="0.25">
      <c r="O51" s="93">
        <v>1.06</v>
      </c>
      <c r="P51" s="93">
        <f t="shared" si="8"/>
        <v>61.628400000000006</v>
      </c>
      <c r="Q51" s="93"/>
      <c r="R51" s="37"/>
      <c r="T51" s="103" t="s">
        <v>105</v>
      </c>
      <c r="U51" s="98">
        <v>56.5</v>
      </c>
      <c r="W51" s="143">
        <v>42366</v>
      </c>
      <c r="X51" s="12">
        <v>40.64</v>
      </c>
      <c r="Y51" s="12">
        <v>41.33</v>
      </c>
      <c r="Z51" s="12">
        <v>40.119999999999997</v>
      </c>
      <c r="AA51" s="12">
        <v>40.630000000000003</v>
      </c>
      <c r="AB51" s="105">
        <v>1989500</v>
      </c>
      <c r="AC51" s="12">
        <v>40.630000000000003</v>
      </c>
      <c r="AD51" s="2">
        <f t="shared" si="1"/>
        <v>1.2100000000000009</v>
      </c>
      <c r="AE51" s="148">
        <f t="shared" si="2"/>
        <v>-5.6289769946157309E-3</v>
      </c>
    </row>
    <row r="52" spans="15:31" x14ac:dyDescent="0.25">
      <c r="O52" s="93">
        <v>1.05</v>
      </c>
      <c r="P52" s="93">
        <f t="shared" si="8"/>
        <v>61.047000000000004</v>
      </c>
      <c r="Q52" s="93"/>
      <c r="R52" s="37"/>
      <c r="T52" s="103" t="s">
        <v>106</v>
      </c>
      <c r="U52" s="98">
        <v>0.21054999999999999</v>
      </c>
      <c r="W52" s="143">
        <v>42362</v>
      </c>
      <c r="X52" s="12">
        <v>41.53</v>
      </c>
      <c r="Y52" s="12">
        <v>41.57</v>
      </c>
      <c r="Z52" s="12">
        <v>40.83</v>
      </c>
      <c r="AA52" s="12">
        <v>40.86</v>
      </c>
      <c r="AB52" s="105">
        <v>823000</v>
      </c>
      <c r="AC52" s="12">
        <v>40.86</v>
      </c>
      <c r="AD52" s="2">
        <f t="shared" si="1"/>
        <v>0.74000000000000199</v>
      </c>
      <c r="AE52" s="148">
        <f t="shared" si="2"/>
        <v>-1.8496276723516725E-2</v>
      </c>
    </row>
    <row r="53" spans="15:31" x14ac:dyDescent="0.25">
      <c r="O53" s="93">
        <v>1.04</v>
      </c>
      <c r="P53" s="93">
        <f t="shared" si="8"/>
        <v>60.465600000000002</v>
      </c>
      <c r="Q53" s="93"/>
      <c r="R53" s="37"/>
      <c r="T53" s="103" t="s">
        <v>126</v>
      </c>
      <c r="U53" s="98" t="s">
        <v>294</v>
      </c>
      <c r="W53" s="143">
        <v>42361</v>
      </c>
      <c r="X53" s="12">
        <v>41.45</v>
      </c>
      <c r="Y53" s="12">
        <v>41.73</v>
      </c>
      <c r="Z53" s="12">
        <v>40.700000000000003</v>
      </c>
      <c r="AA53" s="12">
        <v>41.63</v>
      </c>
      <c r="AB53" s="105">
        <v>2242600</v>
      </c>
      <c r="AC53" s="12">
        <v>41.63</v>
      </c>
      <c r="AD53" s="2">
        <f t="shared" si="1"/>
        <v>1.029999999999994</v>
      </c>
      <c r="AE53" s="148">
        <f t="shared" si="2"/>
        <v>1.984321411073009E-2</v>
      </c>
    </row>
    <row r="54" spans="15:31" x14ac:dyDescent="0.25">
      <c r="O54" s="93">
        <v>1.03</v>
      </c>
      <c r="P54" s="93">
        <f t="shared" si="8"/>
        <v>59.8842</v>
      </c>
      <c r="Q54" s="93"/>
      <c r="R54" s="37"/>
      <c r="T54" s="103"/>
      <c r="U54" s="98"/>
      <c r="W54" s="143">
        <v>42360</v>
      </c>
      <c r="X54" s="12">
        <v>40.43</v>
      </c>
      <c r="Y54" s="12">
        <v>41.07</v>
      </c>
      <c r="Z54" s="12">
        <v>39.869999999999997</v>
      </c>
      <c r="AA54" s="12">
        <v>40.82</v>
      </c>
      <c r="AB54" s="105">
        <v>2250800</v>
      </c>
      <c r="AC54" s="12">
        <v>40.82</v>
      </c>
      <c r="AD54" s="2">
        <f t="shared" si="1"/>
        <v>1.2000000000000028</v>
      </c>
      <c r="AE54" s="148">
        <f t="shared" si="2"/>
        <v>1.214976444334237E-2</v>
      </c>
    </row>
    <row r="55" spans="15:31" x14ac:dyDescent="0.25">
      <c r="O55" s="93">
        <v>1.02</v>
      </c>
      <c r="P55" s="93">
        <f t="shared" si="8"/>
        <v>59.302800000000005</v>
      </c>
      <c r="Q55" s="93"/>
      <c r="R55" s="37"/>
      <c r="T55" s="103" t="s">
        <v>108</v>
      </c>
      <c r="U55" s="98" t="s">
        <v>382</v>
      </c>
      <c r="W55" s="143">
        <v>42359</v>
      </c>
      <c r="X55" s="12">
        <v>39.85</v>
      </c>
      <c r="Y55" s="12">
        <v>40.46</v>
      </c>
      <c r="Z55" s="12">
        <v>39.64</v>
      </c>
      <c r="AA55" s="12">
        <v>40.33</v>
      </c>
      <c r="AB55" s="105">
        <v>2103200</v>
      </c>
      <c r="AC55" s="12">
        <v>40.33</v>
      </c>
      <c r="AD55" s="2">
        <f t="shared" si="1"/>
        <v>0.82000000000000028</v>
      </c>
      <c r="AE55" s="148">
        <f t="shared" si="2"/>
        <v>1.58690176322418E-2</v>
      </c>
    </row>
    <row r="56" spans="15:31" x14ac:dyDescent="0.25">
      <c r="O56" s="93">
        <v>1.01</v>
      </c>
      <c r="P56" s="93">
        <f t="shared" si="8"/>
        <v>58.721400000000003</v>
      </c>
      <c r="Q56" s="93"/>
      <c r="R56" s="37"/>
      <c r="T56" s="103" t="s">
        <v>109</v>
      </c>
      <c r="U56" s="98" t="s">
        <v>304</v>
      </c>
      <c r="W56" s="143">
        <v>42356</v>
      </c>
      <c r="X56" s="12">
        <v>39.479999999999997</v>
      </c>
      <c r="Y56" s="12">
        <v>40.25</v>
      </c>
      <c r="Z56" s="12">
        <v>39.090000000000003</v>
      </c>
      <c r="AA56" s="12">
        <v>39.700000000000003</v>
      </c>
      <c r="AB56" s="105">
        <v>5294800</v>
      </c>
      <c r="AC56" s="12">
        <v>39.700000000000003</v>
      </c>
      <c r="AD56" s="2">
        <f t="shared" si="1"/>
        <v>1.1599999999999966</v>
      </c>
      <c r="AE56" s="148">
        <f t="shared" si="2"/>
        <v>6.8475779863048647E-3</v>
      </c>
    </row>
    <row r="57" spans="15:31" x14ac:dyDescent="0.25">
      <c r="O57" s="93">
        <v>1</v>
      </c>
      <c r="P57" s="93">
        <f t="shared" si="8"/>
        <v>58.14</v>
      </c>
      <c r="Q57" s="93"/>
      <c r="R57" s="37"/>
      <c r="T57" s="103" t="s">
        <v>110</v>
      </c>
      <c r="U57" s="100">
        <v>2958163</v>
      </c>
      <c r="W57" s="143">
        <v>42355</v>
      </c>
      <c r="X57" s="12">
        <v>40.86</v>
      </c>
      <c r="Y57" s="12">
        <v>41.05</v>
      </c>
      <c r="Z57" s="12">
        <v>38.97</v>
      </c>
      <c r="AA57" s="12">
        <v>39.43</v>
      </c>
      <c r="AB57" s="105">
        <v>3265900</v>
      </c>
      <c r="AC57" s="12">
        <v>39.43</v>
      </c>
      <c r="AD57" s="2">
        <f t="shared" si="1"/>
        <v>2.0799999999999983</v>
      </c>
      <c r="AE57" s="148">
        <f t="shared" si="2"/>
        <v>-3.6883243771372642E-2</v>
      </c>
    </row>
    <row r="58" spans="15:31" x14ac:dyDescent="0.25">
      <c r="O58" s="93">
        <v>0.99</v>
      </c>
      <c r="P58" s="93">
        <f t="shared" si="8"/>
        <v>57.558599999999998</v>
      </c>
      <c r="Q58" s="93"/>
      <c r="R58" s="37"/>
      <c r="T58" s="103" t="s">
        <v>113</v>
      </c>
      <c r="U58" s="100">
        <v>3807660</v>
      </c>
      <c r="W58" s="143">
        <v>42354</v>
      </c>
      <c r="X58" s="12">
        <v>40.72</v>
      </c>
      <c r="Y58" s="12">
        <v>41.32</v>
      </c>
      <c r="Z58" s="12">
        <v>40.46</v>
      </c>
      <c r="AA58" s="12">
        <v>40.94</v>
      </c>
      <c r="AB58" s="105">
        <v>2760800</v>
      </c>
      <c r="AC58" s="12">
        <v>40.94</v>
      </c>
      <c r="AD58" s="2">
        <f t="shared" si="1"/>
        <v>0.85999999999999943</v>
      </c>
      <c r="AE58" s="148">
        <f t="shared" si="2"/>
        <v>1.1363636363636465E-2</v>
      </c>
    </row>
    <row r="59" spans="15:31" x14ac:dyDescent="0.25">
      <c r="O59" s="93">
        <v>0.98</v>
      </c>
      <c r="P59" s="93">
        <f t="shared" si="8"/>
        <v>56.977199999999996</v>
      </c>
      <c r="Q59" s="93"/>
      <c r="T59" s="103" t="s">
        <v>111</v>
      </c>
      <c r="U59" s="98" t="s">
        <v>383</v>
      </c>
      <c r="W59" s="143">
        <v>42353</v>
      </c>
      <c r="X59" s="12">
        <v>40.5</v>
      </c>
      <c r="Y59" s="12">
        <v>41.05</v>
      </c>
      <c r="Z59" s="12">
        <v>39.92</v>
      </c>
      <c r="AA59" s="12">
        <v>40.479999999999997</v>
      </c>
      <c r="AB59" s="105">
        <v>2434300</v>
      </c>
      <c r="AC59" s="12">
        <v>40.479999999999997</v>
      </c>
      <c r="AD59" s="2">
        <f t="shared" si="1"/>
        <v>1.1299999999999955</v>
      </c>
      <c r="AE59" s="148">
        <f t="shared" si="2"/>
        <v>8.219178082191636E-3</v>
      </c>
    </row>
    <row r="60" spans="15:31" x14ac:dyDescent="0.25">
      <c r="O60" s="93">
        <v>0.97</v>
      </c>
      <c r="P60" s="93">
        <f t="shared" si="8"/>
        <v>56.395800000000001</v>
      </c>
      <c r="Q60" s="93"/>
      <c r="T60" s="103" t="s">
        <v>114</v>
      </c>
      <c r="U60" s="98">
        <v>13.41</v>
      </c>
      <c r="W60" s="143">
        <v>42352</v>
      </c>
      <c r="X60" s="12">
        <v>40.409999999999997</v>
      </c>
      <c r="Y60" s="12">
        <v>40.869999999999997</v>
      </c>
      <c r="Z60" s="12">
        <v>39.5</v>
      </c>
      <c r="AA60" s="12">
        <v>40.15</v>
      </c>
      <c r="AB60" s="105">
        <v>2678400</v>
      </c>
      <c r="AC60" s="12">
        <v>40.15</v>
      </c>
      <c r="AD60" s="2">
        <f t="shared" si="1"/>
        <v>1.3699999999999974</v>
      </c>
      <c r="AE60" s="148">
        <f t="shared" si="2"/>
        <v>-5.9420648675415633E-3</v>
      </c>
    </row>
    <row r="61" spans="15:31" x14ac:dyDescent="0.25">
      <c r="O61" s="93">
        <v>0.96</v>
      </c>
      <c r="P61" s="93">
        <f t="shared" si="8"/>
        <v>55.814399999999999</v>
      </c>
      <c r="Q61" s="93"/>
      <c r="T61" s="103" t="s">
        <v>115</v>
      </c>
      <c r="U61" s="98">
        <v>4.34</v>
      </c>
      <c r="W61" s="143">
        <v>42349</v>
      </c>
      <c r="X61" s="12">
        <v>41.67</v>
      </c>
      <c r="Y61" s="12">
        <v>41.81</v>
      </c>
      <c r="Z61" s="12">
        <v>40.19</v>
      </c>
      <c r="AA61" s="12">
        <v>40.39</v>
      </c>
      <c r="AB61" s="105">
        <v>3091800</v>
      </c>
      <c r="AC61" s="12">
        <v>40.39</v>
      </c>
      <c r="AD61" s="2">
        <f t="shared" si="1"/>
        <v>1.6200000000000045</v>
      </c>
      <c r="AE61" s="148">
        <f t="shared" si="2"/>
        <v>-4.3344386546660285E-2</v>
      </c>
    </row>
    <row r="62" spans="15:31" x14ac:dyDescent="0.25">
      <c r="O62" s="93">
        <v>0.95</v>
      </c>
      <c r="P62" s="93">
        <f t="shared" si="8"/>
        <v>55.232999999999997</v>
      </c>
      <c r="Q62" s="93"/>
      <c r="T62" s="103" t="s">
        <v>112</v>
      </c>
      <c r="U62" s="98" t="s">
        <v>127</v>
      </c>
      <c r="W62" s="143">
        <v>42348</v>
      </c>
      <c r="X62" s="12">
        <v>41.9</v>
      </c>
      <c r="Y62" s="12">
        <v>42.66</v>
      </c>
      <c r="Z62" s="12">
        <v>41.61</v>
      </c>
      <c r="AA62" s="12">
        <v>42.22</v>
      </c>
      <c r="AB62" s="105">
        <v>2089400</v>
      </c>
      <c r="AC62" s="12">
        <v>42.22</v>
      </c>
      <c r="AD62" s="2">
        <f t="shared" si="1"/>
        <v>1.0499999999999972</v>
      </c>
      <c r="AE62" s="148">
        <f t="shared" si="2"/>
        <v>6.6762041010968165E-3</v>
      </c>
    </row>
    <row r="63" spans="15:31" x14ac:dyDescent="0.25">
      <c r="O63" s="93">
        <v>0.94</v>
      </c>
      <c r="P63" s="93">
        <f t="shared" si="8"/>
        <v>54.651599999999995</v>
      </c>
      <c r="Q63" s="93"/>
      <c r="W63" s="143">
        <v>42347</v>
      </c>
      <c r="X63" s="12">
        <v>41.74</v>
      </c>
      <c r="Y63" s="12">
        <v>43.17</v>
      </c>
      <c r="Z63" s="12">
        <v>41.53</v>
      </c>
      <c r="AA63" s="12">
        <v>41.94</v>
      </c>
      <c r="AB63" s="105">
        <v>2744000</v>
      </c>
      <c r="AC63" s="12">
        <v>41.94</v>
      </c>
      <c r="AD63" s="2">
        <f t="shared" si="1"/>
        <v>1.6400000000000006</v>
      </c>
      <c r="AE63" s="148">
        <f t="shared" si="2"/>
        <v>-1.4285714285714457E-3</v>
      </c>
    </row>
    <row r="64" spans="15:31" x14ac:dyDescent="0.25">
      <c r="O64" s="93">
        <v>0.93</v>
      </c>
      <c r="P64" s="93">
        <f t="shared" si="8"/>
        <v>54.0702</v>
      </c>
      <c r="Q64" s="93"/>
      <c r="W64" s="143">
        <v>42346</v>
      </c>
      <c r="X64" s="12">
        <v>42.44</v>
      </c>
      <c r="Y64" s="12">
        <v>42.73</v>
      </c>
      <c r="Z64" s="12">
        <v>41.72</v>
      </c>
      <c r="AA64" s="12">
        <v>42</v>
      </c>
      <c r="AB64" s="105">
        <v>3147600</v>
      </c>
      <c r="AC64" s="12">
        <v>42</v>
      </c>
      <c r="AD64" s="2">
        <f t="shared" si="1"/>
        <v>1.009999999999998</v>
      </c>
      <c r="AE64" s="148">
        <f t="shared" si="2"/>
        <v>-2.0293911826452016E-2</v>
      </c>
    </row>
    <row r="65" spans="15:31" x14ac:dyDescent="0.25">
      <c r="O65" s="93">
        <v>0.92</v>
      </c>
      <c r="P65" s="93">
        <f t="shared" si="8"/>
        <v>53.488800000000005</v>
      </c>
      <c r="Q65" s="93"/>
      <c r="W65" s="143">
        <v>42345</v>
      </c>
      <c r="X65" s="12">
        <v>42.12</v>
      </c>
      <c r="Y65" s="12">
        <v>42.94</v>
      </c>
      <c r="Z65" s="12">
        <v>41.15</v>
      </c>
      <c r="AA65" s="12">
        <v>42.87</v>
      </c>
      <c r="AB65" s="105">
        <v>2584500</v>
      </c>
      <c r="AC65" s="12">
        <v>42.87</v>
      </c>
      <c r="AD65" s="2">
        <f t="shared" si="1"/>
        <v>1.7899999999999991</v>
      </c>
      <c r="AE65" s="148">
        <f t="shared" si="2"/>
        <v>1.2517713745866743E-2</v>
      </c>
    </row>
    <row r="66" spans="15:31" x14ac:dyDescent="0.25">
      <c r="O66" s="93">
        <v>0.91</v>
      </c>
      <c r="P66" s="93">
        <f t="shared" si="8"/>
        <v>52.907400000000003</v>
      </c>
      <c r="Q66" s="93"/>
      <c r="W66" s="143">
        <v>42342</v>
      </c>
      <c r="X66" s="12">
        <v>42.67</v>
      </c>
      <c r="Y66" s="12">
        <v>42.77</v>
      </c>
      <c r="Z66" s="12">
        <v>41.86</v>
      </c>
      <c r="AA66" s="12">
        <v>42.34</v>
      </c>
      <c r="AB66" s="105">
        <v>2541200</v>
      </c>
      <c r="AC66" s="12">
        <v>42.34</v>
      </c>
      <c r="AD66" s="2">
        <f t="shared" si="1"/>
        <v>0.91000000000000369</v>
      </c>
      <c r="AE66" s="148">
        <f t="shared" si="2"/>
        <v>-8.4309133489460786E-3</v>
      </c>
    </row>
    <row r="67" spans="15:31" x14ac:dyDescent="0.25">
      <c r="O67" s="93">
        <v>0.9</v>
      </c>
      <c r="P67" s="93">
        <f t="shared" si="8"/>
        <v>52.326000000000001</v>
      </c>
      <c r="Q67" s="93"/>
      <c r="W67" s="143">
        <v>42341</v>
      </c>
      <c r="X67" s="12">
        <v>43.06</v>
      </c>
      <c r="Y67" s="12">
        <v>43.52</v>
      </c>
      <c r="Z67" s="12">
        <v>42.07</v>
      </c>
      <c r="AA67" s="12">
        <v>42.7</v>
      </c>
      <c r="AB67" s="105">
        <v>4170800</v>
      </c>
      <c r="AC67" s="12">
        <v>42.7</v>
      </c>
      <c r="AD67" s="2">
        <f t="shared" ref="AD67:AD68" si="9">Y67-Z67</f>
        <v>1.4500000000000028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42438</v>
      </c>
      <c r="Y2" s="11">
        <v>64.790000000000006</v>
      </c>
      <c r="Z2" s="11">
        <v>64.92</v>
      </c>
      <c r="AA2" s="11">
        <v>64.33</v>
      </c>
      <c r="AB2" s="11">
        <v>64.53</v>
      </c>
      <c r="AC2" s="114">
        <v>1496600</v>
      </c>
      <c r="AD2" s="11">
        <v>64.53</v>
      </c>
      <c r="AE2" s="2">
        <f>Z2-AA2</f>
        <v>0.59000000000000341</v>
      </c>
      <c r="AF2" s="148">
        <f>AD2/AD3-1</f>
        <v>-7.7423350882621644E-4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64.53</v>
      </c>
      <c r="T3" s="95"/>
      <c r="X3" s="120">
        <v>42437</v>
      </c>
      <c r="Y3" s="11">
        <v>64.760000000000005</v>
      </c>
      <c r="Z3" s="11">
        <v>65.040000000000006</v>
      </c>
      <c r="AA3" s="11">
        <v>64.53</v>
      </c>
      <c r="AB3" s="11">
        <v>64.58</v>
      </c>
      <c r="AC3" s="114">
        <v>1789700</v>
      </c>
      <c r="AD3" s="11">
        <v>64.58</v>
      </c>
      <c r="AE3" s="2">
        <f t="shared" ref="AE3:AE66" si="2">Z3-AA3</f>
        <v>0.51000000000000512</v>
      </c>
      <c r="AF3" s="148">
        <f t="shared" ref="AF3:AF66" si="3">AD3/AD4-1</f>
        <v>-6.9198831308626696E-3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64.53</v>
      </c>
      <c r="X4" s="120">
        <v>42436</v>
      </c>
      <c r="Y4" s="11">
        <v>64.81</v>
      </c>
      <c r="Z4" s="11">
        <v>65.319999999999993</v>
      </c>
      <c r="AA4" s="11">
        <v>64.75</v>
      </c>
      <c r="AB4" s="11">
        <v>65.03</v>
      </c>
      <c r="AC4" s="114">
        <v>1603600</v>
      </c>
      <c r="AD4" s="11">
        <v>65.03</v>
      </c>
      <c r="AE4" s="2">
        <f t="shared" si="2"/>
        <v>0.56999999999999318</v>
      </c>
      <c r="AF4" s="148">
        <f t="shared" si="3"/>
        <v>-5.3533190578157752E-3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42433</v>
      </c>
      <c r="Y5" s="11">
        <v>65.3</v>
      </c>
      <c r="Z5" s="11">
        <v>65.59</v>
      </c>
      <c r="AA5" s="11">
        <v>64.849999999999994</v>
      </c>
      <c r="AB5" s="11">
        <v>65.38</v>
      </c>
      <c r="AC5" s="114">
        <v>1628300</v>
      </c>
      <c r="AD5" s="11">
        <v>65.38</v>
      </c>
      <c r="AE5" s="2">
        <f t="shared" si="2"/>
        <v>0.74000000000000909</v>
      </c>
      <c r="AF5" s="148">
        <f t="shared" si="3"/>
        <v>1.07181136120027E-3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42432</v>
      </c>
      <c r="Y6" s="11">
        <v>65.400000000000006</v>
      </c>
      <c r="Z6" s="11">
        <v>65.47</v>
      </c>
      <c r="AA6" s="11">
        <v>65</v>
      </c>
      <c r="AB6" s="11">
        <v>65.31</v>
      </c>
      <c r="AC6" s="114">
        <v>1985400</v>
      </c>
      <c r="AD6" s="11">
        <v>65.31</v>
      </c>
      <c r="AE6" s="2">
        <f t="shared" si="2"/>
        <v>0.46999999999999886</v>
      </c>
      <c r="AF6" s="148">
        <f t="shared" si="3"/>
        <v>-1.5288182235131398E-3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42431</v>
      </c>
      <c r="Y7" s="11">
        <v>64.73</v>
      </c>
      <c r="Z7" s="11">
        <v>65.42</v>
      </c>
      <c r="AA7" s="11">
        <v>64.64</v>
      </c>
      <c r="AB7" s="11">
        <v>65.41</v>
      </c>
      <c r="AC7" s="114">
        <v>2215600</v>
      </c>
      <c r="AD7" s="11">
        <v>65.41</v>
      </c>
      <c r="AE7" s="2">
        <f t="shared" si="2"/>
        <v>0.78000000000000114</v>
      </c>
      <c r="AF7" s="148">
        <f t="shared" si="3"/>
        <v>9.257830581700377E-3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42430</v>
      </c>
      <c r="Y8" s="11">
        <v>63.84</v>
      </c>
      <c r="Z8" s="11">
        <v>64.81</v>
      </c>
      <c r="AA8" s="11">
        <v>63.59</v>
      </c>
      <c r="AB8" s="11">
        <v>64.81</v>
      </c>
      <c r="AC8" s="114">
        <v>2167700</v>
      </c>
      <c r="AD8" s="11">
        <v>64.81</v>
      </c>
      <c r="AE8" s="2">
        <f t="shared" si="2"/>
        <v>1.2199999999999989</v>
      </c>
      <c r="AF8" s="148">
        <f t="shared" si="3"/>
        <v>2.1273242987708718E-2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261</v>
      </c>
      <c r="Q9" s="148">
        <f>VALUE(TRIM(CLEAN(MID(U55, FIND("(", U55)+1, 5))))</f>
        <v>2.0199999999999999E-2</v>
      </c>
      <c r="X9" s="120">
        <v>42429</v>
      </c>
      <c r="Y9" s="11">
        <v>64.12</v>
      </c>
      <c r="Z9" s="11">
        <v>64.31</v>
      </c>
      <c r="AA9" s="11">
        <v>63.45</v>
      </c>
      <c r="AB9" s="11">
        <v>63.46</v>
      </c>
      <c r="AC9" s="114">
        <v>2285100</v>
      </c>
      <c r="AD9" s="11">
        <v>63.46</v>
      </c>
      <c r="AE9" s="2">
        <f t="shared" si="2"/>
        <v>0.85999999999999943</v>
      </c>
      <c r="AF9" s="148">
        <f t="shared" si="3"/>
        <v>-1.3370646766169059E-2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42426</v>
      </c>
      <c r="Y10" s="11">
        <v>64.53</v>
      </c>
      <c r="Z10" s="11">
        <v>64.709999999999994</v>
      </c>
      <c r="AA10" s="11">
        <v>64.209999999999994</v>
      </c>
      <c r="AB10" s="11">
        <v>64.319999999999993</v>
      </c>
      <c r="AC10" s="114">
        <v>2391400</v>
      </c>
      <c r="AD10" s="11">
        <v>64.319999999999993</v>
      </c>
      <c r="AE10" s="2">
        <f t="shared" si="2"/>
        <v>0.5</v>
      </c>
      <c r="AF10" s="148">
        <f t="shared" si="3"/>
        <v>-1.3972985561249152E-3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42425</v>
      </c>
      <c r="Y11" s="11">
        <v>63.92</v>
      </c>
      <c r="Z11" s="11">
        <v>64.44</v>
      </c>
      <c r="AA11" s="11">
        <v>63.67</v>
      </c>
      <c r="AB11" s="11">
        <v>64.41</v>
      </c>
      <c r="AC11" s="114">
        <v>1936100</v>
      </c>
      <c r="AD11" s="11">
        <v>64.41</v>
      </c>
      <c r="AE11" s="2">
        <f t="shared" si="2"/>
        <v>0.76999999999999602</v>
      </c>
      <c r="AF11" s="148" t="e">
        <f t="shared" si="3"/>
        <v>#DIV/0!</v>
      </c>
    </row>
    <row r="12" spans="1:32" x14ac:dyDescent="0.25">
      <c r="X12" s="120">
        <v>42425</v>
      </c>
      <c r="Y12" s="11" t="s">
        <v>295</v>
      </c>
      <c r="Z12" s="11"/>
      <c r="AA12" s="11"/>
      <c r="AB12" s="11"/>
      <c r="AC12" s="114"/>
      <c r="AD12" s="11"/>
      <c r="AE12" s="2">
        <f t="shared" si="2"/>
        <v>0</v>
      </c>
      <c r="AF12" s="148">
        <f t="shared" si="3"/>
        <v>-1</v>
      </c>
    </row>
    <row r="13" spans="1:32" x14ac:dyDescent="0.25">
      <c r="X13" s="120">
        <v>42424</v>
      </c>
      <c r="Y13" s="11">
        <v>63.35</v>
      </c>
      <c r="Z13" s="11">
        <v>64.13</v>
      </c>
      <c r="AA13" s="11">
        <v>62.78</v>
      </c>
      <c r="AB13" s="11">
        <v>63.95</v>
      </c>
      <c r="AC13" s="114">
        <v>2366700</v>
      </c>
      <c r="AD13" s="11">
        <v>63.62</v>
      </c>
      <c r="AE13" s="2">
        <f t="shared" si="2"/>
        <v>1.3499999999999943</v>
      </c>
      <c r="AF13" s="148">
        <f t="shared" si="3"/>
        <v>3.4700315457412145E-3</v>
      </c>
    </row>
    <row r="14" spans="1:32" x14ac:dyDescent="0.25">
      <c r="X14" s="120">
        <v>42423</v>
      </c>
      <c r="Y14" s="11">
        <v>64.31</v>
      </c>
      <c r="Z14" s="11">
        <v>64.31</v>
      </c>
      <c r="AA14" s="11">
        <v>63.56</v>
      </c>
      <c r="AB14" s="11">
        <v>63.73</v>
      </c>
      <c r="AC14" s="114">
        <v>1973500</v>
      </c>
      <c r="AD14" s="11">
        <v>63.4</v>
      </c>
      <c r="AE14" s="2">
        <f t="shared" si="2"/>
        <v>0.75</v>
      </c>
      <c r="AF14" s="148">
        <f t="shared" si="3"/>
        <v>-1.1074715333021401E-2</v>
      </c>
    </row>
    <row r="15" spans="1:32" x14ac:dyDescent="0.25">
      <c r="X15" s="120">
        <v>42422</v>
      </c>
      <c r="Y15" s="11">
        <v>64</v>
      </c>
      <c r="Z15" s="11">
        <v>64.599999999999994</v>
      </c>
      <c r="AA15" s="11">
        <v>64</v>
      </c>
      <c r="AB15" s="11">
        <v>64.44</v>
      </c>
      <c r="AC15" s="114">
        <v>2513100</v>
      </c>
      <c r="AD15" s="11">
        <v>64.11</v>
      </c>
      <c r="AE15" s="2">
        <f t="shared" si="2"/>
        <v>0.59999999999999432</v>
      </c>
      <c r="AF15" s="148">
        <f t="shared" si="3"/>
        <v>6.9106329511543496E-3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42419</v>
      </c>
      <c r="Y16" s="11">
        <v>63.89</v>
      </c>
      <c r="Z16" s="11">
        <v>64.44</v>
      </c>
      <c r="AA16" s="11">
        <v>63.8</v>
      </c>
      <c r="AB16" s="11">
        <v>64</v>
      </c>
      <c r="AC16" s="114">
        <v>4300100</v>
      </c>
      <c r="AD16" s="11">
        <v>63.67</v>
      </c>
      <c r="AE16" s="2">
        <f t="shared" si="2"/>
        <v>0.64000000000000057</v>
      </c>
      <c r="AF16" s="148">
        <f t="shared" si="3"/>
        <v>-4.689698296076239E-3</v>
      </c>
    </row>
    <row r="17" spans="1:32" x14ac:dyDescent="0.25">
      <c r="X17" s="120">
        <v>42418</v>
      </c>
      <c r="Y17" s="11">
        <v>64.91</v>
      </c>
      <c r="Z17" s="11">
        <v>65</v>
      </c>
      <c r="AA17" s="11">
        <v>64.069999999999993</v>
      </c>
      <c r="AB17" s="11">
        <v>64.3</v>
      </c>
      <c r="AC17" s="114">
        <v>4086400</v>
      </c>
      <c r="AD17" s="11">
        <v>63.97</v>
      </c>
      <c r="AE17" s="2">
        <f t="shared" si="2"/>
        <v>0.93000000000000682</v>
      </c>
      <c r="AF17" s="148">
        <f t="shared" si="3"/>
        <v>-1.0977118119975371E-2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62" t="s">
        <v>90</v>
      </c>
      <c r="X18" s="120">
        <v>42417</v>
      </c>
      <c r="Y18" s="11">
        <v>64.69</v>
      </c>
      <c r="Z18" s="11">
        <v>65.290000000000006</v>
      </c>
      <c r="AA18" s="11">
        <v>64.69</v>
      </c>
      <c r="AB18" s="11">
        <v>65.02</v>
      </c>
      <c r="AC18" s="114">
        <v>3342700</v>
      </c>
      <c r="AD18" s="11">
        <v>64.680000000000007</v>
      </c>
      <c r="AE18" s="2">
        <f t="shared" si="2"/>
        <v>0.60000000000000853</v>
      </c>
      <c r="AF18" s="148">
        <f t="shared" si="3"/>
        <v>6.8493150684934001E-3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42416</v>
      </c>
      <c r="Y19" s="11">
        <v>64.47</v>
      </c>
      <c r="Z19" s="11">
        <v>64.72</v>
      </c>
      <c r="AA19" s="11">
        <v>63.85</v>
      </c>
      <c r="AB19" s="11">
        <v>64.569999999999993</v>
      </c>
      <c r="AC19" s="114">
        <v>3502500</v>
      </c>
      <c r="AD19" s="11">
        <v>64.239999999999995</v>
      </c>
      <c r="AE19" s="2">
        <f t="shared" si="2"/>
        <v>0.86999999999999744</v>
      </c>
      <c r="AF19" s="148">
        <f t="shared" si="3"/>
        <v>1.0380622837370179E-2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42412</v>
      </c>
      <c r="Y20" s="11">
        <v>63.02</v>
      </c>
      <c r="Z20" s="11">
        <v>64.31</v>
      </c>
      <c r="AA20" s="11">
        <v>62.86</v>
      </c>
      <c r="AB20" s="11">
        <v>63.91</v>
      </c>
      <c r="AC20" s="114">
        <v>3615300</v>
      </c>
      <c r="AD20" s="11">
        <v>63.58</v>
      </c>
      <c r="AE20" s="2">
        <f t="shared" si="2"/>
        <v>1.4500000000000028</v>
      </c>
      <c r="AF20" s="148">
        <f t="shared" si="3"/>
        <v>2.5483870967741851E-2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42411</v>
      </c>
      <c r="Y21" s="11">
        <v>61.95</v>
      </c>
      <c r="Z21" s="11">
        <v>62.66</v>
      </c>
      <c r="AA21" s="11">
        <v>61.7</v>
      </c>
      <c r="AB21" s="11">
        <v>62.32</v>
      </c>
      <c r="AC21" s="114">
        <v>3020000</v>
      </c>
      <c r="AD21" s="11">
        <v>62</v>
      </c>
      <c r="AE21" s="2">
        <f t="shared" si="2"/>
        <v>0.95999999999999375</v>
      </c>
      <c r="AF21" s="148">
        <f t="shared" si="3"/>
        <v>-1.0533035429300952E-2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42410</v>
      </c>
      <c r="Y22" s="11">
        <v>63.27</v>
      </c>
      <c r="Z22" s="11">
        <v>63.94</v>
      </c>
      <c r="AA22" s="11">
        <v>62.89</v>
      </c>
      <c r="AB22" s="11">
        <v>62.98</v>
      </c>
      <c r="AC22" s="114">
        <v>2987500</v>
      </c>
      <c r="AD22" s="11">
        <v>62.66</v>
      </c>
      <c r="AE22" s="2">
        <f t="shared" si="2"/>
        <v>1.0499999999999972</v>
      </c>
      <c r="AF22" s="148">
        <f t="shared" si="3"/>
        <v>-3.1908104658584513E-4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42409</v>
      </c>
      <c r="Y23" s="11">
        <v>62.81</v>
      </c>
      <c r="Z23" s="11">
        <v>63.26</v>
      </c>
      <c r="AA23" s="11">
        <v>62.45</v>
      </c>
      <c r="AB23" s="11">
        <v>63.01</v>
      </c>
      <c r="AC23" s="114">
        <v>3743700</v>
      </c>
      <c r="AD23" s="11">
        <v>62.68</v>
      </c>
      <c r="AE23" s="2">
        <f t="shared" si="2"/>
        <v>0.80999999999999517</v>
      </c>
      <c r="AF23" s="148">
        <f t="shared" si="3"/>
        <v>-5.0793650793651279E-3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42408</v>
      </c>
      <c r="Y24" s="11">
        <v>62.87</v>
      </c>
      <c r="Z24" s="11">
        <v>63.54</v>
      </c>
      <c r="AA24" s="11">
        <v>62.36</v>
      </c>
      <c r="AB24" s="11">
        <v>63.33</v>
      </c>
      <c r="AC24" s="114">
        <v>3008500</v>
      </c>
      <c r="AD24" s="11">
        <v>63</v>
      </c>
      <c r="AE24" s="2">
        <f t="shared" si="2"/>
        <v>1.1799999999999997</v>
      </c>
      <c r="AF24" s="148">
        <f t="shared" si="3"/>
        <v>-6.3451776649747771E-4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42405</v>
      </c>
      <c r="Y25" s="11">
        <v>62.09</v>
      </c>
      <c r="Z25" s="11">
        <v>63.52</v>
      </c>
      <c r="AA25" s="11">
        <v>62.09</v>
      </c>
      <c r="AB25" s="11">
        <v>63.37</v>
      </c>
      <c r="AC25" s="114">
        <v>4617500</v>
      </c>
      <c r="AD25" s="11">
        <v>63.04</v>
      </c>
      <c r="AE25" s="2">
        <f t="shared" si="2"/>
        <v>1.4299999999999997</v>
      </c>
      <c r="AF25" s="148">
        <f t="shared" si="3"/>
        <v>2.1221448242345842E-2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42404</v>
      </c>
      <c r="Y26" s="11">
        <v>60.48</v>
      </c>
      <c r="Z26" s="11">
        <v>62.2</v>
      </c>
      <c r="AA26" s="11">
        <v>60.48</v>
      </c>
      <c r="AB26" s="11">
        <v>62.05</v>
      </c>
      <c r="AC26" s="114">
        <v>5520000</v>
      </c>
      <c r="AD26" s="11">
        <v>61.73</v>
      </c>
      <c r="AE26" s="2">
        <f t="shared" si="2"/>
        <v>1.720000000000006</v>
      </c>
      <c r="AF26" s="148">
        <f t="shared" si="3"/>
        <v>4.045171077026799E-2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42403</v>
      </c>
      <c r="Y27" s="11">
        <v>60.29</v>
      </c>
      <c r="Z27" s="11">
        <v>60.29</v>
      </c>
      <c r="AA27" s="11">
        <v>58.29</v>
      </c>
      <c r="AB27" s="11">
        <v>59.64</v>
      </c>
      <c r="AC27" s="114">
        <v>4765200</v>
      </c>
      <c r="AD27" s="11">
        <v>59.33</v>
      </c>
      <c r="AE27" s="2">
        <f t="shared" si="2"/>
        <v>2</v>
      </c>
      <c r="AF27" s="148">
        <f t="shared" si="3"/>
        <v>-5.5313442842775951E-3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42402</v>
      </c>
      <c r="Y28" s="11">
        <v>60.01</v>
      </c>
      <c r="Z28" s="11">
        <v>60.5</v>
      </c>
      <c r="AA28" s="11">
        <v>59.76</v>
      </c>
      <c r="AB28" s="11">
        <v>59.97</v>
      </c>
      <c r="AC28" s="114">
        <v>2540900</v>
      </c>
      <c r="AD28" s="11">
        <v>59.66</v>
      </c>
      <c r="AE28" s="2">
        <f t="shared" si="2"/>
        <v>0.74000000000000199</v>
      </c>
      <c r="AF28" s="148">
        <f t="shared" si="3"/>
        <v>-9.2992361341747154E-3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42401</v>
      </c>
      <c r="Y29" s="11">
        <v>60.14</v>
      </c>
      <c r="Z29" s="11">
        <v>60.83</v>
      </c>
      <c r="AA29" s="11">
        <v>59.82</v>
      </c>
      <c r="AB29" s="11">
        <v>60.53</v>
      </c>
      <c r="AC29" s="114">
        <v>2667500</v>
      </c>
      <c r="AD29" s="11">
        <v>60.22</v>
      </c>
      <c r="AE29" s="2">
        <f t="shared" si="2"/>
        <v>1.009999999999998</v>
      </c>
      <c r="AF29" s="148">
        <f t="shared" si="3"/>
        <v>-1.1610549013103544E-3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42398</v>
      </c>
      <c r="Y30" s="11">
        <v>59.68</v>
      </c>
      <c r="Z30" s="11">
        <v>60.61</v>
      </c>
      <c r="AA30" s="11">
        <v>59.43</v>
      </c>
      <c r="AB30" s="11">
        <v>60.6</v>
      </c>
      <c r="AC30" s="114">
        <v>3799200</v>
      </c>
      <c r="AD30" s="11">
        <v>60.29</v>
      </c>
      <c r="AE30" s="2">
        <f t="shared" si="2"/>
        <v>1.1799999999999997</v>
      </c>
      <c r="AF30" s="148">
        <f t="shared" si="3"/>
        <v>2.3425564420302303E-2</v>
      </c>
    </row>
    <row r="31" spans="1:32" x14ac:dyDescent="0.25">
      <c r="X31" s="120">
        <v>42397</v>
      </c>
      <c r="Y31" s="11">
        <v>58.83</v>
      </c>
      <c r="Z31" s="11">
        <v>59.5</v>
      </c>
      <c r="AA31" s="11">
        <v>58.42</v>
      </c>
      <c r="AB31" s="11">
        <v>59.22</v>
      </c>
      <c r="AC31" s="114">
        <v>3191000</v>
      </c>
      <c r="AD31" s="11">
        <v>58.91</v>
      </c>
      <c r="AE31" s="2">
        <f t="shared" si="2"/>
        <v>1.0799999999999983</v>
      </c>
      <c r="AF31" s="148">
        <f t="shared" si="3"/>
        <v>1.3766993632765345E-2</v>
      </c>
    </row>
    <row r="32" spans="1:32" x14ac:dyDescent="0.25">
      <c r="X32" s="120">
        <v>42396</v>
      </c>
      <c r="Y32" s="11">
        <v>58.18</v>
      </c>
      <c r="Z32" s="11">
        <v>59.38</v>
      </c>
      <c r="AA32" s="11">
        <v>58.03</v>
      </c>
      <c r="AB32" s="11">
        <v>58.41</v>
      </c>
      <c r="AC32" s="114">
        <v>2891300</v>
      </c>
      <c r="AD32" s="11">
        <v>58.11</v>
      </c>
      <c r="AE32" s="2">
        <f t="shared" si="2"/>
        <v>1.3500000000000014</v>
      </c>
      <c r="AF32" s="148">
        <f t="shared" si="3"/>
        <v>3.9737387698686177E-3</v>
      </c>
    </row>
    <row r="33" spans="15:32" x14ac:dyDescent="0.25">
      <c r="X33" s="120">
        <v>42395</v>
      </c>
      <c r="Y33" s="11">
        <v>58.05</v>
      </c>
      <c r="Z33" s="11">
        <v>58.68</v>
      </c>
      <c r="AA33" s="11">
        <v>57.88</v>
      </c>
      <c r="AB33" s="11">
        <v>58.18</v>
      </c>
      <c r="AC33" s="114">
        <v>2184300</v>
      </c>
      <c r="AD33" s="11">
        <v>57.88</v>
      </c>
      <c r="AE33" s="2">
        <f t="shared" si="2"/>
        <v>0.79999999999999716</v>
      </c>
      <c r="AF33" s="148">
        <f t="shared" si="3"/>
        <v>8.3623693379790698E-3</v>
      </c>
    </row>
    <row r="34" spans="15:32" x14ac:dyDescent="0.25">
      <c r="X34" s="120">
        <v>42394</v>
      </c>
      <c r="Y34" s="11">
        <v>58.31</v>
      </c>
      <c r="Z34" s="11">
        <v>58.46</v>
      </c>
      <c r="AA34" s="11">
        <v>57.62</v>
      </c>
      <c r="AB34" s="11">
        <v>57.7</v>
      </c>
      <c r="AC34" s="114">
        <v>3852400</v>
      </c>
      <c r="AD34" s="11">
        <v>57.4</v>
      </c>
      <c r="AE34" s="2">
        <f t="shared" si="2"/>
        <v>0.84000000000000341</v>
      </c>
      <c r="AF34" s="148">
        <f t="shared" si="3"/>
        <v>-1.4253821054439286E-2</v>
      </c>
    </row>
    <row r="35" spans="15:32" ht="20.25" thickBot="1" x14ac:dyDescent="0.35">
      <c r="O35" s="405" t="s">
        <v>78</v>
      </c>
      <c r="P35" s="405"/>
      <c r="X35" s="120">
        <v>42391</v>
      </c>
      <c r="Y35" s="11">
        <v>58.91</v>
      </c>
      <c r="Z35" s="11">
        <v>59</v>
      </c>
      <c r="AA35" s="11">
        <v>58.2</v>
      </c>
      <c r="AB35" s="11">
        <v>58.53</v>
      </c>
      <c r="AC35" s="114">
        <v>2699600</v>
      </c>
      <c r="AD35" s="11">
        <v>58.23</v>
      </c>
      <c r="AE35" s="2">
        <f t="shared" si="2"/>
        <v>0.79999999999999716</v>
      </c>
      <c r="AF35" s="148">
        <f t="shared" si="3"/>
        <v>6.5687121866895293E-3</v>
      </c>
    </row>
    <row r="36" spans="15:32" ht="15.75" thickTop="1" x14ac:dyDescent="0.25">
      <c r="O36" s="93">
        <v>1.1000000000000001</v>
      </c>
      <c r="P36" s="93">
        <f>O36*$Q$4</f>
        <v>70.983000000000004</v>
      </c>
      <c r="Q36" s="2"/>
      <c r="X36" s="120">
        <v>42390</v>
      </c>
      <c r="Y36" s="11">
        <v>58.21</v>
      </c>
      <c r="Z36" s="11">
        <v>58.66</v>
      </c>
      <c r="AA36" s="11">
        <v>57.82</v>
      </c>
      <c r="AB36" s="11">
        <v>58.15</v>
      </c>
      <c r="AC36" s="114">
        <v>3858000</v>
      </c>
      <c r="AD36" s="11">
        <v>57.85</v>
      </c>
      <c r="AE36" s="2">
        <f t="shared" si="2"/>
        <v>0.83999999999999631</v>
      </c>
      <c r="AF36" s="148">
        <f t="shared" si="3"/>
        <v>2.7734442711042639E-3</v>
      </c>
    </row>
    <row r="37" spans="15:32" ht="15" customHeight="1" x14ac:dyDescent="0.25">
      <c r="O37" s="93">
        <v>1.0900000000000001</v>
      </c>
      <c r="P37" s="93">
        <f t="shared" ref="P37:P56" si="6">O37*$Q$4</f>
        <v>70.337700000000012</v>
      </c>
      <c r="Q37" s="2"/>
      <c r="X37" s="120">
        <v>42389</v>
      </c>
      <c r="Y37" s="11">
        <v>57.5</v>
      </c>
      <c r="Z37" s="11">
        <v>58.48</v>
      </c>
      <c r="AA37" s="11">
        <v>57.14</v>
      </c>
      <c r="AB37" s="11">
        <v>57.99</v>
      </c>
      <c r="AC37" s="114">
        <v>4685500</v>
      </c>
      <c r="AD37" s="11">
        <v>57.69</v>
      </c>
      <c r="AE37" s="2">
        <f t="shared" si="2"/>
        <v>1.3399999999999963</v>
      </c>
      <c r="AF37" s="148">
        <f t="shared" si="3"/>
        <v>-7.7399380804954454E-3</v>
      </c>
    </row>
    <row r="38" spans="15:32" x14ac:dyDescent="0.25">
      <c r="O38" s="93">
        <v>1.08</v>
      </c>
      <c r="P38" s="93">
        <f t="shared" si="6"/>
        <v>69.692400000000006</v>
      </c>
      <c r="Q38" s="2"/>
      <c r="X38" s="120">
        <v>42388</v>
      </c>
      <c r="Y38" s="11">
        <v>59.02</v>
      </c>
      <c r="Z38" s="11">
        <v>59.35</v>
      </c>
      <c r="AA38" s="11">
        <v>58.06</v>
      </c>
      <c r="AB38" s="11">
        <v>58.44</v>
      </c>
      <c r="AC38" s="114">
        <v>3082900</v>
      </c>
      <c r="AD38" s="11">
        <v>58.14</v>
      </c>
      <c r="AE38" s="2">
        <f t="shared" si="2"/>
        <v>1.2899999999999991</v>
      </c>
      <c r="AF38" s="148">
        <f t="shared" si="3"/>
        <v>5.3605395123639266E-3</v>
      </c>
    </row>
    <row r="39" spans="15:32" ht="20.25" thickBot="1" x14ac:dyDescent="0.35">
      <c r="O39" s="93">
        <v>1.07</v>
      </c>
      <c r="P39" s="93">
        <f t="shared" si="6"/>
        <v>69.0471</v>
      </c>
      <c r="Q39" s="2"/>
      <c r="T39" s="122" t="s">
        <v>94</v>
      </c>
      <c r="U39" s="2"/>
      <c r="X39" s="120">
        <v>42384</v>
      </c>
      <c r="Y39" s="11">
        <v>56.91</v>
      </c>
      <c r="Z39" s="11">
        <v>58.56</v>
      </c>
      <c r="AA39" s="11">
        <v>56.03</v>
      </c>
      <c r="AB39" s="11">
        <v>58.13</v>
      </c>
      <c r="AC39" s="114">
        <v>5060200</v>
      </c>
      <c r="AD39" s="11">
        <v>57.83</v>
      </c>
      <c r="AE39" s="2">
        <f t="shared" si="2"/>
        <v>2.5300000000000011</v>
      </c>
      <c r="AF39" s="148">
        <f t="shared" si="3"/>
        <v>-4.9896765313145464E-3</v>
      </c>
    </row>
    <row r="40" spans="15:32" ht="15.75" thickTop="1" x14ac:dyDescent="0.25">
      <c r="O40" s="93">
        <v>1.06</v>
      </c>
      <c r="P40" s="93">
        <f t="shared" si="6"/>
        <v>68.401800000000009</v>
      </c>
      <c r="Q40" s="2"/>
      <c r="T40" s="123" t="s">
        <v>101</v>
      </c>
      <c r="U40" s="116">
        <v>64.58</v>
      </c>
      <c r="X40" s="120">
        <v>42383</v>
      </c>
      <c r="Y40" s="11">
        <v>57.97</v>
      </c>
      <c r="Z40" s="11">
        <v>59.18</v>
      </c>
      <c r="AA40" s="11">
        <v>57.97</v>
      </c>
      <c r="AB40" s="11">
        <v>58.42</v>
      </c>
      <c r="AC40" s="114">
        <v>3193200</v>
      </c>
      <c r="AD40" s="11">
        <v>58.12</v>
      </c>
      <c r="AE40" s="2">
        <f t="shared" si="2"/>
        <v>1.2100000000000009</v>
      </c>
      <c r="AF40" s="148">
        <f t="shared" si="3"/>
        <v>8.8526297517792507E-3</v>
      </c>
    </row>
    <row r="41" spans="15:32" x14ac:dyDescent="0.25">
      <c r="O41" s="93">
        <v>1.05</v>
      </c>
      <c r="P41" s="93">
        <f t="shared" si="6"/>
        <v>67.756500000000003</v>
      </c>
      <c r="Q41" s="2"/>
      <c r="T41" s="123" t="s">
        <v>102</v>
      </c>
      <c r="U41" s="116">
        <v>64.790000000000006</v>
      </c>
      <c r="X41" s="120">
        <v>42382</v>
      </c>
      <c r="Y41" s="11">
        <v>58.82</v>
      </c>
      <c r="Z41" s="11">
        <v>59.35</v>
      </c>
      <c r="AA41" s="11">
        <v>57.82</v>
      </c>
      <c r="AB41" s="11">
        <v>57.91</v>
      </c>
      <c r="AC41" s="114">
        <v>4225600</v>
      </c>
      <c r="AD41" s="11">
        <v>57.61</v>
      </c>
      <c r="AE41" s="2">
        <f t="shared" si="2"/>
        <v>1.5300000000000011</v>
      </c>
      <c r="AF41" s="148">
        <f t="shared" si="3"/>
        <v>-1.2682090831191095E-2</v>
      </c>
    </row>
    <row r="42" spans="15:32" x14ac:dyDescent="0.25">
      <c r="O42" s="93">
        <v>1.04</v>
      </c>
      <c r="P42" s="93">
        <f t="shared" si="6"/>
        <v>67.111199999999997</v>
      </c>
      <c r="Q42" s="2"/>
      <c r="T42" s="123" t="s">
        <v>103</v>
      </c>
      <c r="U42" s="116" t="s">
        <v>384</v>
      </c>
      <c r="X42" s="120">
        <v>42381</v>
      </c>
      <c r="Y42" s="11">
        <v>58.43</v>
      </c>
      <c r="Z42" s="11">
        <v>58.74</v>
      </c>
      <c r="AA42" s="11">
        <v>57.81</v>
      </c>
      <c r="AB42" s="11">
        <v>58.65</v>
      </c>
      <c r="AC42" s="114">
        <v>2957900</v>
      </c>
      <c r="AD42" s="11">
        <v>58.35</v>
      </c>
      <c r="AE42" s="2">
        <f t="shared" si="2"/>
        <v>0.92999999999999972</v>
      </c>
      <c r="AF42" s="148">
        <f t="shared" si="3"/>
        <v>1.0914760914761068E-2</v>
      </c>
    </row>
    <row r="43" spans="15:32" x14ac:dyDescent="0.25">
      <c r="O43" s="93">
        <v>1.03</v>
      </c>
      <c r="P43" s="93">
        <f t="shared" si="6"/>
        <v>66.465900000000005</v>
      </c>
      <c r="Q43" s="2"/>
      <c r="T43" s="123" t="s">
        <v>104</v>
      </c>
      <c r="U43" s="116" t="s">
        <v>385</v>
      </c>
      <c r="X43" s="120">
        <v>42380</v>
      </c>
      <c r="Y43" s="11">
        <v>58.39</v>
      </c>
      <c r="Z43" s="11">
        <v>58.63</v>
      </c>
      <c r="AA43" s="11">
        <v>57.59</v>
      </c>
      <c r="AB43" s="11">
        <v>58.02</v>
      </c>
      <c r="AC43" s="114">
        <v>3037300</v>
      </c>
      <c r="AD43" s="11">
        <v>57.72</v>
      </c>
      <c r="AE43" s="2">
        <f t="shared" si="2"/>
        <v>1.0399999999999991</v>
      </c>
      <c r="AF43" s="148">
        <f t="shared" si="3"/>
        <v>-3.6250647332988217E-3</v>
      </c>
    </row>
    <row r="44" spans="15:32" x14ac:dyDescent="0.25">
      <c r="O44" s="93">
        <v>1.02</v>
      </c>
      <c r="P44" s="93">
        <f t="shared" si="6"/>
        <v>65.820599999999999</v>
      </c>
      <c r="Q44" s="2"/>
      <c r="T44" s="123" t="s">
        <v>105</v>
      </c>
      <c r="U44" s="116">
        <v>70.760000000000005</v>
      </c>
      <c r="X44" s="120">
        <v>42377</v>
      </c>
      <c r="Y44" s="11">
        <v>58.8</v>
      </c>
      <c r="Z44" s="11">
        <v>58.94</v>
      </c>
      <c r="AA44" s="11">
        <v>58.14</v>
      </c>
      <c r="AB44" s="11">
        <v>58.23</v>
      </c>
      <c r="AC44" s="114">
        <v>2883900</v>
      </c>
      <c r="AD44" s="11">
        <v>57.93</v>
      </c>
      <c r="AE44" s="2">
        <f t="shared" si="2"/>
        <v>0.79999999999999716</v>
      </c>
      <c r="AF44" s="148">
        <f t="shared" si="3"/>
        <v>-3.6119711042311708E-3</v>
      </c>
    </row>
    <row r="45" spans="15:32" x14ac:dyDescent="0.25">
      <c r="O45" s="93">
        <v>1.01</v>
      </c>
      <c r="P45" s="93">
        <f t="shared" si="6"/>
        <v>65.175300000000007</v>
      </c>
      <c r="Q45" s="2"/>
      <c r="T45" s="123" t="s">
        <v>106</v>
      </c>
      <c r="U45" s="116">
        <v>1.08267</v>
      </c>
      <c r="X45" s="120">
        <v>42376</v>
      </c>
      <c r="Y45" s="11">
        <v>58.79</v>
      </c>
      <c r="Z45" s="11">
        <v>59.66</v>
      </c>
      <c r="AA45" s="11">
        <v>58.31</v>
      </c>
      <c r="AB45" s="11">
        <v>58.44</v>
      </c>
      <c r="AC45" s="114">
        <v>3982600</v>
      </c>
      <c r="AD45" s="11">
        <v>58.14</v>
      </c>
      <c r="AE45" s="2">
        <f t="shared" si="2"/>
        <v>1.3499999999999943</v>
      </c>
      <c r="AF45" s="148">
        <f t="shared" si="3"/>
        <v>-2.3513604299630453E-2</v>
      </c>
    </row>
    <row r="46" spans="15:32" x14ac:dyDescent="0.25">
      <c r="O46" s="93">
        <v>1</v>
      </c>
      <c r="P46" s="93">
        <f t="shared" si="6"/>
        <v>64.53</v>
      </c>
      <c r="Q46" s="2"/>
      <c r="T46" s="123" t="s">
        <v>126</v>
      </c>
      <c r="U46" s="116" t="s">
        <v>266</v>
      </c>
      <c r="X46" s="120">
        <v>42375</v>
      </c>
      <c r="Y46" s="11">
        <v>59.79</v>
      </c>
      <c r="Z46" s="11">
        <v>60.2</v>
      </c>
      <c r="AA46" s="11">
        <v>59.6</v>
      </c>
      <c r="AB46" s="11">
        <v>59.85</v>
      </c>
      <c r="AC46" s="114">
        <v>2868400</v>
      </c>
      <c r="AD46" s="11">
        <v>59.54</v>
      </c>
      <c r="AE46" s="2">
        <f t="shared" si="2"/>
        <v>0.60000000000000142</v>
      </c>
      <c r="AF46" s="148">
        <f t="shared" si="3"/>
        <v>-1.1291929591497829E-2</v>
      </c>
    </row>
    <row r="47" spans="15:32" x14ac:dyDescent="0.25">
      <c r="O47" s="93">
        <v>0.99</v>
      </c>
      <c r="P47" s="93">
        <f t="shared" si="6"/>
        <v>63.884700000000002</v>
      </c>
      <c r="Q47" s="2"/>
      <c r="T47" s="123"/>
      <c r="U47" s="116"/>
      <c r="X47" s="120">
        <v>42374</v>
      </c>
      <c r="Y47" s="11">
        <v>60.71</v>
      </c>
      <c r="Z47" s="11">
        <v>60.97</v>
      </c>
      <c r="AA47" s="11">
        <v>60.39</v>
      </c>
      <c r="AB47" s="11">
        <v>60.53</v>
      </c>
      <c r="AC47" s="114">
        <v>2808800</v>
      </c>
      <c r="AD47" s="11">
        <v>60.22</v>
      </c>
      <c r="AE47" s="2">
        <f t="shared" si="2"/>
        <v>0.57999999999999829</v>
      </c>
      <c r="AF47" s="148">
        <f t="shared" si="3"/>
        <v>-2.3194168323392717E-3</v>
      </c>
    </row>
    <row r="48" spans="15:32" x14ac:dyDescent="0.25">
      <c r="O48" s="93">
        <v>0.98</v>
      </c>
      <c r="P48" s="93">
        <f t="shared" si="6"/>
        <v>63.239400000000003</v>
      </c>
      <c r="Q48" s="2"/>
      <c r="T48" s="123" t="s">
        <v>108</v>
      </c>
      <c r="U48" s="116" t="s">
        <v>386</v>
      </c>
      <c r="X48" s="120">
        <v>42373</v>
      </c>
      <c r="Y48" s="11">
        <v>60.88</v>
      </c>
      <c r="Z48" s="11">
        <v>60.98</v>
      </c>
      <c r="AA48" s="11">
        <v>59.92</v>
      </c>
      <c r="AB48" s="11">
        <v>60.67</v>
      </c>
      <c r="AC48" s="114">
        <v>3339200</v>
      </c>
      <c r="AD48" s="11">
        <v>60.36</v>
      </c>
      <c r="AE48" s="2">
        <f t="shared" si="2"/>
        <v>1.0599999999999952</v>
      </c>
      <c r="AF48" s="148">
        <f t="shared" si="3"/>
        <v>-2.2826614861583328E-2</v>
      </c>
    </row>
    <row r="49" spans="15:32" x14ac:dyDescent="0.25">
      <c r="O49" s="93">
        <v>0.97</v>
      </c>
      <c r="P49" s="93">
        <f t="shared" si="6"/>
        <v>62.594099999999997</v>
      </c>
      <c r="T49" s="123" t="s">
        <v>109</v>
      </c>
      <c r="U49" s="116" t="s">
        <v>265</v>
      </c>
      <c r="X49" s="120">
        <v>42369</v>
      </c>
      <c r="Y49" s="11">
        <v>62.62</v>
      </c>
      <c r="Z49" s="11">
        <v>62.77</v>
      </c>
      <c r="AA49" s="11">
        <v>62.07</v>
      </c>
      <c r="AB49" s="11">
        <v>62.09</v>
      </c>
      <c r="AC49" s="114">
        <v>1573600</v>
      </c>
      <c r="AD49" s="11">
        <v>61.77</v>
      </c>
      <c r="AE49" s="2">
        <f t="shared" si="2"/>
        <v>0.70000000000000284</v>
      </c>
      <c r="AF49" s="148">
        <f t="shared" si="3"/>
        <v>-1.1521843494959216E-2</v>
      </c>
    </row>
    <row r="50" spans="15:32" x14ac:dyDescent="0.25">
      <c r="O50" s="93">
        <v>0.96</v>
      </c>
      <c r="P50" s="93">
        <f t="shared" si="6"/>
        <v>61.948799999999999</v>
      </c>
      <c r="T50" s="123" t="s">
        <v>110</v>
      </c>
      <c r="U50" s="117">
        <v>1496694</v>
      </c>
      <c r="X50" s="120">
        <v>42368</v>
      </c>
      <c r="Y50" s="11">
        <v>63.15</v>
      </c>
      <c r="Z50" s="11">
        <v>63.34</v>
      </c>
      <c r="AA50" s="11">
        <v>62.77</v>
      </c>
      <c r="AB50" s="11">
        <v>62.81</v>
      </c>
      <c r="AC50" s="114">
        <v>1523000</v>
      </c>
      <c r="AD50" s="11">
        <v>62.49</v>
      </c>
      <c r="AE50" s="2">
        <f t="shared" si="2"/>
        <v>0.57000000000000028</v>
      </c>
      <c r="AF50" s="148">
        <f t="shared" si="3"/>
        <v>-5.886096086541448E-3</v>
      </c>
    </row>
    <row r="51" spans="15:32" x14ac:dyDescent="0.25">
      <c r="O51" s="93">
        <v>0.95</v>
      </c>
      <c r="P51" s="93">
        <f t="shared" si="6"/>
        <v>61.3035</v>
      </c>
      <c r="T51" s="123" t="s">
        <v>113</v>
      </c>
      <c r="U51" s="117">
        <v>2927580</v>
      </c>
      <c r="X51" s="120">
        <v>42367</v>
      </c>
      <c r="Y51" s="11">
        <v>63.09</v>
      </c>
      <c r="Z51" s="11">
        <v>63.49</v>
      </c>
      <c r="AA51" s="11">
        <v>62.86</v>
      </c>
      <c r="AB51" s="11">
        <v>63.19</v>
      </c>
      <c r="AC51" s="114">
        <v>1495600</v>
      </c>
      <c r="AD51" s="11">
        <v>62.86</v>
      </c>
      <c r="AE51" s="2">
        <f t="shared" si="2"/>
        <v>0.63000000000000256</v>
      </c>
      <c r="AF51" s="148">
        <f t="shared" si="3"/>
        <v>8.6649550706032752E-3</v>
      </c>
    </row>
    <row r="52" spans="15:32" x14ac:dyDescent="0.25">
      <c r="O52" s="93">
        <v>0.94</v>
      </c>
      <c r="P52" s="93">
        <f t="shared" si="6"/>
        <v>60.658200000000001</v>
      </c>
      <c r="T52" s="123" t="s">
        <v>111</v>
      </c>
      <c r="U52" s="116" t="s">
        <v>387</v>
      </c>
      <c r="X52" s="120">
        <v>42366</v>
      </c>
      <c r="Y52" s="11">
        <v>63.01</v>
      </c>
      <c r="Z52" s="11">
        <v>63.06</v>
      </c>
      <c r="AA52" s="11">
        <v>62.33</v>
      </c>
      <c r="AB52" s="11">
        <v>62.64</v>
      </c>
      <c r="AC52" s="114">
        <v>1833300</v>
      </c>
      <c r="AD52" s="11">
        <v>62.32</v>
      </c>
      <c r="AE52" s="2">
        <f t="shared" si="2"/>
        <v>0.73000000000000398</v>
      </c>
      <c r="AF52" s="148">
        <f t="shared" si="3"/>
        <v>-7.8013055245980123E-3</v>
      </c>
    </row>
    <row r="53" spans="15:32" x14ac:dyDescent="0.25">
      <c r="O53" s="93">
        <v>0.93</v>
      </c>
      <c r="P53" s="93">
        <f t="shared" si="6"/>
        <v>60.012900000000002</v>
      </c>
      <c r="T53" s="123" t="s">
        <v>114</v>
      </c>
      <c r="U53" s="116">
        <v>12.78</v>
      </c>
      <c r="X53" s="120">
        <v>42362</v>
      </c>
      <c r="Y53" s="11">
        <v>62.83</v>
      </c>
      <c r="Z53" s="11">
        <v>63.45</v>
      </c>
      <c r="AA53" s="11">
        <v>62.68</v>
      </c>
      <c r="AB53" s="11">
        <v>63.14</v>
      </c>
      <c r="AC53" s="114">
        <v>1298700</v>
      </c>
      <c r="AD53" s="11">
        <v>62.81</v>
      </c>
      <c r="AE53" s="2">
        <f t="shared" si="2"/>
        <v>0.77000000000000313</v>
      </c>
      <c r="AF53" s="148">
        <f t="shared" si="3"/>
        <v>3.8357040115071239E-3</v>
      </c>
    </row>
    <row r="54" spans="15:32" x14ac:dyDescent="0.25">
      <c r="O54" s="93">
        <v>0.92</v>
      </c>
      <c r="P54" s="93">
        <f t="shared" si="6"/>
        <v>59.367600000000003</v>
      </c>
      <c r="T54" s="123" t="s">
        <v>115</v>
      </c>
      <c r="U54" s="116">
        <v>5.05</v>
      </c>
      <c r="X54" s="120">
        <v>42361</v>
      </c>
      <c r="Y54" s="11">
        <v>62.68</v>
      </c>
      <c r="Z54" s="11">
        <v>63.02</v>
      </c>
      <c r="AA54" s="11">
        <v>62.68</v>
      </c>
      <c r="AB54" s="11">
        <v>62.89</v>
      </c>
      <c r="AC54" s="114">
        <v>1916300</v>
      </c>
      <c r="AD54" s="11">
        <v>62.57</v>
      </c>
      <c r="AE54" s="2">
        <f t="shared" si="2"/>
        <v>0.34000000000000341</v>
      </c>
      <c r="AF54" s="148">
        <f t="shared" si="3"/>
        <v>6.272113219684794E-3</v>
      </c>
    </row>
    <row r="55" spans="15:32" x14ac:dyDescent="0.25">
      <c r="O55" s="93">
        <v>0.91</v>
      </c>
      <c r="P55" s="93">
        <f t="shared" si="6"/>
        <v>58.722300000000004</v>
      </c>
      <c r="T55" s="123" t="s">
        <v>112</v>
      </c>
      <c r="U55" s="116" t="s">
        <v>316</v>
      </c>
      <c r="X55" s="120">
        <v>42360</v>
      </c>
      <c r="Y55" s="11">
        <v>61.71</v>
      </c>
      <c r="Z55" s="11">
        <v>62.67</v>
      </c>
      <c r="AA55" s="11">
        <v>61.25</v>
      </c>
      <c r="AB55" s="11">
        <v>62.5</v>
      </c>
      <c r="AC55" s="114">
        <v>2203300</v>
      </c>
      <c r="AD55" s="11">
        <v>62.18</v>
      </c>
      <c r="AE55" s="2">
        <f t="shared" si="2"/>
        <v>1.4200000000000017</v>
      </c>
      <c r="AF55" s="148">
        <f t="shared" si="3"/>
        <v>1.9678583142013872E-2</v>
      </c>
    </row>
    <row r="56" spans="15:32" x14ac:dyDescent="0.25">
      <c r="O56" s="93">
        <v>0.9</v>
      </c>
      <c r="P56" s="93">
        <f t="shared" si="6"/>
        <v>58.077000000000005</v>
      </c>
      <c r="X56" s="120">
        <v>42359</v>
      </c>
      <c r="Y56" s="11">
        <v>61.56</v>
      </c>
      <c r="Z56" s="11">
        <v>61.9</v>
      </c>
      <c r="AA56" s="11">
        <v>60.94</v>
      </c>
      <c r="AB56" s="11">
        <v>61.3</v>
      </c>
      <c r="AC56" s="114">
        <v>3117400</v>
      </c>
      <c r="AD56" s="11">
        <v>60.98</v>
      </c>
      <c r="AE56" s="2">
        <f t="shared" si="2"/>
        <v>0.96000000000000085</v>
      </c>
      <c r="AF56" s="148">
        <f t="shared" si="3"/>
        <v>-4.9172266841501777E-4</v>
      </c>
    </row>
    <row r="57" spans="15:32" x14ac:dyDescent="0.25">
      <c r="X57" s="120">
        <v>42356</v>
      </c>
      <c r="Y57" s="11">
        <v>62.11</v>
      </c>
      <c r="Z57" s="11">
        <v>62.11</v>
      </c>
      <c r="AA57" s="11">
        <v>60.76</v>
      </c>
      <c r="AB57" s="11">
        <v>61.33</v>
      </c>
      <c r="AC57" s="114">
        <v>6688800</v>
      </c>
      <c r="AD57" s="11">
        <v>61.01</v>
      </c>
      <c r="AE57" s="2">
        <f t="shared" si="2"/>
        <v>1.3500000000000014</v>
      </c>
      <c r="AF57" s="148">
        <f t="shared" si="3"/>
        <v>-1.6760676873489144E-2</v>
      </c>
    </row>
    <row r="58" spans="15:32" x14ac:dyDescent="0.25">
      <c r="X58" s="120">
        <v>42355</v>
      </c>
      <c r="Y58" s="11">
        <v>63.41</v>
      </c>
      <c r="Z58" s="11">
        <v>63.41</v>
      </c>
      <c r="AA58" s="11">
        <v>62.37</v>
      </c>
      <c r="AB58" s="11">
        <v>62.37</v>
      </c>
      <c r="AC58" s="114">
        <v>2161600</v>
      </c>
      <c r="AD58" s="11">
        <v>62.05</v>
      </c>
      <c r="AE58" s="2">
        <f t="shared" si="2"/>
        <v>1.0399999999999991</v>
      </c>
      <c r="AF58" s="148">
        <f t="shared" si="3"/>
        <v>-1.5860428231562307E-2</v>
      </c>
    </row>
    <row r="59" spans="15:32" x14ac:dyDescent="0.25">
      <c r="X59" s="120">
        <v>42354</v>
      </c>
      <c r="Y59" s="11">
        <v>63.28</v>
      </c>
      <c r="Z59" s="11">
        <v>63.5</v>
      </c>
      <c r="AA59" s="11">
        <v>62.53</v>
      </c>
      <c r="AB59" s="11">
        <v>63.38</v>
      </c>
      <c r="AC59" s="114">
        <v>2177700</v>
      </c>
      <c r="AD59" s="11">
        <v>63.05</v>
      </c>
      <c r="AE59" s="2">
        <f t="shared" si="2"/>
        <v>0.96999999999999886</v>
      </c>
      <c r="AF59" s="148">
        <f t="shared" si="3"/>
        <v>1.0740621994228761E-2</v>
      </c>
    </row>
    <row r="60" spans="15:32" x14ac:dyDescent="0.25">
      <c r="X60" s="120">
        <v>42353</v>
      </c>
      <c r="Y60" s="11">
        <v>61.79</v>
      </c>
      <c r="Z60" s="11">
        <v>63</v>
      </c>
      <c r="AA60" s="11">
        <v>61.72</v>
      </c>
      <c r="AB60" s="11">
        <v>62.7</v>
      </c>
      <c r="AC60" s="114">
        <v>3012700</v>
      </c>
      <c r="AD60" s="11">
        <v>62.38</v>
      </c>
      <c r="AE60" s="2">
        <f t="shared" si="2"/>
        <v>1.2800000000000011</v>
      </c>
      <c r="AF60" s="148">
        <f t="shared" si="3"/>
        <v>2.1450794170623899E-2</v>
      </c>
    </row>
    <row r="61" spans="15:32" x14ac:dyDescent="0.25">
      <c r="X61" s="120">
        <v>42352</v>
      </c>
      <c r="Y61" s="11">
        <v>61.58</v>
      </c>
      <c r="Z61" s="11">
        <v>62.12</v>
      </c>
      <c r="AA61" s="11">
        <v>60.92</v>
      </c>
      <c r="AB61" s="11">
        <v>61.39</v>
      </c>
      <c r="AC61" s="114">
        <v>2356300</v>
      </c>
      <c r="AD61" s="11">
        <v>61.07</v>
      </c>
      <c r="AE61" s="2">
        <f t="shared" si="2"/>
        <v>1.1999999999999957</v>
      </c>
      <c r="AF61" s="148">
        <f t="shared" si="3"/>
        <v>-1.308258381030214E-3</v>
      </c>
    </row>
    <row r="62" spans="15:32" x14ac:dyDescent="0.25">
      <c r="X62" s="120">
        <v>42349</v>
      </c>
      <c r="Y62" s="11">
        <v>61.69</v>
      </c>
      <c r="Z62" s="11">
        <v>62.12</v>
      </c>
      <c r="AA62" s="11">
        <v>61.18</v>
      </c>
      <c r="AB62" s="11">
        <v>61.47</v>
      </c>
      <c r="AC62" s="114">
        <v>2120700</v>
      </c>
      <c r="AD62" s="11">
        <v>61.15</v>
      </c>
      <c r="AE62" s="2">
        <f t="shared" si="2"/>
        <v>0.93999999999999773</v>
      </c>
      <c r="AF62" s="148">
        <f t="shared" si="3"/>
        <v>-1.624839124839117E-2</v>
      </c>
    </row>
    <row r="63" spans="15:32" x14ac:dyDescent="0.25">
      <c r="X63" s="120">
        <v>42348</v>
      </c>
      <c r="Y63" s="11">
        <v>62.91</v>
      </c>
      <c r="Z63" s="11">
        <v>63.08</v>
      </c>
      <c r="AA63" s="11">
        <v>62.3</v>
      </c>
      <c r="AB63" s="11">
        <v>62.48</v>
      </c>
      <c r="AC63" s="114">
        <v>2417100</v>
      </c>
      <c r="AD63" s="11">
        <v>62.16</v>
      </c>
      <c r="AE63" s="2">
        <f t="shared" si="2"/>
        <v>0.78000000000000114</v>
      </c>
      <c r="AF63" s="148">
        <f t="shared" si="3"/>
        <v>-6.7114093959731447E-3</v>
      </c>
    </row>
    <row r="64" spans="15:32" x14ac:dyDescent="0.25">
      <c r="X64" s="120">
        <v>42347</v>
      </c>
      <c r="Y64" s="11">
        <v>63.5</v>
      </c>
      <c r="Z64" s="11">
        <v>64.08</v>
      </c>
      <c r="AA64" s="11">
        <v>62.73</v>
      </c>
      <c r="AB64" s="11">
        <v>62.9</v>
      </c>
      <c r="AC64" s="114">
        <v>2561200</v>
      </c>
      <c r="AD64" s="11">
        <v>62.58</v>
      </c>
      <c r="AE64" s="2">
        <f t="shared" si="2"/>
        <v>1.3500000000000014</v>
      </c>
      <c r="AF64" s="148">
        <f t="shared" si="3"/>
        <v>-1.495356524476632E-2</v>
      </c>
    </row>
    <row r="65" spans="24:32" x14ac:dyDescent="0.25">
      <c r="X65" s="120">
        <v>42346</v>
      </c>
      <c r="Y65" s="11">
        <v>64.37</v>
      </c>
      <c r="Z65" s="11">
        <v>64.38</v>
      </c>
      <c r="AA65" s="11">
        <v>63.67</v>
      </c>
      <c r="AB65" s="11">
        <v>63.86</v>
      </c>
      <c r="AC65" s="114">
        <v>2433600</v>
      </c>
      <c r="AD65" s="11">
        <v>63.53</v>
      </c>
      <c r="AE65" s="2">
        <f t="shared" si="2"/>
        <v>0.70999999999999375</v>
      </c>
      <c r="AF65" s="148">
        <f t="shared" si="3"/>
        <v>-8.2734935997502701E-3</v>
      </c>
    </row>
    <row r="66" spans="24:32" x14ac:dyDescent="0.25">
      <c r="X66" s="120">
        <v>42345</v>
      </c>
      <c r="Y66" s="11">
        <v>64.349999999999994</v>
      </c>
      <c r="Z66" s="11">
        <v>64.69</v>
      </c>
      <c r="AA66" s="11">
        <v>64.19</v>
      </c>
      <c r="AB66" s="11">
        <v>64.39</v>
      </c>
      <c r="AC66" s="114">
        <v>2675500</v>
      </c>
      <c r="AD66" s="11">
        <v>64.06</v>
      </c>
      <c r="AE66" s="2">
        <f t="shared" si="2"/>
        <v>0.5</v>
      </c>
      <c r="AF66" s="148">
        <f t="shared" si="3"/>
        <v>-1.5586034912716817E-3</v>
      </c>
    </row>
    <row r="67" spans="24:32" x14ac:dyDescent="0.25">
      <c r="X67" s="120">
        <v>42342</v>
      </c>
      <c r="Y67" s="11">
        <v>62.97</v>
      </c>
      <c r="Z67" s="11">
        <v>64.58</v>
      </c>
      <c r="AA67" s="11">
        <v>62.96</v>
      </c>
      <c r="AB67" s="11">
        <v>64.489999999999995</v>
      </c>
      <c r="AC67" s="114">
        <v>2647500</v>
      </c>
      <c r="AD67" s="11">
        <v>64.16</v>
      </c>
      <c r="AE67" s="2">
        <f t="shared" ref="AE67:AE68" si="7">Z67-AA67</f>
        <v>1.6199999999999974</v>
      </c>
      <c r="AF67" s="148">
        <f t="shared" ref="AF67" si="8">AD67/AD68-1</f>
        <v>2.7381905524419325E-2</v>
      </c>
    </row>
    <row r="68" spans="24:32" x14ac:dyDescent="0.25">
      <c r="X68" s="120">
        <v>42341</v>
      </c>
      <c r="Y68" s="11">
        <v>62.95</v>
      </c>
      <c r="Z68" s="11">
        <v>63.27</v>
      </c>
      <c r="AA68" s="11">
        <v>62.49</v>
      </c>
      <c r="AB68" s="11">
        <v>62.77</v>
      </c>
      <c r="AC68" s="114">
        <v>3197900</v>
      </c>
      <c r="AD68" s="11">
        <v>62.45</v>
      </c>
      <c r="AE68" s="2">
        <f t="shared" si="7"/>
        <v>0.78000000000000114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42438</v>
      </c>
      <c r="X2" s="43">
        <v>76.97</v>
      </c>
      <c r="Y2" s="43">
        <v>77.5</v>
      </c>
      <c r="Z2" s="43">
        <v>75.27</v>
      </c>
      <c r="AA2" s="43">
        <v>75.75</v>
      </c>
      <c r="AB2" s="105">
        <v>2479000</v>
      </c>
      <c r="AC2" s="43">
        <v>75.75</v>
      </c>
      <c r="AD2" s="2">
        <f t="shared" ref="AD2" si="1">Y2-Z2</f>
        <v>2.230000000000004</v>
      </c>
      <c r="AE2" s="148">
        <f t="shared" ref="AE2" si="2">AC2/AC3-1</f>
        <v>-7.9884756416972458E-3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75.75</v>
      </c>
      <c r="W3" s="167">
        <v>42437</v>
      </c>
      <c r="X3" s="43">
        <v>79.37</v>
      </c>
      <c r="Y3" s="43">
        <v>79.72</v>
      </c>
      <c r="Z3" s="43">
        <v>75.959999999999994</v>
      </c>
      <c r="AA3" s="43">
        <v>76.36</v>
      </c>
      <c r="AB3" s="105">
        <v>5990900</v>
      </c>
      <c r="AC3" s="43">
        <v>76.36</v>
      </c>
      <c r="AD3" s="2">
        <f t="shared" ref="AD3:AD66" si="3">Y3-Z3</f>
        <v>3.7600000000000051</v>
      </c>
      <c r="AE3" s="148">
        <f t="shared" ref="AE3:AE66" si="4">AC3/AC4-1</f>
        <v>-4.2147516307074806E-2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75.75</v>
      </c>
      <c r="W4" s="167">
        <v>42436</v>
      </c>
      <c r="X4" s="43">
        <v>77.040000000000006</v>
      </c>
      <c r="Y4" s="43">
        <v>79.989999999999995</v>
      </c>
      <c r="Z4" s="43">
        <v>76.7</v>
      </c>
      <c r="AA4" s="43">
        <v>79.72</v>
      </c>
      <c r="AB4" s="105">
        <v>3184600</v>
      </c>
      <c r="AC4" s="43">
        <v>79.72</v>
      </c>
      <c r="AD4" s="2">
        <f t="shared" si="3"/>
        <v>3.289999999999992</v>
      </c>
      <c r="AE4" s="148">
        <f t="shared" si="4"/>
        <v>2.9974160206718281E-2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42433</v>
      </c>
      <c r="X5" s="43">
        <v>77.25</v>
      </c>
      <c r="Y5" s="43">
        <v>78.69</v>
      </c>
      <c r="Z5" s="43">
        <v>77.239999999999995</v>
      </c>
      <c r="AA5" s="43">
        <v>77.400000000000006</v>
      </c>
      <c r="AB5" s="105">
        <v>1109200</v>
      </c>
      <c r="AC5" s="43">
        <v>77.400000000000006</v>
      </c>
      <c r="AD5" s="2">
        <f t="shared" si="3"/>
        <v>1.4500000000000028</v>
      </c>
      <c r="AE5" s="148">
        <f t="shared" si="4"/>
        <v>5.1948051948051965E-3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42432</v>
      </c>
      <c r="X6" s="43">
        <v>76.47</v>
      </c>
      <c r="Y6" s="43">
        <v>78.47</v>
      </c>
      <c r="Z6" s="43">
        <v>76.47</v>
      </c>
      <c r="AA6" s="43">
        <v>77</v>
      </c>
      <c r="AB6" s="105">
        <v>1613400</v>
      </c>
      <c r="AC6" s="43">
        <v>77</v>
      </c>
      <c r="AD6" s="2">
        <f t="shared" si="3"/>
        <v>2</v>
      </c>
      <c r="AE6" s="148">
        <f t="shared" si="4"/>
        <v>7.8534031413610705E-3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276</v>
      </c>
      <c r="W7" s="167">
        <v>42431</v>
      </c>
      <c r="X7" s="43">
        <v>76.069999999999993</v>
      </c>
      <c r="Y7" s="43">
        <v>77.430000000000007</v>
      </c>
      <c r="Z7" s="43">
        <v>75.650000000000006</v>
      </c>
      <c r="AA7" s="43">
        <v>76.400000000000006</v>
      </c>
      <c r="AB7" s="105">
        <v>1730500</v>
      </c>
      <c r="AC7" s="43">
        <v>76.400000000000006</v>
      </c>
      <c r="AD7" s="2">
        <f t="shared" si="3"/>
        <v>1.7800000000000011</v>
      </c>
      <c r="AE7" s="148">
        <f t="shared" si="4"/>
        <v>1.4473509494091097E-2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42430</v>
      </c>
      <c r="X8" s="43">
        <v>73.69</v>
      </c>
      <c r="Y8" s="43">
        <v>75.680000000000007</v>
      </c>
      <c r="Z8" s="43">
        <v>73.31</v>
      </c>
      <c r="AA8" s="43">
        <v>75.31</v>
      </c>
      <c r="AB8" s="105">
        <v>1852600</v>
      </c>
      <c r="AC8" s="43">
        <v>75.31</v>
      </c>
      <c r="AD8" s="2">
        <f t="shared" si="3"/>
        <v>2.3700000000000045</v>
      </c>
      <c r="AE8" s="148">
        <f t="shared" si="4"/>
        <v>2.9246959136258077E-2</v>
      </c>
    </row>
    <row r="9" spans="1:31" x14ac:dyDescent="0.25">
      <c r="W9" s="167">
        <v>42429</v>
      </c>
      <c r="X9" s="43">
        <v>74.69</v>
      </c>
      <c r="Y9" s="43">
        <v>75.38</v>
      </c>
      <c r="Z9" s="43">
        <v>73.16</v>
      </c>
      <c r="AA9" s="43">
        <v>73.17</v>
      </c>
      <c r="AB9" s="105">
        <v>1494800</v>
      </c>
      <c r="AC9" s="43">
        <v>73.17</v>
      </c>
      <c r="AD9" s="2">
        <f t="shared" si="3"/>
        <v>2.2199999999999989</v>
      </c>
      <c r="AE9" s="148">
        <f t="shared" si="4"/>
        <v>-2.048192771084334E-2</v>
      </c>
    </row>
    <row r="10" spans="1:31" x14ac:dyDescent="0.25">
      <c r="W10" s="167">
        <v>42426</v>
      </c>
      <c r="X10" s="43">
        <v>73.95</v>
      </c>
      <c r="Y10" s="43">
        <v>76.150000000000006</v>
      </c>
      <c r="Z10" s="43">
        <v>73.790000000000006</v>
      </c>
      <c r="AA10" s="43">
        <v>74.7</v>
      </c>
      <c r="AB10" s="105">
        <v>1333000</v>
      </c>
      <c r="AC10" s="43">
        <v>74.7</v>
      </c>
      <c r="AD10" s="2">
        <f t="shared" si="3"/>
        <v>2.3599999999999994</v>
      </c>
      <c r="AE10" s="148">
        <f t="shared" si="4"/>
        <v>1.3981267815935894E-2</v>
      </c>
    </row>
    <row r="11" spans="1:31" x14ac:dyDescent="0.25">
      <c r="W11" s="167">
        <v>42425</v>
      </c>
      <c r="X11" s="43">
        <v>74.23</v>
      </c>
      <c r="Y11" s="43">
        <v>74.97</v>
      </c>
      <c r="Z11" s="43">
        <v>72.64</v>
      </c>
      <c r="AA11" s="43">
        <v>73.67</v>
      </c>
      <c r="AB11" s="105">
        <v>977900</v>
      </c>
      <c r="AC11" s="43">
        <v>73.67</v>
      </c>
      <c r="AD11" s="2">
        <f t="shared" si="3"/>
        <v>2.3299999999999983</v>
      </c>
      <c r="AE11" s="148">
        <f t="shared" si="4"/>
        <v>-3.6516094130375487E-3</v>
      </c>
    </row>
    <row r="12" spans="1:31" x14ac:dyDescent="0.25">
      <c r="W12" s="167">
        <v>42424</v>
      </c>
      <c r="X12" s="43">
        <v>72.53</v>
      </c>
      <c r="Y12" s="43">
        <v>74.239999999999995</v>
      </c>
      <c r="Z12" s="43">
        <v>72.010000000000005</v>
      </c>
      <c r="AA12" s="43">
        <v>73.94</v>
      </c>
      <c r="AB12" s="105">
        <v>781400</v>
      </c>
      <c r="AC12" s="43">
        <v>73.94</v>
      </c>
      <c r="AD12" s="2">
        <f t="shared" si="3"/>
        <v>2.2299999999999898</v>
      </c>
      <c r="AE12" s="148">
        <f t="shared" si="4"/>
        <v>9.4761066738846544E-4</v>
      </c>
    </row>
    <row r="13" spans="1:31" x14ac:dyDescent="0.25">
      <c r="W13" s="167">
        <v>42423</v>
      </c>
      <c r="X13" s="43">
        <v>76.12</v>
      </c>
      <c r="Y13" s="43">
        <v>76.94</v>
      </c>
      <c r="Z13" s="43">
        <v>73.72</v>
      </c>
      <c r="AA13" s="43">
        <v>73.87</v>
      </c>
      <c r="AB13" s="105">
        <v>942400</v>
      </c>
      <c r="AC13" s="43">
        <v>73.87</v>
      </c>
      <c r="AD13" s="2">
        <f t="shared" si="3"/>
        <v>3.2199999999999989</v>
      </c>
      <c r="AE13" s="148">
        <f t="shared" si="4"/>
        <v>-2.7514481305950356E-2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42422</v>
      </c>
      <c r="X14" s="43">
        <v>75</v>
      </c>
      <c r="Y14" s="43">
        <v>77.150000000000006</v>
      </c>
      <c r="Z14" s="43">
        <v>75</v>
      </c>
      <c r="AA14" s="43">
        <v>75.959999999999994</v>
      </c>
      <c r="AB14" s="105">
        <v>1846000</v>
      </c>
      <c r="AC14" s="43">
        <v>75.959999999999994</v>
      </c>
      <c r="AD14" s="2">
        <f t="shared" si="3"/>
        <v>2.1500000000000057</v>
      </c>
      <c r="AE14" s="148">
        <f t="shared" si="4"/>
        <v>1.2799999999999923E-2</v>
      </c>
    </row>
    <row r="15" spans="1:31" x14ac:dyDescent="0.25">
      <c r="W15" s="167">
        <v>42419</v>
      </c>
      <c r="X15" s="43">
        <v>74.5</v>
      </c>
      <c r="Y15" s="43">
        <v>75.5</v>
      </c>
      <c r="Z15" s="43">
        <v>74.05</v>
      </c>
      <c r="AA15" s="43">
        <v>75</v>
      </c>
      <c r="AB15" s="105">
        <v>1434900</v>
      </c>
      <c r="AC15" s="43">
        <v>75</v>
      </c>
      <c r="AD15" s="2">
        <f t="shared" si="3"/>
        <v>1.4500000000000028</v>
      </c>
      <c r="AE15" s="148">
        <f t="shared" si="4"/>
        <v>2.2718161165309336E-3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62" t="s">
        <v>177</v>
      </c>
      <c r="H16" s="262" t="s">
        <v>90</v>
      </c>
      <c r="I16" s="262" t="s">
        <v>185</v>
      </c>
      <c r="W16" s="167">
        <v>42418</v>
      </c>
      <c r="X16" s="43">
        <v>75.67</v>
      </c>
      <c r="Y16" s="43">
        <v>76.209999999999994</v>
      </c>
      <c r="Z16" s="43">
        <v>74.09</v>
      </c>
      <c r="AA16" s="43">
        <v>74.83</v>
      </c>
      <c r="AB16" s="105">
        <v>1049200</v>
      </c>
      <c r="AC16" s="43">
        <v>74.83</v>
      </c>
      <c r="AD16" s="2">
        <f t="shared" si="3"/>
        <v>2.1199999999999903</v>
      </c>
      <c r="AE16" s="148">
        <f t="shared" si="4"/>
        <v>-1.2405965421670828E-2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42417</v>
      </c>
      <c r="X17" s="43">
        <v>74.349999999999994</v>
      </c>
      <c r="Y17" s="43">
        <v>76.02</v>
      </c>
      <c r="Z17" s="43">
        <v>73.63</v>
      </c>
      <c r="AA17" s="43">
        <v>75.77</v>
      </c>
      <c r="AB17" s="105">
        <v>2032000</v>
      </c>
      <c r="AC17" s="43">
        <v>75.77</v>
      </c>
      <c r="AD17" s="2">
        <f t="shared" si="3"/>
        <v>2.3900000000000006</v>
      </c>
      <c r="AE17" s="148">
        <f t="shared" si="4"/>
        <v>2.4057305041221833E-2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9"/>
      <c r="I18" s="43"/>
      <c r="W18" s="167">
        <v>42416</v>
      </c>
      <c r="X18" s="43">
        <v>72.95</v>
      </c>
      <c r="Y18" s="43">
        <v>74.33</v>
      </c>
      <c r="Z18" s="43">
        <v>72.56</v>
      </c>
      <c r="AA18" s="43">
        <v>73.989999999999995</v>
      </c>
      <c r="AB18" s="105">
        <v>1365600</v>
      </c>
      <c r="AC18" s="43">
        <v>73.989999999999995</v>
      </c>
      <c r="AD18" s="2">
        <f t="shared" si="3"/>
        <v>1.769999999999996</v>
      </c>
      <c r="AE18" s="148">
        <f t="shared" si="4"/>
        <v>1.9707828004410066E-2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9"/>
      <c r="I19" s="43"/>
      <c r="W19" s="167">
        <v>42412</v>
      </c>
      <c r="X19" s="43">
        <v>71.67</v>
      </c>
      <c r="Y19" s="43">
        <v>73.59</v>
      </c>
      <c r="Z19" s="43">
        <v>71.06</v>
      </c>
      <c r="AA19" s="43">
        <v>72.56</v>
      </c>
      <c r="AB19" s="105">
        <v>1520400</v>
      </c>
      <c r="AC19" s="43">
        <v>72.56</v>
      </c>
      <c r="AD19" s="2">
        <f t="shared" si="3"/>
        <v>2.5300000000000011</v>
      </c>
      <c r="AE19" s="148">
        <f t="shared" si="4"/>
        <v>1.2418027068508364E-2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42411</v>
      </c>
      <c r="X20" s="43">
        <v>71.73</v>
      </c>
      <c r="Y20" s="43">
        <v>72.22</v>
      </c>
      <c r="Z20" s="43">
        <v>69.989999999999995</v>
      </c>
      <c r="AA20" s="43">
        <v>71.67</v>
      </c>
      <c r="AB20" s="105">
        <v>1849700</v>
      </c>
      <c r="AC20" s="43">
        <v>71.67</v>
      </c>
      <c r="AD20" s="2">
        <f t="shared" si="3"/>
        <v>2.230000000000004</v>
      </c>
      <c r="AE20" s="148">
        <f t="shared" si="4"/>
        <v>-1.8488085456039416E-2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42410</v>
      </c>
      <c r="X21" s="43">
        <v>72.17</v>
      </c>
      <c r="Y21" s="43">
        <v>73.66</v>
      </c>
      <c r="Z21" s="43">
        <v>71.680000000000007</v>
      </c>
      <c r="AA21" s="43">
        <v>73.02</v>
      </c>
      <c r="AB21" s="105">
        <v>1607300</v>
      </c>
      <c r="AC21" s="43">
        <v>73.02</v>
      </c>
      <c r="AD21" s="2">
        <f t="shared" si="3"/>
        <v>1.9799999999999898</v>
      </c>
      <c r="AE21" s="148">
        <f t="shared" si="4"/>
        <v>2.2402688322598729E-2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42409</v>
      </c>
      <c r="X22" s="43">
        <v>69.7</v>
      </c>
      <c r="Y22" s="43">
        <v>73.3</v>
      </c>
      <c r="Z22" s="43">
        <v>69.12</v>
      </c>
      <c r="AA22" s="43">
        <v>71.42</v>
      </c>
      <c r="AB22" s="105">
        <v>4331800</v>
      </c>
      <c r="AC22" s="43">
        <v>71.42</v>
      </c>
      <c r="AD22" s="2">
        <f t="shared" si="3"/>
        <v>4.1799999999999926</v>
      </c>
      <c r="AE22" s="148">
        <f t="shared" si="4"/>
        <v>1.319336076039157E-2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42408</v>
      </c>
      <c r="X23" s="43">
        <v>69.349999999999994</v>
      </c>
      <c r="Y23" s="43">
        <v>71.56</v>
      </c>
      <c r="Z23" s="43">
        <v>69.150000000000006</v>
      </c>
      <c r="AA23" s="43">
        <v>70.489999999999995</v>
      </c>
      <c r="AB23" s="105">
        <v>2733600</v>
      </c>
      <c r="AC23" s="43">
        <v>70.489999999999995</v>
      </c>
      <c r="AD23" s="2">
        <f t="shared" si="3"/>
        <v>2.4099999999999966</v>
      </c>
      <c r="AE23" s="148">
        <f t="shared" si="4"/>
        <v>4.9900199600798611E-3</v>
      </c>
    </row>
    <row r="24" spans="2:31" x14ac:dyDescent="0.25">
      <c r="W24" s="167">
        <v>42405</v>
      </c>
      <c r="X24" s="43">
        <v>69.13</v>
      </c>
      <c r="Y24" s="43">
        <v>70.61</v>
      </c>
      <c r="Z24" s="43">
        <v>68.56</v>
      </c>
      <c r="AA24" s="43">
        <v>70.14</v>
      </c>
      <c r="AB24" s="105">
        <v>1507300</v>
      </c>
      <c r="AC24" s="43">
        <v>70.14</v>
      </c>
      <c r="AD24" s="2">
        <f t="shared" si="3"/>
        <v>2.0499999999999972</v>
      </c>
      <c r="AE24" s="148">
        <f t="shared" si="4"/>
        <v>1.1099899091826293E-2</v>
      </c>
    </row>
    <row r="25" spans="2:31" x14ac:dyDescent="0.25">
      <c r="W25" s="167">
        <v>42404</v>
      </c>
      <c r="X25" s="43">
        <v>67.52</v>
      </c>
      <c r="Y25" s="43">
        <v>69.989999999999995</v>
      </c>
      <c r="Z25" s="43">
        <v>67.52</v>
      </c>
      <c r="AA25" s="43">
        <v>69.37</v>
      </c>
      <c r="AB25" s="105">
        <v>2072800</v>
      </c>
      <c r="AC25" s="43">
        <v>69.37</v>
      </c>
      <c r="AD25" s="2">
        <f t="shared" si="3"/>
        <v>2.4699999999999989</v>
      </c>
      <c r="AE25" s="148">
        <f t="shared" si="4"/>
        <v>3.0451574569221762E-2</v>
      </c>
    </row>
    <row r="26" spans="2:31" x14ac:dyDescent="0.25">
      <c r="W26" s="167">
        <v>42403</v>
      </c>
      <c r="X26" s="43">
        <v>66.88</v>
      </c>
      <c r="Y26" s="43">
        <v>67.680000000000007</v>
      </c>
      <c r="Z26" s="43">
        <v>64.510000000000005</v>
      </c>
      <c r="AA26" s="43">
        <v>67.319999999999993</v>
      </c>
      <c r="AB26" s="105">
        <v>1876400</v>
      </c>
      <c r="AC26" s="43">
        <v>67.319999999999993</v>
      </c>
      <c r="AD26" s="2">
        <f t="shared" si="3"/>
        <v>3.1700000000000017</v>
      </c>
      <c r="AE26" s="148" t="e">
        <f t="shared" si="4"/>
        <v>#DIV/0!</v>
      </c>
    </row>
    <row r="27" spans="2:31" x14ac:dyDescent="0.25">
      <c r="W27" s="167">
        <v>42403</v>
      </c>
      <c r="X27" s="43" t="s">
        <v>145</v>
      </c>
      <c r="Y27" s="43"/>
      <c r="Z27" s="43"/>
      <c r="AA27" s="43"/>
      <c r="AB27" s="105"/>
      <c r="AC27" s="43"/>
      <c r="AD27" s="2">
        <f t="shared" si="3"/>
        <v>0</v>
      </c>
      <c r="AE27" s="148">
        <f t="shared" si="4"/>
        <v>-1</v>
      </c>
    </row>
    <row r="28" spans="2:31" x14ac:dyDescent="0.25">
      <c r="W28" s="167">
        <v>42402</v>
      </c>
      <c r="X28" s="43">
        <v>69.13</v>
      </c>
      <c r="Y28" s="43">
        <v>69.510000000000005</v>
      </c>
      <c r="Z28" s="43">
        <v>66.459999999999994</v>
      </c>
      <c r="AA28" s="43">
        <v>66.599999999999994</v>
      </c>
      <c r="AB28" s="105">
        <v>1426000</v>
      </c>
      <c r="AC28" s="43">
        <v>66.010000000000005</v>
      </c>
      <c r="AD28" s="2">
        <f t="shared" si="3"/>
        <v>3.0500000000000114</v>
      </c>
      <c r="AE28" s="148">
        <f t="shared" si="4"/>
        <v>-5.1171481960615051E-2</v>
      </c>
    </row>
    <row r="29" spans="2:31" x14ac:dyDescent="0.25">
      <c r="W29" s="167">
        <v>42401</v>
      </c>
      <c r="X29" s="43">
        <v>70.16</v>
      </c>
      <c r="Y29" s="43">
        <v>70.55</v>
      </c>
      <c r="Z29" s="43">
        <v>69</v>
      </c>
      <c r="AA29" s="43">
        <v>70.19</v>
      </c>
      <c r="AB29" s="105">
        <v>1468600</v>
      </c>
      <c r="AC29" s="43">
        <v>69.569999999999993</v>
      </c>
      <c r="AD29" s="2">
        <f t="shared" si="3"/>
        <v>1.5499999999999972</v>
      </c>
      <c r="AE29" s="148">
        <f t="shared" si="4"/>
        <v>-4.4361763022324752E-3</v>
      </c>
    </row>
    <row r="30" spans="2:31" x14ac:dyDescent="0.25">
      <c r="W30" s="167">
        <v>42398</v>
      </c>
      <c r="X30" s="43">
        <v>70.8</v>
      </c>
      <c r="Y30" s="43">
        <v>71.47</v>
      </c>
      <c r="Z30" s="43">
        <v>70.040000000000006</v>
      </c>
      <c r="AA30" s="43">
        <v>70.5</v>
      </c>
      <c r="AB30" s="105">
        <v>2058000</v>
      </c>
      <c r="AC30" s="43">
        <v>69.88</v>
      </c>
      <c r="AD30" s="2">
        <f t="shared" si="3"/>
        <v>1.4299999999999926</v>
      </c>
      <c r="AE30" s="148">
        <f t="shared" si="4"/>
        <v>5.6123183191825188E-3</v>
      </c>
    </row>
    <row r="31" spans="2:31" x14ac:dyDescent="0.25">
      <c r="W31" s="167">
        <v>42397</v>
      </c>
      <c r="X31" s="43">
        <v>69.92</v>
      </c>
      <c r="Y31" s="43">
        <v>71.400000000000006</v>
      </c>
      <c r="Z31" s="43">
        <v>69.239999999999995</v>
      </c>
      <c r="AA31" s="43">
        <v>70.11</v>
      </c>
      <c r="AB31" s="105">
        <v>1396200</v>
      </c>
      <c r="AC31" s="43">
        <v>69.489999999999995</v>
      </c>
      <c r="AD31" s="2">
        <f t="shared" si="3"/>
        <v>2.1600000000000108</v>
      </c>
      <c r="AE31" s="148">
        <f t="shared" si="4"/>
        <v>3.1759780568789697E-3</v>
      </c>
    </row>
    <row r="32" spans="2:31" x14ac:dyDescent="0.25">
      <c r="W32" s="167">
        <v>42396</v>
      </c>
      <c r="X32" s="43">
        <v>68.099999999999994</v>
      </c>
      <c r="Y32" s="43">
        <v>70.760000000000005</v>
      </c>
      <c r="Z32" s="43">
        <v>67.88</v>
      </c>
      <c r="AA32" s="43">
        <v>69.89</v>
      </c>
      <c r="AB32" s="105">
        <v>1829300</v>
      </c>
      <c r="AC32" s="43">
        <v>69.27</v>
      </c>
      <c r="AD32" s="2">
        <f t="shared" si="3"/>
        <v>2.8800000000000097</v>
      </c>
      <c r="AE32" s="148">
        <f t="shared" si="4"/>
        <v>1.435056377214794E-2</v>
      </c>
    </row>
    <row r="33" spans="15:31" x14ac:dyDescent="0.25">
      <c r="W33" s="167">
        <v>42395</v>
      </c>
      <c r="X33" s="43">
        <v>68</v>
      </c>
      <c r="Y33" s="43">
        <v>69.349999999999994</v>
      </c>
      <c r="Z33" s="43">
        <v>67.98</v>
      </c>
      <c r="AA33" s="43">
        <v>68.900000000000006</v>
      </c>
      <c r="AB33" s="105">
        <v>1551700</v>
      </c>
      <c r="AC33" s="43">
        <v>68.290000000000006</v>
      </c>
      <c r="AD33" s="2">
        <f t="shared" si="3"/>
        <v>1.3699999999999903</v>
      </c>
      <c r="AE33" s="148">
        <f t="shared" si="4"/>
        <v>1.7279904662595102E-2</v>
      </c>
    </row>
    <row r="34" spans="15:31" x14ac:dyDescent="0.25">
      <c r="W34" s="167">
        <v>42394</v>
      </c>
      <c r="X34" s="43">
        <v>68.64</v>
      </c>
      <c r="Y34" s="43">
        <v>69.36</v>
      </c>
      <c r="Z34" s="43">
        <v>67.510000000000005</v>
      </c>
      <c r="AA34" s="43">
        <v>67.73</v>
      </c>
      <c r="AB34" s="105">
        <v>1704200</v>
      </c>
      <c r="AC34" s="43">
        <v>67.13</v>
      </c>
      <c r="AD34" s="2">
        <f t="shared" si="3"/>
        <v>1.8499999999999943</v>
      </c>
      <c r="AE34" s="148">
        <f t="shared" si="4"/>
        <v>-1.2503677552221371E-2</v>
      </c>
    </row>
    <row r="35" spans="15:31" x14ac:dyDescent="0.25">
      <c r="W35" s="167">
        <v>42391</v>
      </c>
      <c r="X35" s="43">
        <v>71.28</v>
      </c>
      <c r="Y35" s="43">
        <v>71.650000000000006</v>
      </c>
      <c r="Z35" s="43">
        <v>68.58</v>
      </c>
      <c r="AA35" s="43">
        <v>68.59</v>
      </c>
      <c r="AB35" s="105">
        <v>2322100</v>
      </c>
      <c r="AC35" s="43">
        <v>67.98</v>
      </c>
      <c r="AD35" s="2">
        <f t="shared" si="3"/>
        <v>3.0700000000000074</v>
      </c>
      <c r="AE35" s="148">
        <f t="shared" si="4"/>
        <v>-2.1166306695464376E-2</v>
      </c>
    </row>
    <row r="36" spans="15:31" x14ac:dyDescent="0.25">
      <c r="W36" s="167">
        <v>42390</v>
      </c>
      <c r="X36" s="43">
        <v>70.95</v>
      </c>
      <c r="Y36" s="43">
        <v>71.3</v>
      </c>
      <c r="Z36" s="43">
        <v>66.510000000000005</v>
      </c>
      <c r="AA36" s="43">
        <v>70.069999999999993</v>
      </c>
      <c r="AB36" s="105">
        <v>3863900</v>
      </c>
      <c r="AC36" s="43">
        <v>69.45</v>
      </c>
      <c r="AD36" s="2">
        <f t="shared" si="3"/>
        <v>4.789999999999992</v>
      </c>
      <c r="AE36" s="148">
        <f t="shared" si="4"/>
        <v>-1.559177888022667E-2</v>
      </c>
    </row>
    <row r="37" spans="15:31" x14ac:dyDescent="0.25">
      <c r="W37" s="167">
        <v>42389</v>
      </c>
      <c r="X37" s="43">
        <v>70.72</v>
      </c>
      <c r="Y37" s="43">
        <v>72.34</v>
      </c>
      <c r="Z37" s="43">
        <v>67.849999999999994</v>
      </c>
      <c r="AA37" s="43">
        <v>71.180000000000007</v>
      </c>
      <c r="AB37" s="105">
        <v>2123100</v>
      </c>
      <c r="AC37" s="43">
        <v>70.55</v>
      </c>
      <c r="AD37" s="2">
        <f t="shared" si="3"/>
        <v>4.4900000000000091</v>
      </c>
      <c r="AE37" s="148">
        <f t="shared" si="4"/>
        <v>-9.2683611852267811E-3</v>
      </c>
    </row>
    <row r="38" spans="15:31" x14ac:dyDescent="0.25">
      <c r="W38" s="167">
        <v>42388</v>
      </c>
      <c r="X38" s="43">
        <v>72.260000000000005</v>
      </c>
      <c r="Y38" s="43">
        <v>72.569999999999993</v>
      </c>
      <c r="Z38" s="43">
        <v>70.69</v>
      </c>
      <c r="AA38" s="43">
        <v>71.849999999999994</v>
      </c>
      <c r="AB38" s="105">
        <v>1552300</v>
      </c>
      <c r="AC38" s="43">
        <v>71.209999999999994</v>
      </c>
      <c r="AD38" s="2">
        <f t="shared" si="3"/>
        <v>1.8799999999999955</v>
      </c>
      <c r="AE38" s="148">
        <f t="shared" si="4"/>
        <v>1.124701251230098E-3</v>
      </c>
    </row>
    <row r="39" spans="15:31" x14ac:dyDescent="0.25">
      <c r="W39" s="167">
        <v>42384</v>
      </c>
      <c r="X39" s="43">
        <v>70.23</v>
      </c>
      <c r="Y39" s="43">
        <v>72.03</v>
      </c>
      <c r="Z39" s="43">
        <v>70.180000000000007</v>
      </c>
      <c r="AA39" s="43">
        <v>71.77</v>
      </c>
      <c r="AB39" s="105">
        <v>1786600</v>
      </c>
      <c r="AC39" s="43">
        <v>71.13</v>
      </c>
      <c r="AD39" s="2">
        <f t="shared" si="3"/>
        <v>1.8499999999999943</v>
      </c>
      <c r="AE39" s="148">
        <f t="shared" si="4"/>
        <v>-5.3139421059993364E-3</v>
      </c>
    </row>
    <row r="40" spans="15:31" x14ac:dyDescent="0.25">
      <c r="W40" s="167">
        <v>42383</v>
      </c>
      <c r="X40" s="43">
        <v>71.5</v>
      </c>
      <c r="Y40" s="43">
        <v>73.599999999999994</v>
      </c>
      <c r="Z40" s="43">
        <v>71.459999999999994</v>
      </c>
      <c r="AA40" s="43">
        <v>72.150000000000006</v>
      </c>
      <c r="AB40" s="105">
        <v>1916800</v>
      </c>
      <c r="AC40" s="43">
        <v>71.510000000000005</v>
      </c>
      <c r="AD40" s="2">
        <f t="shared" si="3"/>
        <v>2.1400000000000006</v>
      </c>
      <c r="AE40" s="148">
        <f t="shared" si="4"/>
        <v>9.8856093772066167E-3</v>
      </c>
    </row>
    <row r="41" spans="15:31" x14ac:dyDescent="0.25">
      <c r="W41" s="167">
        <v>42382</v>
      </c>
      <c r="X41" s="43">
        <v>76.16</v>
      </c>
      <c r="Y41" s="43">
        <v>76.489999999999995</v>
      </c>
      <c r="Z41" s="43">
        <v>70.09</v>
      </c>
      <c r="AA41" s="43">
        <v>71.44</v>
      </c>
      <c r="AB41" s="105">
        <v>1988100</v>
      </c>
      <c r="AC41" s="43">
        <v>70.81</v>
      </c>
      <c r="AD41" s="2">
        <f t="shared" si="3"/>
        <v>6.3999999999999915</v>
      </c>
      <c r="AE41" s="148">
        <f t="shared" si="4"/>
        <v>-5.9128355035875657E-2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42381</v>
      </c>
      <c r="X42" s="43">
        <v>76.540000000000006</v>
      </c>
      <c r="Y42" s="43">
        <v>77.349999999999994</v>
      </c>
      <c r="Z42" s="43">
        <v>73.599999999999994</v>
      </c>
      <c r="AA42" s="43">
        <v>75.930000000000007</v>
      </c>
      <c r="AB42" s="105">
        <v>1862200</v>
      </c>
      <c r="AC42" s="43">
        <v>75.260000000000005</v>
      </c>
      <c r="AD42" s="2">
        <f t="shared" si="3"/>
        <v>3.75</v>
      </c>
      <c r="AE42" s="148">
        <f t="shared" si="4"/>
        <v>-5.3120849933585568E-4</v>
      </c>
    </row>
    <row r="43" spans="15:31" ht="15.75" thickTop="1" x14ac:dyDescent="0.25">
      <c r="O43" s="93">
        <v>1.1000000000000001</v>
      </c>
      <c r="P43" s="93">
        <f t="shared" ref="P43:P63" si="5">O43*$Q$4</f>
        <v>83.325000000000003</v>
      </c>
      <c r="Q43" s="2"/>
      <c r="R43" s="37"/>
      <c r="T43" s="12" t="s">
        <v>101</v>
      </c>
      <c r="U43" s="98">
        <v>76.36</v>
      </c>
      <c r="W43" s="167">
        <v>42380</v>
      </c>
      <c r="X43" s="43">
        <v>78.02</v>
      </c>
      <c r="Y43" s="43">
        <v>78.34</v>
      </c>
      <c r="Z43" s="43">
        <v>75</v>
      </c>
      <c r="AA43" s="43">
        <v>75.97</v>
      </c>
      <c r="AB43" s="105">
        <v>1524400</v>
      </c>
      <c r="AC43" s="43">
        <v>75.3</v>
      </c>
      <c r="AD43" s="2">
        <f t="shared" si="3"/>
        <v>3.3400000000000034</v>
      </c>
      <c r="AE43" s="148">
        <f t="shared" si="4"/>
        <v>-2.3346303501945442E-2</v>
      </c>
    </row>
    <row r="44" spans="15:31" x14ac:dyDescent="0.25">
      <c r="O44" s="93">
        <v>1.0900000000000001</v>
      </c>
      <c r="P44" s="93">
        <f t="shared" si="5"/>
        <v>82.56750000000001</v>
      </c>
      <c r="Q44" s="2"/>
      <c r="R44" s="37"/>
      <c r="T44" s="12" t="s">
        <v>102</v>
      </c>
      <c r="U44" s="98">
        <v>76.97</v>
      </c>
      <c r="W44" s="167">
        <v>42377</v>
      </c>
      <c r="X44" s="43">
        <v>78.3</v>
      </c>
      <c r="Y44" s="43">
        <v>79</v>
      </c>
      <c r="Z44" s="43">
        <v>77.55</v>
      </c>
      <c r="AA44" s="43">
        <v>77.790000000000006</v>
      </c>
      <c r="AB44" s="105">
        <v>1417600</v>
      </c>
      <c r="AC44" s="43">
        <v>77.099999999999994</v>
      </c>
      <c r="AD44" s="2">
        <f t="shared" si="3"/>
        <v>1.4500000000000028</v>
      </c>
      <c r="AE44" s="148">
        <f t="shared" si="4"/>
        <v>-2.7163368257665521E-3</v>
      </c>
    </row>
    <row r="45" spans="15:31" x14ac:dyDescent="0.25">
      <c r="O45" s="93">
        <v>1.08</v>
      </c>
      <c r="P45" s="93">
        <f t="shared" si="5"/>
        <v>81.81</v>
      </c>
      <c r="Q45" s="2"/>
      <c r="R45" s="37"/>
      <c r="T45" s="12" t="s">
        <v>103</v>
      </c>
      <c r="U45" s="98" t="s">
        <v>356</v>
      </c>
      <c r="W45" s="167">
        <v>42376</v>
      </c>
      <c r="X45" s="43">
        <v>78.06</v>
      </c>
      <c r="Y45" s="43">
        <v>78.83</v>
      </c>
      <c r="Z45" s="43">
        <v>77.55</v>
      </c>
      <c r="AA45" s="43">
        <v>78</v>
      </c>
      <c r="AB45" s="105">
        <v>1900900</v>
      </c>
      <c r="AC45" s="43">
        <v>77.31</v>
      </c>
      <c r="AD45" s="2">
        <f t="shared" si="3"/>
        <v>1.2800000000000011</v>
      </c>
      <c r="AE45" s="148">
        <f t="shared" si="4"/>
        <v>-1.8659558263518616E-2</v>
      </c>
    </row>
    <row r="46" spans="15:31" x14ac:dyDescent="0.25">
      <c r="O46" s="93">
        <v>1.07</v>
      </c>
      <c r="P46" s="93">
        <f t="shared" si="5"/>
        <v>81.052500000000009</v>
      </c>
      <c r="Q46" s="2"/>
      <c r="R46" s="37"/>
      <c r="T46" s="12" t="s">
        <v>104</v>
      </c>
      <c r="U46" s="98" t="s">
        <v>357</v>
      </c>
      <c r="W46" s="167">
        <v>42375</v>
      </c>
      <c r="X46" s="43">
        <v>81.22</v>
      </c>
      <c r="Y46" s="43">
        <v>81.7</v>
      </c>
      <c r="Z46" s="43">
        <v>79.010000000000005</v>
      </c>
      <c r="AA46" s="43">
        <v>79.48</v>
      </c>
      <c r="AB46" s="105">
        <v>1345400</v>
      </c>
      <c r="AC46" s="43">
        <v>78.78</v>
      </c>
      <c r="AD46" s="2">
        <f t="shared" si="3"/>
        <v>2.6899999999999977</v>
      </c>
      <c r="AE46" s="148">
        <f t="shared" si="4"/>
        <v>-3.3848417954378318E-2</v>
      </c>
    </row>
    <row r="47" spans="15:31" x14ac:dyDescent="0.25">
      <c r="O47" s="93">
        <v>1.06</v>
      </c>
      <c r="P47" s="93">
        <f t="shared" si="5"/>
        <v>80.295000000000002</v>
      </c>
      <c r="Q47" s="2"/>
      <c r="R47" s="37"/>
      <c r="T47" s="12" t="s">
        <v>105</v>
      </c>
      <c r="U47" s="98">
        <v>82.95</v>
      </c>
      <c r="W47" s="167">
        <v>42374</v>
      </c>
      <c r="X47" s="43">
        <v>81.760000000000005</v>
      </c>
      <c r="Y47" s="43">
        <v>82.56</v>
      </c>
      <c r="Z47" s="43">
        <v>81.400000000000006</v>
      </c>
      <c r="AA47" s="43">
        <v>82.27</v>
      </c>
      <c r="AB47" s="105">
        <v>1043500</v>
      </c>
      <c r="AC47" s="43">
        <v>81.540000000000006</v>
      </c>
      <c r="AD47" s="2">
        <f t="shared" si="3"/>
        <v>1.1599999999999966</v>
      </c>
      <c r="AE47" s="148">
        <f t="shared" si="4"/>
        <v>5.5493895671476778E-3</v>
      </c>
    </row>
    <row r="48" spans="15:31" x14ac:dyDescent="0.25">
      <c r="O48" s="93">
        <v>1.05</v>
      </c>
      <c r="P48" s="93">
        <f t="shared" si="5"/>
        <v>79.537500000000009</v>
      </c>
      <c r="Q48" s="2"/>
      <c r="R48" s="37"/>
      <c r="T48" s="12" t="s">
        <v>106</v>
      </c>
      <c r="U48" s="98">
        <v>1.1974100000000001</v>
      </c>
      <c r="W48" s="167">
        <v>42373</v>
      </c>
      <c r="X48" s="43">
        <v>83.64</v>
      </c>
      <c r="Y48" s="43">
        <v>83.66</v>
      </c>
      <c r="Z48" s="43">
        <v>80.900000000000006</v>
      </c>
      <c r="AA48" s="43">
        <v>81.81</v>
      </c>
      <c r="AB48" s="105">
        <v>2558100</v>
      </c>
      <c r="AC48" s="43">
        <v>81.09</v>
      </c>
      <c r="AD48" s="2">
        <f t="shared" si="3"/>
        <v>2.7599999999999909</v>
      </c>
      <c r="AE48" s="148">
        <f t="shared" si="4"/>
        <v>-3.280057251908397E-2</v>
      </c>
    </row>
    <row r="49" spans="15:31" x14ac:dyDescent="0.25">
      <c r="O49" s="93">
        <v>1.04</v>
      </c>
      <c r="P49" s="93">
        <f t="shared" si="5"/>
        <v>78.78</v>
      </c>
      <c r="Q49" s="2"/>
      <c r="R49" s="37"/>
      <c r="T49" s="12" t="s">
        <v>126</v>
      </c>
      <c r="U49" s="98" t="s">
        <v>254</v>
      </c>
      <c r="W49" s="167">
        <v>42369</v>
      </c>
      <c r="X49" s="43">
        <v>84.16</v>
      </c>
      <c r="Y49" s="43">
        <v>85.18</v>
      </c>
      <c r="Z49" s="43">
        <v>84.09</v>
      </c>
      <c r="AA49" s="43">
        <v>84.59</v>
      </c>
      <c r="AB49" s="105">
        <v>920100</v>
      </c>
      <c r="AC49" s="43">
        <v>83.84</v>
      </c>
      <c r="AD49" s="2">
        <f t="shared" si="3"/>
        <v>1.0900000000000034</v>
      </c>
      <c r="AE49" s="148">
        <f t="shared" si="4"/>
        <v>-3.2100820354297177E-3</v>
      </c>
    </row>
    <row r="50" spans="15:31" x14ac:dyDescent="0.25">
      <c r="O50" s="93">
        <v>1.03</v>
      </c>
      <c r="P50" s="93">
        <f t="shared" si="5"/>
        <v>78.022500000000008</v>
      </c>
      <c r="Q50" s="2"/>
      <c r="R50" s="37"/>
      <c r="T50" s="12"/>
      <c r="U50" s="98"/>
      <c r="W50" s="167">
        <v>42368</v>
      </c>
      <c r="X50" s="43">
        <v>85.5</v>
      </c>
      <c r="Y50" s="43">
        <v>85.57</v>
      </c>
      <c r="Z50" s="43">
        <v>84.78</v>
      </c>
      <c r="AA50" s="43">
        <v>84.86</v>
      </c>
      <c r="AB50" s="105">
        <v>843300</v>
      </c>
      <c r="AC50" s="43">
        <v>84.11</v>
      </c>
      <c r="AD50" s="2">
        <f t="shared" si="3"/>
        <v>0.78999999999999204</v>
      </c>
      <c r="AE50" s="148">
        <f t="shared" si="4"/>
        <v>-8.1367924528301661E-3</v>
      </c>
    </row>
    <row r="51" spans="15:31" x14ac:dyDescent="0.25">
      <c r="O51" s="93">
        <v>1.02</v>
      </c>
      <c r="P51" s="93">
        <f t="shared" si="5"/>
        <v>77.265000000000001</v>
      </c>
      <c r="Q51" s="2"/>
      <c r="R51" s="37"/>
      <c r="T51" s="12" t="s">
        <v>108</v>
      </c>
      <c r="U51" s="98" t="s">
        <v>358</v>
      </c>
      <c r="W51" s="167">
        <v>42367</v>
      </c>
      <c r="X51" s="43">
        <v>85.86</v>
      </c>
      <c r="Y51" s="43">
        <v>86.31</v>
      </c>
      <c r="Z51" s="43">
        <v>85.5</v>
      </c>
      <c r="AA51" s="43">
        <v>85.56</v>
      </c>
      <c r="AB51" s="105">
        <v>829300</v>
      </c>
      <c r="AC51" s="43">
        <v>84.8</v>
      </c>
      <c r="AD51" s="2">
        <f t="shared" si="3"/>
        <v>0.81000000000000227</v>
      </c>
      <c r="AE51" s="148">
        <f t="shared" si="4"/>
        <v>-3.5364847341745609E-4</v>
      </c>
    </row>
    <row r="52" spans="15:31" x14ac:dyDescent="0.25">
      <c r="O52" s="93">
        <v>1.01</v>
      </c>
      <c r="P52" s="93">
        <f t="shared" si="5"/>
        <v>76.507500000000007</v>
      </c>
      <c r="Q52" s="2"/>
      <c r="R52" s="37"/>
      <c r="T52" s="12" t="s">
        <v>109</v>
      </c>
      <c r="U52" s="98" t="s">
        <v>286</v>
      </c>
      <c r="W52" s="167">
        <v>42366</v>
      </c>
      <c r="X52" s="43">
        <v>86.57</v>
      </c>
      <c r="Y52" s="43">
        <v>86.98</v>
      </c>
      <c r="Z52" s="43">
        <v>85.49</v>
      </c>
      <c r="AA52" s="43">
        <v>85.59</v>
      </c>
      <c r="AB52" s="105">
        <v>862700</v>
      </c>
      <c r="AC52" s="43">
        <v>84.83</v>
      </c>
      <c r="AD52" s="2">
        <f t="shared" si="3"/>
        <v>1.4900000000000091</v>
      </c>
      <c r="AE52" s="148">
        <f t="shared" si="4"/>
        <v>-1.3719334961051155E-2</v>
      </c>
    </row>
    <row r="53" spans="15:31" x14ac:dyDescent="0.25">
      <c r="O53" s="93">
        <v>1</v>
      </c>
      <c r="P53" s="93">
        <f t="shared" si="5"/>
        <v>75.75</v>
      </c>
      <c r="Q53" s="2"/>
      <c r="R53" s="37"/>
      <c r="T53" s="12" t="s">
        <v>110</v>
      </c>
      <c r="U53" s="100">
        <v>2479045</v>
      </c>
      <c r="W53" s="167">
        <v>42362</v>
      </c>
      <c r="X53" s="43">
        <v>86.9</v>
      </c>
      <c r="Y53" s="43">
        <v>87.33</v>
      </c>
      <c r="Z53" s="43">
        <v>86.17</v>
      </c>
      <c r="AA53" s="43">
        <v>86.78</v>
      </c>
      <c r="AB53" s="105">
        <v>434000</v>
      </c>
      <c r="AC53" s="43">
        <v>86.01</v>
      </c>
      <c r="AD53" s="2">
        <f t="shared" si="3"/>
        <v>1.1599999999999966</v>
      </c>
      <c r="AE53" s="148">
        <f t="shared" si="4"/>
        <v>-8.1319702602222765E-4</v>
      </c>
    </row>
    <row r="54" spans="15:31" x14ac:dyDescent="0.25">
      <c r="O54" s="93">
        <v>0.99</v>
      </c>
      <c r="P54" s="93">
        <f t="shared" si="5"/>
        <v>74.992499999999993</v>
      </c>
      <c r="Q54" s="2"/>
      <c r="R54" s="37"/>
      <c r="T54" s="12" t="s">
        <v>113</v>
      </c>
      <c r="U54" s="100">
        <v>1829030</v>
      </c>
      <c r="W54" s="167">
        <v>42361</v>
      </c>
      <c r="X54" s="43">
        <v>86.68</v>
      </c>
      <c r="Y54" s="43">
        <v>87.11</v>
      </c>
      <c r="Z54" s="43">
        <v>86</v>
      </c>
      <c r="AA54" s="43">
        <v>86.85</v>
      </c>
      <c r="AB54" s="105">
        <v>865300</v>
      </c>
      <c r="AC54" s="43">
        <v>86.08</v>
      </c>
      <c r="AD54" s="2">
        <f t="shared" si="3"/>
        <v>1.1099999999999994</v>
      </c>
      <c r="AE54" s="148">
        <f t="shared" si="4"/>
        <v>9.0259055210408778E-3</v>
      </c>
    </row>
    <row r="55" spans="15:31" x14ac:dyDescent="0.25">
      <c r="O55" s="93">
        <v>0.98</v>
      </c>
      <c r="P55" s="93">
        <f t="shared" si="5"/>
        <v>74.234999999999999</v>
      </c>
      <c r="Q55" s="2"/>
      <c r="R55" s="37"/>
      <c r="T55" s="12" t="s">
        <v>111</v>
      </c>
      <c r="U55" s="98" t="s">
        <v>359</v>
      </c>
      <c r="W55" s="167">
        <v>42360</v>
      </c>
      <c r="X55" s="43">
        <v>84.89</v>
      </c>
      <c r="Y55" s="43">
        <v>86.47</v>
      </c>
      <c r="Z55" s="43">
        <v>84.61</v>
      </c>
      <c r="AA55" s="43">
        <v>86.07</v>
      </c>
      <c r="AB55" s="105">
        <v>1043900</v>
      </c>
      <c r="AC55" s="43">
        <v>85.31</v>
      </c>
      <c r="AD55" s="2">
        <f t="shared" si="3"/>
        <v>1.8599999999999994</v>
      </c>
      <c r="AE55" s="148">
        <f t="shared" si="4"/>
        <v>2.3638108951283821E-2</v>
      </c>
    </row>
    <row r="56" spans="15:31" x14ac:dyDescent="0.25">
      <c r="O56" s="93">
        <v>0.97</v>
      </c>
      <c r="P56" s="93">
        <f t="shared" si="5"/>
        <v>73.477499999999992</v>
      </c>
      <c r="T56" s="12" t="s">
        <v>114</v>
      </c>
      <c r="U56" s="98">
        <v>14.87</v>
      </c>
      <c r="W56" s="167">
        <v>42359</v>
      </c>
      <c r="X56" s="43">
        <v>85.1</v>
      </c>
      <c r="Y56" s="43">
        <v>85.53</v>
      </c>
      <c r="Z56" s="43">
        <v>83.69</v>
      </c>
      <c r="AA56" s="43">
        <v>84.08</v>
      </c>
      <c r="AB56" s="105">
        <v>1306100</v>
      </c>
      <c r="AC56" s="43">
        <v>83.34</v>
      </c>
      <c r="AD56" s="2">
        <f t="shared" si="3"/>
        <v>1.8400000000000034</v>
      </c>
      <c r="AE56" s="148">
        <f t="shared" si="4"/>
        <v>-2.1551724137930384E-3</v>
      </c>
    </row>
    <row r="57" spans="15:31" x14ac:dyDescent="0.25">
      <c r="O57" s="93">
        <v>0.96</v>
      </c>
      <c r="P57" s="93">
        <f t="shared" si="5"/>
        <v>72.72</v>
      </c>
      <c r="T57" s="12" t="s">
        <v>115</v>
      </c>
      <c r="U57" s="98">
        <v>5.0999999999999996</v>
      </c>
      <c r="W57" s="167">
        <v>42356</v>
      </c>
      <c r="X57" s="43">
        <v>84.59</v>
      </c>
      <c r="Y57" s="43">
        <v>85.99</v>
      </c>
      <c r="Z57" s="43">
        <v>83.23</v>
      </c>
      <c r="AA57" s="43">
        <v>84.27</v>
      </c>
      <c r="AB57" s="105">
        <v>3228300</v>
      </c>
      <c r="AC57" s="43">
        <v>83.52</v>
      </c>
      <c r="AD57" s="2">
        <f t="shared" si="3"/>
        <v>2.7599999999999909</v>
      </c>
      <c r="AE57" s="148">
        <f t="shared" si="4"/>
        <v>-9.3701814731349531E-3</v>
      </c>
    </row>
    <row r="58" spans="15:31" x14ac:dyDescent="0.25">
      <c r="O58" s="93">
        <v>0.95</v>
      </c>
      <c r="P58" s="93">
        <f t="shared" si="5"/>
        <v>71.962499999999991</v>
      </c>
      <c r="T58" s="12" t="s">
        <v>112</v>
      </c>
      <c r="U58" s="98" t="s">
        <v>311</v>
      </c>
      <c r="W58" s="167">
        <v>42355</v>
      </c>
      <c r="X58" s="43">
        <v>89.51</v>
      </c>
      <c r="Y58" s="43">
        <v>89.6</v>
      </c>
      <c r="Z58" s="43">
        <v>84.91</v>
      </c>
      <c r="AA58" s="43">
        <v>85.06</v>
      </c>
      <c r="AB58" s="105">
        <v>2554400</v>
      </c>
      <c r="AC58" s="43">
        <v>84.31</v>
      </c>
      <c r="AD58" s="2">
        <f t="shared" si="3"/>
        <v>4.6899999999999977</v>
      </c>
      <c r="AE58" s="148">
        <f t="shared" si="4"/>
        <v>-5.2590178671760746E-2</v>
      </c>
    </row>
    <row r="59" spans="15:31" x14ac:dyDescent="0.25">
      <c r="O59" s="93">
        <v>0.94</v>
      </c>
      <c r="P59" s="93">
        <f t="shared" si="5"/>
        <v>71.204999999999998</v>
      </c>
      <c r="W59" s="167">
        <v>42354</v>
      </c>
      <c r="X59" s="43">
        <v>91.33</v>
      </c>
      <c r="Y59" s="43">
        <v>91.8</v>
      </c>
      <c r="Z59" s="43">
        <v>88.48</v>
      </c>
      <c r="AA59" s="43">
        <v>89.79</v>
      </c>
      <c r="AB59" s="105">
        <v>2226600</v>
      </c>
      <c r="AC59" s="43">
        <v>88.99</v>
      </c>
      <c r="AD59" s="2">
        <f t="shared" si="3"/>
        <v>3.3199999999999932</v>
      </c>
      <c r="AE59" s="148">
        <f t="shared" si="4"/>
        <v>-1.3523999556590116E-2</v>
      </c>
    </row>
    <row r="60" spans="15:31" x14ac:dyDescent="0.25">
      <c r="O60" s="93">
        <v>0.93</v>
      </c>
      <c r="P60" s="93">
        <f t="shared" si="5"/>
        <v>70.447500000000005</v>
      </c>
      <c r="W60" s="167">
        <v>42353</v>
      </c>
      <c r="X60" s="43">
        <v>90.17</v>
      </c>
      <c r="Y60" s="43">
        <v>91.59</v>
      </c>
      <c r="Z60" s="43">
        <v>89.71</v>
      </c>
      <c r="AA60" s="43">
        <v>91.02</v>
      </c>
      <c r="AB60" s="105">
        <v>1609500</v>
      </c>
      <c r="AC60" s="43">
        <v>90.21</v>
      </c>
      <c r="AD60" s="2">
        <f t="shared" si="3"/>
        <v>1.8800000000000097</v>
      </c>
      <c r="AE60" s="148">
        <f t="shared" si="4"/>
        <v>1.8631436314363148E-2</v>
      </c>
    </row>
    <row r="61" spans="15:31" x14ac:dyDescent="0.25">
      <c r="O61" s="93">
        <v>0.92</v>
      </c>
      <c r="P61" s="93">
        <f t="shared" si="5"/>
        <v>69.69</v>
      </c>
      <c r="W61" s="167">
        <v>42352</v>
      </c>
      <c r="X61" s="43">
        <v>89.6</v>
      </c>
      <c r="Y61" s="43">
        <v>90.75</v>
      </c>
      <c r="Z61" s="43">
        <v>88.9</v>
      </c>
      <c r="AA61" s="43">
        <v>89.35</v>
      </c>
      <c r="AB61" s="105">
        <v>2338900</v>
      </c>
      <c r="AC61" s="43">
        <v>88.56</v>
      </c>
      <c r="AD61" s="2">
        <f t="shared" si="3"/>
        <v>1.8499999999999943</v>
      </c>
      <c r="AE61" s="148">
        <f t="shared" si="4"/>
        <v>-1.0152284263960087E-3</v>
      </c>
    </row>
    <row r="62" spans="15:31" x14ac:dyDescent="0.25">
      <c r="O62" s="93">
        <v>0.91</v>
      </c>
      <c r="P62" s="93">
        <f t="shared" si="5"/>
        <v>68.932500000000005</v>
      </c>
      <c r="W62" s="167">
        <v>42349</v>
      </c>
      <c r="X62" s="43">
        <v>89.13</v>
      </c>
      <c r="Y62" s="43">
        <v>89.94</v>
      </c>
      <c r="Z62" s="43">
        <v>87.76</v>
      </c>
      <c r="AA62" s="43">
        <v>89.44</v>
      </c>
      <c r="AB62" s="105">
        <v>3170200</v>
      </c>
      <c r="AC62" s="43">
        <v>88.65</v>
      </c>
      <c r="AD62" s="2">
        <f t="shared" si="3"/>
        <v>2.1799999999999926</v>
      </c>
      <c r="AE62" s="148">
        <f t="shared" si="4"/>
        <v>2.013808975834297E-2</v>
      </c>
    </row>
    <row r="63" spans="15:31" x14ac:dyDescent="0.25">
      <c r="O63" s="93">
        <v>0.9</v>
      </c>
      <c r="P63" s="93">
        <f t="shared" si="5"/>
        <v>68.174999999999997</v>
      </c>
      <c r="W63" s="167">
        <v>42348</v>
      </c>
      <c r="X63" s="43">
        <v>88.32</v>
      </c>
      <c r="Y63" s="43">
        <v>88.47</v>
      </c>
      <c r="Z63" s="43">
        <v>87.3</v>
      </c>
      <c r="AA63" s="43">
        <v>87.68</v>
      </c>
      <c r="AB63" s="105">
        <v>1840400</v>
      </c>
      <c r="AC63" s="43">
        <v>86.9</v>
      </c>
      <c r="AD63" s="2">
        <f t="shared" si="3"/>
        <v>1.1700000000000017</v>
      </c>
      <c r="AE63" s="148">
        <f t="shared" si="4"/>
        <v>1.4982136683185932E-3</v>
      </c>
    </row>
    <row r="64" spans="15:31" x14ac:dyDescent="0.25">
      <c r="W64" s="167">
        <v>42347</v>
      </c>
      <c r="X64" s="43">
        <v>85.93</v>
      </c>
      <c r="Y64" s="43">
        <v>88.11</v>
      </c>
      <c r="Z64" s="43">
        <v>85.76</v>
      </c>
      <c r="AA64" s="43">
        <v>87.55</v>
      </c>
      <c r="AB64" s="105">
        <v>3031600</v>
      </c>
      <c r="AC64" s="43">
        <v>86.77</v>
      </c>
      <c r="AD64" s="2">
        <f t="shared" si="3"/>
        <v>2.3499999999999943</v>
      </c>
      <c r="AE64" s="148">
        <f t="shared" si="4"/>
        <v>1.4142122487143416E-2</v>
      </c>
    </row>
    <row r="65" spans="23:31" x14ac:dyDescent="0.25">
      <c r="W65" s="167">
        <v>42346</v>
      </c>
      <c r="X65" s="43">
        <v>87.9</v>
      </c>
      <c r="Y65" s="43">
        <v>89.78</v>
      </c>
      <c r="Z65" s="43">
        <v>85.44</v>
      </c>
      <c r="AA65" s="43">
        <v>86.32</v>
      </c>
      <c r="AB65" s="105">
        <v>4932300</v>
      </c>
      <c r="AC65" s="43">
        <v>85.56</v>
      </c>
      <c r="AD65" s="2">
        <f t="shared" si="3"/>
        <v>4.3400000000000034</v>
      </c>
      <c r="AE65" s="148">
        <f t="shared" si="4"/>
        <v>-5.6774335795391817E-2</v>
      </c>
    </row>
    <row r="66" spans="23:31" x14ac:dyDescent="0.25">
      <c r="W66" s="167">
        <v>42345</v>
      </c>
      <c r="X66" s="43">
        <v>93.79</v>
      </c>
      <c r="Y66" s="43">
        <v>94.35</v>
      </c>
      <c r="Z66" s="43">
        <v>91.36</v>
      </c>
      <c r="AA66" s="43">
        <v>91.52</v>
      </c>
      <c r="AB66" s="105">
        <v>2766900</v>
      </c>
      <c r="AC66" s="43">
        <v>90.71</v>
      </c>
      <c r="AD66" s="2">
        <f t="shared" si="3"/>
        <v>2.9899999999999949</v>
      </c>
      <c r="AE66" s="148">
        <f t="shared" si="4"/>
        <v>-5.8088557650153305E-3</v>
      </c>
    </row>
    <row r="67" spans="23:31" x14ac:dyDescent="0.25">
      <c r="W67" s="167">
        <v>42342</v>
      </c>
      <c r="X67" s="43">
        <v>88.97</v>
      </c>
      <c r="Y67" s="43">
        <v>92.5</v>
      </c>
      <c r="Z67" s="43">
        <v>86.59</v>
      </c>
      <c r="AA67" s="43">
        <v>92.06</v>
      </c>
      <c r="AB67" s="105">
        <v>5803100</v>
      </c>
      <c r="AC67" s="43">
        <v>91.24</v>
      </c>
      <c r="AD67" s="2">
        <f t="shared" ref="AD67:AD68" si="6">Y67-Z67</f>
        <v>5.9099999999999966</v>
      </c>
      <c r="AE67" s="148">
        <f t="shared" ref="AE67" si="7">AC67/AC68-1</f>
        <v>-1.1377180626286787E-2</v>
      </c>
    </row>
    <row r="68" spans="23:31" x14ac:dyDescent="0.25">
      <c r="W68" s="167">
        <v>42341</v>
      </c>
      <c r="X68" s="43">
        <v>92.02</v>
      </c>
      <c r="Y68" s="43">
        <v>93.99</v>
      </c>
      <c r="Z68" s="43">
        <v>91.86</v>
      </c>
      <c r="AA68" s="43">
        <v>93.11</v>
      </c>
      <c r="AB68" s="105">
        <v>2426400</v>
      </c>
      <c r="AC68" s="43">
        <v>92.29</v>
      </c>
      <c r="AD68" s="2">
        <f t="shared" si="6"/>
        <v>2.1299999999999955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166</v>
      </c>
      <c r="W2" s="143">
        <v>42438</v>
      </c>
      <c r="X2" s="12">
        <v>25.47</v>
      </c>
      <c r="Y2" s="12">
        <v>26.75</v>
      </c>
      <c r="Z2" s="12">
        <v>25.15</v>
      </c>
      <c r="AA2" s="12">
        <v>26.2</v>
      </c>
      <c r="AB2" s="105">
        <v>5625600</v>
      </c>
      <c r="AC2" s="12">
        <v>26.2</v>
      </c>
      <c r="AD2" s="2">
        <f>Y2-Z2</f>
        <v>1.6000000000000014</v>
      </c>
      <c r="AE2" s="148">
        <f>AC2/AC3-1</f>
        <v>4.4657097288676173E-2</v>
      </c>
      <c r="AP2" t="s">
        <v>191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42437</v>
      </c>
      <c r="X3" s="12">
        <v>25.97</v>
      </c>
      <c r="Y3" s="12">
        <v>26.9</v>
      </c>
      <c r="Z3" s="12">
        <v>24.38</v>
      </c>
      <c r="AA3" s="12">
        <v>25.08</v>
      </c>
      <c r="AB3" s="105">
        <v>9002700</v>
      </c>
      <c r="AC3" s="12">
        <v>25.08</v>
      </c>
      <c r="AD3" s="2">
        <f t="shared" ref="AD3:AD66" si="2">Y3-Z3</f>
        <v>2.5199999999999996</v>
      </c>
      <c r="AE3" s="148">
        <f t="shared" ref="AE3:AE66" si="3">AC3/AC4-1</f>
        <v>3.6792062835882433E-2</v>
      </c>
      <c r="AI3" t="s">
        <v>203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26.2</v>
      </c>
      <c r="T4" s="1">
        <v>42306</v>
      </c>
      <c r="U4" t="s">
        <v>82</v>
      </c>
      <c r="W4" s="143">
        <v>42436</v>
      </c>
      <c r="X4" s="12">
        <v>22.64</v>
      </c>
      <c r="Y4" s="12">
        <v>24.77</v>
      </c>
      <c r="Z4" s="12">
        <v>22.63</v>
      </c>
      <c r="AA4" s="12">
        <v>24.19</v>
      </c>
      <c r="AB4" s="105">
        <v>7431300</v>
      </c>
      <c r="AC4" s="12">
        <v>24.19</v>
      </c>
      <c r="AD4" s="2">
        <f t="shared" si="2"/>
        <v>2.1400000000000006</v>
      </c>
      <c r="AE4" s="148">
        <f t="shared" si="3"/>
        <v>8.0393032603841119E-2</v>
      </c>
      <c r="AI4" t="s">
        <v>204</v>
      </c>
      <c r="AJ4">
        <v>-150</v>
      </c>
      <c r="AK4" t="s">
        <v>195</v>
      </c>
      <c r="AL4" t="s">
        <v>195</v>
      </c>
      <c r="AO4" s="272">
        <v>-4582.42</v>
      </c>
      <c r="AP4" t="s">
        <v>195</v>
      </c>
      <c r="AQ4" t="s">
        <v>195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2620</v>
      </c>
      <c r="W5" s="143">
        <v>42433</v>
      </c>
      <c r="X5" s="12">
        <v>22.49</v>
      </c>
      <c r="Y5" s="12">
        <v>25</v>
      </c>
      <c r="Z5" s="12">
        <v>21.4</v>
      </c>
      <c r="AA5" s="12">
        <v>22.39</v>
      </c>
      <c r="AB5" s="105">
        <v>10777100</v>
      </c>
      <c r="AC5" s="12">
        <v>22.39</v>
      </c>
      <c r="AD5" s="2">
        <f t="shared" si="2"/>
        <v>3.6000000000000014</v>
      </c>
      <c r="AE5" s="148">
        <f t="shared" si="3"/>
        <v>-4.4464206313916677E-3</v>
      </c>
      <c r="AI5" t="s">
        <v>236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42432</v>
      </c>
      <c r="X6" s="12">
        <v>19.850000000000001</v>
      </c>
      <c r="Y6" s="12">
        <v>23.84</v>
      </c>
      <c r="Z6" s="12">
        <v>19.23</v>
      </c>
      <c r="AA6" s="12">
        <v>22.49</v>
      </c>
      <c r="AB6" s="105">
        <v>13459400</v>
      </c>
      <c r="AC6" s="12">
        <v>22.49</v>
      </c>
      <c r="AD6" s="2">
        <f t="shared" si="2"/>
        <v>4.6099999999999994</v>
      </c>
      <c r="AE6" s="148">
        <f t="shared" si="3"/>
        <v>0.1557040082219936</v>
      </c>
      <c r="AI6" t="s">
        <v>197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-486.42999999999302</v>
      </c>
      <c r="R7" s="175"/>
      <c r="W7" s="143">
        <v>42431</v>
      </c>
      <c r="X7" s="12">
        <v>18.36</v>
      </c>
      <c r="Y7" s="12">
        <v>19.8</v>
      </c>
      <c r="Z7" s="12">
        <v>18.03</v>
      </c>
      <c r="AA7" s="12">
        <v>19.46</v>
      </c>
      <c r="AB7" s="105">
        <v>4748200</v>
      </c>
      <c r="AC7" s="12">
        <v>19.46</v>
      </c>
      <c r="AD7" s="2">
        <f t="shared" si="2"/>
        <v>1.7699999999999996</v>
      </c>
      <c r="AE7" s="148">
        <f t="shared" si="3"/>
        <v>8.0510827318156508E-2</v>
      </c>
      <c r="AI7" t="s">
        <v>237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-0.15658810917998936</v>
      </c>
      <c r="W8" s="143">
        <v>42430</v>
      </c>
      <c r="X8" s="12">
        <v>18.82</v>
      </c>
      <c r="Y8" s="12">
        <v>18.850000000000001</v>
      </c>
      <c r="Z8" s="12">
        <v>17.72</v>
      </c>
      <c r="AA8" s="12">
        <v>18.010000000000002</v>
      </c>
      <c r="AB8" s="105">
        <v>4015500</v>
      </c>
      <c r="AC8" s="12">
        <v>18.010000000000002</v>
      </c>
      <c r="AD8" s="2">
        <f t="shared" si="2"/>
        <v>1.1300000000000026</v>
      </c>
      <c r="AE8" s="148">
        <f t="shared" si="3"/>
        <v>-2.2788931090613085E-2</v>
      </c>
      <c r="AI8" t="s">
        <v>196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42429</v>
      </c>
      <c r="X9" s="12">
        <v>19</v>
      </c>
      <c r="Y9" s="12">
        <v>19.399999999999999</v>
      </c>
      <c r="Z9" s="12">
        <v>18.399999999999999</v>
      </c>
      <c r="AA9" s="12">
        <v>18.43</v>
      </c>
      <c r="AB9" s="105">
        <v>3335600</v>
      </c>
      <c r="AC9" s="12">
        <v>18.43</v>
      </c>
      <c r="AD9" s="2">
        <f t="shared" si="2"/>
        <v>1</v>
      </c>
      <c r="AE9" s="148">
        <f t="shared" si="3"/>
        <v>-1.9680851063829885E-2</v>
      </c>
      <c r="AI9" t="s">
        <v>194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42426</v>
      </c>
      <c r="X10" s="12">
        <v>19.100000000000001</v>
      </c>
      <c r="Y10" s="12">
        <v>19.53</v>
      </c>
      <c r="Z10" s="12">
        <v>18.510000000000002</v>
      </c>
      <c r="AA10" s="12">
        <v>18.8</v>
      </c>
      <c r="AB10" s="105">
        <v>3806900</v>
      </c>
      <c r="AC10" s="12">
        <v>18.8</v>
      </c>
      <c r="AD10" s="2">
        <f t="shared" si="2"/>
        <v>1.0199999999999996</v>
      </c>
      <c r="AE10" s="148">
        <f t="shared" si="3"/>
        <v>8.5836909871244149E-3</v>
      </c>
      <c r="AI10" t="s">
        <v>196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42425</v>
      </c>
      <c r="X11" s="12">
        <v>19</v>
      </c>
      <c r="Y11" s="12">
        <v>19.27</v>
      </c>
      <c r="Z11" s="12">
        <v>18.25</v>
      </c>
      <c r="AA11" s="12">
        <v>18.64</v>
      </c>
      <c r="AB11" s="105">
        <v>4276100</v>
      </c>
      <c r="AC11" s="12">
        <v>18.64</v>
      </c>
      <c r="AD11" s="2">
        <f t="shared" si="2"/>
        <v>1.0199999999999996</v>
      </c>
      <c r="AE11" s="148">
        <f t="shared" si="3"/>
        <v>-1.3756613756613634E-2</v>
      </c>
      <c r="AI11" t="s">
        <v>194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42424</v>
      </c>
      <c r="X12" s="12">
        <v>17.66</v>
      </c>
      <c r="Y12" s="12">
        <v>19.3</v>
      </c>
      <c r="Z12" s="12">
        <v>17.27</v>
      </c>
      <c r="AA12" s="12">
        <v>18.899999999999999</v>
      </c>
      <c r="AB12" s="105">
        <v>5545600</v>
      </c>
      <c r="AC12" s="12">
        <v>18.899999999999999</v>
      </c>
      <c r="AD12" s="2">
        <f t="shared" si="2"/>
        <v>2.0300000000000011</v>
      </c>
      <c r="AE12" s="148">
        <f t="shared" si="3"/>
        <v>5.2924791086350842E-2</v>
      </c>
      <c r="AI12" t="s">
        <v>196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42423</v>
      </c>
      <c r="X13" s="12">
        <v>18.760000000000002</v>
      </c>
      <c r="Y13" s="12">
        <v>18.95</v>
      </c>
      <c r="Z13" s="12">
        <v>17.82</v>
      </c>
      <c r="AA13" s="12">
        <v>17.95</v>
      </c>
      <c r="AB13" s="105">
        <v>5173600</v>
      </c>
      <c r="AC13" s="12">
        <v>17.95</v>
      </c>
      <c r="AD13" s="2">
        <f t="shared" si="2"/>
        <v>1.129999999999999</v>
      </c>
      <c r="AE13" s="148">
        <f t="shared" si="3"/>
        <v>-5.9224318658280928E-2</v>
      </c>
      <c r="AI13" t="s">
        <v>194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42422</v>
      </c>
      <c r="X14" s="12">
        <v>19.55</v>
      </c>
      <c r="Y14" s="12">
        <v>19.78</v>
      </c>
      <c r="Z14" s="12">
        <v>18.8</v>
      </c>
      <c r="AA14" s="12">
        <v>19.079999999999998</v>
      </c>
      <c r="AB14" s="105">
        <v>4020700</v>
      </c>
      <c r="AC14" s="12">
        <v>19.079999999999998</v>
      </c>
      <c r="AD14" s="2">
        <f t="shared" si="2"/>
        <v>0.98000000000000043</v>
      </c>
      <c r="AE14" s="148">
        <f t="shared" si="3"/>
        <v>1.381509032943673E-2</v>
      </c>
      <c r="AI14" t="s">
        <v>238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42419</v>
      </c>
      <c r="X15" s="12">
        <v>19.670000000000002</v>
      </c>
      <c r="Y15" s="12">
        <v>19.989999999999998</v>
      </c>
      <c r="Z15" s="12">
        <v>18.71</v>
      </c>
      <c r="AA15" s="12">
        <v>18.82</v>
      </c>
      <c r="AB15" s="105">
        <v>4684900</v>
      </c>
      <c r="AC15" s="12">
        <v>18.82</v>
      </c>
      <c r="AD15" s="2">
        <f t="shared" si="2"/>
        <v>1.2799999999999976</v>
      </c>
      <c r="AE15" s="148">
        <f t="shared" si="3"/>
        <v>-6.1346633416458851E-2</v>
      </c>
      <c r="AI15" t="s">
        <v>194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W16" s="143">
        <v>42418</v>
      </c>
      <c r="X16" s="12">
        <v>21.95</v>
      </c>
      <c r="Y16" s="12">
        <v>22</v>
      </c>
      <c r="Z16" s="12">
        <v>19.41</v>
      </c>
      <c r="AA16" s="12">
        <v>20.05</v>
      </c>
      <c r="AB16" s="105">
        <v>9795200</v>
      </c>
      <c r="AC16" s="12">
        <v>20.05</v>
      </c>
      <c r="AD16" s="2">
        <f t="shared" si="2"/>
        <v>2.59</v>
      </c>
      <c r="AE16" s="148">
        <f t="shared" si="3"/>
        <v>-3.5594035594035511E-2</v>
      </c>
      <c r="AI16" t="s">
        <v>238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42417</v>
      </c>
      <c r="X17" s="12">
        <v>18.989999999999998</v>
      </c>
      <c r="Y17" s="12">
        <v>22.75</v>
      </c>
      <c r="Z17" s="12">
        <v>18.75</v>
      </c>
      <c r="AA17" s="12">
        <v>20.79</v>
      </c>
      <c r="AB17" s="105">
        <v>12716700</v>
      </c>
      <c r="AC17" s="12">
        <v>20.79</v>
      </c>
      <c r="AD17" s="2">
        <f t="shared" si="2"/>
        <v>4</v>
      </c>
      <c r="AE17" s="148">
        <f t="shared" si="3"/>
        <v>0.13173652694610771</v>
      </c>
      <c r="AI17" t="s">
        <v>194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42416</v>
      </c>
      <c r="X18" s="12">
        <v>18.670000000000002</v>
      </c>
      <c r="Y18" s="12">
        <v>19.12</v>
      </c>
      <c r="Z18" s="12">
        <v>17.96</v>
      </c>
      <c r="AA18" s="12">
        <v>18.37</v>
      </c>
      <c r="AB18" s="105">
        <v>6278900</v>
      </c>
      <c r="AC18" s="12">
        <v>18.37</v>
      </c>
      <c r="AD18" s="2">
        <f t="shared" si="2"/>
        <v>1.1600000000000001</v>
      </c>
      <c r="AE18" s="148">
        <f t="shared" si="3"/>
        <v>5.6962025316455778E-2</v>
      </c>
      <c r="AI18" t="s">
        <v>211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42412</v>
      </c>
      <c r="X19" s="12">
        <v>17.3</v>
      </c>
      <c r="Y19" s="12">
        <v>18.239999999999998</v>
      </c>
      <c r="Z19" s="12">
        <v>16.899999999999999</v>
      </c>
      <c r="AA19" s="12">
        <v>17.38</v>
      </c>
      <c r="AB19" s="105">
        <v>7311500</v>
      </c>
      <c r="AC19" s="12">
        <v>17.38</v>
      </c>
      <c r="AD19" s="2">
        <f t="shared" si="2"/>
        <v>1.3399999999999999</v>
      </c>
      <c r="AE19" s="148">
        <f t="shared" si="3"/>
        <v>4.2591481703659007E-2</v>
      </c>
      <c r="AI19" t="s">
        <v>194</v>
      </c>
    </row>
    <row r="20" spans="1:43" x14ac:dyDescent="0.25">
      <c r="C20" s="4"/>
      <c r="D20" s="3"/>
      <c r="E20" s="3"/>
      <c r="F20" s="3"/>
      <c r="W20" s="143">
        <v>42411</v>
      </c>
      <c r="X20" s="12">
        <v>18.690000000000001</v>
      </c>
      <c r="Y20" s="12">
        <v>19.43</v>
      </c>
      <c r="Z20" s="12">
        <v>16.309999999999999</v>
      </c>
      <c r="AA20" s="12">
        <v>16.670000000000002</v>
      </c>
      <c r="AB20" s="105">
        <v>14649400</v>
      </c>
      <c r="AC20" s="12">
        <v>16.670000000000002</v>
      </c>
      <c r="AD20" s="2">
        <f t="shared" si="2"/>
        <v>3.120000000000001</v>
      </c>
      <c r="AE20" s="148">
        <f t="shared" si="3"/>
        <v>-0.10520665593129352</v>
      </c>
      <c r="AI20" t="s">
        <v>212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42410</v>
      </c>
      <c r="X21" s="12">
        <v>19.420000000000002</v>
      </c>
      <c r="Y21" s="12">
        <v>21.95</v>
      </c>
      <c r="Z21" s="12">
        <v>18.260000000000002</v>
      </c>
      <c r="AA21" s="12">
        <v>18.63</v>
      </c>
      <c r="AB21" s="105">
        <v>33007300</v>
      </c>
      <c r="AC21" s="12">
        <v>18.63</v>
      </c>
      <c r="AD21" s="2">
        <f t="shared" si="2"/>
        <v>3.6899999999999977</v>
      </c>
      <c r="AE21" s="148">
        <f t="shared" si="3"/>
        <v>-0.29297912713472496</v>
      </c>
      <c r="AI21" t="s">
        <v>194</v>
      </c>
    </row>
    <row r="22" spans="1:43" x14ac:dyDescent="0.25">
      <c r="W22" s="143">
        <v>42409</v>
      </c>
      <c r="X22" s="12">
        <v>27.05</v>
      </c>
      <c r="Y22" s="12">
        <v>28.22</v>
      </c>
      <c r="Z22" s="12">
        <v>25.35</v>
      </c>
      <c r="AA22" s="12">
        <v>26.35</v>
      </c>
      <c r="AB22" s="105">
        <v>6060100</v>
      </c>
      <c r="AC22" s="12">
        <v>26.35</v>
      </c>
      <c r="AD22" s="2">
        <f t="shared" si="2"/>
        <v>2.8699999999999974</v>
      </c>
      <c r="AE22" s="148">
        <f t="shared" si="3"/>
        <v>-5.6907659269863964E-2</v>
      </c>
      <c r="AI22" t="s">
        <v>212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42408</v>
      </c>
      <c r="X23" s="12">
        <v>29.1</v>
      </c>
      <c r="Y23" s="12">
        <v>30.4</v>
      </c>
      <c r="Z23" s="12">
        <v>26.56</v>
      </c>
      <c r="AA23" s="12">
        <v>27.94</v>
      </c>
      <c r="AB23" s="105">
        <v>4018100</v>
      </c>
      <c r="AC23" s="12">
        <v>27.94</v>
      </c>
      <c r="AD23" s="2">
        <f t="shared" si="2"/>
        <v>3.84</v>
      </c>
      <c r="AE23" s="148">
        <f t="shared" si="3"/>
        <v>-5.5123435914778418E-2</v>
      </c>
      <c r="AI23" t="s">
        <v>194</v>
      </c>
    </row>
    <row r="24" spans="1:43" x14ac:dyDescent="0.25">
      <c r="W24" s="143">
        <v>42405</v>
      </c>
      <c r="X24" s="12">
        <v>29.22</v>
      </c>
      <c r="Y24" s="12">
        <v>30.61</v>
      </c>
      <c r="Z24" s="12">
        <v>28.4</v>
      </c>
      <c r="AA24" s="12">
        <v>29.57</v>
      </c>
      <c r="AB24" s="105">
        <v>3839100</v>
      </c>
      <c r="AC24" s="12">
        <v>29.57</v>
      </c>
      <c r="AD24" s="2">
        <f t="shared" si="2"/>
        <v>2.2100000000000009</v>
      </c>
      <c r="AE24" s="148">
        <f t="shared" si="3"/>
        <v>2.7127839945744192E-3</v>
      </c>
      <c r="AI24" t="s">
        <v>239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42404</v>
      </c>
      <c r="X25" s="12">
        <v>31.42</v>
      </c>
      <c r="Y25" s="12">
        <v>32.049999999999997</v>
      </c>
      <c r="Z25" s="12">
        <v>28.56</v>
      </c>
      <c r="AA25" s="12">
        <v>29.49</v>
      </c>
      <c r="AB25" s="105">
        <v>5217900</v>
      </c>
      <c r="AC25" s="12">
        <v>29.49</v>
      </c>
      <c r="AD25" s="2">
        <f t="shared" si="2"/>
        <v>3.4899999999999984</v>
      </c>
      <c r="AE25" s="148">
        <f t="shared" si="3"/>
        <v>-5.9630102040816313E-2</v>
      </c>
      <c r="AI25" t="s">
        <v>194</v>
      </c>
    </row>
    <row r="26" spans="1:43" x14ac:dyDescent="0.25">
      <c r="W26" s="143">
        <v>42403</v>
      </c>
      <c r="X26" s="12">
        <v>32.340000000000003</v>
      </c>
      <c r="Y26" s="12">
        <v>33.090000000000003</v>
      </c>
      <c r="Z26" s="12">
        <v>30.23</v>
      </c>
      <c r="AA26" s="12">
        <v>31.36</v>
      </c>
      <c r="AB26" s="105">
        <v>3213000</v>
      </c>
      <c r="AC26" s="12">
        <v>31.36</v>
      </c>
      <c r="AD26" s="2">
        <f t="shared" si="2"/>
        <v>2.860000000000003</v>
      </c>
      <c r="AE26" s="148">
        <f t="shared" si="3"/>
        <v>-2.122347066167285E-2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62" t="s">
        <v>177</v>
      </c>
      <c r="H27" s="218" t="s">
        <v>90</v>
      </c>
      <c r="I27" s="262" t="s">
        <v>185</v>
      </c>
      <c r="W27" s="143">
        <v>42402</v>
      </c>
      <c r="X27" s="12">
        <v>33.56</v>
      </c>
      <c r="Y27" s="12">
        <v>33.58</v>
      </c>
      <c r="Z27" s="12">
        <v>30.3</v>
      </c>
      <c r="AA27" s="12">
        <v>32.04</v>
      </c>
      <c r="AB27" s="105">
        <v>3231600</v>
      </c>
      <c r="AC27" s="12">
        <v>32.04</v>
      </c>
      <c r="AD27" s="2">
        <f t="shared" si="2"/>
        <v>3.2799999999999976</v>
      </c>
      <c r="AE27" s="148">
        <f t="shared" si="3"/>
        <v>-5.0947867298578142E-2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42401</v>
      </c>
      <c r="X28" s="12">
        <v>35.200000000000003</v>
      </c>
      <c r="Y28" s="12">
        <v>35.85</v>
      </c>
      <c r="Z28" s="12">
        <v>33.659999999999997</v>
      </c>
      <c r="AA28" s="12">
        <v>33.76</v>
      </c>
      <c r="AB28" s="105">
        <v>2150100</v>
      </c>
      <c r="AC28" s="12">
        <v>33.76</v>
      </c>
      <c r="AD28" s="2">
        <f t="shared" si="2"/>
        <v>2.1900000000000048</v>
      </c>
      <c r="AE28" s="148">
        <f t="shared" si="3"/>
        <v>-5.3015427769986023E-2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50" si="5">C29*(E29-D29)</f>
        <v>82.499999999999218</v>
      </c>
      <c r="G29" s="43">
        <f t="shared" ref="G29:G50" si="6">D29*C29</f>
        <v>20856</v>
      </c>
      <c r="H29" s="269">
        <f t="shared" ref="H29:H50" si="7">(E29-D29)/D29</f>
        <v>3.9556962025316077E-3</v>
      </c>
      <c r="I29" s="43"/>
      <c r="W29" s="143">
        <v>42398</v>
      </c>
      <c r="X29" s="12">
        <v>36.5</v>
      </c>
      <c r="Y29" s="12">
        <v>37.1</v>
      </c>
      <c r="Z29" s="12">
        <v>34.75</v>
      </c>
      <c r="AA29" s="12">
        <v>35.65</v>
      </c>
      <c r="AB29" s="105">
        <v>3251800</v>
      </c>
      <c r="AC29" s="12">
        <v>35.65</v>
      </c>
      <c r="AD29" s="2">
        <f t="shared" si="2"/>
        <v>2.3500000000000014</v>
      </c>
      <c r="AE29" s="148">
        <f t="shared" si="3"/>
        <v>8.422234699607678E-4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42397</v>
      </c>
      <c r="X30" s="12">
        <v>34.29</v>
      </c>
      <c r="Y30" s="12">
        <v>38.4</v>
      </c>
      <c r="Z30" s="12">
        <v>33.58</v>
      </c>
      <c r="AA30" s="12">
        <v>35.619999999999997</v>
      </c>
      <c r="AB30" s="105">
        <v>6057800</v>
      </c>
      <c r="AC30" s="12">
        <v>35.619999999999997</v>
      </c>
      <c r="AD30" s="2">
        <f t="shared" si="2"/>
        <v>4.82</v>
      </c>
      <c r="AE30" s="148">
        <f t="shared" si="3"/>
        <v>8.465286236297187E-2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42396</v>
      </c>
      <c r="X31" s="12">
        <v>33.43</v>
      </c>
      <c r="Y31" s="12">
        <v>34.74</v>
      </c>
      <c r="Z31" s="12">
        <v>32.700000000000003</v>
      </c>
      <c r="AA31" s="12">
        <v>32.840000000000003</v>
      </c>
      <c r="AB31" s="105">
        <v>2071400</v>
      </c>
      <c r="AC31" s="12">
        <v>32.840000000000003</v>
      </c>
      <c r="AD31" s="2">
        <f t="shared" si="2"/>
        <v>2.0399999999999991</v>
      </c>
      <c r="AE31" s="148">
        <f t="shared" si="3"/>
        <v>-4.088785046728971E-2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42395</v>
      </c>
      <c r="X32" s="12">
        <v>31.03</v>
      </c>
      <c r="Y32" s="12">
        <v>35.08</v>
      </c>
      <c r="Z32" s="12">
        <v>30.05</v>
      </c>
      <c r="AA32" s="12">
        <v>34.24</v>
      </c>
      <c r="AB32" s="105">
        <v>4296900</v>
      </c>
      <c r="AC32" s="12">
        <v>34.24</v>
      </c>
      <c r="AD32" s="2">
        <f t="shared" si="2"/>
        <v>5.0299999999999976</v>
      </c>
      <c r="AE32" s="148">
        <f t="shared" si="3"/>
        <v>0.11822338340953631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42394</v>
      </c>
      <c r="X33" s="12">
        <v>32.06</v>
      </c>
      <c r="Y33" s="12">
        <v>32.1</v>
      </c>
      <c r="Z33" s="12">
        <v>30.14</v>
      </c>
      <c r="AA33" s="12">
        <v>30.62</v>
      </c>
      <c r="AB33" s="105">
        <v>2613200</v>
      </c>
      <c r="AC33" s="12">
        <v>30.62</v>
      </c>
      <c r="AD33" s="2">
        <f t="shared" si="2"/>
        <v>1.9600000000000009</v>
      </c>
      <c r="AE33" s="148">
        <f t="shared" si="3"/>
        <v>-4.4319600499375778E-2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42391</v>
      </c>
      <c r="X34" s="12">
        <v>33.47</v>
      </c>
      <c r="Y34" s="12">
        <v>34.31</v>
      </c>
      <c r="Z34" s="12">
        <v>31.32</v>
      </c>
      <c r="AA34" s="12">
        <v>32.04</v>
      </c>
      <c r="AB34" s="105">
        <v>3417600</v>
      </c>
      <c r="AC34" s="12">
        <v>32.04</v>
      </c>
      <c r="AD34" s="2">
        <f t="shared" si="2"/>
        <v>2.990000000000002</v>
      </c>
      <c r="AE34" s="148">
        <f t="shared" si="3"/>
        <v>8.4985835694051381E-3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42390</v>
      </c>
      <c r="X35" s="12">
        <v>33.07</v>
      </c>
      <c r="Y35" s="12">
        <v>35.51</v>
      </c>
      <c r="Z35" s="12">
        <v>30.88</v>
      </c>
      <c r="AA35" s="12">
        <v>31.77</v>
      </c>
      <c r="AB35" s="105">
        <v>5215600</v>
      </c>
      <c r="AC35" s="12">
        <v>31.77</v>
      </c>
      <c r="AD35" s="2">
        <f t="shared" si="2"/>
        <v>4.629999999999999</v>
      </c>
      <c r="AE35" s="148">
        <f t="shared" si="3"/>
        <v>-6.0615020697811994E-2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42389</v>
      </c>
      <c r="X36" s="12">
        <v>30.01</v>
      </c>
      <c r="Y36" s="12">
        <v>34.880000000000003</v>
      </c>
      <c r="Z36" s="12">
        <v>27.5</v>
      </c>
      <c r="AA36" s="12">
        <v>33.82</v>
      </c>
      <c r="AB36" s="105">
        <v>6385700</v>
      </c>
      <c r="AC36" s="12">
        <v>33.82</v>
      </c>
      <c r="AD36" s="2">
        <f t="shared" si="2"/>
        <v>7.3800000000000026</v>
      </c>
      <c r="AE36" s="148">
        <f t="shared" si="3"/>
        <v>8.7809585075587115E-2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42388</v>
      </c>
      <c r="X37" s="12">
        <v>35.270000000000003</v>
      </c>
      <c r="Y37" s="12">
        <v>35.49</v>
      </c>
      <c r="Z37" s="12">
        <v>30.31</v>
      </c>
      <c r="AA37" s="12">
        <v>31.09</v>
      </c>
      <c r="AB37" s="105">
        <v>5345600</v>
      </c>
      <c r="AC37" s="12">
        <v>31.09</v>
      </c>
      <c r="AD37" s="2">
        <f t="shared" si="2"/>
        <v>5.1800000000000033</v>
      </c>
      <c r="AE37" s="148">
        <f t="shared" si="3"/>
        <v>-0.11676136363636369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42384</v>
      </c>
      <c r="X38" s="12">
        <v>35</v>
      </c>
      <c r="Y38" s="12">
        <v>37.450000000000003</v>
      </c>
      <c r="Z38" s="12">
        <v>33.89</v>
      </c>
      <c r="AA38" s="12">
        <v>35.200000000000003</v>
      </c>
      <c r="AB38" s="105">
        <v>4495100</v>
      </c>
      <c r="AC38" s="12">
        <v>35.200000000000003</v>
      </c>
      <c r="AD38" s="2">
        <f t="shared" si="2"/>
        <v>3.5600000000000023</v>
      </c>
      <c r="AE38" s="148">
        <f t="shared" si="3"/>
        <v>-5.1724137931034364E-2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42383</v>
      </c>
      <c r="X39" s="12">
        <v>40.68</v>
      </c>
      <c r="Y39" s="12">
        <v>41</v>
      </c>
      <c r="Z39" s="12">
        <v>36.15</v>
      </c>
      <c r="AA39" s="12">
        <v>37.119999999999997</v>
      </c>
      <c r="AB39" s="105">
        <v>7022000</v>
      </c>
      <c r="AC39" s="12">
        <v>37.119999999999997</v>
      </c>
      <c r="AD39" s="2">
        <f t="shared" si="2"/>
        <v>4.8500000000000014</v>
      </c>
      <c r="AE39" s="148">
        <f t="shared" si="3"/>
        <v>-0.13189897100093551</v>
      </c>
    </row>
    <row r="40" spans="2:31" x14ac:dyDescent="0.25">
      <c r="B40" s="216">
        <v>42356</v>
      </c>
      <c r="C40" s="306">
        <v>100</v>
      </c>
      <c r="D40" s="307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42382</v>
      </c>
      <c r="X40" s="12">
        <v>44.88</v>
      </c>
      <c r="Y40" s="12">
        <v>45.88</v>
      </c>
      <c r="Z40" s="12">
        <v>42.01</v>
      </c>
      <c r="AA40" s="12">
        <v>42.76</v>
      </c>
      <c r="AB40" s="105">
        <v>2915400</v>
      </c>
      <c r="AC40" s="12">
        <v>42.76</v>
      </c>
      <c r="AD40" s="2">
        <f t="shared" si="2"/>
        <v>3.8700000000000045</v>
      </c>
      <c r="AE40" s="148">
        <f t="shared" si="3"/>
        <v>-4.3828264758497326E-2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42381</v>
      </c>
      <c r="X41" s="12">
        <v>47.84</v>
      </c>
      <c r="Y41" s="12">
        <v>47.98</v>
      </c>
      <c r="Z41" s="12">
        <v>43.1</v>
      </c>
      <c r="AA41" s="12">
        <v>44.72</v>
      </c>
      <c r="AB41" s="105">
        <v>3341600</v>
      </c>
      <c r="AC41" s="12">
        <v>44.72</v>
      </c>
      <c r="AD41" s="2">
        <f t="shared" si="2"/>
        <v>4.8799999999999955</v>
      </c>
      <c r="AE41" s="148">
        <f t="shared" si="3"/>
        <v>-6.2277206961627196E-2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5" t="s">
        <v>78</v>
      </c>
      <c r="P42" s="405"/>
      <c r="Q42" s="37"/>
      <c r="T42" s="101" t="s">
        <v>116</v>
      </c>
      <c r="W42" s="143">
        <v>42380</v>
      </c>
      <c r="X42" s="12">
        <v>48.87</v>
      </c>
      <c r="Y42" s="12">
        <v>49.39</v>
      </c>
      <c r="Z42" s="12">
        <v>47.14</v>
      </c>
      <c r="AA42" s="12">
        <v>47.69</v>
      </c>
      <c r="AB42" s="105">
        <v>1673900</v>
      </c>
      <c r="AC42" s="12">
        <v>47.69</v>
      </c>
      <c r="AD42" s="2">
        <f t="shared" si="2"/>
        <v>2.25</v>
      </c>
      <c r="AE42" s="148">
        <f t="shared" si="3"/>
        <v>-2.2946117598852789E-2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29.867999999999995</v>
      </c>
      <c r="Q43" s="37"/>
      <c r="T43" s="138" t="s">
        <v>101</v>
      </c>
      <c r="U43" s="108">
        <v>25.08</v>
      </c>
      <c r="W43" s="143">
        <v>42377</v>
      </c>
      <c r="X43" s="12">
        <v>47.75</v>
      </c>
      <c r="Y43" s="12">
        <v>49.34</v>
      </c>
      <c r="Z43" s="12">
        <v>47.63</v>
      </c>
      <c r="AA43" s="12">
        <v>48.81</v>
      </c>
      <c r="AB43" s="105">
        <v>2137900</v>
      </c>
      <c r="AC43" s="12">
        <v>48.81</v>
      </c>
      <c r="AD43" s="2">
        <f t="shared" si="2"/>
        <v>1.7100000000000009</v>
      </c>
      <c r="AE43" s="148">
        <f t="shared" si="3"/>
        <v>3.6966220522625992E-2</v>
      </c>
    </row>
    <row r="44" spans="2:31" x14ac:dyDescent="0.25">
      <c r="B44" s="216">
        <v>42423</v>
      </c>
      <c r="C44" s="329">
        <v>175</v>
      </c>
      <c r="D44" s="330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29.605999999999998</v>
      </c>
      <c r="Q44" s="37"/>
      <c r="T44" s="103" t="s">
        <v>102</v>
      </c>
      <c r="U44" s="98">
        <v>25.47</v>
      </c>
      <c r="W44" s="143">
        <v>42376</v>
      </c>
      <c r="X44" s="12">
        <v>48.74</v>
      </c>
      <c r="Y44" s="12">
        <v>49.43</v>
      </c>
      <c r="Z44" s="12">
        <v>46.2</v>
      </c>
      <c r="AA44" s="12">
        <v>47.07</v>
      </c>
      <c r="AB44" s="105">
        <v>2484200</v>
      </c>
      <c r="AC44" s="12">
        <v>47.07</v>
      </c>
      <c r="AD44" s="2">
        <f t="shared" si="2"/>
        <v>3.2299999999999969</v>
      </c>
      <c r="AE44" s="148">
        <f t="shared" si="3"/>
        <v>-6.2350597609561853E-2</v>
      </c>
    </row>
    <row r="45" spans="2:31" x14ac:dyDescent="0.25">
      <c r="B45" s="216">
        <v>42426</v>
      </c>
      <c r="C45" s="329">
        <v>125</v>
      </c>
      <c r="D45" s="330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29.344000000000001</v>
      </c>
      <c r="Q45" s="37"/>
      <c r="T45" s="103" t="s">
        <v>103</v>
      </c>
      <c r="U45" s="98" t="s">
        <v>388</v>
      </c>
      <c r="W45" s="143">
        <v>42375</v>
      </c>
      <c r="X45" s="12">
        <v>49.3</v>
      </c>
      <c r="Y45" s="12">
        <v>51.45</v>
      </c>
      <c r="Z45" s="12">
        <v>49.3</v>
      </c>
      <c r="AA45" s="12">
        <v>50.2</v>
      </c>
      <c r="AB45" s="105">
        <v>1957200</v>
      </c>
      <c r="AC45" s="12">
        <v>50.2</v>
      </c>
      <c r="AD45" s="2">
        <f t="shared" si="2"/>
        <v>2.1500000000000057</v>
      </c>
      <c r="AE45" s="148">
        <f t="shared" si="3"/>
        <v>-4.7581284694685477E-3</v>
      </c>
    </row>
    <row r="46" spans="2:31" x14ac:dyDescent="0.25">
      <c r="B46" s="216">
        <v>42426</v>
      </c>
      <c r="C46" s="329">
        <v>175</v>
      </c>
      <c r="D46" s="330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29.082000000000001</v>
      </c>
      <c r="Q46" s="93"/>
      <c r="T46" s="103" t="s">
        <v>104</v>
      </c>
      <c r="U46" s="98" t="s">
        <v>389</v>
      </c>
      <c r="W46" s="143">
        <v>42374</v>
      </c>
      <c r="X46" s="12">
        <v>53.61</v>
      </c>
      <c r="Y46" s="12">
        <v>53.61</v>
      </c>
      <c r="Z46" s="12">
        <v>49.55</v>
      </c>
      <c r="AA46" s="12">
        <v>50.44</v>
      </c>
      <c r="AB46" s="105">
        <v>2425300</v>
      </c>
      <c r="AC46" s="12">
        <v>50.44</v>
      </c>
      <c r="AD46" s="2">
        <f t="shared" si="2"/>
        <v>4.0600000000000023</v>
      </c>
      <c r="AE46" s="148">
        <f t="shared" si="3"/>
        <v>-4.451600681947343E-2</v>
      </c>
    </row>
    <row r="47" spans="2:31" x14ac:dyDescent="0.25">
      <c r="B47" s="216">
        <v>42430</v>
      </c>
      <c r="C47" s="329">
        <v>175</v>
      </c>
      <c r="D47" s="330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28.82</v>
      </c>
      <c r="Q47" s="93"/>
      <c r="T47" s="103" t="s">
        <v>105</v>
      </c>
      <c r="U47" s="98">
        <v>44.5</v>
      </c>
      <c r="W47" s="143">
        <v>42373</v>
      </c>
      <c r="X47" s="12">
        <v>49.29</v>
      </c>
      <c r="Y47" s="12">
        <v>52.94</v>
      </c>
      <c r="Z47" s="12">
        <v>48.38</v>
      </c>
      <c r="AA47" s="12">
        <v>52.79</v>
      </c>
      <c r="AB47" s="105">
        <v>3015000</v>
      </c>
      <c r="AC47" s="12">
        <v>52.79</v>
      </c>
      <c r="AD47" s="2">
        <f t="shared" si="2"/>
        <v>4.5599999999999952</v>
      </c>
      <c r="AE47" s="148">
        <f t="shared" si="3"/>
        <v>3.4692277538220129E-2</v>
      </c>
    </row>
    <row r="48" spans="2:31" x14ac:dyDescent="0.25">
      <c r="B48" s="216">
        <v>42432</v>
      </c>
      <c r="C48" s="329">
        <v>125</v>
      </c>
      <c r="D48" s="330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28.558</v>
      </c>
      <c r="Q48" s="93"/>
      <c r="T48" s="103" t="s">
        <v>106</v>
      </c>
      <c r="U48" s="98">
        <v>1.7099</v>
      </c>
      <c r="W48" s="143">
        <v>42369</v>
      </c>
      <c r="X48" s="12">
        <v>50.5</v>
      </c>
      <c r="Y48" s="12">
        <v>51.49</v>
      </c>
      <c r="Z48" s="12">
        <v>49.35</v>
      </c>
      <c r="AA48" s="12">
        <v>51.02</v>
      </c>
      <c r="AB48" s="105">
        <v>1514500</v>
      </c>
      <c r="AC48" s="12">
        <v>51.02</v>
      </c>
      <c r="AD48" s="2">
        <f t="shared" si="2"/>
        <v>2.1400000000000006</v>
      </c>
      <c r="AE48" s="148">
        <f t="shared" si="3"/>
        <v>4.3307086614174928E-3</v>
      </c>
    </row>
    <row r="49" spans="2:31" x14ac:dyDescent="0.25">
      <c r="B49" s="216">
        <v>42436</v>
      </c>
      <c r="C49" s="12">
        <v>125</v>
      </c>
      <c r="D49" s="22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70">
        <f t="shared" si="7"/>
        <v>-0.19956321763012472</v>
      </c>
      <c r="I49" s="43"/>
      <c r="O49" s="93">
        <v>1.08</v>
      </c>
      <c r="P49" s="93">
        <f t="shared" si="8"/>
        <v>28.295999999999999</v>
      </c>
      <c r="Q49" s="93"/>
      <c r="T49" s="103" t="s">
        <v>126</v>
      </c>
      <c r="U49" s="98" t="s">
        <v>266</v>
      </c>
      <c r="W49" s="143">
        <v>42368</v>
      </c>
      <c r="X49" s="12">
        <v>49.14</v>
      </c>
      <c r="Y49" s="12">
        <v>52.22</v>
      </c>
      <c r="Z49" s="12">
        <v>49.07</v>
      </c>
      <c r="AA49" s="12">
        <v>50.8</v>
      </c>
      <c r="AB49" s="105">
        <v>2159000</v>
      </c>
      <c r="AC49" s="12">
        <v>50.8</v>
      </c>
      <c r="AD49" s="2">
        <f t="shared" si="2"/>
        <v>3.1499999999999986</v>
      </c>
      <c r="AE49" s="148">
        <f t="shared" si="3"/>
        <v>2.1310816244471065E-2</v>
      </c>
    </row>
    <row r="50" spans="2:31" x14ac:dyDescent="0.25">
      <c r="B50" s="216">
        <v>42437</v>
      </c>
      <c r="C50" s="306">
        <v>100</v>
      </c>
      <c r="D50" s="307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70">
        <f t="shared" si="7"/>
        <v>-0.19263456090651565</v>
      </c>
      <c r="I50" s="43"/>
      <c r="O50" s="93">
        <v>1.07</v>
      </c>
      <c r="P50" s="93">
        <f t="shared" si="8"/>
        <v>28.034000000000002</v>
      </c>
      <c r="Q50" s="93"/>
      <c r="T50" s="103"/>
      <c r="U50" s="98"/>
      <c r="W50" s="143">
        <v>42367</v>
      </c>
      <c r="X50" s="12">
        <v>51.39</v>
      </c>
      <c r="Y50" s="12">
        <v>51.78</v>
      </c>
      <c r="Z50" s="12">
        <v>48.39</v>
      </c>
      <c r="AA50" s="12">
        <v>49.74</v>
      </c>
      <c r="AB50" s="105">
        <v>2862300</v>
      </c>
      <c r="AC50" s="12">
        <v>49.74</v>
      </c>
      <c r="AD50" s="2">
        <f t="shared" si="2"/>
        <v>3.3900000000000006</v>
      </c>
      <c r="AE50" s="148">
        <f t="shared" si="3"/>
        <v>-3.0598323913467174E-2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27.772000000000002</v>
      </c>
      <c r="Q51" s="93"/>
      <c r="T51" s="103" t="s">
        <v>108</v>
      </c>
      <c r="U51" s="98" t="s">
        <v>390</v>
      </c>
      <c r="W51" s="143">
        <v>42366</v>
      </c>
      <c r="X51" s="12">
        <v>51.34</v>
      </c>
      <c r="Y51" s="12">
        <v>52.5</v>
      </c>
      <c r="Z51" s="12">
        <v>50.83</v>
      </c>
      <c r="AA51" s="12">
        <v>51.31</v>
      </c>
      <c r="AB51" s="105">
        <v>2116000</v>
      </c>
      <c r="AC51" s="12">
        <v>51.31</v>
      </c>
      <c r="AD51" s="2">
        <f t="shared" si="2"/>
        <v>1.6700000000000017</v>
      </c>
      <c r="AE51" s="148">
        <f t="shared" si="3"/>
        <v>-1.2889572912658576E-2</v>
      </c>
    </row>
    <row r="52" spans="2:31" x14ac:dyDescent="0.25">
      <c r="B52" s="12"/>
      <c r="C52" s="12"/>
      <c r="D52" s="225"/>
      <c r="E52" s="43"/>
      <c r="F52" s="43"/>
      <c r="G52" s="43"/>
      <c r="H52" s="270"/>
      <c r="I52" s="43"/>
      <c r="O52" s="93">
        <v>1.05</v>
      </c>
      <c r="P52" s="93">
        <f t="shared" ref="P52" si="9">O52*$Q$4</f>
        <v>27.51</v>
      </c>
      <c r="Q52" s="93"/>
      <c r="T52" s="103" t="s">
        <v>109</v>
      </c>
      <c r="U52" s="98" t="s">
        <v>274</v>
      </c>
      <c r="W52" s="143">
        <v>42362</v>
      </c>
      <c r="X52" s="12">
        <v>51.21</v>
      </c>
      <c r="Y52" s="12">
        <v>53</v>
      </c>
      <c r="Z52" s="12">
        <v>50.3</v>
      </c>
      <c r="AA52" s="12">
        <v>51.98</v>
      </c>
      <c r="AB52" s="105">
        <v>1625300</v>
      </c>
      <c r="AC52" s="12">
        <v>51.98</v>
      </c>
      <c r="AD52" s="2">
        <f t="shared" si="2"/>
        <v>2.7000000000000028</v>
      </c>
      <c r="AE52" s="148">
        <f t="shared" si="3"/>
        <v>9.7125097125096982E-3</v>
      </c>
    </row>
    <row r="53" spans="2:31" x14ac:dyDescent="0.25">
      <c r="B53" s="12"/>
      <c r="C53" s="12"/>
      <c r="D53" s="225"/>
      <c r="E53" s="43"/>
      <c r="F53" s="43"/>
      <c r="G53" s="43"/>
      <c r="H53" s="270"/>
      <c r="I53" s="43"/>
      <c r="O53" s="93">
        <v>1.04</v>
      </c>
      <c r="P53" s="93">
        <f t="shared" ref="P53:P56" si="10">O53*$Q$4</f>
        <v>27.248000000000001</v>
      </c>
      <c r="Q53" s="93"/>
      <c r="T53" s="103" t="s">
        <v>110</v>
      </c>
      <c r="U53" s="100">
        <v>5636340</v>
      </c>
      <c r="W53" s="143">
        <v>42361</v>
      </c>
      <c r="X53" s="12">
        <v>51.43</v>
      </c>
      <c r="Y53" s="12">
        <v>54</v>
      </c>
      <c r="Z53" s="12">
        <v>51.4</v>
      </c>
      <c r="AA53" s="12">
        <v>51.48</v>
      </c>
      <c r="AB53" s="105">
        <v>2616500</v>
      </c>
      <c r="AC53" s="12">
        <v>51.48</v>
      </c>
      <c r="AD53" s="2">
        <f t="shared" si="2"/>
        <v>2.6000000000000014</v>
      </c>
      <c r="AE53" s="148">
        <f t="shared" si="3"/>
        <v>3.1176929072485038E-3</v>
      </c>
    </row>
    <row r="54" spans="2:31" x14ac:dyDescent="0.25">
      <c r="B54" s="12"/>
      <c r="C54" s="12"/>
      <c r="D54" s="225"/>
      <c r="E54" s="43"/>
      <c r="F54" s="43"/>
      <c r="G54" s="43"/>
      <c r="H54" s="270"/>
      <c r="I54" s="43"/>
      <c r="O54" s="93">
        <v>1.03</v>
      </c>
      <c r="P54" s="93">
        <f t="shared" si="10"/>
        <v>26.986000000000001</v>
      </c>
      <c r="Q54" s="93"/>
      <c r="T54" s="103" t="s">
        <v>113</v>
      </c>
      <c r="U54" s="100">
        <v>5720610</v>
      </c>
      <c r="W54" s="143">
        <v>42360</v>
      </c>
      <c r="X54" s="12">
        <v>53.4</v>
      </c>
      <c r="Y54" s="12">
        <v>53.8</v>
      </c>
      <c r="Z54" s="12">
        <v>51.23</v>
      </c>
      <c r="AA54" s="12">
        <v>51.32</v>
      </c>
      <c r="AB54" s="105">
        <v>6832700</v>
      </c>
      <c r="AC54" s="12">
        <v>51.32</v>
      </c>
      <c r="AD54" s="2">
        <f t="shared" si="2"/>
        <v>2.5700000000000003</v>
      </c>
      <c r="AE54" s="148">
        <f t="shared" si="3"/>
        <v>-6.8433472499546233E-2</v>
      </c>
    </row>
    <row r="55" spans="2:31" x14ac:dyDescent="0.25">
      <c r="B55" s="12"/>
      <c r="C55" s="12"/>
      <c r="D55" s="225"/>
      <c r="E55" s="43"/>
      <c r="F55" s="43"/>
      <c r="G55" s="43"/>
      <c r="H55" s="270"/>
      <c r="I55" s="43"/>
      <c r="O55" s="93">
        <v>1.02</v>
      </c>
      <c r="P55" s="93">
        <f t="shared" si="10"/>
        <v>26.724</v>
      </c>
      <c r="Q55" s="93"/>
      <c r="T55" s="103" t="s">
        <v>111</v>
      </c>
      <c r="U55" s="98" t="s">
        <v>391</v>
      </c>
      <c r="W55" s="143">
        <v>42359</v>
      </c>
      <c r="X55" s="12">
        <v>57.4</v>
      </c>
      <c r="Y55" s="12">
        <v>58.5</v>
      </c>
      <c r="Z55" s="12">
        <v>55</v>
      </c>
      <c r="AA55" s="12">
        <v>55.09</v>
      </c>
      <c r="AB55" s="105">
        <v>5243400</v>
      </c>
      <c r="AC55" s="12">
        <v>55.09</v>
      </c>
      <c r="AD55" s="2">
        <f t="shared" si="2"/>
        <v>3.5</v>
      </c>
      <c r="AE55" s="148">
        <f t="shared" si="3"/>
        <v>-3.1980319803197932E-2</v>
      </c>
    </row>
    <row r="56" spans="2:31" x14ac:dyDescent="0.25">
      <c r="B56" s="12"/>
      <c r="C56" s="12"/>
      <c r="D56" s="225"/>
      <c r="E56" s="43"/>
      <c r="F56" s="43"/>
      <c r="G56" s="43"/>
      <c r="H56" s="270"/>
      <c r="I56" s="43"/>
      <c r="O56" s="93">
        <v>1.01</v>
      </c>
      <c r="P56" s="93">
        <f t="shared" si="10"/>
        <v>26.462</v>
      </c>
      <c r="Q56" s="93"/>
      <c r="T56" s="103" t="s">
        <v>114</v>
      </c>
      <c r="U56" s="98" t="s">
        <v>134</v>
      </c>
      <c r="W56" s="143">
        <v>42356</v>
      </c>
      <c r="X56" s="12">
        <v>53.93</v>
      </c>
      <c r="Y56" s="12">
        <v>58.8</v>
      </c>
      <c r="Z56" s="12">
        <v>52.34</v>
      </c>
      <c r="AA56" s="12">
        <v>56.91</v>
      </c>
      <c r="AB56" s="105">
        <v>7704800</v>
      </c>
      <c r="AC56" s="12">
        <v>56.91</v>
      </c>
      <c r="AD56" s="2">
        <f t="shared" si="2"/>
        <v>6.4599999999999937</v>
      </c>
      <c r="AE56" s="148">
        <f t="shared" si="3"/>
        <v>-6.1124694376528677E-3</v>
      </c>
    </row>
    <row r="57" spans="2:31" x14ac:dyDescent="0.25">
      <c r="O57" s="93">
        <v>1</v>
      </c>
      <c r="P57" s="93">
        <f t="shared" ref="P57:P70" si="11">O57*$Q$4</f>
        <v>26.2</v>
      </c>
      <c r="Q57" s="93"/>
      <c r="T57" s="103" t="s">
        <v>115</v>
      </c>
      <c r="U57" s="98">
        <v>-0.6</v>
      </c>
      <c r="W57" s="143">
        <v>42355</v>
      </c>
      <c r="X57" s="12">
        <v>56.94</v>
      </c>
      <c r="Y57" s="12">
        <v>58.87</v>
      </c>
      <c r="Z57" s="12">
        <v>55.35</v>
      </c>
      <c r="AA57" s="12">
        <v>57.26</v>
      </c>
      <c r="AB57" s="105">
        <v>9913400</v>
      </c>
      <c r="AC57" s="12">
        <v>57.26</v>
      </c>
      <c r="AD57" s="2">
        <f t="shared" si="2"/>
        <v>3.519999999999996</v>
      </c>
      <c r="AE57" s="148">
        <f t="shared" si="3"/>
        <v>6.6492829204693571E-2</v>
      </c>
    </row>
    <row r="58" spans="2:31" x14ac:dyDescent="0.25">
      <c r="O58" s="93">
        <v>0.99</v>
      </c>
      <c r="P58" s="93">
        <f t="shared" si="11"/>
        <v>25.937999999999999</v>
      </c>
      <c r="Q58" s="93"/>
      <c r="T58" s="103" t="s">
        <v>112</v>
      </c>
      <c r="U58" s="98" t="s">
        <v>127</v>
      </c>
      <c r="W58" s="143">
        <v>42354</v>
      </c>
      <c r="X58" s="12">
        <v>46.35</v>
      </c>
      <c r="Y58" s="12">
        <v>55.29</v>
      </c>
      <c r="Z58" s="12">
        <v>46.05</v>
      </c>
      <c r="AA58" s="12">
        <v>53.69</v>
      </c>
      <c r="AB58" s="105">
        <v>17731800</v>
      </c>
      <c r="AC58" s="12">
        <v>53.69</v>
      </c>
      <c r="AD58" s="2">
        <f t="shared" si="2"/>
        <v>9.240000000000002</v>
      </c>
      <c r="AE58" s="148">
        <f t="shared" si="3"/>
        <v>0.34057428214731589</v>
      </c>
    </row>
    <row r="59" spans="2:31" x14ac:dyDescent="0.25">
      <c r="O59" s="93">
        <v>0.98</v>
      </c>
      <c r="P59" s="93">
        <f t="shared" si="11"/>
        <v>25.675999999999998</v>
      </c>
      <c r="Q59" s="93"/>
      <c r="W59" s="143">
        <v>42353</v>
      </c>
      <c r="X59" s="12">
        <v>41.13</v>
      </c>
      <c r="Y59" s="12">
        <v>44.5</v>
      </c>
      <c r="Z59" s="12">
        <v>39.1</v>
      </c>
      <c r="AA59" s="12">
        <v>40.049999999999997</v>
      </c>
      <c r="AB59" s="105">
        <v>6976300</v>
      </c>
      <c r="AC59" s="12">
        <v>40.049999999999997</v>
      </c>
      <c r="AD59" s="2">
        <f t="shared" si="2"/>
        <v>5.3999999999999986</v>
      </c>
      <c r="AE59" s="148">
        <f t="shared" si="3"/>
        <v>-3.7028131762443017E-2</v>
      </c>
    </row>
    <row r="60" spans="2:31" x14ac:dyDescent="0.25">
      <c r="O60" s="93">
        <v>0.97</v>
      </c>
      <c r="P60" s="93">
        <f t="shared" si="11"/>
        <v>25.413999999999998</v>
      </c>
      <c r="Q60" s="93"/>
      <c r="W60" s="143">
        <v>42352</v>
      </c>
      <c r="X60" s="12">
        <v>37.1</v>
      </c>
      <c r="Y60" s="12">
        <v>42</v>
      </c>
      <c r="Z60" s="12">
        <v>37.049999999999997</v>
      </c>
      <c r="AA60" s="12">
        <v>41.59</v>
      </c>
      <c r="AB60" s="105">
        <v>5390800</v>
      </c>
      <c r="AC60" s="12">
        <v>41.59</v>
      </c>
      <c r="AD60" s="2">
        <f t="shared" si="2"/>
        <v>4.9500000000000028</v>
      </c>
      <c r="AE60" s="148">
        <f t="shared" si="3"/>
        <v>0.1228401727861772</v>
      </c>
    </row>
    <row r="61" spans="2:31" x14ac:dyDescent="0.25">
      <c r="O61" s="93">
        <v>0.96</v>
      </c>
      <c r="P61" s="93">
        <f t="shared" si="11"/>
        <v>25.151999999999997</v>
      </c>
      <c r="Q61" s="93"/>
      <c r="W61" s="143">
        <v>42349</v>
      </c>
      <c r="X61" s="12">
        <v>36.21</v>
      </c>
      <c r="Y61" s="12">
        <v>37.799999999999997</v>
      </c>
      <c r="Z61" s="12">
        <v>36</v>
      </c>
      <c r="AA61" s="12">
        <v>37.04</v>
      </c>
      <c r="AB61" s="105">
        <v>3222700</v>
      </c>
      <c r="AC61" s="12">
        <v>37.04</v>
      </c>
      <c r="AD61" s="2">
        <f t="shared" si="2"/>
        <v>1.7999999999999972</v>
      </c>
      <c r="AE61" s="148">
        <f t="shared" si="3"/>
        <v>1.0641200545702612E-2</v>
      </c>
    </row>
    <row r="62" spans="2:31" x14ac:dyDescent="0.25">
      <c r="O62" s="93">
        <v>0.95</v>
      </c>
      <c r="P62" s="93">
        <f t="shared" si="11"/>
        <v>24.889999999999997</v>
      </c>
      <c r="Q62" s="93"/>
      <c r="W62" s="143">
        <v>42348</v>
      </c>
      <c r="X62" s="12">
        <v>35.4</v>
      </c>
      <c r="Y62" s="12">
        <v>37.200000000000003</v>
      </c>
      <c r="Z62" s="12">
        <v>35.200000000000003</v>
      </c>
      <c r="AA62" s="12">
        <v>36.65</v>
      </c>
      <c r="AB62" s="105">
        <v>2093900</v>
      </c>
      <c r="AC62" s="12">
        <v>36.65</v>
      </c>
      <c r="AD62" s="2">
        <f t="shared" si="2"/>
        <v>2</v>
      </c>
      <c r="AE62" s="148">
        <f t="shared" si="3"/>
        <v>2.2600446428571397E-2</v>
      </c>
    </row>
    <row r="63" spans="2:31" x14ac:dyDescent="0.25">
      <c r="O63" s="93">
        <v>0.94</v>
      </c>
      <c r="P63" s="93">
        <f t="shared" si="11"/>
        <v>24.627999999999997</v>
      </c>
      <c r="Q63" s="93"/>
      <c r="W63" s="143">
        <v>42347</v>
      </c>
      <c r="X63" s="12">
        <v>34.619999999999997</v>
      </c>
      <c r="Y63" s="12">
        <v>37.200000000000003</v>
      </c>
      <c r="Z63" s="12">
        <v>34.32</v>
      </c>
      <c r="AA63" s="12">
        <v>35.840000000000003</v>
      </c>
      <c r="AB63" s="105">
        <v>2587500</v>
      </c>
      <c r="AC63" s="12">
        <v>35.840000000000003</v>
      </c>
      <c r="AD63" s="2">
        <f t="shared" si="2"/>
        <v>2.8800000000000026</v>
      </c>
      <c r="AE63" s="148">
        <f t="shared" si="3"/>
        <v>3.5239745811669776E-2</v>
      </c>
    </row>
    <row r="64" spans="2:31" x14ac:dyDescent="0.25">
      <c r="O64" s="93">
        <v>0.93</v>
      </c>
      <c r="P64" s="93">
        <f t="shared" si="11"/>
        <v>24.366</v>
      </c>
      <c r="W64" s="143">
        <v>42346</v>
      </c>
      <c r="X64" s="12">
        <v>34.630000000000003</v>
      </c>
      <c r="Y64" s="12">
        <v>35.4</v>
      </c>
      <c r="Z64" s="12">
        <v>31.3</v>
      </c>
      <c r="AA64" s="12">
        <v>34.619999999999997</v>
      </c>
      <c r="AB64" s="105">
        <v>4557700</v>
      </c>
      <c r="AC64" s="12">
        <v>34.619999999999997</v>
      </c>
      <c r="AD64" s="2">
        <f t="shared" si="2"/>
        <v>4.0999999999999979</v>
      </c>
      <c r="AE64" s="148">
        <f t="shared" si="3"/>
        <v>-3.5654596100278546E-2</v>
      </c>
    </row>
    <row r="65" spans="15:31" x14ac:dyDescent="0.25">
      <c r="O65" s="93">
        <v>0.92</v>
      </c>
      <c r="P65" s="93">
        <f t="shared" si="11"/>
        <v>24.103999999999999</v>
      </c>
      <c r="W65" s="143">
        <v>42345</v>
      </c>
      <c r="X65" s="12">
        <v>35.85</v>
      </c>
      <c r="Y65" s="12">
        <v>37.450000000000003</v>
      </c>
      <c r="Z65" s="12">
        <v>35.6</v>
      </c>
      <c r="AA65" s="12">
        <v>35.9</v>
      </c>
      <c r="AB65" s="105">
        <v>3013300</v>
      </c>
      <c r="AC65" s="12">
        <v>35.9</v>
      </c>
      <c r="AD65" s="2">
        <f t="shared" si="2"/>
        <v>1.8500000000000014</v>
      </c>
      <c r="AE65" s="148">
        <f t="shared" si="3"/>
        <v>-2.5006946373993255E-3</v>
      </c>
    </row>
    <row r="66" spans="15:31" x14ac:dyDescent="0.25">
      <c r="O66" s="93">
        <v>0.91</v>
      </c>
      <c r="P66" s="93">
        <f t="shared" si="11"/>
        <v>23.841999999999999</v>
      </c>
      <c r="W66" s="143">
        <v>42342</v>
      </c>
      <c r="X66" s="12">
        <v>36</v>
      </c>
      <c r="Y66" s="12">
        <v>37</v>
      </c>
      <c r="Z66" s="12">
        <v>34.86</v>
      </c>
      <c r="AA66" s="12">
        <v>35.99</v>
      </c>
      <c r="AB66" s="105">
        <v>2808200</v>
      </c>
      <c r="AC66" s="12">
        <v>35.99</v>
      </c>
      <c r="AD66" s="2">
        <f t="shared" si="2"/>
        <v>2.1400000000000006</v>
      </c>
      <c r="AE66" s="148">
        <f t="shared" si="3"/>
        <v>-6.8984547461368173E-3</v>
      </c>
    </row>
    <row r="67" spans="15:31" x14ac:dyDescent="0.25">
      <c r="O67" s="93">
        <v>0.9</v>
      </c>
      <c r="P67" s="93">
        <f t="shared" si="11"/>
        <v>23.58</v>
      </c>
      <c r="W67" s="143">
        <v>42341</v>
      </c>
      <c r="X67" s="12">
        <v>34.69</v>
      </c>
      <c r="Y67" s="12">
        <v>37.950000000000003</v>
      </c>
      <c r="Z67" s="12">
        <v>34.69</v>
      </c>
      <c r="AA67" s="12">
        <v>36.24</v>
      </c>
      <c r="AB67" s="105">
        <v>7991900</v>
      </c>
      <c r="AC67" s="12">
        <v>36.24</v>
      </c>
      <c r="AD67" s="2">
        <f t="shared" ref="AD67:AD68" si="12">Y67-Z67</f>
        <v>3.2600000000000051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23.318000000000001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23.056000000000001</v>
      </c>
    </row>
    <row r="70" spans="15:31" x14ac:dyDescent="0.25">
      <c r="O70" s="93">
        <v>0.87</v>
      </c>
      <c r="P70" s="93">
        <f t="shared" si="11"/>
        <v>22.794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42438</v>
      </c>
      <c r="X2" s="12">
        <v>9.31</v>
      </c>
      <c r="Y2" s="12">
        <v>9.33</v>
      </c>
      <c r="Z2" s="12">
        <v>9.2799999999999994</v>
      </c>
      <c r="AA2" s="12">
        <v>9.3000000000000007</v>
      </c>
      <c r="AB2" s="105">
        <v>13200</v>
      </c>
      <c r="AC2" s="12">
        <v>9.3000000000000007</v>
      </c>
      <c r="AD2" s="2">
        <f>Y2-Z2</f>
        <v>5.0000000000000711E-2</v>
      </c>
      <c r="AE2" s="148">
        <f>AC2/AC3-1</f>
        <v>-1.0638297872340385E-2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9.3000000000000007</v>
      </c>
      <c r="W3" s="143">
        <v>42437</v>
      </c>
      <c r="X3" s="12">
        <v>9.44</v>
      </c>
      <c r="Y3" s="12">
        <v>9.4700000000000006</v>
      </c>
      <c r="Z3" s="12">
        <v>9.4</v>
      </c>
      <c r="AA3" s="12">
        <v>9.4</v>
      </c>
      <c r="AB3" s="105">
        <v>15400</v>
      </c>
      <c r="AC3" s="12">
        <v>9.4</v>
      </c>
      <c r="AD3" s="2">
        <f t="shared" ref="AD3:AD66" si="1">Y3-Z3</f>
        <v>7.0000000000000284E-2</v>
      </c>
      <c r="AE3" s="148">
        <f t="shared" ref="AE3:AE66" si="2">AC3/AC4-1</f>
        <v>-1.0626992561104665E-3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9.3000000000000007</v>
      </c>
      <c r="W4" s="143">
        <v>42436</v>
      </c>
      <c r="X4" s="12">
        <v>9.3800000000000008</v>
      </c>
      <c r="Y4" s="12">
        <v>9.48</v>
      </c>
      <c r="Z4" s="12">
        <v>9.3800000000000008</v>
      </c>
      <c r="AA4" s="12">
        <v>9.41</v>
      </c>
      <c r="AB4" s="105">
        <v>11600</v>
      </c>
      <c r="AC4" s="12">
        <v>9.41</v>
      </c>
      <c r="AD4" s="2">
        <f t="shared" si="1"/>
        <v>9.9999999999999645E-2</v>
      </c>
      <c r="AE4" s="148">
        <f t="shared" si="2"/>
        <v>-1.465968586387445E-2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42433</v>
      </c>
      <c r="X5" s="12">
        <v>9.4</v>
      </c>
      <c r="Y5" s="12">
        <v>9.58</v>
      </c>
      <c r="Z5" s="12">
        <v>9.39</v>
      </c>
      <c r="AA5" s="12">
        <v>9.5500000000000007</v>
      </c>
      <c r="AB5" s="105">
        <v>16400</v>
      </c>
      <c r="AC5" s="12">
        <v>9.5500000000000007</v>
      </c>
      <c r="AD5" s="2">
        <f t="shared" si="1"/>
        <v>0.1899999999999995</v>
      </c>
      <c r="AE5" s="148">
        <f t="shared" si="2"/>
        <v>1.5957446808510634E-2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42432</v>
      </c>
      <c r="X6" s="12">
        <v>9.33</v>
      </c>
      <c r="Y6" s="12">
        <v>9.4</v>
      </c>
      <c r="Z6" s="12">
        <v>9.33</v>
      </c>
      <c r="AA6" s="12">
        <v>9.4</v>
      </c>
      <c r="AB6" s="105">
        <v>9000</v>
      </c>
      <c r="AC6" s="12">
        <v>9.4</v>
      </c>
      <c r="AD6" s="2">
        <f t="shared" si="1"/>
        <v>7.0000000000000284E-2</v>
      </c>
      <c r="AE6" s="148">
        <f t="shared" si="2"/>
        <v>1.2931034482758674E-2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42431</v>
      </c>
      <c r="X7" s="12">
        <v>9.2200000000000006</v>
      </c>
      <c r="Y7" s="12">
        <v>9.3000000000000007</v>
      </c>
      <c r="Z7" s="12">
        <v>9.2200000000000006</v>
      </c>
      <c r="AA7" s="12">
        <v>9.2799999999999994</v>
      </c>
      <c r="AB7" s="105">
        <v>15800</v>
      </c>
      <c r="AC7" s="12">
        <v>9.2799999999999994</v>
      </c>
      <c r="AD7" s="2">
        <f t="shared" si="1"/>
        <v>8.0000000000000071E-2</v>
      </c>
      <c r="AE7" s="148">
        <f t="shared" si="2"/>
        <v>9.7932535364526618E-3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42430</v>
      </c>
      <c r="X8" s="12">
        <v>9</v>
      </c>
      <c r="Y8" s="12">
        <v>9.2200000000000006</v>
      </c>
      <c r="Z8" s="12">
        <v>8.98</v>
      </c>
      <c r="AA8" s="12">
        <v>9.19</v>
      </c>
      <c r="AB8" s="105">
        <v>14600</v>
      </c>
      <c r="AC8" s="12">
        <v>9.19</v>
      </c>
      <c r="AD8" s="2">
        <f t="shared" si="1"/>
        <v>0.24000000000000021</v>
      </c>
      <c r="AE8" s="148">
        <f t="shared" si="2"/>
        <v>1.1001100110010986E-2</v>
      </c>
    </row>
    <row r="9" spans="1:31" x14ac:dyDescent="0.25">
      <c r="E9" s="2"/>
      <c r="F9" s="2"/>
      <c r="W9" s="143">
        <v>42429</v>
      </c>
      <c r="X9" s="12">
        <v>9.1300000000000008</v>
      </c>
      <c r="Y9" s="12">
        <v>9.14</v>
      </c>
      <c r="Z9" s="12">
        <v>9.08</v>
      </c>
      <c r="AA9" s="12">
        <v>9.09</v>
      </c>
      <c r="AB9" s="105">
        <v>4500</v>
      </c>
      <c r="AC9" s="12">
        <v>9.09</v>
      </c>
      <c r="AD9" s="2">
        <f t="shared" si="1"/>
        <v>6.0000000000000497E-2</v>
      </c>
      <c r="AE9" s="148">
        <f t="shared" si="2"/>
        <v>-2.152852529601712E-2</v>
      </c>
    </row>
    <row r="10" spans="1:31" x14ac:dyDescent="0.25">
      <c r="E10" s="2"/>
      <c r="F10" s="2"/>
      <c r="W10" s="143">
        <v>42426</v>
      </c>
      <c r="X10" s="12">
        <v>9.4</v>
      </c>
      <c r="Y10" s="12">
        <v>9.4</v>
      </c>
      <c r="Z10" s="12">
        <v>9.2899999999999991</v>
      </c>
      <c r="AA10" s="12">
        <v>9.2899999999999991</v>
      </c>
      <c r="AB10" s="105">
        <v>18600</v>
      </c>
      <c r="AC10" s="12">
        <v>9.2899999999999991</v>
      </c>
      <c r="AD10" s="2">
        <f t="shared" si="1"/>
        <v>0.11000000000000121</v>
      </c>
      <c r="AE10" s="148">
        <f t="shared" si="2"/>
        <v>-1.0752688172044333E-3</v>
      </c>
    </row>
    <row r="11" spans="1:31" x14ac:dyDescent="0.25">
      <c r="E11" s="2"/>
      <c r="F11" s="2"/>
      <c r="W11" s="143">
        <v>42425</v>
      </c>
      <c r="X11" s="12">
        <v>9.25</v>
      </c>
      <c r="Y11" s="12">
        <v>9.3000000000000007</v>
      </c>
      <c r="Z11" s="12">
        <v>9.2100000000000009</v>
      </c>
      <c r="AA11" s="12">
        <v>9.3000000000000007</v>
      </c>
      <c r="AB11" s="105">
        <v>7300</v>
      </c>
      <c r="AC11" s="12">
        <v>9.3000000000000007</v>
      </c>
      <c r="AD11" s="2">
        <f t="shared" si="1"/>
        <v>8.9999999999999858E-2</v>
      </c>
      <c r="AE11" s="148">
        <f t="shared" si="2"/>
        <v>5.4054054054055722E-3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42424</v>
      </c>
      <c r="X12" s="12">
        <v>9.16</v>
      </c>
      <c r="Y12" s="12">
        <v>9.25</v>
      </c>
      <c r="Z12" s="12">
        <v>9.09</v>
      </c>
      <c r="AA12" s="12">
        <v>9.25</v>
      </c>
      <c r="AB12" s="105">
        <v>8500</v>
      </c>
      <c r="AC12" s="12">
        <v>9.25</v>
      </c>
      <c r="AD12" s="2">
        <f t="shared" si="1"/>
        <v>0.16000000000000014</v>
      </c>
      <c r="AE12" s="148">
        <f t="shared" si="2"/>
        <v>1.0928961748633892E-2</v>
      </c>
    </row>
    <row r="13" spans="1:31" x14ac:dyDescent="0.25">
      <c r="W13" s="143">
        <v>42423</v>
      </c>
      <c r="X13" s="12">
        <v>9.2100000000000009</v>
      </c>
      <c r="Y13" s="12">
        <v>9.2100000000000009</v>
      </c>
      <c r="Z13" s="12">
        <v>9.1</v>
      </c>
      <c r="AA13" s="12">
        <v>9.15</v>
      </c>
      <c r="AB13" s="105">
        <v>9100</v>
      </c>
      <c r="AC13" s="12">
        <v>9.15</v>
      </c>
      <c r="AD13" s="2">
        <f t="shared" si="1"/>
        <v>0.11000000000000121</v>
      </c>
      <c r="AE13" s="148">
        <f t="shared" si="2"/>
        <v>7.7092511013217013E-3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R14" s="37"/>
      <c r="W14" s="143">
        <v>42422</v>
      </c>
      <c r="X14" s="12">
        <v>9.0500000000000007</v>
      </c>
      <c r="Y14" s="12">
        <v>9.08</v>
      </c>
      <c r="Z14" s="12">
        <v>8.99</v>
      </c>
      <c r="AA14" s="12">
        <v>9.08</v>
      </c>
      <c r="AB14" s="105">
        <v>7400</v>
      </c>
      <c r="AC14" s="12">
        <v>9.08</v>
      </c>
      <c r="AD14" s="2">
        <f t="shared" si="1"/>
        <v>8.9999999999999858E-2</v>
      </c>
      <c r="AE14" s="148">
        <f t="shared" si="2"/>
        <v>3.1818181818181746E-2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42419</v>
      </c>
      <c r="X15" s="12">
        <v>8.76</v>
      </c>
      <c r="Y15" s="12">
        <v>8.8000000000000007</v>
      </c>
      <c r="Z15" s="12">
        <v>8.75</v>
      </c>
      <c r="AA15" s="12">
        <v>8.8000000000000007</v>
      </c>
      <c r="AB15" s="105">
        <v>3400</v>
      </c>
      <c r="AC15" s="12">
        <v>8.8000000000000007</v>
      </c>
      <c r="AD15" s="2">
        <f t="shared" si="1"/>
        <v>5.0000000000000711E-2</v>
      </c>
      <c r="AE15" s="148">
        <f t="shared" si="2"/>
        <v>-2.1134593993325845E-2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42418</v>
      </c>
      <c r="X16" s="12">
        <v>9.11</v>
      </c>
      <c r="Y16" s="12">
        <v>9.11</v>
      </c>
      <c r="Z16" s="12">
        <v>8.89</v>
      </c>
      <c r="AA16" s="12">
        <v>8.99</v>
      </c>
      <c r="AB16" s="105">
        <v>13200</v>
      </c>
      <c r="AC16" s="12">
        <v>8.99</v>
      </c>
      <c r="AD16" s="2">
        <f t="shared" si="1"/>
        <v>0.21999999999999886</v>
      </c>
      <c r="AE16" s="148">
        <f t="shared" si="2"/>
        <v>4.4692737430167551E-3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42417</v>
      </c>
      <c r="X17" s="12">
        <v>8.9</v>
      </c>
      <c r="Y17" s="12">
        <v>8.98</v>
      </c>
      <c r="Z17" s="12">
        <v>8.9</v>
      </c>
      <c r="AA17" s="12">
        <v>8.9499999999999993</v>
      </c>
      <c r="AB17" s="105">
        <v>5900</v>
      </c>
      <c r="AC17" s="12">
        <v>8.9499999999999993</v>
      </c>
      <c r="AD17" s="2">
        <f t="shared" si="1"/>
        <v>8.0000000000000071E-2</v>
      </c>
      <c r="AE17" s="148">
        <f t="shared" si="2"/>
        <v>-5.5555555555556468E-3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42416</v>
      </c>
      <c r="X18" s="12">
        <v>8.99</v>
      </c>
      <c r="Y18" s="12">
        <v>9.01</v>
      </c>
      <c r="Z18" s="12">
        <v>8.9600000000000009</v>
      </c>
      <c r="AA18" s="12">
        <v>9</v>
      </c>
      <c r="AB18" s="105">
        <v>11800</v>
      </c>
      <c r="AC18" s="12">
        <v>9</v>
      </c>
      <c r="AD18" s="2">
        <f t="shared" si="1"/>
        <v>4.9999999999998934E-2</v>
      </c>
      <c r="AE18" s="148">
        <f t="shared" si="2"/>
        <v>1.2373453318335059E-2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42412</v>
      </c>
      <c r="X19" s="12">
        <v>8.73</v>
      </c>
      <c r="Y19" s="12">
        <v>8.89</v>
      </c>
      <c r="Z19" s="12">
        <v>8.68</v>
      </c>
      <c r="AA19" s="12">
        <v>8.89</v>
      </c>
      <c r="AB19" s="105">
        <v>2500</v>
      </c>
      <c r="AC19" s="12">
        <v>8.89</v>
      </c>
      <c r="AD19" s="2">
        <f t="shared" si="1"/>
        <v>0.21000000000000085</v>
      </c>
      <c r="AE19" s="148">
        <f t="shared" si="2"/>
        <v>2.5374855824682907E-2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42411</v>
      </c>
      <c r="X20" s="12">
        <v>8.66</v>
      </c>
      <c r="Y20" s="12">
        <v>8.74</v>
      </c>
      <c r="Z20" s="12">
        <v>8.61</v>
      </c>
      <c r="AA20" s="12">
        <v>8.67</v>
      </c>
      <c r="AB20" s="105">
        <v>3700</v>
      </c>
      <c r="AC20" s="12">
        <v>8.67</v>
      </c>
      <c r="AD20" s="2">
        <f t="shared" si="1"/>
        <v>0.13000000000000078</v>
      </c>
      <c r="AE20" s="148">
        <f t="shared" si="2"/>
        <v>-2.4746906636670452E-2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42410</v>
      </c>
      <c r="X21" s="12">
        <v>8.9700000000000006</v>
      </c>
      <c r="Y21" s="12">
        <v>8.9700000000000006</v>
      </c>
      <c r="Z21" s="12">
        <v>8.84</v>
      </c>
      <c r="AA21" s="12">
        <v>8.89</v>
      </c>
      <c r="AB21" s="105">
        <v>1400</v>
      </c>
      <c r="AC21" s="12">
        <v>8.89</v>
      </c>
      <c r="AD21" s="2">
        <f t="shared" si="1"/>
        <v>0.13000000000000078</v>
      </c>
      <c r="AE21" s="148">
        <f t="shared" si="2"/>
        <v>0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42409</v>
      </c>
      <c r="X22" s="12">
        <v>8.82</v>
      </c>
      <c r="Y22" s="12">
        <v>8.93</v>
      </c>
      <c r="Z22" s="12">
        <v>8.81</v>
      </c>
      <c r="AA22" s="12">
        <v>8.89</v>
      </c>
      <c r="AB22" s="105">
        <v>6900</v>
      </c>
      <c r="AC22" s="12">
        <v>8.89</v>
      </c>
      <c r="AD22" s="2">
        <f t="shared" si="1"/>
        <v>0.11999999999999922</v>
      </c>
      <c r="AE22" s="148">
        <f t="shared" si="2"/>
        <v>-1.8763796909492259E-2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42408</v>
      </c>
      <c r="X23" s="12">
        <v>9.14</v>
      </c>
      <c r="Y23" s="12">
        <v>9.17</v>
      </c>
      <c r="Z23" s="12">
        <v>8.9</v>
      </c>
      <c r="AA23" s="12">
        <v>9.06</v>
      </c>
      <c r="AB23" s="105">
        <v>30700</v>
      </c>
      <c r="AC23" s="12">
        <v>9.06</v>
      </c>
      <c r="AD23" s="2">
        <f t="shared" si="1"/>
        <v>0.26999999999999957</v>
      </c>
      <c r="AE23" s="148">
        <f t="shared" si="2"/>
        <v>2.8376844494892195E-2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42405</v>
      </c>
      <c r="X24" s="12">
        <v>8.92</v>
      </c>
      <c r="Y24" s="12">
        <v>8.92</v>
      </c>
      <c r="Z24" s="12">
        <v>8.7899999999999991</v>
      </c>
      <c r="AA24" s="12">
        <v>8.81</v>
      </c>
      <c r="AB24" s="105">
        <v>5100</v>
      </c>
      <c r="AC24" s="12">
        <v>8.81</v>
      </c>
      <c r="AD24" s="2">
        <f t="shared" si="1"/>
        <v>0.13000000000000078</v>
      </c>
      <c r="AE24" s="148">
        <f t="shared" si="2"/>
        <v>-2.5442477876106095E-2</v>
      </c>
    </row>
    <row r="25" spans="2:31" x14ac:dyDescent="0.25">
      <c r="R25" s="37"/>
      <c r="W25" s="143">
        <v>42404</v>
      </c>
      <c r="X25" s="12">
        <v>8.98</v>
      </c>
      <c r="Y25" s="12">
        <v>9.06</v>
      </c>
      <c r="Z25" s="12">
        <v>8.98</v>
      </c>
      <c r="AA25" s="12">
        <v>9.0399999999999991</v>
      </c>
      <c r="AB25" s="105">
        <v>1800</v>
      </c>
      <c r="AC25" s="12">
        <v>9.0399999999999991</v>
      </c>
      <c r="AD25" s="2">
        <f t="shared" si="1"/>
        <v>8.0000000000000071E-2</v>
      </c>
      <c r="AE25" s="148">
        <f t="shared" si="2"/>
        <v>2.4943310657596252E-2</v>
      </c>
    </row>
    <row r="26" spans="2:31" x14ac:dyDescent="0.25">
      <c r="R26" s="37"/>
      <c r="W26" s="143">
        <v>42403</v>
      </c>
      <c r="X26" s="12">
        <v>8.9</v>
      </c>
      <c r="Y26" s="12">
        <v>8.92</v>
      </c>
      <c r="Z26" s="12">
        <v>8.7200000000000006</v>
      </c>
      <c r="AA26" s="12">
        <v>8.82</v>
      </c>
      <c r="AB26" s="105">
        <v>9100</v>
      </c>
      <c r="AC26" s="12">
        <v>8.82</v>
      </c>
      <c r="AD26" s="2">
        <f t="shared" si="1"/>
        <v>0.19999999999999929</v>
      </c>
      <c r="AE26" s="148">
        <f t="shared" si="2"/>
        <v>-3.076923076923066E-2</v>
      </c>
    </row>
    <row r="27" spans="2:31" x14ac:dyDescent="0.25">
      <c r="R27" s="37"/>
      <c r="W27" s="143">
        <v>42402</v>
      </c>
      <c r="X27" s="12">
        <v>9.11</v>
      </c>
      <c r="Y27" s="12">
        <v>9.1300000000000008</v>
      </c>
      <c r="Z27" s="12">
        <v>9.0399999999999991</v>
      </c>
      <c r="AA27" s="12">
        <v>9.1</v>
      </c>
      <c r="AB27" s="105">
        <v>12600</v>
      </c>
      <c r="AC27" s="12">
        <v>9.1</v>
      </c>
      <c r="AD27" s="2">
        <f t="shared" si="1"/>
        <v>9.0000000000001634E-2</v>
      </c>
      <c r="AE27" s="148">
        <f t="shared" si="2"/>
        <v>-2.0452099031216364E-2</v>
      </c>
    </row>
    <row r="28" spans="2:31" x14ac:dyDescent="0.25">
      <c r="W28" s="143">
        <v>42401</v>
      </c>
      <c r="X28" s="12">
        <v>9.1999999999999993</v>
      </c>
      <c r="Y28" s="12">
        <v>9.2899999999999991</v>
      </c>
      <c r="Z28" s="12">
        <v>9.1999999999999993</v>
      </c>
      <c r="AA28" s="12">
        <v>9.2899999999999991</v>
      </c>
      <c r="AB28" s="105">
        <v>27100</v>
      </c>
      <c r="AC28" s="12">
        <v>9.2899999999999991</v>
      </c>
      <c r="AD28" s="2">
        <f t="shared" si="1"/>
        <v>8.9999999999999858E-2</v>
      </c>
      <c r="AE28" s="148">
        <f t="shared" si="2"/>
        <v>9.7826086956520619E-3</v>
      </c>
    </row>
    <row r="29" spans="2:31" x14ac:dyDescent="0.25">
      <c r="W29" s="143">
        <v>42398</v>
      </c>
      <c r="X29" s="12">
        <v>8.85</v>
      </c>
      <c r="Y29" s="12">
        <v>9.1999999999999993</v>
      </c>
      <c r="Z29" s="12">
        <v>8.6</v>
      </c>
      <c r="AA29" s="12">
        <v>9.1999999999999993</v>
      </c>
      <c r="AB29" s="105">
        <v>30500</v>
      </c>
      <c r="AC29" s="12">
        <v>9.1999999999999993</v>
      </c>
      <c r="AD29" s="2">
        <f t="shared" si="1"/>
        <v>0.59999999999999964</v>
      </c>
      <c r="AE29" s="148">
        <f t="shared" si="2"/>
        <v>7.6670317634170981E-3</v>
      </c>
    </row>
    <row r="30" spans="2:31" x14ac:dyDescent="0.25">
      <c r="W30" s="143">
        <v>42397</v>
      </c>
      <c r="X30" s="12">
        <v>9.31</v>
      </c>
      <c r="Y30" s="12">
        <v>9.31</v>
      </c>
      <c r="Z30" s="12">
        <v>9.06</v>
      </c>
      <c r="AA30" s="12">
        <v>9.1300000000000008</v>
      </c>
      <c r="AB30" s="105">
        <v>48600</v>
      </c>
      <c r="AC30" s="12">
        <v>9.1300000000000008</v>
      </c>
      <c r="AD30" s="2">
        <f t="shared" si="1"/>
        <v>0.25</v>
      </c>
      <c r="AE30" s="148">
        <f t="shared" si="2"/>
        <v>0.10000000000000009</v>
      </c>
    </row>
    <row r="31" spans="2:31" x14ac:dyDescent="0.25">
      <c r="W31" s="143">
        <v>42396</v>
      </c>
      <c r="X31" s="12">
        <v>7.91</v>
      </c>
      <c r="Y31" s="12">
        <v>8.4</v>
      </c>
      <c r="Z31" s="12">
        <v>7.91</v>
      </c>
      <c r="AA31" s="12">
        <v>8.3000000000000007</v>
      </c>
      <c r="AB31" s="105">
        <v>7500</v>
      </c>
      <c r="AC31" s="12">
        <v>8.3000000000000007</v>
      </c>
      <c r="AD31" s="2">
        <f t="shared" si="1"/>
        <v>0.49000000000000021</v>
      </c>
      <c r="AE31" s="148">
        <f t="shared" si="2"/>
        <v>2.091020910209096E-2</v>
      </c>
    </row>
    <row r="32" spans="2:31" x14ac:dyDescent="0.25">
      <c r="W32" s="143">
        <v>42395</v>
      </c>
      <c r="X32" s="12">
        <v>8.06</v>
      </c>
      <c r="Y32" s="12">
        <v>8.14</v>
      </c>
      <c r="Z32" s="12">
        <v>8.01</v>
      </c>
      <c r="AA32" s="12">
        <v>8.1300000000000008</v>
      </c>
      <c r="AB32" s="105">
        <v>2300</v>
      </c>
      <c r="AC32" s="12">
        <v>8.1300000000000008</v>
      </c>
      <c r="AD32" s="2">
        <f t="shared" si="1"/>
        <v>0.13000000000000078</v>
      </c>
      <c r="AE32" s="148">
        <f t="shared" si="2"/>
        <v>2.4660912453762229E-3</v>
      </c>
    </row>
    <row r="33" spans="15:31" x14ac:dyDescent="0.25">
      <c r="W33" s="143">
        <v>42394</v>
      </c>
      <c r="X33" s="12">
        <v>8.1199999999999992</v>
      </c>
      <c r="Y33" s="12">
        <v>8.1999999999999993</v>
      </c>
      <c r="Z33" s="12">
        <v>8.01</v>
      </c>
      <c r="AA33" s="12">
        <v>8.11</v>
      </c>
      <c r="AB33" s="105">
        <v>13400</v>
      </c>
      <c r="AC33" s="12">
        <v>8.11</v>
      </c>
      <c r="AD33" s="2">
        <f t="shared" si="1"/>
        <v>0.1899999999999995</v>
      </c>
      <c r="AE33" s="148">
        <f t="shared" si="2"/>
        <v>-2.2891566265060392E-2</v>
      </c>
    </row>
    <row r="34" spans="15:31" x14ac:dyDescent="0.25">
      <c r="W34" s="143">
        <v>42391</v>
      </c>
      <c r="X34" s="12">
        <v>8.19</v>
      </c>
      <c r="Y34" s="12">
        <v>8.3000000000000007</v>
      </c>
      <c r="Z34" s="12">
        <v>8.19</v>
      </c>
      <c r="AA34" s="12">
        <v>8.3000000000000007</v>
      </c>
      <c r="AB34" s="105">
        <v>16000</v>
      </c>
      <c r="AC34" s="12">
        <v>8.3000000000000007</v>
      </c>
      <c r="AD34" s="2">
        <f t="shared" si="1"/>
        <v>0.11000000000000121</v>
      </c>
      <c r="AE34" s="148">
        <f t="shared" si="2"/>
        <v>3.2338308457711573E-2</v>
      </c>
    </row>
    <row r="35" spans="15:31" x14ac:dyDescent="0.25">
      <c r="W35" s="143">
        <v>42390</v>
      </c>
      <c r="X35" s="12">
        <v>7.96</v>
      </c>
      <c r="Y35" s="12">
        <v>8.1199999999999992</v>
      </c>
      <c r="Z35" s="12">
        <v>7.95</v>
      </c>
      <c r="AA35" s="12">
        <v>8.0399999999999991</v>
      </c>
      <c r="AB35" s="105">
        <v>9400</v>
      </c>
      <c r="AC35" s="12">
        <v>8.0399999999999991</v>
      </c>
      <c r="AD35" s="2">
        <f t="shared" si="1"/>
        <v>0.16999999999999904</v>
      </c>
      <c r="AE35" s="148">
        <f t="shared" si="2"/>
        <v>1.7721518987341645E-2</v>
      </c>
    </row>
    <row r="36" spans="15:31" x14ac:dyDescent="0.25">
      <c r="W36" s="143">
        <v>42389</v>
      </c>
      <c r="X36" s="12">
        <v>7.95</v>
      </c>
      <c r="Y36" s="12">
        <v>7.96</v>
      </c>
      <c r="Z36" s="12">
        <v>7.74</v>
      </c>
      <c r="AA36" s="12">
        <v>7.9</v>
      </c>
      <c r="AB36" s="105">
        <v>6000</v>
      </c>
      <c r="AC36" s="12">
        <v>7.9</v>
      </c>
      <c r="AD36" s="2">
        <f t="shared" si="1"/>
        <v>0.21999999999999975</v>
      </c>
      <c r="AE36" s="148">
        <f t="shared" si="2"/>
        <v>-4.0097205346294018E-2</v>
      </c>
    </row>
    <row r="37" spans="15:31" ht="20.25" thickBot="1" x14ac:dyDescent="0.35">
      <c r="O37" s="405" t="s">
        <v>78</v>
      </c>
      <c r="P37" s="405"/>
      <c r="T37" s="101" t="s">
        <v>116</v>
      </c>
      <c r="W37" s="143">
        <v>42388</v>
      </c>
      <c r="X37" s="12">
        <v>8.32</v>
      </c>
      <c r="Y37" s="12">
        <v>8.33</v>
      </c>
      <c r="Z37" s="12">
        <v>8.16</v>
      </c>
      <c r="AA37" s="12">
        <v>8.23</v>
      </c>
      <c r="AB37" s="105">
        <v>24100</v>
      </c>
      <c r="AC37" s="12">
        <v>8.23</v>
      </c>
      <c r="AD37" s="2">
        <f t="shared" si="1"/>
        <v>0.16999999999999993</v>
      </c>
      <c r="AE37" s="148">
        <f t="shared" si="2"/>
        <v>3.7831021437578993E-2</v>
      </c>
    </row>
    <row r="38" spans="15:31" ht="15.75" thickTop="1" x14ac:dyDescent="0.25">
      <c r="O38" s="93">
        <v>1.1000000000000001</v>
      </c>
      <c r="P38" s="93">
        <f>O38*$Q$4</f>
        <v>10.230000000000002</v>
      </c>
      <c r="Q38" s="2"/>
      <c r="T38" s="138" t="s">
        <v>101</v>
      </c>
      <c r="U38" s="108">
        <v>9.4</v>
      </c>
      <c r="W38" s="143">
        <v>42384</v>
      </c>
      <c r="X38" s="12">
        <v>7.93</v>
      </c>
      <c r="Y38" s="12">
        <v>7.98</v>
      </c>
      <c r="Z38" s="12">
        <v>7.9</v>
      </c>
      <c r="AA38" s="12">
        <v>7.93</v>
      </c>
      <c r="AB38" s="105">
        <v>7000</v>
      </c>
      <c r="AC38" s="12">
        <v>7.93</v>
      </c>
      <c r="AD38" s="2">
        <f t="shared" si="1"/>
        <v>8.0000000000000071E-2</v>
      </c>
      <c r="AE38" s="148">
        <f t="shared" si="2"/>
        <v>-4.2270531400966149E-2</v>
      </c>
    </row>
    <row r="39" spans="15:31" x14ac:dyDescent="0.25">
      <c r="O39" s="93">
        <v>1.0900000000000001</v>
      </c>
      <c r="P39" s="93">
        <f t="shared" ref="P39:P58" si="6">O39*$Q$4</f>
        <v>10.137000000000002</v>
      </c>
      <c r="Q39" s="2"/>
      <c r="T39" s="103" t="s">
        <v>102</v>
      </c>
      <c r="U39" s="98">
        <v>9.31</v>
      </c>
      <c r="W39" s="143">
        <v>42383</v>
      </c>
      <c r="X39" s="12">
        <v>8.14</v>
      </c>
      <c r="Y39" s="12">
        <v>8.34</v>
      </c>
      <c r="Z39" s="12">
        <v>8.1300000000000008</v>
      </c>
      <c r="AA39" s="12">
        <v>8.2799999999999994</v>
      </c>
      <c r="AB39" s="105">
        <v>31100</v>
      </c>
      <c r="AC39" s="12">
        <v>8.2799999999999994</v>
      </c>
      <c r="AD39" s="2">
        <f t="shared" si="1"/>
        <v>0.20999999999999908</v>
      </c>
      <c r="AE39" s="148">
        <f t="shared" si="2"/>
        <v>2.4752475247524774E-2</v>
      </c>
    </row>
    <row r="40" spans="15:31" x14ac:dyDescent="0.25">
      <c r="O40" s="93">
        <v>1.08</v>
      </c>
      <c r="P40" s="93">
        <f t="shared" si="6"/>
        <v>10.044000000000002</v>
      </c>
      <c r="Q40" s="2"/>
      <c r="T40" s="103" t="s">
        <v>103</v>
      </c>
      <c r="U40" s="98" t="s">
        <v>392</v>
      </c>
      <c r="W40" s="143">
        <v>42382</v>
      </c>
      <c r="X40" s="12">
        <v>8.27</v>
      </c>
      <c r="Y40" s="12">
        <v>8.27</v>
      </c>
      <c r="Z40" s="12">
        <v>8.06</v>
      </c>
      <c r="AA40" s="12">
        <v>8.08</v>
      </c>
      <c r="AB40" s="105">
        <v>18800</v>
      </c>
      <c r="AC40" s="12">
        <v>8.08</v>
      </c>
      <c r="AD40" s="2">
        <f t="shared" si="1"/>
        <v>0.20999999999999908</v>
      </c>
      <c r="AE40" s="148">
        <f t="shared" si="2"/>
        <v>-7.3710073710073765E-3</v>
      </c>
    </row>
    <row r="41" spans="15:31" x14ac:dyDescent="0.25">
      <c r="O41" s="93">
        <v>1.07</v>
      </c>
      <c r="P41" s="93">
        <f t="shared" si="6"/>
        <v>9.9510000000000005</v>
      </c>
      <c r="Q41" s="2"/>
      <c r="T41" s="103" t="s">
        <v>104</v>
      </c>
      <c r="U41" s="98" t="s">
        <v>393</v>
      </c>
      <c r="W41" s="143">
        <v>42381</v>
      </c>
      <c r="X41" s="12">
        <v>8.16</v>
      </c>
      <c r="Y41" s="12">
        <v>8.2100000000000009</v>
      </c>
      <c r="Z41" s="12">
        <v>8.07</v>
      </c>
      <c r="AA41" s="12">
        <v>8.14</v>
      </c>
      <c r="AB41" s="105">
        <v>18200</v>
      </c>
      <c r="AC41" s="12">
        <v>8.14</v>
      </c>
      <c r="AD41" s="2">
        <f t="shared" si="1"/>
        <v>0.14000000000000057</v>
      </c>
      <c r="AE41" s="148">
        <f t="shared" si="2"/>
        <v>2.518891687657443E-2</v>
      </c>
    </row>
    <row r="42" spans="15:31" x14ac:dyDescent="0.25">
      <c r="O42" s="93">
        <v>1.06</v>
      </c>
      <c r="P42" s="93">
        <f t="shared" si="6"/>
        <v>9.8580000000000005</v>
      </c>
      <c r="Q42" s="2"/>
      <c r="T42" s="103" t="s">
        <v>105</v>
      </c>
      <c r="U42" s="98">
        <v>28</v>
      </c>
      <c r="W42" s="143">
        <v>42380</v>
      </c>
      <c r="X42" s="12">
        <v>7.93</v>
      </c>
      <c r="Y42" s="12">
        <v>8.02</v>
      </c>
      <c r="Z42" s="12">
        <v>7.65</v>
      </c>
      <c r="AA42" s="12">
        <v>7.94</v>
      </c>
      <c r="AB42" s="105">
        <v>22000</v>
      </c>
      <c r="AC42" s="12">
        <v>7.94</v>
      </c>
      <c r="AD42" s="2">
        <f t="shared" si="1"/>
        <v>0.36999999999999922</v>
      </c>
      <c r="AE42" s="148">
        <f t="shared" si="2"/>
        <v>1.1464968152866239E-2</v>
      </c>
    </row>
    <row r="43" spans="15:31" x14ac:dyDescent="0.25">
      <c r="O43" s="93">
        <v>1.05</v>
      </c>
      <c r="P43" s="93">
        <f t="shared" si="6"/>
        <v>9.7650000000000006</v>
      </c>
      <c r="Q43" s="2"/>
      <c r="T43" s="103" t="s">
        <v>106</v>
      </c>
      <c r="U43" s="98">
        <v>0.454814</v>
      </c>
      <c r="W43" s="143">
        <v>42377</v>
      </c>
      <c r="X43" s="12">
        <v>8</v>
      </c>
      <c r="Y43" s="12">
        <v>8.02</v>
      </c>
      <c r="Z43" s="12">
        <v>7.85</v>
      </c>
      <c r="AA43" s="12">
        <v>7.85</v>
      </c>
      <c r="AB43" s="105">
        <v>10700</v>
      </c>
      <c r="AC43" s="12">
        <v>7.85</v>
      </c>
      <c r="AD43" s="2">
        <f t="shared" si="1"/>
        <v>0.16999999999999993</v>
      </c>
      <c r="AE43" s="148">
        <f t="shared" si="2"/>
        <v>6.4102564102563875E-3</v>
      </c>
    </row>
    <row r="44" spans="15:31" x14ac:dyDescent="0.25">
      <c r="O44" s="93">
        <v>1.04</v>
      </c>
      <c r="P44" s="93">
        <f t="shared" si="6"/>
        <v>9.6720000000000006</v>
      </c>
      <c r="Q44" s="2"/>
      <c r="T44" s="103" t="s">
        <v>107</v>
      </c>
      <c r="U44" s="98" t="s">
        <v>134</v>
      </c>
      <c r="W44" s="143">
        <v>42376</v>
      </c>
      <c r="X44" s="12">
        <v>7.89</v>
      </c>
      <c r="Y44" s="12">
        <v>7.94</v>
      </c>
      <c r="Z44" s="12">
        <v>7.76</v>
      </c>
      <c r="AA44" s="12">
        <v>7.8</v>
      </c>
      <c r="AB44" s="105">
        <v>32000</v>
      </c>
      <c r="AC44" s="12">
        <v>7.8</v>
      </c>
      <c r="AD44" s="2">
        <f t="shared" si="1"/>
        <v>0.1800000000000006</v>
      </c>
      <c r="AE44" s="148">
        <f t="shared" si="2"/>
        <v>-2.5000000000000022E-2</v>
      </c>
    </row>
    <row r="45" spans="15:31" x14ac:dyDescent="0.25">
      <c r="O45" s="93">
        <v>1.03</v>
      </c>
      <c r="P45" s="93">
        <f t="shared" si="6"/>
        <v>9.5790000000000006</v>
      </c>
      <c r="Q45" s="2"/>
      <c r="T45" s="103"/>
      <c r="U45" s="98"/>
      <c r="W45" s="143">
        <v>42375</v>
      </c>
      <c r="X45" s="12">
        <v>8.02</v>
      </c>
      <c r="Y45" s="12">
        <v>8.07</v>
      </c>
      <c r="Z45" s="12">
        <v>7.98</v>
      </c>
      <c r="AA45" s="12">
        <v>8</v>
      </c>
      <c r="AB45" s="105">
        <v>16300</v>
      </c>
      <c r="AC45" s="12">
        <v>8</v>
      </c>
      <c r="AD45" s="2">
        <f t="shared" si="1"/>
        <v>8.9999999999999858E-2</v>
      </c>
      <c r="AE45" s="148">
        <f t="shared" si="2"/>
        <v>-3.3816425120772875E-2</v>
      </c>
    </row>
    <row r="46" spans="15:31" x14ac:dyDescent="0.25">
      <c r="O46" s="93">
        <v>1.02</v>
      </c>
      <c r="P46" s="93">
        <f t="shared" si="6"/>
        <v>9.4860000000000007</v>
      </c>
      <c r="Q46" s="2"/>
      <c r="T46" s="103" t="s">
        <v>108</v>
      </c>
      <c r="U46" s="98" t="s">
        <v>394</v>
      </c>
      <c r="W46" s="143">
        <v>42374</v>
      </c>
      <c r="X46" s="12">
        <v>8.17</v>
      </c>
      <c r="Y46" s="12">
        <v>8.2799999999999994</v>
      </c>
      <c r="Z46" s="12">
        <v>8.17</v>
      </c>
      <c r="AA46" s="12">
        <v>8.2799999999999994</v>
      </c>
      <c r="AB46" s="105">
        <v>19100</v>
      </c>
      <c r="AC46" s="12">
        <v>8.2799999999999994</v>
      </c>
      <c r="AD46" s="2">
        <f t="shared" si="1"/>
        <v>0.10999999999999943</v>
      </c>
      <c r="AE46" s="148">
        <f t="shared" si="2"/>
        <v>4.5454545454545414E-2</v>
      </c>
    </row>
    <row r="47" spans="15:31" x14ac:dyDescent="0.25">
      <c r="O47" s="93">
        <v>1.01</v>
      </c>
      <c r="P47" s="93">
        <f t="shared" si="6"/>
        <v>9.3930000000000007</v>
      </c>
      <c r="Q47" s="2"/>
      <c r="T47" s="103" t="s">
        <v>109</v>
      </c>
      <c r="U47" s="98" t="s">
        <v>150</v>
      </c>
      <c r="W47" s="143">
        <v>42373</v>
      </c>
      <c r="X47" s="12">
        <v>7.96</v>
      </c>
      <c r="Y47" s="12">
        <v>7.97</v>
      </c>
      <c r="Z47" s="12">
        <v>7.85</v>
      </c>
      <c r="AA47" s="12">
        <v>7.92</v>
      </c>
      <c r="AB47" s="105">
        <v>16900</v>
      </c>
      <c r="AC47" s="12">
        <v>7.92</v>
      </c>
      <c r="AD47" s="2">
        <f t="shared" si="1"/>
        <v>0.12000000000000011</v>
      </c>
      <c r="AE47" s="148">
        <f t="shared" si="2"/>
        <v>-4.5783132530120563E-2</v>
      </c>
    </row>
    <row r="48" spans="15:31" x14ac:dyDescent="0.25">
      <c r="O48" s="93">
        <v>1</v>
      </c>
      <c r="P48" s="93">
        <f t="shared" si="6"/>
        <v>9.3000000000000007</v>
      </c>
      <c r="Q48" s="2"/>
      <c r="T48" s="103" t="s">
        <v>110</v>
      </c>
      <c r="U48" s="100">
        <v>13173</v>
      </c>
      <c r="W48" s="143">
        <v>42369</v>
      </c>
      <c r="X48" s="12">
        <v>8.26</v>
      </c>
      <c r="Y48" s="12">
        <v>8.35</v>
      </c>
      <c r="Z48" s="12">
        <v>8.26</v>
      </c>
      <c r="AA48" s="12">
        <v>8.3000000000000007</v>
      </c>
      <c r="AB48" s="105">
        <v>14700</v>
      </c>
      <c r="AC48" s="12">
        <v>8.3000000000000007</v>
      </c>
      <c r="AD48" s="2">
        <f t="shared" si="1"/>
        <v>8.9999999999999858E-2</v>
      </c>
      <c r="AE48" s="148">
        <f t="shared" si="2"/>
        <v>-5.9880239520956335E-3</v>
      </c>
    </row>
    <row r="49" spans="15:31" x14ac:dyDescent="0.25">
      <c r="O49" s="93">
        <v>0.99</v>
      </c>
      <c r="P49" s="93">
        <f t="shared" si="6"/>
        <v>9.2070000000000007</v>
      </c>
      <c r="Q49" s="2"/>
      <c r="T49" s="103" t="s">
        <v>113</v>
      </c>
      <c r="U49" s="100">
        <v>11885</v>
      </c>
      <c r="W49" s="143">
        <v>42368</v>
      </c>
      <c r="X49" s="12">
        <v>8.36</v>
      </c>
      <c r="Y49" s="12">
        <v>8.43</v>
      </c>
      <c r="Z49" s="12">
        <v>8.33</v>
      </c>
      <c r="AA49" s="12">
        <v>8.35</v>
      </c>
      <c r="AB49" s="105">
        <v>4700</v>
      </c>
      <c r="AC49" s="12">
        <v>8.35</v>
      </c>
      <c r="AD49" s="2">
        <f t="shared" si="1"/>
        <v>9.9999999999999645E-2</v>
      </c>
      <c r="AE49" s="148">
        <f t="shared" si="2"/>
        <v>-2.4532710280373959E-2</v>
      </c>
    </row>
    <row r="50" spans="15:31" x14ac:dyDescent="0.25">
      <c r="O50" s="93">
        <v>0.98</v>
      </c>
      <c r="P50" s="93">
        <f t="shared" si="6"/>
        <v>9.1140000000000008</v>
      </c>
      <c r="Q50" s="2"/>
      <c r="T50" s="103" t="s">
        <v>111</v>
      </c>
      <c r="U50" s="98" t="s">
        <v>395</v>
      </c>
      <c r="W50" s="143">
        <v>42367</v>
      </c>
      <c r="X50" s="12">
        <v>8.5500000000000007</v>
      </c>
      <c r="Y50" s="12">
        <v>8.59</v>
      </c>
      <c r="Z50" s="12">
        <v>8.5399999999999991</v>
      </c>
      <c r="AA50" s="12">
        <v>8.56</v>
      </c>
      <c r="AB50" s="105">
        <v>6600</v>
      </c>
      <c r="AC50" s="12">
        <v>8.56</v>
      </c>
      <c r="AD50" s="2">
        <f t="shared" si="1"/>
        <v>5.0000000000000711E-2</v>
      </c>
      <c r="AE50" s="148">
        <f t="shared" si="2"/>
        <v>1.542111506524324E-2</v>
      </c>
    </row>
    <row r="51" spans="15:31" x14ac:dyDescent="0.25">
      <c r="O51" s="93">
        <v>0.97</v>
      </c>
      <c r="P51" s="93">
        <f t="shared" si="6"/>
        <v>9.0210000000000008</v>
      </c>
      <c r="T51" s="103" t="s">
        <v>114</v>
      </c>
      <c r="U51" s="98">
        <v>27.76</v>
      </c>
      <c r="W51" s="143">
        <v>42366</v>
      </c>
      <c r="X51" s="12">
        <v>8.44</v>
      </c>
      <c r="Y51" s="12">
        <v>8.44</v>
      </c>
      <c r="Z51" s="12">
        <v>8.4</v>
      </c>
      <c r="AA51" s="12">
        <v>8.43</v>
      </c>
      <c r="AB51" s="105">
        <v>3300</v>
      </c>
      <c r="AC51" s="12">
        <v>8.43</v>
      </c>
      <c r="AD51" s="2">
        <f t="shared" si="1"/>
        <v>3.9999999999999147E-2</v>
      </c>
      <c r="AE51" s="148">
        <f t="shared" si="2"/>
        <v>-3.5460992907803135E-3</v>
      </c>
    </row>
    <row r="52" spans="15:31" x14ac:dyDescent="0.25">
      <c r="O52" s="93">
        <v>0.96</v>
      </c>
      <c r="P52" s="93">
        <f t="shared" si="6"/>
        <v>8.9280000000000008</v>
      </c>
      <c r="T52" s="103" t="s">
        <v>115</v>
      </c>
      <c r="U52" s="98">
        <v>0.34</v>
      </c>
      <c r="W52" s="143">
        <v>42362</v>
      </c>
      <c r="X52" s="12">
        <v>8.52</v>
      </c>
      <c r="Y52" s="12">
        <v>8.52</v>
      </c>
      <c r="Z52" s="12">
        <v>8.4600000000000009</v>
      </c>
      <c r="AA52" s="12">
        <v>8.4600000000000009</v>
      </c>
      <c r="AB52" s="105">
        <v>2200</v>
      </c>
      <c r="AC52" s="12">
        <v>8.4600000000000009</v>
      </c>
      <c r="AD52" s="2">
        <f t="shared" si="1"/>
        <v>5.9999999999998721E-2</v>
      </c>
      <c r="AE52" s="148">
        <f t="shared" si="2"/>
        <v>-1.1682242990654124E-2</v>
      </c>
    </row>
    <row r="53" spans="15:31" x14ac:dyDescent="0.25">
      <c r="O53" s="93">
        <v>0.95</v>
      </c>
      <c r="P53" s="93">
        <f t="shared" si="6"/>
        <v>8.8350000000000009</v>
      </c>
      <c r="T53" s="103" t="s">
        <v>112</v>
      </c>
      <c r="U53" s="98" t="s">
        <v>396</v>
      </c>
      <c r="W53" s="143">
        <v>42361</v>
      </c>
      <c r="X53" s="12">
        <v>8.5</v>
      </c>
      <c r="Y53" s="12">
        <v>8.58</v>
      </c>
      <c r="Z53" s="12">
        <v>8.5</v>
      </c>
      <c r="AA53" s="12">
        <v>8.56</v>
      </c>
      <c r="AB53" s="105">
        <v>2600</v>
      </c>
      <c r="AC53" s="12">
        <v>8.56</v>
      </c>
      <c r="AD53" s="2">
        <f t="shared" si="1"/>
        <v>8.0000000000000071E-2</v>
      </c>
      <c r="AE53" s="148">
        <f t="shared" si="2"/>
        <v>1.0625737898465104E-2</v>
      </c>
    </row>
    <row r="54" spans="15:31" x14ac:dyDescent="0.25">
      <c r="O54" s="93">
        <v>0.94</v>
      </c>
      <c r="P54" s="93">
        <f t="shared" si="6"/>
        <v>8.7420000000000009</v>
      </c>
      <c r="W54" s="143">
        <v>42360</v>
      </c>
      <c r="X54" s="12">
        <v>8.4600000000000009</v>
      </c>
      <c r="Y54" s="12">
        <v>8.4700000000000006</v>
      </c>
      <c r="Z54" s="12">
        <v>8.41</v>
      </c>
      <c r="AA54" s="12">
        <v>8.4700000000000006</v>
      </c>
      <c r="AB54" s="105">
        <v>26200</v>
      </c>
      <c r="AC54" s="12">
        <v>8.4700000000000006</v>
      </c>
      <c r="AD54" s="2">
        <f t="shared" si="1"/>
        <v>6.0000000000000497E-2</v>
      </c>
      <c r="AE54" s="148">
        <f t="shared" si="2"/>
        <v>-2.3557126030623321E-3</v>
      </c>
    </row>
    <row r="55" spans="15:31" x14ac:dyDescent="0.25">
      <c r="O55" s="93">
        <v>0.93</v>
      </c>
      <c r="P55" s="93">
        <f t="shared" si="6"/>
        <v>8.6490000000000009</v>
      </c>
      <c r="W55" s="143">
        <v>42359</v>
      </c>
      <c r="X55" s="12">
        <v>8.4700000000000006</v>
      </c>
      <c r="Y55" s="12">
        <v>8.51</v>
      </c>
      <c r="Z55" s="12">
        <v>8.43</v>
      </c>
      <c r="AA55" s="12">
        <v>8.49</v>
      </c>
      <c r="AB55" s="105">
        <v>1400</v>
      </c>
      <c r="AC55" s="12">
        <v>8.49</v>
      </c>
      <c r="AD55" s="2">
        <f t="shared" si="1"/>
        <v>8.0000000000000071E-2</v>
      </c>
      <c r="AE55" s="148">
        <f t="shared" si="2"/>
        <v>-8.1775700934579865E-3</v>
      </c>
    </row>
    <row r="56" spans="15:31" x14ac:dyDescent="0.25">
      <c r="O56" s="93">
        <v>0.92</v>
      </c>
      <c r="P56" s="93">
        <f t="shared" si="6"/>
        <v>8.5560000000000009</v>
      </c>
      <c r="W56" s="143">
        <v>42356</v>
      </c>
      <c r="X56" s="12">
        <v>8.59</v>
      </c>
      <c r="Y56" s="12">
        <v>8.61</v>
      </c>
      <c r="Z56" s="12">
        <v>8.5399999999999991</v>
      </c>
      <c r="AA56" s="12">
        <v>8.56</v>
      </c>
      <c r="AB56" s="105">
        <v>2000</v>
      </c>
      <c r="AC56" s="12">
        <v>8.56</v>
      </c>
      <c r="AD56" s="2">
        <f t="shared" si="1"/>
        <v>7.0000000000000284E-2</v>
      </c>
      <c r="AE56" s="148">
        <f t="shared" si="2"/>
        <v>-1.4959723820483162E-2</v>
      </c>
    </row>
    <row r="57" spans="15:31" x14ac:dyDescent="0.25">
      <c r="O57" s="93">
        <v>0.91</v>
      </c>
      <c r="P57" s="93">
        <f t="shared" si="6"/>
        <v>8.463000000000001</v>
      </c>
      <c r="W57" s="143">
        <v>42355</v>
      </c>
      <c r="X57" s="12">
        <v>8.8000000000000007</v>
      </c>
      <c r="Y57" s="12">
        <v>8.8000000000000007</v>
      </c>
      <c r="Z57" s="12">
        <v>8.65</v>
      </c>
      <c r="AA57" s="12">
        <v>8.69</v>
      </c>
      <c r="AB57" s="105">
        <v>6000</v>
      </c>
      <c r="AC57" s="12">
        <v>8.69</v>
      </c>
      <c r="AD57" s="2">
        <f t="shared" si="1"/>
        <v>0.15000000000000036</v>
      </c>
      <c r="AE57" s="148">
        <f t="shared" si="2"/>
        <v>-1.8079096045197751E-2</v>
      </c>
    </row>
    <row r="58" spans="15:31" x14ac:dyDescent="0.25">
      <c r="O58" s="93">
        <v>0.9</v>
      </c>
      <c r="P58" s="93">
        <f t="shared" si="6"/>
        <v>8.370000000000001</v>
      </c>
      <c r="W58" s="143">
        <v>42354</v>
      </c>
      <c r="X58" s="12">
        <v>8.8000000000000007</v>
      </c>
      <c r="Y58" s="12">
        <v>8.91</v>
      </c>
      <c r="Z58" s="12">
        <v>8.73</v>
      </c>
      <c r="AA58" s="12">
        <v>8.85</v>
      </c>
      <c r="AB58" s="105">
        <v>4400</v>
      </c>
      <c r="AC58" s="12">
        <v>8.85</v>
      </c>
      <c r="AD58" s="2">
        <f t="shared" si="1"/>
        <v>0.17999999999999972</v>
      </c>
      <c r="AE58" s="148">
        <f t="shared" si="2"/>
        <v>1.2585812356979309E-2</v>
      </c>
    </row>
    <row r="59" spans="15:31" x14ac:dyDescent="0.25">
      <c r="O59" s="37"/>
      <c r="W59" s="143">
        <v>42353</v>
      </c>
      <c r="X59" s="12">
        <v>8.74</v>
      </c>
      <c r="Y59" s="12">
        <v>8.74</v>
      </c>
      <c r="Z59" s="12">
        <v>8.74</v>
      </c>
      <c r="AA59" s="12">
        <v>8.74</v>
      </c>
      <c r="AB59" s="105">
        <v>400</v>
      </c>
      <c r="AC59" s="12">
        <v>8.74</v>
      </c>
      <c r="AD59" s="2">
        <f t="shared" si="1"/>
        <v>0</v>
      </c>
      <c r="AE59" s="148">
        <f t="shared" si="2"/>
        <v>-7.9455164585698901E-3</v>
      </c>
    </row>
    <row r="60" spans="15:31" x14ac:dyDescent="0.25">
      <c r="W60" s="143">
        <v>42352</v>
      </c>
      <c r="X60" s="12">
        <v>8.83</v>
      </c>
      <c r="Y60" s="12">
        <v>8.83</v>
      </c>
      <c r="Z60" s="12">
        <v>8.73</v>
      </c>
      <c r="AA60" s="12">
        <v>8.81</v>
      </c>
      <c r="AB60" s="105">
        <v>1900</v>
      </c>
      <c r="AC60" s="12">
        <v>8.81</v>
      </c>
      <c r="AD60" s="2">
        <f t="shared" si="1"/>
        <v>9.9999999999999645E-2</v>
      </c>
      <c r="AE60" s="148">
        <f t="shared" si="2"/>
        <v>-4.5197740112993268E-3</v>
      </c>
    </row>
    <row r="61" spans="15:31" x14ac:dyDescent="0.25">
      <c r="W61" s="143">
        <v>42349</v>
      </c>
      <c r="X61" s="12">
        <v>8.8699999999999992</v>
      </c>
      <c r="Y61" s="12">
        <v>8.93</v>
      </c>
      <c r="Z61" s="12">
        <v>8.85</v>
      </c>
      <c r="AA61" s="12">
        <v>8.85</v>
      </c>
      <c r="AB61" s="105">
        <v>3000</v>
      </c>
      <c r="AC61" s="12">
        <v>8.85</v>
      </c>
      <c r="AD61" s="2">
        <f t="shared" si="1"/>
        <v>8.0000000000000071E-2</v>
      </c>
      <c r="AE61" s="148">
        <f t="shared" si="2"/>
        <v>-1.1173184357541888E-2</v>
      </c>
    </row>
    <row r="62" spans="15:31" x14ac:dyDescent="0.25">
      <c r="W62" s="143">
        <v>42348</v>
      </c>
      <c r="X62" s="12">
        <v>8.91</v>
      </c>
      <c r="Y62" s="12">
        <v>8.98</v>
      </c>
      <c r="Z62" s="12">
        <v>8.91</v>
      </c>
      <c r="AA62" s="12">
        <v>8.9499999999999993</v>
      </c>
      <c r="AB62" s="105">
        <v>4200</v>
      </c>
      <c r="AC62" s="12">
        <v>8.9499999999999993</v>
      </c>
      <c r="AD62" s="2">
        <f t="shared" si="1"/>
        <v>7.0000000000000284E-2</v>
      </c>
      <c r="AE62" s="148">
        <f t="shared" si="2"/>
        <v>-7.7605321507761005E-3</v>
      </c>
    </row>
    <row r="63" spans="15:31" x14ac:dyDescent="0.25">
      <c r="W63" s="143">
        <v>42347</v>
      </c>
      <c r="X63" s="12">
        <v>8.99</v>
      </c>
      <c r="Y63" s="12">
        <v>9.18</v>
      </c>
      <c r="Z63" s="12">
        <v>8.99</v>
      </c>
      <c r="AA63" s="12">
        <v>9.02</v>
      </c>
      <c r="AB63" s="105">
        <v>9500</v>
      </c>
      <c r="AC63" s="12">
        <v>9.02</v>
      </c>
      <c r="AD63" s="2">
        <f t="shared" si="1"/>
        <v>0.1899999999999995</v>
      </c>
      <c r="AE63" s="148">
        <f t="shared" si="2"/>
        <v>1.348314606741563E-2</v>
      </c>
    </row>
    <row r="64" spans="15:31" x14ac:dyDescent="0.25">
      <c r="W64" s="143">
        <v>42346</v>
      </c>
      <c r="X64" s="12">
        <v>8.8699999999999992</v>
      </c>
      <c r="Y64" s="12">
        <v>8.91</v>
      </c>
      <c r="Z64" s="12">
        <v>8.8699999999999992</v>
      </c>
      <c r="AA64" s="12">
        <v>8.9</v>
      </c>
      <c r="AB64" s="105">
        <v>1400</v>
      </c>
      <c r="AC64" s="12">
        <v>8.9</v>
      </c>
      <c r="AD64" s="2">
        <f t="shared" si="1"/>
        <v>4.0000000000000924E-2</v>
      </c>
      <c r="AE64" s="148">
        <f t="shared" si="2"/>
        <v>-3.5752979414951258E-2</v>
      </c>
    </row>
    <row r="65" spans="23:31" x14ac:dyDescent="0.25">
      <c r="W65" s="143">
        <v>42345</v>
      </c>
      <c r="X65" s="12">
        <v>9.2100000000000009</v>
      </c>
      <c r="Y65" s="12">
        <v>9.24</v>
      </c>
      <c r="Z65" s="12">
        <v>9.2100000000000009</v>
      </c>
      <c r="AA65" s="12">
        <v>9.23</v>
      </c>
      <c r="AB65" s="105">
        <v>1800</v>
      </c>
      <c r="AC65" s="12">
        <v>9.23</v>
      </c>
      <c r="AD65" s="2">
        <f t="shared" si="1"/>
        <v>2.9999999999999361E-2</v>
      </c>
      <c r="AE65" s="148">
        <f t="shared" si="2"/>
        <v>7.6419213973799582E-3</v>
      </c>
    </row>
    <row r="66" spans="23:31" x14ac:dyDescent="0.25">
      <c r="W66" s="143">
        <v>42342</v>
      </c>
      <c r="X66" s="12">
        <v>9.1</v>
      </c>
      <c r="Y66" s="12">
        <v>9.18</v>
      </c>
      <c r="Z66" s="12">
        <v>9.1</v>
      </c>
      <c r="AA66" s="12">
        <v>9.16</v>
      </c>
      <c r="AB66" s="105">
        <v>3900</v>
      </c>
      <c r="AC66" s="12">
        <v>9.16</v>
      </c>
      <c r="AD66" s="2">
        <f t="shared" si="1"/>
        <v>8.0000000000000071E-2</v>
      </c>
      <c r="AE66" s="148">
        <f t="shared" si="2"/>
        <v>6.59340659340657E-3</v>
      </c>
    </row>
    <row r="67" spans="23:31" x14ac:dyDescent="0.25">
      <c r="W67" s="143">
        <v>42341</v>
      </c>
      <c r="X67" s="12">
        <v>9.17</v>
      </c>
      <c r="Y67" s="12">
        <v>9.2200000000000006</v>
      </c>
      <c r="Z67" s="12">
        <v>9.07</v>
      </c>
      <c r="AA67" s="12">
        <v>9.1</v>
      </c>
      <c r="AB67" s="105">
        <v>10100</v>
      </c>
      <c r="AC67" s="12">
        <v>9.1</v>
      </c>
      <c r="AD67" s="2">
        <f t="shared" ref="AD67:AD68" si="7">Y67-Z67</f>
        <v>0.15000000000000036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42438</v>
      </c>
      <c r="X2" s="12">
        <v>140.75</v>
      </c>
      <c r="Y2" s="12">
        <v>142.53</v>
      </c>
      <c r="Z2" s="12">
        <v>140.47</v>
      </c>
      <c r="AA2" s="12">
        <v>141.96</v>
      </c>
      <c r="AB2" s="105">
        <v>3111700</v>
      </c>
      <c r="AC2" s="12">
        <v>141.96</v>
      </c>
      <c r="AD2" s="2">
        <f>Y2-Z2</f>
        <v>2.0600000000000023</v>
      </c>
      <c r="AE2" s="148">
        <f>AC2/AC3-1</f>
        <v>1.668695839003087E-2</v>
      </c>
    </row>
    <row r="3" spans="1:31" x14ac:dyDescent="0.25">
      <c r="A3" s="26" t="s">
        <v>71</v>
      </c>
      <c r="B3" s="40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141.96</v>
      </c>
      <c r="T3" s="71"/>
      <c r="W3" s="143">
        <v>42437</v>
      </c>
      <c r="X3" s="12">
        <v>142.29</v>
      </c>
      <c r="Y3" s="12">
        <v>142.82</v>
      </c>
      <c r="Z3" s="12">
        <v>139.41</v>
      </c>
      <c r="AA3" s="12">
        <v>139.63</v>
      </c>
      <c r="AB3" s="105">
        <v>3244700</v>
      </c>
      <c r="AC3" s="12">
        <v>139.63</v>
      </c>
      <c r="AD3" s="2">
        <f t="shared" ref="AD3:AD66" si="1">Y3-Z3</f>
        <v>3.4099999999999966</v>
      </c>
      <c r="AE3" s="148">
        <f t="shared" ref="AE3:AE66" si="2">AC3/AC4-1</f>
        <v>-2.7036443453417824E-2</v>
      </c>
    </row>
    <row r="4" spans="1:31" x14ac:dyDescent="0.25">
      <c r="B4" s="40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141.96</v>
      </c>
      <c r="T4" s="71"/>
      <c r="W4" s="143">
        <v>42436</v>
      </c>
      <c r="X4" s="12">
        <v>144.76</v>
      </c>
      <c r="Y4" s="12">
        <v>146.22999999999999</v>
      </c>
      <c r="Z4" s="12">
        <v>140.57</v>
      </c>
      <c r="AA4" s="12">
        <v>143.51</v>
      </c>
      <c r="AB4" s="105">
        <v>4136300</v>
      </c>
      <c r="AC4" s="12">
        <v>143.51</v>
      </c>
      <c r="AD4" s="2">
        <f t="shared" si="1"/>
        <v>5.6599999999999966</v>
      </c>
      <c r="AE4" s="148">
        <f t="shared" si="2"/>
        <v>-1.7458578666301627E-2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42433</v>
      </c>
      <c r="X5" s="12">
        <v>146</v>
      </c>
      <c r="Y5" s="12">
        <v>147.86000000000001</v>
      </c>
      <c r="Z5" s="12">
        <v>141.72</v>
      </c>
      <c r="AA5" s="12">
        <v>146.06</v>
      </c>
      <c r="AB5" s="105">
        <v>7233800</v>
      </c>
      <c r="AC5" s="12">
        <v>146.06</v>
      </c>
      <c r="AD5" s="2">
        <f t="shared" si="1"/>
        <v>6.1400000000000148</v>
      </c>
      <c r="AE5" s="148">
        <f t="shared" si="2"/>
        <v>6.35695041141775E-2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42432</v>
      </c>
      <c r="X6" s="12">
        <v>137.75</v>
      </c>
      <c r="Y6" s="12">
        <v>138.85</v>
      </c>
      <c r="Z6" s="12">
        <v>134.30000000000001</v>
      </c>
      <c r="AA6" s="12">
        <v>137.33000000000001</v>
      </c>
      <c r="AB6" s="105">
        <v>5828100</v>
      </c>
      <c r="AC6" s="12">
        <v>137.33000000000001</v>
      </c>
      <c r="AD6" s="2">
        <f t="shared" si="1"/>
        <v>4.5499999999999829</v>
      </c>
      <c r="AE6" s="148">
        <f t="shared" si="2"/>
        <v>2.6283127692197095E-3</v>
      </c>
    </row>
    <row r="7" spans="1:31" ht="15.75" x14ac:dyDescent="0.25">
      <c r="B7" s="40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184</v>
      </c>
      <c r="T7" s="71"/>
      <c r="W7" s="143">
        <v>42431</v>
      </c>
      <c r="X7" s="12">
        <v>137.85</v>
      </c>
      <c r="Y7" s="12">
        <v>138.24</v>
      </c>
      <c r="Z7" s="12">
        <v>135.05000000000001</v>
      </c>
      <c r="AA7" s="12">
        <v>136.97</v>
      </c>
      <c r="AB7" s="105">
        <v>4383400</v>
      </c>
      <c r="AC7" s="12">
        <v>136.97</v>
      </c>
      <c r="AD7" s="2">
        <f t="shared" si="1"/>
        <v>3.1899999999999977</v>
      </c>
      <c r="AE7" s="148">
        <f t="shared" si="2"/>
        <v>-1.0546846781766983E-2</v>
      </c>
    </row>
    <row r="8" spans="1:31" x14ac:dyDescent="0.25">
      <c r="B8" s="41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42430</v>
      </c>
      <c r="X8" s="12">
        <v>135.37</v>
      </c>
      <c r="Y8" s="12">
        <v>138.63999999999999</v>
      </c>
      <c r="Z8" s="12">
        <v>134.62</v>
      </c>
      <c r="AA8" s="12">
        <v>138.43</v>
      </c>
      <c r="AB8" s="105">
        <v>4437800</v>
      </c>
      <c r="AC8" s="12">
        <v>138.43</v>
      </c>
      <c r="AD8" s="2">
        <f t="shared" si="1"/>
        <v>4.0199999999999818</v>
      </c>
      <c r="AE8" s="148">
        <f t="shared" si="2"/>
        <v>3.3291035306411976E-2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42429</v>
      </c>
      <c r="X9" s="12">
        <v>133.34</v>
      </c>
      <c r="Y9" s="12">
        <v>137.91999999999999</v>
      </c>
      <c r="Z9" s="12">
        <v>132.9</v>
      </c>
      <c r="AA9" s="12">
        <v>133.97</v>
      </c>
      <c r="AB9" s="105">
        <v>3576900</v>
      </c>
      <c r="AC9" s="12">
        <v>133.97</v>
      </c>
      <c r="AD9" s="2">
        <f t="shared" si="1"/>
        <v>5.0199999999999818</v>
      </c>
      <c r="AE9" s="148">
        <f t="shared" si="2"/>
        <v>6.460821876643319E-3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42426</v>
      </c>
      <c r="X10" s="12">
        <v>134.19999999999999</v>
      </c>
      <c r="Y10" s="12">
        <v>134.97</v>
      </c>
      <c r="Z10" s="12">
        <v>132.25</v>
      </c>
      <c r="AA10" s="12">
        <v>133.11000000000001</v>
      </c>
      <c r="AB10" s="105">
        <v>2713200</v>
      </c>
      <c r="AC10" s="12">
        <v>133.11000000000001</v>
      </c>
      <c r="AD10" s="2">
        <f t="shared" si="1"/>
        <v>2.7199999999999989</v>
      </c>
      <c r="AE10" s="148">
        <f t="shared" si="2"/>
        <v>4.8312825545406834E-3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42425</v>
      </c>
      <c r="X11" s="12">
        <v>130.78</v>
      </c>
      <c r="Y11" s="12">
        <v>132.49</v>
      </c>
      <c r="Z11" s="12">
        <v>128.69</v>
      </c>
      <c r="AA11" s="12">
        <v>132.47</v>
      </c>
      <c r="AB11" s="105">
        <v>2556600</v>
      </c>
      <c r="AC11" s="12">
        <v>132.47</v>
      </c>
      <c r="AD11" s="2">
        <f t="shared" si="1"/>
        <v>3.8000000000000114</v>
      </c>
      <c r="AE11" s="148">
        <f t="shared" si="2"/>
        <v>1.6341875095903013E-2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42424</v>
      </c>
      <c r="X12" s="12">
        <v>126.51</v>
      </c>
      <c r="Y12" s="12">
        <v>131.25</v>
      </c>
      <c r="Z12" s="12">
        <v>125.41</v>
      </c>
      <c r="AA12" s="12">
        <v>130.34</v>
      </c>
      <c r="AB12" s="105">
        <v>2380500</v>
      </c>
      <c r="AC12" s="12">
        <v>130.34</v>
      </c>
      <c r="AD12" s="2">
        <f t="shared" si="1"/>
        <v>5.8400000000000034</v>
      </c>
      <c r="AE12" s="148">
        <f t="shared" si="2"/>
        <v>1.7009987515605562E-2</v>
      </c>
    </row>
    <row r="13" spans="1:31" x14ac:dyDescent="0.25">
      <c r="W13" s="143">
        <v>42423</v>
      </c>
      <c r="X13" s="12">
        <v>130.16</v>
      </c>
      <c r="Y13" s="12">
        <v>130.5</v>
      </c>
      <c r="Z13" s="12">
        <v>128.06</v>
      </c>
      <c r="AA13" s="12">
        <v>128.16</v>
      </c>
      <c r="AB13" s="105">
        <v>2222800</v>
      </c>
      <c r="AC13" s="12">
        <v>128.16</v>
      </c>
      <c r="AD13" s="2">
        <f t="shared" si="1"/>
        <v>2.4399999999999977</v>
      </c>
      <c r="AE13" s="148">
        <f t="shared" si="2"/>
        <v>-1.8983466013472006E-2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42422</v>
      </c>
      <c r="X14" s="12">
        <v>130</v>
      </c>
      <c r="Y14" s="12">
        <v>132.43</v>
      </c>
      <c r="Z14" s="12">
        <v>129.49</v>
      </c>
      <c r="AA14" s="12">
        <v>130.63999999999999</v>
      </c>
      <c r="AB14" s="105">
        <v>2351600</v>
      </c>
      <c r="AC14" s="12">
        <v>130.63999999999999</v>
      </c>
      <c r="AD14" s="2">
        <f t="shared" si="1"/>
        <v>2.9399999999999977</v>
      </c>
      <c r="AE14" s="148">
        <f t="shared" si="2"/>
        <v>1.5310484184347439E-2</v>
      </c>
    </row>
    <row r="15" spans="1:31" x14ac:dyDescent="0.25">
      <c r="W15" s="143">
        <v>42419</v>
      </c>
      <c r="X15" s="12">
        <v>127.05</v>
      </c>
      <c r="Y15" s="12">
        <v>128.79</v>
      </c>
      <c r="Z15" s="12">
        <v>125</v>
      </c>
      <c r="AA15" s="12">
        <v>128.66999999999999</v>
      </c>
      <c r="AB15" s="105">
        <v>3106600</v>
      </c>
      <c r="AC15" s="12">
        <v>128.66999999999999</v>
      </c>
      <c r="AD15" s="2">
        <f t="shared" si="1"/>
        <v>3.789999999999992</v>
      </c>
      <c r="AE15" s="148">
        <f t="shared" si="2"/>
        <v>1.2591485008263126E-2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42418</v>
      </c>
      <c r="X16" s="12">
        <v>131.76</v>
      </c>
      <c r="Y16" s="12">
        <v>131.99</v>
      </c>
      <c r="Z16" s="12">
        <v>126.08</v>
      </c>
      <c r="AA16" s="12">
        <v>127.07</v>
      </c>
      <c r="AB16" s="105">
        <v>3890500</v>
      </c>
      <c r="AC16" s="12">
        <v>127.07</v>
      </c>
      <c r="AD16" s="2">
        <f t="shared" si="1"/>
        <v>5.9100000000000108</v>
      </c>
      <c r="AE16" s="148">
        <f t="shared" si="2"/>
        <v>-2.7624732170186794E-2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42417</v>
      </c>
      <c r="X17" s="12">
        <v>127</v>
      </c>
      <c r="Y17" s="12">
        <v>130.82</v>
      </c>
      <c r="Z17" s="12">
        <v>126.73</v>
      </c>
      <c r="AA17" s="12">
        <v>130.68</v>
      </c>
      <c r="AB17" s="105">
        <v>3240200</v>
      </c>
      <c r="AC17" s="12">
        <v>130.68</v>
      </c>
      <c r="AD17" s="2">
        <f t="shared" si="1"/>
        <v>4.0899999999999892</v>
      </c>
      <c r="AE17" s="148">
        <f t="shared" si="2"/>
        <v>3.5171102661597065E-2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42416</v>
      </c>
      <c r="X18" s="12">
        <v>123.27</v>
      </c>
      <c r="Y18" s="12">
        <v>126.79</v>
      </c>
      <c r="Z18" s="12">
        <v>122.95</v>
      </c>
      <c r="AA18" s="12">
        <v>126.24</v>
      </c>
      <c r="AB18" s="105">
        <v>3717000</v>
      </c>
      <c r="AC18" s="12">
        <v>126.24</v>
      </c>
      <c r="AD18" s="2">
        <f t="shared" si="1"/>
        <v>3.8400000000000034</v>
      </c>
      <c r="AE18" s="148">
        <f t="shared" si="2"/>
        <v>3.7645898405392009E-2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42412</v>
      </c>
      <c r="X19" s="12">
        <v>117.76</v>
      </c>
      <c r="Y19" s="12">
        <v>122.33</v>
      </c>
      <c r="Z19" s="12">
        <v>115.73</v>
      </c>
      <c r="AA19" s="12">
        <v>121.66</v>
      </c>
      <c r="AB19" s="105">
        <v>3980200</v>
      </c>
      <c r="AC19" s="12">
        <v>121.66</v>
      </c>
      <c r="AD19" s="2">
        <f t="shared" si="1"/>
        <v>6.5999999999999943</v>
      </c>
      <c r="AE19" s="148">
        <f t="shared" si="2"/>
        <v>4.5997764594617685E-2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42411</v>
      </c>
      <c r="X20" s="12">
        <v>116.5</v>
      </c>
      <c r="Y20" s="12">
        <v>117.64</v>
      </c>
      <c r="Z20" s="12">
        <v>114.25</v>
      </c>
      <c r="AA20" s="12">
        <v>116.31</v>
      </c>
      <c r="AB20" s="105">
        <v>6575100</v>
      </c>
      <c r="AC20" s="12">
        <v>116.31</v>
      </c>
      <c r="AD20" s="2">
        <f t="shared" si="1"/>
        <v>3.3900000000000006</v>
      </c>
      <c r="AE20" s="148">
        <f t="shared" si="2"/>
        <v>-2.4244966442953042E-2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42410</v>
      </c>
      <c r="X21" s="12">
        <v>122.49</v>
      </c>
      <c r="Y21" s="12">
        <v>123.67</v>
      </c>
      <c r="Z21" s="12">
        <v>118.65</v>
      </c>
      <c r="AA21" s="12">
        <v>119.2</v>
      </c>
      <c r="AB21" s="105">
        <v>4260300</v>
      </c>
      <c r="AC21" s="12">
        <v>119.2</v>
      </c>
      <c r="AD21" s="2">
        <f t="shared" si="1"/>
        <v>5.019999999999996</v>
      </c>
      <c r="AE21" s="148">
        <f t="shared" si="2"/>
        <v>-4.2602957146435916E-3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42409</v>
      </c>
      <c r="X22" s="12">
        <v>119.83</v>
      </c>
      <c r="Y22" s="12">
        <v>125.72</v>
      </c>
      <c r="Z22" s="12">
        <v>118.77</v>
      </c>
      <c r="AA22" s="12">
        <v>119.71</v>
      </c>
      <c r="AB22" s="105">
        <v>5925700</v>
      </c>
      <c r="AC22" s="12">
        <v>119.71</v>
      </c>
      <c r="AD22" s="2">
        <f t="shared" si="1"/>
        <v>6.9500000000000028</v>
      </c>
      <c r="AE22" s="148">
        <f t="shared" si="2"/>
        <v>-1.7643197111439357E-2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42408</v>
      </c>
      <c r="X23" s="12">
        <v>126.99</v>
      </c>
      <c r="Y23" s="12">
        <v>126.99</v>
      </c>
      <c r="Z23" s="12">
        <v>119.22</v>
      </c>
      <c r="AA23" s="12">
        <v>121.86</v>
      </c>
      <c r="AB23" s="105">
        <v>9105500</v>
      </c>
      <c r="AC23" s="12">
        <v>121.86</v>
      </c>
      <c r="AD23" s="2">
        <f t="shared" si="1"/>
        <v>7.769999999999996</v>
      </c>
      <c r="AE23" s="148">
        <f t="shared" si="2"/>
        <v>-5.0638828295419214E-2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42405</v>
      </c>
      <c r="X24" s="12">
        <v>137</v>
      </c>
      <c r="Y24" s="12">
        <v>137</v>
      </c>
      <c r="Z24" s="12">
        <v>126.98</v>
      </c>
      <c r="AA24" s="12">
        <v>128.36000000000001</v>
      </c>
      <c r="AB24" s="105">
        <v>7045600</v>
      </c>
      <c r="AC24" s="12">
        <v>128.36000000000001</v>
      </c>
      <c r="AD24" s="2">
        <f t="shared" si="1"/>
        <v>10.019999999999996</v>
      </c>
      <c r="AE24" s="148">
        <f t="shared" si="2"/>
        <v>-5.7008521892447761E-2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42404</v>
      </c>
      <c r="X25" s="12">
        <v>131.4</v>
      </c>
      <c r="Y25" s="12">
        <v>137.27000000000001</v>
      </c>
      <c r="Z25" s="12">
        <v>130.5</v>
      </c>
      <c r="AA25" s="12">
        <v>136.12</v>
      </c>
      <c r="AB25" s="105">
        <v>5989100</v>
      </c>
      <c r="AC25" s="12">
        <v>136.12</v>
      </c>
      <c r="AD25" s="2">
        <f t="shared" si="1"/>
        <v>6.7700000000000102</v>
      </c>
      <c r="AE25" s="148">
        <f t="shared" si="2"/>
        <v>3.6236297198538381E-2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42403</v>
      </c>
      <c r="X26" s="12">
        <v>137.25</v>
      </c>
      <c r="Y26" s="12">
        <v>137.61000000000001</v>
      </c>
      <c r="Z26" s="12">
        <v>130.29</v>
      </c>
      <c r="AA26" s="12">
        <v>131.36000000000001</v>
      </c>
      <c r="AB26" s="105">
        <v>5619300</v>
      </c>
      <c r="AC26" s="12">
        <v>131.36000000000001</v>
      </c>
      <c r="AD26" s="2">
        <f t="shared" si="1"/>
        <v>7.3200000000000216</v>
      </c>
      <c r="AE26" s="148">
        <f t="shared" si="2"/>
        <v>-1.4109876913839692E-2</v>
      </c>
    </row>
    <row r="27" spans="2:31" x14ac:dyDescent="0.25">
      <c r="W27" s="143">
        <v>42402</v>
      </c>
      <c r="X27" s="12">
        <v>135.01</v>
      </c>
      <c r="Y27" s="12">
        <v>137.59</v>
      </c>
      <c r="Z27" s="12">
        <v>131.69999999999999</v>
      </c>
      <c r="AA27" s="12">
        <v>133.24</v>
      </c>
      <c r="AB27" s="105">
        <v>5900500</v>
      </c>
      <c r="AC27" s="12">
        <v>133.24</v>
      </c>
      <c r="AD27" s="2">
        <f t="shared" si="1"/>
        <v>5.8900000000000148</v>
      </c>
      <c r="AE27" s="148">
        <f t="shared" si="2"/>
        <v>-3.2248692620569397E-2</v>
      </c>
    </row>
    <row r="28" spans="2:31" x14ac:dyDescent="0.25">
      <c r="W28" s="143">
        <v>42401</v>
      </c>
      <c r="X28" s="12">
        <v>133.34</v>
      </c>
      <c r="Y28" s="12">
        <v>138.69</v>
      </c>
      <c r="Z28" s="12">
        <v>132.96</v>
      </c>
      <c r="AA28" s="12">
        <v>137.68</v>
      </c>
      <c r="AB28" s="105">
        <v>4561900</v>
      </c>
      <c r="AC28" s="12">
        <v>137.68</v>
      </c>
      <c r="AD28" s="2">
        <f t="shared" si="1"/>
        <v>5.7299999999999898</v>
      </c>
      <c r="AE28" s="148">
        <f t="shared" si="2"/>
        <v>2.969112257871509E-2</v>
      </c>
    </row>
    <row r="29" spans="2:31" x14ac:dyDescent="0.25">
      <c r="W29" s="143">
        <v>42398</v>
      </c>
      <c r="X29" s="12">
        <v>129.44</v>
      </c>
      <c r="Y29" s="12">
        <v>134.34</v>
      </c>
      <c r="Z29" s="12">
        <v>128.11000000000001</v>
      </c>
      <c r="AA29" s="12">
        <v>133.71</v>
      </c>
      <c r="AB29" s="105">
        <v>25944900</v>
      </c>
      <c r="AC29" s="12">
        <v>133.71</v>
      </c>
      <c r="AD29" s="2">
        <f t="shared" si="1"/>
        <v>6.2299999999999898</v>
      </c>
      <c r="AE29" s="148">
        <f t="shared" si="2"/>
        <v>5.8083405871646843E-2</v>
      </c>
    </row>
    <row r="30" spans="2:31" x14ac:dyDescent="0.25">
      <c r="W30" s="143">
        <v>42397</v>
      </c>
      <c r="X30" s="12">
        <v>122.94</v>
      </c>
      <c r="Y30" s="12">
        <v>126.55</v>
      </c>
      <c r="Z30" s="12">
        <v>122</v>
      </c>
      <c r="AA30" s="12">
        <v>126.37</v>
      </c>
      <c r="AB30" s="105">
        <v>4996900</v>
      </c>
      <c r="AC30" s="12">
        <v>126.37</v>
      </c>
      <c r="AD30" s="2">
        <f t="shared" si="1"/>
        <v>4.5499999999999972</v>
      </c>
      <c r="AE30" s="148">
        <f t="shared" si="2"/>
        <v>3.2856559051900325E-2</v>
      </c>
    </row>
    <row r="31" spans="2:31" x14ac:dyDescent="0.25">
      <c r="W31" s="143">
        <v>42396</v>
      </c>
      <c r="X31" s="12">
        <v>123.65</v>
      </c>
      <c r="Y31" s="12">
        <v>125.41</v>
      </c>
      <c r="Z31" s="12">
        <v>120.09</v>
      </c>
      <c r="AA31" s="12">
        <v>122.35</v>
      </c>
      <c r="AB31" s="105">
        <v>5815600</v>
      </c>
      <c r="AC31" s="12">
        <v>122.35</v>
      </c>
      <c r="AD31" s="2">
        <f t="shared" si="1"/>
        <v>5.3199999999999932</v>
      </c>
      <c r="AE31" s="148">
        <f t="shared" si="2"/>
        <v>-1.640003215692587E-2</v>
      </c>
    </row>
    <row r="32" spans="2:31" x14ac:dyDescent="0.25">
      <c r="W32" s="143">
        <v>42395</v>
      </c>
      <c r="X32" s="12">
        <v>125</v>
      </c>
      <c r="Y32" s="12">
        <v>126.51</v>
      </c>
      <c r="Z32" s="12">
        <v>124</v>
      </c>
      <c r="AA32" s="12">
        <v>124.39</v>
      </c>
      <c r="AB32" s="105">
        <v>11913400</v>
      </c>
      <c r="AC32" s="12">
        <v>124.39</v>
      </c>
      <c r="AD32" s="2">
        <f t="shared" si="1"/>
        <v>2.5100000000000051</v>
      </c>
      <c r="AE32" s="148">
        <f t="shared" si="2"/>
        <v>-8.0327737167640301E-4</v>
      </c>
    </row>
    <row r="33" spans="15:31" x14ac:dyDescent="0.25">
      <c r="W33" s="143">
        <v>42394</v>
      </c>
      <c r="X33" s="12">
        <v>124.43</v>
      </c>
      <c r="Y33" s="12">
        <v>124.98</v>
      </c>
      <c r="Z33" s="12">
        <v>124</v>
      </c>
      <c r="AA33" s="12">
        <v>124.49</v>
      </c>
      <c r="AB33" s="105">
        <v>6135900</v>
      </c>
      <c r="AC33" s="12">
        <v>124.49</v>
      </c>
      <c r="AD33" s="2">
        <f t="shared" si="1"/>
        <v>0.98000000000000398</v>
      </c>
      <c r="AE33" s="148">
        <f t="shared" si="2"/>
        <v>-1.606296682997721E-4</v>
      </c>
    </row>
    <row r="34" spans="15:31" x14ac:dyDescent="0.25">
      <c r="W34" s="143">
        <v>42391</v>
      </c>
      <c r="X34" s="12">
        <v>126.48</v>
      </c>
      <c r="Y34" s="12">
        <v>126.48</v>
      </c>
      <c r="Z34" s="12">
        <v>124.23</v>
      </c>
      <c r="AA34" s="12">
        <v>124.51</v>
      </c>
      <c r="AB34" s="105">
        <v>5842800</v>
      </c>
      <c r="AC34" s="12">
        <v>124.51</v>
      </c>
      <c r="AD34" s="2">
        <f t="shared" si="1"/>
        <v>2.25</v>
      </c>
      <c r="AE34" s="148">
        <f t="shared" si="2"/>
        <v>-1.6060387055327752E-4</v>
      </c>
    </row>
    <row r="35" spans="15:31" x14ac:dyDescent="0.25">
      <c r="W35" s="143">
        <v>42390</v>
      </c>
      <c r="X35" s="12">
        <v>124.8</v>
      </c>
      <c r="Y35" s="12">
        <v>126</v>
      </c>
      <c r="Z35" s="12">
        <v>123.35</v>
      </c>
      <c r="AA35" s="12">
        <v>124.53</v>
      </c>
      <c r="AB35" s="105">
        <v>4847500</v>
      </c>
      <c r="AC35" s="12">
        <v>124.53</v>
      </c>
      <c r="AD35" s="2">
        <f t="shared" si="1"/>
        <v>2.6500000000000057</v>
      </c>
      <c r="AE35" s="148">
        <f t="shared" si="2"/>
        <v>5.6529112492933464E-3</v>
      </c>
    </row>
    <row r="36" spans="15:31" x14ac:dyDescent="0.25">
      <c r="W36" s="143">
        <v>42389</v>
      </c>
      <c r="X36" s="12">
        <v>117.83</v>
      </c>
      <c r="Y36" s="12">
        <v>125.58</v>
      </c>
      <c r="Z36" s="12">
        <v>117.17</v>
      </c>
      <c r="AA36" s="12">
        <v>123.83</v>
      </c>
      <c r="AB36" s="105">
        <v>10398800</v>
      </c>
      <c r="AC36" s="12">
        <v>123.83</v>
      </c>
      <c r="AD36" s="2">
        <f t="shared" si="1"/>
        <v>8.4099999999999966</v>
      </c>
      <c r="AE36" s="148">
        <f t="shared" si="2"/>
        <v>3.1315066211376807E-2</v>
      </c>
    </row>
    <row r="37" spans="15:31" x14ac:dyDescent="0.25">
      <c r="W37" s="143">
        <v>42388</v>
      </c>
      <c r="X37" s="12">
        <v>122.76</v>
      </c>
      <c r="Y37" s="12">
        <v>124.8</v>
      </c>
      <c r="Z37" s="12">
        <v>119.01</v>
      </c>
      <c r="AA37" s="12">
        <v>120.07</v>
      </c>
      <c r="AB37" s="105">
        <v>5477300</v>
      </c>
      <c r="AC37" s="12">
        <v>120.07</v>
      </c>
      <c r="AD37" s="2">
        <f t="shared" si="1"/>
        <v>5.789999999999992</v>
      </c>
      <c r="AE37" s="148">
        <f t="shared" si="2"/>
        <v>8.3354171876304228E-4</v>
      </c>
    </row>
    <row r="38" spans="15:31" x14ac:dyDescent="0.25">
      <c r="W38" s="143">
        <v>42384</v>
      </c>
      <c r="X38" s="12">
        <v>120.21</v>
      </c>
      <c r="Y38" s="12">
        <v>123.79</v>
      </c>
      <c r="Z38" s="12">
        <v>119.3</v>
      </c>
      <c r="AA38" s="12">
        <v>119.97</v>
      </c>
      <c r="AB38" s="105">
        <v>7591600</v>
      </c>
      <c r="AC38" s="12">
        <v>119.97</v>
      </c>
      <c r="AD38" s="2">
        <f t="shared" si="1"/>
        <v>4.4900000000000091</v>
      </c>
      <c r="AE38" s="148">
        <f t="shared" si="2"/>
        <v>-4.1696621135873468E-2</v>
      </c>
    </row>
    <row r="39" spans="15:31" x14ac:dyDescent="0.25">
      <c r="W39" s="143">
        <v>42383</v>
      </c>
      <c r="X39" s="12">
        <v>124.19</v>
      </c>
      <c r="Y39" s="12">
        <v>126.68</v>
      </c>
      <c r="Z39" s="12">
        <v>120.29</v>
      </c>
      <c r="AA39" s="12">
        <v>125.19</v>
      </c>
      <c r="AB39" s="105">
        <v>6394200</v>
      </c>
      <c r="AC39" s="12">
        <v>125.19</v>
      </c>
      <c r="AD39" s="2">
        <f t="shared" si="1"/>
        <v>6.3900000000000006</v>
      </c>
      <c r="AE39" s="148">
        <f t="shared" si="2"/>
        <v>1.5246127645770713E-2</v>
      </c>
    </row>
    <row r="40" spans="15:31" x14ac:dyDescent="0.25">
      <c r="W40" s="143">
        <v>42382</v>
      </c>
      <c r="X40" s="12">
        <v>127.75</v>
      </c>
      <c r="Y40" s="12">
        <v>129.97999999999999</v>
      </c>
      <c r="Z40" s="12">
        <v>123.08</v>
      </c>
      <c r="AA40" s="12">
        <v>123.31</v>
      </c>
      <c r="AB40" s="105">
        <v>4847000</v>
      </c>
      <c r="AC40" s="12">
        <v>123.31</v>
      </c>
      <c r="AD40" s="2">
        <f t="shared" si="1"/>
        <v>6.8999999999999915</v>
      </c>
      <c r="AE40" s="148">
        <f t="shared" si="2"/>
        <v>-5.0877463054187055E-2</v>
      </c>
    </row>
    <row r="41" spans="15:31" ht="20.25" thickBot="1" x14ac:dyDescent="0.35">
      <c r="O41" s="405" t="s">
        <v>78</v>
      </c>
      <c r="P41" s="405"/>
      <c r="T41" s="101" t="s">
        <v>116</v>
      </c>
      <c r="W41" s="143">
        <v>42381</v>
      </c>
      <c r="X41" s="12">
        <v>129.86000000000001</v>
      </c>
      <c r="Y41" s="12">
        <v>131.66999999999999</v>
      </c>
      <c r="Z41" s="12">
        <v>126.86</v>
      </c>
      <c r="AA41" s="12">
        <v>129.91999999999999</v>
      </c>
      <c r="AB41" s="105">
        <v>4111200</v>
      </c>
      <c r="AC41" s="12">
        <v>129.91999999999999</v>
      </c>
      <c r="AD41" s="2">
        <f t="shared" si="1"/>
        <v>4.8099999999999881</v>
      </c>
      <c r="AE41" s="148">
        <f t="shared" si="2"/>
        <v>1.4682911590128134E-2</v>
      </c>
    </row>
    <row r="42" spans="15:31" ht="15.75" thickTop="1" x14ac:dyDescent="0.25">
      <c r="O42" s="93">
        <v>1.1000000000000001</v>
      </c>
      <c r="P42" s="93">
        <f>O42*$Q$4</f>
        <v>156.15600000000003</v>
      </c>
      <c r="Q42" s="2"/>
      <c r="T42" s="145" t="s">
        <v>101</v>
      </c>
      <c r="U42" s="108">
        <v>139.63</v>
      </c>
      <c r="W42" s="143">
        <v>42380</v>
      </c>
      <c r="X42" s="12">
        <v>129.5</v>
      </c>
      <c r="Y42" s="12">
        <v>129.97</v>
      </c>
      <c r="Z42" s="12">
        <v>125.42</v>
      </c>
      <c r="AA42" s="12">
        <v>128.04</v>
      </c>
      <c r="AB42" s="105">
        <v>3894100</v>
      </c>
      <c r="AC42" s="12">
        <v>128.04</v>
      </c>
      <c r="AD42" s="2">
        <f t="shared" si="1"/>
        <v>4.5499999999999972</v>
      </c>
      <c r="AE42" s="148">
        <f t="shared" si="2"/>
        <v>-1.2480499219968966E-3</v>
      </c>
    </row>
    <row r="43" spans="15:31" x14ac:dyDescent="0.25">
      <c r="O43" s="93">
        <v>1.0900000000000001</v>
      </c>
      <c r="P43" s="93">
        <f t="shared" ref="P43:P62" si="5">O43*$Q$4</f>
        <v>154.73640000000003</v>
      </c>
      <c r="Q43" s="2"/>
      <c r="T43" s="146" t="s">
        <v>102</v>
      </c>
      <c r="U43" s="98">
        <v>140.75</v>
      </c>
      <c r="W43" s="143">
        <v>42377</v>
      </c>
      <c r="X43" s="12">
        <v>130.03</v>
      </c>
      <c r="Y43" s="12">
        <v>133.46</v>
      </c>
      <c r="Z43" s="12">
        <v>128.06</v>
      </c>
      <c r="AA43" s="12">
        <v>128.19999999999999</v>
      </c>
      <c r="AB43" s="105">
        <v>6464100</v>
      </c>
      <c r="AC43" s="12">
        <v>128.19999999999999</v>
      </c>
      <c r="AD43" s="2">
        <f t="shared" si="1"/>
        <v>5.4000000000000057</v>
      </c>
      <c r="AE43" s="148">
        <f t="shared" si="2"/>
        <v>-6.5865943432780183E-3</v>
      </c>
    </row>
    <row r="44" spans="15:31" x14ac:dyDescent="0.25">
      <c r="O44" s="93">
        <v>1.08</v>
      </c>
      <c r="P44" s="93">
        <f t="shared" si="5"/>
        <v>153.31680000000003</v>
      </c>
      <c r="Q44" s="2"/>
      <c r="T44" s="146" t="s">
        <v>103</v>
      </c>
      <c r="U44" s="98" t="s">
        <v>397</v>
      </c>
      <c r="W44" s="143">
        <v>42376</v>
      </c>
      <c r="X44" s="12">
        <v>131.31</v>
      </c>
      <c r="Y44" s="12">
        <v>133.77000000000001</v>
      </c>
      <c r="Z44" s="12">
        <v>128.19</v>
      </c>
      <c r="AA44" s="12">
        <v>129.05000000000001</v>
      </c>
      <c r="AB44" s="105">
        <v>5005600</v>
      </c>
      <c r="AC44" s="12">
        <v>129.05000000000001</v>
      </c>
      <c r="AD44" s="2">
        <f t="shared" si="1"/>
        <v>5.5800000000000125</v>
      </c>
      <c r="AE44" s="148">
        <f t="shared" si="2"/>
        <v>-3.1810338359966828E-2</v>
      </c>
    </row>
    <row r="45" spans="15:31" x14ac:dyDescent="0.25">
      <c r="O45" s="93">
        <v>1.07</v>
      </c>
      <c r="P45" s="93">
        <f t="shared" si="5"/>
        <v>151.89720000000003</v>
      </c>
      <c r="Q45" s="2"/>
      <c r="T45" s="146" t="s">
        <v>104</v>
      </c>
      <c r="U45" s="98" t="s">
        <v>398</v>
      </c>
      <c r="W45" s="143">
        <v>42375</v>
      </c>
      <c r="X45" s="12">
        <v>134.57</v>
      </c>
      <c r="Y45" s="12">
        <v>136.06</v>
      </c>
      <c r="Z45" s="12">
        <v>132.28</v>
      </c>
      <c r="AA45" s="12">
        <v>133.29</v>
      </c>
      <c r="AB45" s="105">
        <v>5082400</v>
      </c>
      <c r="AC45" s="12">
        <v>133.29</v>
      </c>
      <c r="AD45" s="2">
        <f t="shared" si="1"/>
        <v>3.7800000000000011</v>
      </c>
      <c r="AE45" s="148">
        <f t="shared" si="2"/>
        <v>-3.0759162303665044E-2</v>
      </c>
    </row>
    <row r="46" spans="15:31" x14ac:dyDescent="0.25">
      <c r="O46" s="93">
        <v>1.06</v>
      </c>
      <c r="P46" s="93">
        <f t="shared" si="5"/>
        <v>150.47760000000002</v>
      </c>
      <c r="Q46" s="2"/>
      <c r="T46" s="146" t="s">
        <v>105</v>
      </c>
      <c r="U46" s="98">
        <v>178.59</v>
      </c>
      <c r="W46" s="143">
        <v>42374</v>
      </c>
      <c r="X46" s="12">
        <v>143.13999999999999</v>
      </c>
      <c r="Y46" s="12">
        <v>143.30000000000001</v>
      </c>
      <c r="Z46" s="12">
        <v>137.21</v>
      </c>
      <c r="AA46" s="12">
        <v>137.52000000000001</v>
      </c>
      <c r="AB46" s="105">
        <v>3817300</v>
      </c>
      <c r="AC46" s="12">
        <v>137.52000000000001</v>
      </c>
      <c r="AD46" s="2">
        <f t="shared" si="1"/>
        <v>6.0900000000000034</v>
      </c>
      <c r="AE46" s="148">
        <f t="shared" si="2"/>
        <v>-3.3455158841720456E-2</v>
      </c>
    </row>
    <row r="47" spans="15:31" x14ac:dyDescent="0.25">
      <c r="O47" s="93">
        <v>1.05</v>
      </c>
      <c r="P47" s="93">
        <f t="shared" si="5"/>
        <v>149.05800000000002</v>
      </c>
      <c r="Q47" s="2"/>
      <c r="T47" s="146" t="s">
        <v>106</v>
      </c>
      <c r="U47" s="98">
        <v>0.90342199999999995</v>
      </c>
      <c r="W47" s="143">
        <v>42373</v>
      </c>
      <c r="X47" s="12">
        <v>142.07</v>
      </c>
      <c r="Y47" s="12">
        <v>142.35</v>
      </c>
      <c r="Z47" s="12">
        <v>139.88</v>
      </c>
      <c r="AA47" s="12">
        <v>142.28</v>
      </c>
      <c r="AB47" s="105">
        <v>3097000</v>
      </c>
      <c r="AC47" s="12">
        <v>142.28</v>
      </c>
      <c r="AD47" s="2">
        <f t="shared" si="1"/>
        <v>2.4699999999999989</v>
      </c>
      <c r="AE47" s="148">
        <f t="shared" si="2"/>
        <v>-1.9772648983809926E-2</v>
      </c>
    </row>
    <row r="48" spans="15:31" x14ac:dyDescent="0.25">
      <c r="O48" s="93">
        <v>1.04</v>
      </c>
      <c r="P48" s="93">
        <f t="shared" si="5"/>
        <v>147.63840000000002</v>
      </c>
      <c r="Q48" s="2"/>
      <c r="T48" s="146" t="s">
        <v>107</v>
      </c>
      <c r="U48" s="98" t="s">
        <v>134</v>
      </c>
      <c r="W48" s="143">
        <v>42369</v>
      </c>
      <c r="X48" s="12">
        <v>146.58000000000001</v>
      </c>
      <c r="Y48" s="12">
        <v>147.5</v>
      </c>
      <c r="Z48" s="12">
        <v>145.12</v>
      </c>
      <c r="AA48" s="12">
        <v>145.15</v>
      </c>
      <c r="AB48" s="105">
        <v>1967300</v>
      </c>
      <c r="AC48" s="12">
        <v>145.15</v>
      </c>
      <c r="AD48" s="2">
        <f t="shared" si="1"/>
        <v>2.3799999999999955</v>
      </c>
      <c r="AE48" s="148">
        <f t="shared" si="2"/>
        <v>-1.5064124312953786E-2</v>
      </c>
    </row>
    <row r="49" spans="15:31" x14ac:dyDescent="0.25">
      <c r="O49" s="93">
        <v>1.03</v>
      </c>
      <c r="P49" s="93">
        <f t="shared" si="5"/>
        <v>146.21880000000002</v>
      </c>
      <c r="Q49" s="2"/>
      <c r="T49" s="146"/>
      <c r="U49" s="98"/>
      <c r="W49" s="143">
        <v>42368</v>
      </c>
      <c r="X49" s="12">
        <v>147.51</v>
      </c>
      <c r="Y49" s="12">
        <v>148.88999999999999</v>
      </c>
      <c r="Z49" s="12">
        <v>147.12</v>
      </c>
      <c r="AA49" s="12">
        <v>147.37</v>
      </c>
      <c r="AB49" s="105">
        <v>1739600</v>
      </c>
      <c r="AC49" s="12">
        <v>147.37</v>
      </c>
      <c r="AD49" s="2">
        <f t="shared" si="1"/>
        <v>1.7699999999999818</v>
      </c>
      <c r="AE49" s="148">
        <f t="shared" si="2"/>
        <v>-3.8529133432472218E-3</v>
      </c>
    </row>
    <row r="50" spans="15:31" x14ac:dyDescent="0.25">
      <c r="O50" s="93">
        <v>1.02</v>
      </c>
      <c r="P50" s="93">
        <f t="shared" si="5"/>
        <v>144.79920000000001</v>
      </c>
      <c r="Q50" s="2"/>
      <c r="T50" s="146" t="s">
        <v>108</v>
      </c>
      <c r="U50" s="98" t="s">
        <v>399</v>
      </c>
      <c r="W50" s="143">
        <v>42367</v>
      </c>
      <c r="X50" s="12">
        <v>147</v>
      </c>
      <c r="Y50" s="12">
        <v>148.78</v>
      </c>
      <c r="Z50" s="12">
        <v>145.01</v>
      </c>
      <c r="AA50" s="12">
        <v>147.94</v>
      </c>
      <c r="AB50" s="105">
        <v>2253300</v>
      </c>
      <c r="AC50" s="12">
        <v>147.94</v>
      </c>
      <c r="AD50" s="2">
        <f t="shared" si="1"/>
        <v>3.7700000000000102</v>
      </c>
      <c r="AE50" s="148">
        <f t="shared" si="2"/>
        <v>1.0864366245302293E-2</v>
      </c>
    </row>
    <row r="51" spans="15:31" x14ac:dyDescent="0.25">
      <c r="O51" s="93">
        <v>1.01</v>
      </c>
      <c r="P51" s="93">
        <f t="shared" si="5"/>
        <v>143.37960000000001</v>
      </c>
      <c r="Q51" s="2"/>
      <c r="T51" s="146" t="s">
        <v>109</v>
      </c>
      <c r="U51" s="98" t="s">
        <v>258</v>
      </c>
      <c r="W51" s="143">
        <v>42366</v>
      </c>
      <c r="X51" s="12">
        <v>145.9</v>
      </c>
      <c r="Y51" s="12">
        <v>146.4</v>
      </c>
      <c r="Z51" s="12">
        <v>143.93</v>
      </c>
      <c r="AA51" s="12">
        <v>146.35</v>
      </c>
      <c r="AB51" s="105">
        <v>1387300</v>
      </c>
      <c r="AC51" s="12">
        <v>146.35</v>
      </c>
      <c r="AD51" s="2">
        <f t="shared" si="1"/>
        <v>2.4699999999999989</v>
      </c>
      <c r="AE51" s="148">
        <f t="shared" si="2"/>
        <v>2.0503007107719462E-4</v>
      </c>
    </row>
    <row r="52" spans="15:31" x14ac:dyDescent="0.25">
      <c r="O52" s="93">
        <v>1</v>
      </c>
      <c r="P52" s="93">
        <f t="shared" si="5"/>
        <v>141.96</v>
      </c>
      <c r="Q52" s="2"/>
      <c r="T52" s="146" t="s">
        <v>110</v>
      </c>
      <c r="U52" s="100">
        <v>3115229</v>
      </c>
      <c r="W52" s="143">
        <v>42362</v>
      </c>
      <c r="X52" s="12">
        <v>146.41</v>
      </c>
      <c r="Y52" s="12">
        <v>147.29</v>
      </c>
      <c r="Z52" s="12">
        <v>145.72</v>
      </c>
      <c r="AA52" s="12">
        <v>146.32</v>
      </c>
      <c r="AB52" s="105">
        <v>743600</v>
      </c>
      <c r="AC52" s="12">
        <v>146.32</v>
      </c>
      <c r="AD52" s="2">
        <f t="shared" si="1"/>
        <v>1.5699999999999932</v>
      </c>
      <c r="AE52" s="148">
        <f t="shared" si="2"/>
        <v>-1.29683980615658E-3</v>
      </c>
    </row>
    <row r="53" spans="15:31" x14ac:dyDescent="0.25">
      <c r="O53" s="93">
        <v>0.99</v>
      </c>
      <c r="P53" s="93">
        <f t="shared" si="5"/>
        <v>140.54040000000001</v>
      </c>
      <c r="Q53" s="2"/>
      <c r="T53" s="146" t="s">
        <v>113</v>
      </c>
      <c r="U53" s="100">
        <v>4802370</v>
      </c>
      <c r="W53" s="143">
        <v>42361</v>
      </c>
      <c r="X53" s="12">
        <v>146.02000000000001</v>
      </c>
      <c r="Y53" s="12">
        <v>146.66</v>
      </c>
      <c r="Z53" s="12">
        <v>144.38999999999999</v>
      </c>
      <c r="AA53" s="12">
        <v>146.51</v>
      </c>
      <c r="AB53" s="105">
        <v>1617000</v>
      </c>
      <c r="AC53" s="12">
        <v>146.51</v>
      </c>
      <c r="AD53" s="2">
        <f t="shared" si="1"/>
        <v>2.2700000000000102</v>
      </c>
      <c r="AE53" s="148">
        <f t="shared" si="2"/>
        <v>9.7174362508614109E-3</v>
      </c>
    </row>
    <row r="54" spans="15:31" x14ac:dyDescent="0.25">
      <c r="O54" s="93">
        <v>0.98</v>
      </c>
      <c r="P54" s="93">
        <f t="shared" si="5"/>
        <v>139.1208</v>
      </c>
      <c r="Q54" s="2"/>
      <c r="T54" s="146" t="s">
        <v>111</v>
      </c>
      <c r="U54" s="98" t="s">
        <v>400</v>
      </c>
      <c r="W54" s="143">
        <v>42360</v>
      </c>
      <c r="X54" s="12">
        <v>147.22999999999999</v>
      </c>
      <c r="Y54" s="12">
        <v>147.22999999999999</v>
      </c>
      <c r="Z54" s="12">
        <v>142.76</v>
      </c>
      <c r="AA54" s="12">
        <v>145.1</v>
      </c>
      <c r="AB54" s="105">
        <v>2168400</v>
      </c>
      <c r="AC54" s="12">
        <v>145.1</v>
      </c>
      <c r="AD54" s="2">
        <f t="shared" si="1"/>
        <v>4.4699999999999989</v>
      </c>
      <c r="AE54" s="148">
        <f t="shared" si="2"/>
        <v>-4.8010973936900569E-3</v>
      </c>
    </row>
    <row r="55" spans="15:31" x14ac:dyDescent="0.25">
      <c r="O55" s="93">
        <v>0.97</v>
      </c>
      <c r="P55" s="93">
        <f t="shared" si="5"/>
        <v>137.7012</v>
      </c>
      <c r="T55" s="146" t="s">
        <v>114</v>
      </c>
      <c r="U55" s="98">
        <v>29.25</v>
      </c>
      <c r="W55" s="143">
        <v>42359</v>
      </c>
      <c r="X55" s="12">
        <v>143.1</v>
      </c>
      <c r="Y55" s="12">
        <v>146</v>
      </c>
      <c r="Z55" s="12">
        <v>141.86000000000001</v>
      </c>
      <c r="AA55" s="12">
        <v>145.80000000000001</v>
      </c>
      <c r="AB55" s="105">
        <v>2662700</v>
      </c>
      <c r="AC55" s="12">
        <v>145.80000000000001</v>
      </c>
      <c r="AD55" s="2">
        <f t="shared" si="1"/>
        <v>4.1399999999999864</v>
      </c>
      <c r="AE55" s="148">
        <f t="shared" si="2"/>
        <v>3.9942938659058624E-2</v>
      </c>
    </row>
    <row r="56" spans="15:31" x14ac:dyDescent="0.25">
      <c r="O56" s="93">
        <v>0.96</v>
      </c>
      <c r="P56" s="93">
        <f t="shared" si="5"/>
        <v>136.2816</v>
      </c>
      <c r="T56" s="146" t="s">
        <v>115</v>
      </c>
      <c r="U56" s="98">
        <v>4.8499999999999996</v>
      </c>
      <c r="W56" s="143">
        <v>42356</v>
      </c>
      <c r="X56" s="12">
        <v>140.22999999999999</v>
      </c>
      <c r="Y56" s="12">
        <v>141.91</v>
      </c>
      <c r="Z56" s="12">
        <v>138.55000000000001</v>
      </c>
      <c r="AA56" s="12">
        <v>140.19999999999999</v>
      </c>
      <c r="AB56" s="105">
        <v>5196400</v>
      </c>
      <c r="AC56" s="12">
        <v>140.19999999999999</v>
      </c>
      <c r="AD56" s="2">
        <f t="shared" si="1"/>
        <v>3.3599999999999852</v>
      </c>
      <c r="AE56" s="148">
        <f t="shared" si="2"/>
        <v>-1.9931662870159572E-3</v>
      </c>
    </row>
    <row r="57" spans="15:31" x14ac:dyDescent="0.25">
      <c r="O57" s="93">
        <v>0.95</v>
      </c>
      <c r="P57" s="93">
        <f t="shared" si="5"/>
        <v>134.86199999999999</v>
      </c>
      <c r="T57" s="146" t="s">
        <v>112</v>
      </c>
      <c r="U57" s="98" t="s">
        <v>317</v>
      </c>
      <c r="W57" s="143">
        <v>42355</v>
      </c>
      <c r="X57" s="12">
        <v>144.93</v>
      </c>
      <c r="Y57" s="12">
        <v>145.5</v>
      </c>
      <c r="Z57" s="12">
        <v>140.41</v>
      </c>
      <c r="AA57" s="12">
        <v>140.47999999999999</v>
      </c>
      <c r="AB57" s="105">
        <v>2437800</v>
      </c>
      <c r="AC57" s="12">
        <v>140.47999999999999</v>
      </c>
      <c r="AD57" s="2">
        <f t="shared" si="1"/>
        <v>5.0900000000000034</v>
      </c>
      <c r="AE57" s="148">
        <f t="shared" si="2"/>
        <v>-2.3630803447317272E-2</v>
      </c>
    </row>
    <row r="58" spans="15:31" x14ac:dyDescent="0.25">
      <c r="O58" s="93">
        <v>0.94</v>
      </c>
      <c r="P58" s="93">
        <f t="shared" si="5"/>
        <v>133.44239999999999</v>
      </c>
      <c r="W58" s="143">
        <v>42354</v>
      </c>
      <c r="X58" s="12">
        <v>143.16999999999999</v>
      </c>
      <c r="Y58" s="12">
        <v>144.28</v>
      </c>
      <c r="Z58" s="12">
        <v>140.4</v>
      </c>
      <c r="AA58" s="12">
        <v>143.88</v>
      </c>
      <c r="AB58" s="105">
        <v>2964400</v>
      </c>
      <c r="AC58" s="12">
        <v>143.88</v>
      </c>
      <c r="AD58" s="2">
        <f t="shared" si="1"/>
        <v>3.8799999999999955</v>
      </c>
      <c r="AE58" s="148" t="e">
        <f t="shared" si="2"/>
        <v>#DIV/0!</v>
      </c>
    </row>
    <row r="59" spans="15:31" x14ac:dyDescent="0.25">
      <c r="O59" s="93">
        <v>0.93</v>
      </c>
      <c r="P59" s="93">
        <f t="shared" si="5"/>
        <v>132.02280000000002</v>
      </c>
      <c r="W59" s="143">
        <v>42354</v>
      </c>
      <c r="X59" s="12" t="s">
        <v>243</v>
      </c>
      <c r="Y59" s="12"/>
      <c r="Z59" s="12"/>
      <c r="AA59" s="12"/>
      <c r="AB59" s="105"/>
      <c r="AC59" s="12"/>
      <c r="AD59" s="2">
        <f t="shared" si="1"/>
        <v>0</v>
      </c>
      <c r="AE59" s="148">
        <f t="shared" si="2"/>
        <v>-1</v>
      </c>
    </row>
    <row r="60" spans="15:31" x14ac:dyDescent="0.25">
      <c r="O60" s="93">
        <v>0.92</v>
      </c>
      <c r="P60" s="93">
        <f t="shared" si="5"/>
        <v>130.60320000000002</v>
      </c>
      <c r="W60" s="143">
        <v>42353</v>
      </c>
      <c r="X60" s="12">
        <v>142.68</v>
      </c>
      <c r="Y60" s="12">
        <v>144.22999999999999</v>
      </c>
      <c r="Z60" s="12">
        <v>141.31</v>
      </c>
      <c r="AA60" s="12">
        <v>143.27000000000001</v>
      </c>
      <c r="AB60" s="105">
        <v>3525000</v>
      </c>
      <c r="AC60" s="12">
        <v>142.83000000000001</v>
      </c>
      <c r="AD60" s="2">
        <f t="shared" si="1"/>
        <v>2.9199999999999875</v>
      </c>
      <c r="AE60" s="148">
        <f t="shared" si="2"/>
        <v>5.3494756106147179E-3</v>
      </c>
    </row>
    <row r="61" spans="15:31" x14ac:dyDescent="0.25">
      <c r="O61" s="93">
        <v>0.91</v>
      </c>
      <c r="P61" s="93">
        <f t="shared" si="5"/>
        <v>129.18360000000001</v>
      </c>
      <c r="W61" s="143">
        <v>42352</v>
      </c>
      <c r="X61" s="12">
        <v>144.13999999999999</v>
      </c>
      <c r="Y61" s="12">
        <v>145.36000000000001</v>
      </c>
      <c r="Z61" s="12">
        <v>141.24</v>
      </c>
      <c r="AA61" s="12">
        <v>142.51</v>
      </c>
      <c r="AB61" s="105">
        <v>3699300</v>
      </c>
      <c r="AC61" s="12">
        <v>142.07</v>
      </c>
      <c r="AD61" s="2">
        <f t="shared" si="1"/>
        <v>4.1200000000000045</v>
      </c>
      <c r="AE61" s="148">
        <f t="shared" si="2"/>
        <v>-1.3265731351576604E-2</v>
      </c>
    </row>
    <row r="62" spans="15:31" x14ac:dyDescent="0.25">
      <c r="O62" s="93">
        <v>0.9</v>
      </c>
      <c r="P62" s="93">
        <f t="shared" si="5"/>
        <v>127.76400000000001</v>
      </c>
      <c r="W62" s="143">
        <v>42349</v>
      </c>
      <c r="X62" s="12">
        <v>144.62</v>
      </c>
      <c r="Y62" s="12">
        <v>147.72</v>
      </c>
      <c r="Z62" s="12">
        <v>144.30000000000001</v>
      </c>
      <c r="AA62" s="12">
        <v>144.41999999999999</v>
      </c>
      <c r="AB62" s="105">
        <v>2777700</v>
      </c>
      <c r="AC62" s="12">
        <v>143.97999999999999</v>
      </c>
      <c r="AD62" s="2">
        <f t="shared" si="1"/>
        <v>3.4199999999999875</v>
      </c>
      <c r="AE62" s="148">
        <f t="shared" si="2"/>
        <v>-1.9744008714597028E-2</v>
      </c>
    </row>
    <row r="63" spans="15:31" x14ac:dyDescent="0.25">
      <c r="W63" s="143">
        <v>42348</v>
      </c>
      <c r="X63" s="12">
        <v>146.11000000000001</v>
      </c>
      <c r="Y63" s="12">
        <v>149.44</v>
      </c>
      <c r="Z63" s="12">
        <v>145.19</v>
      </c>
      <c r="AA63" s="12">
        <v>147.33000000000001</v>
      </c>
      <c r="AB63" s="105">
        <v>3307800</v>
      </c>
      <c r="AC63" s="12">
        <v>146.88</v>
      </c>
      <c r="AD63" s="2">
        <f t="shared" si="1"/>
        <v>4.25</v>
      </c>
      <c r="AE63" s="148">
        <f t="shared" si="2"/>
        <v>1.1570247933884392E-2</v>
      </c>
    </row>
    <row r="64" spans="15:31" x14ac:dyDescent="0.25">
      <c r="W64" s="143">
        <v>42347</v>
      </c>
      <c r="X64" s="12">
        <v>147.13999999999999</v>
      </c>
      <c r="Y64" s="12">
        <v>148</v>
      </c>
      <c r="Z64" s="12">
        <v>144.41999999999999</v>
      </c>
      <c r="AA64" s="12">
        <v>145.65</v>
      </c>
      <c r="AB64" s="105">
        <v>3080300</v>
      </c>
      <c r="AC64" s="12">
        <v>145.19999999999999</v>
      </c>
      <c r="AD64" s="2">
        <f t="shared" si="1"/>
        <v>3.5800000000000125</v>
      </c>
      <c r="AE64" s="148">
        <f t="shared" si="2"/>
        <v>-1.4457340663816098E-2</v>
      </c>
    </row>
    <row r="65" spans="23:31" x14ac:dyDescent="0.25">
      <c r="W65" s="143">
        <v>42346</v>
      </c>
      <c r="X65" s="12">
        <v>146.84</v>
      </c>
      <c r="Y65" s="12">
        <v>148.59</v>
      </c>
      <c r="Z65" s="12">
        <v>145.77000000000001</v>
      </c>
      <c r="AA65" s="12">
        <v>147.78</v>
      </c>
      <c r="AB65" s="105">
        <v>3456000</v>
      </c>
      <c r="AC65" s="12">
        <v>147.33000000000001</v>
      </c>
      <c r="AD65" s="2">
        <f t="shared" si="1"/>
        <v>2.8199999999999932</v>
      </c>
      <c r="AE65" s="148">
        <f t="shared" si="2"/>
        <v>-7.0095032688548553E-3</v>
      </c>
    </row>
    <row r="66" spans="23:31" x14ac:dyDescent="0.25">
      <c r="W66" s="143">
        <v>42345</v>
      </c>
      <c r="X66" s="12">
        <v>146.69</v>
      </c>
      <c r="Y66" s="12">
        <v>149.72</v>
      </c>
      <c r="Z66" s="12">
        <v>145.55000000000001</v>
      </c>
      <c r="AA66" s="12">
        <v>148.83000000000001</v>
      </c>
      <c r="AB66" s="105">
        <v>4476900</v>
      </c>
      <c r="AC66" s="12">
        <v>148.37</v>
      </c>
      <c r="AD66" s="2">
        <f t="shared" si="1"/>
        <v>4.1699999999999875</v>
      </c>
      <c r="AE66" s="148">
        <f t="shared" si="2"/>
        <v>8.5650193732580426E-3</v>
      </c>
    </row>
    <row r="67" spans="23:31" x14ac:dyDescent="0.25">
      <c r="W67" s="143">
        <v>42342</v>
      </c>
      <c r="X67" s="12">
        <v>144.80000000000001</v>
      </c>
      <c r="Y67" s="12">
        <v>147.88999999999999</v>
      </c>
      <c r="Z67" s="12">
        <v>143.24</v>
      </c>
      <c r="AA67" s="12">
        <v>147.56</v>
      </c>
      <c r="AB67" s="105">
        <v>6032900</v>
      </c>
      <c r="AC67" s="12">
        <v>147.11000000000001</v>
      </c>
      <c r="AD67" s="2">
        <f t="shared" ref="AD67:AD68" si="6">Y67-Z67</f>
        <v>4.6499999999999773</v>
      </c>
      <c r="AE67" s="148">
        <f t="shared" ref="AE67" si="7">AC67/AC68-1</f>
        <v>1.9190799501177747E-2</v>
      </c>
    </row>
    <row r="68" spans="23:31" x14ac:dyDescent="0.25">
      <c r="W68" s="143">
        <v>42341</v>
      </c>
      <c r="X68" s="12">
        <v>144.86000000000001</v>
      </c>
      <c r="Y68" s="12">
        <v>146.86000000000001</v>
      </c>
      <c r="Z68" s="12">
        <v>142.88</v>
      </c>
      <c r="AA68" s="12">
        <v>144.78</v>
      </c>
      <c r="AB68" s="105">
        <v>12066100</v>
      </c>
      <c r="AC68" s="12">
        <v>144.34</v>
      </c>
      <c r="AD68" s="2">
        <f t="shared" si="6"/>
        <v>3.9800000000000182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O2" s="13" t="s">
        <v>57</v>
      </c>
      <c r="Q2">
        <f>C11-H11</f>
        <v>30</v>
      </c>
      <c r="T2" s="1"/>
      <c r="W2" s="143">
        <v>42438</v>
      </c>
      <c r="X2" s="12">
        <v>46.31</v>
      </c>
      <c r="Y2" s="12">
        <v>46.94</v>
      </c>
      <c r="Z2" s="12">
        <v>46.22</v>
      </c>
      <c r="AA2" s="12">
        <v>46.74</v>
      </c>
      <c r="AB2" s="105">
        <v>8448900</v>
      </c>
      <c r="AC2" s="12">
        <v>46.74</v>
      </c>
      <c r="AD2" s="2">
        <f>Y2-Z2</f>
        <v>0.71999999999999886</v>
      </c>
      <c r="AE2" s="148">
        <f>AC2/AC3-1</f>
        <v>1.1250540891388994E-2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42437</v>
      </c>
      <c r="X3" s="12">
        <v>46.71</v>
      </c>
      <c r="Y3" s="12">
        <v>47.1</v>
      </c>
      <c r="Z3" s="12">
        <v>46.01</v>
      </c>
      <c r="AA3" s="12">
        <v>46.22</v>
      </c>
      <c r="AB3" s="105">
        <v>13501300</v>
      </c>
      <c r="AC3" s="12">
        <v>46.22</v>
      </c>
      <c r="AD3" s="2">
        <f t="shared" ref="AD3:AD66" si="0">Y3-Z3</f>
        <v>1.0900000000000034</v>
      </c>
      <c r="AE3" s="148">
        <f t="shared" ref="AE3:AE66" si="1">AC3/AC4-1</f>
        <v>-4.484397602810497E-2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46.74</v>
      </c>
      <c r="T4" s="173"/>
      <c r="W4" s="143">
        <v>42436</v>
      </c>
      <c r="X4" s="12">
        <v>48.24</v>
      </c>
      <c r="Y4" s="12">
        <v>48.48</v>
      </c>
      <c r="Z4" s="12">
        <v>47.85</v>
      </c>
      <c r="AA4" s="12">
        <v>48.39</v>
      </c>
      <c r="AB4" s="105">
        <v>7922300</v>
      </c>
      <c r="AC4" s="12">
        <v>48.39</v>
      </c>
      <c r="AD4" s="2">
        <f t="shared" si="0"/>
        <v>0.62999999999999545</v>
      </c>
      <c r="AE4" s="148">
        <f t="shared" si="1"/>
        <v>-5.7530306143415144E-3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1402.2</v>
      </c>
      <c r="W5" s="143">
        <v>42433</v>
      </c>
      <c r="X5" s="12">
        <v>49.06</v>
      </c>
      <c r="Y5" s="12">
        <v>49.1</v>
      </c>
      <c r="Z5" s="12">
        <v>48.47</v>
      </c>
      <c r="AA5" s="12">
        <v>48.67</v>
      </c>
      <c r="AB5" s="105">
        <v>8512300</v>
      </c>
      <c r="AC5" s="12">
        <v>48.67</v>
      </c>
      <c r="AD5" s="2">
        <f t="shared" si="0"/>
        <v>0.63000000000000256</v>
      </c>
      <c r="AE5" s="148">
        <f t="shared" si="1"/>
        <v>-2.4595203935232623E-3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42432</v>
      </c>
      <c r="X6" s="12">
        <v>48.59</v>
      </c>
      <c r="Y6" s="12">
        <v>49.01</v>
      </c>
      <c r="Z6" s="12">
        <v>48.35</v>
      </c>
      <c r="AA6" s="12">
        <v>48.79</v>
      </c>
      <c r="AB6" s="105">
        <v>8835200</v>
      </c>
      <c r="AC6" s="12">
        <v>48.79</v>
      </c>
      <c r="AD6" s="2">
        <f t="shared" si="0"/>
        <v>0.65999999999999659</v>
      </c>
      <c r="AE6" s="148">
        <f t="shared" si="1"/>
        <v>4.9433573635426775E-3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143.70000000000005</v>
      </c>
      <c r="R7" s="211"/>
      <c r="W7" s="143">
        <v>42431</v>
      </c>
      <c r="X7" s="12">
        <v>48.1</v>
      </c>
      <c r="Y7" s="12">
        <v>48.58</v>
      </c>
      <c r="Z7" s="12">
        <v>47.61</v>
      </c>
      <c r="AA7" s="12">
        <v>48.55</v>
      </c>
      <c r="AB7" s="105">
        <v>8922500</v>
      </c>
      <c r="AC7" s="12">
        <v>48.55</v>
      </c>
      <c r="AD7" s="2">
        <f t="shared" si="0"/>
        <v>0.96999999999999886</v>
      </c>
      <c r="AE7" s="148">
        <f t="shared" si="1"/>
        <v>-7.1574642126789323E-3</v>
      </c>
    </row>
    <row r="8" spans="1:31" x14ac:dyDescent="0.25">
      <c r="O8" s="13" t="s">
        <v>90</v>
      </c>
      <c r="Q8" s="148">
        <f>(Q4-Q3)/Q3</f>
        <v>0.11418355184743739</v>
      </c>
      <c r="W8" s="143">
        <v>42430</v>
      </c>
      <c r="X8" s="12">
        <v>48.73</v>
      </c>
      <c r="Y8" s="12">
        <v>49.25</v>
      </c>
      <c r="Z8" s="12">
        <v>48.42</v>
      </c>
      <c r="AA8" s="12">
        <v>48.9</v>
      </c>
      <c r="AB8" s="105">
        <v>7845300</v>
      </c>
      <c r="AC8" s="12">
        <v>48.9</v>
      </c>
      <c r="AD8" s="2">
        <f t="shared" si="0"/>
        <v>0.82999999999999829</v>
      </c>
      <c r="AE8" s="148">
        <f t="shared" si="1"/>
        <v>1.3681592039801016E-2</v>
      </c>
    </row>
    <row r="9" spans="1:31" x14ac:dyDescent="0.25">
      <c r="W9" s="143">
        <v>42429</v>
      </c>
      <c r="X9" s="12">
        <v>47.75</v>
      </c>
      <c r="Y9" s="12">
        <v>48.8</v>
      </c>
      <c r="Z9" s="12">
        <v>47.4</v>
      </c>
      <c r="AA9" s="12">
        <v>48.24</v>
      </c>
      <c r="AB9" s="105">
        <v>7907200</v>
      </c>
      <c r="AC9" s="12">
        <v>48.24</v>
      </c>
      <c r="AD9" s="2">
        <f t="shared" si="0"/>
        <v>1.3999999999999986</v>
      </c>
      <c r="AE9" s="148">
        <f t="shared" si="1"/>
        <v>7.9398244880903857E-3</v>
      </c>
    </row>
    <row r="10" spans="1:31" x14ac:dyDescent="0.25">
      <c r="W10" s="143">
        <v>42426</v>
      </c>
      <c r="X10" s="12">
        <v>49.35</v>
      </c>
      <c r="Y10" s="12">
        <v>49.45</v>
      </c>
      <c r="Z10" s="12">
        <v>47.7</v>
      </c>
      <c r="AA10" s="12">
        <v>47.86</v>
      </c>
      <c r="AB10" s="105">
        <v>12275400</v>
      </c>
      <c r="AC10" s="12">
        <v>47.86</v>
      </c>
      <c r="AD10" s="2">
        <f t="shared" si="0"/>
        <v>1.75</v>
      </c>
      <c r="AE10" s="148">
        <f t="shared" si="1"/>
        <v>-2.7235772357723675E-2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42425</v>
      </c>
      <c r="X11" s="12">
        <v>49.08</v>
      </c>
      <c r="Y11" s="12">
        <v>49.45</v>
      </c>
      <c r="Z11" s="12">
        <v>48.67</v>
      </c>
      <c r="AA11" s="12">
        <v>49.2</v>
      </c>
      <c r="AB11" s="105">
        <v>7523200</v>
      </c>
      <c r="AC11" s="12">
        <v>49.2</v>
      </c>
      <c r="AD11" s="2">
        <f t="shared" si="0"/>
        <v>0.78000000000000114</v>
      </c>
      <c r="AE11" s="148">
        <f t="shared" si="1"/>
        <v>5.312627707396933E-3</v>
      </c>
    </row>
    <row r="12" spans="1:31" x14ac:dyDescent="0.25">
      <c r="W12" s="143">
        <v>42424</v>
      </c>
      <c r="X12" s="12">
        <v>48.45</v>
      </c>
      <c r="Y12" s="12">
        <v>49.05</v>
      </c>
      <c r="Z12" s="12">
        <v>47.79</v>
      </c>
      <c r="AA12" s="12">
        <v>48.94</v>
      </c>
      <c r="AB12" s="105">
        <v>9035600</v>
      </c>
      <c r="AC12" s="12">
        <v>48.94</v>
      </c>
      <c r="AD12" s="2">
        <f t="shared" si="0"/>
        <v>1.259999999999998</v>
      </c>
      <c r="AE12" s="148">
        <f t="shared" si="1"/>
        <v>-2.0429009193068115E-4</v>
      </c>
    </row>
    <row r="13" spans="1:31" x14ac:dyDescent="0.25">
      <c r="W13" s="143">
        <v>42423</v>
      </c>
      <c r="X13" s="12">
        <v>48.47</v>
      </c>
      <c r="Y13" s="12">
        <v>49.45</v>
      </c>
      <c r="Z13" s="12">
        <v>48.45</v>
      </c>
      <c r="AA13" s="12">
        <v>48.95</v>
      </c>
      <c r="AB13" s="105">
        <v>9388000</v>
      </c>
      <c r="AC13" s="12">
        <v>48.95</v>
      </c>
      <c r="AD13" s="2">
        <f t="shared" si="0"/>
        <v>1</v>
      </c>
      <c r="AE13" s="148">
        <f t="shared" si="1"/>
        <v>2.6628430970914163E-3</v>
      </c>
    </row>
    <row r="14" spans="1:31" x14ac:dyDescent="0.25">
      <c r="W14" s="143">
        <v>42422</v>
      </c>
      <c r="X14" s="12">
        <v>46.72</v>
      </c>
      <c r="Y14" s="12">
        <v>48.91</v>
      </c>
      <c r="Z14" s="12">
        <v>46.72</v>
      </c>
      <c r="AA14" s="12">
        <v>48.82</v>
      </c>
      <c r="AB14" s="105">
        <v>12741900</v>
      </c>
      <c r="AC14" s="12">
        <v>48.82</v>
      </c>
      <c r="AD14" s="2">
        <f t="shared" si="0"/>
        <v>2.1899999999999977</v>
      </c>
      <c r="AE14" s="148">
        <f t="shared" si="1"/>
        <v>4.4948630136986356E-2</v>
      </c>
    </row>
    <row r="15" spans="1:31" x14ac:dyDescent="0.25">
      <c r="W15" s="143">
        <v>42419</v>
      </c>
      <c r="X15" s="12">
        <v>46.46</v>
      </c>
      <c r="Y15" s="12">
        <v>47.15</v>
      </c>
      <c r="Z15" s="12">
        <v>46.24</v>
      </c>
      <c r="AA15" s="12">
        <v>46.72</v>
      </c>
      <c r="AB15" s="105">
        <v>10572300</v>
      </c>
      <c r="AC15" s="12">
        <v>46.72</v>
      </c>
      <c r="AD15" s="2">
        <f t="shared" si="0"/>
        <v>0.90999999999999659</v>
      </c>
      <c r="AE15" s="148">
        <f t="shared" si="1"/>
        <v>5.5962117950925094E-3</v>
      </c>
    </row>
    <row r="16" spans="1:31" x14ac:dyDescent="0.25">
      <c r="W16" s="143">
        <v>42418</v>
      </c>
      <c r="X16" s="12">
        <v>46.4</v>
      </c>
      <c r="Y16" s="12">
        <v>46.68</v>
      </c>
      <c r="Z16" s="12">
        <v>45.98</v>
      </c>
      <c r="AA16" s="12">
        <v>46.46</v>
      </c>
      <c r="AB16" s="105">
        <v>10915500</v>
      </c>
      <c r="AC16" s="12">
        <v>46.46</v>
      </c>
      <c r="AD16" s="2">
        <f t="shared" si="0"/>
        <v>0.70000000000000284</v>
      </c>
      <c r="AE16" s="148">
        <f t="shared" si="1"/>
        <v>7.8091106290671952E-3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42417</v>
      </c>
      <c r="X17" s="12">
        <v>44.98</v>
      </c>
      <c r="Y17" s="12">
        <v>46.27</v>
      </c>
      <c r="Z17" s="12">
        <v>44.95</v>
      </c>
      <c r="AA17" s="12">
        <v>46.1</v>
      </c>
      <c r="AB17" s="105">
        <v>10328100</v>
      </c>
      <c r="AC17" s="12">
        <v>46.1</v>
      </c>
      <c r="AD17" s="2">
        <f t="shared" si="0"/>
        <v>1.3200000000000003</v>
      </c>
      <c r="AE17" s="148">
        <f t="shared" si="1"/>
        <v>3.4096007178106902E-2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42416</v>
      </c>
      <c r="X18" s="12">
        <v>43.49</v>
      </c>
      <c r="Y18" s="12">
        <v>44.67</v>
      </c>
      <c r="Z18" s="12">
        <v>43.09</v>
      </c>
      <c r="AA18" s="12">
        <v>44.58</v>
      </c>
      <c r="AB18" s="105">
        <v>8095400</v>
      </c>
      <c r="AC18" s="12">
        <v>44.58</v>
      </c>
      <c r="AD18" s="2">
        <f t="shared" si="0"/>
        <v>1.5799999999999983</v>
      </c>
      <c r="AE18" s="148">
        <f t="shared" si="1"/>
        <v>3.6985345429169536E-2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42412</v>
      </c>
      <c r="X19" s="12">
        <v>43</v>
      </c>
      <c r="Y19" s="12">
        <v>43.14</v>
      </c>
      <c r="Z19" s="12">
        <v>42.14</v>
      </c>
      <c r="AA19" s="12">
        <v>42.99</v>
      </c>
      <c r="AB19" s="105">
        <v>7552700</v>
      </c>
      <c r="AC19" s="12">
        <v>42.99</v>
      </c>
      <c r="AD19" s="2">
        <f t="shared" si="0"/>
        <v>1</v>
      </c>
      <c r="AE19" s="148" t="e">
        <f t="shared" si="1"/>
        <v>#DIV/0!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42412</v>
      </c>
      <c r="X20" s="12" t="s">
        <v>270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42411</v>
      </c>
      <c r="X21" s="12">
        <v>42.62</v>
      </c>
      <c r="Y21" s="12">
        <v>43.52</v>
      </c>
      <c r="Z21" s="12">
        <v>42.14</v>
      </c>
      <c r="AA21" s="12">
        <v>42.7</v>
      </c>
      <c r="AB21" s="105">
        <v>10019500</v>
      </c>
      <c r="AC21" s="12">
        <v>42.57</v>
      </c>
      <c r="AD21" s="2">
        <f t="shared" si="0"/>
        <v>1.3800000000000026</v>
      </c>
      <c r="AE21" s="148">
        <f t="shared" si="1"/>
        <v>-1.2984001854857485E-2</v>
      </c>
    </row>
    <row r="22" spans="2:31" x14ac:dyDescent="0.25">
      <c r="B22" s="216">
        <v>42438</v>
      </c>
      <c r="C22" s="12">
        <v>30</v>
      </c>
      <c r="D22" s="43">
        <v>41.95</v>
      </c>
      <c r="E22" s="43">
        <v>46.22</v>
      </c>
      <c r="F22" s="43">
        <f>C22*(E22-D22)</f>
        <v>128.09999999999988</v>
      </c>
      <c r="G22" s="43">
        <f>D22*C22</f>
        <v>1258.5</v>
      </c>
      <c r="H22" s="269">
        <f>(E22-D22)/D22</f>
        <v>0.10178784266984495</v>
      </c>
      <c r="I22" s="43"/>
      <c r="W22" s="143">
        <v>42410</v>
      </c>
      <c r="X22" s="12">
        <v>42.63</v>
      </c>
      <c r="Y22" s="12">
        <v>43.78</v>
      </c>
      <c r="Z22" s="12">
        <v>42.47</v>
      </c>
      <c r="AA22" s="12">
        <v>43.27</v>
      </c>
      <c r="AB22" s="105">
        <v>11356200</v>
      </c>
      <c r="AC22" s="12">
        <v>43.13</v>
      </c>
      <c r="AD22" s="2">
        <f t="shared" si="0"/>
        <v>1.3100000000000023</v>
      </c>
      <c r="AE22" s="148">
        <f t="shared" si="1"/>
        <v>3.0585424133811268E-2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42409</v>
      </c>
      <c r="X23" s="12">
        <v>40.35</v>
      </c>
      <c r="Y23" s="12">
        <v>42.49</v>
      </c>
      <c r="Z23" s="12">
        <v>40.03</v>
      </c>
      <c r="AA23" s="12">
        <v>41.98</v>
      </c>
      <c r="AB23" s="105">
        <v>12082600</v>
      </c>
      <c r="AC23" s="12">
        <v>41.85</v>
      </c>
      <c r="AD23" s="2">
        <f t="shared" si="0"/>
        <v>2.4600000000000009</v>
      </c>
      <c r="AE23" s="148">
        <f t="shared" si="1"/>
        <v>2.9773622047244208E-2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42408</v>
      </c>
      <c r="X24" s="12">
        <v>41.31</v>
      </c>
      <c r="Y24" s="12">
        <v>41.6</v>
      </c>
      <c r="Z24" s="12">
        <v>40.049999999999997</v>
      </c>
      <c r="AA24" s="12">
        <v>40.770000000000003</v>
      </c>
      <c r="AB24" s="105">
        <v>15450900</v>
      </c>
      <c r="AC24" s="12">
        <v>40.64</v>
      </c>
      <c r="AD24" s="2">
        <f t="shared" si="0"/>
        <v>1.5500000000000043</v>
      </c>
      <c r="AE24" s="148">
        <f t="shared" si="1"/>
        <v>-2.9608404966571245E-2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42405</v>
      </c>
      <c r="X25" s="12">
        <v>44.14</v>
      </c>
      <c r="Y25" s="12">
        <v>44.55</v>
      </c>
      <c r="Z25" s="12">
        <v>41.67</v>
      </c>
      <c r="AA25" s="12">
        <v>42.01</v>
      </c>
      <c r="AB25" s="105">
        <v>14206000</v>
      </c>
      <c r="AC25" s="12">
        <v>41.88</v>
      </c>
      <c r="AD25" s="2">
        <f t="shared" si="0"/>
        <v>2.8799999999999955</v>
      </c>
      <c r="AE25" s="148">
        <f t="shared" si="1"/>
        <v>-4.6013667425968019E-2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42404</v>
      </c>
      <c r="X26" s="12">
        <v>43.78</v>
      </c>
      <c r="Y26" s="12">
        <v>44.37</v>
      </c>
      <c r="Z26" s="12">
        <v>43.36</v>
      </c>
      <c r="AA26" s="12">
        <v>44.04</v>
      </c>
      <c r="AB26" s="105">
        <v>9444000</v>
      </c>
      <c r="AC26" s="12">
        <v>43.9</v>
      </c>
      <c r="AD26" s="2">
        <f t="shared" si="0"/>
        <v>1.009999999999998</v>
      </c>
      <c r="AE26" s="148">
        <f t="shared" si="1"/>
        <v>5.4970224461750039E-3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42403</v>
      </c>
      <c r="X27" s="12">
        <v>43.97</v>
      </c>
      <c r="Y27" s="12">
        <v>44.15</v>
      </c>
      <c r="Z27" s="12">
        <v>42.11</v>
      </c>
      <c r="AA27" s="12">
        <v>43.8</v>
      </c>
      <c r="AB27" s="105">
        <v>10049100</v>
      </c>
      <c r="AC27" s="12">
        <v>43.66</v>
      </c>
      <c r="AD27" s="2">
        <f t="shared" si="0"/>
        <v>2.0399999999999991</v>
      </c>
      <c r="AE27" s="148">
        <f t="shared" si="1"/>
        <v>4.3708304577869672E-3</v>
      </c>
    </row>
    <row r="28" spans="2:31" x14ac:dyDescent="0.25">
      <c r="W28" s="143">
        <v>42402</v>
      </c>
      <c r="X28" s="12">
        <v>45.19</v>
      </c>
      <c r="Y28" s="12">
        <v>45.52</v>
      </c>
      <c r="Z28" s="12">
        <v>43.32</v>
      </c>
      <c r="AA28" s="12">
        <v>43.61</v>
      </c>
      <c r="AB28" s="105">
        <v>8994000</v>
      </c>
      <c r="AC28" s="12">
        <v>43.47</v>
      </c>
      <c r="AD28" s="2">
        <f t="shared" si="0"/>
        <v>2.2000000000000028</v>
      </c>
      <c r="AE28" s="148">
        <f t="shared" si="1"/>
        <v>-3.550033281562015E-2</v>
      </c>
    </row>
    <row r="29" spans="2:31" x14ac:dyDescent="0.25">
      <c r="W29" s="143">
        <v>42401</v>
      </c>
      <c r="X29" s="12">
        <v>44.73</v>
      </c>
      <c r="Y29" s="12">
        <v>45.58</v>
      </c>
      <c r="Z29" s="12">
        <v>44.01</v>
      </c>
      <c r="AA29" s="12">
        <v>45.21</v>
      </c>
      <c r="AB29" s="105">
        <v>8618200</v>
      </c>
      <c r="AC29" s="12">
        <v>45.07</v>
      </c>
      <c r="AD29" s="2">
        <f t="shared" si="0"/>
        <v>1.5700000000000003</v>
      </c>
      <c r="AE29" s="148">
        <f t="shared" si="1"/>
        <v>2.0838052095130344E-2</v>
      </c>
    </row>
    <row r="30" spans="2:31" x14ac:dyDescent="0.25">
      <c r="W30" s="143">
        <v>42398</v>
      </c>
      <c r="X30" s="12">
        <v>43.14</v>
      </c>
      <c r="Y30" s="12">
        <v>44.34</v>
      </c>
      <c r="Z30" s="12">
        <v>42.42</v>
      </c>
      <c r="AA30" s="12">
        <v>44.29</v>
      </c>
      <c r="AB30" s="105">
        <v>12820100</v>
      </c>
      <c r="AC30" s="12">
        <v>44.15</v>
      </c>
      <c r="AD30" s="2">
        <f t="shared" si="0"/>
        <v>1.9200000000000017</v>
      </c>
      <c r="AE30" s="148">
        <f t="shared" si="1"/>
        <v>2.5313516024152216E-2</v>
      </c>
    </row>
    <row r="31" spans="2:31" x14ac:dyDescent="0.25">
      <c r="W31" s="143">
        <v>42397</v>
      </c>
      <c r="X31" s="12">
        <v>44.84</v>
      </c>
      <c r="Y31" s="12">
        <v>45</v>
      </c>
      <c r="Z31" s="12">
        <v>42.52</v>
      </c>
      <c r="AA31" s="12">
        <v>43.2</v>
      </c>
      <c r="AB31" s="105">
        <v>13996900</v>
      </c>
      <c r="AC31" s="12">
        <v>43.06</v>
      </c>
      <c r="AD31" s="2">
        <f t="shared" si="0"/>
        <v>2.4799999999999969</v>
      </c>
      <c r="AE31" s="148">
        <f t="shared" si="1"/>
        <v>-3.409600717810668E-2</v>
      </c>
    </row>
    <row r="32" spans="2:31" x14ac:dyDescent="0.25">
      <c r="W32" s="143">
        <v>42396</v>
      </c>
      <c r="X32" s="12">
        <v>46.36</v>
      </c>
      <c r="Y32" s="12">
        <v>47</v>
      </c>
      <c r="Z32" s="12">
        <v>44.62</v>
      </c>
      <c r="AA32" s="12">
        <v>44.72</v>
      </c>
      <c r="AB32" s="105">
        <v>10669700</v>
      </c>
      <c r="AC32" s="12">
        <v>44.58</v>
      </c>
      <c r="AD32" s="2">
        <f t="shared" si="0"/>
        <v>2.3800000000000026</v>
      </c>
      <c r="AE32" s="148">
        <f t="shared" si="1"/>
        <v>-3.0026109660574507E-2</v>
      </c>
    </row>
    <row r="33" spans="15:31" x14ac:dyDescent="0.25">
      <c r="W33" s="143">
        <v>42395</v>
      </c>
      <c r="X33" s="12">
        <v>46.49</v>
      </c>
      <c r="Y33" s="12">
        <v>46.9</v>
      </c>
      <c r="Z33" s="12">
        <v>45.63</v>
      </c>
      <c r="AA33" s="12">
        <v>46.11</v>
      </c>
      <c r="AB33" s="105">
        <v>8685100</v>
      </c>
      <c r="AC33" s="12">
        <v>45.96</v>
      </c>
      <c r="AD33" s="2">
        <f t="shared" si="0"/>
        <v>1.269999999999996</v>
      </c>
      <c r="AE33" s="148">
        <f t="shared" si="1"/>
        <v>3.7126010045862579E-3</v>
      </c>
    </row>
    <row r="34" spans="15:31" x14ac:dyDescent="0.25">
      <c r="W34" s="143">
        <v>42394</v>
      </c>
      <c r="X34" s="12">
        <v>47.59</v>
      </c>
      <c r="Y34" s="12">
        <v>47.62</v>
      </c>
      <c r="Z34" s="12">
        <v>45.85</v>
      </c>
      <c r="AA34" s="12">
        <v>45.94</v>
      </c>
      <c r="AB34" s="105">
        <v>8602600</v>
      </c>
      <c r="AC34" s="12">
        <v>45.79</v>
      </c>
      <c r="AD34" s="2">
        <f t="shared" si="0"/>
        <v>1.769999999999996</v>
      </c>
      <c r="AE34" s="148">
        <f t="shared" si="1"/>
        <v>-1.7592791246513584E-2</v>
      </c>
    </row>
    <row r="35" spans="15:31" x14ac:dyDescent="0.25">
      <c r="W35" s="143">
        <v>42391</v>
      </c>
      <c r="X35" s="12">
        <v>47.09</v>
      </c>
      <c r="Y35" s="12">
        <v>47.49</v>
      </c>
      <c r="Z35" s="12">
        <v>46.53</v>
      </c>
      <c r="AA35" s="12">
        <v>46.76</v>
      </c>
      <c r="AB35" s="105">
        <v>9419500</v>
      </c>
      <c r="AC35" s="12">
        <v>46.61</v>
      </c>
      <c r="AD35" s="2">
        <f t="shared" si="0"/>
        <v>0.96000000000000085</v>
      </c>
      <c r="AE35" s="148">
        <f t="shared" si="1"/>
        <v>5.1757601897779448E-3</v>
      </c>
    </row>
    <row r="36" spans="15:31" x14ac:dyDescent="0.25">
      <c r="W36" s="143">
        <v>42390</v>
      </c>
      <c r="X36" s="12">
        <v>46.65</v>
      </c>
      <c r="Y36" s="12">
        <v>47.12</v>
      </c>
      <c r="Z36" s="12">
        <v>45.37</v>
      </c>
      <c r="AA36" s="12">
        <v>46.52</v>
      </c>
      <c r="AB36" s="105">
        <v>12817400</v>
      </c>
      <c r="AC36" s="12">
        <v>46.37</v>
      </c>
      <c r="AD36" s="2">
        <f t="shared" si="0"/>
        <v>1.75</v>
      </c>
      <c r="AE36" s="148">
        <f t="shared" si="1"/>
        <v>1.8002195389681619E-2</v>
      </c>
    </row>
    <row r="37" spans="15:31" x14ac:dyDescent="0.25">
      <c r="W37" s="143">
        <v>42389</v>
      </c>
      <c r="X37" s="12">
        <v>46.09</v>
      </c>
      <c r="Y37" s="12">
        <v>46.76</v>
      </c>
      <c r="Z37" s="12">
        <v>42.54</v>
      </c>
      <c r="AA37" s="12">
        <v>45.69</v>
      </c>
      <c r="AB37" s="105">
        <v>21927500</v>
      </c>
      <c r="AC37" s="12">
        <v>45.55</v>
      </c>
      <c r="AD37" s="2">
        <f t="shared" si="0"/>
        <v>4.2199999999999989</v>
      </c>
      <c r="AE37" s="148">
        <f t="shared" si="1"/>
        <v>-5.6756166775814298E-3</v>
      </c>
    </row>
    <row r="38" spans="15:31" x14ac:dyDescent="0.25">
      <c r="W38" s="143">
        <v>42388</v>
      </c>
      <c r="X38" s="12">
        <v>45.8</v>
      </c>
      <c r="Y38" s="12">
        <v>46.75</v>
      </c>
      <c r="Z38" s="12">
        <v>45.19</v>
      </c>
      <c r="AA38" s="12">
        <v>45.96</v>
      </c>
      <c r="AB38" s="105">
        <v>16014700</v>
      </c>
      <c r="AC38" s="12">
        <v>45.81</v>
      </c>
      <c r="AD38" s="2">
        <f t="shared" si="0"/>
        <v>1.5600000000000023</v>
      </c>
      <c r="AE38" s="148">
        <f t="shared" si="1"/>
        <v>3.2687105500450953E-2</v>
      </c>
    </row>
    <row r="39" spans="15:31" x14ac:dyDescent="0.25">
      <c r="W39" s="143">
        <v>42384</v>
      </c>
      <c r="X39" s="12">
        <v>43.88</v>
      </c>
      <c r="Y39" s="12">
        <v>45.36</v>
      </c>
      <c r="Z39" s="12">
        <v>43.45</v>
      </c>
      <c r="AA39" s="12">
        <v>44.5</v>
      </c>
      <c r="AB39" s="105">
        <v>16408600</v>
      </c>
      <c r="AC39" s="12">
        <v>44.36</v>
      </c>
      <c r="AD39" s="2">
        <f t="shared" si="0"/>
        <v>1.9099999999999966</v>
      </c>
      <c r="AE39" s="148">
        <f t="shared" si="1"/>
        <v>-1.8584070796460295E-2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42383</v>
      </c>
      <c r="X40" s="12">
        <v>45.03</v>
      </c>
      <c r="Y40" s="12">
        <v>45.75</v>
      </c>
      <c r="Z40" s="12">
        <v>44.02</v>
      </c>
      <c r="AA40" s="12">
        <v>45.34</v>
      </c>
      <c r="AB40" s="105">
        <v>11555000</v>
      </c>
      <c r="AC40" s="12">
        <v>45.2</v>
      </c>
      <c r="AD40" s="2">
        <f t="shared" si="0"/>
        <v>1.7299999999999969</v>
      </c>
      <c r="AE40" s="148">
        <f t="shared" si="1"/>
        <v>8.9285714285716189E-3</v>
      </c>
    </row>
    <row r="41" spans="15:31" ht="15.75" thickTop="1" x14ac:dyDescent="0.25">
      <c r="O41" s="93">
        <v>1.1000000000000001</v>
      </c>
      <c r="P41" s="93">
        <f>O41*$Q$4</f>
        <v>51.414000000000009</v>
      </c>
      <c r="Q41" s="2"/>
      <c r="T41" s="138" t="s">
        <v>101</v>
      </c>
      <c r="U41" s="108">
        <v>46.22</v>
      </c>
      <c r="W41" s="143">
        <v>42382</v>
      </c>
      <c r="X41" s="12">
        <v>47.5</v>
      </c>
      <c r="Y41" s="12">
        <v>47.5</v>
      </c>
      <c r="Z41" s="12">
        <v>44.54</v>
      </c>
      <c r="AA41" s="12">
        <v>44.94</v>
      </c>
      <c r="AB41" s="105">
        <v>10964500</v>
      </c>
      <c r="AC41" s="12">
        <v>44.8</v>
      </c>
      <c r="AD41" s="2">
        <f t="shared" si="0"/>
        <v>2.9600000000000009</v>
      </c>
      <c r="AE41" s="148">
        <f t="shared" si="1"/>
        <v>-4.2939542832728161E-2</v>
      </c>
    </row>
    <row r="42" spans="15:31" x14ac:dyDescent="0.25">
      <c r="O42" s="93">
        <v>1.0900000000000001</v>
      </c>
      <c r="P42" s="93">
        <f t="shared" ref="P42:P61" si="2">O42*$Q$4</f>
        <v>50.946600000000004</v>
      </c>
      <c r="Q42" s="2"/>
      <c r="T42" s="103" t="s">
        <v>102</v>
      </c>
      <c r="U42" s="98">
        <v>46.31</v>
      </c>
      <c r="W42" s="143">
        <v>42381</v>
      </c>
      <c r="X42" s="12">
        <v>47.07</v>
      </c>
      <c r="Y42" s="12">
        <v>47.48</v>
      </c>
      <c r="Z42" s="12">
        <v>45.82</v>
      </c>
      <c r="AA42" s="12">
        <v>46.96</v>
      </c>
      <c r="AB42" s="105">
        <v>12163400</v>
      </c>
      <c r="AC42" s="12">
        <v>46.81</v>
      </c>
      <c r="AD42" s="2">
        <f t="shared" si="0"/>
        <v>1.6599999999999966</v>
      </c>
      <c r="AE42" s="148">
        <f t="shared" si="1"/>
        <v>4.7220433569434839E-3</v>
      </c>
    </row>
    <row r="43" spans="15:31" x14ac:dyDescent="0.25">
      <c r="O43" s="93">
        <v>1.08</v>
      </c>
      <c r="P43" s="93">
        <f t="shared" si="2"/>
        <v>50.479200000000006</v>
      </c>
      <c r="Q43" s="2"/>
      <c r="T43" s="103" t="s">
        <v>103</v>
      </c>
      <c r="U43" s="98" t="s">
        <v>401</v>
      </c>
      <c r="W43" s="143">
        <v>42380</v>
      </c>
      <c r="X43" s="12">
        <v>46.99</v>
      </c>
      <c r="Y43" s="12">
        <v>47.29</v>
      </c>
      <c r="Z43" s="12">
        <v>45.57</v>
      </c>
      <c r="AA43" s="12">
        <v>46.74</v>
      </c>
      <c r="AB43" s="105">
        <v>12096400</v>
      </c>
      <c r="AC43" s="12">
        <v>46.59</v>
      </c>
      <c r="AD43" s="2">
        <f t="shared" si="0"/>
        <v>1.7199999999999989</v>
      </c>
      <c r="AE43" s="148">
        <f t="shared" si="1"/>
        <v>2.7981058975463657E-3</v>
      </c>
    </row>
    <row r="44" spans="15:31" x14ac:dyDescent="0.25">
      <c r="O44" s="93">
        <v>1.07</v>
      </c>
      <c r="P44" s="93">
        <f t="shared" si="2"/>
        <v>50.011800000000008</v>
      </c>
      <c r="Q44" s="2"/>
      <c r="T44" s="103" t="s">
        <v>104</v>
      </c>
      <c r="U44" s="98" t="s">
        <v>402</v>
      </c>
      <c r="W44" s="143">
        <v>42377</v>
      </c>
      <c r="X44" s="12">
        <v>47.48</v>
      </c>
      <c r="Y44" s="12">
        <v>48.95</v>
      </c>
      <c r="Z44" s="12">
        <v>46.49</v>
      </c>
      <c r="AA44" s="12">
        <v>46.61</v>
      </c>
      <c r="AB44" s="105">
        <v>10850300</v>
      </c>
      <c r="AC44" s="12">
        <v>46.46</v>
      </c>
      <c r="AD44" s="2">
        <f t="shared" si="0"/>
        <v>2.4600000000000009</v>
      </c>
      <c r="AE44" s="148">
        <f t="shared" si="1"/>
        <v>-8.3244397011740245E-3</v>
      </c>
    </row>
    <row r="45" spans="15:31" x14ac:dyDescent="0.25">
      <c r="O45" s="93">
        <v>1.06</v>
      </c>
      <c r="P45" s="93">
        <f t="shared" si="2"/>
        <v>49.544400000000003</v>
      </c>
      <c r="Q45" s="2"/>
      <c r="T45" s="103" t="s">
        <v>105</v>
      </c>
      <c r="U45" s="98">
        <v>65.459999999999994</v>
      </c>
      <c r="W45" s="143">
        <v>42376</v>
      </c>
      <c r="X45" s="12">
        <v>48.39</v>
      </c>
      <c r="Y45" s="12">
        <v>48.68</v>
      </c>
      <c r="Z45" s="12">
        <v>46.74</v>
      </c>
      <c r="AA45" s="12">
        <v>47</v>
      </c>
      <c r="AB45" s="105">
        <v>11301100</v>
      </c>
      <c r="AC45" s="12">
        <v>46.85</v>
      </c>
      <c r="AD45" s="2">
        <f t="shared" si="0"/>
        <v>1.9399999999999977</v>
      </c>
      <c r="AE45" s="148">
        <f t="shared" si="1"/>
        <v>-3.9565395653956559E-2</v>
      </c>
    </row>
    <row r="46" spans="15:31" x14ac:dyDescent="0.25">
      <c r="O46" s="93">
        <v>1.05</v>
      </c>
      <c r="P46" s="93">
        <f t="shared" si="2"/>
        <v>49.077000000000005</v>
      </c>
      <c r="Q46" s="2"/>
      <c r="T46" s="103" t="s">
        <v>106</v>
      </c>
      <c r="U46" s="98">
        <v>1.31121</v>
      </c>
      <c r="W46" s="143">
        <v>42375</v>
      </c>
      <c r="X46" s="12">
        <v>47.79</v>
      </c>
      <c r="Y46" s="12">
        <v>49.3</v>
      </c>
      <c r="Z46" s="12">
        <v>47.63</v>
      </c>
      <c r="AA46" s="12">
        <v>48.93</v>
      </c>
      <c r="AB46" s="105">
        <v>10375900</v>
      </c>
      <c r="AC46" s="12">
        <v>48.78</v>
      </c>
      <c r="AD46" s="2">
        <f t="shared" si="0"/>
        <v>1.6699999999999946</v>
      </c>
      <c r="AE46" s="148">
        <f t="shared" si="1"/>
        <v>7.4349442379182396E-3</v>
      </c>
    </row>
    <row r="47" spans="15:31" x14ac:dyDescent="0.25">
      <c r="O47" s="93">
        <v>1.04</v>
      </c>
      <c r="P47" s="93">
        <f t="shared" si="2"/>
        <v>48.6096</v>
      </c>
      <c r="Q47" s="2"/>
      <c r="T47" s="103" t="s">
        <v>126</v>
      </c>
      <c r="U47" s="98" t="s">
        <v>289</v>
      </c>
      <c r="W47" s="143">
        <v>42374</v>
      </c>
      <c r="X47" s="12">
        <v>49.31</v>
      </c>
      <c r="Y47" s="12">
        <v>49.75</v>
      </c>
      <c r="Z47" s="12">
        <v>47.04</v>
      </c>
      <c r="AA47" s="12">
        <v>48.57</v>
      </c>
      <c r="AB47" s="105">
        <v>14557200</v>
      </c>
      <c r="AC47" s="12">
        <v>48.42</v>
      </c>
      <c r="AD47" s="2">
        <f t="shared" si="0"/>
        <v>2.7100000000000009</v>
      </c>
      <c r="AE47" s="148">
        <f t="shared" si="1"/>
        <v>-1.8552875695732052E-3</v>
      </c>
    </row>
    <row r="48" spans="15:31" x14ac:dyDescent="0.25">
      <c r="O48" s="93">
        <v>1.03</v>
      </c>
      <c r="P48" s="93">
        <f t="shared" si="2"/>
        <v>48.142200000000003</v>
      </c>
      <c r="Q48" s="2"/>
      <c r="T48" s="103"/>
      <c r="U48" s="98"/>
      <c r="W48" s="143">
        <v>42373</v>
      </c>
      <c r="X48" s="12">
        <v>49.42</v>
      </c>
      <c r="Y48" s="12">
        <v>49.42</v>
      </c>
      <c r="Z48" s="12">
        <v>48.3</v>
      </c>
      <c r="AA48" s="12">
        <v>48.66</v>
      </c>
      <c r="AB48" s="105">
        <v>12323200</v>
      </c>
      <c r="AC48" s="12">
        <v>48.51</v>
      </c>
      <c r="AD48" s="2">
        <f t="shared" si="0"/>
        <v>1.1200000000000045</v>
      </c>
      <c r="AE48" s="148">
        <f t="shared" si="1"/>
        <v>-3.9976251731644652E-2</v>
      </c>
    </row>
    <row r="49" spans="15:31" x14ac:dyDescent="0.25">
      <c r="O49" s="93">
        <v>1.02</v>
      </c>
      <c r="P49" s="93">
        <f t="shared" si="2"/>
        <v>47.674800000000005</v>
      </c>
      <c r="Q49" s="2"/>
      <c r="T49" s="103" t="s">
        <v>108</v>
      </c>
      <c r="U49" s="98" t="s">
        <v>403</v>
      </c>
      <c r="W49" s="143">
        <v>42369</v>
      </c>
      <c r="X49" s="12">
        <v>51</v>
      </c>
      <c r="Y49" s="12">
        <v>51.08</v>
      </c>
      <c r="Z49" s="12">
        <v>50.35</v>
      </c>
      <c r="AA49" s="12">
        <v>50.69</v>
      </c>
      <c r="AB49" s="105">
        <v>5911400</v>
      </c>
      <c r="AC49" s="12">
        <v>50.53</v>
      </c>
      <c r="AD49" s="2">
        <f t="shared" si="0"/>
        <v>0.72999999999999687</v>
      </c>
      <c r="AE49" s="148">
        <f t="shared" si="1"/>
        <v>-9.4099196236031579E-3</v>
      </c>
    </row>
    <row r="50" spans="15:31" x14ac:dyDescent="0.25">
      <c r="O50" s="93">
        <v>1.01</v>
      </c>
      <c r="P50" s="93">
        <f t="shared" si="2"/>
        <v>47.2074</v>
      </c>
      <c r="Q50" s="2"/>
      <c r="T50" s="103" t="s">
        <v>109</v>
      </c>
      <c r="U50" s="98" t="s">
        <v>290</v>
      </c>
      <c r="W50" s="143">
        <v>42368</v>
      </c>
      <c r="X50" s="12">
        <v>52.23</v>
      </c>
      <c r="Y50" s="12">
        <v>52.3</v>
      </c>
      <c r="Z50" s="12">
        <v>51.07</v>
      </c>
      <c r="AA50" s="12">
        <v>51.17</v>
      </c>
      <c r="AB50" s="105">
        <v>5060000</v>
      </c>
      <c r="AC50" s="12">
        <v>51.01</v>
      </c>
      <c r="AD50" s="2">
        <f t="shared" si="0"/>
        <v>1.2299999999999969</v>
      </c>
      <c r="AE50" s="148">
        <f t="shared" si="1"/>
        <v>-1.9227071716977462E-2</v>
      </c>
    </row>
    <row r="51" spans="15:31" x14ac:dyDescent="0.25">
      <c r="O51" s="93">
        <v>1</v>
      </c>
      <c r="P51" s="93">
        <f t="shared" si="2"/>
        <v>46.74</v>
      </c>
      <c r="Q51" s="2"/>
      <c r="T51" s="103" t="s">
        <v>110</v>
      </c>
      <c r="U51" s="100">
        <v>8449094</v>
      </c>
      <c r="W51" s="143">
        <v>42367</v>
      </c>
      <c r="X51" s="12">
        <v>51.93</v>
      </c>
      <c r="Y51" s="12">
        <v>52.41</v>
      </c>
      <c r="Z51" s="12">
        <v>51.89</v>
      </c>
      <c r="AA51" s="12">
        <v>52.17</v>
      </c>
      <c r="AB51" s="105">
        <v>4300100</v>
      </c>
      <c r="AC51" s="12">
        <v>52.01</v>
      </c>
      <c r="AD51" s="2">
        <f t="shared" si="0"/>
        <v>0.51999999999999602</v>
      </c>
      <c r="AE51" s="148">
        <f t="shared" si="1"/>
        <v>4.2479243097122144E-3</v>
      </c>
    </row>
    <row r="52" spans="15:31" x14ac:dyDescent="0.25">
      <c r="O52" s="93">
        <v>0.99</v>
      </c>
      <c r="P52" s="93">
        <f t="shared" si="2"/>
        <v>46.272600000000004</v>
      </c>
      <c r="Q52" s="2"/>
      <c r="T52" s="103" t="s">
        <v>113</v>
      </c>
      <c r="U52" s="100">
        <v>10276700</v>
      </c>
      <c r="W52" s="143">
        <v>42366</v>
      </c>
      <c r="X52" s="12">
        <v>52.41</v>
      </c>
      <c r="Y52" s="12">
        <v>52.72</v>
      </c>
      <c r="Z52" s="12">
        <v>51.32</v>
      </c>
      <c r="AA52" s="12">
        <v>51.95</v>
      </c>
      <c r="AB52" s="105">
        <v>5295300</v>
      </c>
      <c r="AC52" s="12">
        <v>51.79</v>
      </c>
      <c r="AD52" s="2">
        <f t="shared" si="0"/>
        <v>1.3999999999999986</v>
      </c>
      <c r="AE52" s="148">
        <f t="shared" si="1"/>
        <v>-5.759262814359789E-3</v>
      </c>
    </row>
    <row r="53" spans="15:31" x14ac:dyDescent="0.25">
      <c r="O53" s="93">
        <v>0.98</v>
      </c>
      <c r="P53" s="93">
        <f t="shared" si="2"/>
        <v>45.805199999999999</v>
      </c>
      <c r="Q53" s="2"/>
      <c r="T53" s="103" t="s">
        <v>111</v>
      </c>
      <c r="U53" s="98" t="s">
        <v>404</v>
      </c>
      <c r="W53" s="143">
        <v>42362</v>
      </c>
      <c r="X53" s="12">
        <v>51.71</v>
      </c>
      <c r="Y53" s="12">
        <v>52.65</v>
      </c>
      <c r="Z53" s="12">
        <v>51.69</v>
      </c>
      <c r="AA53" s="12">
        <v>52.26</v>
      </c>
      <c r="AB53" s="105">
        <v>3834200</v>
      </c>
      <c r="AC53" s="12">
        <v>52.09</v>
      </c>
      <c r="AD53" s="2">
        <f t="shared" si="0"/>
        <v>0.96000000000000085</v>
      </c>
      <c r="AE53" s="148">
        <f t="shared" si="1"/>
        <v>9.8875533152384953E-3</v>
      </c>
    </row>
    <row r="54" spans="15:31" x14ac:dyDescent="0.25">
      <c r="O54" s="93">
        <v>0.97</v>
      </c>
      <c r="P54" s="93">
        <f t="shared" si="2"/>
        <v>45.337800000000001</v>
      </c>
      <c r="T54" s="103" t="s">
        <v>114</v>
      </c>
      <c r="U54" s="98">
        <v>8.3000000000000007</v>
      </c>
      <c r="W54" s="143">
        <v>42361</v>
      </c>
      <c r="X54" s="12">
        <v>51.74</v>
      </c>
      <c r="Y54" s="12">
        <v>51.87</v>
      </c>
      <c r="Z54" s="12">
        <v>50.91</v>
      </c>
      <c r="AA54" s="12">
        <v>51.74</v>
      </c>
      <c r="AB54" s="105">
        <v>5843600</v>
      </c>
      <c r="AC54" s="12">
        <v>51.58</v>
      </c>
      <c r="AD54" s="2">
        <f t="shared" si="0"/>
        <v>0.96000000000000085</v>
      </c>
      <c r="AE54" s="148">
        <f t="shared" si="1"/>
        <v>-1.9383601473166312E-4</v>
      </c>
    </row>
    <row r="55" spans="15:31" x14ac:dyDescent="0.25">
      <c r="O55" s="93">
        <v>0.96</v>
      </c>
      <c r="P55" s="93">
        <f t="shared" si="2"/>
        <v>44.870400000000004</v>
      </c>
      <c r="T55" s="103" t="s">
        <v>115</v>
      </c>
      <c r="U55" s="98">
        <v>5.63</v>
      </c>
      <c r="W55" s="143">
        <v>42360</v>
      </c>
      <c r="X55" s="12">
        <v>51.65</v>
      </c>
      <c r="Y55" s="12">
        <v>51.95</v>
      </c>
      <c r="Z55" s="12">
        <v>51.16</v>
      </c>
      <c r="AA55" s="12">
        <v>51.75</v>
      </c>
      <c r="AB55" s="105">
        <v>6745600</v>
      </c>
      <c r="AC55" s="12">
        <v>51.59</v>
      </c>
      <c r="AD55" s="2">
        <f t="shared" si="0"/>
        <v>0.79000000000000625</v>
      </c>
      <c r="AE55" s="148">
        <f t="shared" si="1"/>
        <v>5.653021442495243E-3</v>
      </c>
    </row>
    <row r="56" spans="15:31" x14ac:dyDescent="0.25">
      <c r="O56" s="93">
        <v>0.95</v>
      </c>
      <c r="P56" s="93">
        <f t="shared" si="2"/>
        <v>44.402999999999999</v>
      </c>
      <c r="T56" s="103" t="s">
        <v>112</v>
      </c>
      <c r="U56" s="98" t="s">
        <v>318</v>
      </c>
      <c r="W56" s="143">
        <v>42359</v>
      </c>
      <c r="X56" s="12">
        <v>50.46</v>
      </c>
      <c r="Y56" s="12">
        <v>51.5</v>
      </c>
      <c r="Z56" s="12">
        <v>50.42</v>
      </c>
      <c r="AA56" s="12">
        <v>51.46</v>
      </c>
      <c r="AB56" s="105">
        <v>8822100</v>
      </c>
      <c r="AC56" s="12">
        <v>51.3</v>
      </c>
      <c r="AD56" s="2">
        <f t="shared" si="0"/>
        <v>1.0799999999999983</v>
      </c>
      <c r="AE56" s="148">
        <f t="shared" si="1"/>
        <v>3.0120481927710774E-2</v>
      </c>
    </row>
    <row r="57" spans="15:31" x14ac:dyDescent="0.25">
      <c r="O57" s="93">
        <v>0.94</v>
      </c>
      <c r="P57" s="93">
        <f t="shared" si="2"/>
        <v>43.935600000000001</v>
      </c>
      <c r="W57" s="143">
        <v>42356</v>
      </c>
      <c r="X57" s="12">
        <v>51.04</v>
      </c>
      <c r="Y57" s="12">
        <v>51.95</v>
      </c>
      <c r="Z57" s="12">
        <v>49.96</v>
      </c>
      <c r="AA57" s="12">
        <v>49.96</v>
      </c>
      <c r="AB57" s="105">
        <v>15753500</v>
      </c>
      <c r="AC57" s="12">
        <v>49.8</v>
      </c>
      <c r="AD57" s="2">
        <f t="shared" si="0"/>
        <v>1.990000000000002</v>
      </c>
      <c r="AE57" s="148">
        <f t="shared" si="1"/>
        <v>-2.103400825633972E-2</v>
      </c>
    </row>
    <row r="58" spans="15:31" x14ac:dyDescent="0.25">
      <c r="O58" s="93">
        <v>0.93</v>
      </c>
      <c r="P58" s="93">
        <f t="shared" si="2"/>
        <v>43.468200000000003</v>
      </c>
      <c r="W58" s="143">
        <v>42355</v>
      </c>
      <c r="X58" s="12">
        <v>51.98</v>
      </c>
      <c r="Y58" s="12">
        <v>52.77</v>
      </c>
      <c r="Z58" s="12">
        <v>51.02</v>
      </c>
      <c r="AA58" s="12">
        <v>51.03</v>
      </c>
      <c r="AB58" s="105">
        <v>10024900</v>
      </c>
      <c r="AC58" s="12">
        <v>50.87</v>
      </c>
      <c r="AD58" s="2">
        <f t="shared" si="0"/>
        <v>1.75</v>
      </c>
      <c r="AE58" s="148">
        <f t="shared" si="1"/>
        <v>-2.0977675134719043E-2</v>
      </c>
    </row>
    <row r="59" spans="15:31" x14ac:dyDescent="0.25">
      <c r="O59" s="93">
        <v>0.92</v>
      </c>
      <c r="P59" s="93">
        <f t="shared" si="2"/>
        <v>43.000800000000005</v>
      </c>
      <c r="W59" s="143">
        <v>42354</v>
      </c>
      <c r="X59" s="12">
        <v>51.4</v>
      </c>
      <c r="Y59" s="12">
        <v>52.29</v>
      </c>
      <c r="Z59" s="12">
        <v>50.85</v>
      </c>
      <c r="AA59" s="12">
        <v>52.12</v>
      </c>
      <c r="AB59" s="105">
        <v>9172900</v>
      </c>
      <c r="AC59" s="12">
        <v>51.96</v>
      </c>
      <c r="AD59" s="2">
        <f t="shared" si="0"/>
        <v>1.4399999999999977</v>
      </c>
      <c r="AE59" s="148">
        <f t="shared" si="1"/>
        <v>1.9023337909394034E-2</v>
      </c>
    </row>
    <row r="60" spans="15:31" x14ac:dyDescent="0.25">
      <c r="O60" s="93">
        <v>0.91</v>
      </c>
      <c r="P60" s="93">
        <f t="shared" si="2"/>
        <v>42.5334</v>
      </c>
      <c r="W60" s="143">
        <v>42353</v>
      </c>
      <c r="X60" s="12">
        <v>50.67</v>
      </c>
      <c r="Y60" s="12">
        <v>51.41</v>
      </c>
      <c r="Z60" s="12">
        <v>50.07</v>
      </c>
      <c r="AA60" s="12">
        <v>51.15</v>
      </c>
      <c r="AB60" s="105">
        <v>8079700</v>
      </c>
      <c r="AC60" s="12">
        <v>50.99</v>
      </c>
      <c r="AD60" s="2">
        <f t="shared" si="0"/>
        <v>1.3399999999999963</v>
      </c>
      <c r="AE60" s="148">
        <f t="shared" si="1"/>
        <v>1.9392243102758888E-2</v>
      </c>
    </row>
    <row r="61" spans="15:31" x14ac:dyDescent="0.25">
      <c r="O61" s="93">
        <v>0.9</v>
      </c>
      <c r="P61" s="93">
        <f t="shared" si="2"/>
        <v>42.066000000000003</v>
      </c>
      <c r="W61" s="143">
        <v>42352</v>
      </c>
      <c r="X61" s="12">
        <v>49.52</v>
      </c>
      <c r="Y61" s="12">
        <v>50.41</v>
      </c>
      <c r="Z61" s="12">
        <v>48.76</v>
      </c>
      <c r="AA61" s="12">
        <v>50.18</v>
      </c>
      <c r="AB61" s="105">
        <v>10006400</v>
      </c>
      <c r="AC61" s="12">
        <v>50.02</v>
      </c>
      <c r="AD61" s="2">
        <f t="shared" si="0"/>
        <v>1.6499999999999986</v>
      </c>
      <c r="AE61" s="148">
        <f t="shared" si="1"/>
        <v>1.8322475570032637E-2</v>
      </c>
    </row>
    <row r="62" spans="15:31" x14ac:dyDescent="0.25">
      <c r="W62" s="143">
        <v>42349</v>
      </c>
      <c r="X62" s="12">
        <v>50.37</v>
      </c>
      <c r="Y62" s="12">
        <v>50.65</v>
      </c>
      <c r="Z62" s="12">
        <v>49.22</v>
      </c>
      <c r="AA62" s="12">
        <v>49.28</v>
      </c>
      <c r="AB62" s="105">
        <v>8651600</v>
      </c>
      <c r="AC62" s="12">
        <v>49.12</v>
      </c>
      <c r="AD62" s="2">
        <f t="shared" si="0"/>
        <v>1.4299999999999997</v>
      </c>
      <c r="AE62" s="148">
        <f t="shared" si="1"/>
        <v>-3.9123630672926457E-2</v>
      </c>
    </row>
    <row r="63" spans="15:31" x14ac:dyDescent="0.25">
      <c r="W63" s="143">
        <v>42348</v>
      </c>
      <c r="X63" s="12">
        <v>49.71</v>
      </c>
      <c r="Y63" s="12">
        <v>51.92</v>
      </c>
      <c r="Z63" s="12">
        <v>49.54</v>
      </c>
      <c r="AA63" s="12">
        <v>51.28</v>
      </c>
      <c r="AB63" s="105">
        <v>10089600</v>
      </c>
      <c r="AC63" s="12">
        <v>51.12</v>
      </c>
      <c r="AD63" s="2">
        <f t="shared" si="0"/>
        <v>2.3800000000000026</v>
      </c>
      <c r="AE63" s="148">
        <f t="shared" si="1"/>
        <v>3.5866261398176169E-2</v>
      </c>
    </row>
    <row r="64" spans="15:31" x14ac:dyDescent="0.25">
      <c r="W64" s="143">
        <v>42347</v>
      </c>
      <c r="X64" s="12">
        <v>50.02</v>
      </c>
      <c r="Y64" s="12">
        <v>50.74</v>
      </c>
      <c r="Z64" s="12">
        <v>49.14</v>
      </c>
      <c r="AA64" s="12">
        <v>49.51</v>
      </c>
      <c r="AB64" s="105">
        <v>8144700</v>
      </c>
      <c r="AC64" s="12">
        <v>49.35</v>
      </c>
      <c r="AD64" s="2">
        <f t="shared" si="0"/>
        <v>1.6000000000000014</v>
      </c>
      <c r="AE64" s="148">
        <f t="shared" si="1"/>
        <v>-1.5166633406505703E-2</v>
      </c>
    </row>
    <row r="65" spans="23:31" x14ac:dyDescent="0.25">
      <c r="W65" s="143">
        <v>42346</v>
      </c>
      <c r="X65" s="12">
        <v>51.33</v>
      </c>
      <c r="Y65" s="12">
        <v>51.82</v>
      </c>
      <c r="Z65" s="12">
        <v>49.89</v>
      </c>
      <c r="AA65" s="12">
        <v>50.27</v>
      </c>
      <c r="AB65" s="105">
        <v>13469200</v>
      </c>
      <c r="AC65" s="12">
        <v>50.11</v>
      </c>
      <c r="AD65" s="2">
        <f t="shared" si="0"/>
        <v>1.9299999999999997</v>
      </c>
      <c r="AE65" s="148">
        <f t="shared" si="1"/>
        <v>-2.925222781867487E-2</v>
      </c>
    </row>
    <row r="66" spans="23:31" x14ac:dyDescent="0.25">
      <c r="W66" s="143">
        <v>42345</v>
      </c>
      <c r="X66" s="12">
        <v>50.27</v>
      </c>
      <c r="Y66" s="12">
        <v>51.82</v>
      </c>
      <c r="Z66" s="12">
        <v>50.19</v>
      </c>
      <c r="AA66" s="12">
        <v>51.78</v>
      </c>
      <c r="AB66" s="105">
        <v>13829500</v>
      </c>
      <c r="AC66" s="12">
        <v>51.62</v>
      </c>
      <c r="AD66" s="2">
        <f t="shared" si="0"/>
        <v>1.6300000000000026</v>
      </c>
      <c r="AE66" s="148">
        <f t="shared" si="1"/>
        <v>4.0306328093510757E-2</v>
      </c>
    </row>
    <row r="67" spans="23:31" x14ac:dyDescent="0.25">
      <c r="W67" s="143">
        <v>42342</v>
      </c>
      <c r="X67" s="12">
        <v>49</v>
      </c>
      <c r="Y67" s="12">
        <v>49.8</v>
      </c>
      <c r="Z67" s="12">
        <v>48.67</v>
      </c>
      <c r="AA67" s="12">
        <v>49.78</v>
      </c>
      <c r="AB67" s="105">
        <v>12775600</v>
      </c>
      <c r="AC67" s="12">
        <v>49.62</v>
      </c>
      <c r="AD67" s="2">
        <f t="shared" ref="AD67" si="3">Y67-Z67</f>
        <v>1.1299999999999955</v>
      </c>
      <c r="AE67" s="148" t="e">
        <f>AC67/#REF!-1</f>
        <v>#REF!</v>
      </c>
    </row>
    <row r="68" spans="23:31" x14ac:dyDescent="0.25">
      <c r="W68" s="143">
        <v>42341</v>
      </c>
      <c r="X68" s="12">
        <v>48.42</v>
      </c>
      <c r="Y68" s="12">
        <v>48.99</v>
      </c>
      <c r="Z68" s="12">
        <v>47.85</v>
      </c>
      <c r="AA68" s="12">
        <v>48.22</v>
      </c>
      <c r="AB68" s="105">
        <v>11634400</v>
      </c>
      <c r="AC68" s="12">
        <v>48.07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42438</v>
      </c>
      <c r="X2" s="12">
        <v>98</v>
      </c>
      <c r="Y2" s="12">
        <v>98.24</v>
      </c>
      <c r="Z2" s="12">
        <v>96.81</v>
      </c>
      <c r="AA2" s="12">
        <v>97.66</v>
      </c>
      <c r="AB2" s="105">
        <v>7009200</v>
      </c>
      <c r="AC2" s="12">
        <v>97.66</v>
      </c>
      <c r="AD2" s="2">
        <f>Y2-Z2</f>
        <v>1.4299999999999926</v>
      </c>
      <c r="AE2" s="148">
        <f>AC2/AC3-1</f>
        <v>-1.6356573297893195E-3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42437</v>
      </c>
      <c r="X3" s="12">
        <v>98.93</v>
      </c>
      <c r="Y3" s="12">
        <v>98.98</v>
      </c>
      <c r="Z3" s="12">
        <v>97.6</v>
      </c>
      <c r="AA3" s="12">
        <v>97.82</v>
      </c>
      <c r="AB3" s="105">
        <v>6156700</v>
      </c>
      <c r="AC3" s="12">
        <v>97.82</v>
      </c>
      <c r="AD3" s="2">
        <f t="shared" ref="AD3:AD66" si="1">Y3-Z3</f>
        <v>1.3800000000000097</v>
      </c>
      <c r="AE3" s="148">
        <f t="shared" ref="AE3:AE66" si="2">AC3/AC4-1</f>
        <v>-1.5796357782473125E-2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97.66</v>
      </c>
      <c r="T4" s="173"/>
      <c r="W4" s="143">
        <v>42436</v>
      </c>
      <c r="X4" s="12">
        <v>98.57</v>
      </c>
      <c r="Y4" s="12">
        <v>99.71</v>
      </c>
      <c r="Z4" s="12">
        <v>98.48</v>
      </c>
      <c r="AA4" s="12">
        <v>99.39</v>
      </c>
      <c r="AB4" s="105">
        <v>7174200</v>
      </c>
      <c r="AC4" s="12">
        <v>99.39</v>
      </c>
      <c r="AD4" s="2">
        <f t="shared" si="1"/>
        <v>1.2299999999999898</v>
      </c>
      <c r="AE4" s="148">
        <f t="shared" si="2"/>
        <v>9.2404549147033777E-3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2441.5</v>
      </c>
      <c r="W5" s="143">
        <v>42433</v>
      </c>
      <c r="X5" s="12">
        <v>99</v>
      </c>
      <c r="Y5" s="12">
        <v>99.21</v>
      </c>
      <c r="Z5" s="12">
        <v>97.9</v>
      </c>
      <c r="AA5" s="12">
        <v>98.48</v>
      </c>
      <c r="AB5" s="105">
        <v>6703000</v>
      </c>
      <c r="AC5" s="12">
        <v>98.48</v>
      </c>
      <c r="AD5" s="2">
        <f t="shared" si="1"/>
        <v>1.3099999999999881</v>
      </c>
      <c r="AE5" s="148">
        <f t="shared" si="2"/>
        <v>-3.4405990690142829E-3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42432</v>
      </c>
      <c r="X6" s="12">
        <v>97.79</v>
      </c>
      <c r="Y6" s="12">
        <v>98.84</v>
      </c>
      <c r="Z6" s="12">
        <v>96.89</v>
      </c>
      <c r="AA6" s="12">
        <v>98.82</v>
      </c>
      <c r="AB6" s="105">
        <v>8536100</v>
      </c>
      <c r="AC6" s="12">
        <v>98.82</v>
      </c>
      <c r="AD6" s="2">
        <f t="shared" si="1"/>
        <v>1.9500000000000028</v>
      </c>
      <c r="AE6" s="148">
        <f t="shared" si="2"/>
        <v>1.8762886597938122E-2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21.809999999999491</v>
      </c>
      <c r="R7" s="211"/>
      <c r="W7" s="143">
        <v>42431</v>
      </c>
      <c r="X7" s="12">
        <v>97.67</v>
      </c>
      <c r="Y7" s="12">
        <v>97.83</v>
      </c>
      <c r="Z7" s="12">
        <v>96.41</v>
      </c>
      <c r="AA7" s="12">
        <v>97</v>
      </c>
      <c r="AB7" s="105">
        <v>6443600</v>
      </c>
      <c r="AC7" s="12">
        <v>97</v>
      </c>
      <c r="AD7" s="2">
        <f t="shared" si="1"/>
        <v>1.4200000000000017</v>
      </c>
      <c r="AE7" s="148">
        <f t="shared" si="2"/>
        <v>-6.6564260112648155E-3</v>
      </c>
    </row>
    <row r="8" spans="1:31" x14ac:dyDescent="0.25">
      <c r="H8" s="81"/>
      <c r="O8" s="13" t="s">
        <v>90</v>
      </c>
      <c r="Q8" s="148">
        <f>(Q4-Q3)/Q3</f>
        <v>9.0135513226897897E-3</v>
      </c>
      <c r="W8" s="143">
        <v>42430</v>
      </c>
      <c r="X8" s="12">
        <v>95.9</v>
      </c>
      <c r="Y8" s="12">
        <v>97.66</v>
      </c>
      <c r="Z8" s="12">
        <v>95.53</v>
      </c>
      <c r="AA8" s="12">
        <v>97.65</v>
      </c>
      <c r="AB8" s="105">
        <v>7118000</v>
      </c>
      <c r="AC8" s="12">
        <v>97.65</v>
      </c>
      <c r="AD8" s="2">
        <f t="shared" si="1"/>
        <v>2.1299999999999955</v>
      </c>
      <c r="AE8" s="148">
        <f t="shared" si="2"/>
        <v>2.229899497487442E-2</v>
      </c>
    </row>
    <row r="9" spans="1:31" x14ac:dyDescent="0.25">
      <c r="H9" s="81"/>
      <c r="W9" s="143">
        <v>42429</v>
      </c>
      <c r="X9" s="12">
        <v>95.31</v>
      </c>
      <c r="Y9" s="12">
        <v>96.29</v>
      </c>
      <c r="Z9" s="12">
        <v>95.23</v>
      </c>
      <c r="AA9" s="12">
        <v>95.52</v>
      </c>
      <c r="AB9" s="105">
        <v>6620200</v>
      </c>
      <c r="AC9" s="12">
        <v>95.52</v>
      </c>
      <c r="AD9" s="2">
        <f t="shared" si="1"/>
        <v>1.0600000000000023</v>
      </c>
      <c r="AE9" s="148">
        <f t="shared" si="2"/>
        <v>2.2033364809568301E-3</v>
      </c>
    </row>
    <row r="10" spans="1:31" x14ac:dyDescent="0.25">
      <c r="W10" s="143">
        <v>42426</v>
      </c>
      <c r="X10" s="12">
        <v>95.71</v>
      </c>
      <c r="Y10" s="12">
        <v>96.22</v>
      </c>
      <c r="Z10" s="12">
        <v>95.28</v>
      </c>
      <c r="AA10" s="12">
        <v>95.31</v>
      </c>
      <c r="AB10" s="105">
        <v>5264600</v>
      </c>
      <c r="AC10" s="12">
        <v>95.31</v>
      </c>
      <c r="AD10" s="2">
        <f t="shared" si="1"/>
        <v>0.93999999999999773</v>
      </c>
      <c r="AE10" s="148">
        <f t="shared" si="2"/>
        <v>-3.5546262415054874E-3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42425</v>
      </c>
      <c r="X11" s="12">
        <v>95.92</v>
      </c>
      <c r="Y11" s="12">
        <v>95.95</v>
      </c>
      <c r="Z11" s="12">
        <v>94.35</v>
      </c>
      <c r="AA11" s="12">
        <v>95.65</v>
      </c>
      <c r="AB11" s="105">
        <v>4536900</v>
      </c>
      <c r="AC11" s="12">
        <v>95.65</v>
      </c>
      <c r="AD11" s="2">
        <f t="shared" si="1"/>
        <v>1.6000000000000085</v>
      </c>
      <c r="AE11" s="148">
        <f t="shared" si="2"/>
        <v>2.3053547102587224E-3</v>
      </c>
    </row>
    <row r="12" spans="1:31" x14ac:dyDescent="0.25">
      <c r="W12" s="143">
        <v>42424</v>
      </c>
      <c r="X12" s="12">
        <v>94.65</v>
      </c>
      <c r="Y12" s="12">
        <v>95.75</v>
      </c>
      <c r="Z12" s="12">
        <v>93.23</v>
      </c>
      <c r="AA12" s="12">
        <v>95.43</v>
      </c>
      <c r="AB12" s="105">
        <v>6913000</v>
      </c>
      <c r="AC12" s="12">
        <v>95.43</v>
      </c>
      <c r="AD12" s="2">
        <f t="shared" si="1"/>
        <v>2.519999999999996</v>
      </c>
      <c r="AE12" s="148">
        <f t="shared" si="2"/>
        <v>5.2421891381859709E-4</v>
      </c>
    </row>
    <row r="13" spans="1:31" x14ac:dyDescent="0.25">
      <c r="W13" s="143">
        <v>42423</v>
      </c>
      <c r="X13" s="12">
        <v>96.5</v>
      </c>
      <c r="Y13" s="12">
        <v>96.82</v>
      </c>
      <c r="Z13" s="12">
        <v>95.15</v>
      </c>
      <c r="AA13" s="12">
        <v>95.38</v>
      </c>
      <c r="AB13" s="105">
        <v>6181600</v>
      </c>
      <c r="AC13" s="12">
        <v>95.38</v>
      </c>
      <c r="AD13" s="2">
        <f t="shared" si="1"/>
        <v>1.6699999999999875</v>
      </c>
      <c r="AE13" s="148">
        <f t="shared" si="2"/>
        <v>-1.0272906506174184E-2</v>
      </c>
    </row>
    <row r="14" spans="1:31" x14ac:dyDescent="0.25">
      <c r="W14" s="143">
        <v>42422</v>
      </c>
      <c r="X14" s="12">
        <v>95.01</v>
      </c>
      <c r="Y14" s="12">
        <v>97</v>
      </c>
      <c r="Z14" s="12">
        <v>95.01</v>
      </c>
      <c r="AA14" s="12">
        <v>96.37</v>
      </c>
      <c r="AB14" s="105">
        <v>6932000</v>
      </c>
      <c r="AC14" s="12">
        <v>96.37</v>
      </c>
      <c r="AD14" s="2">
        <f t="shared" si="1"/>
        <v>1.9899999999999949</v>
      </c>
      <c r="AE14" s="148">
        <f t="shared" si="2"/>
        <v>1.4314282707083459E-2</v>
      </c>
    </row>
    <row r="15" spans="1:31" x14ac:dyDescent="0.25">
      <c r="W15" s="143">
        <v>42419</v>
      </c>
      <c r="X15" s="12">
        <v>95.23</v>
      </c>
      <c r="Y15" s="12">
        <v>95.72</v>
      </c>
      <c r="Z15" s="12">
        <v>94.56</v>
      </c>
      <c r="AA15" s="12">
        <v>95.01</v>
      </c>
      <c r="AB15" s="105">
        <v>6664400</v>
      </c>
      <c r="AC15" s="12">
        <v>95.01</v>
      </c>
      <c r="AD15" s="2">
        <f t="shared" si="1"/>
        <v>1.1599999999999966</v>
      </c>
      <c r="AE15" s="148">
        <f t="shared" si="2"/>
        <v>-1.6812020594725308E-3</v>
      </c>
    </row>
    <row r="16" spans="1:31" x14ac:dyDescent="0.25">
      <c r="W16" s="143">
        <v>42418</v>
      </c>
      <c r="X16" s="12">
        <v>96.34</v>
      </c>
      <c r="Y16" s="12">
        <v>96.45</v>
      </c>
      <c r="Z16" s="12">
        <v>94.45</v>
      </c>
      <c r="AA16" s="12">
        <v>95.17</v>
      </c>
      <c r="AB16" s="105">
        <v>8727200</v>
      </c>
      <c r="AC16" s="12">
        <v>95.17</v>
      </c>
      <c r="AD16" s="2">
        <f t="shared" si="1"/>
        <v>2</v>
      </c>
      <c r="AE16" s="148">
        <f t="shared" si="2"/>
        <v>-3.4554973821989687E-3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42417</v>
      </c>
      <c r="X17" s="12">
        <v>93.67</v>
      </c>
      <c r="Y17" s="12">
        <v>96.44</v>
      </c>
      <c r="Z17" s="12">
        <v>93.56</v>
      </c>
      <c r="AA17" s="12">
        <v>95.5</v>
      </c>
      <c r="AB17" s="105">
        <v>12288200</v>
      </c>
      <c r="AC17" s="12">
        <v>95.5</v>
      </c>
      <c r="AD17" s="2">
        <f t="shared" si="1"/>
        <v>2.8799999999999955</v>
      </c>
      <c r="AE17" s="148">
        <f t="shared" si="2"/>
        <v>2.7876439565170719E-2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42416</v>
      </c>
      <c r="X18" s="12">
        <v>92.47</v>
      </c>
      <c r="Y18" s="12">
        <v>93.31</v>
      </c>
      <c r="Z18" s="12">
        <v>91.79</v>
      </c>
      <c r="AA18" s="12">
        <v>92.91</v>
      </c>
      <c r="AB18" s="105">
        <v>8965800</v>
      </c>
      <c r="AC18" s="12">
        <v>92.91</v>
      </c>
      <c r="AD18" s="2">
        <f t="shared" si="1"/>
        <v>1.519999999999996</v>
      </c>
      <c r="AE18" s="148">
        <f t="shared" si="2"/>
        <v>1.9308831596269727E-2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42412</v>
      </c>
      <c r="X19" s="12">
        <v>91.52</v>
      </c>
      <c r="Y19" s="12">
        <v>91.59</v>
      </c>
      <c r="Z19" s="12">
        <v>89.61</v>
      </c>
      <c r="AA19" s="12">
        <v>91.15</v>
      </c>
      <c r="AB19" s="105">
        <v>10754700</v>
      </c>
      <c r="AC19" s="12">
        <v>91.15</v>
      </c>
      <c r="AD19" s="2">
        <f t="shared" si="1"/>
        <v>1.980000000000004</v>
      </c>
      <c r="AE19" s="148">
        <f t="shared" si="2"/>
        <v>9.3012955375928463E-3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42411</v>
      </c>
      <c r="X20" s="12">
        <v>87</v>
      </c>
      <c r="Y20" s="12">
        <v>91.06</v>
      </c>
      <c r="Z20" s="12">
        <v>86.96</v>
      </c>
      <c r="AA20" s="12">
        <v>90.31</v>
      </c>
      <c r="AB20" s="105">
        <v>17332300</v>
      </c>
      <c r="AC20" s="12">
        <v>90.31</v>
      </c>
      <c r="AD20" s="2">
        <f t="shared" si="1"/>
        <v>4.1000000000000085</v>
      </c>
      <c r="AE20" s="148">
        <f t="shared" si="2"/>
        <v>1.6432189082723703E-2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42410</v>
      </c>
      <c r="X21" s="12">
        <v>88</v>
      </c>
      <c r="Y21" s="12">
        <v>90.03</v>
      </c>
      <c r="Z21" s="12">
        <v>86.25</v>
      </c>
      <c r="AA21" s="12">
        <v>88.85</v>
      </c>
      <c r="AB21" s="105">
        <v>32573500</v>
      </c>
      <c r="AC21" s="12">
        <v>88.85</v>
      </c>
      <c r="AD21" s="2">
        <f t="shared" si="1"/>
        <v>3.7800000000000011</v>
      </c>
      <c r="AE21" s="148">
        <f t="shared" si="2"/>
        <v>-3.758665511265169E-2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42409</v>
      </c>
      <c r="X22" s="12">
        <v>90.15</v>
      </c>
      <c r="Y22" s="12">
        <v>93.2</v>
      </c>
      <c r="Z22" s="12">
        <v>89.04</v>
      </c>
      <c r="AA22" s="12">
        <v>92.32</v>
      </c>
      <c r="AB22" s="105">
        <v>15166900</v>
      </c>
      <c r="AC22" s="12">
        <v>92.32</v>
      </c>
      <c r="AD22" s="2">
        <f t="shared" si="1"/>
        <v>4.1599999999999966</v>
      </c>
      <c r="AE22" s="148">
        <f t="shared" si="2"/>
        <v>2.1710811984367862E-3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42408</v>
      </c>
      <c r="X23" s="12">
        <v>92.56</v>
      </c>
      <c r="Y23" s="12">
        <v>92.96</v>
      </c>
      <c r="Z23" s="12">
        <v>89.51</v>
      </c>
      <c r="AA23" s="12">
        <v>92.12</v>
      </c>
      <c r="AB23" s="105">
        <v>13658400</v>
      </c>
      <c r="AC23" s="12">
        <v>92.12</v>
      </c>
      <c r="AD23" s="2">
        <f t="shared" si="1"/>
        <v>3.4499999999999886</v>
      </c>
      <c r="AE23" s="148">
        <f t="shared" si="2"/>
        <v>-1.8956336528221485E-2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42405</v>
      </c>
      <c r="X24" s="12">
        <v>95.32</v>
      </c>
      <c r="Y24" s="12">
        <v>95.39</v>
      </c>
      <c r="Z24" s="12">
        <v>93.47</v>
      </c>
      <c r="AA24" s="12">
        <v>93.9</v>
      </c>
      <c r="AB24" s="105">
        <v>8823000</v>
      </c>
      <c r="AC24" s="12">
        <v>93.9</v>
      </c>
      <c r="AD24" s="2">
        <f t="shared" si="1"/>
        <v>1.9200000000000017</v>
      </c>
      <c r="AE24" s="148">
        <f t="shared" si="2"/>
        <v>-1.6032694121345448E-2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42404</v>
      </c>
      <c r="X25" s="12">
        <v>94.87</v>
      </c>
      <c r="Y25" s="12">
        <v>96.73</v>
      </c>
      <c r="Z25" s="12">
        <v>94.6</v>
      </c>
      <c r="AA25" s="12">
        <v>95.43</v>
      </c>
      <c r="AB25" s="105">
        <v>8207900</v>
      </c>
      <c r="AC25" s="12">
        <v>95.43</v>
      </c>
      <c r="AD25" s="2">
        <f t="shared" si="1"/>
        <v>2.1300000000000097</v>
      </c>
      <c r="AE25" s="148">
        <f t="shared" si="2"/>
        <v>3.0481395837713698E-3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42403</v>
      </c>
      <c r="X26" s="12">
        <v>94.1</v>
      </c>
      <c r="Y26" s="12">
        <v>95.41</v>
      </c>
      <c r="Z26" s="12">
        <v>92.42</v>
      </c>
      <c r="AA26" s="12">
        <v>95.14</v>
      </c>
      <c r="AB26" s="105">
        <v>10860700</v>
      </c>
      <c r="AC26" s="12">
        <v>95.14</v>
      </c>
      <c r="AD26" s="2">
        <f t="shared" si="1"/>
        <v>2.9899999999999949</v>
      </c>
      <c r="AE26" s="148">
        <f t="shared" si="2"/>
        <v>2.1692439862542878E-2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42402</v>
      </c>
      <c r="X27" s="12">
        <v>94</v>
      </c>
      <c r="Y27" s="12">
        <v>94.17</v>
      </c>
      <c r="Z27" s="12">
        <v>92.87</v>
      </c>
      <c r="AA27" s="12">
        <v>93.12</v>
      </c>
      <c r="AB27" s="105">
        <v>7101400</v>
      </c>
      <c r="AC27" s="12">
        <v>93.12</v>
      </c>
      <c r="AD27" s="2">
        <f t="shared" si="1"/>
        <v>1.2999999999999972</v>
      </c>
      <c r="AE27" s="148">
        <f t="shared" si="2"/>
        <v>-2.1334734629532282E-2</v>
      </c>
    </row>
    <row r="28" spans="2:31" x14ac:dyDescent="0.25">
      <c r="W28" s="143">
        <v>42401</v>
      </c>
      <c r="X28" s="12">
        <v>95.08</v>
      </c>
      <c r="Y28" s="12">
        <v>95.71</v>
      </c>
      <c r="Z28" s="12">
        <v>94.7</v>
      </c>
      <c r="AA28" s="12">
        <v>95.15</v>
      </c>
      <c r="AB28" s="105">
        <v>6994200</v>
      </c>
      <c r="AC28" s="12">
        <v>95.15</v>
      </c>
      <c r="AD28" s="2">
        <f t="shared" si="1"/>
        <v>1.0099999999999909</v>
      </c>
      <c r="AE28" s="148">
        <f t="shared" si="2"/>
        <v>-6.9922771863910604E-3</v>
      </c>
    </row>
    <row r="29" spans="2:31" x14ac:dyDescent="0.25">
      <c r="W29" s="143">
        <v>42398</v>
      </c>
      <c r="X29" s="12">
        <v>94.21</v>
      </c>
      <c r="Y29" s="12">
        <v>95.82</v>
      </c>
      <c r="Z29" s="12">
        <v>93.63</v>
      </c>
      <c r="AA29" s="12">
        <v>95.82</v>
      </c>
      <c r="AB29" s="105">
        <v>8071700</v>
      </c>
      <c r="AC29" s="12">
        <v>95.82</v>
      </c>
      <c r="AD29" s="2">
        <f t="shared" si="1"/>
        <v>2.1899999999999977</v>
      </c>
      <c r="AE29" s="148">
        <f t="shared" si="2"/>
        <v>2.4484122741366354E-2</v>
      </c>
    </row>
    <row r="30" spans="2:31" x14ac:dyDescent="0.25">
      <c r="W30" s="143">
        <v>42397</v>
      </c>
      <c r="X30" s="12">
        <v>95.2</v>
      </c>
      <c r="Y30" s="12">
        <v>95.2</v>
      </c>
      <c r="Z30" s="12">
        <v>92.37</v>
      </c>
      <c r="AA30" s="12">
        <v>93.53</v>
      </c>
      <c r="AB30" s="105">
        <v>7275600</v>
      </c>
      <c r="AC30" s="12">
        <v>93.53</v>
      </c>
      <c r="AD30" s="2">
        <f t="shared" si="1"/>
        <v>2.8299999999999983</v>
      </c>
      <c r="AE30" s="148">
        <f t="shared" si="2"/>
        <v>-8.3757421543679822E-3</v>
      </c>
    </row>
    <row r="31" spans="2:31" x14ac:dyDescent="0.25">
      <c r="W31" s="143">
        <v>42396</v>
      </c>
      <c r="X31" s="12">
        <v>96.31</v>
      </c>
      <c r="Y31" s="12">
        <v>96.63</v>
      </c>
      <c r="Z31" s="12">
        <v>93.87</v>
      </c>
      <c r="AA31" s="12">
        <v>94.32</v>
      </c>
      <c r="AB31" s="105">
        <v>6292100</v>
      </c>
      <c r="AC31" s="12">
        <v>94.32</v>
      </c>
      <c r="AD31" s="2">
        <f t="shared" si="1"/>
        <v>2.7599999999999909</v>
      </c>
      <c r="AE31" s="148">
        <f t="shared" si="2"/>
        <v>-2.0255531318167708E-2</v>
      </c>
    </row>
    <row r="32" spans="2:31" x14ac:dyDescent="0.25">
      <c r="W32" s="143">
        <v>42395</v>
      </c>
      <c r="X32" s="12">
        <v>95.49</v>
      </c>
      <c r="Y32" s="12">
        <v>96.43</v>
      </c>
      <c r="Z32" s="12">
        <v>95.09</v>
      </c>
      <c r="AA32" s="12">
        <v>96.27</v>
      </c>
      <c r="AB32" s="105">
        <v>6895000</v>
      </c>
      <c r="AC32" s="12">
        <v>96.27</v>
      </c>
      <c r="AD32" s="2">
        <f t="shared" si="1"/>
        <v>1.3400000000000034</v>
      </c>
      <c r="AE32" s="148">
        <f t="shared" si="2"/>
        <v>1.0284395004722224E-2</v>
      </c>
    </row>
    <row r="33" spans="15:31" x14ac:dyDescent="0.25">
      <c r="W33" s="143">
        <v>42394</v>
      </c>
      <c r="X33" s="12">
        <v>96.42</v>
      </c>
      <c r="Y33" s="12">
        <v>96.68</v>
      </c>
      <c r="Z33" s="12">
        <v>95.12</v>
      </c>
      <c r="AA33" s="12">
        <v>95.29</v>
      </c>
      <c r="AB33" s="105">
        <v>7768800</v>
      </c>
      <c r="AC33" s="12">
        <v>95.29</v>
      </c>
      <c r="AD33" s="2">
        <f t="shared" si="1"/>
        <v>1.5600000000000023</v>
      </c>
      <c r="AE33" s="148">
        <f t="shared" si="2"/>
        <v>-1.6615067079463364E-2</v>
      </c>
    </row>
    <row r="34" spans="15:31" x14ac:dyDescent="0.25">
      <c r="W34" s="143">
        <v>42391</v>
      </c>
      <c r="X34" s="12">
        <v>95.95</v>
      </c>
      <c r="Y34" s="12">
        <v>97.42</v>
      </c>
      <c r="Z34" s="12">
        <v>95.55</v>
      </c>
      <c r="AA34" s="12">
        <v>96.9</v>
      </c>
      <c r="AB34" s="105">
        <v>12250700</v>
      </c>
      <c r="AC34" s="12">
        <v>96.9</v>
      </c>
      <c r="AD34" s="2">
        <f t="shared" si="1"/>
        <v>1.8700000000000045</v>
      </c>
      <c r="AE34" s="148">
        <f t="shared" si="2"/>
        <v>3.0631780472240022E-2</v>
      </c>
    </row>
    <row r="35" spans="15:31" x14ac:dyDescent="0.25">
      <c r="W35" s="143">
        <v>42390</v>
      </c>
      <c r="X35" s="12">
        <v>92.87</v>
      </c>
      <c r="Y35" s="12">
        <v>94.86</v>
      </c>
      <c r="Z35" s="12">
        <v>92.3</v>
      </c>
      <c r="AA35" s="12">
        <v>94.02</v>
      </c>
      <c r="AB35" s="105">
        <v>12047900</v>
      </c>
      <c r="AC35" s="12">
        <v>94.02</v>
      </c>
      <c r="AD35" s="2">
        <f t="shared" si="1"/>
        <v>2.5600000000000023</v>
      </c>
      <c r="AE35" s="148">
        <f t="shared" si="2"/>
        <v>1.5993084071752595E-2</v>
      </c>
    </row>
    <row r="36" spans="15:31" x14ac:dyDescent="0.25">
      <c r="W36" s="143">
        <v>42389</v>
      </c>
      <c r="X36" s="12">
        <v>92.18</v>
      </c>
      <c r="Y36" s="12">
        <v>93.64</v>
      </c>
      <c r="Z36" s="12">
        <v>90.42</v>
      </c>
      <c r="AA36" s="12">
        <v>92.54</v>
      </c>
      <c r="AB36" s="105">
        <v>16865900</v>
      </c>
      <c r="AC36" s="12">
        <v>92.54</v>
      </c>
      <c r="AD36" s="2">
        <f t="shared" si="1"/>
        <v>3.2199999999999989</v>
      </c>
      <c r="AE36" s="148">
        <f t="shared" si="2"/>
        <v>-1.5217622645525064E-2</v>
      </c>
    </row>
    <row r="37" spans="15:31" x14ac:dyDescent="0.25">
      <c r="W37" s="143">
        <v>42388</v>
      </c>
      <c r="X37" s="12">
        <v>95</v>
      </c>
      <c r="Y37" s="12">
        <v>95.07</v>
      </c>
      <c r="Z37" s="12">
        <v>93.03</v>
      </c>
      <c r="AA37" s="12">
        <v>93.97</v>
      </c>
      <c r="AB37" s="105">
        <v>13210500</v>
      </c>
      <c r="AC37" s="12">
        <v>93.97</v>
      </c>
      <c r="AD37" s="2">
        <f t="shared" si="1"/>
        <v>2.039999999999992</v>
      </c>
      <c r="AE37" s="148">
        <f t="shared" si="2"/>
        <v>7.4547390841317451E-4</v>
      </c>
    </row>
    <row r="38" spans="15:31" x14ac:dyDescent="0.25">
      <c r="W38" s="143">
        <v>42384</v>
      </c>
      <c r="X38" s="12">
        <v>95.62</v>
      </c>
      <c r="Y38" s="12">
        <v>96.88</v>
      </c>
      <c r="Z38" s="12">
        <v>93.46</v>
      </c>
      <c r="AA38" s="12">
        <v>93.9</v>
      </c>
      <c r="AB38" s="105">
        <v>22135500</v>
      </c>
      <c r="AC38" s="12">
        <v>93.9</v>
      </c>
      <c r="AD38" s="2">
        <f t="shared" si="1"/>
        <v>3.4200000000000017</v>
      </c>
      <c r="AE38" s="148">
        <f t="shared" si="2"/>
        <v>-5.2567853899707306E-2</v>
      </c>
    </row>
    <row r="39" spans="15:31" x14ac:dyDescent="0.25">
      <c r="W39" s="143">
        <v>42383</v>
      </c>
      <c r="X39" s="12">
        <v>98.65</v>
      </c>
      <c r="Y39" s="12">
        <v>99.91</v>
      </c>
      <c r="Z39" s="12">
        <v>97.19</v>
      </c>
      <c r="AA39" s="12">
        <v>99.11</v>
      </c>
      <c r="AB39" s="105">
        <v>11076500</v>
      </c>
      <c r="AC39" s="12">
        <v>99.11</v>
      </c>
      <c r="AD39" s="2">
        <f t="shared" si="1"/>
        <v>2.7199999999999989</v>
      </c>
      <c r="AE39" s="148">
        <f t="shared" si="2"/>
        <v>6.3972380178716204E-3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42382</v>
      </c>
      <c r="X40" s="12">
        <v>101.88</v>
      </c>
      <c r="Y40" s="12">
        <v>101.88</v>
      </c>
      <c r="Z40" s="12">
        <v>98.12</v>
      </c>
      <c r="AA40" s="12">
        <v>98.48</v>
      </c>
      <c r="AB40" s="105">
        <v>11472000</v>
      </c>
      <c r="AC40" s="12">
        <v>98.48</v>
      </c>
      <c r="AD40" s="2">
        <f t="shared" si="1"/>
        <v>3.7599999999999909</v>
      </c>
      <c r="AE40" s="148">
        <f t="shared" si="2"/>
        <v>-2.9371180760890847E-2</v>
      </c>
    </row>
    <row r="41" spans="15:31" ht="15.75" thickTop="1" x14ac:dyDescent="0.25">
      <c r="O41" s="93">
        <v>1.1000000000000001</v>
      </c>
      <c r="P41" s="93">
        <f>O41*$Q$4</f>
        <v>107.426</v>
      </c>
      <c r="Q41" s="2"/>
      <c r="T41" s="138" t="s">
        <v>101</v>
      </c>
      <c r="U41" s="108">
        <v>97.82</v>
      </c>
      <c r="W41" s="143">
        <v>42381</v>
      </c>
      <c r="X41" s="12">
        <v>100.97</v>
      </c>
      <c r="Y41" s="12">
        <v>101.85</v>
      </c>
      <c r="Z41" s="12">
        <v>100.34</v>
      </c>
      <c r="AA41" s="12">
        <v>101.46</v>
      </c>
      <c r="AB41" s="105">
        <v>8728500</v>
      </c>
      <c r="AC41" s="12">
        <v>101.46</v>
      </c>
      <c r="AD41" s="2">
        <f t="shared" si="1"/>
        <v>1.5099999999999909</v>
      </c>
      <c r="AE41" s="148">
        <f t="shared" si="2"/>
        <v>1.5412329863891072E-2</v>
      </c>
    </row>
    <row r="42" spans="15:31" x14ac:dyDescent="0.25">
      <c r="O42" s="93">
        <v>1.0900000000000001</v>
      </c>
      <c r="P42" s="93">
        <f t="shared" ref="P42:P61" si="7">O42*$Q$4</f>
        <v>106.4494</v>
      </c>
      <c r="Q42" s="2"/>
      <c r="T42" s="103" t="s">
        <v>102</v>
      </c>
      <c r="U42" s="98">
        <v>98</v>
      </c>
      <c r="W42" s="143">
        <v>42380</v>
      </c>
      <c r="X42" s="12">
        <v>100.21</v>
      </c>
      <c r="Y42" s="12">
        <v>100.45</v>
      </c>
      <c r="Z42" s="12">
        <v>98.55</v>
      </c>
      <c r="AA42" s="12">
        <v>99.92</v>
      </c>
      <c r="AB42" s="105">
        <v>9558600</v>
      </c>
      <c r="AC42" s="12">
        <v>99.92</v>
      </c>
      <c r="AD42" s="2">
        <f t="shared" si="1"/>
        <v>1.9000000000000057</v>
      </c>
      <c r="AE42" s="148">
        <f t="shared" si="2"/>
        <v>6.7506297229218415E-3</v>
      </c>
    </row>
    <row r="43" spans="15:31" x14ac:dyDescent="0.25">
      <c r="O43" s="93">
        <v>1.08</v>
      </c>
      <c r="P43" s="93">
        <f t="shared" si="7"/>
        <v>105.47280000000001</v>
      </c>
      <c r="Q43" s="2"/>
      <c r="T43" s="103" t="s">
        <v>103</v>
      </c>
      <c r="U43" s="98" t="s">
        <v>405</v>
      </c>
      <c r="W43" s="143">
        <v>42377</v>
      </c>
      <c r="X43" s="12">
        <v>100.63</v>
      </c>
      <c r="Y43" s="12">
        <v>100.92</v>
      </c>
      <c r="Z43" s="12">
        <v>99</v>
      </c>
      <c r="AA43" s="12">
        <v>99.25</v>
      </c>
      <c r="AB43" s="105">
        <v>10603900</v>
      </c>
      <c r="AC43" s="12">
        <v>99.25</v>
      </c>
      <c r="AD43" s="2">
        <f t="shared" si="1"/>
        <v>1.9200000000000017</v>
      </c>
      <c r="AE43" s="148">
        <f t="shared" si="2"/>
        <v>-2.5125628140703071E-3</v>
      </c>
    </row>
    <row r="44" spans="15:31" x14ac:dyDescent="0.25">
      <c r="O44" s="93">
        <v>1.07</v>
      </c>
      <c r="P44" s="93">
        <f t="shared" si="7"/>
        <v>104.4962</v>
      </c>
      <c r="Q44" s="2"/>
      <c r="T44" s="103" t="s">
        <v>104</v>
      </c>
      <c r="U44" s="98" t="s">
        <v>406</v>
      </c>
      <c r="W44" s="143">
        <v>42376</v>
      </c>
      <c r="X44" s="12">
        <v>98.96</v>
      </c>
      <c r="Y44" s="12">
        <v>101.35</v>
      </c>
      <c r="Z44" s="12">
        <v>98.52</v>
      </c>
      <c r="AA44" s="12">
        <v>99.5</v>
      </c>
      <c r="AB44" s="105">
        <v>14474500</v>
      </c>
      <c r="AC44" s="12">
        <v>99.5</v>
      </c>
      <c r="AD44" s="2">
        <f t="shared" si="1"/>
        <v>2.8299999999999983</v>
      </c>
      <c r="AE44" s="148">
        <f t="shared" si="2"/>
        <v>-8.5691510561977102E-3</v>
      </c>
    </row>
    <row r="45" spans="15:31" x14ac:dyDescent="0.25">
      <c r="O45" s="93">
        <v>1.06</v>
      </c>
      <c r="P45" s="93">
        <f t="shared" si="7"/>
        <v>103.5196</v>
      </c>
      <c r="Q45" s="2"/>
      <c r="T45" s="103" t="s">
        <v>105</v>
      </c>
      <c r="U45" s="98">
        <v>108.93</v>
      </c>
      <c r="W45" s="143">
        <v>42375</v>
      </c>
      <c r="X45" s="12">
        <v>99.38</v>
      </c>
      <c r="Y45" s="12">
        <v>101.46</v>
      </c>
      <c r="Z45" s="12">
        <v>99.36</v>
      </c>
      <c r="AA45" s="12">
        <v>100.36</v>
      </c>
      <c r="AB45" s="105">
        <v>13886600</v>
      </c>
      <c r="AC45" s="12">
        <v>100.36</v>
      </c>
      <c r="AD45" s="2">
        <f t="shared" si="1"/>
        <v>2.0999999999999943</v>
      </c>
      <c r="AE45" s="148">
        <f t="shared" si="2"/>
        <v>-5.3518334985134253E-3</v>
      </c>
    </row>
    <row r="46" spans="15:31" x14ac:dyDescent="0.25">
      <c r="O46" s="93">
        <v>1.05</v>
      </c>
      <c r="P46" s="93">
        <f t="shared" si="7"/>
        <v>102.54300000000001</v>
      </c>
      <c r="Q46" s="2"/>
      <c r="T46" s="103" t="s">
        <v>106</v>
      </c>
      <c r="U46" s="98">
        <v>1.56073</v>
      </c>
      <c r="W46" s="143">
        <v>42374</v>
      </c>
      <c r="X46" s="12">
        <v>102.67</v>
      </c>
      <c r="Y46" s="12">
        <v>102.67</v>
      </c>
      <c r="Z46" s="12">
        <v>99.89</v>
      </c>
      <c r="AA46" s="12">
        <v>100.9</v>
      </c>
      <c r="AB46" s="105">
        <v>15828600</v>
      </c>
      <c r="AC46" s="12">
        <v>100.9</v>
      </c>
      <c r="AD46" s="2">
        <f t="shared" si="1"/>
        <v>2.7800000000000011</v>
      </c>
      <c r="AE46" s="148">
        <f t="shared" si="2"/>
        <v>-2.0198096717809255E-2</v>
      </c>
    </row>
    <row r="47" spans="15:31" x14ac:dyDescent="0.25">
      <c r="O47" s="93">
        <v>1.04</v>
      </c>
      <c r="P47" s="93">
        <f t="shared" si="7"/>
        <v>101.5664</v>
      </c>
      <c r="Q47" s="2"/>
      <c r="T47" s="103" t="s">
        <v>126</v>
      </c>
      <c r="U47" s="98" t="s">
        <v>266</v>
      </c>
      <c r="W47" s="143">
        <v>42373</v>
      </c>
      <c r="X47" s="12">
        <v>103.12</v>
      </c>
      <c r="Y47" s="12">
        <v>103.43</v>
      </c>
      <c r="Z47" s="12">
        <v>101.73</v>
      </c>
      <c r="AA47" s="12">
        <v>102.98</v>
      </c>
      <c r="AB47" s="105">
        <v>12462500</v>
      </c>
      <c r="AC47" s="12">
        <v>102.98</v>
      </c>
      <c r="AD47" s="2">
        <f t="shared" si="1"/>
        <v>1.7000000000000028</v>
      </c>
      <c r="AE47" s="148">
        <f t="shared" si="2"/>
        <v>-1.9984773505900222E-2</v>
      </c>
    </row>
    <row r="48" spans="15:31" x14ac:dyDescent="0.25">
      <c r="O48" s="93">
        <v>1.03</v>
      </c>
      <c r="P48" s="93">
        <f t="shared" si="7"/>
        <v>100.5898</v>
      </c>
      <c r="Q48" s="2"/>
      <c r="T48" s="103"/>
      <c r="U48" s="98"/>
      <c r="W48" s="143">
        <v>42369</v>
      </c>
      <c r="X48" s="12">
        <v>106.14</v>
      </c>
      <c r="Y48" s="12">
        <v>106.31</v>
      </c>
      <c r="Z48" s="12">
        <v>105.06</v>
      </c>
      <c r="AA48" s="12">
        <v>105.08</v>
      </c>
      <c r="AB48" s="105">
        <v>6609500</v>
      </c>
      <c r="AC48" s="12">
        <v>105.08</v>
      </c>
      <c r="AD48" s="2">
        <f t="shared" si="1"/>
        <v>1.25</v>
      </c>
      <c r="AE48" s="148">
        <f t="shared" si="2"/>
        <v>-1.1848786909911646E-2</v>
      </c>
    </row>
    <row r="49" spans="15:31" x14ac:dyDescent="0.25">
      <c r="O49" s="93">
        <v>1.02</v>
      </c>
      <c r="P49" s="93">
        <f t="shared" si="7"/>
        <v>99.613199999999992</v>
      </c>
      <c r="Q49" s="2"/>
      <c r="T49" s="103" t="s">
        <v>108</v>
      </c>
      <c r="U49" s="98" t="s">
        <v>407</v>
      </c>
      <c r="W49" s="143">
        <v>42368</v>
      </c>
      <c r="X49" s="12">
        <v>106.89</v>
      </c>
      <c r="Y49" s="12">
        <v>107.21</v>
      </c>
      <c r="Z49" s="12">
        <v>106.25</v>
      </c>
      <c r="AA49" s="12">
        <v>106.34</v>
      </c>
      <c r="AB49" s="105">
        <v>4903400</v>
      </c>
      <c r="AC49" s="12">
        <v>106.34</v>
      </c>
      <c r="AD49" s="2">
        <f t="shared" si="1"/>
        <v>0.95999999999999375</v>
      </c>
      <c r="AE49" s="148">
        <f t="shared" si="2"/>
        <v>-6.9107209562943028E-3</v>
      </c>
    </row>
    <row r="50" spans="15:31" x14ac:dyDescent="0.25">
      <c r="O50" s="93">
        <v>1.01</v>
      </c>
      <c r="P50" s="93">
        <f t="shared" si="7"/>
        <v>98.636600000000001</v>
      </c>
      <c r="Q50" s="2"/>
      <c r="T50" s="103" t="s">
        <v>109</v>
      </c>
      <c r="U50" s="98" t="s">
        <v>275</v>
      </c>
      <c r="W50" s="143">
        <v>42367</v>
      </c>
      <c r="X50" s="12">
        <v>107.88</v>
      </c>
      <c r="Y50" s="12">
        <v>108.04</v>
      </c>
      <c r="Z50" s="12">
        <v>106.45</v>
      </c>
      <c r="AA50" s="12">
        <v>107.08</v>
      </c>
      <c r="AB50" s="105">
        <v>8569800</v>
      </c>
      <c r="AC50" s="12">
        <v>107.08</v>
      </c>
      <c r="AD50" s="2">
        <f t="shared" si="1"/>
        <v>1.5900000000000034</v>
      </c>
      <c r="AE50" s="148">
        <f t="shared" si="2"/>
        <v>-1.585081585081638E-3</v>
      </c>
    </row>
    <row r="51" spans="15:31" x14ac:dyDescent="0.25">
      <c r="O51" s="93">
        <v>1</v>
      </c>
      <c r="P51" s="93">
        <f t="shared" si="7"/>
        <v>97.66</v>
      </c>
      <c r="Q51" s="2"/>
      <c r="T51" s="103" t="s">
        <v>110</v>
      </c>
      <c r="U51" s="100">
        <v>7010658</v>
      </c>
      <c r="W51" s="143">
        <v>42366</v>
      </c>
      <c r="X51" s="12">
        <v>106.5</v>
      </c>
      <c r="Y51" s="12">
        <v>108.2</v>
      </c>
      <c r="Z51" s="12">
        <v>106.33</v>
      </c>
      <c r="AA51" s="12">
        <v>107.25</v>
      </c>
      <c r="AB51" s="105">
        <v>8787300</v>
      </c>
      <c r="AC51" s="12">
        <v>107.25</v>
      </c>
      <c r="AD51" s="2">
        <f t="shared" si="1"/>
        <v>1.8700000000000045</v>
      </c>
      <c r="AE51" s="148">
        <f t="shared" si="2"/>
        <v>1.3130549782731871E-2</v>
      </c>
    </row>
    <row r="52" spans="15:31" x14ac:dyDescent="0.25">
      <c r="O52" s="93">
        <v>0.99</v>
      </c>
      <c r="P52" s="93">
        <f t="shared" si="7"/>
        <v>96.683399999999992</v>
      </c>
      <c r="Q52" s="2"/>
      <c r="T52" s="103" t="s">
        <v>113</v>
      </c>
      <c r="U52" s="100">
        <v>10713200</v>
      </c>
      <c r="W52" s="143">
        <v>42362</v>
      </c>
      <c r="X52" s="12">
        <v>105.2</v>
      </c>
      <c r="Y52" s="12">
        <v>106.64</v>
      </c>
      <c r="Z52" s="12">
        <v>105.06</v>
      </c>
      <c r="AA52" s="12">
        <v>105.86</v>
      </c>
      <c r="AB52" s="105">
        <v>4356100</v>
      </c>
      <c r="AC52" s="12">
        <v>105.86</v>
      </c>
      <c r="AD52" s="2">
        <f t="shared" si="1"/>
        <v>1.5799999999999983</v>
      </c>
      <c r="AE52" s="148">
        <f t="shared" si="2"/>
        <v>2.8419856006063338E-3</v>
      </c>
    </row>
    <row r="53" spans="15:31" x14ac:dyDescent="0.25">
      <c r="O53" s="93">
        <v>0.98</v>
      </c>
      <c r="P53" s="93">
        <f t="shared" si="7"/>
        <v>95.706800000000001</v>
      </c>
      <c r="Q53" s="2"/>
      <c r="T53" s="103" t="s">
        <v>111</v>
      </c>
      <c r="U53" s="98" t="s">
        <v>408</v>
      </c>
      <c r="W53" s="143">
        <v>42361</v>
      </c>
      <c r="X53" s="12">
        <v>107.21</v>
      </c>
      <c r="Y53" s="12">
        <v>107.24</v>
      </c>
      <c r="Z53" s="12">
        <v>104.3</v>
      </c>
      <c r="AA53" s="12">
        <v>105.56</v>
      </c>
      <c r="AB53" s="105">
        <v>12319500</v>
      </c>
      <c r="AC53" s="12">
        <v>105.56</v>
      </c>
      <c r="AD53" s="2">
        <f t="shared" si="1"/>
        <v>2.9399999999999977</v>
      </c>
      <c r="AE53" s="148">
        <f t="shared" si="2"/>
        <v>-1.105489975641738E-2</v>
      </c>
    </row>
    <row r="54" spans="15:31" x14ac:dyDescent="0.25">
      <c r="O54" s="93">
        <v>0.97</v>
      </c>
      <c r="P54" s="93">
        <f t="shared" si="7"/>
        <v>94.730199999999996</v>
      </c>
      <c r="T54" s="103" t="s">
        <v>114</v>
      </c>
      <c r="U54" s="98">
        <v>18.25</v>
      </c>
      <c r="W54" s="143">
        <v>42360</v>
      </c>
      <c r="X54" s="12">
        <v>106.99</v>
      </c>
      <c r="Y54" s="12">
        <v>107.2</v>
      </c>
      <c r="Z54" s="12">
        <v>105.83</v>
      </c>
      <c r="AA54" s="12">
        <v>106.74</v>
      </c>
      <c r="AB54" s="105">
        <v>8514200</v>
      </c>
      <c r="AC54" s="12">
        <v>106.74</v>
      </c>
      <c r="AD54" s="2">
        <f t="shared" si="1"/>
        <v>1.3700000000000045</v>
      </c>
      <c r="AE54" s="148">
        <f t="shared" si="2"/>
        <v>1.4072614691809093E-3</v>
      </c>
    </row>
    <row r="55" spans="15:31" x14ac:dyDescent="0.25">
      <c r="O55" s="93">
        <v>0.96</v>
      </c>
      <c r="P55" s="93">
        <f t="shared" si="7"/>
        <v>93.753599999999992</v>
      </c>
      <c r="T55" s="103" t="s">
        <v>115</v>
      </c>
      <c r="U55" s="98">
        <v>5.35</v>
      </c>
      <c r="W55" s="143">
        <v>42359</v>
      </c>
      <c r="X55" s="12">
        <v>108.8</v>
      </c>
      <c r="Y55" s="12">
        <v>110.1</v>
      </c>
      <c r="Z55" s="12">
        <v>105.33</v>
      </c>
      <c r="AA55" s="12">
        <v>106.59</v>
      </c>
      <c r="AB55" s="105">
        <v>22727000</v>
      </c>
      <c r="AC55" s="12">
        <v>106.59</v>
      </c>
      <c r="AD55" s="2">
        <f t="shared" si="1"/>
        <v>4.769999999999996</v>
      </c>
      <c r="AE55" s="148">
        <f t="shared" si="2"/>
        <v>-1.0490159673226862E-2</v>
      </c>
    </row>
    <row r="56" spans="15:31" x14ac:dyDescent="0.25">
      <c r="O56" s="93">
        <v>0.95</v>
      </c>
      <c r="P56" s="93">
        <f t="shared" si="7"/>
        <v>92.776999999999987</v>
      </c>
      <c r="T56" s="103" t="s">
        <v>112</v>
      </c>
      <c r="U56" s="98" t="s">
        <v>319</v>
      </c>
      <c r="W56" s="143">
        <v>42356</v>
      </c>
      <c r="X56" s="12">
        <v>112.01</v>
      </c>
      <c r="Y56" s="12">
        <v>112.44</v>
      </c>
      <c r="Z56" s="12">
        <v>107.35</v>
      </c>
      <c r="AA56" s="12">
        <v>107.72</v>
      </c>
      <c r="AB56" s="105">
        <v>27617500</v>
      </c>
      <c r="AC56" s="12">
        <v>107.72</v>
      </c>
      <c r="AD56" s="2">
        <f t="shared" si="1"/>
        <v>5.0900000000000034</v>
      </c>
      <c r="AE56" s="148">
        <f t="shared" si="2"/>
        <v>-3.8300151772163282E-2</v>
      </c>
    </row>
    <row r="57" spans="15:31" x14ac:dyDescent="0.25">
      <c r="O57" s="93">
        <v>0.94</v>
      </c>
      <c r="P57" s="93">
        <f t="shared" si="7"/>
        <v>91.800399999999996</v>
      </c>
      <c r="W57" s="143">
        <v>42355</v>
      </c>
      <c r="X57" s="12">
        <v>114.13</v>
      </c>
      <c r="Y57" s="12">
        <v>114.48</v>
      </c>
      <c r="Z57" s="12">
        <v>111.98</v>
      </c>
      <c r="AA57" s="12">
        <v>112.01</v>
      </c>
      <c r="AB57" s="105">
        <v>9296700</v>
      </c>
      <c r="AC57" s="12">
        <v>112.01</v>
      </c>
      <c r="AD57" s="2">
        <f t="shared" si="1"/>
        <v>2.5</v>
      </c>
      <c r="AE57" s="148">
        <f t="shared" si="2"/>
        <v>-1.5642850865629665E-2</v>
      </c>
    </row>
    <row r="58" spans="15:31" x14ac:dyDescent="0.25">
      <c r="O58" s="93">
        <v>0.93</v>
      </c>
      <c r="P58" s="93">
        <f t="shared" si="7"/>
        <v>90.823800000000006</v>
      </c>
      <c r="W58" s="143">
        <v>42354</v>
      </c>
      <c r="X58" s="12">
        <v>114.69</v>
      </c>
      <c r="Y58" s="12">
        <v>114.75</v>
      </c>
      <c r="Z58" s="12">
        <v>111.8</v>
      </c>
      <c r="AA58" s="12">
        <v>113.79</v>
      </c>
      <c r="AB58" s="105">
        <v>12193100</v>
      </c>
      <c r="AC58" s="12">
        <v>113.79</v>
      </c>
      <c r="AD58" s="2">
        <f t="shared" si="1"/>
        <v>2.9500000000000028</v>
      </c>
      <c r="AE58" s="148">
        <f t="shared" si="2"/>
        <v>1.4532810271041363E-2</v>
      </c>
    </row>
    <row r="59" spans="15:31" x14ac:dyDescent="0.25">
      <c r="O59" s="93">
        <v>0.92</v>
      </c>
      <c r="P59" s="93">
        <f t="shared" si="7"/>
        <v>89.847200000000001</v>
      </c>
      <c r="W59" s="143">
        <v>42353</v>
      </c>
      <c r="X59" s="12">
        <v>112.05</v>
      </c>
      <c r="Y59" s="12">
        <v>113.35</v>
      </c>
      <c r="Z59" s="12">
        <v>111.58</v>
      </c>
      <c r="AA59" s="12">
        <v>112.16</v>
      </c>
      <c r="AB59" s="105">
        <v>13260900</v>
      </c>
      <c r="AC59" s="12">
        <v>112.16</v>
      </c>
      <c r="AD59" s="2">
        <f t="shared" si="1"/>
        <v>1.769999999999996</v>
      </c>
      <c r="AE59" s="148">
        <f t="shared" si="2"/>
        <v>2.5697302240512032E-2</v>
      </c>
    </row>
    <row r="60" spans="15:31" x14ac:dyDescent="0.25">
      <c r="O60" s="93">
        <v>0.91</v>
      </c>
      <c r="P60" s="93">
        <f t="shared" si="7"/>
        <v>88.870599999999996</v>
      </c>
      <c r="W60" s="143">
        <v>42352</v>
      </c>
      <c r="X60" s="12">
        <v>108.68</v>
      </c>
      <c r="Y60" s="12">
        <v>109.87</v>
      </c>
      <c r="Z60" s="12">
        <v>108.28</v>
      </c>
      <c r="AA60" s="12">
        <v>109.35</v>
      </c>
      <c r="AB60" s="105">
        <v>9596900</v>
      </c>
      <c r="AC60" s="12">
        <v>109.35</v>
      </c>
      <c r="AD60" s="2">
        <f t="shared" si="1"/>
        <v>1.5900000000000034</v>
      </c>
      <c r="AE60" s="148">
        <f t="shared" si="2"/>
        <v>1.2125138837467464E-2</v>
      </c>
    </row>
    <row r="61" spans="15:31" x14ac:dyDescent="0.25">
      <c r="O61" s="93">
        <v>0.9</v>
      </c>
      <c r="P61" s="93">
        <f t="shared" si="7"/>
        <v>87.894000000000005</v>
      </c>
      <c r="W61" s="143">
        <v>42349</v>
      </c>
      <c r="X61" s="12">
        <v>110.76</v>
      </c>
      <c r="Y61" s="12">
        <v>110.76</v>
      </c>
      <c r="Z61" s="12">
        <v>107.62</v>
      </c>
      <c r="AA61" s="12">
        <v>108.04</v>
      </c>
      <c r="AB61" s="105">
        <v>12254000</v>
      </c>
      <c r="AC61" s="12">
        <v>108.04</v>
      </c>
      <c r="AD61" s="2">
        <f t="shared" si="1"/>
        <v>3.1400000000000006</v>
      </c>
      <c r="AE61" s="148">
        <f t="shared" si="2"/>
        <v>-2.4557602022390768E-2</v>
      </c>
    </row>
    <row r="62" spans="15:31" x14ac:dyDescent="0.25">
      <c r="W62" s="143">
        <v>42348</v>
      </c>
      <c r="X62" s="12">
        <v>111.15</v>
      </c>
      <c r="Y62" s="12">
        <v>111.58</v>
      </c>
      <c r="Z62" s="12">
        <v>110.17</v>
      </c>
      <c r="AA62" s="12">
        <v>110.76</v>
      </c>
      <c r="AB62" s="105">
        <v>6954500</v>
      </c>
      <c r="AC62" s="12">
        <v>110.76</v>
      </c>
      <c r="AD62" s="2">
        <f t="shared" si="1"/>
        <v>1.4099999999999966</v>
      </c>
      <c r="AE62" s="148">
        <f t="shared" si="2"/>
        <v>-6.3694267515923553E-3</v>
      </c>
    </row>
    <row r="63" spans="15:31" x14ac:dyDescent="0.25">
      <c r="W63" s="143">
        <v>42347</v>
      </c>
      <c r="X63" s="12">
        <v>112.39</v>
      </c>
      <c r="Y63" s="12">
        <v>113.06</v>
      </c>
      <c r="Z63" s="12">
        <v>110.58</v>
      </c>
      <c r="AA63" s="12">
        <v>111.47</v>
      </c>
      <c r="AB63" s="105">
        <v>9023000</v>
      </c>
      <c r="AC63" s="12">
        <v>111.47</v>
      </c>
      <c r="AD63" s="2">
        <f t="shared" si="1"/>
        <v>2.480000000000004</v>
      </c>
      <c r="AE63" s="148">
        <f t="shared" si="2"/>
        <v>-8.9793741109530645E-3</v>
      </c>
    </row>
    <row r="64" spans="15:31" x14ac:dyDescent="0.25">
      <c r="W64" s="143">
        <v>42346</v>
      </c>
      <c r="X64" s="12">
        <v>113.35</v>
      </c>
      <c r="Y64" s="12">
        <v>113.45</v>
      </c>
      <c r="Z64" s="12">
        <v>112.4</v>
      </c>
      <c r="AA64" s="12">
        <v>112.48</v>
      </c>
      <c r="AB64" s="105">
        <v>7480600</v>
      </c>
      <c r="AC64" s="12">
        <v>112.48</v>
      </c>
      <c r="AD64" s="2">
        <f t="shared" si="1"/>
        <v>1.0499999999999972</v>
      </c>
      <c r="AE64" s="148">
        <f t="shared" si="2"/>
        <v>-1.1859790916278645E-2</v>
      </c>
    </row>
    <row r="65" spans="23:31" x14ac:dyDescent="0.25">
      <c r="W65" s="143">
        <v>42345</v>
      </c>
      <c r="X65" s="12">
        <v>114.56</v>
      </c>
      <c r="Y65" s="12">
        <v>114.56</v>
      </c>
      <c r="Z65" s="12">
        <v>112.65</v>
      </c>
      <c r="AA65" s="12">
        <v>113.83</v>
      </c>
      <c r="AB65" s="105">
        <v>6738500</v>
      </c>
      <c r="AC65" s="12">
        <v>113.83</v>
      </c>
      <c r="AD65" s="2">
        <f t="shared" si="1"/>
        <v>1.9099999999999966</v>
      </c>
      <c r="AE65" s="148">
        <f t="shared" si="2"/>
        <v>-3.5889355742296791E-3</v>
      </c>
    </row>
    <row r="66" spans="23:31" x14ac:dyDescent="0.25">
      <c r="W66" s="143">
        <v>42342</v>
      </c>
      <c r="X66" s="12">
        <v>112.74</v>
      </c>
      <c r="Y66" s="12">
        <v>114.31</v>
      </c>
      <c r="Z66" s="12">
        <v>112.53</v>
      </c>
      <c r="AA66" s="12">
        <v>114.24</v>
      </c>
      <c r="AB66" s="105">
        <v>8771300</v>
      </c>
      <c r="AC66" s="12">
        <v>114.24</v>
      </c>
      <c r="AD66" s="2">
        <f t="shared" si="1"/>
        <v>1.7800000000000011</v>
      </c>
      <c r="AE66" s="148">
        <f t="shared" si="2"/>
        <v>2.100277057824651E-2</v>
      </c>
    </row>
    <row r="67" spans="23:31" x14ac:dyDescent="0.25">
      <c r="W67" s="143">
        <v>42341</v>
      </c>
      <c r="X67" s="12">
        <v>114.17</v>
      </c>
      <c r="Y67" s="12">
        <v>114.65</v>
      </c>
      <c r="Z67" s="12">
        <v>111.44</v>
      </c>
      <c r="AA67" s="12">
        <v>111.89</v>
      </c>
      <c r="AB67" s="105">
        <v>10446600</v>
      </c>
      <c r="AC67" s="12">
        <v>111.89</v>
      </c>
      <c r="AD67" s="2">
        <f t="shared" ref="AD67" si="8">Y67-Z67</f>
        <v>3.210000000000008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42438</v>
      </c>
      <c r="X2" s="11">
        <v>5.37</v>
      </c>
      <c r="Y2" s="11">
        <v>5.38</v>
      </c>
      <c r="Z2" s="11">
        <v>5.1100000000000003</v>
      </c>
      <c r="AA2" s="11">
        <v>5.17</v>
      </c>
      <c r="AB2" s="114">
        <v>32413000</v>
      </c>
      <c r="AC2" s="11">
        <v>5.17</v>
      </c>
      <c r="AD2" s="43">
        <f>Y2-Z2</f>
        <v>0.26999999999999957</v>
      </c>
      <c r="AE2" s="172" t="e">
        <f>AC2/AC3-1</f>
        <v>#DIV/0!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5.17</v>
      </c>
      <c r="T3" s="1"/>
      <c r="W3" s="120">
        <v>42438</v>
      </c>
      <c r="X3" s="11" t="s">
        <v>242</v>
      </c>
      <c r="Y3" s="11"/>
      <c r="Z3" s="11"/>
      <c r="AA3" s="11"/>
      <c r="AB3" s="114"/>
      <c r="AC3" s="11"/>
      <c r="AD3" s="43">
        <f t="shared" ref="AD3:AD66" si="0">Y3-Z3</f>
        <v>0</v>
      </c>
      <c r="AE3" s="172">
        <f t="shared" ref="AE3:AE66" si="1">AC3/AC4-1</f>
        <v>-1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5.17</v>
      </c>
      <c r="T4" s="173"/>
      <c r="W4" s="120">
        <v>42437</v>
      </c>
      <c r="X4" s="11">
        <v>5.76</v>
      </c>
      <c r="Y4" s="11">
        <v>5.77</v>
      </c>
      <c r="Z4" s="11">
        <v>5.52</v>
      </c>
      <c r="AA4" s="11">
        <v>5.65</v>
      </c>
      <c r="AB4" s="114">
        <v>21167400</v>
      </c>
      <c r="AC4" s="11">
        <v>5.55</v>
      </c>
      <c r="AD4" s="43">
        <f t="shared" si="0"/>
        <v>0.25</v>
      </c>
      <c r="AE4" s="172">
        <f t="shared" si="1"/>
        <v>-2.2887323943661997E-2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0</v>
      </c>
      <c r="W5" s="120">
        <v>42436</v>
      </c>
      <c r="X5" s="11">
        <v>5.54</v>
      </c>
      <c r="Y5" s="11">
        <v>5.85</v>
      </c>
      <c r="Z5" s="11">
        <v>5.47</v>
      </c>
      <c r="AA5" s="11">
        <v>5.79</v>
      </c>
      <c r="AB5" s="114">
        <v>18805400</v>
      </c>
      <c r="AC5" s="11">
        <v>5.68</v>
      </c>
      <c r="AD5" s="43">
        <f t="shared" si="0"/>
        <v>0.37999999999999989</v>
      </c>
      <c r="AE5" s="172">
        <f t="shared" si="1"/>
        <v>3.8391224862888373E-2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0</v>
      </c>
      <c r="W6" s="120">
        <v>42433</v>
      </c>
      <c r="X6" s="11">
        <v>5.69</v>
      </c>
      <c r="Y6" s="11">
        <v>5.85</v>
      </c>
      <c r="Z6" s="11">
        <v>5.52</v>
      </c>
      <c r="AA6" s="11">
        <v>5.57</v>
      </c>
      <c r="AB6" s="114">
        <v>27837700</v>
      </c>
      <c r="AC6" s="11">
        <v>5.47</v>
      </c>
      <c r="AD6" s="43">
        <f t="shared" si="0"/>
        <v>0.33000000000000007</v>
      </c>
      <c r="AE6" s="172">
        <f t="shared" si="1"/>
        <v>-1.9713261648745539E-2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11"/>
      <c r="W7" s="120">
        <v>42432</v>
      </c>
      <c r="X7" s="11">
        <v>5.63</v>
      </c>
      <c r="Y7" s="11">
        <v>5.81</v>
      </c>
      <c r="Z7" s="11">
        <v>5.6</v>
      </c>
      <c r="AA7" s="11">
        <v>5.69</v>
      </c>
      <c r="AB7" s="114">
        <v>19465100</v>
      </c>
      <c r="AC7" s="11">
        <v>5.58</v>
      </c>
      <c r="AD7" s="43">
        <f t="shared" si="0"/>
        <v>0.20999999999999996</v>
      </c>
      <c r="AE7" s="172">
        <f t="shared" si="1"/>
        <v>9.0415913200723175E-3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42431</v>
      </c>
      <c r="X8" s="11">
        <v>5.48</v>
      </c>
      <c r="Y8" s="11">
        <v>5.68</v>
      </c>
      <c r="Z8" s="11">
        <v>5.43</v>
      </c>
      <c r="AA8" s="11">
        <v>5.63</v>
      </c>
      <c r="AB8" s="114">
        <v>16976500</v>
      </c>
      <c r="AC8" s="11">
        <v>5.53</v>
      </c>
      <c r="AD8" s="43">
        <f t="shared" si="0"/>
        <v>0.25</v>
      </c>
      <c r="AE8" s="172">
        <f t="shared" si="1"/>
        <v>2.9795158286778367E-2</v>
      </c>
    </row>
    <row r="9" spans="1:31" x14ac:dyDescent="0.25">
      <c r="H9" s="81"/>
      <c r="O9" s="13" t="s">
        <v>261</v>
      </c>
      <c r="Q9" s="148">
        <f>VALUE(TRIM(CLEAN(MID(U56, FIND("(", U56)+1, 5))))</f>
        <v>7.5399999999999995E-2</v>
      </c>
      <c r="W9" s="120">
        <v>42430</v>
      </c>
      <c r="X9" s="11">
        <v>5.46</v>
      </c>
      <c r="Y9" s="11">
        <v>5.52</v>
      </c>
      <c r="Z9" s="11">
        <v>5.41</v>
      </c>
      <c r="AA9" s="11">
        <v>5.47</v>
      </c>
      <c r="AB9" s="114">
        <v>18889600</v>
      </c>
      <c r="AC9" s="11">
        <v>5.37</v>
      </c>
      <c r="AD9" s="43">
        <f t="shared" si="0"/>
        <v>0.10999999999999943</v>
      </c>
      <c r="AE9" s="172">
        <f t="shared" si="1"/>
        <v>1.1299435028248705E-2</v>
      </c>
    </row>
    <row r="10" spans="1:31" x14ac:dyDescent="0.25">
      <c r="H10" s="81"/>
      <c r="W10" s="120">
        <v>42429</v>
      </c>
      <c r="X10" s="11">
        <v>5.4</v>
      </c>
      <c r="Y10" s="11">
        <v>5.52</v>
      </c>
      <c r="Z10" s="11">
        <v>5.36</v>
      </c>
      <c r="AA10" s="11">
        <v>5.41</v>
      </c>
      <c r="AB10" s="114">
        <v>29556900</v>
      </c>
      <c r="AC10" s="11">
        <v>5.31</v>
      </c>
      <c r="AD10" s="43">
        <f t="shared" si="0"/>
        <v>0.15999999999999925</v>
      </c>
      <c r="AE10" s="172">
        <f t="shared" si="1"/>
        <v>-3.7523452157599557E-3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42426</v>
      </c>
      <c r="X11" s="11">
        <v>5.32</v>
      </c>
      <c r="Y11" s="11">
        <v>5.47</v>
      </c>
      <c r="Z11" s="11">
        <v>5.19</v>
      </c>
      <c r="AA11" s="11">
        <v>5.43</v>
      </c>
      <c r="AB11" s="114">
        <v>19529200</v>
      </c>
      <c r="AC11" s="11">
        <v>5.33</v>
      </c>
      <c r="AD11" s="43">
        <f t="shared" si="0"/>
        <v>0.27999999999999936</v>
      </c>
      <c r="AE11" s="172">
        <f t="shared" si="1"/>
        <v>2.303262955854124E-2</v>
      </c>
    </row>
    <row r="12" spans="1:31" x14ac:dyDescent="0.25">
      <c r="W12" s="120">
        <v>42425</v>
      </c>
      <c r="X12" s="11">
        <v>5.35</v>
      </c>
      <c r="Y12" s="11">
        <v>5.38</v>
      </c>
      <c r="Z12" s="11">
        <v>5.13</v>
      </c>
      <c r="AA12" s="11">
        <v>5.31</v>
      </c>
      <c r="AB12" s="114">
        <v>39810100</v>
      </c>
      <c r="AC12" s="11">
        <v>5.21</v>
      </c>
      <c r="AD12" s="43">
        <f t="shared" si="0"/>
        <v>0.25</v>
      </c>
      <c r="AE12" s="172">
        <f t="shared" si="1"/>
        <v>1.9230769230769162E-3</v>
      </c>
    </row>
    <row r="13" spans="1:31" x14ac:dyDescent="0.25">
      <c r="W13" s="120">
        <v>42424</v>
      </c>
      <c r="X13" s="11">
        <v>5.03</v>
      </c>
      <c r="Y13" s="11">
        <v>5.35</v>
      </c>
      <c r="Z13" s="11">
        <v>4.9800000000000004</v>
      </c>
      <c r="AA13" s="11">
        <v>5.3</v>
      </c>
      <c r="AB13" s="114">
        <v>61804000</v>
      </c>
      <c r="AC13" s="11">
        <v>5.2</v>
      </c>
      <c r="AD13" s="43">
        <f t="shared" si="0"/>
        <v>0.36999999999999922</v>
      </c>
      <c r="AE13" s="172">
        <f t="shared" si="1"/>
        <v>4.2084168336673278E-2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I14" s="262" t="s">
        <v>185</v>
      </c>
      <c r="W14" s="120">
        <v>42423</v>
      </c>
      <c r="X14" s="11">
        <v>4.74</v>
      </c>
      <c r="Y14" s="11">
        <v>5.09</v>
      </c>
      <c r="Z14" s="11">
        <v>4.6399999999999997</v>
      </c>
      <c r="AA14" s="11">
        <v>5.08</v>
      </c>
      <c r="AB14" s="114">
        <v>52495100</v>
      </c>
      <c r="AC14" s="11">
        <v>4.99</v>
      </c>
      <c r="AD14" s="43">
        <f t="shared" si="0"/>
        <v>0.45000000000000018</v>
      </c>
      <c r="AE14" s="172">
        <f t="shared" si="1"/>
        <v>0.12641083521444707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42422</v>
      </c>
      <c r="X15" s="11">
        <v>4.53</v>
      </c>
      <c r="Y15" s="11">
        <v>4.6500000000000004</v>
      </c>
      <c r="Z15" s="11">
        <v>4.49</v>
      </c>
      <c r="AA15" s="11">
        <v>4.51</v>
      </c>
      <c r="AB15" s="114">
        <v>23203700</v>
      </c>
      <c r="AC15" s="11">
        <v>4.43</v>
      </c>
      <c r="AD15" s="43">
        <f t="shared" si="0"/>
        <v>0.16000000000000014</v>
      </c>
      <c r="AE15" s="172">
        <f t="shared" si="1"/>
        <v>1.6055045871559592E-2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42419</v>
      </c>
      <c r="X16" s="11">
        <v>4.54</v>
      </c>
      <c r="Y16" s="11">
        <v>4.55</v>
      </c>
      <c r="Z16" s="11">
        <v>4.37</v>
      </c>
      <c r="AA16" s="11">
        <v>4.4400000000000004</v>
      </c>
      <c r="AB16" s="114">
        <v>11815400</v>
      </c>
      <c r="AC16" s="11">
        <v>4.3600000000000003</v>
      </c>
      <c r="AD16" s="43">
        <f t="shared" si="0"/>
        <v>0.17999999999999972</v>
      </c>
      <c r="AE16" s="172">
        <f t="shared" si="1"/>
        <v>-2.2421524663677084E-2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42418</v>
      </c>
      <c r="X17" s="11">
        <v>4.45</v>
      </c>
      <c r="Y17" s="11">
        <v>4.7</v>
      </c>
      <c r="Z17" s="11">
        <v>4.4000000000000004</v>
      </c>
      <c r="AA17" s="11">
        <v>4.54</v>
      </c>
      <c r="AB17" s="114">
        <v>18100000</v>
      </c>
      <c r="AC17" s="11">
        <v>4.46</v>
      </c>
      <c r="AD17" s="43">
        <f t="shared" si="0"/>
        <v>0.29999999999999982</v>
      </c>
      <c r="AE17" s="172">
        <f t="shared" si="1"/>
        <v>2.7649769585253559E-2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42417</v>
      </c>
      <c r="X18" s="11">
        <v>4.32</v>
      </c>
      <c r="Y18" s="11">
        <v>4.47</v>
      </c>
      <c r="Z18" s="11">
        <v>4.28</v>
      </c>
      <c r="AA18" s="11">
        <v>4.42</v>
      </c>
      <c r="AB18" s="114">
        <v>13517900</v>
      </c>
      <c r="AC18" s="11">
        <v>4.34</v>
      </c>
      <c r="AD18" s="43">
        <f t="shared" si="0"/>
        <v>0.1899999999999995</v>
      </c>
      <c r="AE18" s="172">
        <f t="shared" si="1"/>
        <v>4.0767386091127067E-2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42416</v>
      </c>
      <c r="X19" s="11">
        <v>4.3499999999999996</v>
      </c>
      <c r="Y19" s="11">
        <v>4.3499999999999996</v>
      </c>
      <c r="Z19" s="11">
        <v>4.1500000000000004</v>
      </c>
      <c r="AA19" s="11">
        <v>4.25</v>
      </c>
      <c r="AB19" s="114">
        <v>11779900</v>
      </c>
      <c r="AC19" s="11">
        <v>4.17</v>
      </c>
      <c r="AD19" s="43">
        <f t="shared" si="0"/>
        <v>0.19999999999999929</v>
      </c>
      <c r="AE19" s="172">
        <f t="shared" si="1"/>
        <v>2.4038461538460343E-3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42412</v>
      </c>
      <c r="X20" s="11">
        <v>4.2</v>
      </c>
      <c r="Y20" s="11">
        <v>4.29</v>
      </c>
      <c r="Z20" s="11">
        <v>4.0599999999999996</v>
      </c>
      <c r="AA20" s="11">
        <v>4.24</v>
      </c>
      <c r="AB20" s="114">
        <v>19893900</v>
      </c>
      <c r="AC20" s="11">
        <v>4.16</v>
      </c>
      <c r="AD20" s="43">
        <f t="shared" si="0"/>
        <v>0.23000000000000043</v>
      </c>
      <c r="AE20" s="172">
        <f t="shared" si="1"/>
        <v>1.7114914425427896E-2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42411</v>
      </c>
      <c r="X21" s="11">
        <v>4.12</v>
      </c>
      <c r="Y21" s="11">
        <v>4.26</v>
      </c>
      <c r="Z21" s="11">
        <v>4.07</v>
      </c>
      <c r="AA21" s="11">
        <v>4.17</v>
      </c>
      <c r="AB21" s="114">
        <v>20949700</v>
      </c>
      <c r="AC21" s="11">
        <v>4.09</v>
      </c>
      <c r="AD21" s="43">
        <f t="shared" si="0"/>
        <v>0.1899999999999995</v>
      </c>
      <c r="AE21" s="172">
        <f t="shared" si="1"/>
        <v>0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42410</v>
      </c>
      <c r="X22" s="11">
        <v>4.3600000000000003</v>
      </c>
      <c r="Y22" s="11">
        <v>4.37</v>
      </c>
      <c r="Z22" s="11">
        <v>4.1100000000000003</v>
      </c>
      <c r="AA22" s="11">
        <v>4.17</v>
      </c>
      <c r="AB22" s="114">
        <v>18481900</v>
      </c>
      <c r="AC22" s="11">
        <v>4.09</v>
      </c>
      <c r="AD22" s="43">
        <f t="shared" si="0"/>
        <v>0.25999999999999979</v>
      </c>
      <c r="AE22" s="172">
        <f t="shared" si="1"/>
        <v>-3.5377358490566113E-2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42409</v>
      </c>
      <c r="X23" s="11">
        <v>4.25</v>
      </c>
      <c r="Y23" s="11">
        <v>4.3600000000000003</v>
      </c>
      <c r="Z23" s="11">
        <v>4.08</v>
      </c>
      <c r="AA23" s="11">
        <v>4.32</v>
      </c>
      <c r="AB23" s="114">
        <v>22689900</v>
      </c>
      <c r="AC23" s="11">
        <v>4.24</v>
      </c>
      <c r="AD23" s="43">
        <f t="shared" si="0"/>
        <v>0.28000000000000025</v>
      </c>
      <c r="AE23" s="172">
        <f t="shared" si="1"/>
        <v>0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42408</v>
      </c>
      <c r="X24" s="11">
        <v>4.63</v>
      </c>
      <c r="Y24" s="11">
        <v>4.66</v>
      </c>
      <c r="Z24" s="11">
        <v>4.21</v>
      </c>
      <c r="AA24" s="11">
        <v>4.32</v>
      </c>
      <c r="AB24" s="114">
        <v>19109700</v>
      </c>
      <c r="AC24" s="11">
        <v>4.24</v>
      </c>
      <c r="AD24" s="43">
        <f t="shared" si="0"/>
        <v>0.45000000000000018</v>
      </c>
      <c r="AE24" s="172">
        <f t="shared" si="1"/>
        <v>-7.6252723311546755E-2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42405</v>
      </c>
      <c r="X25" s="11">
        <v>4.6900000000000004</v>
      </c>
      <c r="Y25" s="11">
        <v>4.8600000000000003</v>
      </c>
      <c r="Z25" s="11">
        <v>4.6100000000000003</v>
      </c>
      <c r="AA25" s="11">
        <v>4.68</v>
      </c>
      <c r="AB25" s="114">
        <v>25876200</v>
      </c>
      <c r="AC25" s="11">
        <v>4.59</v>
      </c>
      <c r="AD25" s="43">
        <f t="shared" si="0"/>
        <v>0.25</v>
      </c>
      <c r="AE25" s="172">
        <f t="shared" si="1"/>
        <v>-4.3383947939263923E-3</v>
      </c>
    </row>
    <row r="26" spans="2:31" x14ac:dyDescent="0.25">
      <c r="B26" s="216">
        <v>42436</v>
      </c>
      <c r="C26" s="12">
        <v>0</v>
      </c>
      <c r="D26" s="227"/>
      <c r="E26" s="43">
        <v>5.79</v>
      </c>
      <c r="F26" s="275">
        <v>434.93</v>
      </c>
      <c r="G26" s="43"/>
      <c r="H26" s="270"/>
      <c r="I26" s="43"/>
      <c r="W26" s="120">
        <v>42404</v>
      </c>
      <c r="X26" s="11">
        <v>4.62</v>
      </c>
      <c r="Y26" s="11">
        <v>4.8899999999999997</v>
      </c>
      <c r="Z26" s="11">
        <v>4.62</v>
      </c>
      <c r="AA26" s="11">
        <v>4.7</v>
      </c>
      <c r="AB26" s="114">
        <v>26429500</v>
      </c>
      <c r="AC26" s="11">
        <v>4.6100000000000003</v>
      </c>
      <c r="AD26" s="43">
        <f t="shared" si="0"/>
        <v>0.26999999999999957</v>
      </c>
      <c r="AE26" s="172">
        <f t="shared" si="1"/>
        <v>2.2172949002217335E-2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42403</v>
      </c>
      <c r="X27" s="11">
        <v>4.42</v>
      </c>
      <c r="Y27" s="11">
        <v>4.6399999999999997</v>
      </c>
      <c r="Z27" s="11">
        <v>4.38</v>
      </c>
      <c r="AA27" s="11">
        <v>4.5999999999999996</v>
      </c>
      <c r="AB27" s="114">
        <v>15768300</v>
      </c>
      <c r="AC27" s="11">
        <v>4.51</v>
      </c>
      <c r="AD27" s="43">
        <f t="shared" si="0"/>
        <v>0.25999999999999979</v>
      </c>
      <c r="AE27" s="172">
        <f t="shared" si="1"/>
        <v>5.6206088992974301E-2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42402</v>
      </c>
      <c r="X28" s="11">
        <v>4.51</v>
      </c>
      <c r="Y28" s="11">
        <v>4.54</v>
      </c>
      <c r="Z28" s="11">
        <v>4.34</v>
      </c>
      <c r="AA28" s="11">
        <v>4.3499999999999996</v>
      </c>
      <c r="AB28" s="114">
        <v>12799500</v>
      </c>
      <c r="AC28" s="11">
        <v>4.2699999999999996</v>
      </c>
      <c r="AD28" s="43">
        <f t="shared" si="0"/>
        <v>0.20000000000000018</v>
      </c>
      <c r="AE28" s="172">
        <f t="shared" si="1"/>
        <v>-4.8997772828507924E-2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42401</v>
      </c>
      <c r="X29" s="11">
        <v>4.6399999999999997</v>
      </c>
      <c r="Y29" s="11">
        <v>4.6399999999999997</v>
      </c>
      <c r="Z29" s="11">
        <v>4.45</v>
      </c>
      <c r="AA29" s="11">
        <v>4.58</v>
      </c>
      <c r="AB29" s="114">
        <v>10147500</v>
      </c>
      <c r="AC29" s="11">
        <v>4.49</v>
      </c>
      <c r="AD29" s="43">
        <f t="shared" si="0"/>
        <v>0.1899999999999995</v>
      </c>
      <c r="AE29" s="172">
        <f t="shared" si="1"/>
        <v>4.4742729306488371E-3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42398</v>
      </c>
      <c r="X30" s="11">
        <v>4.55</v>
      </c>
      <c r="Y30" s="11">
        <v>4.58</v>
      </c>
      <c r="Z30" s="11">
        <v>4.5</v>
      </c>
      <c r="AA30" s="11">
        <v>4.55</v>
      </c>
      <c r="AB30" s="114">
        <v>12877700</v>
      </c>
      <c r="AC30" s="11">
        <v>4.47</v>
      </c>
      <c r="AD30" s="43">
        <f t="shared" si="0"/>
        <v>8.0000000000000071E-2</v>
      </c>
      <c r="AE30" s="172">
        <f t="shared" si="1"/>
        <v>9.0293453724605843E-3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42397</v>
      </c>
      <c r="X31" s="11">
        <v>4.49</v>
      </c>
      <c r="Y31" s="11">
        <v>4.54</v>
      </c>
      <c r="Z31" s="11">
        <v>4.42</v>
      </c>
      <c r="AA31" s="11">
        <v>4.51</v>
      </c>
      <c r="AB31" s="114">
        <v>9892100</v>
      </c>
      <c r="AC31" s="11">
        <v>4.43</v>
      </c>
      <c r="AD31" s="43">
        <f t="shared" si="0"/>
        <v>0.12000000000000011</v>
      </c>
      <c r="AE31" s="172">
        <f t="shared" si="1"/>
        <v>1.3729977116704761E-2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42396</v>
      </c>
      <c r="X32" s="11">
        <v>4.41</v>
      </c>
      <c r="Y32" s="11">
        <v>4.51</v>
      </c>
      <c r="Z32" s="11">
        <v>4.3499999999999996</v>
      </c>
      <c r="AA32" s="11">
        <v>4.45</v>
      </c>
      <c r="AB32" s="114">
        <v>14044700</v>
      </c>
      <c r="AC32" s="11">
        <v>4.37</v>
      </c>
      <c r="AD32" s="43">
        <f t="shared" si="0"/>
        <v>0.16000000000000014</v>
      </c>
      <c r="AE32" s="172">
        <f t="shared" si="1"/>
        <v>6.9124423963133896E-3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42395</v>
      </c>
      <c r="X33" s="11">
        <v>4.2</v>
      </c>
      <c r="Y33" s="11">
        <v>4.46</v>
      </c>
      <c r="Z33" s="11">
        <v>4.1900000000000004</v>
      </c>
      <c r="AA33" s="11">
        <v>4.42</v>
      </c>
      <c r="AB33" s="114">
        <v>11435800</v>
      </c>
      <c r="AC33" s="11">
        <v>4.34</v>
      </c>
      <c r="AD33" s="43">
        <f t="shared" si="0"/>
        <v>0.26999999999999957</v>
      </c>
      <c r="AE33" s="172">
        <f t="shared" si="1"/>
        <v>5.5961070559610526E-2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42394</v>
      </c>
      <c r="X34" s="11">
        <v>4.34</v>
      </c>
      <c r="Y34" s="11">
        <v>4.4000000000000004</v>
      </c>
      <c r="Z34" s="11">
        <v>4.1900000000000004</v>
      </c>
      <c r="AA34" s="11">
        <v>4.1900000000000004</v>
      </c>
      <c r="AB34" s="114">
        <v>13178200</v>
      </c>
      <c r="AC34" s="11">
        <v>4.1100000000000003</v>
      </c>
      <c r="AD34" s="43">
        <f t="shared" si="0"/>
        <v>0.20999999999999996</v>
      </c>
      <c r="AE34" s="172">
        <f t="shared" si="1"/>
        <v>-3.9719626168224331E-2</v>
      </c>
    </row>
    <row r="35" spans="2:31" x14ac:dyDescent="0.25">
      <c r="W35" s="120">
        <v>42391</v>
      </c>
      <c r="X35" s="11">
        <v>4.09</v>
      </c>
      <c r="Y35" s="11">
        <v>4.3600000000000003</v>
      </c>
      <c r="Z35" s="11">
        <v>4.08</v>
      </c>
      <c r="AA35" s="11">
        <v>4.3600000000000003</v>
      </c>
      <c r="AB35" s="114">
        <v>23209200</v>
      </c>
      <c r="AC35" s="11">
        <v>4.28</v>
      </c>
      <c r="AD35" s="43">
        <f t="shared" si="0"/>
        <v>0.28000000000000025</v>
      </c>
      <c r="AE35" s="172">
        <f t="shared" si="1"/>
        <v>8.9058524173027953E-2</v>
      </c>
    </row>
    <row r="36" spans="2:31" x14ac:dyDescent="0.25">
      <c r="W36" s="120">
        <v>42390</v>
      </c>
      <c r="X36" s="11">
        <v>4.01</v>
      </c>
      <c r="Y36" s="11">
        <v>4.0999999999999996</v>
      </c>
      <c r="Z36" s="11">
        <v>3.9</v>
      </c>
      <c r="AA36" s="11">
        <v>4</v>
      </c>
      <c r="AB36" s="114">
        <v>29644800</v>
      </c>
      <c r="AC36" s="11">
        <v>3.93</v>
      </c>
      <c r="AD36" s="43">
        <f t="shared" si="0"/>
        <v>0.19999999999999973</v>
      </c>
      <c r="AE36" s="172">
        <f t="shared" si="1"/>
        <v>1.5503875968992276E-2</v>
      </c>
    </row>
    <row r="37" spans="2:31" x14ac:dyDescent="0.25">
      <c r="W37" s="120">
        <v>42389</v>
      </c>
      <c r="X37" s="11">
        <v>4.0999999999999996</v>
      </c>
      <c r="Y37" s="11">
        <v>4.1500000000000004</v>
      </c>
      <c r="Z37" s="11">
        <v>3.81</v>
      </c>
      <c r="AA37" s="11">
        <v>3.94</v>
      </c>
      <c r="AB37" s="114">
        <v>28272600</v>
      </c>
      <c r="AC37" s="11">
        <v>3.87</v>
      </c>
      <c r="AD37" s="43">
        <f t="shared" si="0"/>
        <v>0.3400000000000003</v>
      </c>
      <c r="AE37" s="172">
        <f t="shared" si="1"/>
        <v>-5.6097560975609695E-2</v>
      </c>
    </row>
    <row r="38" spans="2:31" x14ac:dyDescent="0.25">
      <c r="W38" s="120">
        <v>42388</v>
      </c>
      <c r="X38" s="11">
        <v>4.28</v>
      </c>
      <c r="Y38" s="11">
        <v>4.32</v>
      </c>
      <c r="Z38" s="11">
        <v>4.16</v>
      </c>
      <c r="AA38" s="11">
        <v>4.18</v>
      </c>
      <c r="AB38" s="114">
        <v>15665800</v>
      </c>
      <c r="AC38" s="11">
        <v>4.0999999999999996</v>
      </c>
      <c r="AD38" s="43">
        <f t="shared" si="0"/>
        <v>0.16000000000000014</v>
      </c>
      <c r="AE38" s="172">
        <f t="shared" si="1"/>
        <v>-1.4423076923077094E-2</v>
      </c>
    </row>
    <row r="39" spans="2:31" x14ac:dyDescent="0.25">
      <c r="W39" s="120">
        <v>42384</v>
      </c>
      <c r="X39" s="11">
        <v>4.22</v>
      </c>
      <c r="Y39" s="11">
        <v>4.26</v>
      </c>
      <c r="Z39" s="11">
        <v>4.1100000000000003</v>
      </c>
      <c r="AA39" s="11">
        <v>4.24</v>
      </c>
      <c r="AB39" s="114">
        <v>24824700</v>
      </c>
      <c r="AC39" s="11">
        <v>4.16</v>
      </c>
      <c r="AD39" s="43">
        <f t="shared" si="0"/>
        <v>0.14999999999999947</v>
      </c>
      <c r="AE39" s="172">
        <f t="shared" si="1"/>
        <v>-3.0303030303030276E-2</v>
      </c>
    </row>
    <row r="40" spans="2:31" ht="20.25" thickBot="1" x14ac:dyDescent="0.35">
      <c r="O40" s="405" t="s">
        <v>78</v>
      </c>
      <c r="P40" s="405"/>
      <c r="T40" s="101" t="s">
        <v>116</v>
      </c>
      <c r="W40" s="120">
        <v>42383</v>
      </c>
      <c r="X40" s="11">
        <v>4.2</v>
      </c>
      <c r="Y40" s="11">
        <v>4.37</v>
      </c>
      <c r="Z40" s="11">
        <v>3.96</v>
      </c>
      <c r="AA40" s="11">
        <v>4.37</v>
      </c>
      <c r="AB40" s="114">
        <v>23111000</v>
      </c>
      <c r="AC40" s="11">
        <v>4.29</v>
      </c>
      <c r="AD40" s="43">
        <f t="shared" si="0"/>
        <v>0.41000000000000014</v>
      </c>
      <c r="AE40" s="172">
        <f t="shared" si="1"/>
        <v>4.8899755501222497E-2</v>
      </c>
    </row>
    <row r="41" spans="2:31" ht="15.75" thickTop="1" x14ac:dyDescent="0.25">
      <c r="O41" s="93">
        <v>1.1000000000000001</v>
      </c>
      <c r="P41" s="93">
        <f>O41*$Q$4</f>
        <v>5.6870000000000003</v>
      </c>
      <c r="Q41" s="2"/>
      <c r="T41" s="138" t="s">
        <v>101</v>
      </c>
      <c r="U41" s="108">
        <v>5.65</v>
      </c>
      <c r="W41" s="120">
        <v>42382</v>
      </c>
      <c r="X41" s="11">
        <v>4.4000000000000004</v>
      </c>
      <c r="Y41" s="11">
        <v>4.43</v>
      </c>
      <c r="Z41" s="11">
        <v>4.13</v>
      </c>
      <c r="AA41" s="11">
        <v>4.17</v>
      </c>
      <c r="AB41" s="114">
        <v>27519100</v>
      </c>
      <c r="AC41" s="11">
        <v>4.09</v>
      </c>
      <c r="AD41" s="43">
        <f t="shared" si="0"/>
        <v>0.29999999999999982</v>
      </c>
      <c r="AE41" s="172">
        <f t="shared" si="1"/>
        <v>-4.8837209302325602E-2</v>
      </c>
    </row>
    <row r="42" spans="2:31" x14ac:dyDescent="0.25">
      <c r="O42" s="93">
        <v>1.0900000000000001</v>
      </c>
      <c r="P42" s="93">
        <f t="shared" ref="P42:P61" si="9">O42*$Q$4</f>
        <v>5.6353</v>
      </c>
      <c r="Q42" s="2"/>
      <c r="T42" s="103" t="s">
        <v>102</v>
      </c>
      <c r="U42" s="98">
        <v>5.37</v>
      </c>
      <c r="W42" s="120">
        <v>42381</v>
      </c>
      <c r="X42" s="11">
        <v>4.5599999999999996</v>
      </c>
      <c r="Y42" s="11">
        <v>4.57</v>
      </c>
      <c r="Z42" s="11">
        <v>4.37</v>
      </c>
      <c r="AA42" s="11">
        <v>4.38</v>
      </c>
      <c r="AB42" s="114">
        <v>17140800</v>
      </c>
      <c r="AC42" s="11">
        <v>4.3</v>
      </c>
      <c r="AD42" s="43">
        <f t="shared" si="0"/>
        <v>0.20000000000000018</v>
      </c>
      <c r="AE42" s="172">
        <f t="shared" si="1"/>
        <v>-2.9345372460496622E-2</v>
      </c>
    </row>
    <row r="43" spans="2:31" x14ac:dyDescent="0.25">
      <c r="O43" s="93">
        <v>1.08</v>
      </c>
      <c r="P43" s="93">
        <f t="shared" si="9"/>
        <v>5.5836000000000006</v>
      </c>
      <c r="Q43" s="2"/>
      <c r="T43" s="103" t="s">
        <v>103</v>
      </c>
      <c r="U43" s="98" t="s">
        <v>409</v>
      </c>
      <c r="W43" s="120">
        <v>42380</v>
      </c>
      <c r="X43" s="11">
        <v>4.68</v>
      </c>
      <c r="Y43" s="11">
        <v>4.72</v>
      </c>
      <c r="Z43" s="11">
        <v>4.47</v>
      </c>
      <c r="AA43" s="11">
        <v>4.51</v>
      </c>
      <c r="AB43" s="114">
        <v>14505800</v>
      </c>
      <c r="AC43" s="11">
        <v>4.43</v>
      </c>
      <c r="AD43" s="43">
        <f t="shared" si="0"/>
        <v>0.25</v>
      </c>
      <c r="AE43" s="172">
        <f t="shared" si="1"/>
        <v>-3.27510917030569E-2</v>
      </c>
    </row>
    <row r="44" spans="2:31" x14ac:dyDescent="0.25">
      <c r="O44" s="93">
        <v>1.07</v>
      </c>
      <c r="P44" s="93">
        <f t="shared" si="9"/>
        <v>5.5319000000000003</v>
      </c>
      <c r="Q44" s="2"/>
      <c r="T44" s="103" t="s">
        <v>104</v>
      </c>
      <c r="U44" s="98" t="s">
        <v>410</v>
      </c>
      <c r="W44" s="120">
        <v>42377</v>
      </c>
      <c r="X44" s="11">
        <v>4.74</v>
      </c>
      <c r="Y44" s="11">
        <v>4.7699999999999996</v>
      </c>
      <c r="Z44" s="11">
        <v>4.6399999999999997</v>
      </c>
      <c r="AA44" s="11">
        <v>4.67</v>
      </c>
      <c r="AB44" s="114">
        <v>13846800</v>
      </c>
      <c r="AC44" s="11">
        <v>4.58</v>
      </c>
      <c r="AD44" s="43">
        <f t="shared" si="0"/>
        <v>0.12999999999999989</v>
      </c>
      <c r="AE44" s="172">
        <f t="shared" si="1"/>
        <v>-4.3478260869563856E-3</v>
      </c>
    </row>
    <row r="45" spans="2:31" x14ac:dyDescent="0.25">
      <c r="O45" s="93">
        <v>1.06</v>
      </c>
      <c r="P45" s="93">
        <f t="shared" si="9"/>
        <v>5.4802</v>
      </c>
      <c r="Q45" s="2"/>
      <c r="T45" s="103" t="s">
        <v>105</v>
      </c>
      <c r="U45" s="98">
        <v>6.18</v>
      </c>
      <c r="W45" s="120">
        <v>42376</v>
      </c>
      <c r="X45" s="11">
        <v>4.72</v>
      </c>
      <c r="Y45" s="11">
        <v>4.79</v>
      </c>
      <c r="Z45" s="11">
        <v>4.68</v>
      </c>
      <c r="AA45" s="11">
        <v>4.6900000000000004</v>
      </c>
      <c r="AB45" s="114">
        <v>12468000</v>
      </c>
      <c r="AC45" s="11">
        <v>4.5999999999999996</v>
      </c>
      <c r="AD45" s="43">
        <f t="shared" si="0"/>
        <v>0.11000000000000032</v>
      </c>
      <c r="AE45" s="172">
        <f t="shared" si="1"/>
        <v>-1.4989293361884481E-2</v>
      </c>
    </row>
    <row r="46" spans="2:31" x14ac:dyDescent="0.25">
      <c r="O46" s="93">
        <v>1.05</v>
      </c>
      <c r="P46" s="93">
        <f t="shared" si="9"/>
        <v>5.4285000000000005</v>
      </c>
      <c r="Q46" s="2"/>
      <c r="T46" s="103" t="s">
        <v>106</v>
      </c>
      <c r="U46" s="98">
        <v>0.65303299999999997</v>
      </c>
      <c r="W46" s="120">
        <v>42375</v>
      </c>
      <c r="X46" s="11">
        <v>4.66</v>
      </c>
      <c r="Y46" s="11">
        <v>4.78</v>
      </c>
      <c r="Z46" s="11">
        <v>4.6399999999999997</v>
      </c>
      <c r="AA46" s="11">
        <v>4.76</v>
      </c>
      <c r="AB46" s="114">
        <v>12389600</v>
      </c>
      <c r="AC46" s="11">
        <v>4.67</v>
      </c>
      <c r="AD46" s="43">
        <f t="shared" si="0"/>
        <v>0.14000000000000057</v>
      </c>
      <c r="AE46" s="172">
        <f t="shared" si="1"/>
        <v>8.6393088552916275E-3</v>
      </c>
    </row>
    <row r="47" spans="2:31" x14ac:dyDescent="0.25">
      <c r="O47" s="93">
        <v>1.04</v>
      </c>
      <c r="P47" s="93">
        <f t="shared" si="9"/>
        <v>5.3768000000000002</v>
      </c>
      <c r="Q47" s="2"/>
      <c r="T47" s="103" t="s">
        <v>126</v>
      </c>
      <c r="U47" s="98" t="s">
        <v>266</v>
      </c>
      <c r="W47" s="120">
        <v>42374</v>
      </c>
      <c r="X47" s="11">
        <v>4.63</v>
      </c>
      <c r="Y47" s="11">
        <v>4.74</v>
      </c>
      <c r="Z47" s="11">
        <v>4.6100000000000003</v>
      </c>
      <c r="AA47" s="11">
        <v>4.72</v>
      </c>
      <c r="AB47" s="114">
        <v>6858600</v>
      </c>
      <c r="AC47" s="11">
        <v>4.63</v>
      </c>
      <c r="AD47" s="43">
        <f t="shared" si="0"/>
        <v>0.12999999999999989</v>
      </c>
      <c r="AE47" s="172">
        <f t="shared" si="1"/>
        <v>1.5350877192982448E-2</v>
      </c>
    </row>
    <row r="48" spans="2:31" x14ac:dyDescent="0.25">
      <c r="O48" s="93">
        <v>1.03</v>
      </c>
      <c r="P48" s="93">
        <f t="shared" si="9"/>
        <v>5.3250999999999999</v>
      </c>
      <c r="Q48" s="2"/>
      <c r="T48" s="103"/>
      <c r="U48" s="98"/>
      <c r="W48" s="120">
        <v>42373</v>
      </c>
      <c r="X48" s="11">
        <v>4.5999999999999996</v>
      </c>
      <c r="Y48" s="11">
        <v>4.72</v>
      </c>
      <c r="Z48" s="11">
        <v>4.57</v>
      </c>
      <c r="AA48" s="11">
        <v>4.6500000000000004</v>
      </c>
      <c r="AB48" s="114">
        <v>9378300</v>
      </c>
      <c r="AC48" s="11">
        <v>4.5599999999999996</v>
      </c>
      <c r="AD48" s="43">
        <f t="shared" si="0"/>
        <v>0.14999999999999947</v>
      </c>
      <c r="AE48" s="172">
        <f t="shared" si="1"/>
        <v>-4.366812227074357E-3</v>
      </c>
    </row>
    <row r="49" spans="15:31" x14ac:dyDescent="0.25">
      <c r="O49" s="93">
        <v>1.02</v>
      </c>
      <c r="P49" s="93">
        <f t="shared" si="9"/>
        <v>5.2733999999999996</v>
      </c>
      <c r="Q49" s="2"/>
      <c r="T49" s="103" t="s">
        <v>108</v>
      </c>
      <c r="U49" s="98" t="s">
        <v>411</v>
      </c>
      <c r="W49" s="120">
        <v>42369</v>
      </c>
      <c r="X49" s="11">
        <v>4.71</v>
      </c>
      <c r="Y49" s="11">
        <v>4.72</v>
      </c>
      <c r="Z49" s="11">
        <v>4.63</v>
      </c>
      <c r="AA49" s="11">
        <v>4.67</v>
      </c>
      <c r="AB49" s="114">
        <v>9651700</v>
      </c>
      <c r="AC49" s="11">
        <v>4.58</v>
      </c>
      <c r="AD49" s="43">
        <f t="shared" si="0"/>
        <v>8.9999999999999858E-2</v>
      </c>
      <c r="AE49" s="172">
        <f t="shared" si="1"/>
        <v>2.1881838074397919E-3</v>
      </c>
    </row>
    <row r="50" spans="15:31" x14ac:dyDescent="0.25">
      <c r="O50" s="93">
        <v>1.01</v>
      </c>
      <c r="P50" s="93">
        <f t="shared" si="9"/>
        <v>5.2217000000000002</v>
      </c>
      <c r="Q50" s="2"/>
      <c r="T50" s="103" t="s">
        <v>109</v>
      </c>
      <c r="U50" s="98" t="s">
        <v>330</v>
      </c>
      <c r="W50" s="120">
        <v>42368</v>
      </c>
      <c r="X50" s="11">
        <v>4.79</v>
      </c>
      <c r="Y50" s="11">
        <v>4.82</v>
      </c>
      <c r="Z50" s="11">
        <v>4.6500000000000004</v>
      </c>
      <c r="AA50" s="11">
        <v>4.66</v>
      </c>
      <c r="AB50" s="114">
        <v>11903100</v>
      </c>
      <c r="AC50" s="11">
        <v>4.57</v>
      </c>
      <c r="AD50" s="43">
        <f t="shared" si="0"/>
        <v>0.16999999999999993</v>
      </c>
      <c r="AE50" s="172">
        <f t="shared" si="1"/>
        <v>-3.3826638477801318E-2</v>
      </c>
    </row>
    <row r="51" spans="15:31" x14ac:dyDescent="0.25">
      <c r="O51" s="93">
        <v>1</v>
      </c>
      <c r="P51" s="93">
        <f t="shared" si="9"/>
        <v>5.17</v>
      </c>
      <c r="Q51" s="2"/>
      <c r="T51" s="103" t="s">
        <v>110</v>
      </c>
      <c r="U51" s="100">
        <v>32435115</v>
      </c>
      <c r="W51" s="120">
        <v>42367</v>
      </c>
      <c r="X51" s="11">
        <v>4.8600000000000003</v>
      </c>
      <c r="Y51" s="11">
        <v>4.9000000000000004</v>
      </c>
      <c r="Z51" s="11">
        <v>4.78</v>
      </c>
      <c r="AA51" s="11">
        <v>4.82</v>
      </c>
      <c r="AB51" s="114">
        <v>8068400</v>
      </c>
      <c r="AC51" s="11">
        <v>4.7300000000000004</v>
      </c>
      <c r="AD51" s="43">
        <f t="shared" si="0"/>
        <v>0.12000000000000011</v>
      </c>
      <c r="AE51" s="172">
        <f t="shared" si="1"/>
        <v>-6.3025210084032279E-3</v>
      </c>
    </row>
    <row r="52" spans="15:31" x14ac:dyDescent="0.25">
      <c r="O52" s="93">
        <v>0.99</v>
      </c>
      <c r="P52" s="93">
        <f t="shared" si="9"/>
        <v>5.1182999999999996</v>
      </c>
      <c r="Q52" s="2"/>
      <c r="T52" s="103" t="s">
        <v>113</v>
      </c>
      <c r="U52" s="100">
        <v>19284600</v>
      </c>
      <c r="W52" s="120">
        <v>42366</v>
      </c>
      <c r="X52" s="11">
        <v>4.83</v>
      </c>
      <c r="Y52" s="11">
        <v>4.88</v>
      </c>
      <c r="Z52" s="11">
        <v>4.7699999999999996</v>
      </c>
      <c r="AA52" s="11">
        <v>4.8499999999999996</v>
      </c>
      <c r="AB52" s="114">
        <v>8010100</v>
      </c>
      <c r="AC52" s="11">
        <v>4.76</v>
      </c>
      <c r="AD52" s="43">
        <f t="shared" si="0"/>
        <v>0.11000000000000032</v>
      </c>
      <c r="AE52" s="172">
        <f t="shared" si="1"/>
        <v>-2.0964360587001352E-3</v>
      </c>
    </row>
    <row r="53" spans="15:31" x14ac:dyDescent="0.25">
      <c r="O53" s="93">
        <v>0.98</v>
      </c>
      <c r="P53" s="93">
        <f t="shared" si="9"/>
        <v>5.0666000000000002</v>
      </c>
      <c r="Q53" s="2"/>
      <c r="T53" s="103" t="s">
        <v>111</v>
      </c>
      <c r="U53" s="98" t="s">
        <v>412</v>
      </c>
      <c r="W53" s="120">
        <v>42362</v>
      </c>
      <c r="X53" s="11">
        <v>4.8600000000000003</v>
      </c>
      <c r="Y53" s="11">
        <v>4.9000000000000004</v>
      </c>
      <c r="Z53" s="11">
        <v>4.83</v>
      </c>
      <c r="AA53" s="11">
        <v>4.8600000000000003</v>
      </c>
      <c r="AB53" s="114">
        <v>4937200</v>
      </c>
      <c r="AC53" s="11">
        <v>4.7699999999999996</v>
      </c>
      <c r="AD53" s="43">
        <f t="shared" si="0"/>
        <v>7.0000000000000284E-2</v>
      </c>
      <c r="AE53" s="172">
        <f t="shared" si="1"/>
        <v>2.1008403361344463E-3</v>
      </c>
    </row>
    <row r="54" spans="15:31" x14ac:dyDescent="0.25">
      <c r="O54" s="93">
        <v>0.97</v>
      </c>
      <c r="P54" s="93">
        <f t="shared" si="9"/>
        <v>5.0148999999999999</v>
      </c>
      <c r="T54" s="103" t="s">
        <v>114</v>
      </c>
      <c r="U54" s="98" t="s">
        <v>134</v>
      </c>
      <c r="W54" s="120">
        <v>42361</v>
      </c>
      <c r="X54" s="11">
        <v>4.6900000000000004</v>
      </c>
      <c r="Y54" s="11">
        <v>4.8600000000000003</v>
      </c>
      <c r="Z54" s="11">
        <v>4.68</v>
      </c>
      <c r="AA54" s="11">
        <v>4.8499999999999996</v>
      </c>
      <c r="AB54" s="114">
        <v>16936200</v>
      </c>
      <c r="AC54" s="11">
        <v>4.76</v>
      </c>
      <c r="AD54" s="43">
        <f t="shared" si="0"/>
        <v>0.1800000000000006</v>
      </c>
      <c r="AE54" s="172">
        <f t="shared" si="1"/>
        <v>4.3859649122807154E-2</v>
      </c>
    </row>
    <row r="55" spans="15:31" x14ac:dyDescent="0.25">
      <c r="O55" s="93">
        <v>0.96</v>
      </c>
      <c r="P55" s="93">
        <f t="shared" si="9"/>
        <v>4.9631999999999996</v>
      </c>
      <c r="T55" s="103" t="s">
        <v>115</v>
      </c>
      <c r="U55" s="98">
        <v>-0.28999999999999998</v>
      </c>
      <c r="W55" s="120">
        <v>42360</v>
      </c>
      <c r="X55" s="11">
        <v>4.63</v>
      </c>
      <c r="Y55" s="11">
        <v>4.6500000000000004</v>
      </c>
      <c r="Z55" s="11">
        <v>4.54</v>
      </c>
      <c r="AA55" s="11">
        <v>4.6500000000000004</v>
      </c>
      <c r="AB55" s="114">
        <v>13839800</v>
      </c>
      <c r="AC55" s="11">
        <v>4.5599999999999996</v>
      </c>
      <c r="AD55" s="43">
        <f t="shared" si="0"/>
        <v>0.11000000000000032</v>
      </c>
      <c r="AE55" s="172">
        <f t="shared" si="1"/>
        <v>2.19780219780219E-3</v>
      </c>
    </row>
    <row r="56" spans="15:31" x14ac:dyDescent="0.25">
      <c r="O56" s="93">
        <v>0.95</v>
      </c>
      <c r="P56" s="93">
        <f t="shared" si="9"/>
        <v>4.9114999999999993</v>
      </c>
      <c r="T56" s="103" t="s">
        <v>112</v>
      </c>
      <c r="U56" s="98" t="s">
        <v>320</v>
      </c>
      <c r="W56" s="120">
        <v>42359</v>
      </c>
      <c r="X56" s="11">
        <v>4.6900000000000004</v>
      </c>
      <c r="Y56" s="11">
        <v>4.72</v>
      </c>
      <c r="Z56" s="11">
        <v>4.59</v>
      </c>
      <c r="AA56" s="11">
        <v>4.6399999999999997</v>
      </c>
      <c r="AB56" s="114">
        <v>12131700</v>
      </c>
      <c r="AC56" s="11">
        <v>4.55</v>
      </c>
      <c r="AD56" s="43">
        <f t="shared" si="0"/>
        <v>0.12999999999999989</v>
      </c>
      <c r="AE56" s="172">
        <f t="shared" si="1"/>
        <v>0</v>
      </c>
    </row>
    <row r="57" spans="15:31" x14ac:dyDescent="0.25">
      <c r="O57" s="93">
        <v>0.94</v>
      </c>
      <c r="P57" s="93">
        <f t="shared" si="9"/>
        <v>4.8597999999999999</v>
      </c>
      <c r="W57" s="120">
        <v>42356</v>
      </c>
      <c r="X57" s="11">
        <v>4.76</v>
      </c>
      <c r="Y57" s="11">
        <v>4.8099999999999996</v>
      </c>
      <c r="Z57" s="11">
        <v>4.55</v>
      </c>
      <c r="AA57" s="11">
        <v>4.6399999999999997</v>
      </c>
      <c r="AB57" s="114">
        <v>36570400</v>
      </c>
      <c r="AC57" s="11">
        <v>4.55</v>
      </c>
      <c r="AD57" s="43">
        <f t="shared" si="0"/>
        <v>0.25999999999999979</v>
      </c>
      <c r="AE57" s="172">
        <f t="shared" si="1"/>
        <v>-3.1914893617021378E-2</v>
      </c>
    </row>
    <row r="58" spans="15:31" x14ac:dyDescent="0.25">
      <c r="O58" s="93">
        <v>0.93</v>
      </c>
      <c r="P58" s="93">
        <f t="shared" si="9"/>
        <v>4.8081000000000005</v>
      </c>
      <c r="W58" s="120">
        <v>42355</v>
      </c>
      <c r="X58" s="11">
        <v>4.7300000000000004</v>
      </c>
      <c r="Y58" s="11">
        <v>4.8899999999999997</v>
      </c>
      <c r="Z58" s="11">
        <v>4.7300000000000004</v>
      </c>
      <c r="AA58" s="11">
        <v>4.79</v>
      </c>
      <c r="AB58" s="114">
        <v>13894200</v>
      </c>
      <c r="AC58" s="11">
        <v>4.7</v>
      </c>
      <c r="AD58" s="43">
        <f t="shared" si="0"/>
        <v>0.15999999999999925</v>
      </c>
      <c r="AE58" s="172">
        <f t="shared" si="1"/>
        <v>1.0752688172043001E-2</v>
      </c>
    </row>
    <row r="59" spans="15:31" x14ac:dyDescent="0.25">
      <c r="O59" s="93">
        <v>0.92</v>
      </c>
      <c r="P59" s="93">
        <f t="shared" si="9"/>
        <v>4.7564000000000002</v>
      </c>
      <c r="W59" s="120">
        <v>42354</v>
      </c>
      <c r="X59" s="11">
        <v>4.57</v>
      </c>
      <c r="Y59" s="11">
        <v>4.8</v>
      </c>
      <c r="Z59" s="11">
        <v>4.55</v>
      </c>
      <c r="AA59" s="11">
        <v>4.74</v>
      </c>
      <c r="AB59" s="114">
        <v>19253700</v>
      </c>
      <c r="AC59" s="11">
        <v>4.6500000000000004</v>
      </c>
      <c r="AD59" s="43">
        <f t="shared" si="0"/>
        <v>0.25</v>
      </c>
      <c r="AE59" s="172">
        <f t="shared" si="1"/>
        <v>4.7297297297297369E-2</v>
      </c>
    </row>
    <row r="60" spans="15:31" x14ac:dyDescent="0.25">
      <c r="O60" s="93">
        <v>0.91</v>
      </c>
      <c r="P60" s="93">
        <f t="shared" si="9"/>
        <v>4.7046999999999999</v>
      </c>
      <c r="W60" s="120">
        <v>42353</v>
      </c>
      <c r="X60" s="11">
        <v>4.5199999999999996</v>
      </c>
      <c r="Y60" s="11">
        <v>4.6100000000000003</v>
      </c>
      <c r="Z60" s="11">
        <v>4.4400000000000004</v>
      </c>
      <c r="AA60" s="11">
        <v>4.5199999999999996</v>
      </c>
      <c r="AB60" s="114">
        <v>17821100</v>
      </c>
      <c r="AC60" s="11">
        <v>4.4400000000000004</v>
      </c>
      <c r="AD60" s="43">
        <f t="shared" si="0"/>
        <v>0.16999999999999993</v>
      </c>
      <c r="AE60" s="172">
        <f t="shared" si="1"/>
        <v>4.5248868778282603E-3</v>
      </c>
    </row>
    <row r="61" spans="15:31" x14ac:dyDescent="0.25">
      <c r="O61" s="93">
        <v>0.9</v>
      </c>
      <c r="P61" s="93">
        <f t="shared" si="9"/>
        <v>4.6530000000000005</v>
      </c>
      <c r="W61" s="120">
        <v>42352</v>
      </c>
      <c r="X61" s="11">
        <v>4.57</v>
      </c>
      <c r="Y61" s="11">
        <v>4.63</v>
      </c>
      <c r="Z61" s="11">
        <v>4.4800000000000004</v>
      </c>
      <c r="AA61" s="11">
        <v>4.5</v>
      </c>
      <c r="AB61" s="114">
        <v>20631700</v>
      </c>
      <c r="AC61" s="11">
        <v>4.42</v>
      </c>
      <c r="AD61" s="43">
        <f t="shared" si="0"/>
        <v>0.14999999999999947</v>
      </c>
      <c r="AE61" s="172">
        <f t="shared" si="1"/>
        <v>-1.5590200445434355E-2</v>
      </c>
    </row>
    <row r="62" spans="15:31" x14ac:dyDescent="0.25">
      <c r="W62" s="120">
        <v>42349</v>
      </c>
      <c r="X62" s="11">
        <v>4.71</v>
      </c>
      <c r="Y62" s="11">
        <v>4.78</v>
      </c>
      <c r="Z62" s="11">
        <v>4.55</v>
      </c>
      <c r="AA62" s="11">
        <v>4.57</v>
      </c>
      <c r="AB62" s="114">
        <v>19043300</v>
      </c>
      <c r="AC62" s="11">
        <v>4.49</v>
      </c>
      <c r="AD62" s="43">
        <f t="shared" si="0"/>
        <v>0.23000000000000043</v>
      </c>
      <c r="AE62" s="172" t="e">
        <f t="shared" si="1"/>
        <v>#DIV/0!</v>
      </c>
    </row>
    <row r="63" spans="15:31" x14ac:dyDescent="0.25">
      <c r="W63" s="120">
        <v>42349</v>
      </c>
      <c r="X63" s="11" t="s">
        <v>242</v>
      </c>
      <c r="Y63" s="11"/>
      <c r="Z63" s="11"/>
      <c r="AA63" s="11"/>
      <c r="AB63" s="114"/>
      <c r="AC63" s="11"/>
      <c r="AD63" s="43">
        <f t="shared" si="0"/>
        <v>0</v>
      </c>
      <c r="AE63" s="172">
        <f t="shared" si="1"/>
        <v>-1</v>
      </c>
    </row>
    <row r="64" spans="15:31" x14ac:dyDescent="0.25">
      <c r="W64" s="120">
        <v>42348</v>
      </c>
      <c r="X64" s="11">
        <v>4.9400000000000004</v>
      </c>
      <c r="Y64" s="11">
        <v>4.96</v>
      </c>
      <c r="Z64" s="11">
        <v>4.8600000000000003</v>
      </c>
      <c r="AA64" s="11">
        <v>4.88</v>
      </c>
      <c r="AB64" s="114">
        <v>14090900</v>
      </c>
      <c r="AC64" s="11">
        <v>4.6900000000000004</v>
      </c>
      <c r="AD64" s="43">
        <f t="shared" si="0"/>
        <v>9.9999999999999645E-2</v>
      </c>
      <c r="AE64" s="172">
        <f t="shared" si="1"/>
        <v>-6.3559322033897026E-3</v>
      </c>
    </row>
    <row r="65" spans="23:31" x14ac:dyDescent="0.25">
      <c r="W65" s="120">
        <v>42347</v>
      </c>
      <c r="X65" s="11">
        <v>4.95</v>
      </c>
      <c r="Y65" s="11">
        <v>5.0199999999999996</v>
      </c>
      <c r="Z65" s="11">
        <v>4.8899999999999997</v>
      </c>
      <c r="AA65" s="11">
        <v>4.92</v>
      </c>
      <c r="AB65" s="114">
        <v>12212700</v>
      </c>
      <c r="AC65" s="11">
        <v>4.72</v>
      </c>
      <c r="AD65" s="43">
        <f t="shared" si="0"/>
        <v>0.12999999999999989</v>
      </c>
      <c r="AE65" s="172">
        <f t="shared" si="1"/>
        <v>-6.3157894736842746E-3</v>
      </c>
    </row>
    <row r="66" spans="23:31" x14ac:dyDescent="0.25">
      <c r="W66" s="120">
        <v>42346</v>
      </c>
      <c r="X66" s="11">
        <v>5.03</v>
      </c>
      <c r="Y66" s="11">
        <v>5.08</v>
      </c>
      <c r="Z66" s="11">
        <v>4.92</v>
      </c>
      <c r="AA66" s="11">
        <v>4.95</v>
      </c>
      <c r="AB66" s="114">
        <v>14036700</v>
      </c>
      <c r="AC66" s="11">
        <v>4.75</v>
      </c>
      <c r="AD66" s="43">
        <f t="shared" si="0"/>
        <v>0.16000000000000014</v>
      </c>
      <c r="AE66" s="172">
        <f t="shared" si="1"/>
        <v>-2.2633744855967142E-2</v>
      </c>
    </row>
    <row r="67" spans="23:31" x14ac:dyDescent="0.25">
      <c r="W67" s="120">
        <v>42345</v>
      </c>
      <c r="X67" s="11">
        <v>5.08</v>
      </c>
      <c r="Y67" s="11">
        <v>5.09</v>
      </c>
      <c r="Z67" s="11">
        <v>4.9800000000000004</v>
      </c>
      <c r="AA67" s="11">
        <v>5.0599999999999996</v>
      </c>
      <c r="AB67" s="114">
        <v>9142100</v>
      </c>
      <c r="AC67" s="11">
        <v>4.8600000000000003</v>
      </c>
      <c r="AD67" s="43">
        <f t="shared" ref="AD67:AD68" si="10">Y67-Z67</f>
        <v>0.10999999999999943</v>
      </c>
      <c r="AE67" s="172">
        <f t="shared" ref="AE67" si="11">AC67/AC68-1</f>
        <v>-8.1632653061224358E-3</v>
      </c>
    </row>
    <row r="68" spans="23:31" x14ac:dyDescent="0.25">
      <c r="W68" s="120">
        <v>42342</v>
      </c>
      <c r="X68" s="11">
        <v>5.03</v>
      </c>
      <c r="Y68" s="11">
        <v>5.0999999999999996</v>
      </c>
      <c r="Z68" s="11">
        <v>5.01</v>
      </c>
      <c r="AA68" s="11">
        <v>5.0999999999999996</v>
      </c>
      <c r="AB68" s="114">
        <v>9986700</v>
      </c>
      <c r="AC68" s="11">
        <v>4.9000000000000004</v>
      </c>
      <c r="AD68" s="43">
        <f t="shared" si="10"/>
        <v>8.9999999999999858E-2</v>
      </c>
      <c r="AE68" s="172" t="e">
        <f>AC68/AC70-1</f>
        <v>#DIV/0!</v>
      </c>
    </row>
    <row r="69" spans="23:31" x14ac:dyDescent="0.25">
      <c r="W69" s="120">
        <v>42341</v>
      </c>
      <c r="X69" s="11">
        <v>5.0199999999999996</v>
      </c>
      <c r="Y69" s="11">
        <v>5.07</v>
      </c>
      <c r="Z69" s="11">
        <v>4.93</v>
      </c>
      <c r="AA69" s="11">
        <v>5.01</v>
      </c>
      <c r="AB69" s="114">
        <v>10626900</v>
      </c>
      <c r="AC69" s="11">
        <v>4.8099999999999996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tabSelected="1" workbookViewId="0">
      <pane ySplit="1" topLeftCell="A26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42438</v>
      </c>
      <c r="X2" s="12">
        <v>88.94</v>
      </c>
      <c r="Y2" s="12">
        <v>89.25</v>
      </c>
      <c r="Z2" s="12">
        <v>87.43</v>
      </c>
      <c r="AA2" s="12">
        <v>87.83</v>
      </c>
      <c r="AB2" s="105">
        <v>10388800</v>
      </c>
      <c r="AC2" s="12">
        <v>87.83</v>
      </c>
      <c r="AD2" s="43">
        <f>Y2-Z2</f>
        <v>1.8199999999999932</v>
      </c>
      <c r="AE2" s="172">
        <f>AC2/AC3-1</f>
        <v>-9.3616061357996161E-3</v>
      </c>
      <c r="AN2" t="s">
        <v>191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42437</v>
      </c>
      <c r="X3" s="12">
        <v>89.65</v>
      </c>
      <c r="Y3" s="12">
        <v>90.4</v>
      </c>
      <c r="Z3" s="12">
        <v>88.35</v>
      </c>
      <c r="AA3" s="12">
        <v>88.66</v>
      </c>
      <c r="AB3" s="105">
        <v>10970700</v>
      </c>
      <c r="AC3" s="12">
        <v>88.66</v>
      </c>
      <c r="AD3" s="43">
        <f t="shared" ref="AD3:AD66" si="1">Y3-Z3</f>
        <v>2.0500000000000114</v>
      </c>
      <c r="AE3" s="172">
        <f t="shared" ref="AE3:AE66" si="2">AC3/AC4-1</f>
        <v>-1.1042944785276121E-2</v>
      </c>
      <c r="AH3" t="s">
        <v>223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87.83</v>
      </c>
      <c r="W4" s="143">
        <v>42436</v>
      </c>
      <c r="X4" s="12">
        <v>87.11</v>
      </c>
      <c r="Y4" s="12">
        <v>90.04</v>
      </c>
      <c r="Z4" s="12">
        <v>86.88</v>
      </c>
      <c r="AA4" s="12">
        <v>89.65</v>
      </c>
      <c r="AB4" s="105">
        <v>13100600</v>
      </c>
      <c r="AC4" s="12">
        <v>89.65</v>
      </c>
      <c r="AD4" s="43">
        <f t="shared" si="1"/>
        <v>3.1600000000000108</v>
      </c>
      <c r="AE4" s="172">
        <f t="shared" si="2"/>
        <v>2.7978442839124096E-2</v>
      </c>
      <c r="AH4" t="s">
        <v>224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6148.0999999999995</v>
      </c>
      <c r="T5" s="1"/>
      <c r="W5" s="143">
        <v>42433</v>
      </c>
      <c r="X5" s="12">
        <v>88.3</v>
      </c>
      <c r="Y5" s="12">
        <v>89.1</v>
      </c>
      <c r="Z5" s="12">
        <v>86.85</v>
      </c>
      <c r="AA5" s="12">
        <v>87.21</v>
      </c>
      <c r="AB5" s="105">
        <v>21168300</v>
      </c>
      <c r="AC5" s="12">
        <v>87.21</v>
      </c>
      <c r="AD5" s="43">
        <f t="shared" si="1"/>
        <v>2.25</v>
      </c>
      <c r="AE5" s="172">
        <f t="shared" si="2"/>
        <v>-7.0590914266196458E-3</v>
      </c>
      <c r="AH5" t="s">
        <v>225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42432</v>
      </c>
      <c r="X6" s="12">
        <v>89.13</v>
      </c>
      <c r="Y6" s="12">
        <v>89.31</v>
      </c>
      <c r="Z6" s="12">
        <v>87.48</v>
      </c>
      <c r="AA6" s="12">
        <v>87.83</v>
      </c>
      <c r="AB6" s="105">
        <v>12366400</v>
      </c>
      <c r="AC6" s="12">
        <v>87.83</v>
      </c>
      <c r="AD6" s="43">
        <f t="shared" si="1"/>
        <v>1.8299999999999983</v>
      </c>
      <c r="AE6" s="172">
        <f t="shared" si="2"/>
        <v>-1.0923423423423451E-2</v>
      </c>
      <c r="AH6" t="s">
        <v>194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-514.21000000000095</v>
      </c>
      <c r="R7" s="211"/>
      <c r="W7" s="143">
        <v>42431</v>
      </c>
      <c r="X7" s="12">
        <v>89.6</v>
      </c>
      <c r="Y7" s="12">
        <v>89.68</v>
      </c>
      <c r="Z7" s="12">
        <v>87.96</v>
      </c>
      <c r="AA7" s="12">
        <v>88.8</v>
      </c>
      <c r="AB7" s="105">
        <v>10522700</v>
      </c>
      <c r="AC7" s="12">
        <v>88.8</v>
      </c>
      <c r="AD7" s="43">
        <f t="shared" si="1"/>
        <v>1.7200000000000131</v>
      </c>
      <c r="AE7" s="172">
        <f t="shared" si="2"/>
        <v>-9.9230683465268976E-3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-7.7181938396742394E-2</v>
      </c>
      <c r="T8" s="1"/>
      <c r="W8" s="143">
        <v>42430</v>
      </c>
      <c r="X8" s="12">
        <v>87.9</v>
      </c>
      <c r="Y8" s="12">
        <v>89.72</v>
      </c>
      <c r="Z8" s="12">
        <v>87.3</v>
      </c>
      <c r="AA8" s="12">
        <v>89.69</v>
      </c>
      <c r="AB8" s="105">
        <v>11698500</v>
      </c>
      <c r="AC8" s="12">
        <v>89.69</v>
      </c>
      <c r="AD8" s="43">
        <f t="shared" si="1"/>
        <v>2.4200000000000017</v>
      </c>
      <c r="AE8" s="172">
        <f t="shared" si="2"/>
        <v>2.7965616045845243E-2</v>
      </c>
    </row>
    <row r="9" spans="1:42" x14ac:dyDescent="0.25">
      <c r="F9" s="3"/>
      <c r="H9" s="81"/>
      <c r="W9" s="143">
        <v>42429</v>
      </c>
      <c r="X9" s="12">
        <v>87.87</v>
      </c>
      <c r="Y9" s="12">
        <v>89.14</v>
      </c>
      <c r="Z9" s="12">
        <v>87.25</v>
      </c>
      <c r="AA9" s="12">
        <v>87.25</v>
      </c>
      <c r="AB9" s="105">
        <v>12571600</v>
      </c>
      <c r="AC9" s="12">
        <v>87.25</v>
      </c>
      <c r="AD9" s="43">
        <f t="shared" si="1"/>
        <v>1.8900000000000006</v>
      </c>
      <c r="AE9" s="172">
        <f t="shared" si="2"/>
        <v>-9.6481271282632397E-3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42426</v>
      </c>
      <c r="X10" s="12">
        <v>90.61</v>
      </c>
      <c r="Y10" s="12">
        <v>90.92</v>
      </c>
      <c r="Z10" s="12">
        <v>87.89</v>
      </c>
      <c r="AA10" s="12">
        <v>88.1</v>
      </c>
      <c r="AB10" s="105">
        <v>13246500</v>
      </c>
      <c r="AC10" s="12">
        <v>88.1</v>
      </c>
      <c r="AD10" s="43">
        <f t="shared" si="1"/>
        <v>3.0300000000000011</v>
      </c>
      <c r="AE10" s="172">
        <f t="shared" si="2"/>
        <v>-2.2848269742679728E-2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42425</v>
      </c>
      <c r="X11" s="12">
        <v>90</v>
      </c>
      <c r="Y11" s="12">
        <v>90.49</v>
      </c>
      <c r="Z11" s="12">
        <v>89.55</v>
      </c>
      <c r="AA11" s="12">
        <v>90.16</v>
      </c>
      <c r="AB11" s="105">
        <v>9129100</v>
      </c>
      <c r="AC11" s="12">
        <v>90.16</v>
      </c>
      <c r="AD11" s="43">
        <f t="shared" si="1"/>
        <v>0.93999999999999773</v>
      </c>
      <c r="AE11" s="172">
        <f t="shared" si="2"/>
        <v>8.9525514771708892E-3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62" t="s">
        <v>177</v>
      </c>
      <c r="H12" s="218" t="s">
        <v>90</v>
      </c>
      <c r="I12" s="10"/>
      <c r="J12" s="10"/>
      <c r="K12" s="10"/>
      <c r="L12" s="10"/>
      <c r="M12" s="10"/>
      <c r="N12" s="5"/>
      <c r="W12" s="143">
        <v>42424</v>
      </c>
      <c r="X12" s="12">
        <v>87.41</v>
      </c>
      <c r="Y12" s="12">
        <v>89.54</v>
      </c>
      <c r="Z12" s="12">
        <v>86.79</v>
      </c>
      <c r="AA12" s="12">
        <v>89.36</v>
      </c>
      <c r="AB12" s="105">
        <v>8300100</v>
      </c>
      <c r="AC12" s="12">
        <v>89.36</v>
      </c>
      <c r="AD12" s="43">
        <f t="shared" si="1"/>
        <v>2.75</v>
      </c>
      <c r="AE12" s="172">
        <f t="shared" si="2"/>
        <v>1.1431805319751076E-2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42423</v>
      </c>
      <c r="X13" s="12">
        <v>89.1</v>
      </c>
      <c r="Y13" s="12">
        <v>89.4</v>
      </c>
      <c r="Z13" s="12">
        <v>87.9</v>
      </c>
      <c r="AA13" s="12">
        <v>88.35</v>
      </c>
      <c r="AB13" s="105">
        <v>8338100</v>
      </c>
      <c r="AC13" s="12">
        <v>88.35</v>
      </c>
      <c r="AD13" s="43">
        <f t="shared" si="1"/>
        <v>1.5</v>
      </c>
      <c r="AE13" s="172">
        <f t="shared" si="2"/>
        <v>-8.4175084175084347E-3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3" si="3">C14*(E14-D14)</f>
        <v>103.99999999999991</v>
      </c>
      <c r="G14" s="43">
        <f t="shared" ref="G14:G23" si="4">D14*C14</f>
        <v>2555</v>
      </c>
      <c r="H14" s="269">
        <f t="shared" ref="H14:H23" si="5">(E14-D14)/D14</f>
        <v>4.070450097847355E-2</v>
      </c>
      <c r="W14" s="143">
        <v>42422</v>
      </c>
      <c r="X14" s="12">
        <v>88.35</v>
      </c>
      <c r="Y14" s="12">
        <v>89.5</v>
      </c>
      <c r="Z14" s="12">
        <v>88.05</v>
      </c>
      <c r="AA14" s="12">
        <v>89.1</v>
      </c>
      <c r="AB14" s="105">
        <v>9699800</v>
      </c>
      <c r="AC14" s="12">
        <v>89.1</v>
      </c>
      <c r="AD14" s="43">
        <f t="shared" si="1"/>
        <v>1.4500000000000028</v>
      </c>
      <c r="AE14" s="172">
        <f t="shared" si="2"/>
        <v>1.8984446477584571E-2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42419</v>
      </c>
      <c r="X15" s="12">
        <v>88.2</v>
      </c>
      <c r="Y15" s="12">
        <v>88.98</v>
      </c>
      <c r="Z15" s="12">
        <v>87.12</v>
      </c>
      <c r="AA15" s="12">
        <v>87.44</v>
      </c>
      <c r="AB15" s="105">
        <v>12870800</v>
      </c>
      <c r="AC15" s="12">
        <v>87.44</v>
      </c>
      <c r="AD15" s="43">
        <f t="shared" si="1"/>
        <v>1.8599999999999994</v>
      </c>
      <c r="AE15" s="172">
        <f t="shared" si="2"/>
        <v>-1.7417687380604563E-2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42418</v>
      </c>
      <c r="X16" s="12">
        <v>89.6</v>
      </c>
      <c r="Y16" s="12">
        <v>90.95</v>
      </c>
      <c r="Z16" s="12">
        <v>88.93</v>
      </c>
      <c r="AA16" s="12">
        <v>88.99</v>
      </c>
      <c r="AB16" s="105">
        <v>11312500</v>
      </c>
      <c r="AC16" s="12">
        <v>88.99</v>
      </c>
      <c r="AD16" s="43">
        <f t="shared" si="1"/>
        <v>2.019999999999996</v>
      </c>
      <c r="AE16" s="172">
        <f t="shared" si="2"/>
        <v>-4.1405550581916639E-3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42417</v>
      </c>
      <c r="X17" s="12">
        <v>91.09</v>
      </c>
      <c r="Y17" s="12">
        <v>91.5</v>
      </c>
      <c r="Z17" s="12">
        <v>88.66</v>
      </c>
      <c r="AA17" s="12">
        <v>89.36</v>
      </c>
      <c r="AB17" s="105">
        <v>22648400</v>
      </c>
      <c r="AC17" s="12">
        <v>89.36</v>
      </c>
      <c r="AD17" s="43">
        <f t="shared" si="1"/>
        <v>2.8400000000000034</v>
      </c>
      <c r="AE17" s="172">
        <f t="shared" si="2"/>
        <v>-1.963795940756996E-2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42416</v>
      </c>
      <c r="X18" s="12">
        <v>90.72</v>
      </c>
      <c r="Y18" s="12">
        <v>91.28</v>
      </c>
      <c r="Z18" s="12">
        <v>89.89</v>
      </c>
      <c r="AA18" s="12">
        <v>91.15</v>
      </c>
      <c r="AB18" s="105">
        <v>12101500</v>
      </c>
      <c r="AC18" s="12">
        <v>91.15</v>
      </c>
      <c r="AD18" s="43">
        <f t="shared" si="1"/>
        <v>1.3900000000000006</v>
      </c>
      <c r="AE18" s="172">
        <f t="shared" si="2"/>
        <v>1.9118962432915998E-2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42412</v>
      </c>
      <c r="X19" s="12">
        <v>88.66</v>
      </c>
      <c r="Y19" s="12">
        <v>89.88</v>
      </c>
      <c r="Z19" s="12">
        <v>86.68</v>
      </c>
      <c r="AA19" s="12">
        <v>89.44</v>
      </c>
      <c r="AB19" s="105">
        <v>11248400</v>
      </c>
      <c r="AC19" s="12">
        <v>89.44</v>
      </c>
      <c r="AD19" s="43">
        <f t="shared" si="1"/>
        <v>3.1999999999999886</v>
      </c>
      <c r="AE19" s="172">
        <f t="shared" si="2"/>
        <v>2.3809523809523725E-2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42411</v>
      </c>
      <c r="X20" s="12">
        <v>86.5</v>
      </c>
      <c r="Y20" s="12">
        <v>88.45</v>
      </c>
      <c r="Z20" s="12">
        <v>86.01</v>
      </c>
      <c r="AA20" s="12">
        <v>87.36</v>
      </c>
      <c r="AB20" s="105">
        <v>12951000</v>
      </c>
      <c r="AC20" s="12">
        <v>87.36</v>
      </c>
      <c r="AD20" s="43">
        <f t="shared" si="1"/>
        <v>2.4399999999999977</v>
      </c>
      <c r="AE20" s="172">
        <f t="shared" si="2"/>
        <v>-5.0113895216400417E-3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42410</v>
      </c>
      <c r="X21" s="12">
        <v>88.69</v>
      </c>
      <c r="Y21" s="12">
        <v>89.85</v>
      </c>
      <c r="Z21" s="12">
        <v>87.54</v>
      </c>
      <c r="AA21" s="12">
        <v>87.8</v>
      </c>
      <c r="AB21" s="105">
        <v>13450200</v>
      </c>
      <c r="AC21" s="12">
        <v>87.8</v>
      </c>
      <c r="AD21" s="43">
        <f t="shared" si="1"/>
        <v>2.3099999999999881</v>
      </c>
      <c r="AE21" s="172">
        <f t="shared" si="2"/>
        <v>6.3037249283668384E-3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42409</v>
      </c>
      <c r="X22" s="12">
        <v>84.2</v>
      </c>
      <c r="Y22" s="12">
        <v>88.48</v>
      </c>
      <c r="Z22" s="12">
        <v>84.1</v>
      </c>
      <c r="AA22" s="12">
        <v>87.25</v>
      </c>
      <c r="AB22" s="105">
        <v>14154300</v>
      </c>
      <c r="AC22" s="12">
        <v>87.25</v>
      </c>
      <c r="AD22" s="43">
        <f t="shared" si="1"/>
        <v>4.3800000000000097</v>
      </c>
      <c r="AE22" s="172">
        <f t="shared" si="2"/>
        <v>2.3340370631010909E-2</v>
      </c>
    </row>
    <row r="23" spans="2:31" x14ac:dyDescent="0.25">
      <c r="B23" s="216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70">
        <f t="shared" si="5"/>
        <v>-5.8060855677901951E-2</v>
      </c>
      <c r="W23" s="143">
        <v>42408</v>
      </c>
      <c r="X23" s="12">
        <v>84.19</v>
      </c>
      <c r="Y23" s="12">
        <v>86.65</v>
      </c>
      <c r="Z23" s="12">
        <v>83.86</v>
      </c>
      <c r="AA23" s="12">
        <v>85.26</v>
      </c>
      <c r="AB23" s="105">
        <v>18990000</v>
      </c>
      <c r="AC23" s="12">
        <v>85.26</v>
      </c>
      <c r="AD23" s="43">
        <f t="shared" si="1"/>
        <v>2.7900000000000063</v>
      </c>
      <c r="AE23" s="172">
        <f t="shared" si="2"/>
        <v>1.4094432699085502E-3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42405</v>
      </c>
      <c r="X24" s="12">
        <v>86.68</v>
      </c>
      <c r="Y24" s="12">
        <v>88.02</v>
      </c>
      <c r="Z24" s="12">
        <v>84.45</v>
      </c>
      <c r="AA24" s="12">
        <v>85.14</v>
      </c>
      <c r="AB24" s="105">
        <v>15584500</v>
      </c>
      <c r="AC24" s="12">
        <v>85.14</v>
      </c>
      <c r="AD24" s="43">
        <f t="shared" si="1"/>
        <v>3.5699999999999932</v>
      </c>
      <c r="AE24" s="172">
        <f t="shared" si="2"/>
        <v>-1.7766497461929043E-2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42404</v>
      </c>
      <c r="X25" s="12">
        <v>86.02</v>
      </c>
      <c r="Y25" s="12">
        <v>87.45</v>
      </c>
      <c r="Z25" s="12">
        <v>85.61</v>
      </c>
      <c r="AA25" s="12">
        <v>86.68</v>
      </c>
      <c r="AB25" s="105">
        <v>14494800</v>
      </c>
      <c r="AC25" s="12">
        <v>86.68</v>
      </c>
      <c r="AD25" s="43">
        <f t="shared" si="1"/>
        <v>1.8400000000000034</v>
      </c>
      <c r="AE25" s="172">
        <f t="shared" si="2"/>
        <v>3.356870008102808E-3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42403</v>
      </c>
      <c r="X26" s="12">
        <v>84.91</v>
      </c>
      <c r="Y26" s="12">
        <v>86.99</v>
      </c>
      <c r="Z26" s="12">
        <v>83.87</v>
      </c>
      <c r="AA26" s="12">
        <v>86.39</v>
      </c>
      <c r="AB26" s="105">
        <v>24471600</v>
      </c>
      <c r="AC26" s="12">
        <v>86.39</v>
      </c>
      <c r="AD26" s="43">
        <f t="shared" si="1"/>
        <v>3.1199999999999903</v>
      </c>
      <c r="AE26" s="172">
        <f t="shared" si="2"/>
        <v>4.4492806190303602E-2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42402</v>
      </c>
      <c r="X27" s="12">
        <v>84.18</v>
      </c>
      <c r="Y27" s="12">
        <v>84.22</v>
      </c>
      <c r="Z27" s="12">
        <v>81.89</v>
      </c>
      <c r="AA27" s="12">
        <v>82.71</v>
      </c>
      <c r="AB27" s="105">
        <v>16504600</v>
      </c>
      <c r="AC27" s="12">
        <v>82.71</v>
      </c>
      <c r="AD27" s="43">
        <f t="shared" si="1"/>
        <v>2.3299999999999983</v>
      </c>
      <c r="AE27" s="172">
        <f t="shared" si="2"/>
        <v>-1.5942891136228488E-2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42401</v>
      </c>
      <c r="X28" s="12">
        <v>82.32</v>
      </c>
      <c r="Y28" s="12">
        <v>84.52</v>
      </c>
      <c r="Z28" s="12">
        <v>82.28</v>
      </c>
      <c r="AA28" s="12">
        <v>84.05</v>
      </c>
      <c r="AB28" s="105">
        <v>17845100</v>
      </c>
      <c r="AC28" s="12">
        <v>84.05</v>
      </c>
      <c r="AD28" s="43">
        <f t="shared" si="1"/>
        <v>2.2399999999999949</v>
      </c>
      <c r="AE28" s="172">
        <f t="shared" si="2"/>
        <v>1.2650602409638445E-2</v>
      </c>
    </row>
    <row r="29" spans="2:31" x14ac:dyDescent="0.25">
      <c r="W29" s="143">
        <v>42398</v>
      </c>
      <c r="X29" s="12">
        <v>84.28</v>
      </c>
      <c r="Y29" s="12">
        <v>85.3</v>
      </c>
      <c r="Z29" s="12">
        <v>82.33</v>
      </c>
      <c r="AA29" s="12">
        <v>83</v>
      </c>
      <c r="AB29" s="105">
        <v>36738500</v>
      </c>
      <c r="AC29" s="12">
        <v>83</v>
      </c>
      <c r="AD29" s="43">
        <f t="shared" si="1"/>
        <v>2.9699999999999989</v>
      </c>
      <c r="AE29" s="172">
        <f t="shared" si="2"/>
        <v>-5.1753684451045334E-2</v>
      </c>
    </row>
    <row r="30" spans="2:31" x14ac:dyDescent="0.25">
      <c r="W30" s="143">
        <v>42397</v>
      </c>
      <c r="X30" s="12">
        <v>90</v>
      </c>
      <c r="Y30" s="12">
        <v>90.22</v>
      </c>
      <c r="Z30" s="12">
        <v>86.86</v>
      </c>
      <c r="AA30" s="12">
        <v>87.53</v>
      </c>
      <c r="AB30" s="105">
        <v>14115900</v>
      </c>
      <c r="AC30" s="12">
        <v>87.53</v>
      </c>
      <c r="AD30" s="43">
        <f t="shared" si="1"/>
        <v>3.3599999999999994</v>
      </c>
      <c r="AE30" s="172">
        <f t="shared" si="2"/>
        <v>-2.3429655249358361E-2</v>
      </c>
    </row>
    <row r="31" spans="2:31" x14ac:dyDescent="0.25">
      <c r="W31" s="143">
        <v>42396</v>
      </c>
      <c r="X31" s="12">
        <v>91.84</v>
      </c>
      <c r="Y31" s="12">
        <v>92.1</v>
      </c>
      <c r="Z31" s="12">
        <v>89</v>
      </c>
      <c r="AA31" s="12">
        <v>89.63</v>
      </c>
      <c r="AB31" s="105">
        <v>12421500</v>
      </c>
      <c r="AC31" s="12">
        <v>89.63</v>
      </c>
      <c r="AD31" s="43">
        <f t="shared" si="1"/>
        <v>3.0999999999999943</v>
      </c>
      <c r="AE31" s="172">
        <f t="shared" si="2"/>
        <v>-2.7979611755774791E-2</v>
      </c>
    </row>
    <row r="32" spans="2:31" x14ac:dyDescent="0.25">
      <c r="W32" s="143">
        <v>42395</v>
      </c>
      <c r="X32" s="12">
        <v>90.72</v>
      </c>
      <c r="Y32" s="12">
        <v>92.83</v>
      </c>
      <c r="Z32" s="12">
        <v>90.25</v>
      </c>
      <c r="AA32" s="12">
        <v>92.21</v>
      </c>
      <c r="AB32" s="105">
        <v>6860400</v>
      </c>
      <c r="AC32" s="12">
        <v>92.21</v>
      </c>
      <c r="AD32" s="43">
        <f t="shared" si="1"/>
        <v>2.5799999999999983</v>
      </c>
      <c r="AE32" s="172">
        <f t="shared" si="2"/>
        <v>1.7658095132987439E-2</v>
      </c>
    </row>
    <row r="33" spans="15:31" x14ac:dyDescent="0.25">
      <c r="W33" s="143">
        <v>42394</v>
      </c>
      <c r="X33" s="12">
        <v>91.53</v>
      </c>
      <c r="Y33" s="12">
        <v>93.54</v>
      </c>
      <c r="Z33" s="12">
        <v>90.43</v>
      </c>
      <c r="AA33" s="12">
        <v>90.61</v>
      </c>
      <c r="AB33" s="105">
        <v>10103600</v>
      </c>
      <c r="AC33" s="12">
        <v>90.61</v>
      </c>
      <c r="AD33" s="43">
        <f t="shared" si="1"/>
        <v>3.1099999999999994</v>
      </c>
      <c r="AE33" s="172">
        <f t="shared" si="2"/>
        <v>-1.3285418708483099E-2</v>
      </c>
    </row>
    <row r="34" spans="15:31" x14ac:dyDescent="0.25">
      <c r="W34" s="143">
        <v>42391</v>
      </c>
      <c r="X34" s="12">
        <v>90.4</v>
      </c>
      <c r="Y34" s="12">
        <v>92.07</v>
      </c>
      <c r="Z34" s="12">
        <v>89.71</v>
      </c>
      <c r="AA34" s="12">
        <v>91.83</v>
      </c>
      <c r="AB34" s="105">
        <v>9116900</v>
      </c>
      <c r="AC34" s="12">
        <v>91.83</v>
      </c>
      <c r="AD34" s="43">
        <f t="shared" si="1"/>
        <v>2.3599999999999994</v>
      </c>
      <c r="AE34" s="172">
        <f t="shared" si="2"/>
        <v>3.3307077754022751E-2</v>
      </c>
    </row>
    <row r="35" spans="15:31" x14ac:dyDescent="0.25">
      <c r="W35" s="143">
        <v>42390</v>
      </c>
      <c r="X35" s="12">
        <v>90.37</v>
      </c>
      <c r="Y35" s="12">
        <v>90.6</v>
      </c>
      <c r="Z35" s="12">
        <v>88.71</v>
      </c>
      <c r="AA35" s="12">
        <v>88.87</v>
      </c>
      <c r="AB35" s="105">
        <v>12121200</v>
      </c>
      <c r="AC35" s="12">
        <v>88.87</v>
      </c>
      <c r="AD35" s="43">
        <f t="shared" si="1"/>
        <v>1.8900000000000006</v>
      </c>
      <c r="AE35" s="172">
        <f t="shared" si="2"/>
        <v>-1.8553285477636572E-2</v>
      </c>
    </row>
    <row r="36" spans="15:31" x14ac:dyDescent="0.25">
      <c r="W36" s="143">
        <v>42389</v>
      </c>
      <c r="X36" s="12">
        <v>88</v>
      </c>
      <c r="Y36" s="12">
        <v>91.83</v>
      </c>
      <c r="Z36" s="12">
        <v>86.28</v>
      </c>
      <c r="AA36" s="12">
        <v>90.55</v>
      </c>
      <c r="AB36" s="105">
        <v>19654600</v>
      </c>
      <c r="AC36" s="12">
        <v>90.55</v>
      </c>
      <c r="AD36" s="43">
        <f t="shared" si="1"/>
        <v>5.5499999999999972</v>
      </c>
      <c r="AE36" s="172">
        <f t="shared" si="2"/>
        <v>7.2302558398218419E-3</v>
      </c>
    </row>
    <row r="37" spans="15:31" x14ac:dyDescent="0.25">
      <c r="W37" s="143">
        <v>42388</v>
      </c>
      <c r="X37" s="12">
        <v>93.14</v>
      </c>
      <c r="Y37" s="12">
        <v>93.22</v>
      </c>
      <c r="Z37" s="12">
        <v>88.85</v>
      </c>
      <c r="AA37" s="12">
        <v>89.9</v>
      </c>
      <c r="AB37" s="105">
        <v>14243300</v>
      </c>
      <c r="AC37" s="12">
        <v>89.9</v>
      </c>
      <c r="AD37" s="43">
        <f t="shared" si="1"/>
        <v>4.3700000000000045</v>
      </c>
      <c r="AE37" s="172">
        <f t="shared" si="2"/>
        <v>-2.112369337979092E-2</v>
      </c>
    </row>
    <row r="38" spans="15:31" x14ac:dyDescent="0.25">
      <c r="W38" s="143">
        <v>42384</v>
      </c>
      <c r="X38" s="12">
        <v>90.37</v>
      </c>
      <c r="Y38" s="12">
        <v>92.78</v>
      </c>
      <c r="Z38" s="12">
        <v>89.68</v>
      </c>
      <c r="AA38" s="12">
        <v>91.84</v>
      </c>
      <c r="AB38" s="105">
        <v>18108300</v>
      </c>
      <c r="AC38" s="12">
        <v>91.84</v>
      </c>
      <c r="AD38" s="43">
        <f t="shared" si="1"/>
        <v>3.0999999999999943</v>
      </c>
      <c r="AE38" s="172">
        <f t="shared" si="2"/>
        <v>-1.2685443990539613E-2</v>
      </c>
    </row>
    <row r="39" spans="15:31" x14ac:dyDescent="0.25">
      <c r="W39" s="143">
        <v>42383</v>
      </c>
      <c r="X39" s="12">
        <v>92.72</v>
      </c>
      <c r="Y39" s="12">
        <v>94.88</v>
      </c>
      <c r="Z39" s="12">
        <v>90.79</v>
      </c>
      <c r="AA39" s="12">
        <v>93.02</v>
      </c>
      <c r="AB39" s="105">
        <v>16303200</v>
      </c>
      <c r="AC39" s="12">
        <v>93.02</v>
      </c>
      <c r="AD39" s="43">
        <f t="shared" si="1"/>
        <v>4.0899999999999892</v>
      </c>
      <c r="AE39" s="172">
        <f t="shared" si="2"/>
        <v>5.1869461854332499E-3</v>
      </c>
    </row>
    <row r="40" spans="15:31" x14ac:dyDescent="0.25">
      <c r="W40" s="143">
        <v>42382</v>
      </c>
      <c r="X40" s="12">
        <v>97.25</v>
      </c>
      <c r="Y40" s="12">
        <v>98.03</v>
      </c>
      <c r="Z40" s="12">
        <v>92.12</v>
      </c>
      <c r="AA40" s="12">
        <v>92.54</v>
      </c>
      <c r="AB40" s="105">
        <v>12135700</v>
      </c>
      <c r="AC40" s="12">
        <v>92.54</v>
      </c>
      <c r="AD40" s="43">
        <f t="shared" si="1"/>
        <v>5.9099999999999966</v>
      </c>
      <c r="AE40" s="172">
        <f t="shared" si="2"/>
        <v>-4.6961894953655881E-2</v>
      </c>
    </row>
    <row r="41" spans="15:31" x14ac:dyDescent="0.25">
      <c r="W41" s="143">
        <v>42381</v>
      </c>
      <c r="X41" s="12">
        <v>96.9</v>
      </c>
      <c r="Y41" s="12">
        <v>98.49</v>
      </c>
      <c r="Z41" s="12">
        <v>95.21</v>
      </c>
      <c r="AA41" s="12">
        <v>97.1</v>
      </c>
      <c r="AB41" s="105">
        <v>9830100</v>
      </c>
      <c r="AC41" s="12">
        <v>97.1</v>
      </c>
      <c r="AD41" s="43">
        <f t="shared" si="1"/>
        <v>3.2800000000000011</v>
      </c>
      <c r="AE41" s="172">
        <f t="shared" si="2"/>
        <v>6.2176165803107253E-3</v>
      </c>
    </row>
    <row r="42" spans="15:31" ht="20.25" thickBot="1" x14ac:dyDescent="0.35">
      <c r="O42" s="405" t="s">
        <v>78</v>
      </c>
      <c r="P42" s="405"/>
      <c r="T42" s="101" t="s">
        <v>116</v>
      </c>
      <c r="W42" s="143">
        <v>42380</v>
      </c>
      <c r="X42" s="12">
        <v>97.22</v>
      </c>
      <c r="Y42" s="12">
        <v>97.22</v>
      </c>
      <c r="Z42" s="12">
        <v>94.29</v>
      </c>
      <c r="AA42" s="12">
        <v>96.5</v>
      </c>
      <c r="AB42" s="105">
        <v>12322500</v>
      </c>
      <c r="AC42" s="12">
        <v>96.5</v>
      </c>
      <c r="AD42" s="43">
        <f t="shared" si="1"/>
        <v>2.9299999999999926</v>
      </c>
      <c r="AE42" s="172">
        <f t="shared" si="2"/>
        <v>5.1840331778119086E-4</v>
      </c>
    </row>
    <row r="43" spans="15:31" ht="15.75" thickTop="1" x14ac:dyDescent="0.25">
      <c r="O43" s="93">
        <v>1.1000000000000001</v>
      </c>
      <c r="P43" s="93">
        <f>O43*$Q$4</f>
        <v>96.613</v>
      </c>
      <c r="Q43" s="2"/>
      <c r="T43" s="138" t="s">
        <v>101</v>
      </c>
      <c r="U43" s="108">
        <v>88.66</v>
      </c>
      <c r="W43" s="143">
        <v>42377</v>
      </c>
      <c r="X43" s="12">
        <v>96.9</v>
      </c>
      <c r="Y43" s="12">
        <v>97.99</v>
      </c>
      <c r="Z43" s="12">
        <v>96.41</v>
      </c>
      <c r="AA43" s="12">
        <v>96.45</v>
      </c>
      <c r="AB43" s="105">
        <v>11976000</v>
      </c>
      <c r="AC43" s="12">
        <v>96.45</v>
      </c>
      <c r="AD43" s="43">
        <f t="shared" si="1"/>
        <v>1.5799999999999983</v>
      </c>
      <c r="AE43" s="172">
        <f t="shared" si="2"/>
        <v>2.077922077922123E-3</v>
      </c>
    </row>
    <row r="44" spans="15:31" x14ac:dyDescent="0.25">
      <c r="O44" s="93">
        <v>1.0900000000000001</v>
      </c>
      <c r="P44" s="93">
        <f t="shared" ref="P44:P63" si="6">O44*$Q$4</f>
        <v>95.734700000000004</v>
      </c>
      <c r="Q44" s="2"/>
      <c r="T44" s="103" t="s">
        <v>102</v>
      </c>
      <c r="U44" s="98">
        <v>88.94</v>
      </c>
      <c r="W44" s="143">
        <v>42376</v>
      </c>
      <c r="X44" s="12">
        <v>98.06</v>
      </c>
      <c r="Y44" s="12">
        <v>99</v>
      </c>
      <c r="Z44" s="12">
        <v>96.03</v>
      </c>
      <c r="AA44" s="12">
        <v>96.25</v>
      </c>
      <c r="AB44" s="105">
        <v>12944600</v>
      </c>
      <c r="AC44" s="12">
        <v>96.25</v>
      </c>
      <c r="AD44" s="43">
        <f t="shared" si="1"/>
        <v>2.9699999999999989</v>
      </c>
      <c r="AE44" s="172">
        <f t="shared" si="2"/>
        <v>-4.0378863409770704E-2</v>
      </c>
    </row>
    <row r="45" spans="15:31" x14ac:dyDescent="0.25">
      <c r="O45" s="93">
        <v>1.08</v>
      </c>
      <c r="P45" s="93">
        <f t="shared" si="6"/>
        <v>94.856400000000008</v>
      </c>
      <c r="Q45" s="2"/>
      <c r="T45" s="103" t="s">
        <v>103</v>
      </c>
      <c r="U45" s="98" t="s">
        <v>413</v>
      </c>
      <c r="W45" s="143">
        <v>42375</v>
      </c>
      <c r="X45" s="12">
        <v>97.57</v>
      </c>
      <c r="Y45" s="12">
        <v>100.68</v>
      </c>
      <c r="Z45" s="12">
        <v>97.52</v>
      </c>
      <c r="AA45" s="12">
        <v>100.3</v>
      </c>
      <c r="AB45" s="105">
        <v>12540700</v>
      </c>
      <c r="AC45" s="12">
        <v>100.3</v>
      </c>
      <c r="AD45" s="43">
        <f t="shared" si="1"/>
        <v>3.1600000000000108</v>
      </c>
      <c r="AE45" s="172">
        <f t="shared" si="2"/>
        <v>1.0477533749748025E-2</v>
      </c>
    </row>
    <row r="46" spans="15:31" x14ac:dyDescent="0.25">
      <c r="O46" s="93">
        <v>1.07</v>
      </c>
      <c r="P46" s="93">
        <f t="shared" si="6"/>
        <v>93.978099999999998</v>
      </c>
      <c r="Q46" s="2"/>
      <c r="T46" s="103" t="s">
        <v>104</v>
      </c>
      <c r="U46" s="98" t="s">
        <v>414</v>
      </c>
      <c r="W46" s="143">
        <v>42374</v>
      </c>
      <c r="X46" s="12">
        <v>99.69</v>
      </c>
      <c r="Y46" s="12">
        <v>99.85</v>
      </c>
      <c r="Z46" s="12">
        <v>98.7</v>
      </c>
      <c r="AA46" s="12">
        <v>99.26</v>
      </c>
      <c r="AB46" s="105">
        <v>9260800</v>
      </c>
      <c r="AC46" s="12">
        <v>99.26</v>
      </c>
      <c r="AD46" s="43">
        <f t="shared" si="1"/>
        <v>1.1499999999999915</v>
      </c>
      <c r="AE46" s="172">
        <f t="shared" si="2"/>
        <v>1.2753800632588463E-2</v>
      </c>
    </row>
    <row r="47" spans="15:31" x14ac:dyDescent="0.25">
      <c r="O47" s="93">
        <v>1.06</v>
      </c>
      <c r="P47" s="93">
        <f t="shared" si="6"/>
        <v>93.099800000000002</v>
      </c>
      <c r="Q47" s="2"/>
      <c r="T47" s="103" t="s">
        <v>105</v>
      </c>
      <c r="U47" s="98">
        <v>115.85</v>
      </c>
      <c r="W47" s="143">
        <v>42373</v>
      </c>
      <c r="X47" s="12">
        <v>99.77</v>
      </c>
      <c r="Y47" s="12">
        <v>100</v>
      </c>
      <c r="Z47" s="12">
        <v>97.01</v>
      </c>
      <c r="AA47" s="12">
        <v>98.01</v>
      </c>
      <c r="AB47" s="105">
        <v>14904400</v>
      </c>
      <c r="AC47" s="12">
        <v>98.01</v>
      </c>
      <c r="AD47" s="43">
        <f t="shared" si="1"/>
        <v>2.9899999999999949</v>
      </c>
      <c r="AE47" s="172">
        <f t="shared" si="2"/>
        <v>-3.1426030240142233E-2</v>
      </c>
    </row>
    <row r="48" spans="15:31" x14ac:dyDescent="0.25">
      <c r="O48" s="93">
        <v>1.05</v>
      </c>
      <c r="P48" s="93">
        <f t="shared" si="6"/>
        <v>92.221500000000006</v>
      </c>
      <c r="Q48" s="2"/>
      <c r="T48" s="103" t="s">
        <v>106</v>
      </c>
      <c r="U48" s="98">
        <v>1.38696</v>
      </c>
      <c r="W48" s="143">
        <v>42369</v>
      </c>
      <c r="X48" s="12">
        <v>102.36</v>
      </c>
      <c r="Y48" s="12">
        <v>102.42</v>
      </c>
      <c r="Z48" s="12">
        <v>101.17</v>
      </c>
      <c r="AA48" s="12">
        <v>101.19</v>
      </c>
      <c r="AB48" s="105">
        <v>6245200</v>
      </c>
      <c r="AC48" s="12">
        <v>101.19</v>
      </c>
      <c r="AD48" s="43">
        <f t="shared" si="1"/>
        <v>1.25</v>
      </c>
      <c r="AE48" s="172">
        <f t="shared" si="2"/>
        <v>-9.4949099451839825E-3</v>
      </c>
    </row>
    <row r="49" spans="15:31" x14ac:dyDescent="0.25">
      <c r="O49" s="93">
        <v>1.04</v>
      </c>
      <c r="P49" s="93">
        <f t="shared" si="6"/>
        <v>91.343199999999996</v>
      </c>
      <c r="Q49" s="2"/>
      <c r="T49" s="103" t="s">
        <v>126</v>
      </c>
      <c r="U49" s="98" t="s">
        <v>259</v>
      </c>
      <c r="W49" s="143">
        <v>42368</v>
      </c>
      <c r="X49" s="12">
        <v>102.84</v>
      </c>
      <c r="Y49" s="12">
        <v>103.05</v>
      </c>
      <c r="Z49" s="12">
        <v>102.03</v>
      </c>
      <c r="AA49" s="12">
        <v>102.16</v>
      </c>
      <c r="AB49" s="105">
        <v>4876300</v>
      </c>
      <c r="AC49" s="12">
        <v>102.16</v>
      </c>
      <c r="AD49" s="43">
        <f t="shared" si="1"/>
        <v>1.019999999999996</v>
      </c>
      <c r="AE49" s="172">
        <f t="shared" si="2"/>
        <v>-1.1609907120743057E-2</v>
      </c>
    </row>
    <row r="50" spans="15:31" x14ac:dyDescent="0.25">
      <c r="O50" s="93">
        <v>1.03</v>
      </c>
      <c r="P50" s="93">
        <f t="shared" si="6"/>
        <v>90.4649</v>
      </c>
      <c r="Q50" s="2"/>
      <c r="T50" s="103"/>
      <c r="U50" s="98"/>
      <c r="W50" s="143">
        <v>42367</v>
      </c>
      <c r="X50" s="12">
        <v>102.25</v>
      </c>
      <c r="Y50" s="12">
        <v>103.55</v>
      </c>
      <c r="Z50" s="12">
        <v>101.57</v>
      </c>
      <c r="AA50" s="12">
        <v>103.36</v>
      </c>
      <c r="AB50" s="105">
        <v>7647300</v>
      </c>
      <c r="AC50" s="12">
        <v>103.36</v>
      </c>
      <c r="AD50" s="43">
        <f t="shared" si="1"/>
        <v>1.980000000000004</v>
      </c>
      <c r="AE50" s="172">
        <f t="shared" si="2"/>
        <v>1.6522423288748866E-2</v>
      </c>
    </row>
    <row r="51" spans="15:31" x14ac:dyDescent="0.25">
      <c r="O51" s="93">
        <v>1.02</v>
      </c>
      <c r="P51" s="93">
        <f t="shared" si="6"/>
        <v>89.586600000000004</v>
      </c>
      <c r="Q51" s="2"/>
      <c r="T51" s="103" t="s">
        <v>108</v>
      </c>
      <c r="U51" s="98" t="s">
        <v>415</v>
      </c>
      <c r="W51" s="143">
        <v>42366</v>
      </c>
      <c r="X51" s="12">
        <v>103</v>
      </c>
      <c r="Y51" s="12">
        <v>103.31</v>
      </c>
      <c r="Z51" s="12">
        <v>101.51</v>
      </c>
      <c r="AA51" s="12">
        <v>101.68</v>
      </c>
      <c r="AB51" s="105">
        <v>5270900</v>
      </c>
      <c r="AC51" s="12">
        <v>101.68</v>
      </c>
      <c r="AD51" s="43">
        <f t="shared" si="1"/>
        <v>1.7999999999999972</v>
      </c>
      <c r="AE51" s="172">
        <f t="shared" si="2"/>
        <v>-1.8343309519212148E-2</v>
      </c>
    </row>
    <row r="52" spans="15:31" x14ac:dyDescent="0.25">
      <c r="O52" s="93">
        <v>1.01</v>
      </c>
      <c r="P52" s="93">
        <f t="shared" si="6"/>
        <v>88.708299999999994</v>
      </c>
      <c r="Q52" s="2"/>
      <c r="T52" s="103" t="s">
        <v>109</v>
      </c>
      <c r="U52" s="98" t="s">
        <v>260</v>
      </c>
      <c r="W52" s="143">
        <v>42362</v>
      </c>
      <c r="X52" s="12">
        <v>103.35</v>
      </c>
      <c r="Y52" s="12">
        <v>103.9</v>
      </c>
      <c r="Z52" s="12">
        <v>103.15</v>
      </c>
      <c r="AA52" s="12">
        <v>103.58</v>
      </c>
      <c r="AB52" s="105">
        <v>2656900</v>
      </c>
      <c r="AC52" s="12">
        <v>103.58</v>
      </c>
      <c r="AD52" s="43">
        <f t="shared" si="1"/>
        <v>0.75</v>
      </c>
      <c r="AE52" s="172">
        <f t="shared" si="2"/>
        <v>4.26604615086279E-3</v>
      </c>
    </row>
    <row r="53" spans="15:31" x14ac:dyDescent="0.25">
      <c r="O53" s="93">
        <v>1</v>
      </c>
      <c r="P53" s="93">
        <f t="shared" si="6"/>
        <v>87.83</v>
      </c>
      <c r="Q53" s="2"/>
      <c r="T53" s="103" t="s">
        <v>110</v>
      </c>
      <c r="U53" s="100">
        <v>10428066</v>
      </c>
      <c r="W53" s="143">
        <v>42361</v>
      </c>
      <c r="X53" s="12">
        <v>103.59</v>
      </c>
      <c r="Y53" s="12">
        <v>103.59</v>
      </c>
      <c r="Z53" s="12">
        <v>102.69</v>
      </c>
      <c r="AA53" s="12">
        <v>103.14</v>
      </c>
      <c r="AB53" s="105">
        <v>7279900</v>
      </c>
      <c r="AC53" s="12">
        <v>103.14</v>
      </c>
      <c r="AD53" s="43">
        <f t="shared" si="1"/>
        <v>0.90000000000000568</v>
      </c>
      <c r="AE53" s="172">
        <f t="shared" si="2"/>
        <v>2.7221466070386224E-3</v>
      </c>
    </row>
    <row r="54" spans="15:31" x14ac:dyDescent="0.25">
      <c r="O54" s="93">
        <v>0.99</v>
      </c>
      <c r="P54" s="93">
        <f t="shared" si="6"/>
        <v>86.951700000000002</v>
      </c>
      <c r="Q54" s="2"/>
      <c r="T54" s="103" t="s">
        <v>113</v>
      </c>
      <c r="U54" s="100">
        <v>12487300</v>
      </c>
      <c r="W54" s="143">
        <v>42360</v>
      </c>
      <c r="X54" s="12">
        <v>102.99</v>
      </c>
      <c r="Y54" s="12">
        <v>103.54</v>
      </c>
      <c r="Z54" s="12">
        <v>102.49</v>
      </c>
      <c r="AA54" s="12">
        <v>102.86</v>
      </c>
      <c r="AB54" s="105">
        <v>7151200</v>
      </c>
      <c r="AC54" s="12">
        <v>102.86</v>
      </c>
      <c r="AD54" s="43">
        <f t="shared" si="1"/>
        <v>1.0500000000000114</v>
      </c>
      <c r="AE54" s="172">
        <f t="shared" si="2"/>
        <v>2.2410601188735946E-3</v>
      </c>
    </row>
    <row r="55" spans="15:31" x14ac:dyDescent="0.25">
      <c r="O55" s="93">
        <v>0.98</v>
      </c>
      <c r="P55" s="93">
        <f t="shared" si="6"/>
        <v>86.073399999999992</v>
      </c>
      <c r="Q55" s="2"/>
      <c r="T55" s="103" t="s">
        <v>111</v>
      </c>
      <c r="U55" s="98" t="s">
        <v>416</v>
      </c>
      <c r="W55" s="143">
        <v>42359</v>
      </c>
      <c r="X55" s="12">
        <v>102.21</v>
      </c>
      <c r="Y55" s="12">
        <v>103.26</v>
      </c>
      <c r="Z55" s="12">
        <v>101.63</v>
      </c>
      <c r="AA55" s="12">
        <v>102.63</v>
      </c>
      <c r="AB55" s="105">
        <v>8306500</v>
      </c>
      <c r="AC55" s="12">
        <v>102.63</v>
      </c>
      <c r="AD55" s="43">
        <f t="shared" si="1"/>
        <v>1.6300000000000097</v>
      </c>
      <c r="AE55" s="172">
        <f t="shared" si="2"/>
        <v>1.0137795275590555E-2</v>
      </c>
    </row>
    <row r="56" spans="15:31" x14ac:dyDescent="0.25">
      <c r="O56" s="93">
        <v>0.97</v>
      </c>
      <c r="P56" s="93">
        <f t="shared" si="6"/>
        <v>85.195099999999996</v>
      </c>
      <c r="T56" s="103" t="s">
        <v>114</v>
      </c>
      <c r="U56" s="98">
        <v>7.37</v>
      </c>
      <c r="W56" s="143">
        <v>42356</v>
      </c>
      <c r="X56" s="12">
        <v>101.68</v>
      </c>
      <c r="Y56" s="12">
        <v>101.99</v>
      </c>
      <c r="Z56" s="12">
        <v>100.92</v>
      </c>
      <c r="AA56" s="12">
        <v>101.6</v>
      </c>
      <c r="AB56" s="105">
        <v>15768500</v>
      </c>
      <c r="AC56" s="12">
        <v>101.6</v>
      </c>
      <c r="AD56" s="43">
        <f t="shared" si="1"/>
        <v>1.0699999999999932</v>
      </c>
      <c r="AE56" s="172">
        <f t="shared" si="2"/>
        <v>-7.4247753028526819E-3</v>
      </c>
    </row>
    <row r="57" spans="15:31" x14ac:dyDescent="0.25">
      <c r="O57" s="93">
        <v>0.96</v>
      </c>
      <c r="P57" s="93">
        <f t="shared" si="6"/>
        <v>84.316800000000001</v>
      </c>
      <c r="T57" s="103" t="s">
        <v>115</v>
      </c>
      <c r="U57" s="98">
        <v>11.91</v>
      </c>
      <c r="W57" s="143">
        <v>42355</v>
      </c>
      <c r="X57" s="12">
        <v>104.25</v>
      </c>
      <c r="Y57" s="12">
        <v>104.79</v>
      </c>
      <c r="Z57" s="12">
        <v>102.33</v>
      </c>
      <c r="AA57" s="12">
        <v>102.36</v>
      </c>
      <c r="AB57" s="105">
        <v>7614400</v>
      </c>
      <c r="AC57" s="12">
        <v>102.36</v>
      </c>
      <c r="AD57" s="43">
        <f t="shared" si="1"/>
        <v>2.460000000000008</v>
      </c>
      <c r="AE57" s="172">
        <f t="shared" si="2"/>
        <v>-9.4832591445713765E-3</v>
      </c>
    </row>
    <row r="58" spans="15:31" x14ac:dyDescent="0.25">
      <c r="O58" s="93">
        <v>0.95</v>
      </c>
      <c r="P58" s="93">
        <f t="shared" si="6"/>
        <v>83.438499999999991</v>
      </c>
      <c r="T58" s="103" t="s">
        <v>112</v>
      </c>
      <c r="U58" s="98" t="s">
        <v>321</v>
      </c>
      <c r="W58" s="143">
        <v>42354</v>
      </c>
      <c r="X58" s="12">
        <v>103.18</v>
      </c>
      <c r="Y58" s="12">
        <v>103.49</v>
      </c>
      <c r="Z58" s="12">
        <v>101.64</v>
      </c>
      <c r="AA58" s="12">
        <v>103.34</v>
      </c>
      <c r="AB58" s="105">
        <v>10950300</v>
      </c>
      <c r="AC58" s="12">
        <v>103.34</v>
      </c>
      <c r="AD58" s="43">
        <f t="shared" si="1"/>
        <v>1.8499999999999943</v>
      </c>
      <c r="AE58" s="172">
        <f t="shared" si="2"/>
        <v>1.3435324114935865E-2</v>
      </c>
    </row>
    <row r="59" spans="15:31" x14ac:dyDescent="0.25">
      <c r="O59" s="93">
        <v>0.94</v>
      </c>
      <c r="P59" s="93">
        <f t="shared" si="6"/>
        <v>82.560199999999995</v>
      </c>
      <c r="W59" s="143">
        <v>42353</v>
      </c>
      <c r="X59" s="12">
        <v>101.74</v>
      </c>
      <c r="Y59" s="12">
        <v>103</v>
      </c>
      <c r="Z59" s="12">
        <v>101.44</v>
      </c>
      <c r="AA59" s="12">
        <v>101.97</v>
      </c>
      <c r="AB59" s="105">
        <v>11678500</v>
      </c>
      <c r="AC59" s="12">
        <v>101.97</v>
      </c>
      <c r="AD59" s="43">
        <f t="shared" si="1"/>
        <v>1.5600000000000023</v>
      </c>
      <c r="AE59" s="172">
        <f t="shared" si="2"/>
        <v>1.472783361528518E-2</v>
      </c>
    </row>
    <row r="60" spans="15:31" x14ac:dyDescent="0.25">
      <c r="O60" s="93">
        <v>0.93</v>
      </c>
      <c r="P60" s="93">
        <f t="shared" si="6"/>
        <v>81.681899999999999</v>
      </c>
      <c r="W60" s="143">
        <v>42352</v>
      </c>
      <c r="X60" s="12">
        <v>99.97</v>
      </c>
      <c r="Y60" s="12">
        <v>100.93</v>
      </c>
      <c r="Z60" s="12">
        <v>98.66</v>
      </c>
      <c r="AA60" s="12">
        <v>100.49</v>
      </c>
      <c r="AB60" s="105">
        <v>10251300</v>
      </c>
      <c r="AC60" s="12">
        <v>100.49</v>
      </c>
      <c r="AD60" s="43">
        <f t="shared" si="1"/>
        <v>2.2700000000000102</v>
      </c>
      <c r="AE60" s="172" t="e">
        <f t="shared" si="2"/>
        <v>#DIV/0!</v>
      </c>
    </row>
    <row r="61" spans="15:31" x14ac:dyDescent="0.25">
      <c r="O61" s="93">
        <v>0.92</v>
      </c>
      <c r="P61" s="93">
        <f t="shared" si="6"/>
        <v>80.803600000000003</v>
      </c>
      <c r="W61" s="143">
        <v>42352</v>
      </c>
      <c r="X61" s="12" t="s">
        <v>152</v>
      </c>
      <c r="Y61" s="12"/>
      <c r="Z61" s="12"/>
      <c r="AA61" s="12"/>
      <c r="AB61" s="105"/>
      <c r="AC61" s="12"/>
      <c r="AD61" s="43">
        <f t="shared" si="1"/>
        <v>0</v>
      </c>
      <c r="AE61" s="172">
        <f t="shared" si="2"/>
        <v>-1</v>
      </c>
    </row>
    <row r="62" spans="15:31" x14ac:dyDescent="0.25">
      <c r="O62" s="93">
        <v>0.91</v>
      </c>
      <c r="P62" s="93">
        <f t="shared" si="6"/>
        <v>79.925300000000007</v>
      </c>
      <c r="W62" s="143">
        <v>42349</v>
      </c>
      <c r="X62" s="12">
        <v>101.35</v>
      </c>
      <c r="Y62" s="12">
        <v>102.47</v>
      </c>
      <c r="Z62" s="12">
        <v>99.67</v>
      </c>
      <c r="AA62" s="12">
        <v>100.03</v>
      </c>
      <c r="AB62" s="105">
        <v>9518900</v>
      </c>
      <c r="AC62" s="12">
        <v>99.6</v>
      </c>
      <c r="AD62" s="43">
        <f t="shared" si="1"/>
        <v>2.7999999999999972</v>
      </c>
      <c r="AE62" s="172">
        <f t="shared" si="2"/>
        <v>-2.5249559600704741E-2</v>
      </c>
    </row>
    <row r="63" spans="15:31" x14ac:dyDescent="0.25">
      <c r="O63" s="93">
        <v>0.9</v>
      </c>
      <c r="P63" s="93">
        <f t="shared" si="6"/>
        <v>79.046999999999997</v>
      </c>
      <c r="W63" s="143">
        <v>42348</v>
      </c>
      <c r="X63" s="12">
        <v>102.45</v>
      </c>
      <c r="Y63" s="12">
        <v>103.06</v>
      </c>
      <c r="Z63" s="12">
        <v>101.56</v>
      </c>
      <c r="AA63" s="12">
        <v>102.62</v>
      </c>
      <c r="AB63" s="105">
        <v>7653300</v>
      </c>
      <c r="AC63" s="12">
        <v>102.18</v>
      </c>
      <c r="AD63" s="43">
        <f t="shared" si="1"/>
        <v>1.5</v>
      </c>
      <c r="AE63" s="172">
        <f t="shared" si="2"/>
        <v>6.6003349423702229E-3</v>
      </c>
    </row>
    <row r="64" spans="15:31" x14ac:dyDescent="0.25">
      <c r="W64" s="143">
        <v>42347</v>
      </c>
      <c r="X64" s="12">
        <v>103.25</v>
      </c>
      <c r="Y64" s="12">
        <v>104.33</v>
      </c>
      <c r="Z64" s="12">
        <v>101.5</v>
      </c>
      <c r="AA64" s="12">
        <v>101.95</v>
      </c>
      <c r="AB64" s="105">
        <v>7534900</v>
      </c>
      <c r="AC64" s="12">
        <v>101.51</v>
      </c>
      <c r="AD64" s="43">
        <f t="shared" si="1"/>
        <v>2.8299999999999983</v>
      </c>
      <c r="AE64" s="172">
        <f t="shared" si="2"/>
        <v>-1.5230888630190065E-2</v>
      </c>
    </row>
    <row r="65" spans="23:31" x14ac:dyDescent="0.25">
      <c r="W65" s="143">
        <v>42346</v>
      </c>
      <c r="X65" s="12">
        <v>102.07</v>
      </c>
      <c r="Y65" s="12">
        <v>104.07</v>
      </c>
      <c r="Z65" s="12">
        <v>101.73</v>
      </c>
      <c r="AA65" s="12">
        <v>103.53</v>
      </c>
      <c r="AB65" s="105">
        <v>6675600</v>
      </c>
      <c r="AC65" s="12">
        <v>103.08</v>
      </c>
      <c r="AD65" s="43">
        <f t="shared" si="1"/>
        <v>2.3399999999999892</v>
      </c>
      <c r="AE65" s="172">
        <f t="shared" si="2"/>
        <v>5.9529618424905006E-3</v>
      </c>
    </row>
    <row r="66" spans="23:31" x14ac:dyDescent="0.25">
      <c r="W66" s="143">
        <v>42345</v>
      </c>
      <c r="X66" s="12">
        <v>104.11</v>
      </c>
      <c r="Y66" s="12">
        <v>104.15</v>
      </c>
      <c r="Z66" s="12">
        <v>102.25</v>
      </c>
      <c r="AA66" s="12">
        <v>102.91</v>
      </c>
      <c r="AB66" s="105">
        <v>5956100</v>
      </c>
      <c r="AC66" s="12">
        <v>102.47</v>
      </c>
      <c r="AD66" s="43">
        <f t="shared" si="1"/>
        <v>1.9000000000000057</v>
      </c>
      <c r="AE66" s="172">
        <f t="shared" si="2"/>
        <v>-1.1098243582320033E-2</v>
      </c>
    </row>
    <row r="67" spans="23:31" x14ac:dyDescent="0.25">
      <c r="W67" s="143">
        <v>42342</v>
      </c>
      <c r="X67" s="12">
        <v>101.44</v>
      </c>
      <c r="Y67" s="12">
        <v>104.16</v>
      </c>
      <c r="Z67" s="12">
        <v>101.25</v>
      </c>
      <c r="AA67" s="12">
        <v>104.07</v>
      </c>
      <c r="AB67" s="105">
        <v>8738300</v>
      </c>
      <c r="AC67" s="12">
        <v>103.62</v>
      </c>
      <c r="AD67" s="43">
        <f t="shared" ref="AD67:AD69" si="7">Y67-Z67</f>
        <v>2.9099999999999966</v>
      </c>
      <c r="AE67" s="172">
        <f t="shared" ref="AE67:AE69" si="8">AC67/AC68-1</f>
        <v>2.6550425995641058E-2</v>
      </c>
    </row>
    <row r="68" spans="23:31" x14ac:dyDescent="0.25">
      <c r="W68" s="143">
        <v>42341</v>
      </c>
      <c r="X68" s="12">
        <v>104.32</v>
      </c>
      <c r="Y68" s="12">
        <v>104.59</v>
      </c>
      <c r="Z68" s="12">
        <v>100.5</v>
      </c>
      <c r="AA68" s="12">
        <v>101.38</v>
      </c>
      <c r="AB68" s="105">
        <v>13772400</v>
      </c>
      <c r="AC68" s="12">
        <v>100.94</v>
      </c>
      <c r="AD68" s="43">
        <f t="shared" si="7"/>
        <v>4.0900000000000034</v>
      </c>
      <c r="AE68" s="172" t="e">
        <f t="shared" si="8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42438</v>
      </c>
      <c r="X2" s="12">
        <v>48.93</v>
      </c>
      <c r="Y2" s="12">
        <v>49.52</v>
      </c>
      <c r="Z2" s="12">
        <v>48.5</v>
      </c>
      <c r="AA2" s="12">
        <v>49.35</v>
      </c>
      <c r="AB2" s="105">
        <v>315000</v>
      </c>
      <c r="AC2" s="12">
        <v>49.35</v>
      </c>
      <c r="AD2" s="2">
        <f>Y2-Z2</f>
        <v>1.0200000000000031</v>
      </c>
      <c r="AE2" s="148">
        <f>AC2/AC3-1</f>
        <v>1.3763352506162674E-2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49.35</v>
      </c>
      <c r="W3" s="143">
        <v>42437</v>
      </c>
      <c r="X3" s="12">
        <v>49.57</v>
      </c>
      <c r="Y3" s="12">
        <v>49.57</v>
      </c>
      <c r="Z3" s="12">
        <v>48.65</v>
      </c>
      <c r="AA3" s="12">
        <v>48.68</v>
      </c>
      <c r="AB3" s="105">
        <v>317800</v>
      </c>
      <c r="AC3" s="12">
        <v>48.68</v>
      </c>
      <c r="AD3" s="2">
        <f t="shared" ref="AD3:AD66" si="0">Y3-Z3</f>
        <v>0.92000000000000171</v>
      </c>
      <c r="AE3" s="148">
        <f t="shared" ref="AE3:AE66" si="1">AC3/AC4-1</f>
        <v>-2.5815489293576133E-2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49.35</v>
      </c>
      <c r="W4" s="143">
        <v>42436</v>
      </c>
      <c r="X4" s="12">
        <v>49.88</v>
      </c>
      <c r="Y4" s="12">
        <v>50.34</v>
      </c>
      <c r="Z4" s="12">
        <v>49.56</v>
      </c>
      <c r="AA4" s="12">
        <v>49.97</v>
      </c>
      <c r="AB4" s="105">
        <v>243900</v>
      </c>
      <c r="AC4" s="12">
        <v>49.97</v>
      </c>
      <c r="AD4" s="2">
        <f t="shared" si="0"/>
        <v>0.78000000000000114</v>
      </c>
      <c r="AE4" s="148">
        <f t="shared" si="1"/>
        <v>4.0040040040034697E-4</v>
      </c>
    </row>
    <row r="5" spans="1:31" x14ac:dyDescent="0.25">
      <c r="O5" s="13" t="s">
        <v>67</v>
      </c>
      <c r="Q5" s="3">
        <f>Q4*Q2</f>
        <v>0</v>
      </c>
      <c r="W5" s="143">
        <v>42433</v>
      </c>
      <c r="X5" s="12">
        <v>49.1</v>
      </c>
      <c r="Y5" s="12">
        <v>50.29</v>
      </c>
      <c r="Z5" s="12">
        <v>48.62</v>
      </c>
      <c r="AA5" s="12">
        <v>49.95</v>
      </c>
      <c r="AB5" s="105">
        <v>238800</v>
      </c>
      <c r="AC5" s="12">
        <v>49.95</v>
      </c>
      <c r="AD5" s="2">
        <f t="shared" si="0"/>
        <v>1.6700000000000017</v>
      </c>
      <c r="AE5" s="148">
        <f t="shared" si="1"/>
        <v>1.1543134872417982E-2</v>
      </c>
    </row>
    <row r="6" spans="1:31" x14ac:dyDescent="0.25">
      <c r="O6" s="13" t="s">
        <v>64</v>
      </c>
      <c r="Q6" s="2">
        <f>Q3*Q2</f>
        <v>0</v>
      </c>
      <c r="W6" s="143">
        <v>42432</v>
      </c>
      <c r="X6" s="12">
        <v>49.47</v>
      </c>
      <c r="Y6" s="12">
        <v>49.84</v>
      </c>
      <c r="Z6" s="12">
        <v>49.09</v>
      </c>
      <c r="AA6" s="12">
        <v>49.38</v>
      </c>
      <c r="AB6" s="105">
        <v>256200</v>
      </c>
      <c r="AC6" s="12">
        <v>49.38</v>
      </c>
      <c r="AD6" s="2">
        <f t="shared" si="0"/>
        <v>0.75</v>
      </c>
      <c r="AE6" s="148">
        <f t="shared" si="1"/>
        <v>-8.0938891137194435E-4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42431</v>
      </c>
      <c r="X7" s="12">
        <v>48.74</v>
      </c>
      <c r="Y7" s="12">
        <v>49.45</v>
      </c>
      <c r="Z7" s="12">
        <v>47.66</v>
      </c>
      <c r="AA7" s="12">
        <v>49.42</v>
      </c>
      <c r="AB7" s="105">
        <v>284700</v>
      </c>
      <c r="AC7" s="12">
        <v>49.42</v>
      </c>
      <c r="AD7" s="2">
        <f t="shared" si="0"/>
        <v>1.7900000000000063</v>
      </c>
      <c r="AE7" s="148">
        <f t="shared" si="1"/>
        <v>1.1461318051575908E-2</v>
      </c>
    </row>
    <row r="8" spans="1:31" x14ac:dyDescent="0.25">
      <c r="O8" s="13" t="s">
        <v>90</v>
      </c>
      <c r="Q8" s="148">
        <f>(Q4-Q3)/Q3</f>
        <v>0</v>
      </c>
      <c r="W8" s="143">
        <v>42430</v>
      </c>
      <c r="X8" s="12">
        <v>47.48</v>
      </c>
      <c r="Y8" s="12">
        <v>49.01</v>
      </c>
      <c r="Z8" s="12">
        <v>47.25</v>
      </c>
      <c r="AA8" s="12">
        <v>48.86</v>
      </c>
      <c r="AB8" s="105">
        <v>285000</v>
      </c>
      <c r="AC8" s="12">
        <v>48.86</v>
      </c>
      <c r="AD8" s="2">
        <f t="shared" si="0"/>
        <v>1.759999999999998</v>
      </c>
      <c r="AE8" s="148">
        <f t="shared" si="1"/>
        <v>4.0681576144834919E-2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42429</v>
      </c>
      <c r="X9" s="12">
        <v>46.7</v>
      </c>
      <c r="Y9" s="12">
        <v>47.32</v>
      </c>
      <c r="Z9" s="12">
        <v>46.7</v>
      </c>
      <c r="AA9" s="12">
        <v>46.95</v>
      </c>
      <c r="AB9" s="105">
        <v>507400</v>
      </c>
      <c r="AC9" s="12">
        <v>46.95</v>
      </c>
      <c r="AD9" s="2">
        <f t="shared" si="0"/>
        <v>0.61999999999999744</v>
      </c>
      <c r="AE9" s="148">
        <f t="shared" si="1"/>
        <v>5.3533190578158862E-3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42426</v>
      </c>
      <c r="X10" s="12">
        <v>47.05</v>
      </c>
      <c r="Y10" s="12">
        <v>47.41</v>
      </c>
      <c r="Z10" s="12">
        <v>46.53</v>
      </c>
      <c r="AA10" s="12">
        <v>46.7</v>
      </c>
      <c r="AB10" s="105">
        <v>267700</v>
      </c>
      <c r="AC10" s="12">
        <v>46.7</v>
      </c>
      <c r="AD10" s="2">
        <f t="shared" si="0"/>
        <v>0.87999999999999545</v>
      </c>
      <c r="AE10" s="148">
        <f t="shared" si="1"/>
        <v>-1.2831479897347231E-3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42425</v>
      </c>
      <c r="X11" s="12">
        <v>46.72</v>
      </c>
      <c r="Y11" s="12">
        <v>46.9</v>
      </c>
      <c r="Z11" s="12">
        <v>45.96</v>
      </c>
      <c r="AA11" s="12">
        <v>46.76</v>
      </c>
      <c r="AB11" s="105">
        <v>193200</v>
      </c>
      <c r="AC11" s="12">
        <v>46.76</v>
      </c>
      <c r="AD11" s="2">
        <f t="shared" si="0"/>
        <v>0.93999999999999773</v>
      </c>
      <c r="AE11" s="148">
        <f t="shared" si="1"/>
        <v>2.7879047823289316E-3</v>
      </c>
    </row>
    <row r="12" spans="1:31" x14ac:dyDescent="0.25">
      <c r="B12" s="12"/>
      <c r="C12" s="12"/>
      <c r="D12" s="43"/>
      <c r="E12" s="43"/>
      <c r="F12" s="43"/>
      <c r="W12" s="143">
        <v>42424</v>
      </c>
      <c r="X12" s="12">
        <v>45.49</v>
      </c>
      <c r="Y12" s="12">
        <v>46.73</v>
      </c>
      <c r="Z12" s="12">
        <v>45.31</v>
      </c>
      <c r="AA12" s="12">
        <v>46.63</v>
      </c>
      <c r="AB12" s="105">
        <v>234900</v>
      </c>
      <c r="AC12" s="12">
        <v>46.63</v>
      </c>
      <c r="AD12" s="2">
        <f t="shared" si="0"/>
        <v>1.4199999999999946</v>
      </c>
      <c r="AE12" s="148">
        <f t="shared" si="1"/>
        <v>1.1935763888889062E-2</v>
      </c>
    </row>
    <row r="13" spans="1:31" x14ac:dyDescent="0.25">
      <c r="B13" s="12"/>
      <c r="C13" s="12"/>
      <c r="D13" s="43"/>
      <c r="E13" s="43"/>
      <c r="F13" s="43"/>
      <c r="W13" s="143">
        <v>42423</v>
      </c>
      <c r="X13" s="12">
        <v>46.13</v>
      </c>
      <c r="Y13" s="12">
        <v>47.25</v>
      </c>
      <c r="Z13" s="12">
        <v>46.01</v>
      </c>
      <c r="AA13" s="12">
        <v>46.08</v>
      </c>
      <c r="AB13" s="105">
        <v>325200</v>
      </c>
      <c r="AC13" s="12">
        <v>46.08</v>
      </c>
      <c r="AD13" s="2">
        <f t="shared" si="0"/>
        <v>1.240000000000002</v>
      </c>
      <c r="AE13" s="148">
        <f t="shared" si="1"/>
        <v>-6.0396893874029578E-3</v>
      </c>
    </row>
    <row r="14" spans="1:31" x14ac:dyDescent="0.25">
      <c r="B14" s="12"/>
      <c r="C14" s="12"/>
      <c r="D14" s="43"/>
      <c r="E14" s="43"/>
      <c r="F14" s="43"/>
      <c r="W14" s="143">
        <v>42422</v>
      </c>
      <c r="X14" s="12">
        <v>46.68</v>
      </c>
      <c r="Y14" s="12">
        <v>47.21</v>
      </c>
      <c r="Z14" s="12">
        <v>46.28</v>
      </c>
      <c r="AA14" s="12">
        <v>46.36</v>
      </c>
      <c r="AB14" s="105">
        <v>366700</v>
      </c>
      <c r="AC14" s="12">
        <v>46.36</v>
      </c>
      <c r="AD14" s="2">
        <f t="shared" si="0"/>
        <v>0.92999999999999972</v>
      </c>
      <c r="AE14" s="148">
        <f t="shared" si="1"/>
        <v>-6.4294899271324368E-3</v>
      </c>
    </row>
    <row r="15" spans="1:31" x14ac:dyDescent="0.25">
      <c r="B15" s="12"/>
      <c r="C15" s="12"/>
      <c r="D15" s="43"/>
      <c r="E15" s="43"/>
      <c r="F15" s="43"/>
      <c r="W15" s="143">
        <v>42419</v>
      </c>
      <c r="X15" s="12">
        <v>46.93</v>
      </c>
      <c r="Y15" s="12">
        <v>47.32</v>
      </c>
      <c r="Z15" s="12">
        <v>46.57</v>
      </c>
      <c r="AA15" s="12">
        <v>46.66</v>
      </c>
      <c r="AB15" s="105">
        <v>203700</v>
      </c>
      <c r="AC15" s="12">
        <v>46.66</v>
      </c>
      <c r="AD15" s="2">
        <f t="shared" si="0"/>
        <v>0.75</v>
      </c>
      <c r="AE15" s="148">
        <f t="shared" si="1"/>
        <v>-1.144067796610182E-2</v>
      </c>
    </row>
    <row r="16" spans="1:31" x14ac:dyDescent="0.25">
      <c r="B16" s="12"/>
      <c r="C16" s="12"/>
      <c r="D16" s="43"/>
      <c r="E16" s="43"/>
      <c r="F16" s="43"/>
      <c r="W16" s="143">
        <v>42418</v>
      </c>
      <c r="X16" s="12">
        <v>47.35</v>
      </c>
      <c r="Y16" s="12">
        <v>47.63</v>
      </c>
      <c r="Z16" s="12">
        <v>47.06</v>
      </c>
      <c r="AA16" s="12">
        <v>47.2</v>
      </c>
      <c r="AB16" s="105">
        <v>191700</v>
      </c>
      <c r="AC16" s="12">
        <v>47.2</v>
      </c>
      <c r="AD16" s="2">
        <f t="shared" si="0"/>
        <v>0.57000000000000028</v>
      </c>
      <c r="AE16" s="148" t="e">
        <f t="shared" si="1"/>
        <v>#DIV/0!</v>
      </c>
    </row>
    <row r="17" spans="2:31" x14ac:dyDescent="0.25">
      <c r="B17" s="12"/>
      <c r="C17" s="12"/>
      <c r="D17" s="43"/>
      <c r="E17" s="43"/>
      <c r="F17" s="43"/>
      <c r="W17" s="143">
        <v>42418</v>
      </c>
      <c r="X17" s="12" t="s">
        <v>287</v>
      </c>
      <c r="Y17" s="12"/>
      <c r="Z17" s="12"/>
      <c r="AA17" s="12"/>
      <c r="AB17" s="105"/>
      <c r="AC17" s="12"/>
      <c r="AD17" s="2">
        <f t="shared" si="0"/>
        <v>0</v>
      </c>
      <c r="AE17" s="148">
        <f t="shared" si="1"/>
        <v>-1</v>
      </c>
    </row>
    <row r="18" spans="2:31" x14ac:dyDescent="0.25">
      <c r="B18" s="12"/>
      <c r="C18" s="12"/>
      <c r="D18" s="43"/>
      <c r="E18" s="43"/>
      <c r="F18" s="43"/>
      <c r="W18" s="143">
        <v>42417</v>
      </c>
      <c r="X18" s="12">
        <v>46.56</v>
      </c>
      <c r="Y18" s="12">
        <v>47.59</v>
      </c>
      <c r="Z18" s="12">
        <v>46.56</v>
      </c>
      <c r="AA18" s="12">
        <v>47.48</v>
      </c>
      <c r="AB18" s="105">
        <v>482400</v>
      </c>
      <c r="AC18" s="12">
        <v>47.37</v>
      </c>
      <c r="AD18" s="2">
        <f t="shared" si="0"/>
        <v>1.0300000000000011</v>
      </c>
      <c r="AE18" s="148">
        <f t="shared" si="1"/>
        <v>2.5324675324675194E-2</v>
      </c>
    </row>
    <row r="19" spans="2:31" x14ac:dyDescent="0.25">
      <c r="B19" s="12"/>
      <c r="C19" s="12"/>
      <c r="D19" s="43"/>
      <c r="E19" s="43"/>
      <c r="F19" s="43"/>
      <c r="W19" s="143">
        <v>42416</v>
      </c>
      <c r="X19" s="12">
        <v>44.94</v>
      </c>
      <c r="Y19" s="12">
        <v>46.64</v>
      </c>
      <c r="Z19" s="12">
        <v>44.42</v>
      </c>
      <c r="AA19" s="12">
        <v>46.31</v>
      </c>
      <c r="AB19" s="105">
        <v>377000</v>
      </c>
      <c r="AC19" s="12">
        <v>46.2</v>
      </c>
      <c r="AD19" s="2">
        <f t="shared" si="0"/>
        <v>2.2199999999999989</v>
      </c>
      <c r="AE19" s="148">
        <f t="shared" si="1"/>
        <v>4.7856656838285216E-2</v>
      </c>
    </row>
    <row r="20" spans="2:31" x14ac:dyDescent="0.25">
      <c r="W20" s="143">
        <v>42412</v>
      </c>
      <c r="X20" s="12">
        <v>43.59</v>
      </c>
      <c r="Y20" s="12">
        <v>44.44</v>
      </c>
      <c r="Z20" s="12">
        <v>42.01</v>
      </c>
      <c r="AA20" s="12">
        <v>44.19</v>
      </c>
      <c r="AB20" s="105">
        <v>386500</v>
      </c>
      <c r="AC20" s="12">
        <v>44.09</v>
      </c>
      <c r="AD20" s="2">
        <f t="shared" si="0"/>
        <v>2.4299999999999997</v>
      </c>
      <c r="AE20" s="148">
        <f t="shared" si="1"/>
        <v>2.989955617846296E-2</v>
      </c>
    </row>
    <row r="21" spans="2:31" x14ac:dyDescent="0.25">
      <c r="W21" s="143">
        <v>42411</v>
      </c>
      <c r="X21" s="12">
        <v>43.14</v>
      </c>
      <c r="Y21" s="12">
        <v>44.4</v>
      </c>
      <c r="Z21" s="12">
        <v>42.45</v>
      </c>
      <c r="AA21" s="12">
        <v>42.91</v>
      </c>
      <c r="AB21" s="105">
        <v>425300</v>
      </c>
      <c r="AC21" s="12">
        <v>42.81</v>
      </c>
      <c r="AD21" s="2">
        <f t="shared" si="0"/>
        <v>1.9499999999999957</v>
      </c>
      <c r="AE21" s="148">
        <f t="shared" si="1"/>
        <v>-2.4829157175398575E-2</v>
      </c>
    </row>
    <row r="22" spans="2:31" x14ac:dyDescent="0.25">
      <c r="W22" s="143">
        <v>42410</v>
      </c>
      <c r="X22" s="12">
        <v>43.97</v>
      </c>
      <c r="Y22" s="12">
        <v>44.82</v>
      </c>
      <c r="Z22" s="12">
        <v>43.96</v>
      </c>
      <c r="AA22" s="12">
        <v>44</v>
      </c>
      <c r="AB22" s="105">
        <v>345800</v>
      </c>
      <c r="AC22" s="12">
        <v>43.9</v>
      </c>
      <c r="AD22" s="2">
        <f t="shared" si="0"/>
        <v>0.85999999999999943</v>
      </c>
      <c r="AE22" s="148">
        <f t="shared" si="1"/>
        <v>4.8065918974593558E-3</v>
      </c>
    </row>
    <row r="23" spans="2:31" x14ac:dyDescent="0.25">
      <c r="W23" s="143">
        <v>42409</v>
      </c>
      <c r="X23" s="12">
        <v>43.72</v>
      </c>
      <c r="Y23" s="12">
        <v>44.73</v>
      </c>
      <c r="Z23" s="12">
        <v>43.61</v>
      </c>
      <c r="AA23" s="12">
        <v>43.79</v>
      </c>
      <c r="AB23" s="105">
        <v>581100</v>
      </c>
      <c r="AC23" s="12">
        <v>43.69</v>
      </c>
      <c r="AD23" s="2">
        <f t="shared" si="0"/>
        <v>1.1199999999999974</v>
      </c>
      <c r="AE23" s="148">
        <f t="shared" si="1"/>
        <v>-1.3769751693002208E-2</v>
      </c>
    </row>
    <row r="24" spans="2:31" x14ac:dyDescent="0.25">
      <c r="W24" s="143">
        <v>42408</v>
      </c>
      <c r="X24" s="12">
        <v>44.71</v>
      </c>
      <c r="Y24" s="12">
        <v>45.11</v>
      </c>
      <c r="Z24" s="12">
        <v>43.71</v>
      </c>
      <c r="AA24" s="12">
        <v>44.4</v>
      </c>
      <c r="AB24" s="105">
        <v>425300</v>
      </c>
      <c r="AC24" s="12">
        <v>44.3</v>
      </c>
      <c r="AD24" s="2">
        <f t="shared" si="0"/>
        <v>1.3999999999999986</v>
      </c>
      <c r="AE24" s="148">
        <f t="shared" si="1"/>
        <v>-1.5774272383914711E-2</v>
      </c>
    </row>
    <row r="25" spans="2:31" x14ac:dyDescent="0.25">
      <c r="W25" s="143">
        <v>42405</v>
      </c>
      <c r="X25" s="12">
        <v>45.3</v>
      </c>
      <c r="Y25" s="12">
        <v>45.6</v>
      </c>
      <c r="Z25" s="12">
        <v>44.94</v>
      </c>
      <c r="AA25" s="12">
        <v>45.11</v>
      </c>
      <c r="AB25" s="105">
        <v>495200</v>
      </c>
      <c r="AC25" s="12">
        <v>45.01</v>
      </c>
      <c r="AD25" s="2">
        <f t="shared" si="0"/>
        <v>0.66000000000000369</v>
      </c>
      <c r="AE25" s="148">
        <f t="shared" si="1"/>
        <v>-9.6809680968097389E-3</v>
      </c>
    </row>
    <row r="26" spans="2:31" x14ac:dyDescent="0.25">
      <c r="W26" s="143">
        <v>42404</v>
      </c>
      <c r="X26" s="12">
        <v>45</v>
      </c>
      <c r="Y26" s="12">
        <v>46.11</v>
      </c>
      <c r="Z26" s="12">
        <v>44.96</v>
      </c>
      <c r="AA26" s="12">
        <v>45.56</v>
      </c>
      <c r="AB26" s="105">
        <v>560000</v>
      </c>
      <c r="AC26" s="12">
        <v>45.45</v>
      </c>
      <c r="AD26" s="2">
        <f t="shared" si="0"/>
        <v>1.1499999999999986</v>
      </c>
      <c r="AE26" s="148">
        <f t="shared" si="1"/>
        <v>1.2249443207126953E-2</v>
      </c>
    </row>
    <row r="27" spans="2:31" x14ac:dyDescent="0.25">
      <c r="W27" s="143">
        <v>42403</v>
      </c>
      <c r="X27" s="12">
        <v>45.02</v>
      </c>
      <c r="Y27" s="12">
        <v>45.42</v>
      </c>
      <c r="Z27" s="12">
        <v>44.21</v>
      </c>
      <c r="AA27" s="12">
        <v>45</v>
      </c>
      <c r="AB27" s="105">
        <v>387000</v>
      </c>
      <c r="AC27" s="12">
        <v>44.9</v>
      </c>
      <c r="AD27" s="2">
        <f t="shared" si="0"/>
        <v>1.2100000000000009</v>
      </c>
      <c r="AE27" s="148">
        <f t="shared" si="1"/>
        <v>1.2401352874858995E-2</v>
      </c>
    </row>
    <row r="28" spans="2:31" x14ac:dyDescent="0.25">
      <c r="W28" s="143">
        <v>42402</v>
      </c>
      <c r="X28" s="12">
        <v>45.24</v>
      </c>
      <c r="Y28" s="12">
        <v>45.45</v>
      </c>
      <c r="Z28" s="12">
        <v>44.39</v>
      </c>
      <c r="AA28" s="12">
        <v>44.45</v>
      </c>
      <c r="AB28" s="105">
        <v>428300</v>
      </c>
      <c r="AC28" s="12">
        <v>44.35</v>
      </c>
      <c r="AD28" s="2">
        <f t="shared" si="0"/>
        <v>1.0600000000000023</v>
      </c>
      <c r="AE28" s="148">
        <f t="shared" si="1"/>
        <v>-2.9540481400437635E-2</v>
      </c>
    </row>
    <row r="29" spans="2:31" x14ac:dyDescent="0.25">
      <c r="W29" s="143">
        <v>42401</v>
      </c>
      <c r="X29" s="12">
        <v>45.97</v>
      </c>
      <c r="Y29" s="12">
        <v>46.1</v>
      </c>
      <c r="Z29" s="12">
        <v>45.42</v>
      </c>
      <c r="AA29" s="12">
        <v>45.81</v>
      </c>
      <c r="AB29" s="105">
        <v>364900</v>
      </c>
      <c r="AC29" s="12">
        <v>45.7</v>
      </c>
      <c r="AD29" s="2">
        <f t="shared" si="0"/>
        <v>0.67999999999999972</v>
      </c>
      <c r="AE29" s="148">
        <f t="shared" si="1"/>
        <v>-8.2465277777776791E-3</v>
      </c>
    </row>
    <row r="30" spans="2:31" x14ac:dyDescent="0.25">
      <c r="W30" s="143">
        <v>42398</v>
      </c>
      <c r="X30" s="12">
        <v>45.61</v>
      </c>
      <c r="Y30" s="12">
        <v>46.26</v>
      </c>
      <c r="Z30" s="12">
        <v>45.37</v>
      </c>
      <c r="AA30" s="12">
        <v>46.19</v>
      </c>
      <c r="AB30" s="105">
        <v>646700</v>
      </c>
      <c r="AC30" s="12">
        <v>46.08</v>
      </c>
      <c r="AD30" s="2">
        <f t="shared" si="0"/>
        <v>0.89000000000000057</v>
      </c>
      <c r="AE30" s="148">
        <f t="shared" si="1"/>
        <v>1.8117543084401166E-2</v>
      </c>
    </row>
    <row r="31" spans="2:31" x14ac:dyDescent="0.25">
      <c r="W31" s="143">
        <v>42397</v>
      </c>
      <c r="X31" s="12">
        <v>45.91</v>
      </c>
      <c r="Y31" s="12">
        <v>46.2</v>
      </c>
      <c r="Z31" s="12">
        <v>45.21</v>
      </c>
      <c r="AA31" s="12">
        <v>45.37</v>
      </c>
      <c r="AB31" s="105">
        <v>425200</v>
      </c>
      <c r="AC31" s="12">
        <v>45.26</v>
      </c>
      <c r="AD31" s="2">
        <f t="shared" si="0"/>
        <v>0.99000000000000199</v>
      </c>
      <c r="AE31" s="148">
        <f t="shared" si="1"/>
        <v>-1.7644464049405562E-3</v>
      </c>
    </row>
    <row r="32" spans="2:31" x14ac:dyDescent="0.25">
      <c r="W32" s="143">
        <v>42396</v>
      </c>
      <c r="X32" s="12">
        <v>46</v>
      </c>
      <c r="Y32" s="12">
        <v>46.45</v>
      </c>
      <c r="Z32" s="12">
        <v>45.33</v>
      </c>
      <c r="AA32" s="12">
        <v>45.45</v>
      </c>
      <c r="AB32" s="105">
        <v>460500</v>
      </c>
      <c r="AC32" s="12">
        <v>45.34</v>
      </c>
      <c r="AD32" s="2">
        <f t="shared" si="0"/>
        <v>1.1200000000000045</v>
      </c>
      <c r="AE32" s="148">
        <f t="shared" si="1"/>
        <v>-1.8402251569603734E-2</v>
      </c>
    </row>
    <row r="33" spans="15:31" x14ac:dyDescent="0.25">
      <c r="W33" s="143">
        <v>42395</v>
      </c>
      <c r="X33" s="12">
        <v>45.2</v>
      </c>
      <c r="Y33" s="12">
        <v>46.34</v>
      </c>
      <c r="Z33" s="12">
        <v>45.2</v>
      </c>
      <c r="AA33" s="12">
        <v>46.3</v>
      </c>
      <c r="AB33" s="105">
        <v>327000</v>
      </c>
      <c r="AC33" s="12">
        <v>46.19</v>
      </c>
      <c r="AD33" s="2">
        <f t="shared" si="0"/>
        <v>1.1400000000000006</v>
      </c>
      <c r="AE33" s="148">
        <f t="shared" si="1"/>
        <v>3.4490481522956307E-2</v>
      </c>
    </row>
    <row r="34" spans="15:31" x14ac:dyDescent="0.25">
      <c r="W34" s="143">
        <v>42394</v>
      </c>
      <c r="X34" s="12">
        <v>45.34</v>
      </c>
      <c r="Y34" s="12">
        <v>45.61</v>
      </c>
      <c r="Z34" s="12">
        <v>44.64</v>
      </c>
      <c r="AA34" s="12">
        <v>44.75</v>
      </c>
      <c r="AB34" s="105">
        <v>322200</v>
      </c>
      <c r="AC34" s="12">
        <v>44.65</v>
      </c>
      <c r="AD34" s="2">
        <f t="shared" si="0"/>
        <v>0.96999999999999886</v>
      </c>
      <c r="AE34" s="148">
        <f t="shared" si="1"/>
        <v>-1.9973661106233664E-2</v>
      </c>
    </row>
    <row r="35" spans="15:31" x14ac:dyDescent="0.25">
      <c r="W35" s="143">
        <v>42391</v>
      </c>
      <c r="X35" s="12">
        <v>44.8</v>
      </c>
      <c r="Y35" s="12">
        <v>46.18</v>
      </c>
      <c r="Z35" s="12">
        <v>44.75</v>
      </c>
      <c r="AA35" s="12">
        <v>45.67</v>
      </c>
      <c r="AB35" s="105">
        <v>372700</v>
      </c>
      <c r="AC35" s="12">
        <v>45.56</v>
      </c>
      <c r="AD35" s="2">
        <f t="shared" si="0"/>
        <v>1.4299999999999997</v>
      </c>
      <c r="AE35" s="148">
        <f t="shared" si="1"/>
        <v>3.7104484407011196E-2</v>
      </c>
    </row>
    <row r="36" spans="15:31" x14ac:dyDescent="0.25">
      <c r="W36" s="143">
        <v>42390</v>
      </c>
      <c r="X36" s="12">
        <v>43.4</v>
      </c>
      <c r="Y36" s="12">
        <v>44.78</v>
      </c>
      <c r="Z36" s="12">
        <v>43.32</v>
      </c>
      <c r="AA36" s="12">
        <v>44.03</v>
      </c>
      <c r="AB36" s="105">
        <v>405800</v>
      </c>
      <c r="AC36" s="12">
        <v>43.93</v>
      </c>
      <c r="AD36" s="2">
        <f t="shared" si="0"/>
        <v>1.4600000000000009</v>
      </c>
      <c r="AE36" s="148">
        <f t="shared" si="1"/>
        <v>1.2678653757491887E-2</v>
      </c>
    </row>
    <row r="37" spans="15:31" x14ac:dyDescent="0.25">
      <c r="W37" s="143">
        <v>42389</v>
      </c>
      <c r="X37" s="12">
        <v>43.5</v>
      </c>
      <c r="Y37" s="12">
        <v>44.06</v>
      </c>
      <c r="Z37" s="12">
        <v>41.24</v>
      </c>
      <c r="AA37" s="12">
        <v>43.48</v>
      </c>
      <c r="AB37" s="105">
        <v>877500</v>
      </c>
      <c r="AC37" s="12">
        <v>43.38</v>
      </c>
      <c r="AD37" s="2">
        <f t="shared" si="0"/>
        <v>2.8200000000000003</v>
      </c>
      <c r="AE37" s="148">
        <f t="shared" si="1"/>
        <v>-3.2775919732441428E-2</v>
      </c>
    </row>
    <row r="38" spans="15:31" x14ac:dyDescent="0.25">
      <c r="W38" s="143">
        <v>42388</v>
      </c>
      <c r="X38" s="12">
        <v>45.13</v>
      </c>
      <c r="Y38" s="12">
        <v>45.39</v>
      </c>
      <c r="Z38" s="12">
        <v>44.6</v>
      </c>
      <c r="AA38" s="12">
        <v>44.95</v>
      </c>
      <c r="AB38" s="105">
        <v>740800</v>
      </c>
      <c r="AC38" s="12">
        <v>44.85</v>
      </c>
      <c r="AD38" s="2">
        <f t="shared" si="0"/>
        <v>0.78999999999999915</v>
      </c>
      <c r="AE38" s="148">
        <f t="shared" si="1"/>
        <v>2.2301516503109298E-4</v>
      </c>
    </row>
    <row r="39" spans="15:31" x14ac:dyDescent="0.25">
      <c r="W39" s="143">
        <v>42384</v>
      </c>
      <c r="X39" s="12">
        <v>45</v>
      </c>
      <c r="Y39" s="12">
        <v>45.53</v>
      </c>
      <c r="Z39" s="12">
        <v>44.21</v>
      </c>
      <c r="AA39" s="12">
        <v>44.94</v>
      </c>
      <c r="AB39" s="105">
        <v>495900</v>
      </c>
      <c r="AC39" s="12">
        <v>44.84</v>
      </c>
      <c r="AD39" s="2">
        <f t="shared" si="0"/>
        <v>1.3200000000000003</v>
      </c>
      <c r="AE39" s="148">
        <f t="shared" si="1"/>
        <v>-2.9437229437229373E-2</v>
      </c>
    </row>
    <row r="40" spans="15:31" x14ac:dyDescent="0.25">
      <c r="W40" s="143">
        <v>42383</v>
      </c>
      <c r="X40" s="12">
        <v>46.08</v>
      </c>
      <c r="Y40" s="12">
        <v>46.86</v>
      </c>
      <c r="Z40" s="12">
        <v>45.34</v>
      </c>
      <c r="AA40" s="12">
        <v>46.31</v>
      </c>
      <c r="AB40" s="105">
        <v>420600</v>
      </c>
      <c r="AC40" s="12">
        <v>46.2</v>
      </c>
      <c r="AD40" s="2">
        <f t="shared" si="0"/>
        <v>1.519999999999996</v>
      </c>
      <c r="AE40" s="148">
        <f t="shared" si="1"/>
        <v>8.2933216935836551E-3</v>
      </c>
    </row>
    <row r="41" spans="15:31" x14ac:dyDescent="0.25">
      <c r="O41" s="37"/>
      <c r="W41" s="143">
        <v>42382</v>
      </c>
      <c r="X41" s="12">
        <v>47.37</v>
      </c>
      <c r="Y41" s="12">
        <v>47.59</v>
      </c>
      <c r="Z41" s="12">
        <v>45.91</v>
      </c>
      <c r="AA41" s="12">
        <v>45.93</v>
      </c>
      <c r="AB41" s="105">
        <v>399900</v>
      </c>
      <c r="AC41" s="12">
        <v>45.82</v>
      </c>
      <c r="AD41" s="2">
        <f t="shared" si="0"/>
        <v>1.6800000000000068</v>
      </c>
      <c r="AE41" s="148">
        <f t="shared" si="1"/>
        <v>-2.5728258558367023E-2</v>
      </c>
    </row>
    <row r="42" spans="15:31" ht="20.25" thickBot="1" x14ac:dyDescent="0.35">
      <c r="O42" s="405" t="s">
        <v>78</v>
      </c>
      <c r="P42" s="405"/>
      <c r="Q42" s="37"/>
      <c r="T42" s="101" t="s">
        <v>116</v>
      </c>
      <c r="W42" s="143">
        <v>42381</v>
      </c>
      <c r="X42" s="12">
        <v>46.93</v>
      </c>
      <c r="Y42" s="12">
        <v>47.44</v>
      </c>
      <c r="Z42" s="12">
        <v>46.28</v>
      </c>
      <c r="AA42" s="12">
        <v>47.14</v>
      </c>
      <c r="AB42" s="105">
        <v>324100</v>
      </c>
      <c r="AC42" s="12">
        <v>47.03</v>
      </c>
      <c r="AD42" s="2">
        <f t="shared" si="0"/>
        <v>1.1599999999999966</v>
      </c>
      <c r="AE42" s="148">
        <f t="shared" si="1"/>
        <v>1.1397849462365661E-2</v>
      </c>
    </row>
    <row r="43" spans="15:31" ht="15.75" thickTop="1" x14ac:dyDescent="0.25">
      <c r="O43" s="93">
        <v>1.1000000000000001</v>
      </c>
      <c r="P43" s="93">
        <f>O43*$Q$4</f>
        <v>54.285000000000004</v>
      </c>
      <c r="Q43" s="37"/>
      <c r="T43" s="138" t="s">
        <v>101</v>
      </c>
      <c r="U43" s="108">
        <v>48.68</v>
      </c>
      <c r="W43" s="143">
        <v>42380</v>
      </c>
      <c r="X43" s="12">
        <v>46.26</v>
      </c>
      <c r="Y43" s="12">
        <v>47.82</v>
      </c>
      <c r="Z43" s="12">
        <v>46.03</v>
      </c>
      <c r="AA43" s="12">
        <v>46.61</v>
      </c>
      <c r="AB43" s="105">
        <v>459300</v>
      </c>
      <c r="AC43" s="12">
        <v>46.5</v>
      </c>
      <c r="AD43" s="2">
        <f t="shared" si="0"/>
        <v>1.7899999999999991</v>
      </c>
      <c r="AE43" s="148">
        <f t="shared" si="1"/>
        <v>1.108936725375087E-2</v>
      </c>
    </row>
    <row r="44" spans="15:31" x14ac:dyDescent="0.25">
      <c r="O44" s="93">
        <v>1.0900000000000001</v>
      </c>
      <c r="P44" s="93">
        <f t="shared" ref="P44:P63" si="2">O44*$Q$4</f>
        <v>53.791500000000006</v>
      </c>
      <c r="Q44" s="37"/>
      <c r="T44" s="103" t="s">
        <v>102</v>
      </c>
      <c r="U44" s="98">
        <v>48.93</v>
      </c>
      <c r="W44" s="143">
        <v>42377</v>
      </c>
      <c r="X44" s="12">
        <v>47.17</v>
      </c>
      <c r="Y44" s="12">
        <v>47.19</v>
      </c>
      <c r="Z44" s="12">
        <v>46.01</v>
      </c>
      <c r="AA44" s="12">
        <v>46.1</v>
      </c>
      <c r="AB44" s="105">
        <v>395700</v>
      </c>
      <c r="AC44" s="12">
        <v>45.99</v>
      </c>
      <c r="AD44" s="2">
        <f t="shared" si="0"/>
        <v>1.1799999999999997</v>
      </c>
      <c r="AE44" s="148">
        <f t="shared" si="1"/>
        <v>-1.6887558785805834E-2</v>
      </c>
    </row>
    <row r="45" spans="15:31" x14ac:dyDescent="0.25">
      <c r="O45" s="93">
        <v>1.08</v>
      </c>
      <c r="P45" s="93">
        <f t="shared" si="2"/>
        <v>53.298000000000002</v>
      </c>
      <c r="Q45" s="37"/>
      <c r="T45" s="103" t="s">
        <v>103</v>
      </c>
      <c r="U45" s="98" t="s">
        <v>134</v>
      </c>
      <c r="W45" s="143">
        <v>42376</v>
      </c>
      <c r="X45" s="12">
        <v>47.93</v>
      </c>
      <c r="Y45" s="12">
        <v>48.19</v>
      </c>
      <c r="Z45" s="12">
        <v>46.6</v>
      </c>
      <c r="AA45" s="12">
        <v>46.89</v>
      </c>
      <c r="AB45" s="105">
        <v>372900</v>
      </c>
      <c r="AC45" s="12">
        <v>46.78</v>
      </c>
      <c r="AD45" s="2">
        <f t="shared" si="0"/>
        <v>1.5899999999999963</v>
      </c>
      <c r="AE45" s="148">
        <f t="shared" si="1"/>
        <v>-4.0410256410256418E-2</v>
      </c>
    </row>
    <row r="46" spans="15:31" x14ac:dyDescent="0.25">
      <c r="O46" s="93">
        <v>1.07</v>
      </c>
      <c r="P46" s="93">
        <f t="shared" si="2"/>
        <v>52.804500000000004</v>
      </c>
      <c r="Q46" s="93"/>
      <c r="T46" s="103" t="s">
        <v>104</v>
      </c>
      <c r="U46" s="98" t="s">
        <v>417</v>
      </c>
      <c r="W46" s="143">
        <v>42375</v>
      </c>
      <c r="X46" s="12">
        <v>49.35</v>
      </c>
      <c r="Y46" s="12">
        <v>49.97</v>
      </c>
      <c r="Z46" s="12">
        <v>48.48</v>
      </c>
      <c r="AA46" s="12">
        <v>48.86</v>
      </c>
      <c r="AB46" s="105">
        <v>572300</v>
      </c>
      <c r="AC46" s="12">
        <v>48.75</v>
      </c>
      <c r="AD46" s="2">
        <f t="shared" si="0"/>
        <v>1.490000000000002</v>
      </c>
      <c r="AE46" s="148">
        <f t="shared" si="1"/>
        <v>-2.7140291359010194E-2</v>
      </c>
    </row>
    <row r="47" spans="15:31" x14ac:dyDescent="0.25">
      <c r="O47" s="93">
        <v>1.06</v>
      </c>
      <c r="P47" s="93">
        <f t="shared" si="2"/>
        <v>52.311000000000007</v>
      </c>
      <c r="Q47" s="93"/>
      <c r="T47" s="103" t="s">
        <v>105</v>
      </c>
      <c r="U47" s="98">
        <v>52.5</v>
      </c>
      <c r="W47" s="143">
        <v>42374</v>
      </c>
      <c r="X47" s="12">
        <v>49.92</v>
      </c>
      <c r="Y47" s="12">
        <v>50.51</v>
      </c>
      <c r="Z47" s="12">
        <v>49.35</v>
      </c>
      <c r="AA47" s="12">
        <v>50.23</v>
      </c>
      <c r="AB47" s="105">
        <v>354900</v>
      </c>
      <c r="AC47" s="12">
        <v>50.11</v>
      </c>
      <c r="AD47" s="2">
        <f t="shared" si="0"/>
        <v>1.1599999999999966</v>
      </c>
      <c r="AE47" s="148">
        <f t="shared" si="1"/>
        <v>9.4681708299757528E-3</v>
      </c>
    </row>
    <row r="48" spans="15:31" x14ac:dyDescent="0.25">
      <c r="O48" s="93">
        <v>1.05</v>
      </c>
      <c r="P48" s="93">
        <f t="shared" si="2"/>
        <v>51.817500000000003</v>
      </c>
      <c r="Q48" s="93"/>
      <c r="T48" s="103" t="s">
        <v>106</v>
      </c>
      <c r="U48" s="98">
        <v>1.21946</v>
      </c>
      <c r="W48" s="143">
        <v>42373</v>
      </c>
      <c r="X48" s="12">
        <v>48.74</v>
      </c>
      <c r="Y48" s="12">
        <v>49.78</v>
      </c>
      <c r="Z48" s="12">
        <v>48.11</v>
      </c>
      <c r="AA48" s="12">
        <v>49.76</v>
      </c>
      <c r="AB48" s="105">
        <v>434900</v>
      </c>
      <c r="AC48" s="12">
        <v>49.64</v>
      </c>
      <c r="AD48" s="2">
        <f t="shared" si="0"/>
        <v>1.6700000000000017</v>
      </c>
      <c r="AE48" s="148">
        <f t="shared" si="1"/>
        <v>2.0185708518369871E-3</v>
      </c>
    </row>
    <row r="49" spans="15:31" x14ac:dyDescent="0.25">
      <c r="O49" s="93">
        <v>1.04</v>
      </c>
      <c r="P49" s="93">
        <f t="shared" si="2"/>
        <v>51.324000000000005</v>
      </c>
      <c r="Q49" s="93"/>
      <c r="T49" s="103" t="s">
        <v>126</v>
      </c>
      <c r="U49" s="98" t="s">
        <v>255</v>
      </c>
      <c r="W49" s="143">
        <v>42369</v>
      </c>
      <c r="X49" s="12">
        <v>50.65</v>
      </c>
      <c r="Y49" s="12">
        <v>50.74</v>
      </c>
      <c r="Z49" s="12">
        <v>49.64</v>
      </c>
      <c r="AA49" s="12">
        <v>49.66</v>
      </c>
      <c r="AB49" s="105">
        <v>316700</v>
      </c>
      <c r="AC49" s="12">
        <v>49.54</v>
      </c>
      <c r="AD49" s="2">
        <f t="shared" si="0"/>
        <v>1.1000000000000014</v>
      </c>
      <c r="AE49" s="148">
        <f t="shared" si="1"/>
        <v>-2.3264984227129304E-2</v>
      </c>
    </row>
    <row r="50" spans="15:31" x14ac:dyDescent="0.25">
      <c r="O50" s="93">
        <v>1.03</v>
      </c>
      <c r="P50" s="93">
        <f t="shared" si="2"/>
        <v>50.830500000000001</v>
      </c>
      <c r="Q50" s="93"/>
      <c r="T50" s="103"/>
      <c r="U50" s="98"/>
      <c r="W50" s="143">
        <v>42368</v>
      </c>
      <c r="X50" s="12">
        <v>51.06</v>
      </c>
      <c r="Y50" s="12">
        <v>51.13</v>
      </c>
      <c r="Z50" s="12">
        <v>50.56</v>
      </c>
      <c r="AA50" s="12">
        <v>50.84</v>
      </c>
      <c r="AB50" s="105">
        <v>225200</v>
      </c>
      <c r="AC50" s="12">
        <v>50.72</v>
      </c>
      <c r="AD50" s="2">
        <f t="shared" si="0"/>
        <v>0.57000000000000028</v>
      </c>
      <c r="AE50" s="148">
        <f t="shared" si="1"/>
        <v>-2.9486927462157864E-3</v>
      </c>
    </row>
    <row r="51" spans="15:31" x14ac:dyDescent="0.25">
      <c r="O51" s="93">
        <v>1.02</v>
      </c>
      <c r="P51" s="93">
        <f t="shared" si="2"/>
        <v>50.337000000000003</v>
      </c>
      <c r="Q51" s="93"/>
      <c r="T51" s="103" t="s">
        <v>108</v>
      </c>
      <c r="U51" s="98" t="s">
        <v>418</v>
      </c>
      <c r="W51" s="143">
        <v>42367</v>
      </c>
      <c r="X51" s="12">
        <v>50.79</v>
      </c>
      <c r="Y51" s="12">
        <v>51.34</v>
      </c>
      <c r="Z51" s="12">
        <v>50.28</v>
      </c>
      <c r="AA51" s="12">
        <v>50.99</v>
      </c>
      <c r="AB51" s="105">
        <v>273400</v>
      </c>
      <c r="AC51" s="12">
        <v>50.87</v>
      </c>
      <c r="AD51" s="2">
        <f t="shared" si="0"/>
        <v>1.0600000000000023</v>
      </c>
      <c r="AE51" s="148">
        <f t="shared" si="1"/>
        <v>8.7249652984333625E-3</v>
      </c>
    </row>
    <row r="52" spans="15:31" x14ac:dyDescent="0.25">
      <c r="O52" s="93">
        <v>1.01</v>
      </c>
      <c r="P52" s="93">
        <f t="shared" si="2"/>
        <v>49.843499999999999</v>
      </c>
      <c r="Q52" s="93"/>
      <c r="T52" s="103" t="s">
        <v>109</v>
      </c>
      <c r="U52" s="98" t="s">
        <v>157</v>
      </c>
      <c r="W52" s="143">
        <v>42366</v>
      </c>
      <c r="X52" s="12">
        <v>50.79</v>
      </c>
      <c r="Y52" s="12">
        <v>50.79</v>
      </c>
      <c r="Z52" s="12">
        <v>50.12</v>
      </c>
      <c r="AA52" s="12">
        <v>50.55</v>
      </c>
      <c r="AB52" s="105">
        <v>194800</v>
      </c>
      <c r="AC52" s="12">
        <v>50.43</v>
      </c>
      <c r="AD52" s="2">
        <f t="shared" si="0"/>
        <v>0.67000000000000171</v>
      </c>
      <c r="AE52" s="148">
        <f t="shared" si="1"/>
        <v>-1.1370319545187191E-2</v>
      </c>
    </row>
    <row r="53" spans="15:31" x14ac:dyDescent="0.25">
      <c r="O53" s="93">
        <v>1</v>
      </c>
      <c r="P53" s="93">
        <f t="shared" si="2"/>
        <v>49.35</v>
      </c>
      <c r="Q53" s="93"/>
      <c r="T53" s="103" t="s">
        <v>110</v>
      </c>
      <c r="U53" s="100">
        <v>316471</v>
      </c>
      <c r="W53" s="143">
        <v>42362</v>
      </c>
      <c r="X53" s="12">
        <v>50.62</v>
      </c>
      <c r="Y53" s="12">
        <v>51.28</v>
      </c>
      <c r="Z53" s="12">
        <v>50.62</v>
      </c>
      <c r="AA53" s="12">
        <v>51.13</v>
      </c>
      <c r="AB53" s="105">
        <v>113100</v>
      </c>
      <c r="AC53" s="12">
        <v>51.01</v>
      </c>
      <c r="AD53" s="2">
        <f t="shared" si="0"/>
        <v>0.66000000000000369</v>
      </c>
      <c r="AE53" s="148">
        <f t="shared" si="1"/>
        <v>8.501383946223795E-3</v>
      </c>
    </row>
    <row r="54" spans="15:31" x14ac:dyDescent="0.25">
      <c r="O54" s="93">
        <v>0.99</v>
      </c>
      <c r="P54" s="93">
        <f t="shared" si="2"/>
        <v>48.856500000000004</v>
      </c>
      <c r="Q54" s="93"/>
      <c r="T54" s="103" t="s">
        <v>113</v>
      </c>
      <c r="U54" s="100">
        <v>384077</v>
      </c>
      <c r="W54" s="143">
        <v>42361</v>
      </c>
      <c r="X54" s="12">
        <v>50.24</v>
      </c>
      <c r="Y54" s="12">
        <v>50.91</v>
      </c>
      <c r="Z54" s="12">
        <v>50.03</v>
      </c>
      <c r="AA54" s="12">
        <v>50.7</v>
      </c>
      <c r="AB54" s="105">
        <v>211100</v>
      </c>
      <c r="AC54" s="12">
        <v>50.58</v>
      </c>
      <c r="AD54" s="2">
        <f t="shared" si="0"/>
        <v>0.87999999999999545</v>
      </c>
      <c r="AE54" s="148">
        <f t="shared" si="1"/>
        <v>1.3830426939266394E-2</v>
      </c>
    </row>
    <row r="55" spans="15:31" x14ac:dyDescent="0.25">
      <c r="O55" s="93">
        <v>0.98</v>
      </c>
      <c r="P55" s="93">
        <f t="shared" si="2"/>
        <v>48.363</v>
      </c>
      <c r="Q55" s="93"/>
      <c r="T55" s="103" t="s">
        <v>111</v>
      </c>
      <c r="U55" s="98" t="s">
        <v>419</v>
      </c>
      <c r="W55" s="143">
        <v>42360</v>
      </c>
      <c r="X55" s="12">
        <v>49.34</v>
      </c>
      <c r="Y55" s="12">
        <v>50.16</v>
      </c>
      <c r="Z55" s="12">
        <v>48.92</v>
      </c>
      <c r="AA55" s="12">
        <v>50.01</v>
      </c>
      <c r="AB55" s="105">
        <v>293200</v>
      </c>
      <c r="AC55" s="12">
        <v>49.89</v>
      </c>
      <c r="AD55" s="2">
        <f t="shared" si="0"/>
        <v>1.2399999999999949</v>
      </c>
      <c r="AE55" s="148">
        <f t="shared" si="1"/>
        <v>1.5882712278558309E-2</v>
      </c>
    </row>
    <row r="56" spans="15:31" x14ac:dyDescent="0.25">
      <c r="O56" s="93">
        <v>0.97</v>
      </c>
      <c r="P56" s="93">
        <f t="shared" si="2"/>
        <v>47.869500000000002</v>
      </c>
      <c r="Q56" s="93"/>
      <c r="T56" s="103" t="s">
        <v>114</v>
      </c>
      <c r="U56" s="98">
        <v>19.78</v>
      </c>
      <c r="W56" s="143">
        <v>42359</v>
      </c>
      <c r="X56" s="12">
        <v>49.5</v>
      </c>
      <c r="Y56" s="12">
        <v>50.09</v>
      </c>
      <c r="Z56" s="12">
        <v>48.94</v>
      </c>
      <c r="AA56" s="12">
        <v>49.22</v>
      </c>
      <c r="AB56" s="105">
        <v>487400</v>
      </c>
      <c r="AC56" s="12">
        <v>49.11</v>
      </c>
      <c r="AD56" s="2">
        <f t="shared" si="0"/>
        <v>1.1500000000000057</v>
      </c>
      <c r="AE56" s="148">
        <f t="shared" si="1"/>
        <v>3.4736411932978495E-3</v>
      </c>
    </row>
    <row r="57" spans="15:31" x14ac:dyDescent="0.25">
      <c r="O57" s="93">
        <v>0.96</v>
      </c>
      <c r="P57" s="93">
        <f t="shared" si="2"/>
        <v>47.375999999999998</v>
      </c>
      <c r="Q57" s="93"/>
      <c r="T57" s="103" t="s">
        <v>115</v>
      </c>
      <c r="U57" s="98">
        <v>2.5</v>
      </c>
      <c r="W57" s="143">
        <v>42356</v>
      </c>
      <c r="X57" s="12">
        <v>49.72</v>
      </c>
      <c r="Y57" s="12">
        <v>50.3</v>
      </c>
      <c r="Z57" s="12">
        <v>49.02</v>
      </c>
      <c r="AA57" s="12">
        <v>49.05</v>
      </c>
      <c r="AB57" s="105">
        <v>697500</v>
      </c>
      <c r="AC57" s="12">
        <v>48.94</v>
      </c>
      <c r="AD57" s="2">
        <f t="shared" si="0"/>
        <v>1.279999999999994</v>
      </c>
      <c r="AE57" s="148">
        <f t="shared" si="1"/>
        <v>-1.3107481347045868E-2</v>
      </c>
    </row>
    <row r="58" spans="15:31" x14ac:dyDescent="0.25">
      <c r="O58" s="93">
        <v>0.95</v>
      </c>
      <c r="P58" s="93">
        <f t="shared" si="2"/>
        <v>46.8825</v>
      </c>
      <c r="Q58" s="93"/>
      <c r="T58" s="103" t="s">
        <v>112</v>
      </c>
      <c r="U58" s="98" t="s">
        <v>322</v>
      </c>
      <c r="W58" s="143">
        <v>42355</v>
      </c>
      <c r="X58" s="12">
        <v>50.21</v>
      </c>
      <c r="Y58" s="12">
        <v>50.21</v>
      </c>
      <c r="Z58" s="12">
        <v>49.58</v>
      </c>
      <c r="AA58" s="12">
        <v>49.71</v>
      </c>
      <c r="AB58" s="105">
        <v>431500</v>
      </c>
      <c r="AC58" s="12">
        <v>49.59</v>
      </c>
      <c r="AD58" s="2">
        <f t="shared" si="0"/>
        <v>0.63000000000000256</v>
      </c>
      <c r="AE58" s="148">
        <f t="shared" si="1"/>
        <v>-9.9820323417847412E-3</v>
      </c>
    </row>
    <row r="59" spans="15:31" x14ac:dyDescent="0.25">
      <c r="O59" s="93">
        <v>0.94</v>
      </c>
      <c r="P59" s="93">
        <f t="shared" si="2"/>
        <v>46.388999999999996</v>
      </c>
      <c r="Q59" s="93"/>
      <c r="W59" s="143">
        <v>42354</v>
      </c>
      <c r="X59" s="12">
        <v>49.63</v>
      </c>
      <c r="Y59" s="12">
        <v>50.36</v>
      </c>
      <c r="Z59" s="12">
        <v>49.11</v>
      </c>
      <c r="AA59" s="12">
        <v>50.21</v>
      </c>
      <c r="AB59" s="105">
        <v>383000</v>
      </c>
      <c r="AC59" s="12">
        <v>50.09</v>
      </c>
      <c r="AD59" s="2">
        <f t="shared" si="0"/>
        <v>1.25</v>
      </c>
      <c r="AE59" s="148">
        <f t="shared" si="1"/>
        <v>2.0994700366897767E-2</v>
      </c>
    </row>
    <row r="60" spans="15:31" x14ac:dyDescent="0.25">
      <c r="O60" s="93">
        <v>0.93</v>
      </c>
      <c r="P60" s="93">
        <f t="shared" si="2"/>
        <v>45.895500000000006</v>
      </c>
      <c r="Q60" s="93"/>
      <c r="W60" s="143">
        <v>42353</v>
      </c>
      <c r="X60" s="12">
        <v>49.12</v>
      </c>
      <c r="Y60" s="12">
        <v>49.37</v>
      </c>
      <c r="Z60" s="12">
        <v>48.58</v>
      </c>
      <c r="AA60" s="12">
        <v>49.17</v>
      </c>
      <c r="AB60" s="105">
        <v>291100</v>
      </c>
      <c r="AC60" s="12">
        <v>49.06</v>
      </c>
      <c r="AD60" s="2">
        <f t="shared" si="0"/>
        <v>0.78999999999999915</v>
      </c>
      <c r="AE60" s="148">
        <f t="shared" si="1"/>
        <v>9.4650205761317441E-3</v>
      </c>
    </row>
    <row r="61" spans="15:31" x14ac:dyDescent="0.25">
      <c r="O61" s="93">
        <v>0.92</v>
      </c>
      <c r="P61" s="93">
        <f t="shared" si="2"/>
        <v>45.402000000000001</v>
      </c>
      <c r="Q61" s="93"/>
      <c r="W61" s="143">
        <v>42352</v>
      </c>
      <c r="X61" s="12">
        <v>48.4</v>
      </c>
      <c r="Y61" s="12">
        <v>48.78</v>
      </c>
      <c r="Z61" s="12">
        <v>47.83</v>
      </c>
      <c r="AA61" s="12">
        <v>48.71</v>
      </c>
      <c r="AB61" s="105">
        <v>416900</v>
      </c>
      <c r="AC61" s="12">
        <v>48.6</v>
      </c>
      <c r="AD61" s="2">
        <f t="shared" si="0"/>
        <v>0.95000000000000284</v>
      </c>
      <c r="AE61" s="148">
        <f t="shared" si="1"/>
        <v>9.5554632322392141E-3</v>
      </c>
    </row>
    <row r="62" spans="15:31" x14ac:dyDescent="0.25">
      <c r="O62" s="93">
        <v>0.91</v>
      </c>
      <c r="P62" s="93">
        <f t="shared" si="2"/>
        <v>44.908500000000004</v>
      </c>
      <c r="Q62" s="93"/>
      <c r="W62" s="143">
        <v>42349</v>
      </c>
      <c r="X62" s="12">
        <v>47.48</v>
      </c>
      <c r="Y62" s="12">
        <v>48.51</v>
      </c>
      <c r="Z62" s="12">
        <v>47.48</v>
      </c>
      <c r="AA62" s="12">
        <v>48.25</v>
      </c>
      <c r="AB62" s="105">
        <v>444500</v>
      </c>
      <c r="AC62" s="12">
        <v>48.14</v>
      </c>
      <c r="AD62" s="2">
        <f t="shared" si="0"/>
        <v>1.0300000000000011</v>
      </c>
      <c r="AE62" s="148">
        <f t="shared" si="1"/>
        <v>-6.1932287365812355E-3</v>
      </c>
    </row>
    <row r="63" spans="15:31" x14ac:dyDescent="0.25">
      <c r="O63" s="93">
        <v>0.9</v>
      </c>
      <c r="P63" s="93">
        <f t="shared" si="2"/>
        <v>44.414999999999999</v>
      </c>
      <c r="Q63" s="93"/>
      <c r="W63" s="143">
        <v>42348</v>
      </c>
      <c r="X63" s="12">
        <v>48.02</v>
      </c>
      <c r="Y63" s="12">
        <v>48.75</v>
      </c>
      <c r="Z63" s="12">
        <v>47.72</v>
      </c>
      <c r="AA63" s="12">
        <v>48.55</v>
      </c>
      <c r="AB63" s="105">
        <v>280700</v>
      </c>
      <c r="AC63" s="12">
        <v>48.44</v>
      </c>
      <c r="AD63" s="2">
        <f t="shared" si="0"/>
        <v>1.0300000000000011</v>
      </c>
      <c r="AE63" s="148">
        <f t="shared" si="1"/>
        <v>1.3177159590043841E-2</v>
      </c>
    </row>
    <row r="64" spans="15:31" x14ac:dyDescent="0.25">
      <c r="O64" s="37"/>
      <c r="W64" s="143">
        <v>42347</v>
      </c>
      <c r="X64" s="12">
        <v>48.33</v>
      </c>
      <c r="Y64" s="12">
        <v>49.01</v>
      </c>
      <c r="Z64" s="12">
        <v>47.61</v>
      </c>
      <c r="AA64" s="12">
        <v>47.92</v>
      </c>
      <c r="AB64" s="105">
        <v>400000</v>
      </c>
      <c r="AC64" s="12">
        <v>47.81</v>
      </c>
      <c r="AD64" s="2">
        <f t="shared" si="0"/>
        <v>1.3999999999999986</v>
      </c>
      <c r="AE64" s="148">
        <f t="shared" si="1"/>
        <v>-9.9399461586249238E-3</v>
      </c>
    </row>
    <row r="65" spans="15:31" x14ac:dyDescent="0.25">
      <c r="O65" s="37"/>
      <c r="W65" s="143">
        <v>42346</v>
      </c>
      <c r="X65" s="12">
        <v>49.41</v>
      </c>
      <c r="Y65" s="12">
        <v>49.61</v>
      </c>
      <c r="Z65" s="12">
        <v>48.18</v>
      </c>
      <c r="AA65" s="12">
        <v>48.4</v>
      </c>
      <c r="AB65" s="105">
        <v>435300</v>
      </c>
      <c r="AC65" s="12">
        <v>48.29</v>
      </c>
      <c r="AD65" s="2">
        <f t="shared" si="0"/>
        <v>1.4299999999999997</v>
      </c>
      <c r="AE65" s="148">
        <f t="shared" si="1"/>
        <v>-3.1682374172849359E-2</v>
      </c>
    </row>
    <row r="66" spans="15:31" x14ac:dyDescent="0.25">
      <c r="O66" s="37"/>
      <c r="W66" s="143">
        <v>42345</v>
      </c>
      <c r="X66" s="12">
        <v>50.66</v>
      </c>
      <c r="Y66" s="12">
        <v>50.73</v>
      </c>
      <c r="Z66" s="12">
        <v>49.72</v>
      </c>
      <c r="AA66" s="12">
        <v>49.99</v>
      </c>
      <c r="AB66" s="105">
        <v>336900</v>
      </c>
      <c r="AC66" s="12">
        <v>49.87</v>
      </c>
      <c r="AD66" s="2">
        <f t="shared" si="0"/>
        <v>1.009999999999998</v>
      </c>
      <c r="AE66" s="148">
        <f t="shared" si="1"/>
        <v>-1.7533490937746254E-2</v>
      </c>
    </row>
    <row r="67" spans="15:31" x14ac:dyDescent="0.25">
      <c r="W67" s="143">
        <v>42342</v>
      </c>
      <c r="X67" s="12">
        <v>49.7</v>
      </c>
      <c r="Y67" s="12">
        <v>51.15</v>
      </c>
      <c r="Z67" s="12">
        <v>49.7</v>
      </c>
      <c r="AA67" s="12">
        <v>50.88</v>
      </c>
      <c r="AB67" s="105">
        <v>419700</v>
      </c>
      <c r="AC67" s="12">
        <v>50.76</v>
      </c>
      <c r="AD67" s="2">
        <f t="shared" ref="AD67:AD68" si="3">Y67-Z67</f>
        <v>1.4499999999999957</v>
      </c>
      <c r="AE67" s="148">
        <f t="shared" ref="AE67" si="4">AC67/AC68-1</f>
        <v>2.0917135961383782E-2</v>
      </c>
    </row>
    <row r="68" spans="15:31" x14ac:dyDescent="0.25">
      <c r="W68" s="143">
        <v>42341</v>
      </c>
      <c r="X68" s="12">
        <v>50.93</v>
      </c>
      <c r="Y68" s="12">
        <v>51.27</v>
      </c>
      <c r="Z68" s="12">
        <v>49.67</v>
      </c>
      <c r="AA68" s="12">
        <v>49.84</v>
      </c>
      <c r="AB68" s="105">
        <v>453300</v>
      </c>
      <c r="AC68" s="12">
        <v>49.72</v>
      </c>
      <c r="AD68" s="2">
        <f t="shared" si="3"/>
        <v>1.6000000000000014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246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60.44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60.44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5" t="s">
        <v>78</v>
      </c>
      <c r="P41" s="405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66.484000000000009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65.879599999999996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65.275199999999998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64.6708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64.066400000000002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63.462000000000003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62.857599999999998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62.2532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61.648800000000001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61.044399999999996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60.44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59.835599999999999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59.231199999999994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58.626799999999996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58.022399999999998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57.417999999999992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56.813599999999994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56.209200000000003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55.604799999999997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55.000399999999999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54.396000000000001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42438</v>
      </c>
      <c r="X2" s="12">
        <v>30.47</v>
      </c>
      <c r="Y2" s="12">
        <v>30.63</v>
      </c>
      <c r="Z2" s="12">
        <v>30.2</v>
      </c>
      <c r="AA2" s="12">
        <v>30.54</v>
      </c>
      <c r="AB2" s="105">
        <v>12156100</v>
      </c>
      <c r="AC2" s="12">
        <v>30.54</v>
      </c>
      <c r="AD2" s="2">
        <f>Y2-Z2</f>
        <v>0.42999999999999972</v>
      </c>
      <c r="AE2" s="148" t="e">
        <f>AC2/AC3-1</f>
        <v>#DIV/0!</v>
      </c>
    </row>
    <row r="3" spans="1:31" x14ac:dyDescent="0.25">
      <c r="A3" s="26" t="s">
        <v>71</v>
      </c>
      <c r="B3" s="40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30.54</v>
      </c>
      <c r="T3" t="s">
        <v>86</v>
      </c>
      <c r="W3" s="143">
        <v>42438</v>
      </c>
      <c r="X3" s="12" t="s">
        <v>424</v>
      </c>
      <c r="Y3" s="12"/>
      <c r="Z3" s="12"/>
      <c r="AA3" s="12"/>
      <c r="AB3" s="105"/>
      <c r="AC3" s="12"/>
      <c r="AD3" s="2">
        <f t="shared" ref="AD3:AD66" si="0">Y3-Z3</f>
        <v>0</v>
      </c>
      <c r="AE3" s="148">
        <f t="shared" ref="AE3:AE66" si="1">AC3/AC4-1</f>
        <v>-1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30.54</v>
      </c>
      <c r="W4" s="143">
        <v>42437</v>
      </c>
      <c r="X4" s="12">
        <v>31.4</v>
      </c>
      <c r="Y4" s="12">
        <v>31.4</v>
      </c>
      <c r="Z4" s="12">
        <v>30.46</v>
      </c>
      <c r="AA4" s="12">
        <v>30.68</v>
      </c>
      <c r="AB4" s="105">
        <v>16794400</v>
      </c>
      <c r="AC4" s="12">
        <v>30.3</v>
      </c>
      <c r="AD4" s="2">
        <f t="shared" si="0"/>
        <v>0.93999999999999773</v>
      </c>
      <c r="AE4" s="148">
        <f t="shared" si="1"/>
        <v>-2.8846153846153855E-2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42436</v>
      </c>
      <c r="X5" s="12">
        <v>31.31</v>
      </c>
      <c r="Y5" s="12">
        <v>31.78</v>
      </c>
      <c r="Z5" s="12">
        <v>31.19</v>
      </c>
      <c r="AA5" s="12">
        <v>31.59</v>
      </c>
      <c r="AB5" s="105">
        <v>11373800</v>
      </c>
      <c r="AC5" s="12">
        <v>31.2</v>
      </c>
      <c r="AD5" s="2">
        <f t="shared" si="0"/>
        <v>0.58999999999999986</v>
      </c>
      <c r="AE5" s="148">
        <f t="shared" si="1"/>
        <v>7.1013557133634553E-3</v>
      </c>
    </row>
    <row r="6" spans="1:31" x14ac:dyDescent="0.25">
      <c r="O6" s="13" t="s">
        <v>64</v>
      </c>
      <c r="Q6" s="2">
        <f>Q3*Q2</f>
        <v>0</v>
      </c>
      <c r="W6" s="143">
        <v>42433</v>
      </c>
      <c r="X6" s="12">
        <v>31.22</v>
      </c>
      <c r="Y6" s="12">
        <v>31.74</v>
      </c>
      <c r="Z6" s="12">
        <v>31.06</v>
      </c>
      <c r="AA6" s="12">
        <v>31.37</v>
      </c>
      <c r="AB6" s="105">
        <v>13963200</v>
      </c>
      <c r="AC6" s="12">
        <v>30.98</v>
      </c>
      <c r="AD6" s="2">
        <f t="shared" si="0"/>
        <v>0.67999999999999972</v>
      </c>
      <c r="AE6" s="148">
        <f t="shared" si="1"/>
        <v>9.4493320299771089E-3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42432</v>
      </c>
      <c r="X7" s="12">
        <v>30.26</v>
      </c>
      <c r="Y7" s="12">
        <v>31.22</v>
      </c>
      <c r="Z7" s="12">
        <v>30.2</v>
      </c>
      <c r="AA7" s="12">
        <v>31.07</v>
      </c>
      <c r="AB7" s="105">
        <v>18341300</v>
      </c>
      <c r="AC7" s="12">
        <v>30.69</v>
      </c>
      <c r="AD7" s="2">
        <f t="shared" si="0"/>
        <v>1.0199999999999996</v>
      </c>
      <c r="AE7" s="148">
        <f t="shared" si="1"/>
        <v>3.0557421087978431E-2</v>
      </c>
    </row>
    <row r="8" spans="1:31" x14ac:dyDescent="0.25">
      <c r="O8" s="13" t="s">
        <v>90</v>
      </c>
      <c r="Q8" s="148">
        <f>(Q4-Q3)/Q3</f>
        <v>0</v>
      </c>
      <c r="W8" s="143">
        <v>42431</v>
      </c>
      <c r="X8" s="12">
        <v>30</v>
      </c>
      <c r="Y8" s="12">
        <v>30.32</v>
      </c>
      <c r="Z8" s="12">
        <v>29.84</v>
      </c>
      <c r="AA8" s="12">
        <v>30.15</v>
      </c>
      <c r="AB8" s="105">
        <v>12094700</v>
      </c>
      <c r="AC8" s="12">
        <v>29.78</v>
      </c>
      <c r="AD8" s="2">
        <f t="shared" si="0"/>
        <v>0.48000000000000043</v>
      </c>
      <c r="AE8" s="148">
        <f t="shared" si="1"/>
        <v>4.7233468286100866E-3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42430</v>
      </c>
      <c r="X9" s="12">
        <v>30.02</v>
      </c>
      <c r="Y9" s="12">
        <v>30.23</v>
      </c>
      <c r="Z9" s="12">
        <v>28.92</v>
      </c>
      <c r="AA9" s="12">
        <v>30.01</v>
      </c>
      <c r="AB9" s="105">
        <v>21007300</v>
      </c>
      <c r="AC9" s="12">
        <v>29.64</v>
      </c>
      <c r="AD9" s="2">
        <f t="shared" si="0"/>
        <v>1.3099999999999987</v>
      </c>
      <c r="AE9" s="148">
        <f t="shared" si="1"/>
        <v>1.9257221458046869E-2</v>
      </c>
    </row>
    <row r="10" spans="1:31" x14ac:dyDescent="0.25">
      <c r="W10" s="143">
        <v>42429</v>
      </c>
      <c r="X10" s="12">
        <v>29.37</v>
      </c>
      <c r="Y10" s="12">
        <v>29.8</v>
      </c>
      <c r="Z10" s="12">
        <v>29.29</v>
      </c>
      <c r="AA10" s="12">
        <v>29.44</v>
      </c>
      <c r="AB10" s="105">
        <v>10329400</v>
      </c>
      <c r="AC10" s="12">
        <v>29.08</v>
      </c>
      <c r="AD10" s="2">
        <f t="shared" si="0"/>
        <v>0.51000000000000156</v>
      </c>
      <c r="AE10" s="148">
        <f t="shared" si="1"/>
        <v>-6.1517429938483525E-3</v>
      </c>
    </row>
    <row r="11" spans="1:31" x14ac:dyDescent="0.25">
      <c r="W11" s="143">
        <v>42426</v>
      </c>
      <c r="X11" s="12">
        <v>29.73</v>
      </c>
      <c r="Y11" s="12">
        <v>29.96</v>
      </c>
      <c r="Z11" s="12">
        <v>29.54</v>
      </c>
      <c r="AA11" s="12">
        <v>29.63</v>
      </c>
      <c r="AB11" s="105">
        <v>15778300</v>
      </c>
      <c r="AC11" s="12">
        <v>29.26</v>
      </c>
      <c r="AD11" s="2">
        <f t="shared" si="0"/>
        <v>0.42000000000000171</v>
      </c>
      <c r="AE11" s="148">
        <f t="shared" si="1"/>
        <v>4.462753175420664E-3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>
        <v>42425</v>
      </c>
      <c r="X12" s="12">
        <v>28.83</v>
      </c>
      <c r="Y12" s="12">
        <v>29.51</v>
      </c>
      <c r="Z12" s="12">
        <v>28.55</v>
      </c>
      <c r="AA12" s="12">
        <v>29.5</v>
      </c>
      <c r="AB12" s="105">
        <v>11904300</v>
      </c>
      <c r="AC12" s="12">
        <v>29.13</v>
      </c>
      <c r="AD12" s="2">
        <f t="shared" si="0"/>
        <v>0.96000000000000085</v>
      </c>
      <c r="AE12" s="148">
        <f t="shared" si="1"/>
        <v>2.2823033707865203E-2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42424</v>
      </c>
      <c r="X13" s="12">
        <v>28.72</v>
      </c>
      <c r="Y13" s="12">
        <v>28.9</v>
      </c>
      <c r="Z13" s="12">
        <v>27.81</v>
      </c>
      <c r="AA13" s="12">
        <v>28.84</v>
      </c>
      <c r="AB13" s="105">
        <v>20989100</v>
      </c>
      <c r="AC13" s="12">
        <v>28.48</v>
      </c>
      <c r="AD13" s="2">
        <f t="shared" si="0"/>
        <v>1.0899999999999999</v>
      </c>
      <c r="AE13" s="148">
        <f t="shared" si="1"/>
        <v>-1.860785665058573E-2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42423</v>
      </c>
      <c r="X14" s="12">
        <v>29.41</v>
      </c>
      <c r="Y14" s="12">
        <v>29.82</v>
      </c>
      <c r="Z14" s="12">
        <v>29.28</v>
      </c>
      <c r="AA14" s="12">
        <v>29.38</v>
      </c>
      <c r="AB14" s="105">
        <v>9949600</v>
      </c>
      <c r="AC14" s="12">
        <v>29.02</v>
      </c>
      <c r="AD14" s="2">
        <f t="shared" si="0"/>
        <v>0.53999999999999915</v>
      </c>
      <c r="AE14" s="148">
        <f t="shared" si="1"/>
        <v>-8.2023239917977664E-3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42422</v>
      </c>
      <c r="X15" s="12">
        <v>28.78</v>
      </c>
      <c r="Y15" s="12">
        <v>29.64</v>
      </c>
      <c r="Z15" s="12">
        <v>28.78</v>
      </c>
      <c r="AA15" s="12">
        <v>29.63</v>
      </c>
      <c r="AB15" s="105">
        <v>12215500</v>
      </c>
      <c r="AC15" s="12">
        <v>29.26</v>
      </c>
      <c r="AD15" s="2">
        <f t="shared" si="0"/>
        <v>0.85999999999999943</v>
      </c>
      <c r="AE15" s="148">
        <f t="shared" si="1"/>
        <v>2.9556650246305383E-2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42419</v>
      </c>
      <c r="X16" s="12">
        <v>28.88</v>
      </c>
      <c r="Y16" s="12">
        <v>28.98</v>
      </c>
      <c r="Z16" s="12">
        <v>28.38</v>
      </c>
      <c r="AA16" s="12">
        <v>28.78</v>
      </c>
      <c r="AB16" s="105">
        <v>12362300</v>
      </c>
      <c r="AC16" s="12">
        <v>28.42</v>
      </c>
      <c r="AD16" s="2">
        <f t="shared" si="0"/>
        <v>0.60000000000000142</v>
      </c>
      <c r="AE16" s="148">
        <f t="shared" si="1"/>
        <v>-8.7199162888036419E-3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42418</v>
      </c>
      <c r="X17" s="12">
        <v>29.45</v>
      </c>
      <c r="Y17" s="12">
        <v>29.55</v>
      </c>
      <c r="Z17" s="12">
        <v>28.92</v>
      </c>
      <c r="AA17" s="12">
        <v>29.03</v>
      </c>
      <c r="AB17" s="105">
        <v>12158600</v>
      </c>
      <c r="AC17" s="12">
        <v>28.67</v>
      </c>
      <c r="AD17" s="2">
        <f t="shared" si="0"/>
        <v>0.62999999999999901</v>
      </c>
      <c r="AE17" s="148">
        <f t="shared" si="1"/>
        <v>-8.3016257350396749E-3</v>
      </c>
    </row>
    <row r="18" spans="2:31" x14ac:dyDescent="0.25">
      <c r="W18" s="143">
        <v>42417</v>
      </c>
      <c r="X18" s="12">
        <v>28.86</v>
      </c>
      <c r="Y18" s="12">
        <v>29.35</v>
      </c>
      <c r="Z18" s="12">
        <v>28.7</v>
      </c>
      <c r="AA18" s="12">
        <v>29.27</v>
      </c>
      <c r="AB18" s="105">
        <v>13256100</v>
      </c>
      <c r="AC18" s="12">
        <v>28.91</v>
      </c>
      <c r="AD18" s="2">
        <f t="shared" si="0"/>
        <v>0.65000000000000213</v>
      </c>
      <c r="AE18" s="148">
        <f t="shared" si="1"/>
        <v>2.4087849805171757E-2</v>
      </c>
    </row>
    <row r="19" spans="2:31" x14ac:dyDescent="0.25">
      <c r="W19" s="143">
        <v>42416</v>
      </c>
      <c r="X19" s="12">
        <v>28</v>
      </c>
      <c r="Y19" s="12">
        <v>28.59</v>
      </c>
      <c r="Z19" s="12">
        <v>27.76</v>
      </c>
      <c r="AA19" s="12">
        <v>28.58</v>
      </c>
      <c r="AB19" s="105">
        <v>14627500</v>
      </c>
      <c r="AC19" s="12">
        <v>28.23</v>
      </c>
      <c r="AD19" s="2">
        <f t="shared" si="0"/>
        <v>0.82999999999999829</v>
      </c>
      <c r="AE19" s="148">
        <f t="shared" si="1"/>
        <v>3.1421264157837081E-2</v>
      </c>
    </row>
    <row r="20" spans="2:31" x14ac:dyDescent="0.25">
      <c r="W20" s="143">
        <v>42412</v>
      </c>
      <c r="X20" s="12">
        <v>27.23</v>
      </c>
      <c r="Y20" s="12">
        <v>27.74</v>
      </c>
      <c r="Z20" s="12">
        <v>27.05</v>
      </c>
      <c r="AA20" s="12">
        <v>27.71</v>
      </c>
      <c r="AB20" s="105">
        <v>11041000</v>
      </c>
      <c r="AC20" s="12">
        <v>27.37</v>
      </c>
      <c r="AD20" s="2">
        <f t="shared" si="0"/>
        <v>0.68999999999999773</v>
      </c>
      <c r="AE20" s="148">
        <f t="shared" si="1"/>
        <v>3.0109145652992053E-2</v>
      </c>
    </row>
    <row r="21" spans="2:31" x14ac:dyDescent="0.25">
      <c r="W21" s="143">
        <v>42411</v>
      </c>
      <c r="X21" s="12">
        <v>27.48</v>
      </c>
      <c r="Y21" s="12">
        <v>28.09</v>
      </c>
      <c r="Z21" s="12">
        <v>26.69</v>
      </c>
      <c r="AA21" s="12">
        <v>26.9</v>
      </c>
      <c r="AB21" s="105">
        <v>25164400</v>
      </c>
      <c r="AC21" s="12">
        <v>26.57</v>
      </c>
      <c r="AD21" s="2">
        <f t="shared" si="0"/>
        <v>1.3999999999999986</v>
      </c>
      <c r="AE21" s="148">
        <f t="shared" si="1"/>
        <v>-2.922908293752291E-2</v>
      </c>
    </row>
    <row r="22" spans="2:31" x14ac:dyDescent="0.25">
      <c r="W22" s="143">
        <v>42410</v>
      </c>
      <c r="X22" s="12">
        <v>28.12</v>
      </c>
      <c r="Y22" s="12">
        <v>28.64</v>
      </c>
      <c r="Z22" s="12">
        <v>27.69</v>
      </c>
      <c r="AA22" s="12">
        <v>27.71</v>
      </c>
      <c r="AB22" s="105">
        <v>15163800</v>
      </c>
      <c r="AC22" s="12">
        <v>27.37</v>
      </c>
      <c r="AD22" s="2">
        <f t="shared" si="0"/>
        <v>0.94999999999999929</v>
      </c>
      <c r="AE22" s="148">
        <f t="shared" si="1"/>
        <v>-5.4505813953488191E-3</v>
      </c>
    </row>
    <row r="23" spans="2:31" x14ac:dyDescent="0.25">
      <c r="W23" s="143">
        <v>42409</v>
      </c>
      <c r="X23" s="12">
        <v>28.13</v>
      </c>
      <c r="Y23" s="12">
        <v>28.87</v>
      </c>
      <c r="Z23" s="12">
        <v>27.77</v>
      </c>
      <c r="AA23" s="12">
        <v>27.87</v>
      </c>
      <c r="AB23" s="105">
        <v>21654100</v>
      </c>
      <c r="AC23" s="12">
        <v>27.52</v>
      </c>
      <c r="AD23" s="2">
        <f t="shared" si="0"/>
        <v>1.1000000000000014</v>
      </c>
      <c r="AE23" s="148">
        <f t="shared" si="1"/>
        <v>-2.8248587570621542E-2</v>
      </c>
    </row>
    <row r="24" spans="2:31" x14ac:dyDescent="0.25">
      <c r="W24" s="143">
        <v>42408</v>
      </c>
      <c r="X24" s="12">
        <v>28.28</v>
      </c>
      <c r="Y24" s="12">
        <v>28.84</v>
      </c>
      <c r="Z24" s="12">
        <v>28.05</v>
      </c>
      <c r="AA24" s="12">
        <v>28.68</v>
      </c>
      <c r="AB24" s="105">
        <v>19174000</v>
      </c>
      <c r="AC24" s="12">
        <v>28.32</v>
      </c>
      <c r="AD24" s="2">
        <f t="shared" si="0"/>
        <v>0.78999999999999915</v>
      </c>
      <c r="AE24" s="148">
        <f t="shared" si="1"/>
        <v>4.6115643845334731E-3</v>
      </c>
    </row>
    <row r="25" spans="2:31" x14ac:dyDescent="0.25">
      <c r="W25" s="143">
        <v>42405</v>
      </c>
      <c r="X25" s="12">
        <v>28.67</v>
      </c>
      <c r="Y25" s="12">
        <v>29.2</v>
      </c>
      <c r="Z25" s="12">
        <v>28.42</v>
      </c>
      <c r="AA25" s="12">
        <v>28.54</v>
      </c>
      <c r="AB25" s="105">
        <v>14125200</v>
      </c>
      <c r="AC25" s="12">
        <v>28.19</v>
      </c>
      <c r="AD25" s="2">
        <f t="shared" si="0"/>
        <v>0.77999999999999758</v>
      </c>
      <c r="AE25" s="148">
        <f t="shared" si="1"/>
        <v>-3.5348179568751581E-3</v>
      </c>
    </row>
    <row r="26" spans="2:31" x14ac:dyDescent="0.25">
      <c r="W26" s="143">
        <v>42404</v>
      </c>
      <c r="X26" s="12">
        <v>28.94</v>
      </c>
      <c r="Y26" s="12">
        <v>29.21</v>
      </c>
      <c r="Z26" s="12">
        <v>28.1</v>
      </c>
      <c r="AA26" s="12">
        <v>28.64</v>
      </c>
      <c r="AB26" s="105">
        <v>21002800</v>
      </c>
      <c r="AC26" s="12">
        <v>28.29</v>
      </c>
      <c r="AD26" s="2">
        <f t="shared" si="0"/>
        <v>1.1099999999999994</v>
      </c>
      <c r="AE26" s="148">
        <f t="shared" si="1"/>
        <v>-9.4537815126050084E-3</v>
      </c>
    </row>
    <row r="27" spans="2:31" x14ac:dyDescent="0.25">
      <c r="W27" s="143">
        <v>42403</v>
      </c>
      <c r="X27" s="12">
        <v>30.1</v>
      </c>
      <c r="Y27" s="12">
        <v>30.25</v>
      </c>
      <c r="Z27" s="12">
        <v>28.18</v>
      </c>
      <c r="AA27" s="12">
        <v>28.92</v>
      </c>
      <c r="AB27" s="105">
        <v>29069800</v>
      </c>
      <c r="AC27" s="12">
        <v>28.56</v>
      </c>
      <c r="AD27" s="2">
        <f t="shared" si="0"/>
        <v>2.0700000000000003</v>
      </c>
      <c r="AE27" s="148">
        <f t="shared" si="1"/>
        <v>-2.4590163934426257E-2</v>
      </c>
    </row>
    <row r="28" spans="2:31" x14ac:dyDescent="0.25">
      <c r="W28" s="143">
        <v>42402</v>
      </c>
      <c r="X28" s="12">
        <v>29.99</v>
      </c>
      <c r="Y28" s="12">
        <v>30.19</v>
      </c>
      <c r="Z28" s="12">
        <v>28.87</v>
      </c>
      <c r="AA28" s="12">
        <v>29.65</v>
      </c>
      <c r="AB28" s="105">
        <v>23777400</v>
      </c>
      <c r="AC28" s="12">
        <v>29.28</v>
      </c>
      <c r="AD28" s="2">
        <f t="shared" si="0"/>
        <v>1.3200000000000003</v>
      </c>
      <c r="AE28" s="148">
        <f t="shared" si="1"/>
        <v>-1.5467383994619999E-2</v>
      </c>
    </row>
    <row r="29" spans="2:31" x14ac:dyDescent="0.25">
      <c r="W29" s="143">
        <v>42401</v>
      </c>
      <c r="X29" s="12">
        <v>29.46</v>
      </c>
      <c r="Y29" s="12">
        <v>30.24</v>
      </c>
      <c r="Z29" s="12">
        <v>29.1</v>
      </c>
      <c r="AA29" s="12">
        <v>30.11</v>
      </c>
      <c r="AB29" s="105">
        <v>13831700</v>
      </c>
      <c r="AC29" s="12">
        <v>29.74</v>
      </c>
      <c r="AD29" s="2">
        <f t="shared" si="0"/>
        <v>1.139999999999997</v>
      </c>
      <c r="AE29" s="148">
        <f t="shared" si="1"/>
        <v>1.605739665186201E-2</v>
      </c>
    </row>
    <row r="30" spans="2:31" x14ac:dyDescent="0.25">
      <c r="W30" s="143">
        <v>42398</v>
      </c>
      <c r="X30" s="12">
        <v>29.17</v>
      </c>
      <c r="Y30" s="12">
        <v>29.64</v>
      </c>
      <c r="Z30" s="12">
        <v>29.02</v>
      </c>
      <c r="AA30" s="12">
        <v>29.64</v>
      </c>
      <c r="AB30" s="105">
        <v>13445800</v>
      </c>
      <c r="AC30" s="12">
        <v>29.27</v>
      </c>
      <c r="AD30" s="2">
        <f t="shared" si="0"/>
        <v>0.62000000000000099</v>
      </c>
      <c r="AE30" s="148">
        <f t="shared" si="1"/>
        <v>2.1284019539427712E-2</v>
      </c>
    </row>
    <row r="31" spans="2:31" x14ac:dyDescent="0.25">
      <c r="W31" s="143">
        <v>42397</v>
      </c>
      <c r="X31" s="12">
        <v>29.47</v>
      </c>
      <c r="Y31" s="12">
        <v>29.48</v>
      </c>
      <c r="Z31" s="12">
        <v>28.4</v>
      </c>
      <c r="AA31" s="12">
        <v>29.02</v>
      </c>
      <c r="AB31" s="105">
        <v>16421200</v>
      </c>
      <c r="AC31" s="12">
        <v>28.66</v>
      </c>
      <c r="AD31" s="2">
        <f t="shared" si="0"/>
        <v>1.0800000000000018</v>
      </c>
      <c r="AE31" s="148">
        <f t="shared" si="1"/>
        <v>-6.585788561525141E-3</v>
      </c>
    </row>
    <row r="32" spans="2:31" x14ac:dyDescent="0.25">
      <c r="W32" s="143">
        <v>42396</v>
      </c>
      <c r="X32" s="12">
        <v>29.72</v>
      </c>
      <c r="Y32" s="12">
        <v>29.9</v>
      </c>
      <c r="Z32" s="12">
        <v>29</v>
      </c>
      <c r="AA32" s="12">
        <v>29.21</v>
      </c>
      <c r="AB32" s="105">
        <v>12932300</v>
      </c>
      <c r="AC32" s="12">
        <v>28.85</v>
      </c>
      <c r="AD32" s="2">
        <f t="shared" si="0"/>
        <v>0.89999999999999858</v>
      </c>
      <c r="AE32" s="148">
        <f t="shared" si="1"/>
        <v>-1.4685792349726778E-2</v>
      </c>
    </row>
    <row r="33" spans="4:31" x14ac:dyDescent="0.25">
      <c r="W33" s="143">
        <v>42395</v>
      </c>
      <c r="X33" s="12">
        <v>29.41</v>
      </c>
      <c r="Y33" s="12">
        <v>29.75</v>
      </c>
      <c r="Z33" s="12">
        <v>29.04</v>
      </c>
      <c r="AA33" s="12">
        <v>29.65</v>
      </c>
      <c r="AB33" s="105">
        <v>11656700</v>
      </c>
      <c r="AC33" s="12">
        <v>29.28</v>
      </c>
      <c r="AD33" s="2">
        <f t="shared" si="0"/>
        <v>0.71000000000000085</v>
      </c>
      <c r="AE33" s="148">
        <f t="shared" si="1"/>
        <v>1.4201593349497665E-2</v>
      </c>
    </row>
    <row r="34" spans="4:31" x14ac:dyDescent="0.25">
      <c r="W34" s="143">
        <v>42394</v>
      </c>
      <c r="X34" s="12">
        <v>29.33</v>
      </c>
      <c r="Y34" s="12">
        <v>29.59</v>
      </c>
      <c r="Z34" s="12">
        <v>29.02</v>
      </c>
      <c r="AA34" s="12">
        <v>29.23</v>
      </c>
      <c r="AB34" s="105">
        <v>33627700</v>
      </c>
      <c r="AC34" s="12">
        <v>28.87</v>
      </c>
      <c r="AD34" s="2">
        <f t="shared" si="0"/>
        <v>0.57000000000000028</v>
      </c>
      <c r="AE34" s="148">
        <f t="shared" si="1"/>
        <v>-1.7289073305670755E-3</v>
      </c>
    </row>
    <row r="35" spans="4:31" x14ac:dyDescent="0.25">
      <c r="W35" s="143">
        <v>42391</v>
      </c>
      <c r="X35" s="12">
        <v>30.16</v>
      </c>
      <c r="Y35" s="12">
        <v>30.29</v>
      </c>
      <c r="Z35" s="12">
        <v>29.03</v>
      </c>
      <c r="AA35" s="12">
        <v>29.28</v>
      </c>
      <c r="AB35" s="105">
        <v>18302800</v>
      </c>
      <c r="AC35" s="12">
        <v>28.92</v>
      </c>
      <c r="AD35" s="2">
        <f t="shared" si="0"/>
        <v>1.259999999999998</v>
      </c>
      <c r="AE35" s="148">
        <f t="shared" si="1"/>
        <v>-8.9102124742973521E-3</v>
      </c>
    </row>
    <row r="36" spans="4:31" x14ac:dyDescent="0.25">
      <c r="W36" s="143">
        <v>42390</v>
      </c>
      <c r="X36" s="12">
        <v>29.46</v>
      </c>
      <c r="Y36" s="12">
        <v>30.14</v>
      </c>
      <c r="Z36" s="12">
        <v>29.07</v>
      </c>
      <c r="AA36" s="12">
        <v>29.55</v>
      </c>
      <c r="AB36" s="105">
        <v>15844000</v>
      </c>
      <c r="AC36" s="12">
        <v>29.18</v>
      </c>
      <c r="AD36" s="2">
        <f t="shared" si="0"/>
        <v>1.0700000000000003</v>
      </c>
      <c r="AE36" s="148">
        <f t="shared" si="1"/>
        <v>4.1293874741914482E-3</v>
      </c>
    </row>
    <row r="37" spans="4:31" x14ac:dyDescent="0.25">
      <c r="W37" s="143">
        <v>42389</v>
      </c>
      <c r="X37" s="12">
        <v>28.86</v>
      </c>
      <c r="Y37" s="12">
        <v>29.9</v>
      </c>
      <c r="Z37" s="12">
        <v>28.32</v>
      </c>
      <c r="AA37" s="12">
        <v>29.42</v>
      </c>
      <c r="AB37" s="105">
        <v>21481000</v>
      </c>
      <c r="AC37" s="12">
        <v>29.06</v>
      </c>
      <c r="AD37" s="2">
        <f t="shared" si="0"/>
        <v>1.5799999999999983</v>
      </c>
      <c r="AE37" s="148">
        <f t="shared" si="1"/>
        <v>6.8870523415975882E-4</v>
      </c>
    </row>
    <row r="38" spans="4:31" x14ac:dyDescent="0.25">
      <c r="W38" s="143">
        <v>42388</v>
      </c>
      <c r="X38" s="12">
        <v>29.93</v>
      </c>
      <c r="Y38" s="12">
        <v>30</v>
      </c>
      <c r="Z38" s="12">
        <v>28.91</v>
      </c>
      <c r="AA38" s="12">
        <v>29.4</v>
      </c>
      <c r="AB38" s="105">
        <v>17826600</v>
      </c>
      <c r="AC38" s="12">
        <v>29.04</v>
      </c>
      <c r="AD38" s="2">
        <f t="shared" si="0"/>
        <v>1.0899999999999999</v>
      </c>
      <c r="AE38" s="148">
        <f t="shared" si="1"/>
        <v>-5.479452054794498E-3</v>
      </c>
    </row>
    <row r="39" spans="4:31" x14ac:dyDescent="0.25">
      <c r="W39" s="143">
        <v>42384</v>
      </c>
      <c r="X39" s="12">
        <v>29.46</v>
      </c>
      <c r="Y39" s="12">
        <v>29.68</v>
      </c>
      <c r="Z39" s="12">
        <v>28.8</v>
      </c>
      <c r="AA39" s="12">
        <v>29.57</v>
      </c>
      <c r="AB39" s="105">
        <v>26698100</v>
      </c>
      <c r="AC39" s="12">
        <v>29.2</v>
      </c>
      <c r="AD39" s="2">
        <f t="shared" si="0"/>
        <v>0.87999999999999901</v>
      </c>
      <c r="AE39" s="148">
        <f t="shared" si="1"/>
        <v>-2.4064171122994749E-2</v>
      </c>
    </row>
    <row r="40" spans="4:31" x14ac:dyDescent="0.25">
      <c r="D40"/>
      <c r="E40"/>
      <c r="W40" s="143">
        <v>42383</v>
      </c>
      <c r="X40" s="12">
        <v>30.81</v>
      </c>
      <c r="Y40" s="12">
        <v>30.89</v>
      </c>
      <c r="Z40" s="12">
        <v>29.45</v>
      </c>
      <c r="AA40" s="12">
        <v>30.3</v>
      </c>
      <c r="AB40" s="105">
        <v>27106700</v>
      </c>
      <c r="AC40" s="12">
        <v>29.92</v>
      </c>
      <c r="AD40" s="2">
        <f t="shared" si="0"/>
        <v>1.4400000000000013</v>
      </c>
      <c r="AE40" s="148">
        <f t="shared" si="1"/>
        <v>-6.3101959481899339E-3</v>
      </c>
    </row>
    <row r="41" spans="4:31" ht="20.25" thickBot="1" x14ac:dyDescent="0.35">
      <c r="O41" s="405" t="s">
        <v>78</v>
      </c>
      <c r="P41" s="405"/>
      <c r="T41" s="101" t="s">
        <v>116</v>
      </c>
      <c r="W41" s="143">
        <v>42382</v>
      </c>
      <c r="X41" s="12">
        <v>31.83</v>
      </c>
      <c r="Y41" s="12">
        <v>31.9</v>
      </c>
      <c r="Z41" s="12">
        <v>30.09</v>
      </c>
      <c r="AA41" s="12">
        <v>30.49</v>
      </c>
      <c r="AB41" s="105">
        <v>31586200</v>
      </c>
      <c r="AC41" s="12">
        <v>30.11</v>
      </c>
      <c r="AD41" s="2">
        <f t="shared" si="0"/>
        <v>1.8099999999999987</v>
      </c>
      <c r="AE41" s="148">
        <f t="shared" si="1"/>
        <v>6.350267379679142E-3</v>
      </c>
    </row>
    <row r="42" spans="4:31" ht="15.75" thickTop="1" x14ac:dyDescent="0.25">
      <c r="O42" s="93">
        <v>1.1000000000000001</v>
      </c>
      <c r="P42" s="93">
        <f>O42*$Q$4</f>
        <v>33.594000000000001</v>
      </c>
      <c r="Q42" s="2"/>
      <c r="T42" s="171" t="s">
        <v>101</v>
      </c>
      <c r="U42" s="171">
        <v>30.3</v>
      </c>
      <c r="W42" s="143">
        <v>42381</v>
      </c>
      <c r="X42" s="12">
        <v>30.63</v>
      </c>
      <c r="Y42" s="12">
        <v>30.75</v>
      </c>
      <c r="Z42" s="12">
        <v>29.8</v>
      </c>
      <c r="AA42" s="12">
        <v>30.3</v>
      </c>
      <c r="AB42" s="105">
        <v>13398900</v>
      </c>
      <c r="AC42" s="12">
        <v>29.92</v>
      </c>
      <c r="AD42" s="2">
        <f t="shared" si="0"/>
        <v>0.94999999999999929</v>
      </c>
      <c r="AE42" s="148">
        <f t="shared" si="1"/>
        <v>1.3386880856760541E-3</v>
      </c>
    </row>
    <row r="43" spans="4:31" x14ac:dyDescent="0.25">
      <c r="O43" s="93">
        <v>1.0900000000000001</v>
      </c>
      <c r="P43" s="93">
        <f t="shared" ref="P43:P62" si="3">O43*$Q$4</f>
        <v>33.288600000000002</v>
      </c>
      <c r="Q43" s="2"/>
      <c r="T43" s="12" t="s">
        <v>102</v>
      </c>
      <c r="U43" s="12">
        <v>30.5</v>
      </c>
      <c r="W43" s="143">
        <v>42380</v>
      </c>
      <c r="X43" s="12">
        <v>30.37</v>
      </c>
      <c r="Y43" s="12">
        <v>30.48</v>
      </c>
      <c r="Z43" s="12">
        <v>29.68</v>
      </c>
      <c r="AA43" s="12">
        <v>30.25</v>
      </c>
      <c r="AB43" s="105">
        <v>16877400</v>
      </c>
      <c r="AC43" s="12">
        <v>29.88</v>
      </c>
      <c r="AD43" s="2">
        <f t="shared" si="0"/>
        <v>0.80000000000000071</v>
      </c>
      <c r="AE43" s="148">
        <f t="shared" si="1"/>
        <v>2.4691358024691246E-2</v>
      </c>
    </row>
    <row r="44" spans="4:31" x14ac:dyDescent="0.25">
      <c r="O44" s="93">
        <v>1.08</v>
      </c>
      <c r="P44" s="93">
        <f t="shared" si="3"/>
        <v>32.983200000000004</v>
      </c>
      <c r="Q44" s="2"/>
      <c r="T44" s="12" t="s">
        <v>103</v>
      </c>
      <c r="U44" s="12" t="s">
        <v>420</v>
      </c>
      <c r="W44" s="143">
        <v>42377</v>
      </c>
      <c r="X44" s="12">
        <v>30.46</v>
      </c>
      <c r="Y44" s="12">
        <v>30.7</v>
      </c>
      <c r="Z44" s="12">
        <v>29.42</v>
      </c>
      <c r="AA44" s="12">
        <v>29.53</v>
      </c>
      <c r="AB44" s="105">
        <v>16448000</v>
      </c>
      <c r="AC44" s="12">
        <v>29.16</v>
      </c>
      <c r="AD44" s="2">
        <f t="shared" si="0"/>
        <v>1.2799999999999976</v>
      </c>
      <c r="AE44" s="148">
        <f t="shared" si="1"/>
        <v>-1.5530047265361224E-2</v>
      </c>
    </row>
    <row r="45" spans="4:31" x14ac:dyDescent="0.25">
      <c r="O45" s="93">
        <v>1.07</v>
      </c>
      <c r="P45" s="93">
        <f t="shared" si="3"/>
        <v>32.677799999999998</v>
      </c>
      <c r="Q45" s="2"/>
      <c r="T45" s="12" t="s">
        <v>104</v>
      </c>
      <c r="U45" s="12" t="s">
        <v>421</v>
      </c>
      <c r="W45" s="143">
        <v>42376</v>
      </c>
      <c r="X45" s="12">
        <v>30.26</v>
      </c>
      <c r="Y45" s="12">
        <v>30.82</v>
      </c>
      <c r="Z45" s="12">
        <v>29.83</v>
      </c>
      <c r="AA45" s="12">
        <v>29.99</v>
      </c>
      <c r="AB45" s="105">
        <v>21046300</v>
      </c>
      <c r="AC45" s="12">
        <v>29.62</v>
      </c>
      <c r="AD45" s="2">
        <f t="shared" si="0"/>
        <v>0.99000000000000199</v>
      </c>
      <c r="AE45" s="148">
        <f t="shared" si="1"/>
        <v>-4.0803108808290078E-2</v>
      </c>
    </row>
    <row r="46" spans="4:31" x14ac:dyDescent="0.25">
      <c r="O46" s="93">
        <v>1.06</v>
      </c>
      <c r="P46" s="93">
        <f t="shared" si="3"/>
        <v>32.372399999999999</v>
      </c>
      <c r="Q46" s="2"/>
      <c r="T46" s="12" t="s">
        <v>105</v>
      </c>
      <c r="U46" s="12">
        <v>37.76</v>
      </c>
      <c r="W46" s="143">
        <v>42375</v>
      </c>
      <c r="X46" s="12">
        <v>31.95</v>
      </c>
      <c r="Y46" s="12">
        <v>31.98</v>
      </c>
      <c r="Z46" s="12">
        <v>31.01</v>
      </c>
      <c r="AA46" s="12">
        <v>31.27</v>
      </c>
      <c r="AB46" s="105">
        <v>27515200</v>
      </c>
      <c r="AC46" s="12">
        <v>30.88</v>
      </c>
      <c r="AD46" s="2">
        <f t="shared" si="0"/>
        <v>0.96999999999999886</v>
      </c>
      <c r="AE46" s="148">
        <f t="shared" si="1"/>
        <v>-3.5903840149859589E-2</v>
      </c>
    </row>
    <row r="47" spans="4:31" x14ac:dyDescent="0.25">
      <c r="O47" s="93">
        <v>1.05</v>
      </c>
      <c r="P47" s="93">
        <f t="shared" si="3"/>
        <v>32.067</v>
      </c>
      <c r="Q47" s="2"/>
      <c r="T47" s="12" t="s">
        <v>106</v>
      </c>
      <c r="U47" s="12">
        <v>1.6581999999999999</v>
      </c>
      <c r="W47" s="143">
        <v>42374</v>
      </c>
      <c r="X47" s="12">
        <v>33.33</v>
      </c>
      <c r="Y47" s="12">
        <v>33.409999999999997</v>
      </c>
      <c r="Z47" s="12">
        <v>32.18</v>
      </c>
      <c r="AA47" s="12">
        <v>32.43</v>
      </c>
      <c r="AB47" s="105">
        <v>19777200</v>
      </c>
      <c r="AC47" s="12">
        <v>32.03</v>
      </c>
      <c r="AD47" s="2">
        <f t="shared" si="0"/>
        <v>1.2299999999999969</v>
      </c>
      <c r="AE47" s="148">
        <f t="shared" si="1"/>
        <v>-2.6443768996960437E-2</v>
      </c>
    </row>
    <row r="48" spans="4:31" x14ac:dyDescent="0.25">
      <c r="O48" s="93">
        <v>1.04</v>
      </c>
      <c r="P48" s="93">
        <f t="shared" si="3"/>
        <v>31.761600000000001</v>
      </c>
      <c r="Q48" s="2"/>
      <c r="T48" s="12" t="s">
        <v>126</v>
      </c>
      <c r="U48" s="12" t="s">
        <v>267</v>
      </c>
      <c r="W48" s="143">
        <v>42373</v>
      </c>
      <c r="X48" s="12">
        <v>33.450000000000003</v>
      </c>
      <c r="Y48" s="12">
        <v>33.54</v>
      </c>
      <c r="Z48" s="12">
        <v>32.840000000000003</v>
      </c>
      <c r="AA48" s="12">
        <v>33.31</v>
      </c>
      <c r="AB48" s="105">
        <v>14875500</v>
      </c>
      <c r="AC48" s="12">
        <v>32.9</v>
      </c>
      <c r="AD48" s="2">
        <f t="shared" si="0"/>
        <v>0.69999999999999574</v>
      </c>
      <c r="AE48" s="148">
        <f t="shared" si="1"/>
        <v>-2.0541827924977829E-2</v>
      </c>
    </row>
    <row r="49" spans="15:31" x14ac:dyDescent="0.25">
      <c r="O49" s="93">
        <v>1.03</v>
      </c>
      <c r="P49" s="93">
        <f t="shared" si="3"/>
        <v>31.456199999999999</v>
      </c>
      <c r="Q49" s="2"/>
      <c r="T49" s="12"/>
      <c r="U49" s="12"/>
      <c r="W49" s="143">
        <v>42369</v>
      </c>
      <c r="X49" s="12">
        <v>34.21</v>
      </c>
      <c r="Y49" s="12">
        <v>34.299999999999997</v>
      </c>
      <c r="Z49" s="12">
        <v>34</v>
      </c>
      <c r="AA49" s="12">
        <v>34.01</v>
      </c>
      <c r="AB49" s="105">
        <v>6586000</v>
      </c>
      <c r="AC49" s="12">
        <v>33.590000000000003</v>
      </c>
      <c r="AD49" s="2">
        <f t="shared" si="0"/>
        <v>0.29999999999999716</v>
      </c>
      <c r="AE49" s="148">
        <f t="shared" si="1"/>
        <v>-9.1445427728612527E-3</v>
      </c>
    </row>
    <row r="50" spans="15:31" x14ac:dyDescent="0.25">
      <c r="O50" s="93">
        <v>1.02</v>
      </c>
      <c r="P50" s="93">
        <f t="shared" si="3"/>
        <v>31.1508</v>
      </c>
      <c r="Q50" s="2"/>
      <c r="T50" s="12" t="s">
        <v>108</v>
      </c>
      <c r="U50" s="12" t="s">
        <v>422</v>
      </c>
      <c r="W50" s="143">
        <v>42368</v>
      </c>
      <c r="X50" s="12">
        <v>34.32</v>
      </c>
      <c r="Y50" s="12">
        <v>34.56</v>
      </c>
      <c r="Z50" s="12">
        <v>34.28</v>
      </c>
      <c r="AA50" s="12">
        <v>34.33</v>
      </c>
      <c r="AB50" s="105">
        <v>4694500</v>
      </c>
      <c r="AC50" s="12">
        <v>33.9</v>
      </c>
      <c r="AD50" s="2">
        <f t="shared" si="0"/>
        <v>0.28000000000000114</v>
      </c>
      <c r="AE50" s="148">
        <f t="shared" si="1"/>
        <v>-4.9897270325800491E-3</v>
      </c>
    </row>
    <row r="51" spans="15:31" x14ac:dyDescent="0.25">
      <c r="O51" s="93">
        <v>1.01</v>
      </c>
      <c r="P51" s="93">
        <f t="shared" si="3"/>
        <v>30.845399999999998</v>
      </c>
      <c r="Q51" s="2"/>
      <c r="T51" s="12" t="s">
        <v>109</v>
      </c>
      <c r="U51" s="12" t="s">
        <v>153</v>
      </c>
      <c r="W51" s="143">
        <v>42367</v>
      </c>
      <c r="X51" s="12">
        <v>34.659999999999997</v>
      </c>
      <c r="Y51" s="12">
        <v>34.69</v>
      </c>
      <c r="Z51" s="12">
        <v>34.17</v>
      </c>
      <c r="AA51" s="12">
        <v>34.5</v>
      </c>
      <c r="AB51" s="105">
        <v>7056400</v>
      </c>
      <c r="AC51" s="12">
        <v>34.07</v>
      </c>
      <c r="AD51" s="2">
        <f t="shared" si="0"/>
        <v>0.51999999999999602</v>
      </c>
      <c r="AE51" s="148">
        <f t="shared" si="1"/>
        <v>-2.934272300468832E-4</v>
      </c>
    </row>
    <row r="52" spans="15:31" x14ac:dyDescent="0.25">
      <c r="O52" s="93">
        <v>1</v>
      </c>
      <c r="P52" s="93">
        <f t="shared" si="3"/>
        <v>30.54</v>
      </c>
      <c r="Q52" s="2"/>
      <c r="T52" s="12" t="s">
        <v>110</v>
      </c>
      <c r="U52" s="105">
        <v>12158851</v>
      </c>
      <c r="W52" s="143">
        <v>42366</v>
      </c>
      <c r="X52" s="12">
        <v>34.53</v>
      </c>
      <c r="Y52" s="12">
        <v>34.67</v>
      </c>
      <c r="Z52" s="12">
        <v>34.299999999999997</v>
      </c>
      <c r="AA52" s="12">
        <v>34.51</v>
      </c>
      <c r="AB52" s="105">
        <v>5348600</v>
      </c>
      <c r="AC52" s="12">
        <v>34.08</v>
      </c>
      <c r="AD52" s="2">
        <f t="shared" si="0"/>
        <v>0.37000000000000455</v>
      </c>
      <c r="AE52" s="148">
        <f t="shared" si="1"/>
        <v>-2.6338893766463256E-3</v>
      </c>
    </row>
    <row r="53" spans="15:31" x14ac:dyDescent="0.25">
      <c r="O53" s="93">
        <v>0.99</v>
      </c>
      <c r="P53" s="93">
        <f t="shared" si="3"/>
        <v>30.2346</v>
      </c>
      <c r="Q53" s="2"/>
      <c r="T53" s="12" t="s">
        <v>113</v>
      </c>
      <c r="U53" s="105">
        <v>15889300</v>
      </c>
      <c r="W53" s="143">
        <v>42362</v>
      </c>
      <c r="X53" s="12">
        <v>34.72</v>
      </c>
      <c r="Y53" s="12">
        <v>34.75</v>
      </c>
      <c r="Z53" s="12">
        <v>34.5</v>
      </c>
      <c r="AA53" s="12">
        <v>34.6</v>
      </c>
      <c r="AB53" s="105">
        <v>3134800</v>
      </c>
      <c r="AC53" s="12">
        <v>34.17</v>
      </c>
      <c r="AD53" s="2">
        <f t="shared" si="0"/>
        <v>0.25</v>
      </c>
      <c r="AE53" s="148">
        <f t="shared" si="1"/>
        <v>-5.2401746724890508E-3</v>
      </c>
    </row>
    <row r="54" spans="15:31" x14ac:dyDescent="0.25">
      <c r="O54" s="93">
        <v>0.98</v>
      </c>
      <c r="P54" s="93">
        <f t="shared" si="3"/>
        <v>29.929199999999998</v>
      </c>
      <c r="Q54" s="2"/>
      <c r="T54" s="12" t="s">
        <v>111</v>
      </c>
      <c r="U54" s="12" t="s">
        <v>423</v>
      </c>
      <c r="W54" s="143">
        <v>42361</v>
      </c>
      <c r="X54" s="12">
        <v>34.51</v>
      </c>
      <c r="Y54" s="12">
        <v>34.94</v>
      </c>
      <c r="Z54" s="12">
        <v>34.380000000000003</v>
      </c>
      <c r="AA54" s="12">
        <v>34.78</v>
      </c>
      <c r="AB54" s="105">
        <v>8816700</v>
      </c>
      <c r="AC54" s="12">
        <v>34.35</v>
      </c>
      <c r="AD54" s="2">
        <f t="shared" si="0"/>
        <v>0.55999999999999517</v>
      </c>
      <c r="AE54" s="148">
        <f t="shared" si="1"/>
        <v>1.417183348095663E-2</v>
      </c>
    </row>
    <row r="55" spans="15:31" x14ac:dyDescent="0.25">
      <c r="O55" s="93">
        <v>0.97</v>
      </c>
      <c r="P55" s="93">
        <f t="shared" si="3"/>
        <v>29.623799999999999</v>
      </c>
      <c r="T55" s="12" t="s">
        <v>114</v>
      </c>
      <c r="U55" s="12">
        <v>5.17</v>
      </c>
      <c r="W55" s="143">
        <v>42360</v>
      </c>
      <c r="X55" s="12">
        <v>34.21</v>
      </c>
      <c r="Y55" s="12">
        <v>34.49</v>
      </c>
      <c r="Z55" s="12">
        <v>34.07</v>
      </c>
      <c r="AA55" s="12">
        <v>34.29</v>
      </c>
      <c r="AB55" s="105">
        <v>9202900</v>
      </c>
      <c r="AC55" s="12">
        <v>33.869999999999997</v>
      </c>
      <c r="AD55" s="2">
        <f t="shared" si="0"/>
        <v>0.42000000000000171</v>
      </c>
      <c r="AE55" s="148">
        <f t="shared" si="1"/>
        <v>1.3768332834480645E-2</v>
      </c>
    </row>
    <row r="56" spans="15:31" x14ac:dyDescent="0.25">
      <c r="O56" s="93">
        <v>0.96</v>
      </c>
      <c r="P56" s="93">
        <f t="shared" si="3"/>
        <v>29.318399999999997</v>
      </c>
      <c r="T56" s="12" t="s">
        <v>115</v>
      </c>
      <c r="U56" s="12">
        <v>5.91</v>
      </c>
      <c r="W56" s="143">
        <v>42359</v>
      </c>
      <c r="X56" s="12">
        <v>33.79</v>
      </c>
      <c r="Y56" s="12">
        <v>34.06</v>
      </c>
      <c r="Z56" s="12">
        <v>33.590000000000003</v>
      </c>
      <c r="AA56" s="12">
        <v>33.83</v>
      </c>
      <c r="AB56" s="105">
        <v>12820000</v>
      </c>
      <c r="AC56" s="12">
        <v>33.409999999999997</v>
      </c>
      <c r="AD56" s="2">
        <f t="shared" si="0"/>
        <v>0.46999999999999886</v>
      </c>
      <c r="AE56" s="148">
        <f t="shared" si="1"/>
        <v>4.8120300751879341E-3</v>
      </c>
    </row>
    <row r="57" spans="15:31" x14ac:dyDescent="0.25">
      <c r="O57" s="93">
        <v>0.95</v>
      </c>
      <c r="P57" s="93">
        <f t="shared" si="3"/>
        <v>29.012999999999998</v>
      </c>
      <c r="T57" s="12" t="s">
        <v>112</v>
      </c>
      <c r="U57" s="12" t="s">
        <v>323</v>
      </c>
      <c r="W57" s="143">
        <v>42356</v>
      </c>
      <c r="X57" s="12">
        <v>33.96</v>
      </c>
      <c r="Y57" s="12">
        <v>34.06</v>
      </c>
      <c r="Z57" s="12">
        <v>33.54</v>
      </c>
      <c r="AA57" s="12">
        <v>33.67</v>
      </c>
      <c r="AB57" s="105">
        <v>19469500</v>
      </c>
      <c r="AC57" s="12">
        <v>33.25</v>
      </c>
      <c r="AD57" s="2">
        <f t="shared" si="0"/>
        <v>0.52000000000000313</v>
      </c>
      <c r="AE57" s="148">
        <f t="shared" si="1"/>
        <v>-1.3060255268625642E-2</v>
      </c>
    </row>
    <row r="58" spans="15:31" x14ac:dyDescent="0.25">
      <c r="O58" s="93">
        <v>0.94</v>
      </c>
      <c r="P58" s="93">
        <f t="shared" si="3"/>
        <v>28.707599999999999</v>
      </c>
      <c r="W58" s="143">
        <v>42355</v>
      </c>
      <c r="X58" s="12">
        <v>35.15</v>
      </c>
      <c r="Y58" s="12">
        <v>35.270000000000003</v>
      </c>
      <c r="Z58" s="12">
        <v>34.07</v>
      </c>
      <c r="AA58" s="12">
        <v>34.11</v>
      </c>
      <c r="AB58" s="105">
        <v>14448400</v>
      </c>
      <c r="AC58" s="12">
        <v>33.69</v>
      </c>
      <c r="AD58" s="2">
        <f t="shared" si="0"/>
        <v>1.2000000000000028</v>
      </c>
      <c r="AE58" s="148">
        <f t="shared" si="1"/>
        <v>-2.9106628242075105E-2</v>
      </c>
    </row>
    <row r="59" spans="15:31" x14ac:dyDescent="0.25">
      <c r="O59" s="93">
        <v>0.93</v>
      </c>
      <c r="P59" s="93">
        <f t="shared" si="3"/>
        <v>28.402200000000001</v>
      </c>
      <c r="W59" s="143">
        <v>42354</v>
      </c>
      <c r="X59" s="12">
        <v>34.35</v>
      </c>
      <c r="Y59" s="12">
        <v>35.17</v>
      </c>
      <c r="Z59" s="12">
        <v>34.25</v>
      </c>
      <c r="AA59" s="12">
        <v>35.14</v>
      </c>
      <c r="AB59" s="105">
        <v>14771600</v>
      </c>
      <c r="AC59" s="12">
        <v>34.700000000000003</v>
      </c>
      <c r="AD59" s="2">
        <f t="shared" si="0"/>
        <v>0.92000000000000171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28.096800000000002</v>
      </c>
      <c r="W60" s="143">
        <v>42354</v>
      </c>
      <c r="X60" s="12" t="s">
        <v>154</v>
      </c>
      <c r="Y60" s="12"/>
      <c r="Z60" s="12"/>
      <c r="AA60" s="12"/>
      <c r="AB60" s="105"/>
      <c r="AC60" s="12"/>
      <c r="AD60" s="2">
        <f t="shared" si="0"/>
        <v>0</v>
      </c>
      <c r="AE60" s="148">
        <f t="shared" si="1"/>
        <v>-1</v>
      </c>
    </row>
    <row r="61" spans="15:31" x14ac:dyDescent="0.25">
      <c r="O61" s="93">
        <v>0.91</v>
      </c>
      <c r="P61" s="93">
        <f t="shared" si="3"/>
        <v>27.791399999999999</v>
      </c>
      <c r="W61" s="143">
        <v>42353</v>
      </c>
      <c r="X61" s="12">
        <v>34.75</v>
      </c>
      <c r="Y61" s="12">
        <v>34.96</v>
      </c>
      <c r="Z61" s="12">
        <v>34.299999999999997</v>
      </c>
      <c r="AA61" s="12">
        <v>34.54</v>
      </c>
      <c r="AB61" s="105">
        <v>13834300</v>
      </c>
      <c r="AC61" s="12">
        <v>33.76</v>
      </c>
      <c r="AD61" s="2">
        <f t="shared" si="0"/>
        <v>0.66000000000000369</v>
      </c>
      <c r="AE61" s="148">
        <f t="shared" si="1"/>
        <v>4.4629574531389604E-3</v>
      </c>
    </row>
    <row r="62" spans="15:31" x14ac:dyDescent="0.25">
      <c r="O62" s="93">
        <v>0.9</v>
      </c>
      <c r="P62" s="93">
        <f t="shared" si="3"/>
        <v>27.486000000000001</v>
      </c>
      <c r="W62" s="143">
        <v>42352</v>
      </c>
      <c r="X62" s="12">
        <v>34.78</v>
      </c>
      <c r="Y62" s="12">
        <v>34.840000000000003</v>
      </c>
      <c r="Z62" s="12">
        <v>34.049999999999997</v>
      </c>
      <c r="AA62" s="12">
        <v>34.39</v>
      </c>
      <c r="AB62" s="105">
        <v>13793100</v>
      </c>
      <c r="AC62" s="12">
        <v>33.61</v>
      </c>
      <c r="AD62" s="2">
        <f t="shared" si="0"/>
        <v>0.79000000000000625</v>
      </c>
      <c r="AE62" s="148">
        <f t="shared" si="1"/>
        <v>-4.7379330766954553E-3</v>
      </c>
    </row>
    <row r="63" spans="15:31" x14ac:dyDescent="0.25">
      <c r="W63" s="143">
        <v>42349</v>
      </c>
      <c r="X63" s="12">
        <v>35.14</v>
      </c>
      <c r="Y63" s="12">
        <v>35.409999999999997</v>
      </c>
      <c r="Z63" s="12">
        <v>34.270000000000003</v>
      </c>
      <c r="AA63" s="12">
        <v>34.549999999999997</v>
      </c>
      <c r="AB63" s="105">
        <v>16271200</v>
      </c>
      <c r="AC63" s="12">
        <v>33.770000000000003</v>
      </c>
      <c r="AD63" s="2">
        <f t="shared" si="0"/>
        <v>1.1399999999999935</v>
      </c>
      <c r="AE63" s="148">
        <f t="shared" si="1"/>
        <v>-3.015508328546801E-2</v>
      </c>
    </row>
    <row r="64" spans="15:31" x14ac:dyDescent="0.25">
      <c r="W64" s="143">
        <v>42348</v>
      </c>
      <c r="X64" s="12">
        <v>35.25</v>
      </c>
      <c r="Y64" s="12">
        <v>35.89</v>
      </c>
      <c r="Z64" s="12">
        <v>35.18</v>
      </c>
      <c r="AA64" s="12">
        <v>35.630000000000003</v>
      </c>
      <c r="AB64" s="105">
        <v>8827000</v>
      </c>
      <c r="AC64" s="12">
        <v>34.82</v>
      </c>
      <c r="AD64" s="2">
        <f t="shared" si="0"/>
        <v>0.71000000000000085</v>
      </c>
      <c r="AE64" s="148">
        <f t="shared" si="1"/>
        <v>4.9062049062049695E-3</v>
      </c>
    </row>
    <row r="65" spans="23:31" x14ac:dyDescent="0.25">
      <c r="W65" s="143">
        <v>42347</v>
      </c>
      <c r="X65" s="12">
        <v>35.299999999999997</v>
      </c>
      <c r="Y65" s="12">
        <v>35.700000000000003</v>
      </c>
      <c r="Z65" s="12">
        <v>34.86</v>
      </c>
      <c r="AA65" s="12">
        <v>35.450000000000003</v>
      </c>
      <c r="AB65" s="105">
        <v>11692000</v>
      </c>
      <c r="AC65" s="12">
        <v>34.65</v>
      </c>
      <c r="AD65" s="2">
        <f t="shared" si="0"/>
        <v>0.84000000000000341</v>
      </c>
      <c r="AE65" s="148">
        <f t="shared" si="1"/>
        <v>-8.6505190311425562E-4</v>
      </c>
    </row>
    <row r="66" spans="23:31" x14ac:dyDescent="0.25">
      <c r="W66" s="143">
        <v>42346</v>
      </c>
      <c r="X66" s="12">
        <v>35.83</v>
      </c>
      <c r="Y66" s="12">
        <v>35.869999999999997</v>
      </c>
      <c r="Z66" s="12">
        <v>35.229999999999997</v>
      </c>
      <c r="AA66" s="12">
        <v>35.479999999999997</v>
      </c>
      <c r="AB66" s="105">
        <v>11905400</v>
      </c>
      <c r="AC66" s="12">
        <v>34.68</v>
      </c>
      <c r="AD66" s="2">
        <f t="shared" si="0"/>
        <v>0.64000000000000057</v>
      </c>
      <c r="AE66" s="148">
        <f t="shared" si="1"/>
        <v>-1.7841971112999233E-2</v>
      </c>
    </row>
    <row r="67" spans="23:31" x14ac:dyDescent="0.25">
      <c r="W67" s="143">
        <v>42345</v>
      </c>
      <c r="X67" s="12">
        <v>36.46</v>
      </c>
      <c r="Y67" s="12">
        <v>36.520000000000003</v>
      </c>
      <c r="Z67" s="12">
        <v>35.99</v>
      </c>
      <c r="AA67" s="12">
        <v>36.130000000000003</v>
      </c>
      <c r="AB67" s="105">
        <v>11303500</v>
      </c>
      <c r="AC67" s="12">
        <v>35.31</v>
      </c>
      <c r="AD67" s="2">
        <f t="shared" ref="AD67:AD68" si="4">Y67-Z67</f>
        <v>0.53000000000000114</v>
      </c>
      <c r="AE67" s="148">
        <f t="shared" ref="AE67" si="5">AC67/AC68-1</f>
        <v>-3.3869602032174928E-3</v>
      </c>
    </row>
    <row r="68" spans="23:31" x14ac:dyDescent="0.25">
      <c r="W68" s="143">
        <v>42342</v>
      </c>
      <c r="X68" s="12">
        <v>35.6</v>
      </c>
      <c r="Y68" s="12">
        <v>36.340000000000003</v>
      </c>
      <c r="Z68" s="12">
        <v>35.369999999999997</v>
      </c>
      <c r="AA68" s="12">
        <v>36.25</v>
      </c>
      <c r="AB68" s="105">
        <v>11562600</v>
      </c>
      <c r="AC68" s="12">
        <v>35.43</v>
      </c>
      <c r="AD68" s="2">
        <f t="shared" si="4"/>
        <v>0.97000000000000597</v>
      </c>
      <c r="AE68" s="148" t="e">
        <f>AC68/AC70-1</f>
        <v>#DIV/0!</v>
      </c>
    </row>
    <row r="69" spans="23:31" x14ac:dyDescent="0.25">
      <c r="W69" s="143">
        <v>42341</v>
      </c>
      <c r="X69" s="12">
        <v>35.83</v>
      </c>
      <c r="Y69" s="12">
        <v>36</v>
      </c>
      <c r="Z69" s="12">
        <v>35.229999999999997</v>
      </c>
      <c r="AA69" s="12">
        <v>35.47</v>
      </c>
      <c r="AB69" s="105">
        <v>10795800</v>
      </c>
      <c r="AC69" s="12">
        <v>34.67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42438</v>
      </c>
      <c r="X2" s="12">
        <v>139.65</v>
      </c>
      <c r="Y2" s="12">
        <v>140.27000000000001</v>
      </c>
      <c r="Z2" s="12">
        <v>137.47</v>
      </c>
      <c r="AA2" s="12">
        <v>138.15</v>
      </c>
      <c r="AB2" s="105">
        <v>2574500</v>
      </c>
      <c r="AC2" s="12">
        <v>138.15</v>
      </c>
      <c r="AD2" s="2"/>
      <c r="AE2" s="148"/>
      <c r="AP2" t="s">
        <v>191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IF(Q2=0, Q4, (F11-K11-M11)/Q2)</f>
        <v>138.15</v>
      </c>
      <c r="W3" s="143">
        <v>42437</v>
      </c>
      <c r="X3" s="12">
        <v>140.24</v>
      </c>
      <c r="Y3" s="12">
        <v>141.03</v>
      </c>
      <c r="Z3" s="12">
        <v>138.78</v>
      </c>
      <c r="AA3" s="12">
        <v>139.08000000000001</v>
      </c>
      <c r="AB3" s="105">
        <v>2196400</v>
      </c>
      <c r="AC3" s="12">
        <v>139.08000000000001</v>
      </c>
      <c r="AD3" s="2"/>
      <c r="AE3" s="148"/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138.15</v>
      </c>
      <c r="W4" s="143">
        <v>42436</v>
      </c>
      <c r="X4" s="12">
        <v>138.72</v>
      </c>
      <c r="Y4" s="12">
        <v>141.62</v>
      </c>
      <c r="Z4" s="12">
        <v>137.29</v>
      </c>
      <c r="AA4" s="12">
        <v>141.55000000000001</v>
      </c>
      <c r="AB4" s="105">
        <v>3174500</v>
      </c>
      <c r="AC4" s="12">
        <v>141.55000000000001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0</v>
      </c>
      <c r="W5" s="143">
        <v>42433</v>
      </c>
      <c r="X5" s="12">
        <v>138.78</v>
      </c>
      <c r="Y5" s="12">
        <v>140.99</v>
      </c>
      <c r="Z5" s="12">
        <v>138.46</v>
      </c>
      <c r="AA5" s="12">
        <v>140.30000000000001</v>
      </c>
      <c r="AB5" s="105">
        <v>2337700</v>
      </c>
      <c r="AC5" s="12">
        <v>140.30000000000001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42432</v>
      </c>
      <c r="X6" s="12">
        <v>137.75</v>
      </c>
      <c r="Y6" s="12">
        <v>139.04</v>
      </c>
      <c r="Z6" s="12">
        <v>136.46</v>
      </c>
      <c r="AA6" s="12">
        <v>138.66999999999999</v>
      </c>
      <c r="AB6" s="105">
        <v>2120300</v>
      </c>
      <c r="AC6" s="12">
        <v>138.66999999999999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12"/>
      <c r="W7" s="143">
        <v>42431</v>
      </c>
      <c r="X7" s="12">
        <v>134.84</v>
      </c>
      <c r="Y7" s="12">
        <v>138.58000000000001</v>
      </c>
      <c r="Z7" s="12">
        <v>134.72</v>
      </c>
      <c r="AA7" s="12">
        <v>138.12</v>
      </c>
      <c r="AB7" s="105">
        <v>3229000</v>
      </c>
      <c r="AC7" s="12">
        <v>138.12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42430</v>
      </c>
      <c r="X8" s="12">
        <v>129.84</v>
      </c>
      <c r="Y8" s="12">
        <v>135.74</v>
      </c>
      <c r="Z8" s="12">
        <v>129.69999999999999</v>
      </c>
      <c r="AA8" s="12">
        <v>135.28</v>
      </c>
      <c r="AB8" s="105">
        <v>2597300</v>
      </c>
      <c r="AC8" s="12">
        <v>135.28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42429</v>
      </c>
      <c r="X9" s="12">
        <v>130.24</v>
      </c>
      <c r="Y9" s="12">
        <v>131.04</v>
      </c>
      <c r="Z9" s="12">
        <v>129.13</v>
      </c>
      <c r="AA9" s="12">
        <v>129.19</v>
      </c>
      <c r="AB9" s="105">
        <v>1469500</v>
      </c>
      <c r="AC9" s="12">
        <v>129.19</v>
      </c>
      <c r="AD9" s="2"/>
      <c r="AE9" s="148"/>
    </row>
    <row r="10" spans="1:43" x14ac:dyDescent="0.25">
      <c r="W10" s="143">
        <v>42426</v>
      </c>
      <c r="X10" s="12">
        <v>130.94</v>
      </c>
      <c r="Y10" s="12">
        <v>131.6</v>
      </c>
      <c r="Z10" s="12">
        <v>130.27000000000001</v>
      </c>
      <c r="AA10" s="12">
        <v>130.71</v>
      </c>
      <c r="AB10" s="105">
        <v>897200</v>
      </c>
      <c r="AC10" s="12">
        <v>130.71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42425</v>
      </c>
      <c r="X11" s="12">
        <v>130</v>
      </c>
      <c r="Y11" s="12">
        <v>130.99</v>
      </c>
      <c r="Z11" s="12">
        <v>129.08000000000001</v>
      </c>
      <c r="AA11" s="12">
        <v>130.57</v>
      </c>
      <c r="AB11" s="105">
        <v>962500</v>
      </c>
      <c r="AC11" s="12">
        <v>130.57</v>
      </c>
      <c r="AD11" s="2"/>
      <c r="AE11" s="148"/>
    </row>
    <row r="12" spans="1:43" x14ac:dyDescent="0.25">
      <c r="W12" s="143">
        <v>42424</v>
      </c>
      <c r="X12" s="12">
        <v>128.38</v>
      </c>
      <c r="Y12" s="12">
        <v>130.07</v>
      </c>
      <c r="Z12" s="12">
        <v>127.65</v>
      </c>
      <c r="AA12" s="12">
        <v>129.77000000000001</v>
      </c>
      <c r="AB12" s="105">
        <v>908400</v>
      </c>
      <c r="AC12" s="12">
        <v>129.77000000000001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42423</v>
      </c>
      <c r="X13" s="12">
        <v>131.03</v>
      </c>
      <c r="Y13" s="12">
        <v>131.62</v>
      </c>
      <c r="Z13" s="12">
        <v>128.84</v>
      </c>
      <c r="AA13" s="12">
        <v>129.74</v>
      </c>
      <c r="AB13" s="105">
        <v>1235800</v>
      </c>
      <c r="AC13" s="12">
        <v>129.74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42422</v>
      </c>
      <c r="X14" s="12">
        <v>131</v>
      </c>
      <c r="Y14" s="12">
        <v>131.99</v>
      </c>
      <c r="Z14" s="12">
        <v>130.32</v>
      </c>
      <c r="AA14" s="12">
        <v>131.44</v>
      </c>
      <c r="AB14" s="105">
        <v>907900</v>
      </c>
      <c r="AC14" s="12">
        <v>131.44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42419</v>
      </c>
      <c r="X15" s="12">
        <v>129.52000000000001</v>
      </c>
      <c r="Y15" s="12">
        <v>130.76</v>
      </c>
      <c r="Z15" s="12">
        <v>128.31</v>
      </c>
      <c r="AA15" s="12">
        <v>130.16</v>
      </c>
      <c r="AB15" s="105">
        <v>1300200</v>
      </c>
      <c r="AC15" s="12">
        <v>130.16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42418</v>
      </c>
      <c r="X16" s="12">
        <v>130.26</v>
      </c>
      <c r="Y16" s="12">
        <v>131.37</v>
      </c>
      <c r="Z16" s="12">
        <v>129.29</v>
      </c>
      <c r="AA16" s="12">
        <v>129.69</v>
      </c>
      <c r="AB16" s="105">
        <v>1261400</v>
      </c>
      <c r="AC16" s="12">
        <v>129.69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42417</v>
      </c>
      <c r="X17" s="12">
        <v>128.16999999999999</v>
      </c>
      <c r="Y17" s="12">
        <v>131.61000000000001</v>
      </c>
      <c r="Z17" s="12">
        <v>127.56</v>
      </c>
      <c r="AA17" s="12">
        <v>130.69999999999999</v>
      </c>
      <c r="AB17" s="105">
        <v>1828700</v>
      </c>
      <c r="AC17" s="12">
        <v>130.69999999999999</v>
      </c>
      <c r="AD17" s="2"/>
      <c r="AE17" s="148"/>
    </row>
    <row r="18" spans="2:31" x14ac:dyDescent="0.25">
      <c r="B18" s="216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70"/>
      <c r="I18" s="43"/>
      <c r="W18" s="143">
        <v>42416</v>
      </c>
      <c r="X18" s="12">
        <v>127.72</v>
      </c>
      <c r="Y18" s="12">
        <v>128.41999999999999</v>
      </c>
      <c r="Z18" s="12">
        <v>126.42</v>
      </c>
      <c r="AA18" s="12">
        <v>127.42</v>
      </c>
      <c r="AB18" s="105">
        <v>2437700</v>
      </c>
      <c r="AC18" s="12">
        <v>127.42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42412</v>
      </c>
      <c r="X19" s="12">
        <v>124.52</v>
      </c>
      <c r="Y19" s="12">
        <v>126.55</v>
      </c>
      <c r="Z19" s="12">
        <v>123.96</v>
      </c>
      <c r="AA19" s="12">
        <v>126.48</v>
      </c>
      <c r="AB19" s="105">
        <v>1570700</v>
      </c>
      <c r="AC19" s="12">
        <v>126.48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42411</v>
      </c>
      <c r="X20" s="12">
        <v>122.86</v>
      </c>
      <c r="Y20" s="12">
        <v>124.29</v>
      </c>
      <c r="Z20" s="12">
        <v>122.25</v>
      </c>
      <c r="AA20" s="12">
        <v>123.3</v>
      </c>
      <c r="AB20" s="105">
        <v>1428000</v>
      </c>
      <c r="AC20" s="12">
        <v>123.3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42410</v>
      </c>
      <c r="X21" s="12">
        <v>126.07</v>
      </c>
      <c r="Y21" s="12">
        <v>129</v>
      </c>
      <c r="Z21" s="12">
        <v>125.22</v>
      </c>
      <c r="AA21" s="12">
        <v>125.46</v>
      </c>
      <c r="AB21" s="105">
        <v>1584400</v>
      </c>
      <c r="AC21" s="12">
        <v>125.46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42409</v>
      </c>
      <c r="X22" s="12">
        <v>121.03</v>
      </c>
      <c r="Y22" s="12">
        <v>125.47</v>
      </c>
      <c r="Z22" s="12">
        <v>120.73</v>
      </c>
      <c r="AA22" s="12">
        <v>124.45</v>
      </c>
      <c r="AB22" s="105">
        <v>2811500</v>
      </c>
      <c r="AC22" s="12">
        <v>124.45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42408</v>
      </c>
      <c r="X23" s="12">
        <v>121.75</v>
      </c>
      <c r="Y23" s="12">
        <v>122.82</v>
      </c>
      <c r="Z23" s="12">
        <v>119.75</v>
      </c>
      <c r="AA23" s="12">
        <v>121.94</v>
      </c>
      <c r="AB23" s="105">
        <v>2919000</v>
      </c>
      <c r="AC23" s="12">
        <v>121.94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42405</v>
      </c>
      <c r="X24" s="12">
        <v>127</v>
      </c>
      <c r="Y24" s="12">
        <v>127.25</v>
      </c>
      <c r="Z24" s="12">
        <v>121.3</v>
      </c>
      <c r="AA24" s="12">
        <v>123.18</v>
      </c>
      <c r="AB24" s="105">
        <v>4163100</v>
      </c>
      <c r="AC24" s="12">
        <v>123.18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42404</v>
      </c>
      <c r="X25" s="12">
        <v>126.36</v>
      </c>
      <c r="Y25" s="12">
        <v>128.61000000000001</v>
      </c>
      <c r="Z25" s="12">
        <v>125.95</v>
      </c>
      <c r="AA25" s="12">
        <v>127.8</v>
      </c>
      <c r="AB25" s="105">
        <v>2292200</v>
      </c>
      <c r="AC25" s="12">
        <v>127.8</v>
      </c>
      <c r="AD25" s="2"/>
      <c r="AE25" s="148"/>
    </row>
    <row r="26" spans="2:31" x14ac:dyDescent="0.25">
      <c r="W26" s="143">
        <v>42403</v>
      </c>
      <c r="X26" s="12">
        <v>127.94</v>
      </c>
      <c r="Y26" s="12">
        <v>127.94</v>
      </c>
      <c r="Z26" s="12">
        <v>123.19</v>
      </c>
      <c r="AA26" s="12">
        <v>126.05</v>
      </c>
      <c r="AB26" s="105">
        <v>2984400</v>
      </c>
      <c r="AC26" s="12">
        <v>126.05</v>
      </c>
      <c r="AD26" s="2"/>
      <c r="AE26" s="148"/>
    </row>
    <row r="27" spans="2:31" x14ac:dyDescent="0.25">
      <c r="W27" s="143">
        <v>42402</v>
      </c>
      <c r="X27" s="12">
        <v>129.31</v>
      </c>
      <c r="Y27" s="12">
        <v>129.86000000000001</v>
      </c>
      <c r="Z27" s="12">
        <v>126.53</v>
      </c>
      <c r="AA27" s="12">
        <v>126.89</v>
      </c>
      <c r="AB27" s="105">
        <v>1825600</v>
      </c>
      <c r="AC27" s="12">
        <v>126.89</v>
      </c>
      <c r="AD27" s="2"/>
      <c r="AE27" s="148"/>
    </row>
    <row r="28" spans="2:31" x14ac:dyDescent="0.25">
      <c r="W28" s="143">
        <v>42401</v>
      </c>
      <c r="X28" s="12">
        <v>131.26</v>
      </c>
      <c r="Y28" s="12">
        <v>132.1</v>
      </c>
      <c r="Z28" s="12">
        <v>129.63999999999999</v>
      </c>
      <c r="AA28" s="12">
        <v>130.69</v>
      </c>
      <c r="AB28" s="105">
        <v>1745000</v>
      </c>
      <c r="AC28" s="12">
        <v>130.69</v>
      </c>
      <c r="AD28" s="2"/>
      <c r="AE28" s="148"/>
    </row>
    <row r="29" spans="2:31" x14ac:dyDescent="0.25">
      <c r="W29" s="143">
        <v>42398</v>
      </c>
      <c r="X29" s="12">
        <v>129.07</v>
      </c>
      <c r="Y29" s="12">
        <v>132.06</v>
      </c>
      <c r="Z29" s="12">
        <v>128.6</v>
      </c>
      <c r="AA29" s="12">
        <v>132.06</v>
      </c>
      <c r="AB29" s="105">
        <v>3137100</v>
      </c>
      <c r="AC29" s="12">
        <v>132.06</v>
      </c>
      <c r="AD29" s="2"/>
      <c r="AE29" s="148"/>
    </row>
    <row r="30" spans="2:31" x14ac:dyDescent="0.25">
      <c r="W30" s="143">
        <v>42397</v>
      </c>
      <c r="X30" s="12">
        <v>130.86000000000001</v>
      </c>
      <c r="Y30" s="12">
        <v>133</v>
      </c>
      <c r="Z30" s="12">
        <v>127.18</v>
      </c>
      <c r="AA30" s="12">
        <v>128.16999999999999</v>
      </c>
      <c r="AB30" s="105">
        <v>4609900</v>
      </c>
      <c r="AC30" s="12">
        <v>128.16999999999999</v>
      </c>
      <c r="AD30" s="2"/>
      <c r="AE30" s="148"/>
    </row>
    <row r="31" spans="2:31" x14ac:dyDescent="0.25">
      <c r="W31" s="143">
        <v>42396</v>
      </c>
      <c r="X31" s="12">
        <v>134.05000000000001</v>
      </c>
      <c r="Y31" s="12">
        <v>137.21</v>
      </c>
      <c r="Z31" s="12">
        <v>133.34</v>
      </c>
      <c r="AA31" s="12">
        <v>135.83000000000001</v>
      </c>
      <c r="AB31" s="105">
        <v>3300700</v>
      </c>
      <c r="AC31" s="12">
        <v>135.83000000000001</v>
      </c>
      <c r="AD31" s="2"/>
      <c r="AE31" s="148"/>
    </row>
    <row r="32" spans="2:31" x14ac:dyDescent="0.25">
      <c r="W32" s="143">
        <v>42395</v>
      </c>
      <c r="X32" s="12">
        <v>134.59</v>
      </c>
      <c r="Y32" s="12">
        <v>135.06</v>
      </c>
      <c r="Z32" s="12">
        <v>132.07</v>
      </c>
      <c r="AA32" s="12">
        <v>134.1</v>
      </c>
      <c r="AB32" s="105">
        <v>1721600</v>
      </c>
      <c r="AC32" s="12">
        <v>134.1</v>
      </c>
      <c r="AD32" s="2"/>
      <c r="AE32" s="148"/>
    </row>
    <row r="33" spans="15:31" x14ac:dyDescent="0.25">
      <c r="W33" s="143">
        <v>42394</v>
      </c>
      <c r="X33" s="12">
        <v>134.72999999999999</v>
      </c>
      <c r="Y33" s="12">
        <v>136.25</v>
      </c>
      <c r="Z33" s="12">
        <v>134.28</v>
      </c>
      <c r="AA33" s="12">
        <v>134.72999999999999</v>
      </c>
      <c r="AB33" s="105">
        <v>1313700</v>
      </c>
      <c r="AC33" s="12">
        <v>134.72999999999999</v>
      </c>
      <c r="AD33" s="2"/>
      <c r="AE33" s="148"/>
    </row>
    <row r="34" spans="15:31" x14ac:dyDescent="0.25">
      <c r="W34" s="143">
        <v>42391</v>
      </c>
      <c r="X34" s="12">
        <v>133.59</v>
      </c>
      <c r="Y34" s="12">
        <v>135.4</v>
      </c>
      <c r="Z34" s="12">
        <v>132.91999999999999</v>
      </c>
      <c r="AA34" s="12">
        <v>135.31</v>
      </c>
      <c r="AB34" s="105">
        <v>1927800</v>
      </c>
      <c r="AC34" s="12">
        <v>135.31</v>
      </c>
      <c r="AD34" s="2"/>
      <c r="AE34" s="148"/>
    </row>
    <row r="35" spans="15:31" x14ac:dyDescent="0.25">
      <c r="W35" s="143">
        <v>42390</v>
      </c>
      <c r="X35" s="12">
        <v>133.47</v>
      </c>
      <c r="Y35" s="12">
        <v>133.61000000000001</v>
      </c>
      <c r="Z35" s="12">
        <v>130.74</v>
      </c>
      <c r="AA35" s="12">
        <v>131.68</v>
      </c>
      <c r="AB35" s="105">
        <v>2193500</v>
      </c>
      <c r="AC35" s="12">
        <v>131.68</v>
      </c>
      <c r="AD35" s="2"/>
      <c r="AE35" s="148"/>
    </row>
    <row r="36" spans="15:31" x14ac:dyDescent="0.25">
      <c r="W36" s="143">
        <v>42389</v>
      </c>
      <c r="X36" s="12">
        <v>132.66</v>
      </c>
      <c r="Y36" s="12">
        <v>134.66</v>
      </c>
      <c r="Z36" s="12">
        <v>129.54</v>
      </c>
      <c r="AA36" s="12">
        <v>133.05000000000001</v>
      </c>
      <c r="AB36" s="105">
        <v>2904000</v>
      </c>
      <c r="AC36" s="12">
        <v>133.05000000000001</v>
      </c>
      <c r="AD36" s="2"/>
      <c r="AE36" s="148"/>
    </row>
    <row r="37" spans="15:31" x14ac:dyDescent="0.25">
      <c r="W37" s="143">
        <v>42388</v>
      </c>
      <c r="X37" s="12">
        <v>134.57</v>
      </c>
      <c r="Y37" s="12">
        <v>135.65</v>
      </c>
      <c r="Z37" s="12">
        <v>132.9</v>
      </c>
      <c r="AA37" s="12">
        <v>134.91</v>
      </c>
      <c r="AB37" s="105">
        <v>2896600</v>
      </c>
      <c r="AC37" s="12">
        <v>134.91</v>
      </c>
      <c r="AD37" s="2"/>
      <c r="AE37" s="148"/>
    </row>
    <row r="38" spans="15:31" x14ac:dyDescent="0.25">
      <c r="W38" s="143">
        <v>42384</v>
      </c>
      <c r="X38" s="12">
        <v>134.59</v>
      </c>
      <c r="Y38" s="12">
        <v>135.19999999999999</v>
      </c>
      <c r="Z38" s="12">
        <v>130.65</v>
      </c>
      <c r="AA38" s="12">
        <v>132.76</v>
      </c>
      <c r="AB38" s="105">
        <v>3332600</v>
      </c>
      <c r="AC38" s="12">
        <v>132.76</v>
      </c>
      <c r="AD38" s="2"/>
      <c r="AE38" s="148"/>
    </row>
    <row r="39" spans="15:31" x14ac:dyDescent="0.25">
      <c r="W39" s="143">
        <v>42383</v>
      </c>
      <c r="X39" s="12">
        <v>133.63999999999999</v>
      </c>
      <c r="Y39" s="12">
        <v>137.36000000000001</v>
      </c>
      <c r="Z39" s="12">
        <v>133.44</v>
      </c>
      <c r="AA39" s="12">
        <v>135.79</v>
      </c>
      <c r="AB39" s="105">
        <v>2871200</v>
      </c>
      <c r="AC39" s="12">
        <v>135.79</v>
      </c>
      <c r="AD39" s="2"/>
      <c r="AE39" s="148"/>
    </row>
    <row r="40" spans="15:31" x14ac:dyDescent="0.25">
      <c r="W40" s="143">
        <v>42382</v>
      </c>
      <c r="X40" s="12">
        <v>137.41999999999999</v>
      </c>
      <c r="Y40" s="12">
        <v>138.01</v>
      </c>
      <c r="Z40" s="12">
        <v>133</v>
      </c>
      <c r="AA40" s="12">
        <v>133.77000000000001</v>
      </c>
      <c r="AB40" s="105">
        <v>2521200</v>
      </c>
      <c r="AC40" s="12">
        <v>133.77000000000001</v>
      </c>
      <c r="AD40" s="2"/>
      <c r="AE40" s="148"/>
    </row>
    <row r="41" spans="15:31" x14ac:dyDescent="0.25">
      <c r="W41" s="143">
        <v>42381</v>
      </c>
      <c r="X41" s="12">
        <v>136.29</v>
      </c>
      <c r="Y41" s="12">
        <v>137.9</v>
      </c>
      <c r="Z41" s="12">
        <v>135.54</v>
      </c>
      <c r="AA41" s="12">
        <v>136.97</v>
      </c>
      <c r="AB41" s="105">
        <v>3088000</v>
      </c>
      <c r="AC41" s="12">
        <v>136.97</v>
      </c>
      <c r="AD41" s="2"/>
      <c r="AE41" s="148"/>
    </row>
    <row r="42" spans="15:31" x14ac:dyDescent="0.25">
      <c r="W42" s="143">
        <v>42380</v>
      </c>
      <c r="X42" s="12">
        <v>134.34</v>
      </c>
      <c r="Y42" s="12">
        <v>137.29</v>
      </c>
      <c r="Z42" s="12">
        <v>133.38999999999999</v>
      </c>
      <c r="AA42" s="12">
        <v>134.88</v>
      </c>
      <c r="AB42" s="105">
        <v>2407000</v>
      </c>
      <c r="AC42" s="12">
        <v>134.88</v>
      </c>
      <c r="AD42" s="2"/>
      <c r="AE42" s="148"/>
    </row>
    <row r="43" spans="15:31" x14ac:dyDescent="0.25">
      <c r="W43" s="143">
        <v>42377</v>
      </c>
      <c r="X43" s="12">
        <v>135.6</v>
      </c>
      <c r="Y43" s="12">
        <v>137.01</v>
      </c>
      <c r="Z43" s="12">
        <v>133.82</v>
      </c>
      <c r="AA43" s="12">
        <v>134.16</v>
      </c>
      <c r="AB43" s="105">
        <v>2148100</v>
      </c>
      <c r="AC43" s="12">
        <v>134.16</v>
      </c>
      <c r="AD43" s="2"/>
      <c r="AE43" s="148"/>
    </row>
    <row r="44" spans="15:31" x14ac:dyDescent="0.25">
      <c r="W44" s="143">
        <v>42376</v>
      </c>
      <c r="X44" s="12">
        <v>135</v>
      </c>
      <c r="Y44" s="12">
        <v>135.26</v>
      </c>
      <c r="Z44" s="12">
        <v>133.13999999999999</v>
      </c>
      <c r="AA44" s="12">
        <v>134.31</v>
      </c>
      <c r="AB44" s="105">
        <v>2470900</v>
      </c>
      <c r="AC44" s="12">
        <v>134.31</v>
      </c>
      <c r="AD44" s="2"/>
      <c r="AE44" s="148"/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42375</v>
      </c>
      <c r="X45" s="12">
        <v>136.55000000000001</v>
      </c>
      <c r="Y45" s="12">
        <v>138.44999999999999</v>
      </c>
      <c r="Z45" s="12">
        <v>136.55000000000001</v>
      </c>
      <c r="AA45" s="12">
        <v>137.44999999999999</v>
      </c>
      <c r="AB45" s="105">
        <v>2300800</v>
      </c>
      <c r="AC45" s="12">
        <v>137.44999999999999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151.96500000000003</v>
      </c>
      <c r="Q46" s="2"/>
      <c r="T46" s="395" t="s">
        <v>101</v>
      </c>
      <c r="U46" s="395">
        <v>139.08000000000001</v>
      </c>
      <c r="W46" s="143">
        <v>42374</v>
      </c>
      <c r="X46" s="12">
        <v>139</v>
      </c>
      <c r="Y46" s="12">
        <v>140.94</v>
      </c>
      <c r="Z46" s="12">
        <v>138.37</v>
      </c>
      <c r="AA46" s="12">
        <v>138.51</v>
      </c>
      <c r="AB46" s="105">
        <v>3184400</v>
      </c>
      <c r="AC46" s="12">
        <v>138.51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150.58350000000002</v>
      </c>
      <c r="Q47" s="2"/>
      <c r="T47" s="110" t="s">
        <v>102</v>
      </c>
      <c r="U47" s="110">
        <v>139.65</v>
      </c>
      <c r="W47" s="143">
        <v>42373</v>
      </c>
      <c r="X47" s="12">
        <v>139.44999999999999</v>
      </c>
      <c r="Y47" s="12">
        <v>140.15</v>
      </c>
      <c r="Z47" s="12">
        <v>137.32</v>
      </c>
      <c r="AA47" s="12">
        <v>138.75</v>
      </c>
      <c r="AB47" s="105">
        <v>3287500</v>
      </c>
      <c r="AC47" s="12">
        <v>138.75</v>
      </c>
      <c r="AD47" s="2"/>
      <c r="AE47" s="148"/>
    </row>
    <row r="48" spans="15:31" x14ac:dyDescent="0.25">
      <c r="O48" s="93">
        <v>1.08</v>
      </c>
      <c r="P48" s="93">
        <f t="shared" si="0"/>
        <v>149.20200000000003</v>
      </c>
      <c r="Q48" s="2"/>
      <c r="T48" s="110" t="s">
        <v>103</v>
      </c>
      <c r="U48" s="110" t="s">
        <v>425</v>
      </c>
      <c r="W48" s="143">
        <v>42369</v>
      </c>
      <c r="X48" s="12">
        <v>141.97</v>
      </c>
      <c r="Y48" s="12">
        <v>143.21</v>
      </c>
      <c r="Z48" s="12">
        <v>141.84</v>
      </c>
      <c r="AA48" s="12">
        <v>141.85</v>
      </c>
      <c r="AB48" s="105">
        <v>1145000</v>
      </c>
      <c r="AC48" s="12">
        <v>141.85</v>
      </c>
      <c r="AD48" s="2"/>
      <c r="AE48" s="148"/>
    </row>
    <row r="49" spans="15:31" x14ac:dyDescent="0.25">
      <c r="O49" s="93">
        <v>1.07</v>
      </c>
      <c r="P49" s="93">
        <f t="shared" si="0"/>
        <v>147.82050000000001</v>
      </c>
      <c r="Q49" s="2"/>
      <c r="T49" s="110" t="s">
        <v>104</v>
      </c>
      <c r="U49" s="110" t="s">
        <v>426</v>
      </c>
      <c r="W49" s="143">
        <v>42368</v>
      </c>
      <c r="X49" s="12">
        <v>143.04</v>
      </c>
      <c r="Y49" s="12">
        <v>143.65</v>
      </c>
      <c r="Z49" s="12">
        <v>142.51</v>
      </c>
      <c r="AA49" s="12">
        <v>142.86000000000001</v>
      </c>
      <c r="AB49" s="105">
        <v>1057500</v>
      </c>
      <c r="AC49" s="12">
        <v>142.86000000000001</v>
      </c>
      <c r="AD49" s="2"/>
      <c r="AE49" s="148"/>
    </row>
    <row r="50" spans="15:31" x14ac:dyDescent="0.25">
      <c r="O50" s="93">
        <v>1.06</v>
      </c>
      <c r="P50" s="93">
        <f t="shared" si="0"/>
        <v>146.43900000000002</v>
      </c>
      <c r="Q50" s="2"/>
      <c r="T50" s="110" t="s">
        <v>105</v>
      </c>
      <c r="U50" s="110">
        <v>152.97</v>
      </c>
      <c r="W50" s="143">
        <v>42367</v>
      </c>
      <c r="X50" s="12">
        <v>141.58000000000001</v>
      </c>
      <c r="Y50" s="12">
        <v>143.5</v>
      </c>
      <c r="Z50" s="12">
        <v>141.38999999999999</v>
      </c>
      <c r="AA50" s="12">
        <v>143.03</v>
      </c>
      <c r="AB50" s="105">
        <v>1416200</v>
      </c>
      <c r="AC50" s="12">
        <v>143.03</v>
      </c>
      <c r="AD50" s="2"/>
      <c r="AE50" s="148"/>
    </row>
    <row r="51" spans="15:31" x14ac:dyDescent="0.25">
      <c r="O51" s="93">
        <v>1.05</v>
      </c>
      <c r="P51" s="93">
        <f t="shared" si="0"/>
        <v>145.0575</v>
      </c>
      <c r="Q51" s="2"/>
      <c r="T51" s="110" t="s">
        <v>106</v>
      </c>
      <c r="U51" s="110">
        <v>0.97979799999999995</v>
      </c>
      <c r="W51" s="143">
        <v>42366</v>
      </c>
      <c r="X51" s="12">
        <v>140.97</v>
      </c>
      <c r="Y51" s="12">
        <v>141.21</v>
      </c>
      <c r="Z51" s="12">
        <v>140.53</v>
      </c>
      <c r="AA51" s="12">
        <v>140.69999999999999</v>
      </c>
      <c r="AB51" s="105">
        <v>835700</v>
      </c>
      <c r="AC51" s="12">
        <v>140.69999999999999</v>
      </c>
      <c r="AD51" s="2"/>
      <c r="AE51" s="148"/>
    </row>
    <row r="52" spans="15:31" x14ac:dyDescent="0.25">
      <c r="O52" s="93">
        <v>1.04</v>
      </c>
      <c r="P52" s="93">
        <f t="shared" si="0"/>
        <v>143.67600000000002</v>
      </c>
      <c r="Q52" s="2"/>
      <c r="T52" s="110" t="s">
        <v>126</v>
      </c>
      <c r="U52" s="110" t="s">
        <v>263</v>
      </c>
      <c r="W52" s="143">
        <v>42362</v>
      </c>
      <c r="X52" s="12">
        <v>140.94</v>
      </c>
      <c r="Y52" s="12">
        <v>141.75</v>
      </c>
      <c r="Z52" s="12">
        <v>140.75</v>
      </c>
      <c r="AA52" s="12">
        <v>141.32</v>
      </c>
      <c r="AB52" s="105">
        <v>370700</v>
      </c>
      <c r="AC52" s="12">
        <v>141.32</v>
      </c>
      <c r="AD52" s="2"/>
      <c r="AE52" s="148"/>
    </row>
    <row r="53" spans="15:31" x14ac:dyDescent="0.25">
      <c r="O53" s="93">
        <v>1.03</v>
      </c>
      <c r="P53" s="93">
        <f t="shared" si="0"/>
        <v>142.2945</v>
      </c>
      <c r="Q53" s="2"/>
      <c r="T53" s="110"/>
      <c r="U53" s="110"/>
      <c r="W53" s="143">
        <v>42361</v>
      </c>
      <c r="X53" s="12">
        <v>140</v>
      </c>
      <c r="Y53" s="12">
        <v>141.44999999999999</v>
      </c>
      <c r="Z53" s="12">
        <v>139.63999999999999</v>
      </c>
      <c r="AA53" s="12">
        <v>141.02000000000001</v>
      </c>
      <c r="AB53" s="105">
        <v>1534800</v>
      </c>
      <c r="AC53" s="12">
        <v>141.02000000000001</v>
      </c>
      <c r="AD53" s="2"/>
      <c r="AE53" s="148"/>
    </row>
    <row r="54" spans="15:31" x14ac:dyDescent="0.25">
      <c r="O54" s="93">
        <v>1.02</v>
      </c>
      <c r="P54" s="93">
        <f t="shared" si="0"/>
        <v>140.91300000000001</v>
      </c>
      <c r="Q54" s="2"/>
      <c r="T54" s="110" t="s">
        <v>108</v>
      </c>
      <c r="U54" s="110" t="s">
        <v>427</v>
      </c>
      <c r="W54" s="143">
        <v>42360</v>
      </c>
      <c r="X54" s="12">
        <v>138.1</v>
      </c>
      <c r="Y54" s="12">
        <v>139.69999999999999</v>
      </c>
      <c r="Z54" s="12">
        <v>137.19999999999999</v>
      </c>
      <c r="AA54" s="12">
        <v>139.53</v>
      </c>
      <c r="AB54" s="105">
        <v>1250700</v>
      </c>
      <c r="AC54" s="12">
        <v>139.53</v>
      </c>
      <c r="AD54" s="2"/>
      <c r="AE54" s="148"/>
    </row>
    <row r="55" spans="15:31" x14ac:dyDescent="0.25">
      <c r="O55" s="93">
        <v>1.01</v>
      </c>
      <c r="P55" s="93">
        <f t="shared" si="0"/>
        <v>139.53149999999999</v>
      </c>
      <c r="Q55" s="2"/>
      <c r="T55" s="110" t="s">
        <v>109</v>
      </c>
      <c r="U55" s="110" t="s">
        <v>264</v>
      </c>
      <c r="W55" s="143">
        <v>42359</v>
      </c>
      <c r="X55" s="12">
        <v>135.76</v>
      </c>
      <c r="Y55" s="12">
        <v>137.63999999999999</v>
      </c>
      <c r="Z55" s="12">
        <v>135.58000000000001</v>
      </c>
      <c r="AA55" s="12">
        <v>137.55000000000001</v>
      </c>
      <c r="AB55" s="105">
        <v>1325900</v>
      </c>
      <c r="AC55" s="12">
        <v>137.55000000000001</v>
      </c>
      <c r="AD55" s="2"/>
      <c r="AE55" s="148"/>
    </row>
    <row r="56" spans="15:31" x14ac:dyDescent="0.25">
      <c r="O56" s="93">
        <v>1</v>
      </c>
      <c r="P56" s="93">
        <f t="shared" si="0"/>
        <v>138.15</v>
      </c>
      <c r="Q56" s="2"/>
      <c r="T56" s="110" t="s">
        <v>110</v>
      </c>
      <c r="U56" s="111">
        <v>2588844</v>
      </c>
      <c r="W56" s="143">
        <v>42356</v>
      </c>
      <c r="X56" s="12">
        <v>137.26</v>
      </c>
      <c r="Y56" s="12">
        <v>137.44</v>
      </c>
      <c r="Z56" s="12">
        <v>134.51</v>
      </c>
      <c r="AA56" s="12">
        <v>134.51</v>
      </c>
      <c r="AB56" s="105">
        <v>2716600</v>
      </c>
      <c r="AC56" s="12">
        <v>134.51</v>
      </c>
      <c r="AD56" s="2"/>
      <c r="AE56" s="148"/>
    </row>
    <row r="57" spans="15:31" x14ac:dyDescent="0.25">
      <c r="O57" s="93">
        <v>0.99</v>
      </c>
      <c r="P57" s="93">
        <f t="shared" si="0"/>
        <v>136.76850000000002</v>
      </c>
      <c r="Q57" s="2"/>
      <c r="T57" s="110" t="s">
        <v>113</v>
      </c>
      <c r="U57" s="111">
        <v>2111830</v>
      </c>
      <c r="W57" s="143">
        <v>42355</v>
      </c>
      <c r="X57" s="12">
        <v>140.28</v>
      </c>
      <c r="Y57" s="12">
        <v>140.52000000000001</v>
      </c>
      <c r="Z57" s="12">
        <v>138.1</v>
      </c>
      <c r="AA57" s="12">
        <v>138.16</v>
      </c>
      <c r="AB57" s="105">
        <v>1863400</v>
      </c>
      <c r="AC57" s="12">
        <v>138.16</v>
      </c>
      <c r="AD57" s="2"/>
      <c r="AE57" s="148"/>
    </row>
    <row r="58" spans="15:31" x14ac:dyDescent="0.25">
      <c r="O58" s="93">
        <v>0.98</v>
      </c>
      <c r="P58" s="93">
        <f t="shared" si="0"/>
        <v>135.387</v>
      </c>
      <c r="Q58" s="2"/>
      <c r="T58" s="110" t="s">
        <v>111</v>
      </c>
      <c r="U58" s="110" t="s">
        <v>428</v>
      </c>
      <c r="W58" s="143">
        <v>42354</v>
      </c>
      <c r="X58" s="12">
        <v>138.68</v>
      </c>
      <c r="Y58" s="12">
        <v>140.74</v>
      </c>
      <c r="Z58" s="12">
        <v>138.29</v>
      </c>
      <c r="AA58" s="12">
        <v>140.44999999999999</v>
      </c>
      <c r="AB58" s="105">
        <v>1699000</v>
      </c>
      <c r="AC58" s="12">
        <v>140.44999999999999</v>
      </c>
      <c r="AD58" s="2"/>
      <c r="AE58" s="148"/>
    </row>
    <row r="59" spans="15:31" x14ac:dyDescent="0.25">
      <c r="O59" s="93">
        <v>0.97</v>
      </c>
      <c r="P59" s="93">
        <f t="shared" si="0"/>
        <v>134.00550000000001</v>
      </c>
      <c r="T59" s="110" t="s">
        <v>114</v>
      </c>
      <c r="U59" s="110">
        <v>28.09</v>
      </c>
      <c r="W59" s="143">
        <v>42353</v>
      </c>
      <c r="X59" s="12">
        <v>136.31</v>
      </c>
      <c r="Y59" s="12">
        <v>138.16</v>
      </c>
      <c r="Z59" s="12">
        <v>136.31</v>
      </c>
      <c r="AA59" s="12">
        <v>137.49</v>
      </c>
      <c r="AB59" s="105">
        <v>1717000</v>
      </c>
      <c r="AC59" s="12">
        <v>137.49</v>
      </c>
      <c r="AD59" s="2"/>
      <c r="AE59" s="148"/>
    </row>
    <row r="60" spans="15:31" x14ac:dyDescent="0.25">
      <c r="O60" s="93">
        <v>0.96</v>
      </c>
      <c r="P60" s="93">
        <f t="shared" si="0"/>
        <v>132.624</v>
      </c>
      <c r="T60" s="110" t="s">
        <v>115</v>
      </c>
      <c r="U60" s="110">
        <v>4.92</v>
      </c>
      <c r="W60" s="143">
        <v>42352</v>
      </c>
      <c r="X60" s="12">
        <v>133.85</v>
      </c>
      <c r="Y60" s="12">
        <v>135.57</v>
      </c>
      <c r="Z60" s="12">
        <v>133.41</v>
      </c>
      <c r="AA60" s="12">
        <v>135.41</v>
      </c>
      <c r="AB60" s="105">
        <v>1452500</v>
      </c>
      <c r="AC60" s="12">
        <v>135.41</v>
      </c>
      <c r="AD60" s="2"/>
      <c r="AE60" s="148"/>
    </row>
    <row r="61" spans="15:31" x14ac:dyDescent="0.25">
      <c r="O61" s="93">
        <v>0.95</v>
      </c>
      <c r="P61" s="93">
        <f t="shared" si="0"/>
        <v>131.24250000000001</v>
      </c>
      <c r="T61" s="110" t="s">
        <v>112</v>
      </c>
      <c r="U61" s="110" t="s">
        <v>324</v>
      </c>
      <c r="W61" s="143">
        <v>42349</v>
      </c>
      <c r="X61" s="12">
        <v>133.22999999999999</v>
      </c>
      <c r="Y61" s="12">
        <v>135.05000000000001</v>
      </c>
      <c r="Z61" s="12">
        <v>133.06</v>
      </c>
      <c r="AA61" s="12">
        <v>134.19999999999999</v>
      </c>
      <c r="AB61" s="105">
        <v>1542400</v>
      </c>
      <c r="AC61" s="12">
        <v>134.19999999999999</v>
      </c>
      <c r="AD61" s="2"/>
      <c r="AE61" s="148"/>
    </row>
    <row r="62" spans="15:31" x14ac:dyDescent="0.25">
      <c r="O62" s="93">
        <v>0.94</v>
      </c>
      <c r="P62" s="93">
        <f t="shared" si="0"/>
        <v>129.86099999999999</v>
      </c>
      <c r="W62" s="143">
        <v>42349</v>
      </c>
      <c r="X62" s="12" t="s">
        <v>262</v>
      </c>
      <c r="Y62" s="12"/>
      <c r="Z62" s="12"/>
      <c r="AA62" s="12"/>
      <c r="AB62" s="105"/>
      <c r="AC62" s="12"/>
      <c r="AD62" s="2"/>
      <c r="AE62" s="148"/>
    </row>
    <row r="63" spans="15:31" x14ac:dyDescent="0.25">
      <c r="O63" s="93">
        <v>0.93</v>
      </c>
      <c r="P63" s="93">
        <f t="shared" si="0"/>
        <v>128.4795</v>
      </c>
      <c r="W63" s="143">
        <v>42348</v>
      </c>
      <c r="X63" s="12">
        <v>134.41999999999999</v>
      </c>
      <c r="Y63" s="12">
        <v>136.1</v>
      </c>
      <c r="Z63" s="12">
        <v>133.97999999999999</v>
      </c>
      <c r="AA63" s="12">
        <v>135.13</v>
      </c>
      <c r="AB63" s="105">
        <v>1056700</v>
      </c>
      <c r="AC63" s="12">
        <v>134.97999999999999</v>
      </c>
      <c r="AD63" s="2"/>
      <c r="AE63" s="148"/>
    </row>
    <row r="64" spans="15:31" x14ac:dyDescent="0.25">
      <c r="O64" s="93">
        <v>0.92</v>
      </c>
      <c r="P64" s="93">
        <f t="shared" si="0"/>
        <v>127.09800000000001</v>
      </c>
      <c r="W64" s="143">
        <v>42347</v>
      </c>
      <c r="X64" s="12">
        <v>135.41999999999999</v>
      </c>
      <c r="Y64" s="12">
        <v>136.99</v>
      </c>
      <c r="Z64" s="12">
        <v>134.01</v>
      </c>
      <c r="AA64" s="12">
        <v>134.38999999999999</v>
      </c>
      <c r="AB64" s="105">
        <v>1525000</v>
      </c>
      <c r="AC64" s="12">
        <v>134.24</v>
      </c>
      <c r="AD64" s="2"/>
      <c r="AE64" s="148"/>
    </row>
    <row r="65" spans="15:31" x14ac:dyDescent="0.25">
      <c r="O65" s="93">
        <v>0.91</v>
      </c>
      <c r="P65" s="93">
        <f t="shared" si="0"/>
        <v>125.71650000000001</v>
      </c>
      <c r="W65" s="143">
        <v>42346</v>
      </c>
      <c r="X65" s="12">
        <v>134.94999999999999</v>
      </c>
      <c r="Y65" s="12">
        <v>136.97999999999999</v>
      </c>
      <c r="Z65" s="12">
        <v>134.56</v>
      </c>
      <c r="AA65" s="12">
        <v>136.05000000000001</v>
      </c>
      <c r="AB65" s="105">
        <v>1548700</v>
      </c>
      <c r="AC65" s="12">
        <v>135.9</v>
      </c>
      <c r="AD65" s="2"/>
      <c r="AE65" s="148"/>
    </row>
    <row r="66" spans="15:31" x14ac:dyDescent="0.25">
      <c r="O66" s="93">
        <v>0.9</v>
      </c>
      <c r="P66" s="93">
        <f t="shared" si="0"/>
        <v>124.33500000000001</v>
      </c>
      <c r="W66" s="143">
        <v>42345</v>
      </c>
      <c r="X66" s="12">
        <v>136.85</v>
      </c>
      <c r="Y66" s="12">
        <v>136.97</v>
      </c>
      <c r="Z66" s="12">
        <v>134.94</v>
      </c>
      <c r="AA66" s="12">
        <v>135.53</v>
      </c>
      <c r="AB66" s="105">
        <v>1341000</v>
      </c>
      <c r="AC66" s="12">
        <v>135.38</v>
      </c>
      <c r="AD66" s="2"/>
      <c r="AE66" s="148"/>
    </row>
    <row r="67" spans="15:31" x14ac:dyDescent="0.25">
      <c r="W67" s="143">
        <v>42342</v>
      </c>
      <c r="X67" s="12">
        <v>133.58000000000001</v>
      </c>
      <c r="Y67" s="12">
        <v>137.15</v>
      </c>
      <c r="Z67" s="12">
        <v>133.38</v>
      </c>
      <c r="AA67" s="12">
        <v>137.07</v>
      </c>
      <c r="AB67" s="105">
        <v>1877900</v>
      </c>
      <c r="AC67" s="12">
        <v>136.91999999999999</v>
      </c>
      <c r="AD67" s="2"/>
      <c r="AE67" s="148"/>
    </row>
    <row r="68" spans="15:31" x14ac:dyDescent="0.25">
      <c r="W68" s="143">
        <v>42341</v>
      </c>
      <c r="X68" s="12">
        <v>136.74</v>
      </c>
      <c r="Y68" s="12">
        <v>137.62</v>
      </c>
      <c r="Z68" s="12">
        <v>131.78</v>
      </c>
      <c r="AA68" s="12">
        <v>132.57</v>
      </c>
      <c r="AB68" s="105">
        <v>2367600</v>
      </c>
      <c r="AC68" s="12">
        <v>132.41999999999999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42438</v>
      </c>
      <c r="X2" s="12">
        <v>30.78</v>
      </c>
      <c r="Y2" s="12">
        <v>30.95</v>
      </c>
      <c r="Z2" s="12">
        <v>30.26</v>
      </c>
      <c r="AA2" s="12">
        <v>30.45</v>
      </c>
      <c r="AB2" s="105">
        <v>754300</v>
      </c>
      <c r="AC2" s="12">
        <v>30.45</v>
      </c>
      <c r="AD2" s="2">
        <f>Y2-Z2</f>
        <v>0.68999999999999773</v>
      </c>
      <c r="AE2" s="148">
        <f>AC2/AC3-1</f>
        <v>-6.525285481239762E-3</v>
      </c>
      <c r="AP2" t="s">
        <v>191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30.45</v>
      </c>
      <c r="W3" s="143">
        <v>42437</v>
      </c>
      <c r="X3" s="12">
        <v>31.63</v>
      </c>
      <c r="Y3" s="12">
        <v>31.75</v>
      </c>
      <c r="Z3" s="12">
        <v>30.58</v>
      </c>
      <c r="AA3" s="12">
        <v>30.65</v>
      </c>
      <c r="AB3" s="105">
        <v>800700</v>
      </c>
      <c r="AC3" s="12">
        <v>30.65</v>
      </c>
      <c r="AD3" s="2">
        <f t="shared" ref="AD3:AD66" si="1">Y3-Z3</f>
        <v>1.1700000000000017</v>
      </c>
      <c r="AE3" s="148">
        <f t="shared" ref="AE3:AE66" si="2">AC3/AC4-1</f>
        <v>-4.3980037429819152E-2</v>
      </c>
      <c r="AI3" t="s">
        <v>238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30.45</v>
      </c>
      <c r="W4" s="143">
        <v>42436</v>
      </c>
      <c r="X4" s="12">
        <v>31.6</v>
      </c>
      <c r="Y4" s="12">
        <v>32.31</v>
      </c>
      <c r="Z4" s="12">
        <v>31.6</v>
      </c>
      <c r="AA4" s="12">
        <v>32.06</v>
      </c>
      <c r="AB4" s="105">
        <v>988200</v>
      </c>
      <c r="AC4" s="12">
        <v>32.06</v>
      </c>
      <c r="AD4" s="2">
        <f t="shared" si="1"/>
        <v>0.71000000000000085</v>
      </c>
      <c r="AE4" s="148">
        <f t="shared" si="2"/>
        <v>1.4556962025316533E-2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42433</v>
      </c>
      <c r="X5" s="12">
        <v>31.09</v>
      </c>
      <c r="Y5" s="12">
        <v>32.21</v>
      </c>
      <c r="Z5" s="12">
        <v>30.88</v>
      </c>
      <c r="AA5" s="12">
        <v>31.6</v>
      </c>
      <c r="AB5" s="105">
        <v>2331400</v>
      </c>
      <c r="AC5" s="12">
        <v>31.6</v>
      </c>
      <c r="AD5" s="2">
        <f t="shared" si="1"/>
        <v>1.3300000000000018</v>
      </c>
      <c r="AE5" s="148">
        <f t="shared" si="2"/>
        <v>2.3316062176165886E-2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42432</v>
      </c>
      <c r="X6" s="12">
        <v>30.86</v>
      </c>
      <c r="Y6" s="12">
        <v>31.14</v>
      </c>
      <c r="Z6" s="12">
        <v>30.58</v>
      </c>
      <c r="AA6" s="12">
        <v>30.88</v>
      </c>
      <c r="AB6" s="105">
        <v>890800</v>
      </c>
      <c r="AC6" s="12">
        <v>30.88</v>
      </c>
      <c r="AD6" s="2">
        <f t="shared" si="1"/>
        <v>0.56000000000000227</v>
      </c>
      <c r="AE6" s="148">
        <f t="shared" si="2"/>
        <v>1.6217969510217145E-3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42431</v>
      </c>
      <c r="X7" s="12">
        <v>30.81</v>
      </c>
      <c r="Y7" s="12">
        <v>31.19</v>
      </c>
      <c r="Z7" s="12">
        <v>30.17</v>
      </c>
      <c r="AA7" s="12">
        <v>30.83</v>
      </c>
      <c r="AB7" s="105">
        <v>1635800</v>
      </c>
      <c r="AC7" s="12">
        <v>30.83</v>
      </c>
      <c r="AD7" s="2">
        <f t="shared" si="1"/>
        <v>1.0199999999999996</v>
      </c>
      <c r="AE7" s="148">
        <f t="shared" si="2"/>
        <v>-1.9423761735190004E-3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42430</v>
      </c>
      <c r="X8" s="12">
        <v>30.2</v>
      </c>
      <c r="Y8" s="12">
        <v>31.09</v>
      </c>
      <c r="Z8" s="12">
        <v>29.82</v>
      </c>
      <c r="AA8" s="12">
        <v>30.89</v>
      </c>
      <c r="AB8" s="105">
        <v>1044800</v>
      </c>
      <c r="AC8" s="12">
        <v>30.89</v>
      </c>
      <c r="AD8" s="2">
        <f t="shared" si="1"/>
        <v>1.2699999999999996</v>
      </c>
      <c r="AE8" s="148">
        <f t="shared" si="2"/>
        <v>3.5534696614146988E-2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42429</v>
      </c>
      <c r="X9" s="12">
        <v>30</v>
      </c>
      <c r="Y9" s="12">
        <v>30.17</v>
      </c>
      <c r="Z9" s="12">
        <v>29.81</v>
      </c>
      <c r="AA9" s="12">
        <v>29.83</v>
      </c>
      <c r="AB9" s="105">
        <v>617400</v>
      </c>
      <c r="AC9" s="12">
        <v>29.83</v>
      </c>
      <c r="AD9" s="2">
        <f t="shared" si="1"/>
        <v>0.36000000000000298</v>
      </c>
      <c r="AE9" s="148">
        <f t="shared" si="2"/>
        <v>3.3534540576796168E-4</v>
      </c>
    </row>
    <row r="10" spans="1:43" x14ac:dyDescent="0.25">
      <c r="W10" s="143">
        <v>42426</v>
      </c>
      <c r="X10" s="12">
        <v>30.11</v>
      </c>
      <c r="Y10" s="12">
        <v>30.13</v>
      </c>
      <c r="Z10" s="12">
        <v>29.62</v>
      </c>
      <c r="AA10" s="12">
        <v>29.82</v>
      </c>
      <c r="AB10" s="105">
        <v>616700</v>
      </c>
      <c r="AC10" s="12">
        <v>29.82</v>
      </c>
      <c r="AD10" s="2">
        <f t="shared" si="1"/>
        <v>0.50999999999999801</v>
      </c>
      <c r="AE10" s="148">
        <f t="shared" si="2"/>
        <v>1.6795431642593339E-3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42425</v>
      </c>
      <c r="X11" s="12">
        <v>30.13</v>
      </c>
      <c r="Y11" s="12">
        <v>30.31</v>
      </c>
      <c r="Z11" s="12">
        <v>29.23</v>
      </c>
      <c r="AA11" s="12">
        <v>29.77</v>
      </c>
      <c r="AB11" s="105">
        <v>996400</v>
      </c>
      <c r="AC11" s="12">
        <v>29.77</v>
      </c>
      <c r="AD11" s="2">
        <f t="shared" si="1"/>
        <v>1.0799999999999983</v>
      </c>
      <c r="AE11" s="148">
        <f t="shared" si="2"/>
        <v>-1.0305851063829752E-2</v>
      </c>
    </row>
    <row r="12" spans="1:43" x14ac:dyDescent="0.25">
      <c r="W12" s="143">
        <v>42424</v>
      </c>
      <c r="X12" s="12">
        <v>29.06</v>
      </c>
      <c r="Y12" s="12">
        <v>30.19</v>
      </c>
      <c r="Z12" s="12">
        <v>28.64</v>
      </c>
      <c r="AA12" s="12">
        <v>30.08</v>
      </c>
      <c r="AB12" s="105">
        <v>712300</v>
      </c>
      <c r="AC12" s="12">
        <v>30.08</v>
      </c>
      <c r="AD12" s="2">
        <f t="shared" si="1"/>
        <v>1.5500000000000007</v>
      </c>
      <c r="AE12" s="148">
        <f t="shared" si="2"/>
        <v>1.4160485502360043E-2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42423</v>
      </c>
      <c r="X13" s="12">
        <v>30.47</v>
      </c>
      <c r="Y13" s="12">
        <v>30.92</v>
      </c>
      <c r="Z13" s="12">
        <v>29.64</v>
      </c>
      <c r="AA13" s="12">
        <v>29.66</v>
      </c>
      <c r="AB13" s="105">
        <v>601100</v>
      </c>
      <c r="AC13" s="12">
        <v>29.66</v>
      </c>
      <c r="AD13" s="2">
        <f t="shared" si="1"/>
        <v>1.2800000000000011</v>
      </c>
      <c r="AE13" s="148">
        <f t="shared" si="2"/>
        <v>-3.3561420658194896E-2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42422</v>
      </c>
      <c r="X14" s="12">
        <v>30.59</v>
      </c>
      <c r="Y14" s="12">
        <v>31.15</v>
      </c>
      <c r="Z14" s="12">
        <v>30.42</v>
      </c>
      <c r="AA14" s="12">
        <v>30.69</v>
      </c>
      <c r="AB14" s="105">
        <v>693800</v>
      </c>
      <c r="AC14" s="12">
        <v>30.69</v>
      </c>
      <c r="AD14" s="2">
        <f t="shared" si="1"/>
        <v>0.72999999999999687</v>
      </c>
      <c r="AE14" s="148">
        <f t="shared" si="2"/>
        <v>1.8248175182481674E-2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42419</v>
      </c>
      <c r="X15" s="12">
        <v>30.23</v>
      </c>
      <c r="Y15" s="12">
        <v>30.4</v>
      </c>
      <c r="Z15" s="12">
        <v>29.57</v>
      </c>
      <c r="AA15" s="12">
        <v>30.14</v>
      </c>
      <c r="AB15" s="105">
        <v>986600</v>
      </c>
      <c r="AC15" s="12">
        <v>30.14</v>
      </c>
      <c r="AD15" s="2">
        <f t="shared" si="1"/>
        <v>0.82999999999999829</v>
      </c>
      <c r="AE15" s="148" t="e">
        <f t="shared" si="2"/>
        <v>#DIV/0!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42419</v>
      </c>
      <c r="X16" s="12" t="s">
        <v>146</v>
      </c>
      <c r="Y16" s="12"/>
      <c r="Z16" s="12"/>
      <c r="AA16" s="12"/>
      <c r="AB16" s="105"/>
      <c r="AC16" s="12"/>
      <c r="AD16" s="2">
        <f t="shared" si="1"/>
        <v>0</v>
      </c>
      <c r="AE16" s="148">
        <f t="shared" si="2"/>
        <v>-1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42418</v>
      </c>
      <c r="X17" s="12">
        <v>30.27</v>
      </c>
      <c r="Y17" s="12">
        <v>30.83</v>
      </c>
      <c r="Z17" s="12">
        <v>29.47</v>
      </c>
      <c r="AA17" s="12">
        <v>30.81</v>
      </c>
      <c r="AB17" s="105">
        <v>1507700</v>
      </c>
      <c r="AC17" s="12">
        <v>30.55</v>
      </c>
      <c r="AD17" s="2">
        <f t="shared" si="1"/>
        <v>1.3599999999999994</v>
      </c>
      <c r="AE17" s="148">
        <f t="shared" si="2"/>
        <v>3.284072249589487E-3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42417</v>
      </c>
      <c r="X18" s="12">
        <v>30.74</v>
      </c>
      <c r="Y18" s="12">
        <v>31.64</v>
      </c>
      <c r="Z18" s="12">
        <v>30.56</v>
      </c>
      <c r="AA18" s="12">
        <v>30.71</v>
      </c>
      <c r="AB18" s="105">
        <v>1467000</v>
      </c>
      <c r="AC18" s="12">
        <v>30.45</v>
      </c>
      <c r="AD18" s="2">
        <f t="shared" si="1"/>
        <v>1.0800000000000018</v>
      </c>
      <c r="AE18" s="148">
        <f t="shared" si="2"/>
        <v>1.1627906976744207E-2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42416</v>
      </c>
      <c r="X19" s="12">
        <v>30.45</v>
      </c>
      <c r="Y19" s="12">
        <v>30.77</v>
      </c>
      <c r="Z19" s="12">
        <v>29.7</v>
      </c>
      <c r="AA19" s="12">
        <v>30.36</v>
      </c>
      <c r="AB19" s="105">
        <v>1056500</v>
      </c>
      <c r="AC19" s="12">
        <v>30.1</v>
      </c>
      <c r="AD19" s="2">
        <f t="shared" si="1"/>
        <v>1.0700000000000003</v>
      </c>
      <c r="AE19" s="148">
        <f t="shared" si="2"/>
        <v>1.5519568151147078E-2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42412</v>
      </c>
      <c r="X20" s="12">
        <v>28.4</v>
      </c>
      <c r="Y20" s="12">
        <v>30.02</v>
      </c>
      <c r="Z20" s="12">
        <v>28.32</v>
      </c>
      <c r="AA20" s="12">
        <v>29.89</v>
      </c>
      <c r="AB20" s="105">
        <v>1182900</v>
      </c>
      <c r="AC20" s="12">
        <v>29.64</v>
      </c>
      <c r="AD20" s="2">
        <f t="shared" si="1"/>
        <v>1.6999999999999993</v>
      </c>
      <c r="AE20" s="148">
        <f t="shared" si="2"/>
        <v>6.3890882986360475E-2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42411</v>
      </c>
      <c r="X21" s="12">
        <v>27.75</v>
      </c>
      <c r="Y21" s="12">
        <v>28.58</v>
      </c>
      <c r="Z21" s="12">
        <v>27.63</v>
      </c>
      <c r="AA21" s="12">
        <v>28.1</v>
      </c>
      <c r="AB21" s="105">
        <v>965200</v>
      </c>
      <c r="AC21" s="12">
        <v>27.86</v>
      </c>
      <c r="AD21" s="2">
        <f t="shared" si="1"/>
        <v>0.94999999999999929</v>
      </c>
      <c r="AE21" s="148">
        <f t="shared" si="2"/>
        <v>-3.9327851269216341E-3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42410</v>
      </c>
      <c r="X22" s="12">
        <v>29</v>
      </c>
      <c r="Y22" s="12">
        <v>29.2</v>
      </c>
      <c r="Z22" s="12">
        <v>27.93</v>
      </c>
      <c r="AA22" s="12">
        <v>28.21</v>
      </c>
      <c r="AB22" s="105">
        <v>1155900</v>
      </c>
      <c r="AC22" s="12">
        <v>27.97</v>
      </c>
      <c r="AD22" s="2">
        <f t="shared" si="1"/>
        <v>1.2699999999999996</v>
      </c>
      <c r="AE22" s="148">
        <f t="shared" si="2"/>
        <v>-2.7468706536856846E-2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42409</v>
      </c>
      <c r="X23" s="12">
        <v>28.5</v>
      </c>
      <c r="Y23" s="12">
        <v>29.69</v>
      </c>
      <c r="Z23" s="12">
        <v>28.5</v>
      </c>
      <c r="AA23" s="12">
        <v>29</v>
      </c>
      <c r="AB23" s="105">
        <v>1178900</v>
      </c>
      <c r="AC23" s="12">
        <v>28.76</v>
      </c>
      <c r="AD23" s="2">
        <f t="shared" si="1"/>
        <v>1.1900000000000013</v>
      </c>
      <c r="AE23" s="148">
        <f t="shared" si="2"/>
        <v>-2.7739251040220791E-3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42408</v>
      </c>
      <c r="X24" s="12">
        <v>29.14</v>
      </c>
      <c r="Y24" s="12">
        <v>29.67</v>
      </c>
      <c r="Z24" s="12">
        <v>28.55</v>
      </c>
      <c r="AA24" s="12">
        <v>29.09</v>
      </c>
      <c r="AB24" s="105">
        <v>1122500</v>
      </c>
      <c r="AC24" s="12">
        <v>28.84</v>
      </c>
      <c r="AD24" s="2">
        <f t="shared" si="1"/>
        <v>1.120000000000001</v>
      </c>
      <c r="AE24" s="148">
        <f t="shared" si="2"/>
        <v>-1.4690809702767371E-2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42405</v>
      </c>
      <c r="X25" s="12">
        <v>29.28</v>
      </c>
      <c r="Y25" s="12">
        <v>30.26</v>
      </c>
      <c r="Z25" s="12">
        <v>29.04</v>
      </c>
      <c r="AA25" s="12">
        <v>29.52</v>
      </c>
      <c r="AB25" s="105">
        <v>1454100</v>
      </c>
      <c r="AC25" s="12">
        <v>29.27</v>
      </c>
      <c r="AD25" s="2">
        <f t="shared" si="1"/>
        <v>1.2200000000000024</v>
      </c>
      <c r="AE25" s="148">
        <f t="shared" si="2"/>
        <v>6.8799449604401985E-3</v>
      </c>
    </row>
    <row r="26" spans="2:31" x14ac:dyDescent="0.25">
      <c r="W26" s="143">
        <v>42404</v>
      </c>
      <c r="X26" s="12">
        <v>27.93</v>
      </c>
      <c r="Y26" s="12">
        <v>30.13</v>
      </c>
      <c r="Z26" s="12">
        <v>27.68</v>
      </c>
      <c r="AA26" s="12">
        <v>29.32</v>
      </c>
      <c r="AB26" s="105">
        <v>2103000</v>
      </c>
      <c r="AC26" s="12">
        <v>29.07</v>
      </c>
      <c r="AD26" s="2">
        <f t="shared" si="1"/>
        <v>2.4499999999999993</v>
      </c>
      <c r="AE26" s="148">
        <f t="shared" si="2"/>
        <v>4.643628509719222E-2</v>
      </c>
    </row>
    <row r="27" spans="2:31" x14ac:dyDescent="0.25">
      <c r="W27" s="143">
        <v>42403</v>
      </c>
      <c r="X27" s="12">
        <v>26.42</v>
      </c>
      <c r="Y27" s="12">
        <v>28.06</v>
      </c>
      <c r="Z27" s="12">
        <v>25.58</v>
      </c>
      <c r="AA27" s="12">
        <v>28.02</v>
      </c>
      <c r="AB27" s="105">
        <v>1776600</v>
      </c>
      <c r="AC27" s="12">
        <v>27.78</v>
      </c>
      <c r="AD27" s="2">
        <f t="shared" si="1"/>
        <v>2.4800000000000004</v>
      </c>
      <c r="AE27" s="148">
        <f t="shared" si="2"/>
        <v>9.8457888493475698E-2</v>
      </c>
    </row>
    <row r="28" spans="2:31" x14ac:dyDescent="0.25">
      <c r="W28" s="143">
        <v>42402</v>
      </c>
      <c r="X28" s="12">
        <v>25.66</v>
      </c>
      <c r="Y28" s="12">
        <v>25.73</v>
      </c>
      <c r="Z28" s="12">
        <v>25.12</v>
      </c>
      <c r="AA28" s="12">
        <v>25.51</v>
      </c>
      <c r="AB28" s="105">
        <v>1467900</v>
      </c>
      <c r="AC28" s="12">
        <v>25.29</v>
      </c>
      <c r="AD28" s="2">
        <f t="shared" si="1"/>
        <v>0.60999999999999943</v>
      </c>
      <c r="AE28" s="148">
        <f t="shared" si="2"/>
        <v>-2.4681835711531042E-2</v>
      </c>
    </row>
    <row r="29" spans="2:31" x14ac:dyDescent="0.25">
      <c r="W29" s="143">
        <v>42401</v>
      </c>
      <c r="X29" s="12">
        <v>26.08</v>
      </c>
      <c r="Y29" s="12">
        <v>26.31</v>
      </c>
      <c r="Z29" s="12">
        <v>25.58</v>
      </c>
      <c r="AA29" s="12">
        <v>26.15</v>
      </c>
      <c r="AB29" s="105">
        <v>837200</v>
      </c>
      <c r="AC29" s="12">
        <v>25.93</v>
      </c>
      <c r="AD29" s="2">
        <f t="shared" si="1"/>
        <v>0.73000000000000043</v>
      </c>
      <c r="AE29" s="148">
        <f t="shared" si="2"/>
        <v>-1.519179642992774E-2</v>
      </c>
    </row>
    <row r="30" spans="2:31" x14ac:dyDescent="0.25">
      <c r="W30" s="143">
        <v>42398</v>
      </c>
      <c r="X30" s="12">
        <v>25.49</v>
      </c>
      <c r="Y30" s="12">
        <v>26.56</v>
      </c>
      <c r="Z30" s="12">
        <v>25.49</v>
      </c>
      <c r="AA30" s="12">
        <v>26.55</v>
      </c>
      <c r="AB30" s="105">
        <v>1098700</v>
      </c>
      <c r="AC30" s="12">
        <v>26.33</v>
      </c>
      <c r="AD30" s="2">
        <f t="shared" si="1"/>
        <v>1.0700000000000003</v>
      </c>
      <c r="AE30" s="148">
        <f t="shared" si="2"/>
        <v>4.4841269841269904E-2</v>
      </c>
    </row>
    <row r="31" spans="2:31" x14ac:dyDescent="0.25">
      <c r="W31" s="143">
        <v>42397</v>
      </c>
      <c r="X31" s="12">
        <v>25.45</v>
      </c>
      <c r="Y31" s="12">
        <v>25.86</v>
      </c>
      <c r="Z31" s="12">
        <v>24.98</v>
      </c>
      <c r="AA31" s="12">
        <v>25.41</v>
      </c>
      <c r="AB31" s="105">
        <v>885700</v>
      </c>
      <c r="AC31" s="12">
        <v>25.2</v>
      </c>
      <c r="AD31" s="2">
        <f t="shared" si="1"/>
        <v>0.87999999999999901</v>
      </c>
      <c r="AE31" s="148">
        <f t="shared" si="2"/>
        <v>1.0425020048115297E-2</v>
      </c>
    </row>
    <row r="32" spans="2:31" x14ac:dyDescent="0.25">
      <c r="W32" s="143">
        <v>42396</v>
      </c>
      <c r="X32" s="12">
        <v>24.89</v>
      </c>
      <c r="Y32" s="12">
        <v>25.66</v>
      </c>
      <c r="Z32" s="12">
        <v>24.82</v>
      </c>
      <c r="AA32" s="12">
        <v>25.15</v>
      </c>
      <c r="AB32" s="105">
        <v>766500</v>
      </c>
      <c r="AC32" s="12">
        <v>24.94</v>
      </c>
      <c r="AD32" s="2">
        <f t="shared" si="1"/>
        <v>0.83999999999999986</v>
      </c>
      <c r="AE32" s="148">
        <f t="shared" si="2"/>
        <v>5.6451612903225534E-3</v>
      </c>
    </row>
    <row r="33" spans="15:31" x14ac:dyDescent="0.25">
      <c r="W33" s="143">
        <v>42395</v>
      </c>
      <c r="X33" s="12">
        <v>23.83</v>
      </c>
      <c r="Y33" s="12">
        <v>25.1</v>
      </c>
      <c r="Z33" s="12">
        <v>23.59</v>
      </c>
      <c r="AA33" s="12">
        <v>25.01</v>
      </c>
      <c r="AB33" s="105">
        <v>1276500</v>
      </c>
      <c r="AC33" s="12">
        <v>24.8</v>
      </c>
      <c r="AD33" s="2">
        <f t="shared" si="1"/>
        <v>1.5100000000000016</v>
      </c>
      <c r="AE33" s="148">
        <f t="shared" si="2"/>
        <v>5.7569296375266532E-2</v>
      </c>
    </row>
    <row r="34" spans="15:31" x14ac:dyDescent="0.25">
      <c r="W34" s="143">
        <v>42394</v>
      </c>
      <c r="X34" s="12">
        <v>24.1</v>
      </c>
      <c r="Y34" s="12">
        <v>24.33</v>
      </c>
      <c r="Z34" s="12">
        <v>23.57</v>
      </c>
      <c r="AA34" s="12">
        <v>23.65</v>
      </c>
      <c r="AB34" s="105">
        <v>543000</v>
      </c>
      <c r="AC34" s="12">
        <v>23.45</v>
      </c>
      <c r="AD34" s="2">
        <f t="shared" si="1"/>
        <v>0.75999999999999801</v>
      </c>
      <c r="AE34" s="148">
        <f t="shared" si="2"/>
        <v>-2.5353283458021569E-2</v>
      </c>
    </row>
    <row r="35" spans="15:31" x14ac:dyDescent="0.25">
      <c r="W35" s="143">
        <v>42391</v>
      </c>
      <c r="X35" s="12">
        <v>24.02</v>
      </c>
      <c r="Y35" s="12">
        <v>24.81</v>
      </c>
      <c r="Z35" s="12">
        <v>23.86</v>
      </c>
      <c r="AA35" s="12">
        <v>24.26</v>
      </c>
      <c r="AB35" s="105">
        <v>789700</v>
      </c>
      <c r="AC35" s="12">
        <v>24.06</v>
      </c>
      <c r="AD35" s="2">
        <f t="shared" si="1"/>
        <v>0.94999999999999929</v>
      </c>
      <c r="AE35" s="148">
        <f t="shared" si="2"/>
        <v>3.040685224839379E-2</v>
      </c>
    </row>
    <row r="36" spans="15:31" x14ac:dyDescent="0.25">
      <c r="W36" s="143">
        <v>42390</v>
      </c>
      <c r="X36" s="12">
        <v>23.45</v>
      </c>
      <c r="Y36" s="12">
        <v>24.01</v>
      </c>
      <c r="Z36" s="12">
        <v>23.14</v>
      </c>
      <c r="AA36" s="12">
        <v>23.55</v>
      </c>
      <c r="AB36" s="105">
        <v>709400</v>
      </c>
      <c r="AC36" s="12">
        <v>23.35</v>
      </c>
      <c r="AD36" s="2">
        <f t="shared" si="1"/>
        <v>0.87000000000000099</v>
      </c>
      <c r="AE36" s="148">
        <f t="shared" si="2"/>
        <v>6.0318828091339149E-3</v>
      </c>
    </row>
    <row r="37" spans="15:31" x14ac:dyDescent="0.25">
      <c r="W37" s="143">
        <v>42389</v>
      </c>
      <c r="X37" s="12">
        <v>22.69</v>
      </c>
      <c r="Y37" s="12">
        <v>23.62</v>
      </c>
      <c r="Z37" s="12">
        <v>22.22</v>
      </c>
      <c r="AA37" s="12">
        <v>23.41</v>
      </c>
      <c r="AB37" s="105">
        <v>1558900</v>
      </c>
      <c r="AC37" s="12">
        <v>23.21</v>
      </c>
      <c r="AD37" s="2">
        <f t="shared" si="1"/>
        <v>1.4000000000000021</v>
      </c>
      <c r="AE37" s="148">
        <f t="shared" si="2"/>
        <v>-3.8626609442059534E-3</v>
      </c>
    </row>
    <row r="38" spans="15:31" x14ac:dyDescent="0.25">
      <c r="W38" s="143">
        <v>42388</v>
      </c>
      <c r="X38" s="12">
        <v>24.37</v>
      </c>
      <c r="Y38" s="12">
        <v>24.7</v>
      </c>
      <c r="Z38" s="12">
        <v>23.22</v>
      </c>
      <c r="AA38" s="12">
        <v>23.5</v>
      </c>
      <c r="AB38" s="105">
        <v>991800</v>
      </c>
      <c r="AC38" s="12">
        <v>23.3</v>
      </c>
      <c r="AD38" s="2">
        <f t="shared" si="1"/>
        <v>1.4800000000000004</v>
      </c>
      <c r="AE38" s="148">
        <f t="shared" si="2"/>
        <v>-4.1546688605512028E-2</v>
      </c>
    </row>
    <row r="39" spans="15:31" x14ac:dyDescent="0.25">
      <c r="W39" s="143">
        <v>42384</v>
      </c>
      <c r="X39" s="12">
        <v>24.08</v>
      </c>
      <c r="Y39" s="12">
        <v>24.65</v>
      </c>
      <c r="Z39" s="12">
        <v>23.7</v>
      </c>
      <c r="AA39" s="12">
        <v>24.52</v>
      </c>
      <c r="AB39" s="105">
        <v>646200</v>
      </c>
      <c r="AC39" s="12">
        <v>24.31</v>
      </c>
      <c r="AD39" s="2">
        <f t="shared" si="1"/>
        <v>0.94999999999999929</v>
      </c>
      <c r="AE39" s="148">
        <f t="shared" si="2"/>
        <v>-1.0984540276647636E-2</v>
      </c>
    </row>
    <row r="40" spans="15:31" x14ac:dyDescent="0.25">
      <c r="W40" s="143">
        <v>42383</v>
      </c>
      <c r="X40" s="12">
        <v>24.99</v>
      </c>
      <c r="Y40" s="12">
        <v>25.05</v>
      </c>
      <c r="Z40" s="12">
        <v>24.18</v>
      </c>
      <c r="AA40" s="12">
        <v>24.79</v>
      </c>
      <c r="AB40" s="105">
        <v>976200</v>
      </c>
      <c r="AC40" s="12">
        <v>24.58</v>
      </c>
      <c r="AD40" s="2">
        <f t="shared" si="1"/>
        <v>0.87000000000000099</v>
      </c>
      <c r="AE40" s="148">
        <f t="shared" si="2"/>
        <v>0</v>
      </c>
    </row>
    <row r="41" spans="15:31" x14ac:dyDescent="0.25">
      <c r="W41" s="143">
        <v>42382</v>
      </c>
      <c r="X41" s="12">
        <v>25.66</v>
      </c>
      <c r="Y41" s="12">
        <v>25.81</v>
      </c>
      <c r="Z41" s="12">
        <v>24.76</v>
      </c>
      <c r="AA41" s="12">
        <v>24.79</v>
      </c>
      <c r="AB41" s="105">
        <v>859500</v>
      </c>
      <c r="AC41" s="12">
        <v>24.58</v>
      </c>
      <c r="AD41" s="2">
        <f t="shared" si="1"/>
        <v>1.0499999999999972</v>
      </c>
      <c r="AE41" s="148">
        <f t="shared" si="2"/>
        <v>-2.7689873417721667E-2</v>
      </c>
    </row>
    <row r="42" spans="15:31" x14ac:dyDescent="0.25">
      <c r="W42" s="143">
        <v>42381</v>
      </c>
      <c r="X42" s="12">
        <v>25.6</v>
      </c>
      <c r="Y42" s="12">
        <v>25.73</v>
      </c>
      <c r="Z42" s="12">
        <v>24.76</v>
      </c>
      <c r="AA42" s="12">
        <v>25.5</v>
      </c>
      <c r="AB42" s="105">
        <v>915700</v>
      </c>
      <c r="AC42" s="12">
        <v>25.28</v>
      </c>
      <c r="AD42" s="2">
        <f t="shared" si="1"/>
        <v>0.96999999999999886</v>
      </c>
      <c r="AE42" s="148">
        <f t="shared" si="2"/>
        <v>6.7702110712863917E-3</v>
      </c>
    </row>
    <row r="43" spans="15:31" x14ac:dyDescent="0.25">
      <c r="W43" s="143">
        <v>42380</v>
      </c>
      <c r="X43" s="12">
        <v>25.91</v>
      </c>
      <c r="Y43" s="12">
        <v>26</v>
      </c>
      <c r="Z43" s="12">
        <v>25.06</v>
      </c>
      <c r="AA43" s="12">
        <v>25.32</v>
      </c>
      <c r="AB43" s="105">
        <v>1038700</v>
      </c>
      <c r="AC43" s="12">
        <v>25.11</v>
      </c>
      <c r="AD43" s="2">
        <f t="shared" si="1"/>
        <v>0.94000000000000128</v>
      </c>
      <c r="AE43" s="148">
        <f t="shared" si="2"/>
        <v>-1.6065830721003094E-2</v>
      </c>
    </row>
    <row r="44" spans="15:31" x14ac:dyDescent="0.25">
      <c r="W44" s="143">
        <v>42377</v>
      </c>
      <c r="X44" s="12">
        <v>26.88</v>
      </c>
      <c r="Y44" s="12">
        <v>27.09</v>
      </c>
      <c r="Z44" s="12">
        <v>25.69</v>
      </c>
      <c r="AA44" s="12">
        <v>25.74</v>
      </c>
      <c r="AB44" s="105">
        <v>1321500</v>
      </c>
      <c r="AC44" s="12">
        <v>25.52</v>
      </c>
      <c r="AD44" s="2">
        <f t="shared" si="1"/>
        <v>1.3999999999999986</v>
      </c>
      <c r="AE44" s="148">
        <f t="shared" si="2"/>
        <v>-3.5889686437476365E-2</v>
      </c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42376</v>
      </c>
      <c r="X45" s="12">
        <v>27.09</v>
      </c>
      <c r="Y45" s="12">
        <v>27.3</v>
      </c>
      <c r="Z45" s="12">
        <v>26.61</v>
      </c>
      <c r="AA45" s="12">
        <v>26.7</v>
      </c>
      <c r="AB45" s="105">
        <v>1566300</v>
      </c>
      <c r="AC45" s="12">
        <v>26.47</v>
      </c>
      <c r="AD45" s="2">
        <f t="shared" si="1"/>
        <v>0.69000000000000128</v>
      </c>
      <c r="AE45" s="148">
        <f t="shared" si="2"/>
        <v>-2.7910392948953366E-2</v>
      </c>
    </row>
    <row r="46" spans="15:31" ht="15.75" thickTop="1" x14ac:dyDescent="0.25">
      <c r="O46" s="93">
        <v>1.1000000000000001</v>
      </c>
      <c r="P46" s="93">
        <f>O46*$Q$4</f>
        <v>33.495000000000005</v>
      </c>
      <c r="Q46" s="2"/>
      <c r="T46" s="204" t="s">
        <v>101</v>
      </c>
      <c r="U46" s="204">
        <v>30.65</v>
      </c>
      <c r="W46" s="143">
        <v>42375</v>
      </c>
      <c r="X46" s="12">
        <v>27.11</v>
      </c>
      <c r="Y46" s="12">
        <v>27.64</v>
      </c>
      <c r="Z46" s="12">
        <v>27.06</v>
      </c>
      <c r="AA46" s="12">
        <v>27.46</v>
      </c>
      <c r="AB46" s="105">
        <v>933700</v>
      </c>
      <c r="AC46" s="12">
        <v>27.23</v>
      </c>
      <c r="AD46" s="2">
        <f t="shared" si="1"/>
        <v>0.58000000000000185</v>
      </c>
      <c r="AE46" s="148">
        <f t="shared" si="2"/>
        <v>-1.3048205871692642E-2</v>
      </c>
    </row>
    <row r="47" spans="15:31" x14ac:dyDescent="0.25">
      <c r="O47" s="93">
        <v>1.0900000000000001</v>
      </c>
      <c r="P47" s="93">
        <f t="shared" ref="P47:P66" si="5">O47*$Q$4</f>
        <v>33.1905</v>
      </c>
      <c r="Q47" s="2"/>
      <c r="T47" s="204" t="s">
        <v>102</v>
      </c>
      <c r="U47" s="204">
        <v>30.78</v>
      </c>
      <c r="W47" s="143">
        <v>42374</v>
      </c>
      <c r="X47" s="12">
        <v>28.33</v>
      </c>
      <c r="Y47" s="12">
        <v>28.43</v>
      </c>
      <c r="Z47" s="12">
        <v>27.51</v>
      </c>
      <c r="AA47" s="12">
        <v>27.82</v>
      </c>
      <c r="AB47" s="105">
        <v>554900</v>
      </c>
      <c r="AC47" s="12">
        <v>27.59</v>
      </c>
      <c r="AD47" s="2">
        <f t="shared" si="1"/>
        <v>0.91999999999999815</v>
      </c>
      <c r="AE47" s="148">
        <f t="shared" si="2"/>
        <v>-1.7799928800284803E-2</v>
      </c>
    </row>
    <row r="48" spans="15:31" x14ac:dyDescent="0.25">
      <c r="O48" s="93">
        <v>1.08</v>
      </c>
      <c r="P48" s="93">
        <f t="shared" si="5"/>
        <v>32.886000000000003</v>
      </c>
      <c r="Q48" s="2"/>
      <c r="T48" s="204" t="s">
        <v>103</v>
      </c>
      <c r="U48" s="204" t="s">
        <v>429</v>
      </c>
      <c r="W48" s="143">
        <v>42373</v>
      </c>
      <c r="X48" s="12">
        <v>27.94</v>
      </c>
      <c r="Y48" s="12">
        <v>28.36</v>
      </c>
      <c r="Z48" s="12">
        <v>27.74</v>
      </c>
      <c r="AA48" s="12">
        <v>28.33</v>
      </c>
      <c r="AB48" s="105">
        <v>691300</v>
      </c>
      <c r="AC48" s="12">
        <v>28.09</v>
      </c>
      <c r="AD48" s="2">
        <f t="shared" si="1"/>
        <v>0.62000000000000099</v>
      </c>
      <c r="AE48" s="148">
        <f t="shared" si="2"/>
        <v>-9.1710758377425705E-3</v>
      </c>
    </row>
    <row r="49" spans="15:31" x14ac:dyDescent="0.25">
      <c r="O49" s="93">
        <v>1.07</v>
      </c>
      <c r="P49" s="93">
        <f t="shared" si="5"/>
        <v>32.581499999999998</v>
      </c>
      <c r="Q49" s="2"/>
      <c r="T49" s="204" t="s">
        <v>104</v>
      </c>
      <c r="U49" s="204" t="s">
        <v>430</v>
      </c>
      <c r="W49" s="143">
        <v>42369</v>
      </c>
      <c r="X49" s="12">
        <v>28.55</v>
      </c>
      <c r="Y49" s="12">
        <v>28.95</v>
      </c>
      <c r="Z49" s="12">
        <v>28.41</v>
      </c>
      <c r="AA49" s="12">
        <v>28.59</v>
      </c>
      <c r="AB49" s="105">
        <v>655500</v>
      </c>
      <c r="AC49" s="12">
        <v>28.35</v>
      </c>
      <c r="AD49" s="2">
        <f t="shared" si="1"/>
        <v>0.53999999999999915</v>
      </c>
      <c r="AE49" s="148">
        <f t="shared" si="2"/>
        <v>-2.4630541871921707E-3</v>
      </c>
    </row>
    <row r="50" spans="15:31" x14ac:dyDescent="0.25">
      <c r="O50" s="93">
        <v>1.06</v>
      </c>
      <c r="P50" s="93">
        <f t="shared" si="5"/>
        <v>32.277000000000001</v>
      </c>
      <c r="Q50" s="2"/>
      <c r="T50" s="204" t="s">
        <v>105</v>
      </c>
      <c r="U50" s="204">
        <v>31.14</v>
      </c>
      <c r="W50" s="143">
        <v>42368</v>
      </c>
      <c r="X50" s="12">
        <v>28.5</v>
      </c>
      <c r="Y50" s="12">
        <v>28.9</v>
      </c>
      <c r="Z50" s="12">
        <v>28.47</v>
      </c>
      <c r="AA50" s="12">
        <v>28.66</v>
      </c>
      <c r="AB50" s="105">
        <v>457700</v>
      </c>
      <c r="AC50" s="12">
        <v>28.42</v>
      </c>
      <c r="AD50" s="2">
        <f t="shared" si="1"/>
        <v>0.42999999999999972</v>
      </c>
      <c r="AE50" s="148">
        <f t="shared" si="2"/>
        <v>1.7624250969334732E-3</v>
      </c>
    </row>
    <row r="51" spans="15:31" x14ac:dyDescent="0.25">
      <c r="O51" s="93">
        <v>1.05</v>
      </c>
      <c r="P51" s="93">
        <f t="shared" si="5"/>
        <v>31.9725</v>
      </c>
      <c r="Q51" s="2"/>
      <c r="T51" s="204" t="s">
        <v>106</v>
      </c>
      <c r="U51" s="204">
        <v>1.28583</v>
      </c>
      <c r="W51" s="143">
        <v>42367</v>
      </c>
      <c r="X51" s="12">
        <v>28.66</v>
      </c>
      <c r="Y51" s="12">
        <v>28.85</v>
      </c>
      <c r="Z51" s="12">
        <v>28.27</v>
      </c>
      <c r="AA51" s="12">
        <v>28.61</v>
      </c>
      <c r="AB51" s="105">
        <v>493600</v>
      </c>
      <c r="AC51" s="12">
        <v>28.37</v>
      </c>
      <c r="AD51" s="2">
        <f t="shared" si="1"/>
        <v>0.58000000000000185</v>
      </c>
      <c r="AE51" s="148">
        <f t="shared" si="2"/>
        <v>5.6717476072314366E-3</v>
      </c>
    </row>
    <row r="52" spans="15:31" x14ac:dyDescent="0.25">
      <c r="O52" s="93">
        <v>1.04</v>
      </c>
      <c r="P52" s="93">
        <f t="shared" si="5"/>
        <v>31.667999999999999</v>
      </c>
      <c r="Q52" s="2"/>
      <c r="T52" s="204" t="s">
        <v>126</v>
      </c>
      <c r="U52" s="204" t="s">
        <v>259</v>
      </c>
      <c r="W52" s="143">
        <v>42366</v>
      </c>
      <c r="X52" s="12">
        <v>28.81</v>
      </c>
      <c r="Y52" s="12">
        <v>28.94</v>
      </c>
      <c r="Z52" s="12">
        <v>28.29</v>
      </c>
      <c r="AA52" s="12">
        <v>28.45</v>
      </c>
      <c r="AB52" s="105">
        <v>486700</v>
      </c>
      <c r="AC52" s="12">
        <v>28.21</v>
      </c>
      <c r="AD52" s="2">
        <f t="shared" si="1"/>
        <v>0.65000000000000213</v>
      </c>
      <c r="AE52" s="148">
        <f t="shared" si="2"/>
        <v>-1.8441196938065341E-2</v>
      </c>
    </row>
    <row r="53" spans="15:31" x14ac:dyDescent="0.25">
      <c r="O53" s="93">
        <v>1.03</v>
      </c>
      <c r="P53" s="93">
        <f t="shared" si="5"/>
        <v>31.363499999999998</v>
      </c>
      <c r="Q53" s="2"/>
      <c r="T53" s="204"/>
      <c r="U53" s="204"/>
      <c r="W53" s="143">
        <v>42362</v>
      </c>
      <c r="X53" s="12">
        <v>28.77</v>
      </c>
      <c r="Y53" s="12">
        <v>29.19</v>
      </c>
      <c r="Z53" s="12">
        <v>28.77</v>
      </c>
      <c r="AA53" s="12">
        <v>28.98</v>
      </c>
      <c r="AB53" s="105">
        <v>248200</v>
      </c>
      <c r="AC53" s="12">
        <v>28.74</v>
      </c>
      <c r="AD53" s="2">
        <f t="shared" si="1"/>
        <v>0.42000000000000171</v>
      </c>
      <c r="AE53" s="148">
        <f t="shared" si="2"/>
        <v>4.895104895104696E-3</v>
      </c>
    </row>
    <row r="54" spans="15:31" x14ac:dyDescent="0.25">
      <c r="O54" s="93">
        <v>1.02</v>
      </c>
      <c r="P54" s="93">
        <f t="shared" si="5"/>
        <v>31.059000000000001</v>
      </c>
      <c r="Q54" s="2"/>
      <c r="T54" s="204" t="s">
        <v>108</v>
      </c>
      <c r="U54" s="204" t="s">
        <v>431</v>
      </c>
      <c r="W54" s="143">
        <v>42361</v>
      </c>
      <c r="X54" s="12">
        <v>28.09</v>
      </c>
      <c r="Y54" s="12">
        <v>28.89</v>
      </c>
      <c r="Z54" s="12">
        <v>28.09</v>
      </c>
      <c r="AA54" s="12">
        <v>28.84</v>
      </c>
      <c r="AB54" s="105">
        <v>957600</v>
      </c>
      <c r="AC54" s="12">
        <v>28.6</v>
      </c>
      <c r="AD54" s="2">
        <f t="shared" si="1"/>
        <v>0.80000000000000071</v>
      </c>
      <c r="AE54" s="148">
        <f t="shared" si="2"/>
        <v>3.3984092552422407E-2</v>
      </c>
    </row>
    <row r="55" spans="15:31" x14ac:dyDescent="0.25">
      <c r="O55" s="93">
        <v>1.01</v>
      </c>
      <c r="P55" s="93">
        <f t="shared" si="5"/>
        <v>30.7545</v>
      </c>
      <c r="Q55" s="2"/>
      <c r="T55" s="204" t="s">
        <v>109</v>
      </c>
      <c r="U55" s="204" t="s">
        <v>298</v>
      </c>
      <c r="W55" s="143">
        <v>42360</v>
      </c>
      <c r="X55" s="12">
        <v>27.45</v>
      </c>
      <c r="Y55" s="12">
        <v>28.2</v>
      </c>
      <c r="Z55" s="12">
        <v>27.42</v>
      </c>
      <c r="AA55" s="12">
        <v>27.9</v>
      </c>
      <c r="AB55" s="105">
        <v>810500</v>
      </c>
      <c r="AC55" s="12">
        <v>27.66</v>
      </c>
      <c r="AD55" s="2">
        <f t="shared" si="1"/>
        <v>0.77999999999999758</v>
      </c>
      <c r="AE55" s="148">
        <f t="shared" si="2"/>
        <v>1.915991156963881E-2</v>
      </c>
    </row>
    <row r="56" spans="15:31" x14ac:dyDescent="0.25">
      <c r="O56" s="93">
        <v>1</v>
      </c>
      <c r="P56" s="93">
        <f t="shared" si="5"/>
        <v>30.45</v>
      </c>
      <c r="Q56" s="2"/>
      <c r="T56" s="204" t="s">
        <v>110</v>
      </c>
      <c r="U56" s="205">
        <v>754388</v>
      </c>
      <c r="W56" s="143">
        <v>42359</v>
      </c>
      <c r="X56" s="12">
        <v>27.25</v>
      </c>
      <c r="Y56" s="12">
        <v>27.49</v>
      </c>
      <c r="Z56" s="12">
        <v>27.06</v>
      </c>
      <c r="AA56" s="12">
        <v>27.37</v>
      </c>
      <c r="AB56" s="105">
        <v>572900</v>
      </c>
      <c r="AC56" s="12">
        <v>27.14</v>
      </c>
      <c r="AD56" s="2">
        <f t="shared" si="1"/>
        <v>0.42999999999999972</v>
      </c>
      <c r="AE56" s="148">
        <f t="shared" si="2"/>
        <v>1.0800744878957103E-2</v>
      </c>
    </row>
    <row r="57" spans="15:31" x14ac:dyDescent="0.25">
      <c r="O57" s="93">
        <v>0.99</v>
      </c>
      <c r="P57" s="93">
        <f t="shared" si="5"/>
        <v>30.145499999999998</v>
      </c>
      <c r="Q57" s="2"/>
      <c r="T57" s="204" t="s">
        <v>113</v>
      </c>
      <c r="U57" s="205">
        <v>980530</v>
      </c>
      <c r="W57" s="143">
        <v>42356</v>
      </c>
      <c r="X57" s="12">
        <v>27.19</v>
      </c>
      <c r="Y57" s="12">
        <v>27.41</v>
      </c>
      <c r="Z57" s="12">
        <v>26.94</v>
      </c>
      <c r="AA57" s="12">
        <v>27.08</v>
      </c>
      <c r="AB57" s="105">
        <v>1035800</v>
      </c>
      <c r="AC57" s="12">
        <v>26.85</v>
      </c>
      <c r="AD57" s="2">
        <f t="shared" si="1"/>
        <v>0.46999999999999886</v>
      </c>
      <c r="AE57" s="148">
        <f t="shared" si="2"/>
        <v>-6.6592674805771024E-3</v>
      </c>
    </row>
    <row r="58" spans="15:31" x14ac:dyDescent="0.25">
      <c r="O58" s="93">
        <v>0.98</v>
      </c>
      <c r="P58" s="93">
        <f t="shared" si="5"/>
        <v>29.840999999999998</v>
      </c>
      <c r="Q58" s="2"/>
      <c r="T58" s="204" t="s">
        <v>111</v>
      </c>
      <c r="U58" s="204" t="s">
        <v>432</v>
      </c>
      <c r="W58" s="143">
        <v>42355</v>
      </c>
      <c r="X58" s="12">
        <v>28.1</v>
      </c>
      <c r="Y58" s="12">
        <v>28.12</v>
      </c>
      <c r="Z58" s="12">
        <v>27.25</v>
      </c>
      <c r="AA58" s="12">
        <v>27.26</v>
      </c>
      <c r="AB58" s="105">
        <v>928700</v>
      </c>
      <c r="AC58" s="12">
        <v>27.03</v>
      </c>
      <c r="AD58" s="2">
        <f t="shared" si="1"/>
        <v>0.87000000000000099</v>
      </c>
      <c r="AE58" s="148">
        <f t="shared" si="2"/>
        <v>-2.7347966894566311E-2</v>
      </c>
    </row>
    <row r="59" spans="15:31" x14ac:dyDescent="0.25">
      <c r="O59" s="93">
        <v>0.97</v>
      </c>
      <c r="P59" s="93">
        <f t="shared" si="5"/>
        <v>29.5365</v>
      </c>
      <c r="T59" s="204" t="s">
        <v>114</v>
      </c>
      <c r="U59" s="204" t="s">
        <v>134</v>
      </c>
      <c r="W59" s="143">
        <v>42354</v>
      </c>
      <c r="X59" s="12">
        <v>28.14</v>
      </c>
      <c r="Y59" s="12">
        <v>28.57</v>
      </c>
      <c r="Z59" s="12">
        <v>27.75</v>
      </c>
      <c r="AA59" s="12">
        <v>28.03</v>
      </c>
      <c r="AB59" s="105">
        <v>889500</v>
      </c>
      <c r="AC59" s="12">
        <v>27.79</v>
      </c>
      <c r="AD59" s="2">
        <f t="shared" si="1"/>
        <v>0.82000000000000028</v>
      </c>
      <c r="AE59" s="148">
        <f t="shared" si="2"/>
        <v>2.887044388307336E-3</v>
      </c>
    </row>
    <row r="60" spans="15:31" x14ac:dyDescent="0.25">
      <c r="O60" s="93">
        <v>0.96</v>
      </c>
      <c r="P60" s="93">
        <f t="shared" si="5"/>
        <v>29.231999999999999</v>
      </c>
      <c r="T60" s="204" t="s">
        <v>115</v>
      </c>
      <c r="U60" s="204">
        <v>-0.84</v>
      </c>
      <c r="W60" s="143">
        <v>42353</v>
      </c>
      <c r="X60" s="12">
        <v>28.58</v>
      </c>
      <c r="Y60" s="12">
        <v>28.58</v>
      </c>
      <c r="Z60" s="12">
        <v>27.75</v>
      </c>
      <c r="AA60" s="12">
        <v>27.95</v>
      </c>
      <c r="AB60" s="105">
        <v>1002000</v>
      </c>
      <c r="AC60" s="12">
        <v>27.71</v>
      </c>
      <c r="AD60" s="2">
        <f t="shared" si="1"/>
        <v>0.82999999999999829</v>
      </c>
      <c r="AE60" s="148">
        <f t="shared" si="2"/>
        <v>-1.9115044247787538E-2</v>
      </c>
    </row>
    <row r="61" spans="15:31" x14ac:dyDescent="0.25">
      <c r="O61" s="93">
        <v>0.95</v>
      </c>
      <c r="P61" s="93">
        <f t="shared" si="5"/>
        <v>28.927499999999998</v>
      </c>
      <c r="T61" s="204" t="s">
        <v>112</v>
      </c>
      <c r="U61" s="204" t="s">
        <v>325</v>
      </c>
      <c r="W61" s="143">
        <v>42352</v>
      </c>
      <c r="X61" s="12">
        <v>28.77</v>
      </c>
      <c r="Y61" s="12">
        <v>28.89</v>
      </c>
      <c r="Z61" s="12">
        <v>28.17</v>
      </c>
      <c r="AA61" s="12">
        <v>28.49</v>
      </c>
      <c r="AB61" s="105">
        <v>997700</v>
      </c>
      <c r="AC61" s="12">
        <v>28.25</v>
      </c>
      <c r="AD61" s="2">
        <f t="shared" si="1"/>
        <v>0.71999999999999886</v>
      </c>
      <c r="AE61" s="148">
        <f t="shared" si="2"/>
        <v>-1.0507880910682998E-2</v>
      </c>
    </row>
    <row r="62" spans="15:31" x14ac:dyDescent="0.25">
      <c r="O62" s="93">
        <v>0.94</v>
      </c>
      <c r="P62" s="93">
        <f t="shared" si="5"/>
        <v>28.622999999999998</v>
      </c>
      <c r="W62" s="143">
        <v>42349</v>
      </c>
      <c r="X62" s="12">
        <v>29.05</v>
      </c>
      <c r="Y62" s="12">
        <v>29.17</v>
      </c>
      <c r="Z62" s="12">
        <v>28.76</v>
      </c>
      <c r="AA62" s="12">
        <v>28.79</v>
      </c>
      <c r="AB62" s="105">
        <v>467000</v>
      </c>
      <c r="AC62" s="12">
        <v>28.55</v>
      </c>
      <c r="AD62" s="2">
        <f t="shared" si="1"/>
        <v>0.41000000000000014</v>
      </c>
      <c r="AE62" s="148">
        <f t="shared" si="2"/>
        <v>-2.3597811217510145E-2</v>
      </c>
    </row>
    <row r="63" spans="15:31" x14ac:dyDescent="0.25">
      <c r="O63" s="93">
        <v>0.93</v>
      </c>
      <c r="P63" s="93">
        <f t="shared" si="5"/>
        <v>28.3185</v>
      </c>
      <c r="W63" s="143">
        <v>42348</v>
      </c>
      <c r="X63" s="12">
        <v>29.67</v>
      </c>
      <c r="Y63" s="12">
        <v>29.97</v>
      </c>
      <c r="Z63" s="12">
        <v>29.41</v>
      </c>
      <c r="AA63" s="12">
        <v>29.49</v>
      </c>
      <c r="AB63" s="105">
        <v>730000</v>
      </c>
      <c r="AC63" s="12">
        <v>29.24</v>
      </c>
      <c r="AD63" s="2">
        <f t="shared" si="1"/>
        <v>0.55999999999999872</v>
      </c>
      <c r="AE63" s="148">
        <f t="shared" si="2"/>
        <v>-7.1307300509337868E-3</v>
      </c>
    </row>
    <row r="64" spans="15:31" x14ac:dyDescent="0.25">
      <c r="O64" s="93">
        <v>0.92</v>
      </c>
      <c r="P64" s="93">
        <f t="shared" si="5"/>
        <v>28.013999999999999</v>
      </c>
      <c r="W64" s="143">
        <v>42347</v>
      </c>
      <c r="X64" s="12">
        <v>29.56</v>
      </c>
      <c r="Y64" s="12">
        <v>30.29</v>
      </c>
      <c r="Z64" s="12">
        <v>29.45</v>
      </c>
      <c r="AA64" s="12">
        <v>29.7</v>
      </c>
      <c r="AB64" s="105">
        <v>556600</v>
      </c>
      <c r="AC64" s="12">
        <v>29.45</v>
      </c>
      <c r="AD64" s="2">
        <f t="shared" si="1"/>
        <v>0.83999999999999986</v>
      </c>
      <c r="AE64" s="148">
        <f t="shared" si="2"/>
        <v>1.7006802721089009E-3</v>
      </c>
    </row>
    <row r="65" spans="15:31" x14ac:dyDescent="0.25">
      <c r="O65" s="93">
        <v>0.91</v>
      </c>
      <c r="P65" s="93">
        <f t="shared" si="5"/>
        <v>27.709500000000002</v>
      </c>
      <c r="W65" s="143">
        <v>42346</v>
      </c>
      <c r="X65" s="12">
        <v>30.39</v>
      </c>
      <c r="Y65" s="12">
        <v>30.49</v>
      </c>
      <c r="Z65" s="12">
        <v>29.62</v>
      </c>
      <c r="AA65" s="12">
        <v>29.65</v>
      </c>
      <c r="AB65" s="105">
        <v>637500</v>
      </c>
      <c r="AC65" s="12">
        <v>29.4</v>
      </c>
      <c r="AD65" s="2">
        <f t="shared" si="1"/>
        <v>0.86999999999999744</v>
      </c>
      <c r="AE65" s="148">
        <f t="shared" si="2"/>
        <v>-3.9843239712606171E-2</v>
      </c>
    </row>
    <row r="66" spans="15:31" x14ac:dyDescent="0.25">
      <c r="O66" s="93">
        <v>0.9</v>
      </c>
      <c r="P66" s="93">
        <f t="shared" si="5"/>
        <v>27.405000000000001</v>
      </c>
      <c r="W66" s="143">
        <v>42345</v>
      </c>
      <c r="X66" s="12">
        <v>31.15</v>
      </c>
      <c r="Y66" s="12">
        <v>31.15</v>
      </c>
      <c r="Z66" s="12">
        <v>30.62</v>
      </c>
      <c r="AA66" s="12">
        <v>30.88</v>
      </c>
      <c r="AB66" s="105">
        <v>679300</v>
      </c>
      <c r="AC66" s="12">
        <v>30.62</v>
      </c>
      <c r="AD66" s="2">
        <f t="shared" si="1"/>
        <v>0.52999999999999758</v>
      </c>
      <c r="AE66" s="148">
        <f t="shared" si="2"/>
        <v>-1.448342452526552E-2</v>
      </c>
    </row>
    <row r="67" spans="15:31" x14ac:dyDescent="0.25">
      <c r="W67" s="143">
        <v>42342</v>
      </c>
      <c r="X67" s="12">
        <v>31.22</v>
      </c>
      <c r="Y67" s="12">
        <v>31.59</v>
      </c>
      <c r="Z67" s="12">
        <v>31.02</v>
      </c>
      <c r="AA67" s="12">
        <v>31.33</v>
      </c>
      <c r="AB67" s="105">
        <v>549000</v>
      </c>
      <c r="AC67" s="12">
        <v>31.07</v>
      </c>
      <c r="AD67" s="2">
        <f t="shared" ref="AD67:AD68" si="6">Y67-Z67</f>
        <v>0.57000000000000028</v>
      </c>
      <c r="AE67" s="148">
        <f t="shared" ref="AE67" si="7">AC67/AC68-1</f>
        <v>0</v>
      </c>
    </row>
    <row r="68" spans="15:31" x14ac:dyDescent="0.25">
      <c r="W68" s="143">
        <v>42341</v>
      </c>
      <c r="X68" s="12">
        <v>31.64</v>
      </c>
      <c r="Y68" s="12">
        <v>31.64</v>
      </c>
      <c r="Z68" s="12">
        <v>31.01</v>
      </c>
      <c r="AA68" s="12">
        <v>31.33</v>
      </c>
      <c r="AB68" s="105">
        <v>953300</v>
      </c>
      <c r="AC68" s="12">
        <v>31.07</v>
      </c>
      <c r="AD68" s="2">
        <f t="shared" si="6"/>
        <v>0.62999999999999901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42438</v>
      </c>
      <c r="X2" s="12">
        <v>97.32</v>
      </c>
      <c r="Y2" s="12">
        <v>97.48</v>
      </c>
      <c r="Z2" s="12">
        <v>96.4</v>
      </c>
      <c r="AA2" s="12">
        <v>96.6</v>
      </c>
      <c r="AB2" s="105">
        <v>4158900</v>
      </c>
      <c r="AC2" s="12">
        <v>96.6</v>
      </c>
      <c r="AD2" s="2">
        <f>Y2-Z2</f>
        <v>1.0799999999999983</v>
      </c>
      <c r="AE2" s="148">
        <f>AC2/AC3-1</f>
        <v>-3.0959752321982892E-3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96.6</v>
      </c>
      <c r="W3" s="143">
        <v>42437</v>
      </c>
      <c r="X3" s="12">
        <v>96.14</v>
      </c>
      <c r="Y3" s="12">
        <v>97.49</v>
      </c>
      <c r="Z3" s="12">
        <v>96.13</v>
      </c>
      <c r="AA3" s="12">
        <v>96.9</v>
      </c>
      <c r="AB3" s="105">
        <v>5341900</v>
      </c>
      <c r="AC3" s="12">
        <v>96.9</v>
      </c>
      <c r="AD3" s="2">
        <f t="shared" ref="AD3:AD66" si="0">Y3-Z3</f>
        <v>1.3599999999999994</v>
      </c>
      <c r="AE3" s="148">
        <f t="shared" ref="AE3:AE66" si="1">AC3/AC4-1</f>
        <v>-2.0635575732563805E-4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96.6</v>
      </c>
      <c r="W4" s="143">
        <v>42436</v>
      </c>
      <c r="X4" s="12">
        <v>96.55</v>
      </c>
      <c r="Y4" s="12">
        <v>97.46</v>
      </c>
      <c r="Z4" s="12">
        <v>96.05</v>
      </c>
      <c r="AA4" s="12">
        <v>96.92</v>
      </c>
      <c r="AB4" s="105">
        <v>6296100</v>
      </c>
      <c r="AC4" s="12">
        <v>96.92</v>
      </c>
      <c r="AD4" s="2">
        <f t="shared" si="0"/>
        <v>1.4099999999999966</v>
      </c>
      <c r="AE4" s="148">
        <f t="shared" si="1"/>
        <v>-8.2474226804118977E-4</v>
      </c>
    </row>
    <row r="5" spans="1:31" x14ac:dyDescent="0.25">
      <c r="O5" s="13" t="s">
        <v>67</v>
      </c>
      <c r="Q5" s="3">
        <f>Q4*Q2</f>
        <v>0</v>
      </c>
      <c r="W5" s="143">
        <v>42433</v>
      </c>
      <c r="X5" s="12">
        <v>96.17</v>
      </c>
      <c r="Y5" s="12">
        <v>97.3</v>
      </c>
      <c r="Z5" s="12">
        <v>95.78</v>
      </c>
      <c r="AA5" s="12">
        <v>97</v>
      </c>
      <c r="AB5" s="105">
        <v>4620600</v>
      </c>
      <c r="AC5" s="12">
        <v>97</v>
      </c>
      <c r="AD5" s="2">
        <f t="shared" si="0"/>
        <v>1.519999999999996</v>
      </c>
      <c r="AE5" s="148">
        <f t="shared" si="1"/>
        <v>9.2602226615337013E-3</v>
      </c>
    </row>
    <row r="6" spans="1:31" x14ac:dyDescent="0.25">
      <c r="O6" s="13" t="s">
        <v>64</v>
      </c>
      <c r="Q6" s="2">
        <f>Q3*Q2</f>
        <v>0</v>
      </c>
      <c r="W6" s="143">
        <v>42432</v>
      </c>
      <c r="X6" s="12">
        <v>95.2</v>
      </c>
      <c r="Y6" s="12">
        <v>96.15</v>
      </c>
      <c r="Z6" s="12">
        <v>95.07</v>
      </c>
      <c r="AA6" s="12">
        <v>96.11</v>
      </c>
      <c r="AB6" s="105">
        <v>4590100</v>
      </c>
      <c r="AC6" s="12">
        <v>96.11</v>
      </c>
      <c r="AD6" s="2">
        <f t="shared" si="0"/>
        <v>1.0800000000000125</v>
      </c>
      <c r="AE6" s="148">
        <f t="shared" si="1"/>
        <v>6.0713911860148517E-3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42431</v>
      </c>
      <c r="X7" s="12">
        <v>94.76</v>
      </c>
      <c r="Y7" s="12">
        <v>96</v>
      </c>
      <c r="Z7" s="12">
        <v>94.4</v>
      </c>
      <c r="AA7" s="12">
        <v>95.53</v>
      </c>
      <c r="AB7" s="105">
        <v>5419000</v>
      </c>
      <c r="AC7" s="12">
        <v>95.53</v>
      </c>
      <c r="AD7" s="2">
        <f t="shared" si="0"/>
        <v>1.5999999999999943</v>
      </c>
      <c r="AE7" s="148">
        <f t="shared" si="1"/>
        <v>5.0499736980536003E-3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42430</v>
      </c>
      <c r="X8" s="12">
        <v>92.22</v>
      </c>
      <c r="Y8" s="12">
        <v>95.05</v>
      </c>
      <c r="Z8" s="12">
        <v>92.07</v>
      </c>
      <c r="AA8" s="12">
        <v>95.05</v>
      </c>
      <c r="AB8" s="105">
        <v>12339800</v>
      </c>
      <c r="AC8" s="12">
        <v>95.05</v>
      </c>
      <c r="AD8" s="2">
        <f t="shared" si="0"/>
        <v>2.980000000000004</v>
      </c>
      <c r="AE8" s="148">
        <f t="shared" si="1"/>
        <v>-1.6249223763196152E-2</v>
      </c>
    </row>
    <row r="9" spans="1:31" x14ac:dyDescent="0.25">
      <c r="W9" s="143">
        <v>42429</v>
      </c>
      <c r="X9" s="12">
        <v>97.43</v>
      </c>
      <c r="Y9" s="12">
        <v>98.87</v>
      </c>
      <c r="Z9" s="12">
        <v>96.51</v>
      </c>
      <c r="AA9" s="12">
        <v>96.62</v>
      </c>
      <c r="AB9" s="105">
        <v>7911400</v>
      </c>
      <c r="AC9" s="12">
        <v>96.62</v>
      </c>
      <c r="AD9" s="2">
        <f t="shared" si="0"/>
        <v>2.3599999999999994</v>
      </c>
      <c r="AE9" s="148">
        <f t="shared" si="1"/>
        <v>-1.0953014638141023E-2</v>
      </c>
    </row>
    <row r="10" spans="1:31" x14ac:dyDescent="0.25">
      <c r="W10" s="143">
        <v>42426</v>
      </c>
      <c r="X10" s="12">
        <v>100.21</v>
      </c>
      <c r="Y10" s="12">
        <v>100.55</v>
      </c>
      <c r="Z10" s="12">
        <v>96.5</v>
      </c>
      <c r="AA10" s="12">
        <v>97.69</v>
      </c>
      <c r="AB10" s="105">
        <v>14653100</v>
      </c>
      <c r="AC10" s="12">
        <v>97.69</v>
      </c>
      <c r="AD10" s="2">
        <f t="shared" si="0"/>
        <v>4.0499999999999972</v>
      </c>
      <c r="AE10" s="148">
        <f t="shared" si="1"/>
        <v>-3.8747833180381441E-3</v>
      </c>
    </row>
    <row r="11" spans="1:31" x14ac:dyDescent="0.25">
      <c r="W11" s="143">
        <v>42425</v>
      </c>
      <c r="X11" s="12">
        <v>93.91</v>
      </c>
      <c r="Y11" s="12">
        <v>98.73</v>
      </c>
      <c r="Z11" s="12">
        <v>93.68</v>
      </c>
      <c r="AA11" s="12">
        <v>98.07</v>
      </c>
      <c r="AB11" s="105">
        <v>16832200</v>
      </c>
      <c r="AC11" s="12">
        <v>98.07</v>
      </c>
      <c r="AD11" s="2">
        <f t="shared" si="0"/>
        <v>5.0499999999999972</v>
      </c>
      <c r="AE11" s="148">
        <f t="shared" si="1"/>
        <v>4.7644482427090962E-2</v>
      </c>
    </row>
    <row r="12" spans="1:31" x14ac:dyDescent="0.25">
      <c r="W12" s="143">
        <v>42424</v>
      </c>
      <c r="X12" s="12">
        <v>91.11</v>
      </c>
      <c r="Y12" s="12">
        <v>94.15</v>
      </c>
      <c r="Z12" s="12">
        <v>91.11</v>
      </c>
      <c r="AA12" s="12">
        <v>93.61</v>
      </c>
      <c r="AB12" s="105">
        <v>16975100</v>
      </c>
      <c r="AC12" s="12">
        <v>93.61</v>
      </c>
      <c r="AD12" s="2">
        <f t="shared" si="0"/>
        <v>3.0400000000000063</v>
      </c>
      <c r="AE12" s="148">
        <f t="shared" si="1"/>
        <v>2.194323144104815E-2</v>
      </c>
    </row>
    <row r="13" spans="1:31" x14ac:dyDescent="0.25">
      <c r="W13" s="143">
        <v>42423</v>
      </c>
      <c r="X13" s="12">
        <v>92.23</v>
      </c>
      <c r="Y13" s="12">
        <v>92.43</v>
      </c>
      <c r="Z13" s="12">
        <v>90.49</v>
      </c>
      <c r="AA13" s="12">
        <v>91.6</v>
      </c>
      <c r="AB13" s="105">
        <v>11538700</v>
      </c>
      <c r="AC13" s="12">
        <v>91.6</v>
      </c>
      <c r="AD13" s="2">
        <f t="shared" si="0"/>
        <v>1.9400000000000119</v>
      </c>
      <c r="AE13" s="148">
        <f t="shared" si="1"/>
        <v>-8.3360398397749336E-3</v>
      </c>
    </row>
    <row r="14" spans="1:31" x14ac:dyDescent="0.25">
      <c r="W14" s="143">
        <v>42422</v>
      </c>
      <c r="X14" s="12">
        <v>89.19</v>
      </c>
      <c r="Y14" s="12">
        <v>94.91</v>
      </c>
      <c r="Z14" s="12">
        <v>88.87</v>
      </c>
      <c r="AA14" s="12">
        <v>92.37</v>
      </c>
      <c r="AB14" s="105">
        <v>21599700</v>
      </c>
      <c r="AC14" s="12">
        <v>92.37</v>
      </c>
      <c r="AD14" s="2">
        <f t="shared" si="0"/>
        <v>6.039999999999992</v>
      </c>
      <c r="AE14" s="148">
        <f t="shared" si="1"/>
        <v>4.6922815368922066E-2</v>
      </c>
    </row>
    <row r="15" spans="1:31" x14ac:dyDescent="0.25">
      <c r="W15" s="143">
        <v>42419</v>
      </c>
      <c r="X15" s="12">
        <v>88.35</v>
      </c>
      <c r="Y15" s="12">
        <v>88.99</v>
      </c>
      <c r="Z15" s="12">
        <v>87.42</v>
      </c>
      <c r="AA15" s="12">
        <v>88.23</v>
      </c>
      <c r="AB15" s="105">
        <v>10641700</v>
      </c>
      <c r="AC15" s="12">
        <v>88.23</v>
      </c>
      <c r="AD15" s="2">
        <f t="shared" si="0"/>
        <v>1.5699999999999932</v>
      </c>
      <c r="AE15" s="148">
        <f t="shared" si="1"/>
        <v>-1.4712539610682862E-3</v>
      </c>
    </row>
    <row r="16" spans="1:31" x14ac:dyDescent="0.25">
      <c r="W16" s="143">
        <v>42418</v>
      </c>
      <c r="X16" s="12">
        <v>88.55</v>
      </c>
      <c r="Y16" s="12">
        <v>89.04</v>
      </c>
      <c r="Z16" s="12">
        <v>88.16</v>
      </c>
      <c r="AA16" s="12">
        <v>88.36</v>
      </c>
      <c r="AB16" s="105">
        <v>4997700</v>
      </c>
      <c r="AC16" s="12">
        <v>88.36</v>
      </c>
      <c r="AD16" s="2">
        <f t="shared" si="0"/>
        <v>0.88000000000000966</v>
      </c>
      <c r="AE16" s="148">
        <f t="shared" si="1"/>
        <v>2.7235587834770758E-3</v>
      </c>
    </row>
    <row r="17" spans="9:31" x14ac:dyDescent="0.25">
      <c r="W17" s="143">
        <v>42417</v>
      </c>
      <c r="X17" s="12">
        <v>86.71</v>
      </c>
      <c r="Y17" s="12">
        <v>88.49</v>
      </c>
      <c r="Z17" s="12">
        <v>86.64</v>
      </c>
      <c r="AA17" s="12">
        <v>88.12</v>
      </c>
      <c r="AB17" s="105">
        <v>5141100</v>
      </c>
      <c r="AC17" s="12">
        <v>88.12</v>
      </c>
      <c r="AD17" s="2">
        <f t="shared" si="0"/>
        <v>1.8499999999999943</v>
      </c>
      <c r="AE17" s="148" t="e">
        <f t="shared" si="1"/>
        <v>#DIV/0!</v>
      </c>
    </row>
    <row r="18" spans="9:31" x14ac:dyDescent="0.25">
      <c r="W18" s="143">
        <v>42417</v>
      </c>
      <c r="X18" s="12" t="s">
        <v>156</v>
      </c>
      <c r="Y18" s="12"/>
      <c r="Z18" s="12"/>
      <c r="AA18" s="12"/>
      <c r="AB18" s="105"/>
      <c r="AC18" s="12"/>
      <c r="AD18" s="2">
        <f t="shared" si="0"/>
        <v>0</v>
      </c>
      <c r="AE18" s="148">
        <f t="shared" si="1"/>
        <v>-1</v>
      </c>
    </row>
    <row r="19" spans="9:31" x14ac:dyDescent="0.25">
      <c r="I19" s="2"/>
      <c r="W19" s="143">
        <v>42416</v>
      </c>
      <c r="X19" s="12">
        <v>87.34</v>
      </c>
      <c r="Y19" s="12">
        <v>87.5</v>
      </c>
      <c r="Z19" s="12">
        <v>85.56</v>
      </c>
      <c r="AA19" s="12">
        <v>86.48</v>
      </c>
      <c r="AB19" s="105">
        <v>6960400</v>
      </c>
      <c r="AC19" s="12">
        <v>85.84</v>
      </c>
      <c r="AD19" s="2">
        <f t="shared" si="0"/>
        <v>1.9399999999999977</v>
      </c>
      <c r="AE19" s="148">
        <f t="shared" si="1"/>
        <v>6.2126362677294988E-3</v>
      </c>
    </row>
    <row r="20" spans="9:31" x14ac:dyDescent="0.25">
      <c r="W20" s="143">
        <v>42412</v>
      </c>
      <c r="X20" s="12">
        <v>84.99</v>
      </c>
      <c r="Y20" s="12">
        <v>86.13</v>
      </c>
      <c r="Z20" s="12">
        <v>84.9</v>
      </c>
      <c r="AA20" s="12">
        <v>85.95</v>
      </c>
      <c r="AB20" s="105">
        <v>5886300</v>
      </c>
      <c r="AC20" s="12">
        <v>85.31</v>
      </c>
      <c r="AD20" s="2">
        <f t="shared" si="0"/>
        <v>1.2299999999999898</v>
      </c>
      <c r="AE20" s="148">
        <f t="shared" si="1"/>
        <v>1.5232655004165263E-2</v>
      </c>
    </row>
    <row r="21" spans="9:31" x14ac:dyDescent="0.25">
      <c r="W21" s="143">
        <v>42411</v>
      </c>
      <c r="X21" s="12">
        <v>85.39</v>
      </c>
      <c r="Y21" s="12">
        <v>86.55</v>
      </c>
      <c r="Z21" s="12">
        <v>83.85</v>
      </c>
      <c r="AA21" s="12">
        <v>84.66</v>
      </c>
      <c r="AB21" s="105">
        <v>7711800</v>
      </c>
      <c r="AC21" s="12">
        <v>84.03</v>
      </c>
      <c r="AD21" s="2">
        <f t="shared" si="0"/>
        <v>2.7000000000000028</v>
      </c>
      <c r="AE21" s="148">
        <f t="shared" si="1"/>
        <v>-2.6529193697868325E-2</v>
      </c>
    </row>
    <row r="22" spans="9:31" x14ac:dyDescent="0.25">
      <c r="W22" s="143">
        <v>42410</v>
      </c>
      <c r="X22" s="12">
        <v>87.36</v>
      </c>
      <c r="Y22" s="12">
        <v>88.45</v>
      </c>
      <c r="Z22" s="12">
        <v>86.74</v>
      </c>
      <c r="AA22" s="12">
        <v>86.96</v>
      </c>
      <c r="AB22" s="105">
        <v>3618800</v>
      </c>
      <c r="AC22" s="12">
        <v>86.32</v>
      </c>
      <c r="AD22" s="2">
        <f t="shared" si="0"/>
        <v>1.710000000000008</v>
      </c>
      <c r="AE22" s="148">
        <f t="shared" si="1"/>
        <v>-3.1181429726298004E-3</v>
      </c>
    </row>
    <row r="23" spans="9:31" x14ac:dyDescent="0.25">
      <c r="W23" s="143">
        <v>42409</v>
      </c>
      <c r="X23" s="12">
        <v>86.26</v>
      </c>
      <c r="Y23" s="12">
        <v>87.77</v>
      </c>
      <c r="Z23" s="12">
        <v>85.93</v>
      </c>
      <c r="AA23" s="12">
        <v>87.24</v>
      </c>
      <c r="AB23" s="105">
        <v>7360900</v>
      </c>
      <c r="AC23" s="12">
        <v>86.59</v>
      </c>
      <c r="AD23" s="2">
        <f t="shared" si="0"/>
        <v>1.8399999999999892</v>
      </c>
      <c r="AE23" s="148">
        <f t="shared" si="1"/>
        <v>5.224053865799938E-3</v>
      </c>
    </row>
    <row r="24" spans="9:31" x14ac:dyDescent="0.25">
      <c r="W24" s="143">
        <v>42408</v>
      </c>
      <c r="X24" s="12">
        <v>87.34</v>
      </c>
      <c r="Y24" s="12">
        <v>87.4</v>
      </c>
      <c r="Z24" s="12">
        <v>85.82</v>
      </c>
      <c r="AA24" s="12">
        <v>86.78</v>
      </c>
      <c r="AB24" s="105">
        <v>6858400</v>
      </c>
      <c r="AC24" s="12">
        <v>86.14</v>
      </c>
      <c r="AD24" s="2">
        <f t="shared" si="0"/>
        <v>1.5800000000000125</v>
      </c>
      <c r="AE24" s="148">
        <f t="shared" si="1"/>
        <v>-1.2042665443284695E-2</v>
      </c>
    </row>
    <row r="25" spans="9:31" x14ac:dyDescent="0.25">
      <c r="W25" s="143">
        <v>42405</v>
      </c>
      <c r="X25" s="12">
        <v>88.04</v>
      </c>
      <c r="Y25" s="12">
        <v>88.51</v>
      </c>
      <c r="Z25" s="12">
        <v>87.44</v>
      </c>
      <c r="AA25" s="12">
        <v>87.84</v>
      </c>
      <c r="AB25" s="105">
        <v>5216800</v>
      </c>
      <c r="AC25" s="12">
        <v>87.19</v>
      </c>
      <c r="AD25" s="2">
        <f t="shared" si="0"/>
        <v>1.0700000000000074</v>
      </c>
      <c r="AE25" s="148">
        <f t="shared" si="1"/>
        <v>-3.2010975191494317E-3</v>
      </c>
    </row>
    <row r="26" spans="9:31" x14ac:dyDescent="0.25">
      <c r="W26" s="143">
        <v>42404</v>
      </c>
      <c r="X26" s="12">
        <v>86.09</v>
      </c>
      <c r="Y26" s="12">
        <v>88.71</v>
      </c>
      <c r="Z26" s="12">
        <v>86.03</v>
      </c>
      <c r="AA26" s="12">
        <v>88.12</v>
      </c>
      <c r="AB26" s="105">
        <v>5921700</v>
      </c>
      <c r="AC26" s="12">
        <v>87.47</v>
      </c>
      <c r="AD26" s="2">
        <f t="shared" si="0"/>
        <v>2.6799999999999926</v>
      </c>
      <c r="AE26" s="148">
        <f t="shared" si="1"/>
        <v>2.5199249882794206E-2</v>
      </c>
    </row>
    <row r="27" spans="9:31" x14ac:dyDescent="0.25">
      <c r="W27" s="143">
        <v>42403</v>
      </c>
      <c r="X27" s="12">
        <v>85.99</v>
      </c>
      <c r="Y27" s="12">
        <v>86.37</v>
      </c>
      <c r="Z27" s="12">
        <v>84.29</v>
      </c>
      <c r="AA27" s="12">
        <v>85.96</v>
      </c>
      <c r="AB27" s="105">
        <v>8305500</v>
      </c>
      <c r="AC27" s="12">
        <v>85.32</v>
      </c>
      <c r="AD27" s="2">
        <f t="shared" si="0"/>
        <v>2.0799999999999983</v>
      </c>
      <c r="AE27" s="148">
        <f t="shared" si="1"/>
        <v>6.250737115225613E-3</v>
      </c>
    </row>
    <row r="28" spans="9:31" x14ac:dyDescent="0.25">
      <c r="W28" s="143">
        <v>42402</v>
      </c>
      <c r="X28" s="12">
        <v>86.17</v>
      </c>
      <c r="Y28" s="12">
        <v>86.73</v>
      </c>
      <c r="Z28" s="12">
        <v>85.08</v>
      </c>
      <c r="AA28" s="12">
        <v>85.42</v>
      </c>
      <c r="AB28" s="105">
        <v>7397700</v>
      </c>
      <c r="AC28" s="12">
        <v>84.79</v>
      </c>
      <c r="AD28" s="2">
        <f t="shared" si="0"/>
        <v>1.6500000000000057</v>
      </c>
      <c r="AE28" s="148">
        <f t="shared" si="1"/>
        <v>-2.4393050281900752E-2</v>
      </c>
    </row>
    <row r="29" spans="9:31" x14ac:dyDescent="0.25">
      <c r="W29" s="143">
        <v>42401</v>
      </c>
      <c r="X29" s="12">
        <v>87.06</v>
      </c>
      <c r="Y29" s="12">
        <v>87.84</v>
      </c>
      <c r="Z29" s="12">
        <v>86.45</v>
      </c>
      <c r="AA29" s="12">
        <v>87.56</v>
      </c>
      <c r="AB29" s="105">
        <v>5036900</v>
      </c>
      <c r="AC29" s="12">
        <v>86.91</v>
      </c>
      <c r="AD29" s="2">
        <f t="shared" si="0"/>
        <v>1.3900000000000006</v>
      </c>
      <c r="AE29" s="148">
        <f t="shared" si="1"/>
        <v>-1.4935661764706731E-3</v>
      </c>
    </row>
    <row r="30" spans="9:31" x14ac:dyDescent="0.25">
      <c r="W30" s="143">
        <v>42398</v>
      </c>
      <c r="X30" s="12">
        <v>86.87</v>
      </c>
      <c r="Y30" s="12">
        <v>87.69</v>
      </c>
      <c r="Z30" s="12">
        <v>86.76</v>
      </c>
      <c r="AA30" s="12">
        <v>87.69</v>
      </c>
      <c r="AB30" s="105">
        <v>7887500</v>
      </c>
      <c r="AC30" s="12">
        <v>87.04</v>
      </c>
      <c r="AD30" s="2">
        <f t="shared" si="0"/>
        <v>0.92999999999999261</v>
      </c>
      <c r="AE30" s="148">
        <f t="shared" si="1"/>
        <v>1.4333993707027259E-2</v>
      </c>
    </row>
    <row r="31" spans="9:31" x14ac:dyDescent="0.25">
      <c r="W31" s="143">
        <v>42397</v>
      </c>
      <c r="X31" s="12">
        <v>86.3</v>
      </c>
      <c r="Y31" s="12">
        <v>87.2</v>
      </c>
      <c r="Z31" s="12">
        <v>85.92</v>
      </c>
      <c r="AA31" s="12">
        <v>86.45</v>
      </c>
      <c r="AB31" s="105">
        <v>5757200</v>
      </c>
      <c r="AC31" s="12">
        <v>85.81</v>
      </c>
      <c r="AD31" s="2">
        <f t="shared" si="0"/>
        <v>1.2800000000000011</v>
      </c>
      <c r="AE31" s="148">
        <f t="shared" si="1"/>
        <v>7.5143829987085464E-3</v>
      </c>
    </row>
    <row r="32" spans="9:31" x14ac:dyDescent="0.25">
      <c r="W32" s="143">
        <v>42396</v>
      </c>
      <c r="X32" s="12">
        <v>85.7</v>
      </c>
      <c r="Y32" s="12">
        <v>87.57</v>
      </c>
      <c r="Z32" s="12">
        <v>84.75</v>
      </c>
      <c r="AA32" s="12">
        <v>85.81</v>
      </c>
      <c r="AB32" s="105">
        <v>8083900</v>
      </c>
      <c r="AC32" s="12">
        <v>85.17</v>
      </c>
      <c r="AD32" s="2">
        <f t="shared" si="0"/>
        <v>2.8199999999999932</v>
      </c>
      <c r="AE32" s="148">
        <f t="shared" si="1"/>
        <v>1.7642907551165266E-3</v>
      </c>
    </row>
    <row r="33" spans="15:31" x14ac:dyDescent="0.25">
      <c r="W33" s="143">
        <v>42395</v>
      </c>
      <c r="X33" s="12">
        <v>85.29</v>
      </c>
      <c r="Y33" s="12">
        <v>86.47</v>
      </c>
      <c r="Z33" s="12">
        <v>85.21</v>
      </c>
      <c r="AA33" s="12">
        <v>85.65</v>
      </c>
      <c r="AB33" s="105">
        <v>7393800</v>
      </c>
      <c r="AC33" s="12">
        <v>85.02</v>
      </c>
      <c r="AD33" s="2">
        <f t="shared" si="0"/>
        <v>1.2600000000000051</v>
      </c>
      <c r="AE33" s="148">
        <f t="shared" si="1"/>
        <v>8.8999644001424016E-3</v>
      </c>
    </row>
    <row r="34" spans="15:31" x14ac:dyDescent="0.25">
      <c r="W34" s="143">
        <v>42394</v>
      </c>
      <c r="X34" s="12">
        <v>85.98</v>
      </c>
      <c r="Y34" s="12">
        <v>86.15</v>
      </c>
      <c r="Z34" s="12">
        <v>84.69</v>
      </c>
      <c r="AA34" s="12">
        <v>84.9</v>
      </c>
      <c r="AB34" s="105">
        <v>10444000</v>
      </c>
      <c r="AC34" s="12">
        <v>84.27</v>
      </c>
      <c r="AD34" s="2">
        <f t="shared" si="0"/>
        <v>1.460000000000008</v>
      </c>
      <c r="AE34" s="148">
        <f t="shared" si="1"/>
        <v>-1.6800840042002108E-2</v>
      </c>
    </row>
    <row r="35" spans="15:31" x14ac:dyDescent="0.25">
      <c r="W35" s="143">
        <v>42391</v>
      </c>
      <c r="X35" s="12">
        <v>86.95</v>
      </c>
      <c r="Y35" s="12">
        <v>87.38</v>
      </c>
      <c r="Z35" s="12">
        <v>85.88</v>
      </c>
      <c r="AA35" s="12">
        <v>86.35</v>
      </c>
      <c r="AB35" s="105">
        <v>4647400</v>
      </c>
      <c r="AC35" s="12">
        <v>85.71</v>
      </c>
      <c r="AD35" s="2">
        <f t="shared" si="0"/>
        <v>1.5</v>
      </c>
      <c r="AE35" s="148">
        <f t="shared" si="1"/>
        <v>9.065222510006965E-3</v>
      </c>
    </row>
    <row r="36" spans="15:31" x14ac:dyDescent="0.25">
      <c r="W36" s="143">
        <v>42390</v>
      </c>
      <c r="X36" s="12">
        <v>84.83</v>
      </c>
      <c r="Y36" s="12">
        <v>86.79</v>
      </c>
      <c r="Z36" s="12">
        <v>84.54</v>
      </c>
      <c r="AA36" s="12">
        <v>85.57</v>
      </c>
      <c r="AB36" s="105">
        <v>5742900</v>
      </c>
      <c r="AC36" s="12">
        <v>84.94</v>
      </c>
      <c r="AD36" s="2">
        <f t="shared" si="0"/>
        <v>2.25</v>
      </c>
      <c r="AE36" s="148">
        <f t="shared" si="1"/>
        <v>8.7885985748217266E-3</v>
      </c>
    </row>
    <row r="37" spans="15:31" x14ac:dyDescent="0.25">
      <c r="W37" s="143">
        <v>42389</v>
      </c>
      <c r="X37" s="12">
        <v>84.44</v>
      </c>
      <c r="Y37" s="12">
        <v>85.58</v>
      </c>
      <c r="Z37" s="12">
        <v>83.39</v>
      </c>
      <c r="AA37" s="12">
        <v>84.83</v>
      </c>
      <c r="AB37" s="105">
        <v>9601200</v>
      </c>
      <c r="AC37" s="12">
        <v>84.2</v>
      </c>
      <c r="AD37" s="2">
        <f t="shared" si="0"/>
        <v>2.1899999999999977</v>
      </c>
      <c r="AE37" s="148">
        <f t="shared" si="1"/>
        <v>-4.845762912185303E-3</v>
      </c>
    </row>
    <row r="38" spans="15:31" x14ac:dyDescent="0.25">
      <c r="W38" s="143">
        <v>42388</v>
      </c>
      <c r="X38" s="12">
        <v>86.35</v>
      </c>
      <c r="Y38" s="12">
        <v>86.35</v>
      </c>
      <c r="Z38" s="12">
        <v>84.47</v>
      </c>
      <c r="AA38" s="12">
        <v>85.24</v>
      </c>
      <c r="AB38" s="105">
        <v>7470000</v>
      </c>
      <c r="AC38" s="12">
        <v>84.61</v>
      </c>
      <c r="AD38" s="2">
        <f t="shared" si="0"/>
        <v>1.8799999999999955</v>
      </c>
      <c r="AE38" s="148">
        <f t="shared" si="1"/>
        <v>-4.5882352941176707E-3</v>
      </c>
    </row>
    <row r="39" spans="15:31" ht="20.25" thickBot="1" x14ac:dyDescent="0.35">
      <c r="P39" s="405" t="s">
        <v>78</v>
      </c>
      <c r="Q39" s="405"/>
      <c r="T39" s="101" t="s">
        <v>116</v>
      </c>
      <c r="W39" s="143">
        <v>42384</v>
      </c>
      <c r="X39" s="12">
        <v>86.99</v>
      </c>
      <c r="Y39" s="12">
        <v>88.06</v>
      </c>
      <c r="Z39" s="12">
        <v>85.47</v>
      </c>
      <c r="AA39" s="12">
        <v>85.63</v>
      </c>
      <c r="AB39" s="105">
        <v>10485600</v>
      </c>
      <c r="AC39" s="12">
        <v>85</v>
      </c>
      <c r="AD39" s="2">
        <f t="shared" si="0"/>
        <v>2.5900000000000034</v>
      </c>
      <c r="AE39" s="148">
        <f t="shared" si="1"/>
        <v>-3.791737408036211E-2</v>
      </c>
    </row>
    <row r="40" spans="15:31" ht="15.75" thickTop="1" x14ac:dyDescent="0.25">
      <c r="O40" s="2"/>
      <c r="P40" s="93">
        <v>1.1000000000000001</v>
      </c>
      <c r="Q40" s="93">
        <f>P40*$Q$4</f>
        <v>106.26</v>
      </c>
      <c r="T40" s="138" t="s">
        <v>101</v>
      </c>
      <c r="U40" s="108">
        <v>96.9</v>
      </c>
      <c r="W40" s="143">
        <v>42383</v>
      </c>
      <c r="X40" s="12">
        <v>89.08</v>
      </c>
      <c r="Y40" s="12">
        <v>89.58</v>
      </c>
      <c r="Z40" s="12">
        <v>87.86</v>
      </c>
      <c r="AA40" s="12">
        <v>89.01</v>
      </c>
      <c r="AB40" s="105">
        <v>7395900</v>
      </c>
      <c r="AC40" s="12">
        <v>88.35</v>
      </c>
      <c r="AD40" s="2">
        <f t="shared" si="0"/>
        <v>1.7199999999999989</v>
      </c>
      <c r="AE40" s="148">
        <f t="shared" si="1"/>
        <v>2.0415107179312386E-3</v>
      </c>
    </row>
    <row r="41" spans="15:31" x14ac:dyDescent="0.25">
      <c r="O41" s="2"/>
      <c r="P41" s="93">
        <v>1.0900000000000001</v>
      </c>
      <c r="Q41" s="93">
        <f t="shared" ref="Q41:Q60" si="2">P41*$Q$4</f>
        <v>105.294</v>
      </c>
      <c r="T41" s="103" t="s">
        <v>102</v>
      </c>
      <c r="U41" s="98">
        <v>97.32</v>
      </c>
      <c r="W41" s="143">
        <v>42382</v>
      </c>
      <c r="X41" s="12">
        <v>90.67</v>
      </c>
      <c r="Y41" s="12">
        <v>90.67</v>
      </c>
      <c r="Z41" s="12">
        <v>88.41</v>
      </c>
      <c r="AA41" s="12">
        <v>88.83</v>
      </c>
      <c r="AB41" s="105">
        <v>8588800</v>
      </c>
      <c r="AC41" s="12">
        <v>88.17</v>
      </c>
      <c r="AD41" s="2">
        <f t="shared" si="0"/>
        <v>2.2600000000000051</v>
      </c>
      <c r="AE41" s="148">
        <f t="shared" si="1"/>
        <v>-1.8479349883112506E-2</v>
      </c>
    </row>
    <row r="42" spans="15:31" x14ac:dyDescent="0.25">
      <c r="O42" s="2"/>
      <c r="P42" s="93">
        <v>1.08</v>
      </c>
      <c r="Q42" s="93">
        <f t="shared" si="2"/>
        <v>104.328</v>
      </c>
      <c r="T42" s="103" t="s">
        <v>103</v>
      </c>
      <c r="U42" s="98" t="s">
        <v>433</v>
      </c>
      <c r="W42" s="143">
        <v>42381</v>
      </c>
      <c r="X42" s="12">
        <v>90.99</v>
      </c>
      <c r="Y42" s="12">
        <v>91.15</v>
      </c>
      <c r="Z42" s="12">
        <v>89.67</v>
      </c>
      <c r="AA42" s="12">
        <v>90.5</v>
      </c>
      <c r="AB42" s="105">
        <v>7697300</v>
      </c>
      <c r="AC42" s="12">
        <v>89.83</v>
      </c>
      <c r="AD42" s="2">
        <f t="shared" si="0"/>
        <v>1.480000000000004</v>
      </c>
      <c r="AE42" s="148">
        <f t="shared" si="1"/>
        <v>0</v>
      </c>
    </row>
    <row r="43" spans="15:31" x14ac:dyDescent="0.25">
      <c r="O43" s="2"/>
      <c r="P43" s="93">
        <v>1.07</v>
      </c>
      <c r="Q43" s="93">
        <f t="shared" si="2"/>
        <v>103.36199999999999</v>
      </c>
      <c r="T43" s="103" t="s">
        <v>104</v>
      </c>
      <c r="U43" s="98" t="s">
        <v>434</v>
      </c>
      <c r="W43" s="143">
        <v>42380</v>
      </c>
      <c r="X43" s="12">
        <v>91.09</v>
      </c>
      <c r="Y43" s="12">
        <v>91.4</v>
      </c>
      <c r="Z43" s="12">
        <v>89.92</v>
      </c>
      <c r="AA43" s="12">
        <v>90.5</v>
      </c>
      <c r="AB43" s="105">
        <v>7185200</v>
      </c>
      <c r="AC43" s="12">
        <v>89.83</v>
      </c>
      <c r="AD43" s="2">
        <f t="shared" si="0"/>
        <v>1.480000000000004</v>
      </c>
      <c r="AE43" s="148">
        <f t="shared" si="1"/>
        <v>1.1144544745347318E-3</v>
      </c>
    </row>
    <row r="44" spans="15:31" x14ac:dyDescent="0.25">
      <c r="O44" s="2"/>
      <c r="P44" s="93">
        <v>1.06</v>
      </c>
      <c r="Q44" s="93">
        <f t="shared" si="2"/>
        <v>102.396</v>
      </c>
      <c r="T44" s="103" t="s">
        <v>105</v>
      </c>
      <c r="U44" s="98">
        <v>104.94</v>
      </c>
      <c r="W44" s="143">
        <v>42377</v>
      </c>
      <c r="X44" s="12">
        <v>91.57</v>
      </c>
      <c r="Y44" s="12">
        <v>91.88</v>
      </c>
      <c r="Z44" s="12">
        <v>90.22</v>
      </c>
      <c r="AA44" s="12">
        <v>90.4</v>
      </c>
      <c r="AB44" s="105">
        <v>7501300</v>
      </c>
      <c r="AC44" s="12">
        <v>89.73</v>
      </c>
      <c r="AD44" s="2">
        <f t="shared" si="0"/>
        <v>1.6599999999999966</v>
      </c>
      <c r="AE44" s="148">
        <f t="shared" si="1"/>
        <v>-1.6334137250602843E-2</v>
      </c>
    </row>
    <row r="45" spans="15:31" x14ac:dyDescent="0.25">
      <c r="O45" s="2"/>
      <c r="P45" s="93">
        <v>1.05</v>
      </c>
      <c r="Q45" s="93">
        <f t="shared" si="2"/>
        <v>101.42999999999999</v>
      </c>
      <c r="T45" s="103" t="s">
        <v>106</v>
      </c>
      <c r="U45" s="98">
        <v>1.1395900000000001</v>
      </c>
      <c r="W45" s="143">
        <v>42376</v>
      </c>
      <c r="X45" s="12">
        <v>91.47</v>
      </c>
      <c r="Y45" s="12">
        <v>93.35</v>
      </c>
      <c r="Z45" s="12">
        <v>91.43</v>
      </c>
      <c r="AA45" s="12">
        <v>91.9</v>
      </c>
      <c r="AB45" s="105">
        <v>6984800</v>
      </c>
      <c r="AC45" s="12">
        <v>91.22</v>
      </c>
      <c r="AD45" s="2">
        <f t="shared" si="0"/>
        <v>1.9199999999999875</v>
      </c>
      <c r="AE45" s="148">
        <f t="shared" si="1"/>
        <v>-1.3090987774532215E-2</v>
      </c>
    </row>
    <row r="46" spans="15:31" x14ac:dyDescent="0.25">
      <c r="O46" s="2"/>
      <c r="P46" s="93">
        <v>1.04</v>
      </c>
      <c r="Q46" s="93">
        <f t="shared" si="2"/>
        <v>100.464</v>
      </c>
      <c r="T46" s="103" t="s">
        <v>126</v>
      </c>
      <c r="U46" s="98" t="s">
        <v>256</v>
      </c>
      <c r="W46" s="143">
        <v>42375</v>
      </c>
      <c r="X46" s="12">
        <v>93.9</v>
      </c>
      <c r="Y46" s="12">
        <v>94.64</v>
      </c>
      <c r="Z46" s="12">
        <v>92.54</v>
      </c>
      <c r="AA46" s="12">
        <v>93.12</v>
      </c>
      <c r="AB46" s="105">
        <v>8300600</v>
      </c>
      <c r="AC46" s="12">
        <v>92.43</v>
      </c>
      <c r="AD46" s="2">
        <f t="shared" si="0"/>
        <v>2.0999999999999943</v>
      </c>
      <c r="AE46" s="148">
        <f t="shared" si="1"/>
        <v>-2.715503631196714E-2</v>
      </c>
    </row>
    <row r="47" spans="15:31" x14ac:dyDescent="0.25">
      <c r="O47" s="2"/>
      <c r="P47" s="93">
        <v>1.03</v>
      </c>
      <c r="Q47" s="93">
        <f t="shared" si="2"/>
        <v>99.49799999999999</v>
      </c>
      <c r="T47" s="103"/>
      <c r="U47" s="98"/>
      <c r="W47" s="143">
        <v>42374</v>
      </c>
      <c r="X47" s="12">
        <v>95.14</v>
      </c>
      <c r="Y47" s="12">
        <v>96</v>
      </c>
      <c r="Z47" s="12">
        <v>94.8</v>
      </c>
      <c r="AA47" s="12">
        <v>95.72</v>
      </c>
      <c r="AB47" s="105">
        <v>4253100</v>
      </c>
      <c r="AC47" s="12">
        <v>95.01</v>
      </c>
      <c r="AD47" s="2">
        <f t="shared" si="0"/>
        <v>1.2000000000000028</v>
      </c>
      <c r="AE47" s="148">
        <f t="shared" si="1"/>
        <v>1.5812776723593824E-3</v>
      </c>
    </row>
    <row r="48" spans="15:31" x14ac:dyDescent="0.25">
      <c r="O48" s="2"/>
      <c r="P48" s="93">
        <v>1.02</v>
      </c>
      <c r="Q48" s="93">
        <f t="shared" si="2"/>
        <v>98.531999999999996</v>
      </c>
      <c r="T48" s="103" t="s">
        <v>108</v>
      </c>
      <c r="U48" s="98" t="s">
        <v>435</v>
      </c>
      <c r="W48" s="143">
        <v>42373</v>
      </c>
      <c r="X48" s="12">
        <v>94.45</v>
      </c>
      <c r="Y48" s="12">
        <v>95.64</v>
      </c>
      <c r="Z48" s="12">
        <v>93.96</v>
      </c>
      <c r="AA48" s="12">
        <v>95.57</v>
      </c>
      <c r="AB48" s="105">
        <v>5382200</v>
      </c>
      <c r="AC48" s="12">
        <v>94.86</v>
      </c>
      <c r="AD48" s="2">
        <f t="shared" si="0"/>
        <v>1.6800000000000068</v>
      </c>
      <c r="AE48" s="148">
        <f t="shared" si="1"/>
        <v>-5.2432885906040783E-3</v>
      </c>
    </row>
    <row r="49" spans="15:31" x14ac:dyDescent="0.25">
      <c r="O49" s="2"/>
      <c r="P49" s="93">
        <v>1.01</v>
      </c>
      <c r="Q49" s="93">
        <f t="shared" si="2"/>
        <v>97.565999999999988</v>
      </c>
      <c r="T49" s="103" t="s">
        <v>109</v>
      </c>
      <c r="U49" s="98" t="s">
        <v>331</v>
      </c>
      <c r="W49" s="143">
        <v>42369</v>
      </c>
      <c r="X49" s="12">
        <v>96.41</v>
      </c>
      <c r="Y49" s="12">
        <v>96.68</v>
      </c>
      <c r="Z49" s="12">
        <v>95.71</v>
      </c>
      <c r="AA49" s="12">
        <v>96.07</v>
      </c>
      <c r="AB49" s="105">
        <v>2951000</v>
      </c>
      <c r="AC49" s="12">
        <v>95.36</v>
      </c>
      <c r="AD49" s="2">
        <f t="shared" si="0"/>
        <v>0.97000000000001307</v>
      </c>
      <c r="AE49" s="148">
        <f t="shared" si="1"/>
        <v>-8.5256810147640305E-3</v>
      </c>
    </row>
    <row r="50" spans="15:31" x14ac:dyDescent="0.25">
      <c r="O50" s="2"/>
      <c r="P50" s="93">
        <v>1</v>
      </c>
      <c r="Q50" s="93">
        <f t="shared" si="2"/>
        <v>96.6</v>
      </c>
      <c r="T50" s="103" t="s">
        <v>110</v>
      </c>
      <c r="U50" s="100">
        <v>4158952</v>
      </c>
      <c r="W50" s="143">
        <v>42368</v>
      </c>
      <c r="X50" s="12">
        <v>96.92</v>
      </c>
      <c r="Y50" s="12">
        <v>97.5</v>
      </c>
      <c r="Z50" s="12">
        <v>96.52</v>
      </c>
      <c r="AA50" s="12">
        <v>96.9</v>
      </c>
      <c r="AB50" s="105">
        <v>3161600</v>
      </c>
      <c r="AC50" s="12">
        <v>96.18</v>
      </c>
      <c r="AD50" s="2">
        <f t="shared" si="0"/>
        <v>0.98000000000000398</v>
      </c>
      <c r="AE50" s="148">
        <f t="shared" si="1"/>
        <v>-3.8322112894871863E-3</v>
      </c>
    </row>
    <row r="51" spans="15:31" x14ac:dyDescent="0.25">
      <c r="O51" s="2"/>
      <c r="P51" s="93">
        <v>0.99</v>
      </c>
      <c r="Q51" s="93">
        <f t="shared" si="2"/>
        <v>95.634</v>
      </c>
      <c r="T51" s="103" t="s">
        <v>113</v>
      </c>
      <c r="U51" s="100">
        <v>7402820</v>
      </c>
      <c r="W51" s="143">
        <v>42367</v>
      </c>
      <c r="X51" s="12">
        <v>96.67</v>
      </c>
      <c r="Y51" s="12">
        <v>97.77</v>
      </c>
      <c r="Z51" s="12">
        <v>96.35</v>
      </c>
      <c r="AA51" s="12">
        <v>97.27</v>
      </c>
      <c r="AB51" s="105">
        <v>3291400</v>
      </c>
      <c r="AC51" s="12">
        <v>96.55</v>
      </c>
      <c r="AD51" s="2">
        <f t="shared" si="0"/>
        <v>1.4200000000000017</v>
      </c>
      <c r="AE51" s="148">
        <f t="shared" si="1"/>
        <v>1.226672258335082E-2</v>
      </c>
    </row>
    <row r="52" spans="15:31" x14ac:dyDescent="0.25">
      <c r="O52" s="2"/>
      <c r="P52" s="93">
        <v>0.98</v>
      </c>
      <c r="Q52" s="93">
        <f t="shared" si="2"/>
        <v>94.667999999999992</v>
      </c>
      <c r="T52" s="103" t="s">
        <v>111</v>
      </c>
      <c r="U52" s="98" t="s">
        <v>436</v>
      </c>
      <c r="W52" s="143">
        <v>42366</v>
      </c>
      <c r="X52" s="12">
        <v>95.98</v>
      </c>
      <c r="Y52" s="12">
        <v>96.31</v>
      </c>
      <c r="Z52" s="12">
        <v>95.7</v>
      </c>
      <c r="AA52" s="12">
        <v>96.09</v>
      </c>
      <c r="AB52" s="105">
        <v>3606800</v>
      </c>
      <c r="AC52" s="12">
        <v>95.38</v>
      </c>
      <c r="AD52" s="2">
        <f t="shared" si="0"/>
        <v>0.60999999999999943</v>
      </c>
      <c r="AE52" s="148">
        <f t="shared" si="1"/>
        <v>-2.1968825190920027E-3</v>
      </c>
    </row>
    <row r="53" spans="15:31" x14ac:dyDescent="0.25">
      <c r="P53" s="93">
        <v>0.97</v>
      </c>
      <c r="Q53" s="93">
        <f t="shared" si="2"/>
        <v>93.701999999999998</v>
      </c>
      <c r="T53" s="103" t="s">
        <v>114</v>
      </c>
      <c r="U53" s="98">
        <v>11.21</v>
      </c>
      <c r="W53" s="143">
        <v>42362</v>
      </c>
      <c r="X53" s="12">
        <v>95.89</v>
      </c>
      <c r="Y53" s="12">
        <v>96.52</v>
      </c>
      <c r="Z53" s="12">
        <v>95.87</v>
      </c>
      <c r="AA53" s="12">
        <v>96.3</v>
      </c>
      <c r="AB53" s="105">
        <v>1382700</v>
      </c>
      <c r="AC53" s="12">
        <v>95.59</v>
      </c>
      <c r="AD53" s="2">
        <f t="shared" si="0"/>
        <v>0.64999999999999147</v>
      </c>
      <c r="AE53" s="148">
        <f t="shared" si="1"/>
        <v>0</v>
      </c>
    </row>
    <row r="54" spans="15:31" x14ac:dyDescent="0.25">
      <c r="P54" s="93">
        <v>0.96</v>
      </c>
      <c r="Q54" s="93">
        <f t="shared" si="2"/>
        <v>92.73599999999999</v>
      </c>
      <c r="T54" s="103" t="s">
        <v>115</v>
      </c>
      <c r="U54" s="98">
        <v>8.6199999999999992</v>
      </c>
      <c r="W54" s="143">
        <v>42361</v>
      </c>
      <c r="X54" s="12">
        <v>95.5</v>
      </c>
      <c r="Y54" s="12">
        <v>96.6</v>
      </c>
      <c r="Z54" s="12">
        <v>95.43</v>
      </c>
      <c r="AA54" s="12">
        <v>96.3</v>
      </c>
      <c r="AB54" s="105">
        <v>4677200</v>
      </c>
      <c r="AC54" s="12">
        <v>95.59</v>
      </c>
      <c r="AD54" s="2">
        <f t="shared" si="0"/>
        <v>1.1699999999999875</v>
      </c>
      <c r="AE54" s="148">
        <f t="shared" si="1"/>
        <v>1.5079112243814308E-2</v>
      </c>
    </row>
    <row r="55" spans="15:31" x14ac:dyDescent="0.25">
      <c r="P55" s="93">
        <v>0.95</v>
      </c>
      <c r="Q55" s="93">
        <f t="shared" si="2"/>
        <v>91.77</v>
      </c>
      <c r="T55" s="103" t="s">
        <v>112</v>
      </c>
      <c r="U55" s="98" t="s">
        <v>326</v>
      </c>
      <c r="W55" s="143">
        <v>42360</v>
      </c>
      <c r="X55" s="12">
        <v>94.31</v>
      </c>
      <c r="Y55" s="12">
        <v>95.41</v>
      </c>
      <c r="Z55" s="12">
        <v>94</v>
      </c>
      <c r="AA55" s="12">
        <v>94.87</v>
      </c>
      <c r="AB55" s="105">
        <v>4644100</v>
      </c>
      <c r="AC55" s="12">
        <v>94.17</v>
      </c>
      <c r="AD55" s="2">
        <f t="shared" si="0"/>
        <v>1.4099999999999966</v>
      </c>
      <c r="AE55" s="148">
        <f t="shared" si="1"/>
        <v>1.3452432199741793E-2</v>
      </c>
    </row>
    <row r="56" spans="15:31" x14ac:dyDescent="0.25">
      <c r="P56" s="93">
        <v>0.94</v>
      </c>
      <c r="Q56" s="93">
        <f t="shared" si="2"/>
        <v>90.803999999999988</v>
      </c>
      <c r="W56" s="143">
        <v>42359</v>
      </c>
      <c r="X56" s="12">
        <v>93.02</v>
      </c>
      <c r="Y56" s="12">
        <v>93.89</v>
      </c>
      <c r="Z56" s="12">
        <v>92.69</v>
      </c>
      <c r="AA56" s="12">
        <v>93.61</v>
      </c>
      <c r="AB56" s="105">
        <v>8708800</v>
      </c>
      <c r="AC56" s="12">
        <v>92.92</v>
      </c>
      <c r="AD56" s="2">
        <f t="shared" si="0"/>
        <v>1.2000000000000028</v>
      </c>
      <c r="AE56" s="148">
        <f t="shared" si="1"/>
        <v>1.3746454287584697E-2</v>
      </c>
    </row>
    <row r="57" spans="15:31" x14ac:dyDescent="0.25">
      <c r="P57" s="93">
        <v>0.93</v>
      </c>
      <c r="Q57" s="93">
        <f t="shared" si="2"/>
        <v>89.837999999999994</v>
      </c>
      <c r="W57" s="143">
        <v>42356</v>
      </c>
      <c r="X57" s="12">
        <v>93.31</v>
      </c>
      <c r="Y57" s="12">
        <v>94.33</v>
      </c>
      <c r="Z57" s="12">
        <v>92.34</v>
      </c>
      <c r="AA57" s="12">
        <v>92.34</v>
      </c>
      <c r="AB57" s="105">
        <v>8665800</v>
      </c>
      <c r="AC57" s="12">
        <v>91.66</v>
      </c>
      <c r="AD57" s="2">
        <f t="shared" si="0"/>
        <v>1.9899999999999949</v>
      </c>
      <c r="AE57" s="148">
        <f t="shared" si="1"/>
        <v>-1.6312513414896035E-2</v>
      </c>
    </row>
    <row r="58" spans="15:31" x14ac:dyDescent="0.25">
      <c r="P58" s="93">
        <v>0.92</v>
      </c>
      <c r="Q58" s="93">
        <f t="shared" si="2"/>
        <v>88.872</v>
      </c>
      <c r="W58" s="143">
        <v>42355</v>
      </c>
      <c r="X58" s="12">
        <v>95.13</v>
      </c>
      <c r="Y58" s="12">
        <v>95.73</v>
      </c>
      <c r="Z58" s="12">
        <v>93.84</v>
      </c>
      <c r="AA58" s="12">
        <v>93.87</v>
      </c>
      <c r="AB58" s="105">
        <v>4802300</v>
      </c>
      <c r="AC58" s="12">
        <v>93.18</v>
      </c>
      <c r="AD58" s="2">
        <f t="shared" si="0"/>
        <v>1.8900000000000006</v>
      </c>
      <c r="AE58" s="148">
        <f t="shared" si="1"/>
        <v>-1.3237318648734564E-2</v>
      </c>
    </row>
    <row r="59" spans="15:31" x14ac:dyDescent="0.25">
      <c r="P59" s="93">
        <v>0.91</v>
      </c>
      <c r="Q59" s="93">
        <f t="shared" si="2"/>
        <v>87.905999999999992</v>
      </c>
      <c r="W59" s="143">
        <v>42354</v>
      </c>
      <c r="X59" s="12">
        <v>93.97</v>
      </c>
      <c r="Y59" s="12">
        <v>95.43</v>
      </c>
      <c r="Z59" s="12">
        <v>93.44</v>
      </c>
      <c r="AA59" s="12">
        <v>95.13</v>
      </c>
      <c r="AB59" s="105">
        <v>9868300</v>
      </c>
      <c r="AC59" s="12">
        <v>94.43</v>
      </c>
      <c r="AD59" s="2">
        <f t="shared" si="0"/>
        <v>1.9900000000000091</v>
      </c>
      <c r="AE59" s="148">
        <f t="shared" si="1"/>
        <v>2.0092902668251256E-2</v>
      </c>
    </row>
    <row r="60" spans="15:31" x14ac:dyDescent="0.25">
      <c r="P60" s="93">
        <v>0.9</v>
      </c>
      <c r="Q60" s="93">
        <f t="shared" si="2"/>
        <v>86.94</v>
      </c>
      <c r="W60" s="143">
        <v>42353</v>
      </c>
      <c r="X60" s="12">
        <v>93.68</v>
      </c>
      <c r="Y60" s="12">
        <v>94.66</v>
      </c>
      <c r="Z60" s="12">
        <v>93.23</v>
      </c>
      <c r="AA60" s="12">
        <v>93.26</v>
      </c>
      <c r="AB60" s="105">
        <v>6618000</v>
      </c>
      <c r="AC60" s="12">
        <v>92.57</v>
      </c>
      <c r="AD60" s="2">
        <f t="shared" si="0"/>
        <v>1.4299999999999926</v>
      </c>
      <c r="AE60" s="148">
        <f t="shared" si="1"/>
        <v>2.4907948884556053E-3</v>
      </c>
    </row>
    <row r="61" spans="15:31" x14ac:dyDescent="0.25">
      <c r="W61" s="143">
        <v>42352</v>
      </c>
      <c r="X61" s="12">
        <v>93.3</v>
      </c>
      <c r="Y61" s="12">
        <v>93.57</v>
      </c>
      <c r="Z61" s="12">
        <v>92.2</v>
      </c>
      <c r="AA61" s="12">
        <v>93.03</v>
      </c>
      <c r="AB61" s="105">
        <v>6748200</v>
      </c>
      <c r="AC61" s="12">
        <v>92.34</v>
      </c>
      <c r="AD61" s="2">
        <f t="shared" si="0"/>
        <v>1.3699999999999903</v>
      </c>
      <c r="AE61" s="148">
        <f t="shared" si="1"/>
        <v>-2.9154518950437192E-3</v>
      </c>
    </row>
    <row r="62" spans="15:31" x14ac:dyDescent="0.25">
      <c r="W62" s="143">
        <v>42349</v>
      </c>
      <c r="X62" s="12">
        <v>93.01</v>
      </c>
      <c r="Y62" s="12">
        <v>94.63</v>
      </c>
      <c r="Z62" s="12">
        <v>92.93</v>
      </c>
      <c r="AA62" s="12">
        <v>93.3</v>
      </c>
      <c r="AB62" s="105">
        <v>9942600</v>
      </c>
      <c r="AC62" s="12">
        <v>92.61</v>
      </c>
      <c r="AD62" s="2">
        <f t="shared" si="0"/>
        <v>1.6999999999999886</v>
      </c>
      <c r="AE62" s="148">
        <f t="shared" si="1"/>
        <v>-6.1171925305860686E-3</v>
      </c>
    </row>
    <row r="63" spans="15:31" x14ac:dyDescent="0.25">
      <c r="W63" s="143">
        <v>42348</v>
      </c>
      <c r="X63" s="12">
        <v>94.07</v>
      </c>
      <c r="Y63" s="12">
        <v>94.67</v>
      </c>
      <c r="Z63" s="12">
        <v>91.63</v>
      </c>
      <c r="AA63" s="12">
        <v>93.87</v>
      </c>
      <c r="AB63" s="105">
        <v>5814100</v>
      </c>
      <c r="AC63" s="12">
        <v>93.18</v>
      </c>
      <c r="AD63" s="2">
        <f t="shared" si="0"/>
        <v>3.0400000000000063</v>
      </c>
      <c r="AE63" s="148">
        <f t="shared" si="1"/>
        <v>-2.9959340894498698E-3</v>
      </c>
    </row>
    <row r="64" spans="15:31" x14ac:dyDescent="0.25">
      <c r="W64" s="143">
        <v>42347</v>
      </c>
      <c r="X64" s="12">
        <v>93.58</v>
      </c>
      <c r="Y64" s="12">
        <v>95.58</v>
      </c>
      <c r="Z64" s="12">
        <v>93.21</v>
      </c>
      <c r="AA64" s="12">
        <v>94.16</v>
      </c>
      <c r="AB64" s="105">
        <v>6911400</v>
      </c>
      <c r="AC64" s="12">
        <v>93.46</v>
      </c>
      <c r="AD64" s="2">
        <f t="shared" si="0"/>
        <v>2.3700000000000045</v>
      </c>
      <c r="AE64" s="148">
        <f t="shared" si="1"/>
        <v>-7.4842296589339163E-4</v>
      </c>
    </row>
    <row r="65" spans="23:31" x14ac:dyDescent="0.25">
      <c r="W65" s="143">
        <v>42346</v>
      </c>
      <c r="X65" s="12">
        <v>94.98</v>
      </c>
      <c r="Y65" s="12">
        <v>95.32</v>
      </c>
      <c r="Z65" s="12">
        <v>93.9</v>
      </c>
      <c r="AA65" s="12">
        <v>94.23</v>
      </c>
      <c r="AB65" s="105">
        <v>7011800</v>
      </c>
      <c r="AC65" s="12">
        <v>93.53</v>
      </c>
      <c r="AD65" s="2">
        <f t="shared" si="0"/>
        <v>1.4199999999999875</v>
      </c>
      <c r="AE65" s="148">
        <f t="shared" si="1"/>
        <v>-1.7542016806722738E-2</v>
      </c>
    </row>
    <row r="66" spans="23:31" x14ac:dyDescent="0.25">
      <c r="W66" s="143">
        <v>42345</v>
      </c>
      <c r="X66" s="12">
        <v>95.62</v>
      </c>
      <c r="Y66" s="12">
        <v>96.25</v>
      </c>
      <c r="Z66" s="12">
        <v>95.37</v>
      </c>
      <c r="AA66" s="12">
        <v>95.91</v>
      </c>
      <c r="AB66" s="105">
        <v>4681200</v>
      </c>
      <c r="AC66" s="12">
        <v>95.2</v>
      </c>
      <c r="AD66" s="2">
        <f t="shared" si="0"/>
        <v>0.87999999999999545</v>
      </c>
      <c r="AE66" s="148">
        <f t="shared" si="1"/>
        <v>1.8943380340981086E-3</v>
      </c>
    </row>
    <row r="67" spans="23:31" x14ac:dyDescent="0.25">
      <c r="W67" s="143">
        <v>42342</v>
      </c>
      <c r="X67" s="12">
        <v>94.99</v>
      </c>
      <c r="Y67" s="12">
        <v>96.63</v>
      </c>
      <c r="Z67" s="12">
        <v>94.79</v>
      </c>
      <c r="AA67" s="12">
        <v>95.73</v>
      </c>
      <c r="AB67" s="105">
        <v>9228900</v>
      </c>
      <c r="AC67" s="12">
        <v>95.02</v>
      </c>
      <c r="AD67" s="2">
        <f t="shared" ref="AD67:AD68" si="3">Y67-Z67</f>
        <v>1.8399999999999892</v>
      </c>
      <c r="AE67" s="148">
        <f t="shared" ref="AE67" si="4">AC67/AC68-1</f>
        <v>1.0851063829787178E-2</v>
      </c>
    </row>
    <row r="68" spans="23:31" x14ac:dyDescent="0.25">
      <c r="W68" s="143">
        <v>42341</v>
      </c>
      <c r="X68" s="12">
        <v>95.3</v>
      </c>
      <c r="Y68" s="12">
        <v>95.8</v>
      </c>
      <c r="Z68" s="12">
        <v>94.4</v>
      </c>
      <c r="AA68" s="12">
        <v>94.7</v>
      </c>
      <c r="AB68" s="105">
        <v>6082000</v>
      </c>
      <c r="AC68" s="12">
        <v>94</v>
      </c>
      <c r="AD68" s="2">
        <f t="shared" si="3"/>
        <v>1.3999999999999915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42438</v>
      </c>
      <c r="X2" s="12">
        <v>121.88</v>
      </c>
      <c r="Y2" s="12">
        <v>122.12</v>
      </c>
      <c r="Z2" s="12">
        <v>120.45</v>
      </c>
      <c r="AA2" s="12">
        <v>121.1</v>
      </c>
      <c r="AB2" s="105">
        <v>2094000</v>
      </c>
      <c r="AC2" s="12">
        <v>121.1</v>
      </c>
      <c r="AD2" s="2">
        <f>Y2-Z2</f>
        <v>1.6700000000000017</v>
      </c>
      <c r="AE2" s="148" t="e">
        <f>AC2/AC3-1</f>
        <v>#DIV/0!</v>
      </c>
      <c r="AP2" t="s">
        <v>191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121.1</v>
      </c>
      <c r="W3" s="143">
        <v>42438</v>
      </c>
      <c r="X3" s="12" t="s">
        <v>155</v>
      </c>
      <c r="Y3" s="12"/>
      <c r="Z3" s="12"/>
      <c r="AA3" s="12"/>
      <c r="AB3" s="105"/>
      <c r="AC3" s="12"/>
      <c r="AD3" s="2">
        <f t="shared" ref="AD3:AD66" si="1">Y3-Z3</f>
        <v>0</v>
      </c>
      <c r="AE3" s="148">
        <f t="shared" ref="AE3:AE66" si="2">AC3/AC4-1</f>
        <v>-1</v>
      </c>
      <c r="AI3" t="s">
        <v>203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121.1</v>
      </c>
      <c r="W4" s="143">
        <v>42437</v>
      </c>
      <c r="X4" s="12">
        <v>121.28</v>
      </c>
      <c r="Y4" s="12">
        <v>122.32</v>
      </c>
      <c r="Z4" s="12">
        <v>120.73</v>
      </c>
      <c r="AA4" s="12">
        <v>121.66</v>
      </c>
      <c r="AB4" s="105">
        <v>2522000</v>
      </c>
      <c r="AC4" s="12">
        <v>121.16</v>
      </c>
      <c r="AD4" s="2">
        <f t="shared" si="1"/>
        <v>1.5899999999999892</v>
      </c>
      <c r="AE4" s="148">
        <f t="shared" si="2"/>
        <v>-8.246742536698326E-4</v>
      </c>
      <c r="AI4" t="s">
        <v>204</v>
      </c>
      <c r="AJ4">
        <v>-10</v>
      </c>
      <c r="AK4" t="s">
        <v>195</v>
      </c>
      <c r="AL4" t="s">
        <v>195</v>
      </c>
      <c r="AO4" s="272">
        <v>-1153.98</v>
      </c>
      <c r="AP4" t="s">
        <v>195</v>
      </c>
      <c r="AQ4" t="s">
        <v>195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42436</v>
      </c>
      <c r="X5" s="12">
        <v>121.08</v>
      </c>
      <c r="Y5" s="12">
        <v>122.74</v>
      </c>
      <c r="Z5" s="12">
        <v>120.9</v>
      </c>
      <c r="AA5" s="12">
        <v>121.76</v>
      </c>
      <c r="AB5" s="105">
        <v>2315400</v>
      </c>
      <c r="AC5" s="12">
        <v>121.26</v>
      </c>
      <c r="AD5" s="2">
        <f t="shared" si="1"/>
        <v>1.8399999999999892</v>
      </c>
      <c r="AE5" s="148">
        <f t="shared" si="2"/>
        <v>-3.297609233304799E-4</v>
      </c>
      <c r="AI5" t="s">
        <v>199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42433</v>
      </c>
      <c r="X6" s="12">
        <v>121.32</v>
      </c>
      <c r="Y6" s="12">
        <v>122.19</v>
      </c>
      <c r="Z6" s="12">
        <v>120.74</v>
      </c>
      <c r="AA6" s="12">
        <v>121.8</v>
      </c>
      <c r="AB6" s="105">
        <v>2873900</v>
      </c>
      <c r="AC6" s="12">
        <v>121.3</v>
      </c>
      <c r="AD6" s="2">
        <f t="shared" si="1"/>
        <v>1.4500000000000028</v>
      </c>
      <c r="AE6" s="148">
        <f t="shared" si="2"/>
        <v>-1.6485328058024606E-4</v>
      </c>
      <c r="AI6" t="s">
        <v>194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42432</v>
      </c>
      <c r="X7" s="12">
        <v>120.86</v>
      </c>
      <c r="Y7" s="12">
        <v>121.86</v>
      </c>
      <c r="Z7" s="12">
        <v>120.09</v>
      </c>
      <c r="AA7" s="12">
        <v>121.82</v>
      </c>
      <c r="AB7" s="105">
        <v>3064100</v>
      </c>
      <c r="AC7" s="12">
        <v>121.32</v>
      </c>
      <c r="AD7" s="2">
        <f t="shared" si="1"/>
        <v>1.769999999999996</v>
      </c>
      <c r="AE7" s="148">
        <f t="shared" si="2"/>
        <v>4.5541111203113438E-3</v>
      </c>
    </row>
    <row r="8" spans="1:43" x14ac:dyDescent="0.25">
      <c r="O8" s="13" t="s">
        <v>90</v>
      </c>
      <c r="Q8" s="148">
        <f>(Q4-Q3)/Q3</f>
        <v>0</v>
      </c>
      <c r="W8" s="143">
        <v>42431</v>
      </c>
      <c r="X8" s="12">
        <v>121.23</v>
      </c>
      <c r="Y8" s="12">
        <v>121.84</v>
      </c>
      <c r="Z8" s="12">
        <v>120.37</v>
      </c>
      <c r="AA8" s="12">
        <v>121.27</v>
      </c>
      <c r="AB8" s="105">
        <v>2670900</v>
      </c>
      <c r="AC8" s="12">
        <v>120.77</v>
      </c>
      <c r="AD8" s="2">
        <f t="shared" si="1"/>
        <v>1.4699999999999989</v>
      </c>
      <c r="AE8" s="148">
        <f t="shared" si="2"/>
        <v>-3.3011471486341648E-3</v>
      </c>
    </row>
    <row r="9" spans="1:43" x14ac:dyDescent="0.25">
      <c r="W9" s="143">
        <v>42430</v>
      </c>
      <c r="X9" s="12">
        <v>119.49</v>
      </c>
      <c r="Y9" s="12">
        <v>122.22</v>
      </c>
      <c r="Z9" s="12">
        <v>119.37</v>
      </c>
      <c r="AA9" s="12">
        <v>121.67</v>
      </c>
      <c r="AB9" s="105">
        <v>3295600</v>
      </c>
      <c r="AC9" s="12">
        <v>121.17</v>
      </c>
      <c r="AD9" s="2">
        <f t="shared" si="1"/>
        <v>2.8499999999999943</v>
      </c>
      <c r="AE9" s="148">
        <f t="shared" si="2"/>
        <v>2.1583340359160319E-2</v>
      </c>
    </row>
    <row r="10" spans="1:43" x14ac:dyDescent="0.25">
      <c r="W10" s="143">
        <v>42429</v>
      </c>
      <c r="X10" s="12">
        <v>121.1</v>
      </c>
      <c r="Y10" s="12">
        <v>121.82</v>
      </c>
      <c r="Z10" s="12">
        <v>118.97</v>
      </c>
      <c r="AA10" s="12">
        <v>119.1</v>
      </c>
      <c r="AB10" s="105">
        <v>4526300</v>
      </c>
      <c r="AC10" s="12">
        <v>118.61</v>
      </c>
      <c r="AD10" s="2">
        <f t="shared" si="1"/>
        <v>2.8499999999999943</v>
      </c>
      <c r="AE10" s="148">
        <f t="shared" si="2"/>
        <v>-1.8372920632293344E-2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42426</v>
      </c>
      <c r="X11" s="12">
        <v>121.48</v>
      </c>
      <c r="Y11" s="12">
        <v>122.26</v>
      </c>
      <c r="Z11" s="12">
        <v>120.89</v>
      </c>
      <c r="AA11" s="12">
        <v>121.33</v>
      </c>
      <c r="AB11" s="105">
        <v>2877500</v>
      </c>
      <c r="AC11" s="12">
        <v>120.83</v>
      </c>
      <c r="AD11" s="2">
        <f t="shared" si="1"/>
        <v>1.3700000000000045</v>
      </c>
      <c r="AE11" s="148">
        <f t="shared" si="2"/>
        <v>1.0770505385251372E-3</v>
      </c>
    </row>
    <row r="12" spans="1:43" x14ac:dyDescent="0.25">
      <c r="W12" s="143">
        <v>42425</v>
      </c>
      <c r="X12" s="12">
        <v>120.2</v>
      </c>
      <c r="Y12" s="12">
        <v>121.23</v>
      </c>
      <c r="Z12" s="12">
        <v>119.82</v>
      </c>
      <c r="AA12" s="12">
        <v>121.2</v>
      </c>
      <c r="AB12" s="105">
        <v>2281700</v>
      </c>
      <c r="AC12" s="12">
        <v>120.7</v>
      </c>
      <c r="AD12" s="2">
        <f t="shared" si="1"/>
        <v>1.4100000000000108</v>
      </c>
      <c r="AE12" s="148">
        <f t="shared" si="2"/>
        <v>8.2699857990142789E-3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W13" s="143">
        <v>42424</v>
      </c>
      <c r="X13" s="12">
        <v>119.93</v>
      </c>
      <c r="Y13" s="12">
        <v>120.32</v>
      </c>
      <c r="Z13" s="12">
        <v>117.83</v>
      </c>
      <c r="AA13" s="12">
        <v>120.2</v>
      </c>
      <c r="AB13" s="105">
        <v>2559700</v>
      </c>
      <c r="AC13" s="12">
        <v>119.71</v>
      </c>
      <c r="AD13" s="2">
        <f t="shared" si="1"/>
        <v>2.4899999999999949</v>
      </c>
      <c r="AE13" s="148">
        <f t="shared" si="2"/>
        <v>-7.7911313717364816E-3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42423</v>
      </c>
      <c r="X14" s="12">
        <v>120.64</v>
      </c>
      <c r="Y14" s="12">
        <v>121.8</v>
      </c>
      <c r="Z14" s="12">
        <v>120.27</v>
      </c>
      <c r="AA14" s="12">
        <v>121.15</v>
      </c>
      <c r="AB14" s="105">
        <v>2804400</v>
      </c>
      <c r="AC14" s="12">
        <v>120.65</v>
      </c>
      <c r="AD14" s="2">
        <f t="shared" si="1"/>
        <v>1.5300000000000011</v>
      </c>
      <c r="AE14" s="148">
        <f t="shared" si="2"/>
        <v>-9.9362424443150132E-4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42422</v>
      </c>
      <c r="X15" s="12">
        <v>119.1</v>
      </c>
      <c r="Y15" s="12">
        <v>122.14</v>
      </c>
      <c r="Z15" s="12">
        <v>118.96</v>
      </c>
      <c r="AA15" s="12">
        <v>121.27</v>
      </c>
      <c r="AB15" s="105">
        <v>5054800</v>
      </c>
      <c r="AC15" s="12">
        <v>120.77</v>
      </c>
      <c r="AD15" s="2">
        <f t="shared" si="1"/>
        <v>3.1800000000000068</v>
      </c>
      <c r="AE15" s="148">
        <f t="shared" si="2"/>
        <v>3.046075085324218E-2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42419</v>
      </c>
      <c r="X16" s="12">
        <v>117.5</v>
      </c>
      <c r="Y16" s="12">
        <v>118.55</v>
      </c>
      <c r="Z16" s="12">
        <v>116.02</v>
      </c>
      <c r="AA16" s="12">
        <v>117.68</v>
      </c>
      <c r="AB16" s="105">
        <v>4481400</v>
      </c>
      <c r="AC16" s="12">
        <v>117.2</v>
      </c>
      <c r="AD16" s="2">
        <f t="shared" si="1"/>
        <v>2.5300000000000011</v>
      </c>
      <c r="AE16" s="148">
        <f t="shared" si="2"/>
        <v>1.9663161494400949E-3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42418</v>
      </c>
      <c r="X17" s="12">
        <v>118.5</v>
      </c>
      <c r="Y17" s="12">
        <v>120</v>
      </c>
      <c r="Z17" s="12">
        <v>117.06</v>
      </c>
      <c r="AA17" s="12">
        <v>117.45</v>
      </c>
      <c r="AB17" s="105">
        <v>3847100</v>
      </c>
      <c r="AC17" s="12">
        <v>116.97</v>
      </c>
      <c r="AD17" s="2">
        <f t="shared" si="1"/>
        <v>2.9399999999999977</v>
      </c>
      <c r="AE17" s="148">
        <f t="shared" si="2"/>
        <v>-7.1301247771836662E-3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42417</v>
      </c>
      <c r="X18" s="12">
        <v>115.5</v>
      </c>
      <c r="Y18" s="12">
        <v>118.39</v>
      </c>
      <c r="Z18" s="12">
        <v>115.2</v>
      </c>
      <c r="AA18" s="12">
        <v>118.3</v>
      </c>
      <c r="AB18" s="105">
        <v>4466000</v>
      </c>
      <c r="AC18" s="12">
        <v>117.81</v>
      </c>
      <c r="AD18" s="2">
        <f t="shared" si="1"/>
        <v>3.1899999999999977</v>
      </c>
      <c r="AE18" s="148">
        <f t="shared" si="2"/>
        <v>2.7293337983955279E-2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42416</v>
      </c>
      <c r="X19" s="12">
        <v>112.63</v>
      </c>
      <c r="Y19" s="12">
        <v>115.27</v>
      </c>
      <c r="Z19" s="12">
        <v>112.53</v>
      </c>
      <c r="AA19" s="12">
        <v>115.15</v>
      </c>
      <c r="AB19" s="105">
        <v>3445700</v>
      </c>
      <c r="AC19" s="12">
        <v>114.68</v>
      </c>
      <c r="AD19" s="2">
        <f t="shared" si="1"/>
        <v>2.7399999999999949</v>
      </c>
      <c r="AE19" s="148">
        <f t="shared" si="2"/>
        <v>2.9813218390804641E-2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42412</v>
      </c>
      <c r="X20" s="12">
        <v>111.2</v>
      </c>
      <c r="Y20" s="12">
        <v>111.91</v>
      </c>
      <c r="Z20" s="12">
        <v>110.21</v>
      </c>
      <c r="AA20" s="12">
        <v>111.82</v>
      </c>
      <c r="AB20" s="105">
        <v>2552100</v>
      </c>
      <c r="AC20" s="12">
        <v>111.36</v>
      </c>
      <c r="AD20" s="2">
        <f t="shared" si="1"/>
        <v>1.7000000000000028</v>
      </c>
      <c r="AE20" s="148">
        <f t="shared" si="2"/>
        <v>1.0801488608514154E-2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42411</v>
      </c>
      <c r="X21" s="12">
        <v>111.32</v>
      </c>
      <c r="Y21" s="12">
        <v>111.69</v>
      </c>
      <c r="Z21" s="12">
        <v>110.09</v>
      </c>
      <c r="AA21" s="12">
        <v>110.62</v>
      </c>
      <c r="AB21" s="105">
        <v>3955000</v>
      </c>
      <c r="AC21" s="12">
        <v>110.17</v>
      </c>
      <c r="AD21" s="2">
        <f t="shared" si="1"/>
        <v>1.5999999999999943</v>
      </c>
      <c r="AE21" s="148">
        <f t="shared" si="2"/>
        <v>-1.879230495190598E-2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42410</v>
      </c>
      <c r="X22" s="12">
        <v>111.33</v>
      </c>
      <c r="Y22" s="12">
        <v>114.48</v>
      </c>
      <c r="Z22" s="12">
        <v>111.33</v>
      </c>
      <c r="AA22" s="12">
        <v>112.74</v>
      </c>
      <c r="AB22" s="105">
        <v>3023200</v>
      </c>
      <c r="AC22" s="12">
        <v>112.28</v>
      </c>
      <c r="AD22" s="2">
        <f t="shared" si="1"/>
        <v>3.1500000000000057</v>
      </c>
      <c r="AE22" s="148">
        <f t="shared" si="2"/>
        <v>1.4272809394760611E-2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42409</v>
      </c>
      <c r="X23" s="12">
        <v>109.37</v>
      </c>
      <c r="Y23" s="12">
        <v>112.28</v>
      </c>
      <c r="Z23" s="12">
        <v>109.14</v>
      </c>
      <c r="AA23" s="12">
        <v>111.16</v>
      </c>
      <c r="AB23" s="105">
        <v>3680200</v>
      </c>
      <c r="AC23" s="12">
        <v>110.7</v>
      </c>
      <c r="AD23" s="2">
        <f t="shared" si="1"/>
        <v>3.1400000000000006</v>
      </c>
      <c r="AE23" s="148">
        <f t="shared" si="2"/>
        <v>1.0313041891028663E-2</v>
      </c>
    </row>
    <row r="24" spans="2:31" x14ac:dyDescent="0.25">
      <c r="G24" s="3"/>
      <c r="H24" s="271"/>
      <c r="W24" s="143">
        <v>42408</v>
      </c>
      <c r="X24" s="12">
        <v>110.5</v>
      </c>
      <c r="Y24" s="12">
        <v>111.12</v>
      </c>
      <c r="Z24" s="12">
        <v>108.83</v>
      </c>
      <c r="AA24" s="12">
        <v>110.02</v>
      </c>
      <c r="AB24" s="105">
        <v>5050200</v>
      </c>
      <c r="AC24" s="12">
        <v>109.57</v>
      </c>
      <c r="AD24" s="2">
        <f t="shared" si="1"/>
        <v>2.2900000000000063</v>
      </c>
      <c r="AE24" s="148">
        <f t="shared" si="2"/>
        <v>-1.5189645874528201E-2</v>
      </c>
    </row>
    <row r="25" spans="2:31" x14ac:dyDescent="0.25">
      <c r="W25" s="143">
        <v>42405</v>
      </c>
      <c r="X25" s="12">
        <v>114.07</v>
      </c>
      <c r="Y25" s="12">
        <v>114.21</v>
      </c>
      <c r="Z25" s="12">
        <v>110.9</v>
      </c>
      <c r="AA25" s="12">
        <v>111.72</v>
      </c>
      <c r="AB25" s="105">
        <v>3330800</v>
      </c>
      <c r="AC25" s="12">
        <v>111.26</v>
      </c>
      <c r="AD25" s="2">
        <f t="shared" si="1"/>
        <v>3.3099999999999881</v>
      </c>
      <c r="AE25" s="148">
        <f t="shared" si="2"/>
        <v>-2.1718104282071549E-2</v>
      </c>
    </row>
    <row r="26" spans="2:31" x14ac:dyDescent="0.25">
      <c r="W26" s="143">
        <v>42404</v>
      </c>
      <c r="X26" s="12">
        <v>112.67</v>
      </c>
      <c r="Y26" s="12">
        <v>114.55</v>
      </c>
      <c r="Z26" s="12">
        <v>112.04</v>
      </c>
      <c r="AA26" s="12">
        <v>114.2</v>
      </c>
      <c r="AB26" s="105">
        <v>3608300</v>
      </c>
      <c r="AC26" s="12">
        <v>113.73</v>
      </c>
      <c r="AD26" s="2">
        <f t="shared" si="1"/>
        <v>2.5099999999999909</v>
      </c>
      <c r="AE26" s="148">
        <f t="shared" si="2"/>
        <v>1.282393801763293E-2</v>
      </c>
    </row>
    <row r="27" spans="2:31" x14ac:dyDescent="0.25">
      <c r="W27" s="143">
        <v>42403</v>
      </c>
      <c r="X27" s="12">
        <v>114.37</v>
      </c>
      <c r="Y27" s="12">
        <v>114.37</v>
      </c>
      <c r="Z27" s="12">
        <v>110.3</v>
      </c>
      <c r="AA27" s="12">
        <v>112.75</v>
      </c>
      <c r="AB27" s="105">
        <v>3462300</v>
      </c>
      <c r="AC27" s="12">
        <v>112.29</v>
      </c>
      <c r="AD27" s="2">
        <f t="shared" si="1"/>
        <v>4.0700000000000074</v>
      </c>
      <c r="AE27" s="148">
        <f t="shared" si="2"/>
        <v>-9.875672339299757E-3</v>
      </c>
    </row>
    <row r="28" spans="2:31" x14ac:dyDescent="0.25">
      <c r="W28" s="143">
        <v>42402</v>
      </c>
      <c r="X28" s="12">
        <v>114.95</v>
      </c>
      <c r="Y28" s="12">
        <v>115.39</v>
      </c>
      <c r="Z28" s="12">
        <v>113.27</v>
      </c>
      <c r="AA28" s="12">
        <v>113.88</v>
      </c>
      <c r="AB28" s="105">
        <v>2997700</v>
      </c>
      <c r="AC28" s="12">
        <v>113.41</v>
      </c>
      <c r="AD28" s="2">
        <f t="shared" si="1"/>
        <v>2.1200000000000045</v>
      </c>
      <c r="AE28" s="148">
        <f t="shared" si="2"/>
        <v>-1.7329520838748835E-2</v>
      </c>
    </row>
    <row r="29" spans="2:31" x14ac:dyDescent="0.25">
      <c r="W29" s="143">
        <v>42401</v>
      </c>
      <c r="X29" s="12">
        <v>114.83</v>
      </c>
      <c r="Y29" s="12">
        <v>116.15</v>
      </c>
      <c r="Z29" s="12">
        <v>114.11</v>
      </c>
      <c r="AA29" s="12">
        <v>115.89</v>
      </c>
      <c r="AB29" s="105">
        <v>4333500</v>
      </c>
      <c r="AC29" s="12">
        <v>115.41</v>
      </c>
      <c r="AD29" s="2">
        <f t="shared" si="1"/>
        <v>2.0400000000000063</v>
      </c>
      <c r="AE29" s="148">
        <f t="shared" si="2"/>
        <v>6.2777923097043775E-3</v>
      </c>
    </row>
    <row r="30" spans="2:31" x14ac:dyDescent="0.25">
      <c r="W30" s="143">
        <v>42398</v>
      </c>
      <c r="X30" s="12">
        <v>111.93</v>
      </c>
      <c r="Y30" s="12">
        <v>115.16</v>
      </c>
      <c r="Z30" s="12">
        <v>110.62</v>
      </c>
      <c r="AA30" s="12">
        <v>115.16</v>
      </c>
      <c r="AB30" s="105">
        <v>5280800</v>
      </c>
      <c r="AC30" s="12">
        <v>114.69</v>
      </c>
      <c r="AD30" s="2">
        <f t="shared" si="1"/>
        <v>4.539999999999992</v>
      </c>
      <c r="AE30" s="148">
        <f t="shared" si="2"/>
        <v>3.3988460151460398E-2</v>
      </c>
    </row>
    <row r="31" spans="2:31" x14ac:dyDescent="0.25">
      <c r="W31" s="143">
        <v>42397</v>
      </c>
      <c r="X31" s="12">
        <v>112.29</v>
      </c>
      <c r="Y31" s="12">
        <v>113.25</v>
      </c>
      <c r="Z31" s="12">
        <v>110.61</v>
      </c>
      <c r="AA31" s="12">
        <v>111.38</v>
      </c>
      <c r="AB31" s="105">
        <v>3525600</v>
      </c>
      <c r="AC31" s="12">
        <v>110.92</v>
      </c>
      <c r="AD31" s="2">
        <f t="shared" si="1"/>
        <v>2.6400000000000006</v>
      </c>
      <c r="AE31" s="148">
        <f t="shared" si="2"/>
        <v>-8.4919996424421829E-3</v>
      </c>
    </row>
    <row r="32" spans="2:31" x14ac:dyDescent="0.25">
      <c r="W32" s="143">
        <v>42396</v>
      </c>
      <c r="X32" s="12">
        <v>114.43</v>
      </c>
      <c r="Y32" s="12">
        <v>114.81</v>
      </c>
      <c r="Z32" s="12">
        <v>111.84</v>
      </c>
      <c r="AA32" s="12">
        <v>112.33</v>
      </c>
      <c r="AB32" s="105">
        <v>4720300</v>
      </c>
      <c r="AC32" s="12">
        <v>111.87</v>
      </c>
      <c r="AD32" s="2">
        <f t="shared" si="1"/>
        <v>2.9699999999999989</v>
      </c>
      <c r="AE32" s="148">
        <f t="shared" si="2"/>
        <v>-1.4274385408405976E-2</v>
      </c>
    </row>
    <row r="33" spans="15:31" x14ac:dyDescent="0.25">
      <c r="W33" s="143">
        <v>42395</v>
      </c>
      <c r="X33" s="12">
        <v>112.91</v>
      </c>
      <c r="Y33" s="12">
        <v>114.18</v>
      </c>
      <c r="Z33" s="12">
        <v>111.76</v>
      </c>
      <c r="AA33" s="12">
        <v>113.96</v>
      </c>
      <c r="AB33" s="105">
        <v>4592500</v>
      </c>
      <c r="AC33" s="12">
        <v>113.49</v>
      </c>
      <c r="AD33" s="2">
        <f t="shared" si="1"/>
        <v>2.4200000000000017</v>
      </c>
      <c r="AE33" s="148">
        <f t="shared" si="2"/>
        <v>5.136834647063937E-3</v>
      </c>
    </row>
    <row r="34" spans="15:31" x14ac:dyDescent="0.25">
      <c r="W34" s="143">
        <v>42394</v>
      </c>
      <c r="X34" s="12">
        <v>114.52</v>
      </c>
      <c r="Y34" s="12">
        <v>115.31</v>
      </c>
      <c r="Z34" s="12">
        <v>112.85</v>
      </c>
      <c r="AA34" s="12">
        <v>113.38</v>
      </c>
      <c r="AB34" s="105">
        <v>2908500</v>
      </c>
      <c r="AC34" s="12">
        <v>112.91</v>
      </c>
      <c r="AD34" s="2">
        <f t="shared" si="1"/>
        <v>2.460000000000008</v>
      </c>
      <c r="AE34" s="148">
        <f t="shared" si="2"/>
        <v>-8.3435798348849843E-3</v>
      </c>
    </row>
    <row r="35" spans="15:31" x14ac:dyDescent="0.25">
      <c r="W35" s="143">
        <v>42391</v>
      </c>
      <c r="X35" s="12">
        <v>114.67</v>
      </c>
      <c r="Y35" s="12">
        <v>115.15</v>
      </c>
      <c r="Z35" s="12">
        <v>113.89</v>
      </c>
      <c r="AA35" s="12">
        <v>114.33</v>
      </c>
      <c r="AB35" s="105">
        <v>3622200</v>
      </c>
      <c r="AC35" s="12">
        <v>113.86</v>
      </c>
      <c r="AD35" s="2">
        <f t="shared" si="1"/>
        <v>1.2600000000000051</v>
      </c>
      <c r="AE35" s="148">
        <f t="shared" si="2"/>
        <v>7.3431832256922736E-3</v>
      </c>
    </row>
    <row r="36" spans="15:31" x14ac:dyDescent="0.25">
      <c r="W36" s="143">
        <v>42390</v>
      </c>
      <c r="X36" s="12">
        <v>114.67</v>
      </c>
      <c r="Y36" s="12">
        <v>115.48</v>
      </c>
      <c r="Z36" s="12">
        <v>112.26</v>
      </c>
      <c r="AA36" s="12">
        <v>113.5</v>
      </c>
      <c r="AB36" s="105">
        <v>5413900</v>
      </c>
      <c r="AC36" s="12">
        <v>113.03</v>
      </c>
      <c r="AD36" s="2">
        <f t="shared" si="1"/>
        <v>3.2199999999999989</v>
      </c>
      <c r="AE36" s="148">
        <f t="shared" si="2"/>
        <v>-1.128411476557023E-2</v>
      </c>
    </row>
    <row r="37" spans="15:31" x14ac:dyDescent="0.25">
      <c r="W37" s="143">
        <v>42389</v>
      </c>
      <c r="X37" s="12">
        <v>112.09</v>
      </c>
      <c r="Y37" s="12">
        <v>115.74</v>
      </c>
      <c r="Z37" s="12">
        <v>110.15</v>
      </c>
      <c r="AA37" s="12">
        <v>114.79</v>
      </c>
      <c r="AB37" s="105">
        <v>8380700</v>
      </c>
      <c r="AC37" s="12">
        <v>114.32</v>
      </c>
      <c r="AD37" s="2">
        <f t="shared" si="1"/>
        <v>5.5899999999999892</v>
      </c>
      <c r="AE37" s="148">
        <f t="shared" si="2"/>
        <v>1.9621833749553952E-2</v>
      </c>
    </row>
    <row r="38" spans="15:31" x14ac:dyDescent="0.25">
      <c r="W38" s="143">
        <v>42388</v>
      </c>
      <c r="X38" s="12">
        <v>111.49</v>
      </c>
      <c r="Y38" s="12">
        <v>114.16</v>
      </c>
      <c r="Z38" s="12">
        <v>109.6</v>
      </c>
      <c r="AA38" s="12">
        <v>112.58</v>
      </c>
      <c r="AB38" s="105">
        <v>7122800</v>
      </c>
      <c r="AC38" s="12">
        <v>112.12</v>
      </c>
      <c r="AD38" s="2">
        <f t="shared" si="1"/>
        <v>4.5600000000000023</v>
      </c>
      <c r="AE38" s="148">
        <f t="shared" si="2"/>
        <v>3.032530784782228E-2</v>
      </c>
    </row>
    <row r="39" spans="15:31" x14ac:dyDescent="0.25">
      <c r="W39" s="143">
        <v>42384</v>
      </c>
      <c r="X39" s="12">
        <v>109.08</v>
      </c>
      <c r="Y39" s="12">
        <v>110.65</v>
      </c>
      <c r="Z39" s="12">
        <v>107.79</v>
      </c>
      <c r="AA39" s="12">
        <v>109.27</v>
      </c>
      <c r="AB39" s="105">
        <v>6357000</v>
      </c>
      <c r="AC39" s="12">
        <v>108.82</v>
      </c>
      <c r="AD39" s="2">
        <f t="shared" si="1"/>
        <v>2.8599999999999994</v>
      </c>
      <c r="AE39" s="148">
        <f t="shared" si="2"/>
        <v>-1.341795104261112E-2</v>
      </c>
    </row>
    <row r="40" spans="15:31" x14ac:dyDescent="0.25">
      <c r="O40" s="37"/>
      <c r="W40" s="143">
        <v>42383</v>
      </c>
      <c r="X40" s="12">
        <v>108.74</v>
      </c>
      <c r="Y40" s="12">
        <v>111.8</v>
      </c>
      <c r="Z40" s="12">
        <v>107.51</v>
      </c>
      <c r="AA40" s="12">
        <v>110.76</v>
      </c>
      <c r="AB40" s="105">
        <v>4238200</v>
      </c>
      <c r="AC40" s="12">
        <v>110.3</v>
      </c>
      <c r="AD40" s="2">
        <f t="shared" si="1"/>
        <v>4.289999999999992</v>
      </c>
      <c r="AE40" s="148">
        <f t="shared" si="2"/>
        <v>1.3973156830299649E-2</v>
      </c>
    </row>
    <row r="41" spans="15:31" ht="20.25" thickBot="1" x14ac:dyDescent="0.35">
      <c r="O41" s="405" t="s">
        <v>78</v>
      </c>
      <c r="P41" s="405"/>
      <c r="Q41" s="37"/>
      <c r="T41" s="101" t="s">
        <v>116</v>
      </c>
      <c r="W41" s="143">
        <v>42382</v>
      </c>
      <c r="X41" s="12">
        <v>112.41</v>
      </c>
      <c r="Y41" s="12">
        <v>113.04</v>
      </c>
      <c r="Z41" s="12">
        <v>108.93</v>
      </c>
      <c r="AA41" s="12">
        <v>109.23</v>
      </c>
      <c r="AB41" s="105">
        <v>3434300</v>
      </c>
      <c r="AC41" s="12">
        <v>108.78</v>
      </c>
      <c r="AD41" s="2">
        <f t="shared" si="1"/>
        <v>4.1099999999999994</v>
      </c>
      <c r="AE41" s="148">
        <f t="shared" si="2"/>
        <v>-2.7012522361359537E-2</v>
      </c>
    </row>
    <row r="42" spans="15:31" ht="15.75" thickTop="1" x14ac:dyDescent="0.25">
      <c r="O42" s="93">
        <v>1.1000000000000001</v>
      </c>
      <c r="P42" s="93">
        <f>O42*$Q$4</f>
        <v>133.21</v>
      </c>
      <c r="Q42" s="37"/>
      <c r="T42" s="138" t="s">
        <v>101</v>
      </c>
      <c r="U42" s="108">
        <v>121.16</v>
      </c>
      <c r="W42" s="143">
        <v>42381</v>
      </c>
      <c r="X42" s="12">
        <v>110.36</v>
      </c>
      <c r="Y42" s="12">
        <v>113.13</v>
      </c>
      <c r="Z42" s="12">
        <v>110.05</v>
      </c>
      <c r="AA42" s="12">
        <v>112.26</v>
      </c>
      <c r="AB42" s="105">
        <v>4037800</v>
      </c>
      <c r="AC42" s="12">
        <v>111.8</v>
      </c>
      <c r="AD42" s="2">
        <f t="shared" si="1"/>
        <v>3.0799999999999983</v>
      </c>
      <c r="AE42" s="148">
        <f t="shared" si="2"/>
        <v>2.446623293319905E-2</v>
      </c>
    </row>
    <row r="43" spans="15:31" x14ac:dyDescent="0.25">
      <c r="O43" s="93">
        <v>1.0900000000000001</v>
      </c>
      <c r="P43" s="93">
        <f t="shared" ref="P43:P62" si="5">O43*$Q$4</f>
        <v>131.999</v>
      </c>
      <c r="Q43" s="37"/>
      <c r="T43" s="103" t="s">
        <v>102</v>
      </c>
      <c r="U43" s="98">
        <v>121.88</v>
      </c>
      <c r="W43" s="143">
        <v>42380</v>
      </c>
      <c r="X43" s="12">
        <v>110.51</v>
      </c>
      <c r="Y43" s="12">
        <v>110.62</v>
      </c>
      <c r="Z43" s="12">
        <v>108.19</v>
      </c>
      <c r="AA43" s="12">
        <v>109.58</v>
      </c>
      <c r="AB43" s="105">
        <v>4525800</v>
      </c>
      <c r="AC43" s="12">
        <v>109.13</v>
      </c>
      <c r="AD43" s="2">
        <f t="shared" si="1"/>
        <v>2.4300000000000068</v>
      </c>
      <c r="AE43" s="148">
        <f t="shared" si="2"/>
        <v>-5.28666484367879E-3</v>
      </c>
    </row>
    <row r="44" spans="15:31" x14ac:dyDescent="0.25">
      <c r="O44" s="93">
        <v>1.08</v>
      </c>
      <c r="P44" s="93">
        <f t="shared" si="5"/>
        <v>130.78800000000001</v>
      </c>
      <c r="Q44" s="37"/>
      <c r="T44" s="103" t="s">
        <v>103</v>
      </c>
      <c r="U44" s="98" t="s">
        <v>437</v>
      </c>
      <c r="W44" s="143">
        <v>42377</v>
      </c>
      <c r="X44" s="12">
        <v>112.35</v>
      </c>
      <c r="Y44" s="12">
        <v>113</v>
      </c>
      <c r="Z44" s="12">
        <v>109.76</v>
      </c>
      <c r="AA44" s="12">
        <v>110.16</v>
      </c>
      <c r="AB44" s="105">
        <v>4422400</v>
      </c>
      <c r="AC44" s="12">
        <v>109.71</v>
      </c>
      <c r="AD44" s="2">
        <f t="shared" si="1"/>
        <v>3.2399999999999949</v>
      </c>
      <c r="AE44" s="148">
        <f t="shared" si="2"/>
        <v>-1.7199677506046784E-2</v>
      </c>
    </row>
    <row r="45" spans="15:31" x14ac:dyDescent="0.25">
      <c r="O45" s="93">
        <v>1.07</v>
      </c>
      <c r="P45" s="93">
        <f t="shared" si="5"/>
        <v>129.577</v>
      </c>
      <c r="Q45" s="93"/>
      <c r="T45" s="103" t="s">
        <v>104</v>
      </c>
      <c r="U45" s="98" t="s">
        <v>438</v>
      </c>
      <c r="W45" s="143">
        <v>42376</v>
      </c>
      <c r="X45" s="12">
        <v>113.63</v>
      </c>
      <c r="Y45" s="12">
        <v>114.09</v>
      </c>
      <c r="Z45" s="12">
        <v>111.42</v>
      </c>
      <c r="AA45" s="12">
        <v>112.09</v>
      </c>
      <c r="AB45" s="105">
        <v>5277200</v>
      </c>
      <c r="AC45" s="12">
        <v>111.63</v>
      </c>
      <c r="AD45" s="2">
        <f t="shared" si="1"/>
        <v>2.6700000000000017</v>
      </c>
      <c r="AE45" s="148">
        <f t="shared" si="2"/>
        <v>-2.9473135106937942E-2</v>
      </c>
    </row>
    <row r="46" spans="15:31" x14ac:dyDescent="0.25">
      <c r="O46" s="93">
        <v>1.06</v>
      </c>
      <c r="P46" s="93">
        <f t="shared" si="5"/>
        <v>128.36600000000001</v>
      </c>
      <c r="Q46" s="93"/>
      <c r="T46" s="103" t="s">
        <v>105</v>
      </c>
      <c r="U46" s="98">
        <v>140.79</v>
      </c>
      <c r="W46" s="143">
        <v>42375</v>
      </c>
      <c r="X46" s="12">
        <v>115.78</v>
      </c>
      <c r="Y46" s="12">
        <v>116.65</v>
      </c>
      <c r="Z46" s="12">
        <v>114.5</v>
      </c>
      <c r="AA46" s="12">
        <v>115.49</v>
      </c>
      <c r="AB46" s="105">
        <v>2677300</v>
      </c>
      <c r="AC46" s="12">
        <v>115.02</v>
      </c>
      <c r="AD46" s="2">
        <f t="shared" si="1"/>
        <v>2.1500000000000057</v>
      </c>
      <c r="AE46" s="148">
        <f t="shared" si="2"/>
        <v>-1.0154905335628239E-2</v>
      </c>
    </row>
    <row r="47" spans="15:31" x14ac:dyDescent="0.25">
      <c r="O47" s="93">
        <v>1.05</v>
      </c>
      <c r="P47" s="93">
        <f t="shared" si="5"/>
        <v>127.155</v>
      </c>
      <c r="Q47" s="93"/>
      <c r="T47" s="103" t="s">
        <v>106</v>
      </c>
      <c r="U47" s="98">
        <v>0.62180000000000002</v>
      </c>
      <c r="W47" s="143">
        <v>42374</v>
      </c>
      <c r="X47" s="12">
        <v>116.72</v>
      </c>
      <c r="Y47" s="12">
        <v>117.89</v>
      </c>
      <c r="Z47" s="12">
        <v>116.21</v>
      </c>
      <c r="AA47" s="12">
        <v>116.68</v>
      </c>
      <c r="AB47" s="105">
        <v>2816800</v>
      </c>
      <c r="AC47" s="12">
        <v>116.2</v>
      </c>
      <c r="AD47" s="2">
        <f t="shared" si="1"/>
        <v>1.6800000000000068</v>
      </c>
      <c r="AE47" s="148">
        <f t="shared" si="2"/>
        <v>1.8968787722020153E-3</v>
      </c>
    </row>
    <row r="48" spans="15:31" x14ac:dyDescent="0.25">
      <c r="O48" s="93">
        <v>1.04</v>
      </c>
      <c r="P48" s="93">
        <f t="shared" si="5"/>
        <v>125.944</v>
      </c>
      <c r="Q48" s="93"/>
      <c r="T48" s="103" t="s">
        <v>107</v>
      </c>
      <c r="U48" s="98" t="s">
        <v>134</v>
      </c>
      <c r="W48" s="143">
        <v>42373</v>
      </c>
      <c r="X48" s="12">
        <v>116.91</v>
      </c>
      <c r="Y48" s="12">
        <v>116.91</v>
      </c>
      <c r="Z48" s="12">
        <v>114.53</v>
      </c>
      <c r="AA48" s="12">
        <v>116.46</v>
      </c>
      <c r="AB48" s="105">
        <v>4991000</v>
      </c>
      <c r="AC48" s="12">
        <v>115.98</v>
      </c>
      <c r="AD48" s="2">
        <f t="shared" si="1"/>
        <v>2.3799999999999955</v>
      </c>
      <c r="AE48" s="148">
        <f t="shared" si="2"/>
        <v>-1.007169682485487E-2</v>
      </c>
    </row>
    <row r="49" spans="15:31" x14ac:dyDescent="0.25">
      <c r="O49" s="93">
        <v>1.03</v>
      </c>
      <c r="P49" s="93">
        <f t="shared" si="5"/>
        <v>124.733</v>
      </c>
      <c r="Q49" s="93"/>
      <c r="T49" s="103"/>
      <c r="U49" s="98"/>
      <c r="W49" s="143">
        <v>42369</v>
      </c>
      <c r="X49" s="12">
        <v>118.64</v>
      </c>
      <c r="Y49" s="12">
        <v>119.37</v>
      </c>
      <c r="Z49" s="12">
        <v>117.36</v>
      </c>
      <c r="AA49" s="12">
        <v>117.64</v>
      </c>
      <c r="AB49" s="105">
        <v>2372500</v>
      </c>
      <c r="AC49" s="12">
        <v>117.16</v>
      </c>
      <c r="AD49" s="2">
        <f t="shared" si="1"/>
        <v>2.0100000000000051</v>
      </c>
      <c r="AE49" s="148">
        <f t="shared" si="2"/>
        <v>-1.072363421430389E-2</v>
      </c>
    </row>
    <row r="50" spans="15:31" x14ac:dyDescent="0.25">
      <c r="O50" s="93">
        <v>1.02</v>
      </c>
      <c r="P50" s="93">
        <f t="shared" si="5"/>
        <v>123.52199999999999</v>
      </c>
      <c r="Q50" s="93"/>
      <c r="T50" s="103" t="s">
        <v>108</v>
      </c>
      <c r="U50" s="98" t="s">
        <v>439</v>
      </c>
      <c r="W50" s="143">
        <v>42368</v>
      </c>
      <c r="X50" s="12">
        <v>120.03</v>
      </c>
      <c r="Y50" s="12">
        <v>120.11</v>
      </c>
      <c r="Z50" s="12">
        <v>118.66</v>
      </c>
      <c r="AA50" s="12">
        <v>118.92</v>
      </c>
      <c r="AB50" s="105">
        <v>1747700</v>
      </c>
      <c r="AC50" s="12">
        <v>118.43</v>
      </c>
      <c r="AD50" s="2">
        <f t="shared" si="1"/>
        <v>1.4500000000000028</v>
      </c>
      <c r="AE50" s="148">
        <f t="shared" si="2"/>
        <v>-7.5421101148076541E-3</v>
      </c>
    </row>
    <row r="51" spans="15:31" x14ac:dyDescent="0.25">
      <c r="O51" s="93">
        <v>1.01</v>
      </c>
      <c r="P51" s="93">
        <f t="shared" si="5"/>
        <v>122.31099999999999</v>
      </c>
      <c r="Q51" s="93"/>
      <c r="T51" s="103" t="s">
        <v>109</v>
      </c>
      <c r="U51" s="98" t="s">
        <v>183</v>
      </c>
      <c r="W51" s="143">
        <v>42367</v>
      </c>
      <c r="X51" s="12">
        <v>118.87</v>
      </c>
      <c r="Y51" s="12">
        <v>120.41</v>
      </c>
      <c r="Z51" s="12">
        <v>118.7</v>
      </c>
      <c r="AA51" s="12">
        <v>119.82</v>
      </c>
      <c r="AB51" s="105">
        <v>2027600</v>
      </c>
      <c r="AC51" s="12">
        <v>119.33</v>
      </c>
      <c r="AD51" s="2">
        <f t="shared" si="1"/>
        <v>1.7099999999999937</v>
      </c>
      <c r="AE51" s="148">
        <f t="shared" si="2"/>
        <v>1.2644263408010836E-2</v>
      </c>
    </row>
    <row r="52" spans="15:31" x14ac:dyDescent="0.25">
      <c r="O52" s="93">
        <v>1</v>
      </c>
      <c r="P52" s="93">
        <f t="shared" si="5"/>
        <v>121.1</v>
      </c>
      <c r="Q52" s="93"/>
      <c r="T52" s="103" t="s">
        <v>110</v>
      </c>
      <c r="U52" s="100">
        <v>2094397</v>
      </c>
      <c r="W52" s="143">
        <v>42366</v>
      </c>
      <c r="X52" s="12">
        <v>118.26</v>
      </c>
      <c r="Y52" s="12">
        <v>118.61</v>
      </c>
      <c r="Z52" s="12">
        <v>117.38</v>
      </c>
      <c r="AA52" s="12">
        <v>118.33</v>
      </c>
      <c r="AB52" s="105">
        <v>1582600</v>
      </c>
      <c r="AC52" s="12">
        <v>117.84</v>
      </c>
      <c r="AD52" s="2">
        <f t="shared" si="1"/>
        <v>1.230000000000004</v>
      </c>
      <c r="AE52" s="148">
        <f t="shared" si="2"/>
        <v>-8.485362749244274E-5</v>
      </c>
    </row>
    <row r="53" spans="15:31" x14ac:dyDescent="0.25">
      <c r="O53" s="93">
        <v>0.99</v>
      </c>
      <c r="P53" s="93">
        <f t="shared" si="5"/>
        <v>119.889</v>
      </c>
      <c r="Q53" s="93"/>
      <c r="T53" s="103" t="s">
        <v>113</v>
      </c>
      <c r="U53" s="100">
        <v>3699540</v>
      </c>
      <c r="W53" s="143">
        <v>42362</v>
      </c>
      <c r="X53" s="12">
        <v>118.53</v>
      </c>
      <c r="Y53" s="12">
        <v>119.18</v>
      </c>
      <c r="Z53" s="12">
        <v>118.29</v>
      </c>
      <c r="AA53" s="12">
        <v>118.34</v>
      </c>
      <c r="AB53" s="105">
        <v>900100</v>
      </c>
      <c r="AC53" s="12">
        <v>117.85</v>
      </c>
      <c r="AD53" s="2">
        <f t="shared" si="1"/>
        <v>0.89000000000000057</v>
      </c>
      <c r="AE53" s="148">
        <f t="shared" si="2"/>
        <v>-2.9610829103215996E-3</v>
      </c>
    </row>
    <row r="54" spans="15:31" x14ac:dyDescent="0.25">
      <c r="O54" s="93">
        <v>0.98</v>
      </c>
      <c r="P54" s="93">
        <f t="shared" si="5"/>
        <v>118.678</v>
      </c>
      <c r="Q54" s="93"/>
      <c r="T54" s="103" t="s">
        <v>111</v>
      </c>
      <c r="U54" s="98" t="s">
        <v>440</v>
      </c>
      <c r="W54" s="143">
        <v>42361</v>
      </c>
      <c r="X54" s="12">
        <v>117.9</v>
      </c>
      <c r="Y54" s="12">
        <v>118.83</v>
      </c>
      <c r="Z54" s="12">
        <v>117.55</v>
      </c>
      <c r="AA54" s="12">
        <v>118.69</v>
      </c>
      <c r="AB54" s="105">
        <v>2479600</v>
      </c>
      <c r="AC54" s="12">
        <v>118.2</v>
      </c>
      <c r="AD54" s="2">
        <f t="shared" si="1"/>
        <v>1.2800000000000011</v>
      </c>
      <c r="AE54" s="148">
        <f t="shared" si="2"/>
        <v>1.0601915184678568E-2</v>
      </c>
    </row>
    <row r="55" spans="15:31" x14ac:dyDescent="0.25">
      <c r="O55" s="93">
        <v>0.97</v>
      </c>
      <c r="P55" s="93">
        <f t="shared" si="5"/>
        <v>117.46699999999998</v>
      </c>
      <c r="Q55" s="93"/>
      <c r="T55" s="103" t="s">
        <v>114</v>
      </c>
      <c r="U55" s="98">
        <v>20.149999999999999</v>
      </c>
      <c r="W55" s="143">
        <v>42360</v>
      </c>
      <c r="X55" s="12">
        <v>118.19</v>
      </c>
      <c r="Y55" s="12">
        <v>118.34</v>
      </c>
      <c r="Z55" s="12">
        <v>116.21</v>
      </c>
      <c r="AA55" s="12">
        <v>117.44</v>
      </c>
      <c r="AB55" s="105">
        <v>2821600</v>
      </c>
      <c r="AC55" s="12">
        <v>116.96</v>
      </c>
      <c r="AD55" s="2">
        <f t="shared" si="1"/>
        <v>2.1300000000000097</v>
      </c>
      <c r="AE55" s="148">
        <f t="shared" si="2"/>
        <v>2.565637560931755E-4</v>
      </c>
    </row>
    <row r="56" spans="15:31" x14ac:dyDescent="0.25">
      <c r="O56" s="93">
        <v>0.96</v>
      </c>
      <c r="P56" s="93">
        <f t="shared" si="5"/>
        <v>116.25599999999999</v>
      </c>
      <c r="Q56" s="93"/>
      <c r="T56" s="103" t="s">
        <v>115</v>
      </c>
      <c r="U56" s="98">
        <v>6.01</v>
      </c>
      <c r="W56" s="143">
        <v>42359</v>
      </c>
      <c r="X56" s="12">
        <v>116.57</v>
      </c>
      <c r="Y56" s="12">
        <v>117.77</v>
      </c>
      <c r="Z56" s="12">
        <v>116</v>
      </c>
      <c r="AA56" s="12">
        <v>117.41</v>
      </c>
      <c r="AB56" s="105">
        <v>3185200</v>
      </c>
      <c r="AC56" s="12">
        <v>116.93</v>
      </c>
      <c r="AD56" s="2">
        <f t="shared" si="1"/>
        <v>1.769999999999996</v>
      </c>
      <c r="AE56" s="148">
        <f t="shared" si="2"/>
        <v>1.3785330327726664E-2</v>
      </c>
    </row>
    <row r="57" spans="15:31" x14ac:dyDescent="0.25">
      <c r="O57" s="93">
        <v>0.95</v>
      </c>
      <c r="P57" s="93">
        <f t="shared" si="5"/>
        <v>115.04499999999999</v>
      </c>
      <c r="Q57" s="93"/>
      <c r="T57" s="103" t="s">
        <v>112</v>
      </c>
      <c r="U57" s="98" t="s">
        <v>306</v>
      </c>
      <c r="W57" s="143">
        <v>42356</v>
      </c>
      <c r="X57" s="12">
        <v>118.61</v>
      </c>
      <c r="Y57" s="12">
        <v>118.86</v>
      </c>
      <c r="Z57" s="12">
        <v>115.82</v>
      </c>
      <c r="AA57" s="12">
        <v>115.82</v>
      </c>
      <c r="AB57" s="105">
        <v>7574800</v>
      </c>
      <c r="AC57" s="12">
        <v>115.34</v>
      </c>
      <c r="AD57" s="2">
        <f t="shared" si="1"/>
        <v>3.0400000000000063</v>
      </c>
      <c r="AE57" s="148">
        <f t="shared" si="2"/>
        <v>-2.8552177208793106E-2</v>
      </c>
    </row>
    <row r="58" spans="15:31" x14ac:dyDescent="0.25">
      <c r="O58" s="93">
        <v>0.94</v>
      </c>
      <c r="P58" s="93">
        <f t="shared" si="5"/>
        <v>113.83399999999999</v>
      </c>
      <c r="Q58" s="93"/>
      <c r="W58" s="143">
        <v>42355</v>
      </c>
      <c r="X58" s="12">
        <v>118.83</v>
      </c>
      <c r="Y58" s="12">
        <v>121.09</v>
      </c>
      <c r="Z58" s="12">
        <v>118.64</v>
      </c>
      <c r="AA58" s="12">
        <v>119.22</v>
      </c>
      <c r="AB58" s="105">
        <v>3945800</v>
      </c>
      <c r="AC58" s="12">
        <v>118.73</v>
      </c>
      <c r="AD58" s="2">
        <f t="shared" si="1"/>
        <v>2.4500000000000028</v>
      </c>
      <c r="AE58" s="148">
        <f t="shared" si="2"/>
        <v>3.2955889809025418E-3</v>
      </c>
    </row>
    <row r="59" spans="15:31" x14ac:dyDescent="0.25">
      <c r="O59" s="93">
        <v>0.93</v>
      </c>
      <c r="P59" s="93">
        <f t="shared" si="5"/>
        <v>112.623</v>
      </c>
      <c r="Q59" s="93"/>
      <c r="W59" s="143">
        <v>42354</v>
      </c>
      <c r="X59" s="12">
        <v>118.3</v>
      </c>
      <c r="Y59" s="12">
        <v>119.76</v>
      </c>
      <c r="Z59" s="12">
        <v>116.9</v>
      </c>
      <c r="AA59" s="12">
        <v>118.83</v>
      </c>
      <c r="AB59" s="105">
        <v>3516900</v>
      </c>
      <c r="AC59" s="12">
        <v>118.34</v>
      </c>
      <c r="AD59" s="2">
        <f t="shared" si="1"/>
        <v>2.8599999999999994</v>
      </c>
      <c r="AE59" s="148">
        <f t="shared" si="2"/>
        <v>1.0330402117305626E-2</v>
      </c>
    </row>
    <row r="60" spans="15:31" x14ac:dyDescent="0.25">
      <c r="O60" s="93">
        <v>0.92</v>
      </c>
      <c r="P60" s="93">
        <f t="shared" si="5"/>
        <v>111.41200000000001</v>
      </c>
      <c r="Q60" s="93"/>
      <c r="W60" s="143">
        <v>42353</v>
      </c>
      <c r="X60" s="12">
        <v>116.87</v>
      </c>
      <c r="Y60" s="12">
        <v>118.5</v>
      </c>
      <c r="Z60" s="12">
        <v>116.66</v>
      </c>
      <c r="AA60" s="12">
        <v>117.61</v>
      </c>
      <c r="AB60" s="105">
        <v>3098100</v>
      </c>
      <c r="AC60" s="12">
        <v>117.13</v>
      </c>
      <c r="AD60" s="2">
        <f t="shared" si="1"/>
        <v>1.8400000000000034</v>
      </c>
      <c r="AE60" s="148">
        <f t="shared" si="2"/>
        <v>1.525526566698443E-2</v>
      </c>
    </row>
    <row r="61" spans="15:31" x14ac:dyDescent="0.25">
      <c r="O61" s="93">
        <v>0.91</v>
      </c>
      <c r="P61" s="93">
        <f t="shared" si="5"/>
        <v>110.20099999999999</v>
      </c>
      <c r="Q61" s="93"/>
      <c r="W61" s="143">
        <v>42352</v>
      </c>
      <c r="X61" s="12">
        <v>115.88</v>
      </c>
      <c r="Y61" s="12">
        <v>116.74</v>
      </c>
      <c r="Z61" s="12">
        <v>114.43</v>
      </c>
      <c r="AA61" s="12">
        <v>115.85</v>
      </c>
      <c r="AB61" s="105">
        <v>3867200</v>
      </c>
      <c r="AC61" s="12">
        <v>115.37</v>
      </c>
      <c r="AD61" s="2">
        <f t="shared" si="1"/>
        <v>2.3099999999999881</v>
      </c>
      <c r="AE61" s="148">
        <f t="shared" si="2"/>
        <v>-1.1255411255410852E-3</v>
      </c>
    </row>
    <row r="62" spans="15:31" x14ac:dyDescent="0.25">
      <c r="O62" s="93">
        <v>0.9</v>
      </c>
      <c r="P62" s="93">
        <f t="shared" si="5"/>
        <v>108.99</v>
      </c>
      <c r="Q62" s="93"/>
      <c r="W62" s="143">
        <v>42349</v>
      </c>
      <c r="X62" s="12">
        <v>116.21</v>
      </c>
      <c r="Y62" s="12">
        <v>117.34</v>
      </c>
      <c r="Z62" s="12">
        <v>114.62</v>
      </c>
      <c r="AA62" s="12">
        <v>115.98</v>
      </c>
      <c r="AB62" s="105">
        <v>3830800</v>
      </c>
      <c r="AC62" s="12">
        <v>115.5</v>
      </c>
      <c r="AD62" s="2">
        <f t="shared" si="1"/>
        <v>2.7199999999999989</v>
      </c>
      <c r="AE62" s="148">
        <f t="shared" si="2"/>
        <v>-1.9873844292750409E-3</v>
      </c>
    </row>
    <row r="63" spans="15:31" x14ac:dyDescent="0.25">
      <c r="O63" s="37"/>
      <c r="W63" s="143">
        <v>42348</v>
      </c>
      <c r="X63" s="12">
        <v>115.05</v>
      </c>
      <c r="Y63" s="12">
        <v>117.05</v>
      </c>
      <c r="Z63" s="12">
        <v>114.34</v>
      </c>
      <c r="AA63" s="12">
        <v>116.21</v>
      </c>
      <c r="AB63" s="105">
        <v>3202600</v>
      </c>
      <c r="AC63" s="12">
        <v>115.73</v>
      </c>
      <c r="AD63" s="2">
        <f t="shared" si="1"/>
        <v>2.7099999999999937</v>
      </c>
      <c r="AE63" s="148">
        <f t="shared" si="2"/>
        <v>1.0036655611799672E-2</v>
      </c>
    </row>
    <row r="64" spans="15:31" x14ac:dyDescent="0.25">
      <c r="O64" s="37"/>
      <c r="W64" s="143">
        <v>42347</v>
      </c>
      <c r="X64" s="12">
        <v>115.4</v>
      </c>
      <c r="Y64" s="12">
        <v>116.82</v>
      </c>
      <c r="Z64" s="12">
        <v>114.66</v>
      </c>
      <c r="AA64" s="12">
        <v>115.05</v>
      </c>
      <c r="AB64" s="105">
        <v>3839100</v>
      </c>
      <c r="AC64" s="12">
        <v>114.58</v>
      </c>
      <c r="AD64" s="2">
        <f t="shared" si="1"/>
        <v>2.1599999999999966</v>
      </c>
      <c r="AE64" s="148">
        <f t="shared" si="2"/>
        <v>-7.1057192374350819E-3</v>
      </c>
    </row>
    <row r="65" spans="23:31" x14ac:dyDescent="0.25">
      <c r="W65" s="143">
        <v>42346</v>
      </c>
      <c r="X65" s="12">
        <v>114.95</v>
      </c>
      <c r="Y65" s="12">
        <v>116.35</v>
      </c>
      <c r="Z65" s="12">
        <v>113.95</v>
      </c>
      <c r="AA65" s="12">
        <v>115.88</v>
      </c>
      <c r="AB65" s="105">
        <v>3551900</v>
      </c>
      <c r="AC65" s="12">
        <v>115.4</v>
      </c>
      <c r="AD65" s="2">
        <f t="shared" si="1"/>
        <v>2.3999999999999915</v>
      </c>
      <c r="AE65" s="148">
        <f t="shared" si="2"/>
        <v>-2.5989777354240573E-4</v>
      </c>
    </row>
    <row r="66" spans="23:31" x14ac:dyDescent="0.25">
      <c r="W66" s="143">
        <v>42345</v>
      </c>
      <c r="X66" s="12">
        <v>117.89</v>
      </c>
      <c r="Y66" s="12">
        <v>117.89</v>
      </c>
      <c r="Z66" s="12">
        <v>115.2</v>
      </c>
      <c r="AA66" s="12">
        <v>115.91</v>
      </c>
      <c r="AB66" s="105">
        <v>3164300</v>
      </c>
      <c r="AC66" s="12">
        <v>115.43</v>
      </c>
      <c r="AD66" s="2">
        <f t="shared" si="1"/>
        <v>2.6899999999999977</v>
      </c>
      <c r="AE66" s="148">
        <f t="shared" si="2"/>
        <v>-1.5606344874637523E-2</v>
      </c>
    </row>
    <row r="67" spans="23:31" x14ac:dyDescent="0.25">
      <c r="W67" s="143">
        <v>42342</v>
      </c>
      <c r="X67" s="12">
        <v>115.59</v>
      </c>
      <c r="Y67" s="12">
        <v>118.25</v>
      </c>
      <c r="Z67" s="12">
        <v>115.24</v>
      </c>
      <c r="AA67" s="12">
        <v>117.74</v>
      </c>
      <c r="AB67" s="105">
        <v>3588200</v>
      </c>
      <c r="AC67" s="12">
        <v>117.26</v>
      </c>
      <c r="AD67" s="2">
        <f t="shared" ref="AD67:AD68" si="6">Y67-Z67</f>
        <v>3.0100000000000051</v>
      </c>
      <c r="AE67" s="148">
        <f t="shared" ref="AE67" si="7">AC67/AC68-1</f>
        <v>2.3836549375709559E-2</v>
      </c>
    </row>
    <row r="68" spans="23:31" x14ac:dyDescent="0.25">
      <c r="W68" s="143">
        <v>42341</v>
      </c>
      <c r="X68" s="12">
        <v>117.8</v>
      </c>
      <c r="Y68" s="12">
        <v>118.28</v>
      </c>
      <c r="Z68" s="12">
        <v>114.43</v>
      </c>
      <c r="AA68" s="12">
        <v>115</v>
      </c>
      <c r="AB68" s="105">
        <v>4286600</v>
      </c>
      <c r="AC68" s="12">
        <v>114.53</v>
      </c>
      <c r="AD68" s="2">
        <f t="shared" si="6"/>
        <v>3.8499999999999943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42438</v>
      </c>
      <c r="X2" s="12">
        <v>261.26</v>
      </c>
      <c r="Y2" s="12">
        <v>263.27999999999997</v>
      </c>
      <c r="Z2" s="12">
        <v>252.38</v>
      </c>
      <c r="AA2" s="12">
        <v>255.66</v>
      </c>
      <c r="AB2" s="105">
        <v>1888300</v>
      </c>
      <c r="AC2" s="12">
        <v>255.66</v>
      </c>
      <c r="AD2" s="2">
        <f>Y2-Z2</f>
        <v>10.899999999999977</v>
      </c>
      <c r="AE2" s="148">
        <f>AC2/AC3-1</f>
        <v>-2.1509491733006647E-2</v>
      </c>
      <c r="AO2" t="s">
        <v>191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42437</v>
      </c>
      <c r="X3" s="12">
        <v>267.24</v>
      </c>
      <c r="Y3" s="12">
        <v>269.02</v>
      </c>
      <c r="Z3" s="12">
        <v>260.77999999999997</v>
      </c>
      <c r="AA3" s="12">
        <v>261.27999999999997</v>
      </c>
      <c r="AB3" s="105">
        <v>1492300</v>
      </c>
      <c r="AC3" s="12">
        <v>261.27999999999997</v>
      </c>
      <c r="AD3" s="2">
        <f t="shared" ref="AD3:AD66" si="0">Y3-Z3</f>
        <v>8.2400000000000091</v>
      </c>
      <c r="AE3" s="148">
        <f t="shared" ref="AE3:AE66" si="1">AC3/AC4-1</f>
        <v>-3.0572870287919329E-2</v>
      </c>
      <c r="AG3" s="1">
        <v>42336</v>
      </c>
      <c r="AH3" t="s">
        <v>197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255.66</v>
      </c>
      <c r="T4" s="1"/>
      <c r="W4" s="143">
        <v>42436</v>
      </c>
      <c r="X4" s="12">
        <v>262.14</v>
      </c>
      <c r="Y4" s="12">
        <v>272.44</v>
      </c>
      <c r="Z4" s="12">
        <v>261.2</v>
      </c>
      <c r="AA4" s="12">
        <v>269.52</v>
      </c>
      <c r="AB4" s="105">
        <v>1678700</v>
      </c>
      <c r="AC4" s="12">
        <v>269.52</v>
      </c>
      <c r="AD4" s="2">
        <f t="shared" si="0"/>
        <v>11.240000000000009</v>
      </c>
      <c r="AE4" s="148">
        <f t="shared" si="1"/>
        <v>2.1141168447374348E-2</v>
      </c>
      <c r="AH4" t="s">
        <v>198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1278.3</v>
      </c>
      <c r="T5" s="1"/>
      <c r="W5" s="143">
        <v>42433</v>
      </c>
      <c r="X5" s="12">
        <v>269.64</v>
      </c>
      <c r="Y5" s="12">
        <v>269.68</v>
      </c>
      <c r="Z5" s="12">
        <v>263.13</v>
      </c>
      <c r="AA5" s="12">
        <v>263.94</v>
      </c>
      <c r="AB5" s="105">
        <v>1635400</v>
      </c>
      <c r="AC5" s="12">
        <v>263.94</v>
      </c>
      <c r="AD5" s="2">
        <f t="shared" si="0"/>
        <v>6.5500000000000114</v>
      </c>
      <c r="AE5" s="148">
        <f t="shared" si="1"/>
        <v>-1.7495533055390089E-2</v>
      </c>
      <c r="AH5" t="s">
        <v>199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7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42432</v>
      </c>
      <c r="X6" s="12">
        <v>272.22000000000003</v>
      </c>
      <c r="Y6" s="12">
        <v>272.82</v>
      </c>
      <c r="Z6" s="12">
        <v>266.14</v>
      </c>
      <c r="AA6" s="12">
        <v>268.64</v>
      </c>
      <c r="AB6" s="105">
        <v>1430900</v>
      </c>
      <c r="AC6" s="12">
        <v>268.64</v>
      </c>
      <c r="AD6" s="2">
        <f t="shared" si="0"/>
        <v>6.6800000000000068</v>
      </c>
      <c r="AE6" s="148">
        <f t="shared" si="1"/>
        <v>-1.8343930424614574E-2</v>
      </c>
      <c r="AH6" t="s">
        <v>199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7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282</v>
      </c>
      <c r="Q7" s="2">
        <f>IF(Q2=0, K18-F18,Q5-Q6) + M33</f>
        <v>1394.4500000000087</v>
      </c>
      <c r="R7" s="263"/>
      <c r="W7" s="143">
        <v>42431</v>
      </c>
      <c r="X7" s="12">
        <v>270.17</v>
      </c>
      <c r="Y7" s="12">
        <v>274.57</v>
      </c>
      <c r="Z7" s="12">
        <v>268.66000000000003</v>
      </c>
      <c r="AA7" s="12">
        <v>273.66000000000003</v>
      </c>
      <c r="AB7" s="105">
        <v>1651000</v>
      </c>
      <c r="AC7" s="12">
        <v>273.66000000000003</v>
      </c>
      <c r="AD7" s="2">
        <f t="shared" si="0"/>
        <v>5.9099999999999682</v>
      </c>
      <c r="AE7" s="148">
        <f t="shared" si="1"/>
        <v>1.0188261351052219E-2</v>
      </c>
      <c r="AH7" t="s">
        <v>200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42430</v>
      </c>
      <c r="X8" s="12">
        <v>261.37</v>
      </c>
      <c r="Y8" s="12">
        <v>271.01</v>
      </c>
      <c r="Z8" s="12">
        <v>259.25</v>
      </c>
      <c r="AA8" s="12">
        <v>270.89999999999998</v>
      </c>
      <c r="AB8" s="105">
        <v>1924300</v>
      </c>
      <c r="AC8" s="12">
        <v>270.89999999999998</v>
      </c>
      <c r="AD8" s="2">
        <f t="shared" si="0"/>
        <v>11.759999999999991</v>
      </c>
      <c r="AE8" s="148">
        <f t="shared" si="1"/>
        <v>4.4252563410685175E-2</v>
      </c>
      <c r="AH8" t="s">
        <v>201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42429</v>
      </c>
      <c r="X9" s="12">
        <v>262.68</v>
      </c>
      <c r="Y9" s="12">
        <v>265.60000000000002</v>
      </c>
      <c r="Z9" s="12">
        <v>259.18</v>
      </c>
      <c r="AA9" s="12">
        <v>259.42</v>
      </c>
      <c r="AB9" s="105">
        <v>1766500</v>
      </c>
      <c r="AC9" s="12">
        <v>259.42</v>
      </c>
      <c r="AD9" s="2">
        <f t="shared" si="0"/>
        <v>6.4200000000000159</v>
      </c>
      <c r="AE9" s="148">
        <f t="shared" si="1"/>
        <v>-1.9168966690612077E-2</v>
      </c>
      <c r="AH9" t="s">
        <v>194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291</v>
      </c>
      <c r="Q10" s="2">
        <f>IF(Q2=0,K18-F18,Q5-Q6)</f>
        <v>20.799999999999955</v>
      </c>
      <c r="W10" s="143">
        <v>42426</v>
      </c>
      <c r="X10" s="12">
        <v>264.06</v>
      </c>
      <c r="Y10" s="12">
        <v>266.47000000000003</v>
      </c>
      <c r="Z10" s="12">
        <v>260.88</v>
      </c>
      <c r="AA10" s="12">
        <v>264.49</v>
      </c>
      <c r="AB10" s="105">
        <v>1603200</v>
      </c>
      <c r="AC10" s="12">
        <v>264.49</v>
      </c>
      <c r="AD10" s="2">
        <f t="shared" si="0"/>
        <v>5.5900000000000318</v>
      </c>
      <c r="AE10" s="148">
        <f t="shared" si="1"/>
        <v>8.1570421193062348E-3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42425</v>
      </c>
      <c r="X11" s="12">
        <v>261.89999999999998</v>
      </c>
      <c r="Y11" s="12">
        <v>262.83999999999997</v>
      </c>
      <c r="Z11" s="12">
        <v>259.16000000000003</v>
      </c>
      <c r="AA11" s="12">
        <v>262.35000000000002</v>
      </c>
      <c r="AB11" s="105">
        <v>1516000</v>
      </c>
      <c r="AC11" s="12">
        <v>262.35000000000002</v>
      </c>
      <c r="AD11" s="2">
        <f t="shared" si="0"/>
        <v>3.67999999999995</v>
      </c>
      <c r="AE11" s="148">
        <f t="shared" si="1"/>
        <v>1.9944016794961383E-2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42424</v>
      </c>
      <c r="X12" s="12">
        <v>256.35000000000002</v>
      </c>
      <c r="Y12" s="12">
        <v>257.68</v>
      </c>
      <c r="Z12" s="12">
        <v>249.01</v>
      </c>
      <c r="AA12" s="12">
        <v>257.22000000000003</v>
      </c>
      <c r="AB12" s="105">
        <v>1427700</v>
      </c>
      <c r="AC12" s="12">
        <v>257.22000000000003</v>
      </c>
      <c r="AD12" s="2">
        <f t="shared" si="0"/>
        <v>8.6700000000000159</v>
      </c>
      <c r="AE12" s="148">
        <f t="shared" si="1"/>
        <v>-6.834240704274186E-3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42423</v>
      </c>
      <c r="X13" s="12">
        <v>264.81</v>
      </c>
      <c r="Y13" s="12">
        <v>265.86</v>
      </c>
      <c r="Z13" s="12">
        <v>257.89999999999998</v>
      </c>
      <c r="AA13" s="12">
        <v>258.99</v>
      </c>
      <c r="AB13" s="105">
        <v>1530200</v>
      </c>
      <c r="AC13" s="12">
        <v>258.99</v>
      </c>
      <c r="AD13" s="2">
        <f t="shared" si="0"/>
        <v>7.9600000000000364</v>
      </c>
      <c r="AE13" s="148">
        <f t="shared" si="1"/>
        <v>-2.5730730165895443E-2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42422</v>
      </c>
      <c r="X14" s="12">
        <v>265.26</v>
      </c>
      <c r="Y14" s="12">
        <v>266</v>
      </c>
      <c r="Z14" s="12">
        <v>261.33999999999997</v>
      </c>
      <c r="AA14" s="12">
        <v>265.83</v>
      </c>
      <c r="AB14" s="105">
        <v>1217000</v>
      </c>
      <c r="AC14" s="12">
        <v>265.83</v>
      </c>
      <c r="AD14" s="2">
        <f t="shared" si="0"/>
        <v>4.660000000000025</v>
      </c>
      <c r="AE14" s="148">
        <f t="shared" si="1"/>
        <v>1.6947207345065163E-2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42419</v>
      </c>
      <c r="X15" s="12">
        <v>257.36</v>
      </c>
      <c r="Y15" s="12">
        <v>263</v>
      </c>
      <c r="Z15" s="12">
        <v>255.12</v>
      </c>
      <c r="AA15" s="12">
        <v>261.39999999999998</v>
      </c>
      <c r="AB15" s="105">
        <v>1448000</v>
      </c>
      <c r="AC15" s="12">
        <v>261.39999999999998</v>
      </c>
      <c r="AD15" s="2">
        <f t="shared" si="0"/>
        <v>7.8799999999999955</v>
      </c>
      <c r="AE15" s="148">
        <f t="shared" si="1"/>
        <v>9.0716077977224252E-3</v>
      </c>
    </row>
    <row r="16" spans="1:42" x14ac:dyDescent="0.25">
      <c r="G16" s="1"/>
      <c r="W16" s="143">
        <v>42418</v>
      </c>
      <c r="X16" s="12">
        <v>266.60000000000002</v>
      </c>
      <c r="Y16" s="12">
        <v>266.95999999999998</v>
      </c>
      <c r="Z16" s="12">
        <v>258.51</v>
      </c>
      <c r="AA16" s="12">
        <v>259.05</v>
      </c>
      <c r="AB16" s="105">
        <v>1522400</v>
      </c>
      <c r="AC16" s="12">
        <v>259.05</v>
      </c>
      <c r="AD16" s="2">
        <f t="shared" si="0"/>
        <v>8.4499999999999886</v>
      </c>
      <c r="AE16" s="148">
        <f t="shared" si="1"/>
        <v>-2.4771298422617827E-2</v>
      </c>
    </row>
    <row r="17" spans="1:31" x14ac:dyDescent="0.25">
      <c r="G17" s="1"/>
      <c r="W17" s="143">
        <v>42417</v>
      </c>
      <c r="X17" s="12">
        <v>256.29000000000002</v>
      </c>
      <c r="Y17" s="12">
        <v>265.86</v>
      </c>
      <c r="Z17" s="12">
        <v>256.08</v>
      </c>
      <c r="AA17" s="12">
        <v>265.63</v>
      </c>
      <c r="AB17" s="105">
        <v>1908900</v>
      </c>
      <c r="AC17" s="12">
        <v>265.63</v>
      </c>
      <c r="AD17" s="2">
        <f t="shared" si="0"/>
        <v>9.7800000000000296</v>
      </c>
      <c r="AE17" s="148">
        <f t="shared" si="1"/>
        <v>3.5513800093559977E-2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42416</v>
      </c>
      <c r="X18" s="12">
        <v>249</v>
      </c>
      <c r="Y18" s="12">
        <v>257.42</v>
      </c>
      <c r="Z18" s="12">
        <v>249</v>
      </c>
      <c r="AA18" s="12">
        <v>256.52</v>
      </c>
      <c r="AB18" s="105">
        <v>2069700</v>
      </c>
      <c r="AC18" s="12">
        <v>256.52</v>
      </c>
      <c r="AD18" s="2">
        <f t="shared" si="0"/>
        <v>8.4200000000000159</v>
      </c>
      <c r="AE18" s="148">
        <f t="shared" si="1"/>
        <v>3.76183156702532E-2</v>
      </c>
    </row>
    <row r="19" spans="1:31" x14ac:dyDescent="0.25">
      <c r="N19" s="2"/>
      <c r="W19" s="143">
        <v>42412</v>
      </c>
      <c r="X19" s="12">
        <v>248.78</v>
      </c>
      <c r="Y19" s="12">
        <v>249.2</v>
      </c>
      <c r="Z19" s="12">
        <v>242.07</v>
      </c>
      <c r="AA19" s="12">
        <v>247.22</v>
      </c>
      <c r="AB19" s="105">
        <v>2110700</v>
      </c>
      <c r="AC19" s="12">
        <v>247.22</v>
      </c>
      <c r="AD19" s="2">
        <f t="shared" si="0"/>
        <v>7.1299999999999955</v>
      </c>
      <c r="AE19" s="148">
        <f t="shared" si="1"/>
        <v>8.6083799110603376E-3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62" t="s">
        <v>177</v>
      </c>
      <c r="H20" s="218" t="s">
        <v>90</v>
      </c>
      <c r="W20" s="143">
        <v>42411</v>
      </c>
      <c r="X20" s="12">
        <v>246.31</v>
      </c>
      <c r="Y20" s="12">
        <v>250.02</v>
      </c>
      <c r="Z20" s="12">
        <v>243.03</v>
      </c>
      <c r="AA20" s="12">
        <v>245.11</v>
      </c>
      <c r="AB20" s="105">
        <v>2162100</v>
      </c>
      <c r="AC20" s="12">
        <v>245.11</v>
      </c>
      <c r="AD20" s="2">
        <f t="shared" si="0"/>
        <v>6.9900000000000091</v>
      </c>
      <c r="AE20" s="148">
        <f t="shared" si="1"/>
        <v>-2.8112609040443992E-2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42410</v>
      </c>
      <c r="X21" s="12">
        <v>253.35</v>
      </c>
      <c r="Y21" s="12">
        <v>257.37</v>
      </c>
      <c r="Z21" s="12">
        <v>249.28</v>
      </c>
      <c r="AA21" s="12">
        <v>252.2</v>
      </c>
      <c r="AB21" s="105">
        <v>1745100</v>
      </c>
      <c r="AC21" s="12">
        <v>252.2</v>
      </c>
      <c r="AD21" s="2">
        <f t="shared" si="0"/>
        <v>8.0900000000000034</v>
      </c>
      <c r="AE21" s="148">
        <f t="shared" si="1"/>
        <v>8.8403536141445915E-3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42409</v>
      </c>
      <c r="X22" s="12">
        <v>246.54</v>
      </c>
      <c r="Y22" s="12">
        <v>255</v>
      </c>
      <c r="Z22" s="12">
        <v>243.85</v>
      </c>
      <c r="AA22" s="12">
        <v>249.99</v>
      </c>
      <c r="AB22" s="105">
        <v>2362600</v>
      </c>
      <c r="AC22" s="12">
        <v>249.99</v>
      </c>
      <c r="AD22" s="2">
        <f t="shared" si="0"/>
        <v>11.150000000000006</v>
      </c>
      <c r="AE22" s="148">
        <f t="shared" si="1"/>
        <v>-3.1104199066873672E-3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42408</v>
      </c>
      <c r="X23" s="12">
        <v>260.45</v>
      </c>
      <c r="Y23" s="12">
        <v>260.45</v>
      </c>
      <c r="Z23" s="12">
        <v>248.16</v>
      </c>
      <c r="AA23" s="12">
        <v>250.77</v>
      </c>
      <c r="AB23" s="105">
        <v>2741600</v>
      </c>
      <c r="AC23" s="12">
        <v>250.77</v>
      </c>
      <c r="AD23" s="2">
        <f t="shared" si="0"/>
        <v>12.289999999999992</v>
      </c>
      <c r="AE23" s="148">
        <f t="shared" si="1"/>
        <v>-4.9609641476540567E-2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" si="5">C24*(E24-D24)</f>
        <v>62.199999999999989</v>
      </c>
      <c r="G24" s="43">
        <f t="shared" ref="G24" si="6">D24*C24</f>
        <v>1257.5</v>
      </c>
      <c r="H24" s="269">
        <f t="shared" ref="H24" si="7">(E24-D24)/D24</f>
        <v>4.9463220675944324E-2</v>
      </c>
      <c r="W24" s="143">
        <v>42405</v>
      </c>
      <c r="X24" s="12">
        <v>271.10000000000002</v>
      </c>
      <c r="Y24" s="12">
        <v>272.67</v>
      </c>
      <c r="Z24" s="12">
        <v>258.45999999999998</v>
      </c>
      <c r="AA24" s="12">
        <v>263.86</v>
      </c>
      <c r="AB24" s="105">
        <v>2836800</v>
      </c>
      <c r="AC24" s="12">
        <v>263.86</v>
      </c>
      <c r="AD24" s="2">
        <f t="shared" si="0"/>
        <v>14.210000000000036</v>
      </c>
      <c r="AE24" s="148">
        <f t="shared" si="1"/>
        <v>-3.4434808065283318E-2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42404</v>
      </c>
      <c r="X25" s="12">
        <v>270.16000000000003</v>
      </c>
      <c r="Y25" s="12">
        <v>279.38</v>
      </c>
      <c r="Z25" s="12">
        <v>269.11</v>
      </c>
      <c r="AA25" s="12">
        <v>273.27</v>
      </c>
      <c r="AB25" s="105">
        <v>2067500</v>
      </c>
      <c r="AC25" s="12">
        <v>273.27</v>
      </c>
      <c r="AD25" s="2">
        <f t="shared" si="0"/>
        <v>10.269999999999982</v>
      </c>
      <c r="AE25" s="148">
        <f t="shared" si="1"/>
        <v>1.0501793440076845E-2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42403</v>
      </c>
      <c r="X26" s="12">
        <v>267.58</v>
      </c>
      <c r="Y26" s="12">
        <v>270.74</v>
      </c>
      <c r="Z26" s="12">
        <v>261</v>
      </c>
      <c r="AA26" s="12">
        <v>270.43</v>
      </c>
      <c r="AB26" s="105">
        <v>2085800</v>
      </c>
      <c r="AC26" s="12">
        <v>270.43</v>
      </c>
      <c r="AD26" s="2">
        <f t="shared" si="0"/>
        <v>9.7400000000000091</v>
      </c>
      <c r="AE26" s="148">
        <f t="shared" si="1"/>
        <v>1.6424866571450147E-2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42402</v>
      </c>
      <c r="X27" s="12">
        <v>267.74</v>
      </c>
      <c r="Y27" s="12">
        <v>271.2</v>
      </c>
      <c r="Z27" s="12">
        <v>265.16000000000003</v>
      </c>
      <c r="AA27" s="12">
        <v>266.06</v>
      </c>
      <c r="AB27" s="105">
        <v>1920200</v>
      </c>
      <c r="AC27" s="12">
        <v>266.06</v>
      </c>
      <c r="AD27" s="2">
        <f t="shared" si="0"/>
        <v>6.0399999999999636</v>
      </c>
      <c r="AE27" s="148">
        <f t="shared" si="1"/>
        <v>-2.7025050283415619E-2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42401</v>
      </c>
      <c r="X28" s="12">
        <v>270.33999999999997</v>
      </c>
      <c r="Y28" s="12">
        <v>275.83</v>
      </c>
      <c r="Z28" s="12">
        <v>269.58</v>
      </c>
      <c r="AA28" s="12">
        <v>273.45</v>
      </c>
      <c r="AB28" s="105">
        <v>1842500</v>
      </c>
      <c r="AC28" s="12">
        <v>273.45</v>
      </c>
      <c r="AD28" s="2">
        <f t="shared" si="0"/>
        <v>6.25</v>
      </c>
      <c r="AE28" s="148">
        <f t="shared" si="1"/>
        <v>1.4282575258184327E-3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42398</v>
      </c>
      <c r="X29" s="12">
        <v>268.42</v>
      </c>
      <c r="Y29" s="12">
        <v>273.89999999999998</v>
      </c>
      <c r="Z29" s="12">
        <v>265.7</v>
      </c>
      <c r="AA29" s="12">
        <v>273.06</v>
      </c>
      <c r="AB29" s="105">
        <v>3067900</v>
      </c>
      <c r="AC29" s="12">
        <v>273.06</v>
      </c>
      <c r="AD29" s="2">
        <f t="shared" si="0"/>
        <v>8.1999999999999886</v>
      </c>
      <c r="AE29" s="148">
        <f t="shared" si="1"/>
        <v>2.6695743720860365E-2</v>
      </c>
    </row>
    <row r="30" spans="1:31" x14ac:dyDescent="0.25">
      <c r="W30" s="143">
        <v>42397</v>
      </c>
      <c r="X30" s="12">
        <v>275.77</v>
      </c>
      <c r="Y30" s="12">
        <v>276.97000000000003</v>
      </c>
      <c r="Z30" s="12">
        <v>261.7</v>
      </c>
      <c r="AA30" s="12">
        <v>265.95999999999998</v>
      </c>
      <c r="AB30" s="105">
        <v>3054900</v>
      </c>
      <c r="AC30" s="12">
        <v>265.95999999999998</v>
      </c>
      <c r="AD30" s="2">
        <f t="shared" si="0"/>
        <v>15.270000000000039</v>
      </c>
      <c r="AE30" s="148">
        <f t="shared" si="1"/>
        <v>-2.6714484373856484E-2</v>
      </c>
    </row>
    <row r="31" spans="1:31" x14ac:dyDescent="0.25">
      <c r="W31" s="143">
        <v>42396</v>
      </c>
      <c r="X31" s="12">
        <v>275.05</v>
      </c>
      <c r="Y31" s="12">
        <v>285.27999999999997</v>
      </c>
      <c r="Z31" s="12">
        <v>270.33999999999997</v>
      </c>
      <c r="AA31" s="12">
        <v>273.26</v>
      </c>
      <c r="AB31" s="105">
        <v>5140100</v>
      </c>
      <c r="AC31" s="12">
        <v>273.26</v>
      </c>
      <c r="AD31" s="2">
        <f t="shared" si="0"/>
        <v>14.939999999999998</v>
      </c>
      <c r="AE31" s="148">
        <f t="shared" si="1"/>
        <v>5.1525762881440729E-2</v>
      </c>
    </row>
    <row r="32" spans="1:31" x14ac:dyDescent="0.25">
      <c r="W32" s="143">
        <v>42395</v>
      </c>
      <c r="X32" s="12">
        <v>262.76</v>
      </c>
      <c r="Y32" s="12">
        <v>264.48</v>
      </c>
      <c r="Z32" s="12">
        <v>257.77999999999997</v>
      </c>
      <c r="AA32" s="12">
        <v>259.87</v>
      </c>
      <c r="AB32" s="105">
        <v>2105800</v>
      </c>
      <c r="AC32" s="12">
        <v>259.87</v>
      </c>
      <c r="AD32" s="2">
        <f t="shared" si="0"/>
        <v>6.7000000000000455</v>
      </c>
      <c r="AE32" s="148">
        <f t="shared" si="1"/>
        <v>-8.5082029759634414E-3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137</v>
      </c>
      <c r="L33" s="308"/>
      <c r="M33" s="309">
        <f>K51+M51-F51</f>
        <v>1373.6500000000087</v>
      </c>
      <c r="W33" s="143">
        <v>42394</v>
      </c>
      <c r="X33" s="12">
        <v>269.45999999999998</v>
      </c>
      <c r="Y33" s="12">
        <v>271.20999999999998</v>
      </c>
      <c r="Z33" s="12">
        <v>261.3</v>
      </c>
      <c r="AA33" s="12">
        <v>262.10000000000002</v>
      </c>
      <c r="AB33" s="105">
        <v>1775100</v>
      </c>
      <c r="AC33" s="12">
        <v>262.10000000000002</v>
      </c>
      <c r="AD33" s="2">
        <f t="shared" si="0"/>
        <v>9.9099999999999682</v>
      </c>
      <c r="AE33" s="148">
        <f t="shared" si="1"/>
        <v>-2.5360702067529384E-2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96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97</v>
      </c>
      <c r="K34" s="311" t="s">
        <v>61</v>
      </c>
      <c r="L34" s="310" t="s">
        <v>77</v>
      </c>
      <c r="M34" s="310" t="s">
        <v>38</v>
      </c>
      <c r="W34" s="143">
        <v>42391</v>
      </c>
      <c r="X34" s="12">
        <v>266.36</v>
      </c>
      <c r="Y34" s="12">
        <v>269.48</v>
      </c>
      <c r="Z34" s="12">
        <v>264.62</v>
      </c>
      <c r="AA34" s="12">
        <v>268.92</v>
      </c>
      <c r="AB34" s="105">
        <v>2110000</v>
      </c>
      <c r="AC34" s="12">
        <v>268.92</v>
      </c>
      <c r="AD34" s="2">
        <f t="shared" si="0"/>
        <v>4.8600000000000136</v>
      </c>
      <c r="AE34" s="148">
        <f t="shared" si="1"/>
        <v>2.6098901098901228E-2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8">H35*I35-J35</f>
        <v>1517.97</v>
      </c>
      <c r="L35" s="308" t="s">
        <v>80</v>
      </c>
      <c r="M35" s="308"/>
      <c r="W35" s="143">
        <v>42390</v>
      </c>
      <c r="X35" s="12">
        <v>269.67</v>
      </c>
      <c r="Y35" s="12">
        <v>271.05</v>
      </c>
      <c r="Z35" s="12">
        <v>261.02</v>
      </c>
      <c r="AA35" s="12">
        <v>262.08</v>
      </c>
      <c r="AB35" s="105">
        <v>2529400</v>
      </c>
      <c r="AC35" s="12">
        <v>262.08</v>
      </c>
      <c r="AD35" s="2">
        <f t="shared" si="0"/>
        <v>10.03000000000003</v>
      </c>
      <c r="AE35" s="148">
        <f t="shared" si="1"/>
        <v>-2.6990904028216245E-2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8"/>
        <v>1400.97</v>
      </c>
      <c r="L36" s="308"/>
      <c r="M36" s="308"/>
      <c r="W36" s="143">
        <v>42389</v>
      </c>
      <c r="X36" s="12">
        <v>263.25</v>
      </c>
      <c r="Y36" s="12">
        <v>272.77999999999997</v>
      </c>
      <c r="Z36" s="12">
        <v>257.66000000000003</v>
      </c>
      <c r="AA36" s="12">
        <v>269.35000000000002</v>
      </c>
      <c r="AB36" s="105">
        <v>2367400</v>
      </c>
      <c r="AC36" s="12">
        <v>269.35000000000002</v>
      </c>
      <c r="AD36" s="2">
        <f t="shared" si="0"/>
        <v>15.119999999999948</v>
      </c>
      <c r="AE36" s="148">
        <f t="shared" si="1"/>
        <v>-1.8528812303131303E-3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8"/>
        <v>2899.95</v>
      </c>
      <c r="L37" s="308"/>
      <c r="M37" s="308"/>
      <c r="W37" s="143">
        <v>42388</v>
      </c>
      <c r="X37" s="12">
        <v>276.98</v>
      </c>
      <c r="Y37" s="12">
        <v>276.99</v>
      </c>
      <c r="Z37" s="12">
        <v>264.72000000000003</v>
      </c>
      <c r="AA37" s="12">
        <v>269.85000000000002</v>
      </c>
      <c r="AB37" s="105">
        <v>2187900</v>
      </c>
      <c r="AC37" s="12">
        <v>269.85000000000002</v>
      </c>
      <c r="AD37" s="2">
        <f t="shared" si="0"/>
        <v>12.269999999999982</v>
      </c>
      <c r="AE37" s="148">
        <f t="shared" si="1"/>
        <v>-1.2731862583689857E-2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9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8"/>
        <v>2886.5</v>
      </c>
      <c r="L38" s="308"/>
      <c r="M38" s="308"/>
      <c r="W38" s="143">
        <v>42384</v>
      </c>
      <c r="X38" s="12">
        <v>271.01</v>
      </c>
      <c r="Y38" s="12">
        <v>279.89</v>
      </c>
      <c r="Z38" s="12">
        <v>269.25</v>
      </c>
      <c r="AA38" s="12">
        <v>273.33</v>
      </c>
      <c r="AB38" s="105">
        <v>2568900</v>
      </c>
      <c r="AC38" s="12">
        <v>273.33</v>
      </c>
      <c r="AD38" s="2">
        <f t="shared" si="0"/>
        <v>10.639999999999986</v>
      </c>
      <c r="AE38" s="148">
        <f t="shared" si="1"/>
        <v>-2.5804612039776242E-2</v>
      </c>
    </row>
    <row r="39" spans="1:31" x14ac:dyDescent="0.25">
      <c r="A39" s="308"/>
      <c r="B39" s="412">
        <v>42286</v>
      </c>
      <c r="C39" s="308">
        <v>5</v>
      </c>
      <c r="D39" s="309">
        <v>278.5</v>
      </c>
      <c r="E39" s="309">
        <v>0</v>
      </c>
      <c r="F39" s="309">
        <f t="shared" si="9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8"/>
        <v>2999.94</v>
      </c>
      <c r="L39" s="308"/>
      <c r="M39" s="308"/>
      <c r="W39" s="143">
        <v>42383</v>
      </c>
      <c r="X39" s="12">
        <v>268.57</v>
      </c>
      <c r="Y39" s="12">
        <v>283.3</v>
      </c>
      <c r="Z39" s="12">
        <v>265.37</v>
      </c>
      <c r="AA39" s="12">
        <v>280.57</v>
      </c>
      <c r="AB39" s="105">
        <v>2391600</v>
      </c>
      <c r="AC39" s="12">
        <v>280.57</v>
      </c>
      <c r="AD39" s="2">
        <f t="shared" si="0"/>
        <v>17.930000000000007</v>
      </c>
      <c r="AE39" s="148">
        <f t="shared" si="1"/>
        <v>4.9840972871842748E-2</v>
      </c>
    </row>
    <row r="40" spans="1:31" x14ac:dyDescent="0.25">
      <c r="A40" s="308"/>
      <c r="B40" s="412"/>
      <c r="C40" s="308">
        <v>5</v>
      </c>
      <c r="D40" s="309">
        <v>278.5</v>
      </c>
      <c r="E40" s="309">
        <v>0</v>
      </c>
      <c r="F40" s="309">
        <f t="shared" si="9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8"/>
        <v>11519.390000000001</v>
      </c>
      <c r="L40" s="308"/>
      <c r="M40" s="308"/>
      <c r="W40" s="143">
        <v>42382</v>
      </c>
      <c r="X40" s="12">
        <v>279.42</v>
      </c>
      <c r="Y40" s="12">
        <v>281.99</v>
      </c>
      <c r="Z40" s="12">
        <v>267</v>
      </c>
      <c r="AA40" s="12">
        <v>267.25</v>
      </c>
      <c r="AB40" s="105">
        <v>2061700</v>
      </c>
      <c r="AC40" s="12">
        <v>267.25</v>
      </c>
      <c r="AD40" s="2">
        <f t="shared" si="0"/>
        <v>14.990000000000009</v>
      </c>
      <c r="AE40" s="148">
        <f t="shared" si="1"/>
        <v>-4.0980371048193298E-2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9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8"/>
        <v>9904.4699999999993</v>
      </c>
      <c r="L41" s="308"/>
      <c r="M41" s="308"/>
      <c r="W41" s="143">
        <v>42381</v>
      </c>
      <c r="X41" s="12">
        <v>281.18</v>
      </c>
      <c r="Y41" s="12">
        <v>285.56</v>
      </c>
      <c r="Z41" s="12">
        <v>271</v>
      </c>
      <c r="AA41" s="12">
        <v>278.67</v>
      </c>
      <c r="AB41" s="105">
        <v>1824200</v>
      </c>
      <c r="AC41" s="12">
        <v>278.67</v>
      </c>
      <c r="AD41" s="2">
        <f t="shared" si="0"/>
        <v>14.560000000000002</v>
      </c>
      <c r="AE41" s="148">
        <f t="shared" si="1"/>
        <v>4.667193221798982E-4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9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8"/>
        <v>7374.86</v>
      </c>
      <c r="L42" s="308"/>
      <c r="M42" s="308"/>
      <c r="O42" s="405" t="s">
        <v>78</v>
      </c>
      <c r="P42" s="405"/>
      <c r="T42" s="122" t="s">
        <v>116</v>
      </c>
      <c r="U42" s="11"/>
      <c r="W42" s="143">
        <v>42380</v>
      </c>
      <c r="X42" s="12">
        <v>280.58999999999997</v>
      </c>
      <c r="Y42" s="12">
        <v>283.95</v>
      </c>
      <c r="Z42" s="12">
        <v>271.66000000000003</v>
      </c>
      <c r="AA42" s="12">
        <v>278.54000000000002</v>
      </c>
      <c r="AB42" s="105">
        <v>2104500</v>
      </c>
      <c r="AC42" s="12">
        <v>278.54000000000002</v>
      </c>
      <c r="AD42" s="2">
        <f t="shared" si="0"/>
        <v>12.289999999999964</v>
      </c>
      <c r="AE42" s="148">
        <f t="shared" si="1"/>
        <v>-7.3060337146725329E-3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9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281.226</v>
      </c>
      <c r="Q43" s="2"/>
      <c r="T43" s="204" t="s">
        <v>101</v>
      </c>
      <c r="U43" s="204">
        <v>261.27999999999997</v>
      </c>
      <c r="W43" s="143">
        <v>42377</v>
      </c>
      <c r="X43" s="12">
        <v>284.64999999999998</v>
      </c>
      <c r="Y43" s="12">
        <v>288.11</v>
      </c>
      <c r="Z43" s="12">
        <v>280</v>
      </c>
      <c r="AA43" s="12">
        <v>280.58999999999997</v>
      </c>
      <c r="AB43" s="105">
        <v>1803900</v>
      </c>
      <c r="AC43" s="12">
        <v>280.58999999999997</v>
      </c>
      <c r="AD43" s="2">
        <f t="shared" si="0"/>
        <v>8.1100000000000136</v>
      </c>
      <c r="AE43" s="148">
        <f t="shared" si="1"/>
        <v>-1.2041829513045332E-2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9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10">O44*$Q$4</f>
        <v>278.6694</v>
      </c>
      <c r="Q44" s="2"/>
      <c r="T44" s="204" t="s">
        <v>102</v>
      </c>
      <c r="U44" s="204">
        <v>261.26</v>
      </c>
      <c r="W44" s="143">
        <v>42376</v>
      </c>
      <c r="X44" s="12">
        <v>286.52</v>
      </c>
      <c r="Y44" s="12">
        <v>289.99</v>
      </c>
      <c r="Z44" s="12">
        <v>283.02999999999997</v>
      </c>
      <c r="AA44" s="12">
        <v>284.01</v>
      </c>
      <c r="AB44" s="105">
        <v>1806700</v>
      </c>
      <c r="AC44" s="12">
        <v>284.01</v>
      </c>
      <c r="AD44" s="2">
        <f t="shared" si="0"/>
        <v>6.9600000000000364</v>
      </c>
      <c r="AE44" s="148">
        <f t="shared" si="1"/>
        <v>-3.2926995369109258E-2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9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10"/>
        <v>276.11279999999999</v>
      </c>
      <c r="Q45" s="2"/>
      <c r="T45" s="204" t="s">
        <v>103</v>
      </c>
      <c r="U45" s="204" t="s">
        <v>441</v>
      </c>
      <c r="W45" s="143">
        <v>42375</v>
      </c>
      <c r="X45" s="12">
        <v>292.60000000000002</v>
      </c>
      <c r="Y45" s="12">
        <v>296.58</v>
      </c>
      <c r="Z45" s="12">
        <v>291.01</v>
      </c>
      <c r="AA45" s="12">
        <v>293.68</v>
      </c>
      <c r="AB45" s="105">
        <v>1535800</v>
      </c>
      <c r="AC45" s="12">
        <v>293.68</v>
      </c>
      <c r="AD45" s="2">
        <f t="shared" si="0"/>
        <v>5.5699999999999932</v>
      </c>
      <c r="AE45" s="148">
        <f t="shared" si="1"/>
        <v>-1.0178631614425337E-2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9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10"/>
        <v>273.55619999999999</v>
      </c>
      <c r="Q46" s="2"/>
      <c r="T46" s="204" t="s">
        <v>104</v>
      </c>
      <c r="U46" s="204" t="s">
        <v>442</v>
      </c>
      <c r="W46" s="143">
        <v>42374</v>
      </c>
      <c r="X46" s="12">
        <v>295.38</v>
      </c>
      <c r="Y46" s="12">
        <v>298.64</v>
      </c>
      <c r="Z46" s="12">
        <v>293.56</v>
      </c>
      <c r="AA46" s="12">
        <v>296.7</v>
      </c>
      <c r="AB46" s="105">
        <v>1261600</v>
      </c>
      <c r="AC46" s="12">
        <v>296.7</v>
      </c>
      <c r="AD46" s="2">
        <f t="shared" si="0"/>
        <v>5.0799999999999841</v>
      </c>
      <c r="AE46" s="148">
        <f t="shared" si="1"/>
        <v>7.0599416197134612E-3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9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10"/>
        <v>270.99959999999999</v>
      </c>
      <c r="Q47" s="2"/>
      <c r="T47" s="204" t="s">
        <v>105</v>
      </c>
      <c r="U47" s="204">
        <v>353.22</v>
      </c>
      <c r="W47" s="143">
        <v>42373</v>
      </c>
      <c r="X47" s="12">
        <v>300.33999999999997</v>
      </c>
      <c r="Y47" s="12">
        <v>301.02</v>
      </c>
      <c r="Z47" s="12">
        <v>291.39999999999998</v>
      </c>
      <c r="AA47" s="12">
        <v>294.62</v>
      </c>
      <c r="AB47" s="105">
        <v>2440200</v>
      </c>
      <c r="AC47" s="12">
        <v>294.62</v>
      </c>
      <c r="AD47" s="2">
        <f t="shared" si="0"/>
        <v>9.6200000000000045</v>
      </c>
      <c r="AE47" s="148">
        <f t="shared" si="1"/>
        <v>-3.8289538110004906E-2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10"/>
        <v>268.44299999999998</v>
      </c>
      <c r="Q48" s="2"/>
      <c r="T48" s="204" t="s">
        <v>106</v>
      </c>
      <c r="U48" s="204">
        <v>0.52827500000000005</v>
      </c>
      <c r="W48" s="143">
        <v>42369</v>
      </c>
      <c r="X48" s="12">
        <v>306.10000000000002</v>
      </c>
      <c r="Y48" s="12">
        <v>309.33</v>
      </c>
      <c r="Z48" s="12">
        <v>306.10000000000002</v>
      </c>
      <c r="AA48" s="12">
        <v>306.35000000000002</v>
      </c>
      <c r="AB48" s="105">
        <v>1044200</v>
      </c>
      <c r="AC48" s="12">
        <v>306.35000000000002</v>
      </c>
      <c r="AD48" s="2">
        <f t="shared" si="0"/>
        <v>3.2299999999999613</v>
      </c>
      <c r="AE48" s="148">
        <f t="shared" si="1"/>
        <v>-6.45391450995636E-3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10"/>
        <v>265.88639999999998</v>
      </c>
      <c r="Q49" s="2"/>
      <c r="T49" s="204" t="s">
        <v>126</v>
      </c>
      <c r="U49" s="204" t="s">
        <v>257</v>
      </c>
      <c r="W49" s="143">
        <v>42368</v>
      </c>
      <c r="X49" s="12">
        <v>309.98</v>
      </c>
      <c r="Y49" s="12">
        <v>310.29000000000002</v>
      </c>
      <c r="Z49" s="12">
        <v>307</v>
      </c>
      <c r="AA49" s="12">
        <v>308.33999999999997</v>
      </c>
      <c r="AB49" s="105">
        <v>800600</v>
      </c>
      <c r="AC49" s="12">
        <v>308.33999999999997</v>
      </c>
      <c r="AD49" s="2">
        <f t="shared" si="0"/>
        <v>3.2900000000000205</v>
      </c>
      <c r="AE49" s="148">
        <f t="shared" si="1"/>
        <v>-4.2948945651823944E-3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10"/>
        <v>263.32979999999998</v>
      </c>
      <c r="Q50" s="2"/>
      <c r="T50" s="204"/>
      <c r="U50" s="204"/>
      <c r="W50" s="143">
        <v>42367</v>
      </c>
      <c r="X50" s="12">
        <v>304.99</v>
      </c>
      <c r="Y50" s="12">
        <v>311.64999999999998</v>
      </c>
      <c r="Z50" s="12">
        <v>304.77</v>
      </c>
      <c r="AA50" s="12">
        <v>309.67</v>
      </c>
      <c r="AB50" s="105">
        <v>1198000</v>
      </c>
      <c r="AC50" s="12">
        <v>309.67</v>
      </c>
      <c r="AD50" s="2">
        <f t="shared" si="0"/>
        <v>6.8799999999999955</v>
      </c>
      <c r="AE50" s="148">
        <f t="shared" si="1"/>
        <v>1.9187730384413015E-2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260.77319999999997</v>
      </c>
      <c r="Q51" s="2"/>
      <c r="T51" s="204" t="s">
        <v>108</v>
      </c>
      <c r="U51" s="204" t="s">
        <v>443</v>
      </c>
      <c r="W51" s="143">
        <v>42366</v>
      </c>
      <c r="X51" s="12">
        <v>302.02999999999997</v>
      </c>
      <c r="Y51" s="12">
        <v>304.98</v>
      </c>
      <c r="Z51" s="12">
        <v>301.5</v>
      </c>
      <c r="AA51" s="12">
        <v>303.83999999999997</v>
      </c>
      <c r="AB51" s="105">
        <v>845400</v>
      </c>
      <c r="AC51" s="12">
        <v>303.83999999999997</v>
      </c>
      <c r="AD51" s="2">
        <f t="shared" si="0"/>
        <v>3.4800000000000182</v>
      </c>
      <c r="AE51" s="148">
        <f t="shared" si="1"/>
        <v>5.1275265473549325E-3</v>
      </c>
    </row>
    <row r="52" spans="1:31" x14ac:dyDescent="0.25">
      <c r="O52" s="93">
        <v>1.01</v>
      </c>
      <c r="P52" s="93">
        <f t="shared" si="10"/>
        <v>258.21659999999997</v>
      </c>
      <c r="Q52" s="2"/>
      <c r="T52" s="204" t="s">
        <v>109</v>
      </c>
      <c r="U52" s="204" t="s">
        <v>269</v>
      </c>
      <c r="W52" s="143">
        <v>42362</v>
      </c>
      <c r="X52" s="12">
        <v>300.29000000000002</v>
      </c>
      <c r="Y52" s="12">
        <v>303.87</v>
      </c>
      <c r="Z52" s="12">
        <v>299.5</v>
      </c>
      <c r="AA52" s="12">
        <v>302.29000000000002</v>
      </c>
      <c r="AB52" s="105">
        <v>537100</v>
      </c>
      <c r="AC52" s="12">
        <v>302.29000000000002</v>
      </c>
      <c r="AD52" s="2">
        <f t="shared" si="0"/>
        <v>4.3700000000000045</v>
      </c>
      <c r="AE52" s="148">
        <f t="shared" si="1"/>
        <v>6.995569472667329E-3</v>
      </c>
    </row>
    <row r="53" spans="1:31" x14ac:dyDescent="0.25">
      <c r="O53" s="93">
        <v>1</v>
      </c>
      <c r="P53" s="93">
        <f t="shared" si="10"/>
        <v>255.66</v>
      </c>
      <c r="Q53" s="2"/>
      <c r="T53" s="204" t="s">
        <v>110</v>
      </c>
      <c r="U53" s="205">
        <v>1892508</v>
      </c>
      <c r="W53" s="143">
        <v>42361</v>
      </c>
      <c r="X53" s="12">
        <v>303.79000000000002</v>
      </c>
      <c r="Y53" s="12">
        <v>303.79000000000002</v>
      </c>
      <c r="Z53" s="12">
        <v>299.16000000000003</v>
      </c>
      <c r="AA53" s="12">
        <v>300.19</v>
      </c>
      <c r="AB53" s="105">
        <v>958900</v>
      </c>
      <c r="AC53" s="12">
        <v>300.19</v>
      </c>
      <c r="AD53" s="2">
        <f t="shared" si="0"/>
        <v>4.6299999999999955</v>
      </c>
      <c r="AE53" s="148">
        <f t="shared" si="1"/>
        <v>-1.9283838148751453E-3</v>
      </c>
    </row>
    <row r="54" spans="1:31" x14ac:dyDescent="0.25">
      <c r="B54" s="316" t="s">
        <v>117</v>
      </c>
      <c r="C54" s="316" t="s">
        <v>171</v>
      </c>
      <c r="D54" s="317" t="s">
        <v>170</v>
      </c>
      <c r="E54" s="318" t="s">
        <v>172</v>
      </c>
      <c r="F54" s="319" t="s">
        <v>65</v>
      </c>
      <c r="G54" s="320" t="s">
        <v>177</v>
      </c>
      <c r="H54" s="319" t="s">
        <v>90</v>
      </c>
      <c r="O54" s="93">
        <v>0.99</v>
      </c>
      <c r="P54" s="93">
        <f t="shared" si="10"/>
        <v>253.10339999999999</v>
      </c>
      <c r="Q54" s="2"/>
      <c r="T54" s="204" t="s">
        <v>113</v>
      </c>
      <c r="U54" s="205">
        <v>1891550</v>
      </c>
      <c r="W54" s="143">
        <v>42360</v>
      </c>
      <c r="X54" s="12">
        <v>298</v>
      </c>
      <c r="Y54" s="12">
        <v>301.83999999999997</v>
      </c>
      <c r="Z54" s="12">
        <v>296.35000000000002</v>
      </c>
      <c r="AA54" s="12">
        <v>300.77</v>
      </c>
      <c r="AB54" s="105">
        <v>1211900</v>
      </c>
      <c r="AC54" s="12">
        <v>300.77</v>
      </c>
      <c r="AD54" s="2">
        <f t="shared" si="0"/>
        <v>5.4899999999999523</v>
      </c>
      <c r="AE54" s="148">
        <f t="shared" si="1"/>
        <v>1.0787740287673042E-2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10"/>
        <v>250.54679999999999</v>
      </c>
      <c r="Q55" s="2"/>
      <c r="T55" s="204" t="s">
        <v>111</v>
      </c>
      <c r="U55" s="204" t="s">
        <v>444</v>
      </c>
      <c r="W55" s="143">
        <v>42359</v>
      </c>
      <c r="X55" s="12">
        <v>294.83999999999997</v>
      </c>
      <c r="Y55" s="12">
        <v>297.86</v>
      </c>
      <c r="Z55" s="12">
        <v>293.5</v>
      </c>
      <c r="AA55" s="12">
        <v>297.56</v>
      </c>
      <c r="AB55" s="105">
        <v>1128900</v>
      </c>
      <c r="AC55" s="12">
        <v>297.56</v>
      </c>
      <c r="AD55" s="2">
        <f t="shared" si="0"/>
        <v>4.3600000000000136</v>
      </c>
      <c r="AE55" s="148">
        <f t="shared" si="1"/>
        <v>1.428230562088828E-2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11">IF(C56=0, 0,D56*C56)</f>
        <v>18715.2</v>
      </c>
      <c r="H56" s="321">
        <f t="shared" ref="H56:H60" si="12">IF(C56=0, D56, (E56-D56)/D56)</f>
        <v>0.1336026331538</v>
      </c>
      <c r="O56" s="93">
        <v>0.97</v>
      </c>
      <c r="P56" s="93">
        <f t="shared" si="10"/>
        <v>247.99019999999999</v>
      </c>
      <c r="T56" s="204" t="s">
        <v>114</v>
      </c>
      <c r="U56" s="204">
        <v>16.670000000000002</v>
      </c>
      <c r="W56" s="143">
        <v>42356</v>
      </c>
      <c r="X56" s="12">
        <v>294.8</v>
      </c>
      <c r="Y56" s="12">
        <v>299.82</v>
      </c>
      <c r="Z56" s="12">
        <v>293.05</v>
      </c>
      <c r="AA56" s="12">
        <v>293.37</v>
      </c>
      <c r="AB56" s="105">
        <v>2762600</v>
      </c>
      <c r="AC56" s="12">
        <v>293.37</v>
      </c>
      <c r="AD56" s="2">
        <f t="shared" si="0"/>
        <v>6.7699999999999818</v>
      </c>
      <c r="AE56" s="148">
        <f t="shared" si="1"/>
        <v>-1.2787293468385141E-2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11"/>
        <v>21703.200000000001</v>
      </c>
      <c r="H57" s="321">
        <f t="shared" si="12"/>
        <v>0.10265767260127526</v>
      </c>
      <c r="O57" s="93">
        <v>0.96</v>
      </c>
      <c r="P57" s="93">
        <f t="shared" si="10"/>
        <v>245.43359999999998</v>
      </c>
      <c r="T57" s="204" t="s">
        <v>115</v>
      </c>
      <c r="U57" s="204">
        <v>15.34</v>
      </c>
      <c r="W57" s="143">
        <v>42355</v>
      </c>
      <c r="X57" s="12">
        <v>299.04000000000002</v>
      </c>
      <c r="Y57" s="12">
        <v>300.87</v>
      </c>
      <c r="Z57" s="12">
        <v>296.38</v>
      </c>
      <c r="AA57" s="12">
        <v>297.17</v>
      </c>
      <c r="AB57" s="105">
        <v>1704000</v>
      </c>
      <c r="AC57" s="12">
        <v>297.17</v>
      </c>
      <c r="AD57" s="2">
        <f t="shared" si="0"/>
        <v>4.4900000000000091</v>
      </c>
      <c r="AE57" s="148">
        <f t="shared" si="1"/>
        <v>-7.0834307861940005E-3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11"/>
        <v>10184</v>
      </c>
      <c r="H58" s="321">
        <f t="shared" si="12"/>
        <v>0.14681853888452484</v>
      </c>
      <c r="O58" s="93">
        <v>0.95</v>
      </c>
      <c r="P58" s="93">
        <f t="shared" si="10"/>
        <v>242.87699999999998</v>
      </c>
      <c r="T58" s="204" t="s">
        <v>112</v>
      </c>
      <c r="U58" s="204" t="s">
        <v>127</v>
      </c>
      <c r="W58" s="143">
        <v>42354</v>
      </c>
      <c r="X58" s="12">
        <v>292.23</v>
      </c>
      <c r="Y58" s="12">
        <v>299.68</v>
      </c>
      <c r="Z58" s="12">
        <v>290</v>
      </c>
      <c r="AA58" s="12">
        <v>299.29000000000002</v>
      </c>
      <c r="AB58" s="105">
        <v>2093200</v>
      </c>
      <c r="AC58" s="12">
        <v>299.29000000000002</v>
      </c>
      <c r="AD58" s="2">
        <f t="shared" si="0"/>
        <v>9.6800000000000068</v>
      </c>
      <c r="AE58" s="148">
        <f t="shared" si="1"/>
        <v>3.5211511189512601E-2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11"/>
        <v>15905.399999999998</v>
      </c>
      <c r="H59" s="321">
        <f t="shared" si="12"/>
        <v>8.2123052548191328E-2</v>
      </c>
      <c r="O59" s="93">
        <v>0.94</v>
      </c>
      <c r="P59" s="93">
        <f t="shared" si="10"/>
        <v>240.32039999999998</v>
      </c>
      <c r="W59" s="143">
        <v>42353</v>
      </c>
      <c r="X59" s="12">
        <v>285.01</v>
      </c>
      <c r="Y59" s="12">
        <v>291.69</v>
      </c>
      <c r="Z59" s="12">
        <v>282.56</v>
      </c>
      <c r="AA59" s="12">
        <v>289.11</v>
      </c>
      <c r="AB59" s="105">
        <v>1614800</v>
      </c>
      <c r="AC59" s="12">
        <v>289.11</v>
      </c>
      <c r="AD59" s="2">
        <f t="shared" si="0"/>
        <v>9.1299999999999955</v>
      </c>
      <c r="AE59" s="148">
        <f t="shared" si="1"/>
        <v>2.3796876659938571E-2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11"/>
        <v>6001.25</v>
      </c>
      <c r="H60" s="321">
        <f t="shared" si="12"/>
        <v>0.18496146636117466</v>
      </c>
      <c r="O60" s="93">
        <v>0.93</v>
      </c>
      <c r="P60" s="93">
        <f t="shared" si="10"/>
        <v>237.7638</v>
      </c>
      <c r="W60" s="143">
        <v>42352</v>
      </c>
      <c r="X60" s="12">
        <v>283.77</v>
      </c>
      <c r="Y60" s="12">
        <v>285</v>
      </c>
      <c r="Z60" s="12">
        <v>276.43</v>
      </c>
      <c r="AA60" s="12">
        <v>282.39</v>
      </c>
      <c r="AB60" s="105">
        <v>1649800</v>
      </c>
      <c r="AC60" s="12">
        <v>282.39</v>
      </c>
      <c r="AD60" s="2">
        <f t="shared" si="0"/>
        <v>8.5699999999999932</v>
      </c>
      <c r="AE60" s="148">
        <f t="shared" si="1"/>
        <v>-3.7747830381711367E-3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10"/>
        <v>235.2072</v>
      </c>
      <c r="W61" s="143">
        <v>42349</v>
      </c>
      <c r="X61" s="12">
        <v>285.54000000000002</v>
      </c>
      <c r="Y61" s="12">
        <v>288.58999999999997</v>
      </c>
      <c r="Z61" s="12">
        <v>282.23</v>
      </c>
      <c r="AA61" s="12">
        <v>283.45999999999998</v>
      </c>
      <c r="AB61" s="105">
        <v>1990800</v>
      </c>
      <c r="AC61" s="12">
        <v>283.45999999999998</v>
      </c>
      <c r="AD61" s="2">
        <f t="shared" si="0"/>
        <v>6.3599999999999568</v>
      </c>
      <c r="AE61" s="148">
        <f t="shared" si="1"/>
        <v>-2.2147095349799972E-2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10"/>
        <v>232.6506</v>
      </c>
      <c r="W62" s="143">
        <v>42348</v>
      </c>
      <c r="X62" s="12">
        <v>285.36</v>
      </c>
      <c r="Y62" s="12">
        <v>291.22000000000003</v>
      </c>
      <c r="Z62" s="12">
        <v>284.68</v>
      </c>
      <c r="AA62" s="12">
        <v>289.88</v>
      </c>
      <c r="AB62" s="105">
        <v>1420300</v>
      </c>
      <c r="AC62" s="12">
        <v>289.88</v>
      </c>
      <c r="AD62" s="2">
        <f t="shared" si="0"/>
        <v>6.5400000000000205</v>
      </c>
      <c r="AE62" s="148">
        <f t="shared" si="1"/>
        <v>1.8516566529636957E-2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10"/>
        <v>230.09399999999999</v>
      </c>
      <c r="W63" s="143">
        <v>42347</v>
      </c>
      <c r="X63" s="12">
        <v>286.20999999999998</v>
      </c>
      <c r="Y63" s="12">
        <v>290.08999999999997</v>
      </c>
      <c r="Z63" s="12">
        <v>283.02</v>
      </c>
      <c r="AA63" s="12">
        <v>284.61</v>
      </c>
      <c r="AB63" s="105">
        <v>1520000</v>
      </c>
      <c r="AC63" s="12">
        <v>284.61</v>
      </c>
      <c r="AD63" s="2">
        <f t="shared" si="0"/>
        <v>7.0699999999999932</v>
      </c>
      <c r="AE63" s="148">
        <f t="shared" si="1"/>
        <v>-1.3346737849268431E-2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42346</v>
      </c>
      <c r="X64" s="12">
        <v>279.89</v>
      </c>
      <c r="Y64" s="12">
        <v>289.76</v>
      </c>
      <c r="Z64" s="12">
        <v>278</v>
      </c>
      <c r="AA64" s="12">
        <v>288.45999999999998</v>
      </c>
      <c r="AB64" s="105">
        <v>1749500</v>
      </c>
      <c r="AC64" s="12">
        <v>288.45999999999998</v>
      </c>
      <c r="AD64" s="2">
        <f t="shared" si="0"/>
        <v>11.759999999999991</v>
      </c>
      <c r="AE64" s="148">
        <f t="shared" si="1"/>
        <v>2.4251677733196031E-2</v>
      </c>
    </row>
    <row r="65" spans="23:31" x14ac:dyDescent="0.25">
      <c r="W65" s="143">
        <v>42345</v>
      </c>
      <c r="X65" s="12">
        <v>283.31</v>
      </c>
      <c r="Y65" s="12">
        <v>284.98</v>
      </c>
      <c r="Z65" s="12">
        <v>279.7</v>
      </c>
      <c r="AA65" s="12">
        <v>281.63</v>
      </c>
      <c r="AB65" s="105">
        <v>1736400</v>
      </c>
      <c r="AC65" s="12">
        <v>281.63</v>
      </c>
      <c r="AD65" s="2">
        <f t="shared" si="0"/>
        <v>5.2800000000000296</v>
      </c>
      <c r="AE65" s="148">
        <f t="shared" si="1"/>
        <v>-9.9138688697486543E-3</v>
      </c>
    </row>
    <row r="66" spans="23:31" x14ac:dyDescent="0.25">
      <c r="W66" s="143">
        <v>42342</v>
      </c>
      <c r="X66" s="12">
        <v>277</v>
      </c>
      <c r="Y66" s="12">
        <v>284.75</v>
      </c>
      <c r="Z66" s="12">
        <v>276.13</v>
      </c>
      <c r="AA66" s="12">
        <v>284.45</v>
      </c>
      <c r="AB66" s="105">
        <v>1906600</v>
      </c>
      <c r="AC66" s="12">
        <v>284.45</v>
      </c>
      <c r="AD66" s="2">
        <f t="shared" si="0"/>
        <v>8.6200000000000045</v>
      </c>
      <c r="AE66" s="148">
        <f t="shared" si="1"/>
        <v>3.2711298286378199E-2</v>
      </c>
    </row>
    <row r="67" spans="23:31" x14ac:dyDescent="0.25">
      <c r="W67" s="143">
        <v>42341</v>
      </c>
      <c r="X67" s="12">
        <v>284.22000000000003</v>
      </c>
      <c r="Y67" s="12">
        <v>285.58</v>
      </c>
      <c r="Z67" s="12">
        <v>274.23</v>
      </c>
      <c r="AA67" s="12">
        <v>275.44</v>
      </c>
      <c r="AB67" s="105">
        <v>1901000</v>
      </c>
      <c r="AC67" s="12">
        <v>275.44</v>
      </c>
      <c r="AD67" s="2">
        <f t="shared" ref="AD67:AD68" si="13">Y67-Z67</f>
        <v>11.349999999999966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2016-03-10T04:29:47Z</dcterms:modified>
</cp:coreProperties>
</file>