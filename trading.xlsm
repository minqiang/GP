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F3" i="33" l="1"/>
  <c r="F2" i="33"/>
  <c r="F3" i="31"/>
  <c r="F2" i="31"/>
  <c r="F153" i="1" l="1"/>
  <c r="E153" i="1"/>
  <c r="K4" i="10"/>
  <c r="F29" i="25" l="1"/>
  <c r="C29" i="25"/>
  <c r="E152" i="1" l="1"/>
  <c r="F152" i="1" s="1"/>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3" i="31" l="1"/>
  <c r="Q6" i="31" s="1"/>
  <c r="Q5" i="31"/>
  <c r="Q2" i="30"/>
  <c r="Q5" i="30" s="1"/>
  <c r="Q3" i="30"/>
  <c r="Q6" i="30" s="1"/>
  <c r="Q3" i="32"/>
  <c r="Q6" i="32" s="1"/>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<sst xmlns="http://schemas.openxmlformats.org/spreadsheetml/2006/main" count="891" uniqueCount="230">
  <si>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</si>
  <si>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</si>
  <si>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</si>
  <si>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</si>
  <si>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</si>
  <si>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</si>
  <si>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</si>
  <si>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</si>
  <si>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</si>
  <si>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</si>
  <si>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</si>
  <si>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</si>
  <si>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</si>
  <si>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</si>
  <si>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</si>
  <si>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</si>
  <si>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</si>
  <si>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</si>
  <si>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</si>
  <si>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</si>
  <si>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</si>
  <si>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</si>
  <si>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</si>
  <si>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</si>
  <si>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</si>
  <si>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</si>
  <si>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</si>
  <si>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</si>
  <si>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</si>
  <si>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</si>
  <si>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</si>
  <si>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</si>
  <si>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</si>
  <si>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</si>
  <si>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</si>
  <si>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</si>
  <si>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</si>
  <si>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</si>
  <si>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</si>
  <si>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</si>
  <si>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</si>
  <si>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</si>
  <si>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</si>
  <si>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</si>
  <si>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</si>
  <si>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</si>
  <si>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</si>
  <si>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</si>
  <si>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</si>
  <si>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</si>
  <si>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</si>
  <si>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</si>
  <si>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</si>
  <si>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</si>
  <si>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</si>
  <si>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</si>
  <si>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</si>
  <si>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</si>
  <si>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</si>
  <si>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</si>
  <si>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</si>
  <si>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</si>
  <si>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</si>
  <si>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</si>
  <si>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</si>
  <si>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</si>
  <si>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</si>
  <si>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</si>
  <si>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</si>
  <si>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</si>
  <si>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</si>
  <si>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</si>
  <si>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</si>
  <si>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</si>
  <si>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</si>
  <si>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</si>
  <si>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</si>
  <si>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</si>
  <si>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</si>
  <si>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</si>
  <si>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</si>
  <si>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</si>
  <si>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</si>
  <si>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</si>
  <si>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</si>
  <si>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</si>
  <si>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</si>
  <si>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</si>
  <si>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</si>
  <si>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</si>
  <si>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</si>
  <si>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</si>
  <si>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</si>
  <si>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</si>
  <si>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</si>
  <si>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</si>
  <si>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</si>
  <si>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</si>
  <si>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</si>
  <si>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</si>
  <si>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</si>
  <si>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</si>
  <si>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</si>
  <si>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</si>
  <si>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</si>
  <si>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</si>
  <si>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</si>
  <si>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</si>
  <si>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</si>
  <si>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</si>
  <si>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</si>
  <si>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</si>
  <si>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</si>
  <si>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</si>
  <si>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</si>
  <si>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</si>
  <si>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</si>
  <si>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</si>
  <si>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</si>
  <si>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</si>
  <si>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</si>
  <si>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</si>
  <si>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</si>
  <si>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</si>
  <si>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</si>
  <si>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</si>
  <si>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</si>
  <si>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</si>
  <si>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</si>
  <si>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</si>
  <si>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</si>
  <si>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</si>
  <si>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</si>
  <si>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</si>
  <si>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</si>
  <si>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</si>
  <si>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</si>
  <si>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</si>
  <si>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</si>
  <si>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</si>
  <si>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</si>
  <si>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</si>
  <si>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</si>
  <si>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</si>
  <si>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</si>
  <si>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</si>
  <si>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</si>
  <si>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</si>
  <si>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</si>
  <si>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</si>
  <si>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</si>
  <si>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</si>
  <si>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</si>
  <si>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</si>
  <si>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</si>
  <si>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</si>
  <si>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</si>
  <si>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</si>
  <si>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</si>
  <si>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</si>
  <si>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</si>
  <si>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</si>
  <si>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</si>
  <si>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</si>
  <si>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</si>
  <si>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</si>
  <si>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</si>
  <si>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</si>
  <si>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</si>
  <si>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</si>
  <si>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</si>
  <si>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</si>
  <si>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</si>
  <si>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</si>
  <si>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</si>
  <si>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</si>
  <si>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</si>
  <si>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</si>
  <si>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</si>
  <si>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</si>
  <si>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</si>
  <si>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</si>
  <si>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</si>
  <si>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</si>
  <si>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</si>
  <si>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</si>
  <si>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</si>
  <si>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</si>
  <si>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</si>
  <si>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</si>
  <si>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</si>
  <si>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</si>
  <si>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</si>
  <si>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</si>
  <si>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</si>
  <si>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</si>
  <si>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</si>
  <si>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</si>
  <si>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</si>
  <si>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</si>
  <si>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</si>
  <si>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</si>
  <si>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</si>
  <si>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</si>
  <si>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</si>
  <si>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</si>
  <si>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</si>
  <si>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</si>
  <si>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</si>
  <si>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</si>
  <si>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</si>
  <si>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</si>
  <si>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</si>
  <si>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</si>
  <si>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</si>
  <si>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</si>
  <si>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</si>
  <si>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</si>
  <si>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</si>
  <si>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</si>
  <si>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</si>
  <si>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</si>
  <si>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</si>
  <si>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</si>
  <si>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</si>
  <si>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~9/1</t>
  </si>
  <si>
    <t>Q3ER 0.586, 14.237B</t>
  </si>
  <si>
    <t>~10/13</t>
  </si>
  <si>
    <t>city global tech conference</t>
  </si>
  <si>
    <t>cumu P/L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</si>
</sst>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9">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7"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pt idx="13">
                  <c:v>311200.71000000002</c:v>
                </c:pt>
              </c:numCache>
            </c:numRef>
          </c:yVal>
          <c:smooth val="1"/>
        </c:ser>
        <c:dLbls>
          <c:showLegendKey val="0"/>
          <c:showVal val="0"/>
          <c:showCatName val="0"/>
          <c:showSerName val="0"/>
          <c:showPercent val="0"/>
          <c:showBubbleSize val="0"/>
        </c:dLbls>
        <c:axId val="301985256"/>
        <c:axId val="301985648"/>
      </c:scatterChart>
      <c:valAx>
        <c:axId val="301985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1985648"/>
        <c:crosses val="autoZero"/>
        <c:crossBetween val="midCat"/>
      </c:valAx>
      <c:valAx>
        <c:axId val="301985648"/>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1985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pt idx="13">
                  <c:v>-48799.289999999979</c:v>
                </c:pt>
              </c:numCache>
            </c:numRef>
          </c:yVal>
          <c:smooth val="1"/>
        </c:ser>
        <c:dLbls>
          <c:showLegendKey val="0"/>
          <c:showVal val="0"/>
          <c:showCatName val="0"/>
          <c:showSerName val="0"/>
          <c:showPercent val="0"/>
          <c:showBubbleSize val="0"/>
        </c:dLbls>
        <c:axId val="301989176"/>
        <c:axId val="301988784"/>
      </c:scatterChart>
      <c:valAx>
        <c:axId val="301989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1988784"/>
        <c:crosses val="autoZero"/>
        <c:crossBetween val="midCat"/>
      </c:valAx>
      <c:valAx>
        <c:axId val="301988784"/>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1989176"/>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workbookViewId="0">
      <pane ySplit="1" topLeftCell="A129" activePane="bottomLeft" state="frozen"/>
      <selection activeCell="E5" sqref="E5"/>
      <selection pane="bottomLeft" activeCell="G149" sqref="G149"/>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46"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46"/>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46"/>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46"/>
      <c r="B5" s="42">
        <v>42166</v>
      </c>
      <c r="C5" s="41">
        <v>100</v>
      </c>
      <c r="D5" s="43">
        <v>39.799999999999997</v>
      </c>
      <c r="E5" s="38">
        <f>C5*D5</f>
        <v>3979.9999999999995</v>
      </c>
      <c r="F5" s="43"/>
      <c r="G5" s="41"/>
      <c r="H5" s="43"/>
      <c r="I5" s="38">
        <f>G5*H5</f>
        <v>0</v>
      </c>
      <c r="J5" s="43"/>
      <c r="K5" s="38"/>
      <c r="L5" s="38"/>
      <c r="M5" s="52"/>
    </row>
    <row r="6" spans="1:13" ht="18" customHeight="1" collapsed="1" x14ac:dyDescent="0.25">
      <c r="A6" s="146"/>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47" t="s">
        <v>48</v>
      </c>
      <c r="B7" s="45"/>
      <c r="C7" s="40"/>
      <c r="D7" s="45"/>
      <c r="E7" s="39"/>
      <c r="F7" s="45"/>
      <c r="G7" s="40"/>
      <c r="H7" s="45"/>
      <c r="I7" s="39"/>
      <c r="J7" s="45"/>
      <c r="K7" s="39"/>
      <c r="L7" s="39"/>
      <c r="M7" s="53"/>
    </row>
    <row r="8" spans="1:13" ht="18" hidden="1" customHeight="1" outlineLevel="1" x14ac:dyDescent="0.25">
      <c r="A8" s="147"/>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47"/>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46" t="s">
        <v>29</v>
      </c>
      <c r="B10" s="43"/>
      <c r="C10" s="41"/>
      <c r="D10" s="43"/>
      <c r="E10" s="38"/>
      <c r="F10" s="43"/>
      <c r="G10" s="41"/>
      <c r="H10" s="43"/>
      <c r="I10" s="38"/>
      <c r="J10" s="43"/>
      <c r="K10" s="38"/>
      <c r="L10" s="38"/>
      <c r="M10" s="52"/>
    </row>
    <row r="11" spans="1:13" ht="18" hidden="1" customHeight="1" outlineLevel="1" x14ac:dyDescent="0.25">
      <c r="A11" s="146"/>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46"/>
      <c r="B12" s="42">
        <v>42184</v>
      </c>
      <c r="C12" s="41">
        <v>5</v>
      </c>
      <c r="D12" s="43">
        <v>44.5</v>
      </c>
      <c r="E12" s="38">
        <f>C12*D12</f>
        <v>222.5</v>
      </c>
      <c r="F12" s="43"/>
      <c r="G12" s="41"/>
      <c r="H12" s="43"/>
      <c r="I12" s="38"/>
      <c r="J12" s="43"/>
      <c r="K12" s="38"/>
      <c r="L12" s="38"/>
      <c r="M12" s="52"/>
    </row>
    <row r="13" spans="1:13" ht="18" hidden="1" customHeight="1" outlineLevel="1" x14ac:dyDescent="0.25">
      <c r="A13" s="146"/>
      <c r="B13" s="42">
        <v>42184</v>
      </c>
      <c r="C13" s="41">
        <v>10</v>
      </c>
      <c r="D13" s="43">
        <v>44.35</v>
      </c>
      <c r="E13" s="38">
        <f>C13*D13</f>
        <v>443.5</v>
      </c>
      <c r="F13" s="43"/>
      <c r="G13" s="41"/>
      <c r="H13" s="43"/>
      <c r="I13" s="38"/>
      <c r="J13" s="43"/>
      <c r="K13" s="38"/>
      <c r="L13" s="38"/>
      <c r="M13" s="52"/>
    </row>
    <row r="14" spans="1:13" ht="18" customHeight="1" collapsed="1" x14ac:dyDescent="0.25">
      <c r="A14" s="146"/>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47" t="s">
        <v>30</v>
      </c>
      <c r="B15" s="45"/>
      <c r="C15" s="40"/>
      <c r="D15" s="45"/>
      <c r="E15" s="39"/>
      <c r="F15" s="45"/>
      <c r="G15" s="40"/>
      <c r="H15" s="45"/>
      <c r="I15" s="39"/>
      <c r="J15" s="45"/>
      <c r="K15" s="39"/>
      <c r="L15" s="39"/>
      <c r="M15" s="53"/>
    </row>
    <row r="16" spans="1:13" ht="18" hidden="1" customHeight="1" outlineLevel="1" x14ac:dyDescent="0.25">
      <c r="A16" s="147"/>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47"/>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46" t="s">
        <v>8</v>
      </c>
      <c r="B18" s="43"/>
      <c r="C18" s="41"/>
      <c r="D18" s="43"/>
      <c r="E18" s="38"/>
      <c r="F18" s="43"/>
      <c r="G18" s="41"/>
      <c r="H18" s="43"/>
      <c r="I18" s="38"/>
      <c r="J18" s="43"/>
      <c r="K18" s="38"/>
      <c r="L18" s="38"/>
      <c r="M18" s="52"/>
    </row>
    <row r="19" spans="1:13" ht="18" hidden="1" customHeight="1" outlineLevel="1" x14ac:dyDescent="0.25">
      <c r="A19" s="146"/>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46"/>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46"/>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46"/>
      <c r="B22" s="42">
        <v>42146</v>
      </c>
      <c r="C22" s="41">
        <v>20</v>
      </c>
      <c r="D22" s="43">
        <v>61.1</v>
      </c>
      <c r="E22" s="38">
        <f t="shared" si="2"/>
        <v>1222</v>
      </c>
      <c r="F22" s="43"/>
      <c r="G22" s="41"/>
      <c r="H22" s="43"/>
      <c r="I22" s="38"/>
      <c r="J22" s="43"/>
      <c r="K22" s="38"/>
      <c r="L22" s="38"/>
      <c r="M22" s="52"/>
    </row>
    <row r="23" spans="1:13" ht="18" hidden="1" customHeight="1" outlineLevel="1" x14ac:dyDescent="0.25">
      <c r="A23" s="146"/>
      <c r="B23" s="42">
        <v>42146</v>
      </c>
      <c r="C23" s="41">
        <v>10</v>
      </c>
      <c r="D23" s="43">
        <v>60.8</v>
      </c>
      <c r="E23" s="38">
        <f t="shared" si="2"/>
        <v>608</v>
      </c>
      <c r="F23" s="43"/>
      <c r="G23" s="41"/>
      <c r="H23" s="43"/>
      <c r="I23" s="38"/>
      <c r="J23" s="43"/>
      <c r="K23" s="38"/>
      <c r="L23" s="38"/>
      <c r="M23" s="52"/>
    </row>
    <row r="24" spans="1:13" ht="18" hidden="1" customHeight="1" outlineLevel="1" x14ac:dyDescent="0.25">
      <c r="A24" s="146"/>
      <c r="B24" s="42">
        <v>42146</v>
      </c>
      <c r="C24" s="41">
        <v>20</v>
      </c>
      <c r="D24" s="43">
        <v>60.7</v>
      </c>
      <c r="E24" s="38">
        <f t="shared" si="2"/>
        <v>1214</v>
      </c>
      <c r="F24" s="43"/>
      <c r="G24" s="41"/>
      <c r="H24" s="43"/>
      <c r="I24" s="38"/>
      <c r="J24" s="43"/>
      <c r="K24" s="38"/>
      <c r="L24" s="38"/>
      <c r="M24" s="52"/>
    </row>
    <row r="25" spans="1:13" ht="18" hidden="1" customHeight="1" outlineLevel="1" x14ac:dyDescent="0.25">
      <c r="A25" s="146"/>
      <c r="B25" s="42">
        <v>42150</v>
      </c>
      <c r="C25" s="41">
        <v>20</v>
      </c>
      <c r="D25" s="43">
        <v>60.6</v>
      </c>
      <c r="E25" s="38">
        <f t="shared" si="2"/>
        <v>1212</v>
      </c>
      <c r="F25" s="43"/>
      <c r="G25" s="41"/>
      <c r="H25" s="43"/>
      <c r="I25" s="38"/>
      <c r="J25" s="43"/>
      <c r="K25" s="38"/>
      <c r="L25" s="38"/>
      <c r="M25" s="52"/>
    </row>
    <row r="26" spans="1:13" ht="18" hidden="1" customHeight="1" outlineLevel="1" x14ac:dyDescent="0.25">
      <c r="A26" s="146"/>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46"/>
      <c r="B27" s="42">
        <v>42152</v>
      </c>
      <c r="C27" s="41">
        <v>30</v>
      </c>
      <c r="D27" s="43">
        <v>60.39</v>
      </c>
      <c r="E27" s="38">
        <f t="shared" si="2"/>
        <v>1811.7</v>
      </c>
      <c r="F27" s="43"/>
      <c r="G27" s="41"/>
      <c r="H27" s="43"/>
      <c r="I27" s="38"/>
      <c r="J27" s="43"/>
      <c r="K27" s="38"/>
      <c r="L27" s="38"/>
      <c r="M27" s="52"/>
    </row>
    <row r="28" spans="1:13" ht="18" hidden="1" customHeight="1" outlineLevel="1" x14ac:dyDescent="0.25">
      <c r="A28" s="146"/>
      <c r="B28" s="42">
        <v>42166</v>
      </c>
      <c r="C28" s="41">
        <v>100</v>
      </c>
      <c r="D28" s="43">
        <v>58</v>
      </c>
      <c r="E28" s="38">
        <f t="shared" si="2"/>
        <v>5800</v>
      </c>
      <c r="F28" s="43"/>
      <c r="G28" s="41"/>
      <c r="H28" s="43"/>
      <c r="I28" s="38"/>
      <c r="J28" s="43"/>
      <c r="K28" s="38"/>
      <c r="L28" s="38"/>
      <c r="M28" s="52"/>
    </row>
    <row r="29" spans="1:13" ht="18" hidden="1" customHeight="1" outlineLevel="1" x14ac:dyDescent="0.25">
      <c r="A29" s="146"/>
      <c r="B29" s="42">
        <v>42187</v>
      </c>
      <c r="C29" s="41">
        <v>290</v>
      </c>
      <c r="D29" s="43">
        <v>57.85</v>
      </c>
      <c r="E29" s="38">
        <f t="shared" si="2"/>
        <v>16776.5</v>
      </c>
      <c r="F29" s="43"/>
      <c r="G29" s="41"/>
      <c r="H29" s="43"/>
      <c r="I29" s="38"/>
      <c r="J29" s="43"/>
      <c r="K29" s="38"/>
      <c r="L29" s="38"/>
      <c r="M29" s="52"/>
    </row>
    <row r="30" spans="1:13" ht="18" customHeight="1" collapsed="1" x14ac:dyDescent="0.25">
      <c r="A30" s="146"/>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47" t="s">
        <v>40</v>
      </c>
      <c r="B31" s="45"/>
      <c r="C31" s="40"/>
      <c r="D31" s="45"/>
      <c r="E31" s="39"/>
      <c r="F31" s="45"/>
      <c r="G31" s="40"/>
      <c r="H31" s="45"/>
      <c r="I31" s="39"/>
      <c r="J31" s="45"/>
      <c r="K31" s="39"/>
      <c r="L31" s="39"/>
      <c r="M31" s="53"/>
    </row>
    <row r="32" spans="1:13" ht="18" hidden="1" customHeight="1" outlineLevel="1" x14ac:dyDescent="0.25">
      <c r="A32" s="147"/>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47"/>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47"/>
      <c r="B34" s="46">
        <v>42209</v>
      </c>
      <c r="C34" s="40">
        <v>10</v>
      </c>
      <c r="D34" s="45">
        <v>146.69999999999999</v>
      </c>
      <c r="E34" s="39">
        <f>C34*D34</f>
        <v>1467</v>
      </c>
      <c r="F34" s="45"/>
      <c r="G34" s="40"/>
      <c r="H34" s="45"/>
      <c r="I34" s="39"/>
      <c r="J34" s="45"/>
      <c r="K34" s="39"/>
      <c r="L34" s="39"/>
      <c r="M34" s="40"/>
    </row>
    <row r="35" spans="1:13" ht="18" customHeight="1" collapsed="1" x14ac:dyDescent="0.25">
      <c r="A35" s="147"/>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46" t="s">
        <v>32</v>
      </c>
      <c r="B36" s="43"/>
      <c r="C36" s="41"/>
      <c r="D36" s="43"/>
      <c r="E36" s="38"/>
      <c r="F36" s="43"/>
      <c r="G36" s="41"/>
      <c r="H36" s="43"/>
      <c r="I36" s="38"/>
      <c r="J36" s="43"/>
      <c r="K36" s="38"/>
      <c r="L36" s="38"/>
      <c r="M36" s="52"/>
    </row>
    <row r="37" spans="1:13" ht="18" hidden="1" customHeight="1" outlineLevel="1" x14ac:dyDescent="0.25">
      <c r="A37" s="146"/>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46"/>
      <c r="B38" s="42">
        <v>42167</v>
      </c>
      <c r="C38" s="41">
        <v>25</v>
      </c>
      <c r="D38" s="43">
        <v>39.1</v>
      </c>
      <c r="E38" s="38">
        <f>C38*D38</f>
        <v>977.5</v>
      </c>
      <c r="F38" s="43"/>
      <c r="G38" s="41"/>
      <c r="H38" s="43"/>
      <c r="I38" s="38"/>
      <c r="J38" s="43"/>
      <c r="K38" s="38"/>
      <c r="L38" s="38"/>
      <c r="M38" s="52"/>
    </row>
    <row r="39" spans="1:13" ht="18" customHeight="1" collapsed="1" x14ac:dyDescent="0.25">
      <c r="A39" s="146"/>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47" t="s">
        <v>16</v>
      </c>
      <c r="B40" s="45"/>
      <c r="C40" s="40"/>
      <c r="D40" s="45"/>
      <c r="E40" s="39"/>
      <c r="F40" s="45"/>
      <c r="G40" s="40"/>
      <c r="H40" s="45"/>
      <c r="I40" s="39"/>
      <c r="J40" s="45"/>
      <c r="K40" s="39"/>
      <c r="L40" s="39"/>
      <c r="M40" s="53"/>
    </row>
    <row r="41" spans="1:13" ht="18" hidden="1" customHeight="1" outlineLevel="1" x14ac:dyDescent="0.25">
      <c r="A41" s="147"/>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47"/>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46" t="s">
        <v>21</v>
      </c>
      <c r="B43" s="43"/>
      <c r="C43" s="41"/>
      <c r="D43" s="43"/>
      <c r="E43" s="38"/>
      <c r="F43" s="43"/>
      <c r="G43" s="41"/>
      <c r="H43" s="43"/>
      <c r="I43" s="38"/>
      <c r="J43" s="43"/>
      <c r="K43" s="38"/>
      <c r="L43" s="38"/>
      <c r="M43" s="52"/>
    </row>
    <row r="44" spans="1:13" ht="18" hidden="1" customHeight="1" outlineLevel="1" x14ac:dyDescent="0.25">
      <c r="A44" s="146"/>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46"/>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46"/>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46"/>
      <c r="B47" s="42">
        <v>42187</v>
      </c>
      <c r="C47" s="41">
        <v>2000</v>
      </c>
      <c r="D47" s="43">
        <v>21.49</v>
      </c>
      <c r="E47" s="38">
        <f>C47*D47</f>
        <v>42980</v>
      </c>
      <c r="F47" s="42"/>
      <c r="G47" s="41"/>
      <c r="H47" s="43"/>
      <c r="I47" s="38">
        <f>G47*H47</f>
        <v>0</v>
      </c>
      <c r="J47" s="43"/>
      <c r="K47" s="38"/>
      <c r="L47" s="38"/>
      <c r="M47" s="52"/>
    </row>
    <row r="48" spans="1:13" ht="18" customHeight="1" collapsed="1" x14ac:dyDescent="0.25">
      <c r="A48" s="146"/>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47" t="s">
        <v>9</v>
      </c>
      <c r="B49" s="45"/>
      <c r="C49" s="40"/>
      <c r="D49" s="45"/>
      <c r="E49" s="39"/>
      <c r="F49" s="45"/>
      <c r="G49" s="40"/>
      <c r="H49" s="45"/>
      <c r="I49" s="39"/>
      <c r="J49" s="45"/>
      <c r="K49" s="39"/>
      <c r="L49" s="40"/>
      <c r="M49" s="40"/>
    </row>
    <row r="50" spans="1:13" ht="18" hidden="1" customHeight="1" outlineLevel="1" x14ac:dyDescent="0.25">
      <c r="A50" s="147"/>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47"/>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47"/>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47"/>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47"/>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47"/>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47"/>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47"/>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47"/>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47"/>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47"/>
      <c r="B60" s="46">
        <v>42152</v>
      </c>
      <c r="C60" s="40">
        <v>2000</v>
      </c>
      <c r="D60" s="45">
        <v>5.15</v>
      </c>
      <c r="E60" s="39">
        <f t="shared" si="4"/>
        <v>10300</v>
      </c>
      <c r="F60" s="45"/>
      <c r="G60" s="40"/>
      <c r="H60" s="45"/>
      <c r="I60" s="39"/>
      <c r="J60" s="45"/>
      <c r="K60" s="39"/>
      <c r="L60" s="40"/>
      <c r="M60" s="40"/>
    </row>
    <row r="61" spans="1:13" ht="18" hidden="1" customHeight="1" outlineLevel="1" x14ac:dyDescent="0.25">
      <c r="A61" s="147"/>
      <c r="B61" s="46">
        <v>42158</v>
      </c>
      <c r="C61" s="40">
        <v>500</v>
      </c>
      <c r="D61" s="45">
        <v>5.09</v>
      </c>
      <c r="E61" s="39">
        <f t="shared" si="4"/>
        <v>2545</v>
      </c>
      <c r="F61" s="45"/>
      <c r="G61" s="40"/>
      <c r="H61" s="45"/>
      <c r="I61" s="39"/>
      <c r="J61" s="45"/>
      <c r="K61" s="39"/>
      <c r="L61" s="40"/>
      <c r="M61" s="40"/>
    </row>
    <row r="62" spans="1:13" ht="18" hidden="1" customHeight="1" outlineLevel="1" x14ac:dyDescent="0.25">
      <c r="A62" s="147"/>
      <c r="B62" s="46">
        <v>42158</v>
      </c>
      <c r="C62" s="40">
        <v>1000</v>
      </c>
      <c r="D62" s="45">
        <v>5.04</v>
      </c>
      <c r="E62" s="39">
        <f t="shared" si="4"/>
        <v>5040</v>
      </c>
      <c r="F62" s="45"/>
      <c r="G62" s="40"/>
      <c r="H62" s="45"/>
      <c r="I62" s="39"/>
      <c r="J62" s="45"/>
      <c r="K62" s="39"/>
      <c r="L62" s="40"/>
      <c r="M62" s="40"/>
    </row>
    <row r="63" spans="1:13" ht="18" hidden="1" customHeight="1" outlineLevel="1" x14ac:dyDescent="0.25">
      <c r="A63" s="147"/>
      <c r="B63" s="46">
        <v>42158</v>
      </c>
      <c r="C63" s="40">
        <v>200</v>
      </c>
      <c r="D63" s="45">
        <v>5.05</v>
      </c>
      <c r="E63" s="39">
        <f t="shared" si="4"/>
        <v>1010</v>
      </c>
      <c r="F63" s="45"/>
      <c r="G63" s="40"/>
      <c r="H63" s="45"/>
      <c r="I63" s="39"/>
      <c r="J63" s="45"/>
      <c r="K63" s="39"/>
      <c r="L63" s="40"/>
      <c r="M63" s="40"/>
    </row>
    <row r="64" spans="1:13" ht="18" hidden="1" customHeight="1" outlineLevel="1" x14ac:dyDescent="0.25">
      <c r="A64" s="147"/>
      <c r="B64" s="46">
        <v>42164</v>
      </c>
      <c r="C64" s="40">
        <v>500</v>
      </c>
      <c r="D64" s="45">
        <v>5.07</v>
      </c>
      <c r="E64" s="39">
        <f t="shared" si="4"/>
        <v>2535</v>
      </c>
      <c r="F64" s="45"/>
      <c r="G64" s="40"/>
      <c r="H64" s="45"/>
      <c r="I64" s="39"/>
      <c r="J64" s="45"/>
      <c r="K64" s="39"/>
      <c r="L64" s="40"/>
      <c r="M64" s="40"/>
    </row>
    <row r="65" spans="1:13" ht="18" hidden="1" customHeight="1" outlineLevel="1" x14ac:dyDescent="0.25">
      <c r="A65" s="147"/>
      <c r="B65" s="46">
        <v>42164</v>
      </c>
      <c r="C65" s="40">
        <v>1000</v>
      </c>
      <c r="D65" s="45">
        <v>5.04</v>
      </c>
      <c r="E65" s="39">
        <f t="shared" si="4"/>
        <v>5040</v>
      </c>
      <c r="F65" s="45"/>
      <c r="G65" s="40"/>
      <c r="H65" s="45"/>
      <c r="I65" s="39"/>
      <c r="J65" s="45"/>
      <c r="K65" s="39"/>
      <c r="L65" s="40"/>
      <c r="M65" s="40"/>
    </row>
    <row r="66" spans="1:13" ht="18" hidden="1" customHeight="1" outlineLevel="1" x14ac:dyDescent="0.25">
      <c r="A66" s="147"/>
      <c r="B66" s="46">
        <v>42164</v>
      </c>
      <c r="C66" s="40">
        <v>1000</v>
      </c>
      <c r="D66" s="45">
        <v>5.01</v>
      </c>
      <c r="E66" s="39">
        <f t="shared" si="4"/>
        <v>5010</v>
      </c>
      <c r="F66" s="45"/>
      <c r="G66" s="40"/>
      <c r="H66" s="45"/>
      <c r="I66" s="39"/>
      <c r="J66" s="45"/>
      <c r="K66" s="39"/>
      <c r="L66" s="40"/>
      <c r="M66" s="40"/>
    </row>
    <row r="67" spans="1:13" ht="18" hidden="1" customHeight="1" outlineLevel="1" x14ac:dyDescent="0.25">
      <c r="A67" s="147"/>
      <c r="B67" s="46">
        <v>42173</v>
      </c>
      <c r="C67" s="40">
        <v>500</v>
      </c>
      <c r="D67" s="45">
        <v>4.88</v>
      </c>
      <c r="E67" s="39">
        <f t="shared" si="4"/>
        <v>2440</v>
      </c>
      <c r="F67" s="45"/>
      <c r="G67" s="40"/>
      <c r="H67" s="45"/>
      <c r="I67" s="39"/>
      <c r="J67" s="45"/>
      <c r="K67" s="39"/>
      <c r="L67" s="40"/>
      <c r="M67" s="40"/>
    </row>
    <row r="68" spans="1:13" ht="18" hidden="1" customHeight="1" outlineLevel="1" x14ac:dyDescent="0.25">
      <c r="A68" s="147"/>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47"/>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47"/>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47"/>
      <c r="B71" s="46">
        <v>42187</v>
      </c>
      <c r="C71" s="40">
        <v>2000</v>
      </c>
      <c r="D71" s="45">
        <v>4.97</v>
      </c>
      <c r="E71" s="39">
        <f t="shared" si="4"/>
        <v>9940</v>
      </c>
      <c r="F71" s="45"/>
      <c r="G71" s="40"/>
      <c r="H71" s="45"/>
      <c r="I71" s="39"/>
      <c r="J71" s="45"/>
      <c r="K71" s="39"/>
      <c r="L71" s="40"/>
      <c r="M71" s="40"/>
    </row>
    <row r="72" spans="1:13" ht="18" hidden="1" customHeight="1" outlineLevel="1" x14ac:dyDescent="0.25">
      <c r="A72" s="147"/>
      <c r="B72" s="46">
        <v>42199</v>
      </c>
      <c r="C72" s="40">
        <v>500</v>
      </c>
      <c r="D72" s="45">
        <v>4.8</v>
      </c>
      <c r="E72" s="39">
        <f t="shared" si="4"/>
        <v>2400</v>
      </c>
      <c r="F72" s="45"/>
      <c r="G72" s="40"/>
      <c r="H72" s="45"/>
      <c r="I72" s="39"/>
      <c r="J72" s="45"/>
      <c r="K72" s="39"/>
      <c r="L72" s="40"/>
      <c r="M72" s="40"/>
    </row>
    <row r="73" spans="1:13" ht="18" hidden="1" customHeight="1" outlineLevel="1" x14ac:dyDescent="0.25">
      <c r="A73" s="147"/>
      <c r="B73" s="46">
        <v>42212</v>
      </c>
      <c r="C73" s="40">
        <v>300</v>
      </c>
      <c r="D73" s="45">
        <v>4.76</v>
      </c>
      <c r="E73" s="39">
        <f t="shared" si="4"/>
        <v>1428</v>
      </c>
      <c r="F73" s="45"/>
      <c r="G73" s="40"/>
      <c r="H73" s="45"/>
      <c r="I73" s="39"/>
      <c r="J73" s="45"/>
      <c r="K73" s="39"/>
      <c r="L73" s="40"/>
      <c r="M73" s="40"/>
    </row>
    <row r="74" spans="1:13" ht="18" hidden="1" customHeight="1" outlineLevel="1" x14ac:dyDescent="0.25">
      <c r="A74" s="147"/>
      <c r="B74" s="46">
        <v>42212</v>
      </c>
      <c r="C74" s="40">
        <v>1700</v>
      </c>
      <c r="D74" s="45">
        <v>4.76</v>
      </c>
      <c r="E74" s="39">
        <f t="shared" si="4"/>
        <v>8092</v>
      </c>
      <c r="F74" s="45"/>
      <c r="G74" s="40"/>
      <c r="H74" s="45"/>
      <c r="I74" s="39"/>
      <c r="J74" s="45"/>
      <c r="K74" s="39"/>
      <c r="L74" s="40"/>
      <c r="M74" s="40"/>
    </row>
    <row r="75" spans="1:13" ht="18" hidden="1" customHeight="1" outlineLevel="1" x14ac:dyDescent="0.25">
      <c r="A75" s="147"/>
      <c r="B75" s="46">
        <v>42214</v>
      </c>
      <c r="C75" s="40">
        <v>500</v>
      </c>
      <c r="D75" s="45">
        <v>4.68</v>
      </c>
      <c r="E75" s="39">
        <f t="shared" si="4"/>
        <v>2340</v>
      </c>
      <c r="F75" s="45"/>
      <c r="G75" s="40"/>
      <c r="H75" s="45"/>
      <c r="I75" s="39"/>
      <c r="J75" s="45"/>
      <c r="K75" s="39"/>
      <c r="L75" s="40"/>
      <c r="M75" s="40"/>
    </row>
    <row r="76" spans="1:13" ht="18" hidden="1" customHeight="1" outlineLevel="1" x14ac:dyDescent="0.25">
      <c r="A76" s="147"/>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47"/>
      <c r="B77" s="46">
        <v>42214</v>
      </c>
      <c r="C77" s="40">
        <v>200</v>
      </c>
      <c r="D77" s="45">
        <v>4.63</v>
      </c>
      <c r="E77" s="39">
        <f t="shared" si="4"/>
        <v>926</v>
      </c>
      <c r="F77" s="45"/>
      <c r="G77" s="40"/>
      <c r="H77" s="45"/>
      <c r="I77" s="39"/>
      <c r="J77" s="45"/>
      <c r="K77" s="39"/>
      <c r="L77" s="40"/>
      <c r="M77" s="40"/>
    </row>
    <row r="78" spans="1:13" ht="18" hidden="1" customHeight="1" outlineLevel="1" x14ac:dyDescent="0.25">
      <c r="A78" s="147"/>
      <c r="B78" s="46">
        <v>42214</v>
      </c>
      <c r="C78" s="40">
        <v>300</v>
      </c>
      <c r="D78" s="45">
        <v>4.59</v>
      </c>
      <c r="E78" s="39">
        <f t="shared" si="4"/>
        <v>1377</v>
      </c>
      <c r="F78" s="45"/>
      <c r="G78" s="40"/>
      <c r="H78" s="45"/>
      <c r="I78" s="39"/>
      <c r="J78" s="45"/>
      <c r="K78" s="39"/>
      <c r="L78" s="40"/>
      <c r="M78" s="40"/>
    </row>
    <row r="79" spans="1:13" ht="18" hidden="1" customHeight="1" outlineLevel="1" x14ac:dyDescent="0.25">
      <c r="A79" s="147"/>
      <c r="B79" s="46">
        <v>42214</v>
      </c>
      <c r="C79" s="40">
        <v>500</v>
      </c>
      <c r="D79" s="45">
        <v>4.54</v>
      </c>
      <c r="E79" s="39">
        <f t="shared" si="4"/>
        <v>2270</v>
      </c>
      <c r="F79" s="45"/>
      <c r="G79" s="40"/>
      <c r="H79" s="45"/>
      <c r="I79" s="39"/>
      <c r="J79" s="45"/>
      <c r="K79" s="39"/>
      <c r="L79" s="40"/>
      <c r="M79" s="40"/>
    </row>
    <row r="80" spans="1:13" ht="18" customHeight="1" collapsed="1" x14ac:dyDescent="0.25">
      <c r="A80" s="147"/>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46" t="s">
        <v>25</v>
      </c>
      <c r="B81" s="43"/>
      <c r="C81" s="41"/>
      <c r="D81" s="43"/>
      <c r="E81" s="38"/>
      <c r="F81" s="43"/>
      <c r="G81" s="41"/>
      <c r="H81" s="43"/>
      <c r="I81" s="38"/>
      <c r="J81" s="43"/>
      <c r="K81" s="38"/>
      <c r="L81" s="38"/>
      <c r="M81" s="52"/>
    </row>
    <row r="82" spans="1:13" ht="18" hidden="1" customHeight="1" outlineLevel="1" x14ac:dyDescent="0.25">
      <c r="A82" s="146"/>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46"/>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47" t="s">
        <v>36</v>
      </c>
      <c r="B84" s="45"/>
      <c r="C84" s="40"/>
      <c r="D84" s="45"/>
      <c r="E84" s="39"/>
      <c r="F84" s="45"/>
      <c r="G84" s="40"/>
      <c r="H84" s="45"/>
      <c r="I84" s="39"/>
      <c r="J84" s="45"/>
      <c r="K84" s="39"/>
      <c r="L84" s="39"/>
      <c r="M84" s="53"/>
    </row>
    <row r="85" spans="1:13" ht="18" hidden="1" customHeight="1" outlineLevel="1" x14ac:dyDescent="0.25">
      <c r="A85" s="147"/>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47"/>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47"/>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46" t="s">
        <v>14</v>
      </c>
      <c r="B88" s="43"/>
      <c r="C88" s="41"/>
      <c r="D88" s="43"/>
      <c r="E88" s="38"/>
      <c r="F88" s="43"/>
      <c r="G88" s="41"/>
      <c r="H88" s="43"/>
      <c r="I88" s="38"/>
      <c r="J88" s="43"/>
      <c r="K88" s="38"/>
      <c r="L88" s="38"/>
      <c r="M88" s="52"/>
    </row>
    <row r="89" spans="1:13" ht="18" hidden="1" customHeight="1" outlineLevel="1" x14ac:dyDescent="0.25">
      <c r="A89" s="146"/>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46"/>
      <c r="B90" s="42">
        <v>42164</v>
      </c>
      <c r="C90" s="41">
        <v>48</v>
      </c>
      <c r="D90" s="43">
        <v>49.9</v>
      </c>
      <c r="E90" s="38">
        <f>C90*D90</f>
        <v>2395.1999999999998</v>
      </c>
      <c r="F90" s="43"/>
      <c r="G90" s="41"/>
      <c r="H90" s="43"/>
      <c r="I90" s="38"/>
      <c r="J90" s="43"/>
      <c r="K90" s="38"/>
      <c r="L90" s="38"/>
      <c r="M90" s="52"/>
    </row>
    <row r="91" spans="1:13" ht="18" hidden="1" customHeight="1" outlineLevel="1" x14ac:dyDescent="0.25">
      <c r="A91" s="146"/>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46"/>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46"/>
      <c r="B93" s="42">
        <v>42173</v>
      </c>
      <c r="C93" s="41">
        <v>25</v>
      </c>
      <c r="D93" s="43">
        <v>47.54</v>
      </c>
      <c r="E93" s="38">
        <f>C93*D93</f>
        <v>1188.5</v>
      </c>
      <c r="F93" s="43"/>
      <c r="G93" s="41"/>
      <c r="H93" s="43"/>
      <c r="I93" s="38">
        <f>G93*H93</f>
        <v>0</v>
      </c>
      <c r="J93" s="43"/>
      <c r="K93" s="38"/>
      <c r="L93" s="38"/>
      <c r="M93" s="52"/>
    </row>
    <row r="94" spans="1:13" ht="18" customHeight="1" collapsed="1" x14ac:dyDescent="0.25">
      <c r="A94" s="146"/>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47" t="s">
        <v>41</v>
      </c>
      <c r="B95" s="45"/>
      <c r="C95" s="40"/>
      <c r="D95" s="45"/>
      <c r="E95" s="39"/>
      <c r="F95" s="45"/>
      <c r="G95" s="40"/>
      <c r="H95" s="45"/>
      <c r="I95" s="39"/>
      <c r="J95" s="45"/>
      <c r="K95" s="39"/>
      <c r="L95" s="39"/>
      <c r="M95" s="53"/>
    </row>
    <row r="96" spans="1:13" ht="18" hidden="1" customHeight="1" outlineLevel="1" x14ac:dyDescent="0.25">
      <c r="A96" s="147"/>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47"/>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46" t="s">
        <v>46</v>
      </c>
      <c r="B98" s="43"/>
      <c r="C98" s="41"/>
      <c r="D98" s="43"/>
      <c r="E98" s="38"/>
      <c r="F98" s="43"/>
      <c r="G98" s="41"/>
      <c r="H98" s="43"/>
      <c r="I98" s="38"/>
      <c r="J98" s="43"/>
      <c r="K98" s="38"/>
      <c r="L98" s="38"/>
      <c r="M98" s="52"/>
    </row>
    <row r="99" spans="1:13" ht="18" hidden="1" customHeight="1" outlineLevel="1" x14ac:dyDescent="0.25">
      <c r="A99" s="146"/>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46"/>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47" t="s">
        <v>28</v>
      </c>
      <c r="B101" s="45"/>
      <c r="C101" s="40"/>
      <c r="D101" s="45"/>
      <c r="E101" s="39"/>
      <c r="F101" s="45"/>
      <c r="G101" s="40"/>
      <c r="H101" s="45"/>
      <c r="I101" s="39"/>
      <c r="J101" s="45"/>
      <c r="K101" s="39"/>
      <c r="L101" s="39"/>
      <c r="M101" s="53"/>
    </row>
    <row r="102" spans="1:13" ht="18" hidden="1" customHeight="1" outlineLevel="1" x14ac:dyDescent="0.25">
      <c r="A102" s="147"/>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47"/>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47"/>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46" t="s">
        <v>0</v>
      </c>
      <c r="B105" s="43"/>
      <c r="C105" s="41"/>
      <c r="D105" s="43"/>
      <c r="E105" s="38"/>
      <c r="F105" s="43"/>
      <c r="G105" s="41"/>
      <c r="H105" s="43"/>
      <c r="I105" s="38"/>
      <c r="J105" s="43"/>
      <c r="K105" s="38"/>
      <c r="L105" s="38"/>
      <c r="M105" s="52"/>
    </row>
    <row r="106" spans="1:13" ht="18" hidden="1" customHeight="1" outlineLevel="1" x14ac:dyDescent="0.25">
      <c r="A106" s="146"/>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46"/>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47" t="s">
        <v>49</v>
      </c>
      <c r="B108" s="45"/>
      <c r="C108" s="40"/>
      <c r="D108" s="45"/>
      <c r="E108" s="39"/>
      <c r="F108" s="45"/>
      <c r="G108" s="40"/>
      <c r="H108" s="45"/>
      <c r="I108" s="39"/>
      <c r="J108" s="45"/>
      <c r="K108" s="39"/>
      <c r="L108" s="39"/>
      <c r="M108" s="53"/>
    </row>
    <row r="109" spans="1:13" ht="18" hidden="1" customHeight="1" outlineLevel="1" x14ac:dyDescent="0.25">
      <c r="A109" s="147"/>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47"/>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46" t="s">
        <v>13</v>
      </c>
      <c r="B111" s="43"/>
      <c r="C111" s="41"/>
      <c r="D111" s="43"/>
      <c r="E111" s="38"/>
      <c r="F111" s="43"/>
      <c r="G111" s="41"/>
      <c r="H111" s="43"/>
      <c r="I111" s="38"/>
      <c r="J111" s="43"/>
      <c r="K111" s="38"/>
      <c r="L111" s="38"/>
      <c r="M111" s="41"/>
    </row>
    <row r="112" spans="1:13" ht="18" hidden="1" customHeight="1" outlineLevel="1" x14ac:dyDescent="0.25">
      <c r="A112" s="146"/>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46"/>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46"/>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46"/>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46"/>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46"/>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46"/>
      <c r="B118" s="42">
        <v>42166</v>
      </c>
      <c r="C118" s="41">
        <v>100</v>
      </c>
      <c r="D118" s="43">
        <v>51.35</v>
      </c>
      <c r="E118" s="38">
        <f t="shared" si="7"/>
        <v>5135</v>
      </c>
      <c r="F118" s="43"/>
      <c r="G118" s="41"/>
      <c r="H118" s="43"/>
      <c r="I118" s="38"/>
      <c r="J118" s="43"/>
      <c r="K118" s="38"/>
      <c r="L118" s="38"/>
      <c r="M118" s="52"/>
    </row>
    <row r="119" spans="1:13" ht="18" customHeight="1" collapsed="1" x14ac:dyDescent="0.25">
      <c r="A119" s="146"/>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47" t="s">
        <v>20</v>
      </c>
      <c r="B120" s="45"/>
      <c r="C120" s="40"/>
      <c r="D120" s="45"/>
      <c r="E120" s="39"/>
      <c r="F120" s="45"/>
      <c r="G120" s="40"/>
      <c r="H120" s="45"/>
      <c r="I120" s="39"/>
      <c r="J120" s="45"/>
      <c r="K120" s="39"/>
      <c r="L120" s="39"/>
      <c r="M120" s="53"/>
    </row>
    <row r="121" spans="1:13" ht="18" hidden="1" customHeight="1" outlineLevel="1" x14ac:dyDescent="0.25">
      <c r="A121" s="147"/>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47"/>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47"/>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47"/>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47"/>
      <c r="B125" s="46">
        <v>42186</v>
      </c>
      <c r="C125" s="40">
        <v>297</v>
      </c>
      <c r="D125" s="45">
        <v>19.13</v>
      </c>
      <c r="E125" s="39">
        <f>C125*D125</f>
        <v>5681.61</v>
      </c>
      <c r="F125" s="45"/>
      <c r="G125" s="40"/>
      <c r="H125" s="45"/>
      <c r="I125" s="39"/>
      <c r="J125" s="45"/>
      <c r="K125" s="39"/>
      <c r="L125" s="39"/>
      <c r="M125" s="53"/>
    </row>
    <row r="126" spans="1:13" ht="18" customHeight="1" collapsed="1" x14ac:dyDescent="0.25">
      <c r="A126" s="147"/>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46" t="s">
        <v>31</v>
      </c>
      <c r="B127" s="43"/>
      <c r="C127" s="41"/>
      <c r="D127" s="43"/>
      <c r="E127" s="38"/>
      <c r="F127" s="43"/>
      <c r="G127" s="41"/>
      <c r="H127" s="43"/>
      <c r="I127" s="38"/>
      <c r="J127" s="43"/>
      <c r="K127" s="38"/>
      <c r="L127" s="38"/>
      <c r="M127" s="52"/>
    </row>
    <row r="128" spans="1:13" ht="18" hidden="1" customHeight="1" outlineLevel="1" x14ac:dyDescent="0.25">
      <c r="A128" s="146"/>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46"/>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44" t="s">
        <v>149</v>
      </c>
      <c r="B136" s="144"/>
      <c r="C136" s="144"/>
      <c r="D136" s="144"/>
      <c r="E136" s="144"/>
      <c r="F136" s="144"/>
    </row>
    <row r="137" spans="1:14" ht="18" customHeight="1" x14ac:dyDescent="0.25">
      <c r="A137" s="145"/>
      <c r="B137" s="145"/>
      <c r="C137" s="145"/>
      <c r="D137" s="145"/>
      <c r="E137" s="145"/>
      <c r="F137" s="145"/>
    </row>
    <row r="138" spans="1:14" ht="18" customHeight="1" x14ac:dyDescent="0.25">
      <c r="A138" s="86"/>
      <c r="B138" s="86"/>
      <c r="C138" s="86"/>
      <c r="D138" s="86"/>
      <c r="E138" s="86"/>
      <c r="F138" s="86"/>
    </row>
    <row r="139" spans="1:14" ht="18" customHeight="1" x14ac:dyDescent="0.25">
      <c r="A139" s="86"/>
      <c r="B139" s="37" t="s">
        <v>151</v>
      </c>
      <c r="C139" s="87" t="s">
        <v>150</v>
      </c>
      <c r="D139" s="37" t="s">
        <v>152</v>
      </c>
      <c r="E139" s="51" t="s">
        <v>229</v>
      </c>
      <c r="F139" s="51" t="s">
        <v>87</v>
      </c>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3"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44"/>
      <c r="B153" s="85">
        <v>42245</v>
      </c>
      <c r="C153" s="92">
        <v>311200.71000000002</v>
      </c>
      <c r="D153" s="48">
        <v>360000</v>
      </c>
      <c r="E153" s="48">
        <f t="shared" si="8"/>
        <v>-48799.289999999979</v>
      </c>
      <c r="F153" s="119">
        <f>E153/D153</f>
        <v>-0.13555358333333328</v>
      </c>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43:A48"/>
    <mergeCell ref="A2:A6"/>
    <mergeCell ref="A7:A9"/>
    <mergeCell ref="A10:A14"/>
    <mergeCell ref="A15:A17"/>
    <mergeCell ref="A18:A30"/>
    <mergeCell ref="A31:A35"/>
    <mergeCell ref="A36:A39"/>
    <mergeCell ref="A40:A4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tabSelected="1" workbookViewId="0">
      <pane ySplit="1" topLeftCell="A2" activePane="bottomLeft" state="frozen"/>
      <selection pane="bottomLeft" activeCell="O8" sqref="O8"/>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156</v>
      </c>
      <c r="C1" s="112"/>
      <c r="D1" s="108"/>
      <c r="E1" s="108" t="s">
        <v>82</v>
      </c>
      <c r="F1" s="109" t="s">
        <v>85</v>
      </c>
      <c r="G1" s="109" t="s">
        <v>83</v>
      </c>
      <c r="H1" s="108" t="s">
        <v>57</v>
      </c>
      <c r="I1" s="109" t="s">
        <v>84</v>
      </c>
      <c r="J1" s="109" t="s">
        <v>65</v>
      </c>
      <c r="K1" s="110" t="s">
        <v>153</v>
      </c>
      <c r="L1" s="110" t="s">
        <v>164</v>
      </c>
    </row>
    <row r="2" spans="1:15" ht="18.95" customHeight="1" x14ac:dyDescent="0.25">
      <c r="A2" s="101"/>
      <c r="B2" s="101"/>
      <c r="C2" s="102"/>
      <c r="D2" s="103"/>
      <c r="E2" s="36" t="s">
        <v>10</v>
      </c>
      <c r="F2" s="99">
        <v>9.4499999999999993</v>
      </c>
      <c r="G2" s="99">
        <v>11.085314285714288</v>
      </c>
      <c r="H2" s="100">
        <v>700</v>
      </c>
      <c r="I2" s="99">
        <v>7759.7200000000021</v>
      </c>
      <c r="J2" s="99">
        <v>-1132.720000000003</v>
      </c>
      <c r="K2" s="116">
        <v>-0.14752078683251482</v>
      </c>
      <c r="L2" s="117" t="str">
        <f>HYPERLINK("http://finance.yahoo.com/q?s=" &amp; E2, "Link")</f>
        <v>Link</v>
      </c>
      <c r="N2" s="115"/>
      <c r="O2" s="115"/>
    </row>
    <row r="3" spans="1:15" ht="18.95" customHeight="1" x14ac:dyDescent="0.25">
      <c r="A3" s="101"/>
      <c r="B3" s="102"/>
      <c r="C3" s="102"/>
      <c r="D3" s="103"/>
      <c r="E3" s="36" t="s">
        <v>18</v>
      </c>
      <c r="F3" s="99">
        <v>10.46</v>
      </c>
      <c r="G3" s="99">
        <v>29.640625</v>
      </c>
      <c r="H3" s="100">
        <v>80</v>
      </c>
      <c r="I3" s="99">
        <v>2371.25</v>
      </c>
      <c r="J3" s="99">
        <v>-1534.4499999999998</v>
      </c>
      <c r="K3" s="116">
        <v>-0.64710595677385341</v>
      </c>
      <c r="L3" s="117" t="str">
        <f>HYPERLINK("http://finance.yahoo.com/q?s=" &amp; E3, "Link")</f>
        <v>Link</v>
      </c>
      <c r="N3" s="115"/>
      <c r="O3" s="115"/>
    </row>
    <row r="4" spans="1:15" ht="18.95" customHeight="1" x14ac:dyDescent="0.25">
      <c r="A4" s="101"/>
      <c r="B4" s="101"/>
      <c r="C4" s="102"/>
      <c r="D4" s="103"/>
      <c r="E4" s="36" t="s">
        <v>45</v>
      </c>
      <c r="F4" s="99">
        <v>58.28</v>
      </c>
      <c r="G4" s="99">
        <v>62.165999999999997</v>
      </c>
      <c r="H4" s="100">
        <v>100</v>
      </c>
      <c r="I4" s="99">
        <v>6216.5999999999995</v>
      </c>
      <c r="J4" s="99">
        <v>-388.59999999999945</v>
      </c>
      <c r="K4" s="116">
        <v>-6.2510053727117654E-2</v>
      </c>
      <c r="L4" s="117" t="str">
        <f>HYPERLINK("http://finance.yahoo.com/q?s=" &amp; E4, "Link")</f>
        <v>Link</v>
      </c>
    </row>
    <row r="5" spans="1:15" ht="18.95" customHeight="1" x14ac:dyDescent="0.25">
      <c r="A5" s="101"/>
      <c r="B5" s="101"/>
      <c r="C5" s="102"/>
      <c r="D5" s="103"/>
      <c r="E5" s="36" t="s">
        <v>68</v>
      </c>
      <c r="F5" s="99">
        <v>8.2200000000000006</v>
      </c>
      <c r="G5" s="99">
        <v>10.082500000000001</v>
      </c>
      <c r="H5" s="100">
        <v>120</v>
      </c>
      <c r="I5" s="99">
        <v>1209.9000000000001</v>
      </c>
      <c r="J5" s="99">
        <v>-223.5</v>
      </c>
      <c r="K5" s="116">
        <v>-0.18472601041408385</v>
      </c>
      <c r="L5" s="117" t="str">
        <f>HYPERLINK("http://finance.yahoo.com/q?s=" &amp; E5, "Link")</f>
        <v>Link</v>
      </c>
      <c r="N5" s="115"/>
      <c r="O5" s="115"/>
    </row>
    <row r="6" spans="1:15" ht="18.95" customHeight="1" x14ac:dyDescent="0.25">
      <c r="A6" s="102"/>
      <c r="B6" s="101"/>
      <c r="C6" s="102"/>
      <c r="D6" s="103"/>
      <c r="E6" s="36" t="s">
        <v>33</v>
      </c>
      <c r="F6" s="99">
        <v>125.97</v>
      </c>
      <c r="G6" s="99">
        <v>124.15200000000002</v>
      </c>
      <c r="H6" s="100">
        <v>60</v>
      </c>
      <c r="I6" s="99">
        <v>7449.1200000000008</v>
      </c>
      <c r="J6" s="99">
        <v>113.07999999999902</v>
      </c>
      <c r="K6" s="116">
        <v>1.4643340421418773E-2</v>
      </c>
      <c r="L6" s="117" t="str">
        <f>HYPERLINK("http://finance.yahoo.com/q?s=" &amp; E6, "Link")</f>
        <v>Link</v>
      </c>
      <c r="N6" s="115"/>
      <c r="O6" s="115"/>
    </row>
    <row r="7" spans="1:15" ht="18.95" customHeight="1" x14ac:dyDescent="0.25">
      <c r="A7" s="101"/>
      <c r="B7" s="101"/>
      <c r="C7" s="102"/>
      <c r="D7" s="103"/>
      <c r="E7" s="36" t="s">
        <v>62</v>
      </c>
      <c r="F7" s="99">
        <v>297.3</v>
      </c>
      <c r="G7" s="99">
        <v>309.35000000000002</v>
      </c>
      <c r="H7" s="100">
        <v>10</v>
      </c>
      <c r="I7" s="99">
        <v>3093.5</v>
      </c>
      <c r="J7" s="99">
        <v>-120.5</v>
      </c>
      <c r="K7" s="116">
        <v>-3.8952642637788949E-2</v>
      </c>
      <c r="L7" s="117" t="str">
        <f>HYPERLINK("http://finance.yahoo.com/q?s=" &amp; E7, "Link")</f>
        <v>Link</v>
      </c>
    </row>
    <row r="8" spans="1:15" ht="18.95" customHeight="1" x14ac:dyDescent="0.25">
      <c r="A8" s="101"/>
      <c r="B8" s="101"/>
      <c r="C8" s="102"/>
      <c r="D8" s="103"/>
      <c r="E8" s="36" t="s">
        <v>11</v>
      </c>
      <c r="F8" s="99">
        <v>133.07</v>
      </c>
      <c r="G8" s="99">
        <v>150.67140000000001</v>
      </c>
      <c r="H8" s="100">
        <v>50</v>
      </c>
      <c r="I8" s="99">
        <v>7533.5700000000006</v>
      </c>
      <c r="J8" s="99">
        <v>-880.07000000000062</v>
      </c>
      <c r="K8" s="116">
        <v>-0.11681978132545401</v>
      </c>
      <c r="L8" s="117" t="str">
        <f>HYPERLINK("http://finance.yahoo.com/q?s=" &amp; E8, "Link")</f>
        <v>Link</v>
      </c>
      <c r="N8" s="115"/>
      <c r="O8" s="115"/>
    </row>
    <row r="9" spans="1:15" ht="18.95" customHeight="1" x14ac:dyDescent="0.25">
      <c r="A9" s="101"/>
      <c r="B9" s="101"/>
      <c r="C9" s="102"/>
      <c r="D9" s="103"/>
      <c r="E9" s="36" t="s">
        <v>52</v>
      </c>
      <c r="F9" s="99">
        <v>82.27</v>
      </c>
      <c r="G9" s="99">
        <v>82.314999999999998</v>
      </c>
      <c r="H9" s="100">
        <v>40</v>
      </c>
      <c r="I9" s="99">
        <v>3292.6</v>
      </c>
      <c r="J9" s="99">
        <v>-1.8000000000001819</v>
      </c>
      <c r="K9" s="116">
        <v>-5.4668043491467786E-4</v>
      </c>
      <c r="L9" s="117" t="str">
        <f>HYPERLINK("http://finance.yahoo.com/q?s=" &amp; E9, "Link")</f>
        <v>Link</v>
      </c>
      <c r="N9" s="115"/>
      <c r="O9" s="115"/>
    </row>
    <row r="10" spans="1:15" ht="18.95" customHeight="1" x14ac:dyDescent="0.25">
      <c r="A10" s="101"/>
      <c r="B10" s="101"/>
      <c r="C10" s="102"/>
      <c r="D10" s="103"/>
      <c r="E10" s="36" t="s">
        <v>17</v>
      </c>
      <c r="F10" s="99">
        <v>15.94</v>
      </c>
      <c r="G10" s="99">
        <v>18.047226190476191</v>
      </c>
      <c r="H10" s="100">
        <v>4200</v>
      </c>
      <c r="I10" s="99">
        <v>66948</v>
      </c>
      <c r="J10" s="99">
        <v>-8850.3500000000058</v>
      </c>
      <c r="K10" s="116">
        <v>-0.1167617764766648</v>
      </c>
      <c r="L10" s="117" t="str">
        <f>HYPERLINK("http://finance.yahoo.com/q?s=" &amp; E10, "Link")</f>
        <v>Link</v>
      </c>
    </row>
    <row r="11" spans="1:15" ht="18.95" customHeight="1" x14ac:dyDescent="0.25">
      <c r="A11" s="101"/>
      <c r="B11" s="101"/>
      <c r="C11" s="102"/>
      <c r="D11" s="103"/>
      <c r="E11" s="36" t="s">
        <v>19</v>
      </c>
      <c r="F11" s="99">
        <v>34.75</v>
      </c>
      <c r="G11" s="99">
        <v>32.507843137254902</v>
      </c>
      <c r="H11" s="100">
        <v>51</v>
      </c>
      <c r="I11" s="99">
        <v>1657.9</v>
      </c>
      <c r="J11" s="99">
        <v>122.07999999999991</v>
      </c>
      <c r="K11" s="116">
        <v>6.897279691175584E-2</v>
      </c>
      <c r="L11" s="117" t="str">
        <f>HYPERLINK("http://finance.yahoo.com/q?s=" &amp; E11, "Link")</f>
        <v>Link</v>
      </c>
    </row>
    <row r="12" spans="1:15" ht="18.95" customHeight="1" x14ac:dyDescent="0.25">
      <c r="A12" s="101"/>
      <c r="B12" s="101"/>
      <c r="C12" s="102"/>
      <c r="D12" s="103"/>
      <c r="E12" s="36" t="s">
        <v>63</v>
      </c>
      <c r="F12" s="99">
        <v>101.88</v>
      </c>
      <c r="G12" s="99">
        <v>110.09500000000001</v>
      </c>
      <c r="H12" s="100">
        <v>30</v>
      </c>
      <c r="I12" s="99">
        <v>3302.8500000000004</v>
      </c>
      <c r="J12" s="99">
        <v>-246.45000000000073</v>
      </c>
      <c r="K12" s="116">
        <v>-7.4617375902629693E-2</v>
      </c>
      <c r="L12" s="117" t="str">
        <f>HYPERLINK("http://finance.yahoo.com/q?s=" &amp; E12, "Link")</f>
        <v>Link</v>
      </c>
    </row>
    <row r="13" spans="1:15" ht="18.95" customHeight="1" x14ac:dyDescent="0.25">
      <c r="A13" s="101"/>
      <c r="B13" s="101"/>
      <c r="C13" s="102"/>
      <c r="D13" s="103"/>
      <c r="E13" s="36" t="s">
        <v>55</v>
      </c>
      <c r="F13" s="99">
        <v>105.07</v>
      </c>
      <c r="G13" s="99">
        <v>108.71400000000001</v>
      </c>
      <c r="H13" s="100">
        <v>25</v>
      </c>
      <c r="I13" s="99">
        <v>2717.8500000000004</v>
      </c>
      <c r="J13" s="99">
        <v>-91.100000000000364</v>
      </c>
      <c r="K13" s="116">
        <v>-3.351914196883584E-2</v>
      </c>
      <c r="L13" s="117" t="str">
        <f>HYPERLINK("http://finance.yahoo.com/q?s=" &amp; E13, "Link")</f>
        <v>Link</v>
      </c>
      <c r="N13" s="115"/>
      <c r="O13" s="115"/>
    </row>
    <row r="14" spans="1:15" ht="18.95" customHeight="1" x14ac:dyDescent="0.25">
      <c r="A14" s="101"/>
      <c r="B14" s="101"/>
      <c r="C14" s="102"/>
      <c r="D14" s="103"/>
      <c r="E14" s="36" t="s">
        <v>56</v>
      </c>
      <c r="F14" s="99">
        <v>29.44</v>
      </c>
      <c r="G14" s="99">
        <v>30.987500000000001</v>
      </c>
      <c r="H14" s="100">
        <v>40</v>
      </c>
      <c r="I14" s="99">
        <v>1239.5</v>
      </c>
      <c r="J14" s="99">
        <v>-61.899999999999864</v>
      </c>
      <c r="K14" s="116">
        <v>-4.9939491730536488E-2</v>
      </c>
      <c r="L14" s="117" t="str">
        <f>HYPERLINK("http://finance.yahoo.com/q?s=" &amp; E14, "Link")</f>
        <v>Link</v>
      </c>
    </row>
    <row r="15" spans="1:15" ht="18.95" customHeight="1" x14ac:dyDescent="0.25">
      <c r="A15" s="101"/>
      <c r="B15" s="101"/>
      <c r="C15" s="102"/>
      <c r="D15" s="103"/>
      <c r="E15" s="36" t="s">
        <v>22</v>
      </c>
      <c r="F15" s="99">
        <v>59.45</v>
      </c>
      <c r="G15" s="99">
        <v>60.66750000000004</v>
      </c>
      <c r="H15" s="100">
        <v>80</v>
      </c>
      <c r="I15" s="99">
        <v>4853.4000000000033</v>
      </c>
      <c r="J15" s="99">
        <v>-92.400000000003274</v>
      </c>
      <c r="K15" s="116">
        <v>-2.0068405653769085E-2</v>
      </c>
      <c r="L15" s="117" t="str">
        <f>HYPERLINK("http://finance.yahoo.com/q?s=" &amp; E15, "Link")</f>
        <v>Link</v>
      </c>
    </row>
    <row r="16" spans="1:15" ht="18.95" customHeight="1" x14ac:dyDescent="0.25">
      <c r="A16" s="101"/>
      <c r="B16" s="101"/>
      <c r="C16" s="102"/>
      <c r="D16" s="103"/>
      <c r="E16" s="36" t="s">
        <v>27</v>
      </c>
      <c r="F16" s="99">
        <v>28.54</v>
      </c>
      <c r="G16" s="99">
        <v>29.610555555555557</v>
      </c>
      <c r="H16" s="100">
        <v>900</v>
      </c>
      <c r="I16" s="99">
        <v>26649.5</v>
      </c>
      <c r="J16" s="99">
        <v>-963.5</v>
      </c>
      <c r="K16" s="116">
        <v>-3.6154524475130935E-2</v>
      </c>
      <c r="L16" s="117" t="str">
        <f>HYPERLINK("http://finance.yahoo.com/q?s=" &amp; E16, "Link")</f>
        <v>Link</v>
      </c>
    </row>
    <row r="17" spans="1:15" ht="18.95" customHeight="1" x14ac:dyDescent="0.25">
      <c r="A17" s="102"/>
      <c r="B17" s="102"/>
      <c r="C17" s="102"/>
      <c r="D17" s="103"/>
      <c r="E17" s="36" t="s">
        <v>15</v>
      </c>
      <c r="F17" s="99">
        <v>18.96</v>
      </c>
      <c r="G17" s="99">
        <v>21.353833333333331</v>
      </c>
      <c r="H17" s="100">
        <v>120</v>
      </c>
      <c r="I17" s="99">
        <v>2562.4599999999996</v>
      </c>
      <c r="J17" s="99">
        <v>-287.25999999999931</v>
      </c>
      <c r="K17" s="116">
        <v>-0.11210321331845165</v>
      </c>
      <c r="L17" s="117" t="str">
        <f>HYPERLINK("http://finance.yahoo.com/q?s=" &amp; E17, "Link")</f>
        <v>Link</v>
      </c>
    </row>
    <row r="18" spans="1:15" ht="18.95" customHeight="1" x14ac:dyDescent="0.25">
      <c r="A18" s="101"/>
      <c r="B18" s="101"/>
      <c r="C18" s="102"/>
      <c r="D18" s="103"/>
      <c r="E18" s="36" t="s">
        <v>24</v>
      </c>
      <c r="F18" s="99">
        <v>43.46</v>
      </c>
      <c r="G18" s="99">
        <v>48.684999999999988</v>
      </c>
      <c r="H18" s="100">
        <v>40</v>
      </c>
      <c r="I18" s="99">
        <v>1947.3999999999996</v>
      </c>
      <c r="J18" s="99">
        <v>-208.99999999999955</v>
      </c>
      <c r="K18" s="116">
        <v>-0.10732258395809774</v>
      </c>
      <c r="L18" s="117" t="str">
        <f>HYPERLINK("http://finance.yahoo.com/q?s=" &amp; E18, "Link")</f>
        <v>Link</v>
      </c>
      <c r="N18" s="115"/>
      <c r="O18" s="115"/>
    </row>
    <row r="19" spans="1:15" ht="18.95" customHeight="1" x14ac:dyDescent="0.25">
      <c r="A19" s="101"/>
      <c r="B19" s="102"/>
      <c r="C19" s="102"/>
      <c r="D19" s="103"/>
      <c r="E19" s="36" t="s">
        <v>50</v>
      </c>
      <c r="F19" s="99">
        <v>17.29</v>
      </c>
      <c r="G19" s="99">
        <v>24.810221176470588</v>
      </c>
      <c r="H19" s="100">
        <v>4250</v>
      </c>
      <c r="I19" s="99">
        <v>105443.44</v>
      </c>
      <c r="J19" s="99">
        <v>-31960.940000000002</v>
      </c>
      <c r="K19" s="116">
        <v>-0.30310979990789377</v>
      </c>
      <c r="L19" s="117" t="str">
        <f>HYPERLINK("http://finance.yahoo.com/q?s=" &amp; E19, "Link")</f>
        <v>Link</v>
      </c>
      <c r="N19" s="115"/>
      <c r="O19" s="115"/>
    </row>
    <row r="20" spans="1:15" ht="18.95" customHeight="1" x14ac:dyDescent="0.25">
      <c r="A20" s="101"/>
      <c r="B20" s="101"/>
      <c r="C20" s="102"/>
      <c r="D20" s="103"/>
      <c r="E20" s="36" t="s">
        <v>34</v>
      </c>
      <c r="F20" s="99">
        <v>16.41</v>
      </c>
      <c r="G20" s="99">
        <v>18.088346253229975</v>
      </c>
      <c r="H20" s="100">
        <v>3870</v>
      </c>
      <c r="I20" s="99">
        <v>70001.900000000009</v>
      </c>
      <c r="J20" s="99">
        <v>-6495.2000000000116</v>
      </c>
      <c r="K20" s="116">
        <v>-9.2786052949991399E-2</v>
      </c>
      <c r="L20" s="117" t="str">
        <f>HYPERLINK("http://finance.yahoo.com/q?s=" &amp; E20, "Link")</f>
        <v>Link</v>
      </c>
    </row>
    <row r="21" spans="1:15" ht="18.95" customHeight="1" x14ac:dyDescent="0.25">
      <c r="A21" s="101"/>
      <c r="B21" s="101"/>
      <c r="C21" s="102"/>
      <c r="D21" s="103"/>
      <c r="E21" s="36" t="s">
        <v>47</v>
      </c>
      <c r="F21" s="99">
        <v>77.91</v>
      </c>
      <c r="G21" s="99">
        <v>84.788333333333341</v>
      </c>
      <c r="H21" s="100">
        <v>60</v>
      </c>
      <c r="I21" s="99">
        <v>5087.3</v>
      </c>
      <c r="J21" s="99">
        <v>-412.70000000000073</v>
      </c>
      <c r="K21" s="116">
        <v>-8.1123582253847942E-2</v>
      </c>
      <c r="L21" s="117" t="str">
        <f>HYPERLINK("http://finance.yahoo.com/q?s=" &amp; E21, "Link")</f>
        <v>Link</v>
      </c>
      <c r="N21" s="115"/>
      <c r="O21" s="115"/>
    </row>
    <row r="22" spans="1:15" ht="18.95" customHeight="1" x14ac:dyDescent="0.25">
      <c r="A22" s="101"/>
      <c r="B22" s="101"/>
      <c r="C22" s="102"/>
      <c r="D22" s="103"/>
      <c r="E22" s="36" t="s">
        <v>26</v>
      </c>
      <c r="F22" s="99">
        <v>5.38</v>
      </c>
      <c r="G22" s="99">
        <v>5.8967111111111112</v>
      </c>
      <c r="H22" s="100">
        <v>450</v>
      </c>
      <c r="I22" s="99">
        <v>2653.52</v>
      </c>
      <c r="J22" s="99">
        <v>-232.51999999999998</v>
      </c>
      <c r="K22" s="116">
        <v>-8.7627001115499453E-2</v>
      </c>
      <c r="L22" s="117" t="str">
        <f>HYPERLINK("http://finance.yahoo.com/q?s=" &amp; E22, "Link")</f>
        <v>Link</v>
      </c>
      <c r="O22" s="115"/>
    </row>
    <row r="23" spans="1:15" ht="18.95" customHeight="1" x14ac:dyDescent="0.25">
      <c r="A23" s="113"/>
      <c r="B23" s="114"/>
      <c r="C23" s="113"/>
      <c r="D23" s="103"/>
      <c r="E23" s="36" t="s">
        <v>23</v>
      </c>
      <c r="F23" s="99">
        <v>35.65</v>
      </c>
      <c r="G23" s="99">
        <v>33.880000000000017</v>
      </c>
      <c r="H23" s="100">
        <v>40</v>
      </c>
      <c r="I23" s="99">
        <v>1355.2000000000007</v>
      </c>
      <c r="J23" s="99">
        <v>70.799999999999272</v>
      </c>
      <c r="K23" s="116">
        <v>5.2243211334119861E-2</v>
      </c>
      <c r="L23" s="117" t="str">
        <f>HYPERLINK("http://finance.yahoo.com/q?s=" &amp; E23, "Link")</f>
        <v>Link</v>
      </c>
    </row>
    <row r="24" spans="1:15" ht="18.95" customHeight="1" x14ac:dyDescent="0.25">
      <c r="A24" s="101"/>
      <c r="B24" s="101"/>
      <c r="C24" s="102"/>
      <c r="D24" s="103"/>
      <c r="E24" s="36" t="s">
        <v>35</v>
      </c>
      <c r="F24" s="99">
        <v>48.28</v>
      </c>
      <c r="G24" s="99">
        <v>47.585714285714289</v>
      </c>
      <c r="H24" s="100">
        <v>35</v>
      </c>
      <c r="I24" s="99">
        <v>1665.5</v>
      </c>
      <c r="J24" s="99">
        <v>24.299999999999955</v>
      </c>
      <c r="K24" s="116">
        <v>1.4590213149204398E-2</v>
      </c>
      <c r="L24" s="117" t="str">
        <f>HYPERLINK("http://finance.yahoo.com/q?s=" &amp; E24, "Link")</f>
        <v>Link</v>
      </c>
      <c r="O24" s="36"/>
    </row>
    <row r="25" spans="1:15" ht="18.95" customHeight="1" x14ac:dyDescent="0.25">
      <c r="A25" s="101"/>
      <c r="B25" s="101"/>
      <c r="C25" s="102"/>
      <c r="D25" s="103"/>
      <c r="E25" s="36" t="s">
        <v>44</v>
      </c>
      <c r="F25" s="99">
        <v>68.989999999999995</v>
      </c>
      <c r="G25" s="99">
        <v>62.05</v>
      </c>
      <c r="H25" s="100">
        <v>5</v>
      </c>
      <c r="I25" s="99">
        <v>310.25</v>
      </c>
      <c r="J25" s="99">
        <v>34.699999999999989</v>
      </c>
      <c r="K25" s="116">
        <v>0.1118452860596293</v>
      </c>
      <c r="L25" s="117" t="str">
        <f>HYPERLINK("http://finance.yahoo.com/q?s=" &amp; E25, "Link")</f>
        <v>Link</v>
      </c>
    </row>
    <row r="26" spans="1:15" ht="18.95" customHeight="1" x14ac:dyDescent="0.25">
      <c r="A26" s="101"/>
      <c r="B26" s="101"/>
      <c r="C26" s="102"/>
      <c r="D26" s="103"/>
      <c r="E26" s="36" t="s">
        <v>39</v>
      </c>
      <c r="F26" s="99">
        <v>31.75</v>
      </c>
      <c r="G26" s="99">
        <v>33.587499999999999</v>
      </c>
      <c r="H26" s="100">
        <v>80</v>
      </c>
      <c r="I26" s="99">
        <v>2687</v>
      </c>
      <c r="J26" s="99">
        <v>-147</v>
      </c>
      <c r="K26" s="116">
        <v>-5.4707852623743912E-2</v>
      </c>
      <c r="L26" s="117" t="str">
        <f>HYPERLINK("http://finance.yahoo.com/q?s=" &amp; E26, "Link")</f>
        <v>Link</v>
      </c>
    </row>
    <row r="27" spans="1:15" ht="18.95" customHeight="1" x14ac:dyDescent="0.25">
      <c r="A27" s="101"/>
      <c r="B27" s="101"/>
      <c r="C27" s="102"/>
      <c r="D27" s="103"/>
      <c r="E27" s="36" t="s">
        <v>51</v>
      </c>
      <c r="F27" s="99">
        <v>115.7</v>
      </c>
      <c r="G27" s="99">
        <v>119.52666666666667</v>
      </c>
      <c r="H27" s="100">
        <v>15</v>
      </c>
      <c r="I27" s="99">
        <v>1792.9</v>
      </c>
      <c r="J27" s="99">
        <v>-57.400000000000091</v>
      </c>
      <c r="K27" s="116">
        <v>-3.2015170952088806E-2</v>
      </c>
      <c r="L27" s="117" t="str">
        <f>HYPERLINK("http://finance.yahoo.com/q?s=" &amp; E27, "Link")</f>
        <v>Link</v>
      </c>
    </row>
    <row r="28" spans="1:15" ht="18.95" customHeight="1" x14ac:dyDescent="0.25">
      <c r="A28" s="101"/>
      <c r="B28" s="101"/>
      <c r="C28" s="102"/>
      <c r="D28" s="103"/>
      <c r="E28" s="36" t="s">
        <v>42</v>
      </c>
      <c r="F28" s="99">
        <v>85.74</v>
      </c>
      <c r="G28" s="99">
        <v>96.710833333333326</v>
      </c>
      <c r="H28" s="100">
        <v>60</v>
      </c>
      <c r="I28" s="99">
        <v>5802.65</v>
      </c>
      <c r="J28" s="99">
        <v>-658.25</v>
      </c>
      <c r="K28" s="116">
        <v>-0.11343954917149922</v>
      </c>
      <c r="L28" s="117" t="str">
        <f>HYPERLINK("http://finance.yahoo.com/q?s=" &amp; E28, "Link")</f>
        <v>Link</v>
      </c>
    </row>
    <row r="29" spans="1:15" ht="18.95" customHeight="1" x14ac:dyDescent="0.25">
      <c r="A29" s="101"/>
      <c r="B29" s="101"/>
      <c r="C29" s="102"/>
      <c r="D29" s="103"/>
      <c r="E29" s="36" t="s">
        <v>54</v>
      </c>
      <c r="F29" s="99">
        <v>91.61</v>
      </c>
      <c r="G29" s="99">
        <v>97.993999999999986</v>
      </c>
      <c r="H29" s="100">
        <v>5</v>
      </c>
      <c r="I29" s="99">
        <v>489.96999999999991</v>
      </c>
      <c r="J29" s="99">
        <v>-31.919999999999902</v>
      </c>
      <c r="K29" s="116">
        <v>-6.5146845725248356E-2</v>
      </c>
      <c r="L29" s="117" t="str">
        <f>HYPERLINK("http://finance.yahoo.com/q?s=" &amp; E29, "Link")</f>
        <v>Link</v>
      </c>
    </row>
    <row r="30" spans="1:15" ht="18.95" customHeight="1" x14ac:dyDescent="0.25">
      <c r="A30" s="101"/>
      <c r="B30" s="101"/>
      <c r="C30" s="102"/>
      <c r="D30" s="103"/>
      <c r="E30" s="36" t="s">
        <v>53</v>
      </c>
      <c r="F30" s="99">
        <v>45.6</v>
      </c>
      <c r="G30" s="99">
        <v>47.628571428571426</v>
      </c>
      <c r="H30" s="100">
        <v>35</v>
      </c>
      <c r="I30" s="99">
        <v>1667</v>
      </c>
      <c r="J30" s="99">
        <v>-71</v>
      </c>
      <c r="K30" s="116">
        <v>-4.2591481703659194E-2</v>
      </c>
      <c r="L30" s="117" t="str">
        <f>HYPERLINK("http://finance.yahoo.com/q?s=" &amp; E30, "Link")</f>
        <v>Link</v>
      </c>
    </row>
    <row r="31" spans="1:15" ht="18.95" customHeight="1" x14ac:dyDescent="0.25">
      <c r="A31" s="101"/>
      <c r="B31" s="101"/>
      <c r="C31" s="102"/>
      <c r="D31" s="103"/>
      <c r="E31" s="36"/>
      <c r="K31" s="116"/>
      <c r="L31" s="117"/>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155</v>
      </c>
      <c r="F1" s="34" t="s">
        <v>60</v>
      </c>
      <c r="G1" s="20" t="s">
        <v>3</v>
      </c>
      <c r="H1" s="34" t="s">
        <v>6</v>
      </c>
      <c r="I1" s="20" t="s">
        <v>154</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17.29</v>
      </c>
    </row>
    <row r="5" spans="1:21" x14ac:dyDescent="0.25">
      <c r="B5" s="1">
        <v>42187</v>
      </c>
      <c r="C5">
        <v>3000</v>
      </c>
      <c r="D5" s="2">
        <v>27.04</v>
      </c>
      <c r="F5" s="2">
        <f t="shared" si="0"/>
        <v>81120</v>
      </c>
      <c r="G5" s="1">
        <v>42227</v>
      </c>
      <c r="H5" s="80">
        <v>200</v>
      </c>
      <c r="I5" s="11"/>
      <c r="J5" s="80">
        <v>18.7</v>
      </c>
      <c r="K5" s="2">
        <f>H5*J5</f>
        <v>3740</v>
      </c>
      <c r="O5" s="20" t="s">
        <v>67</v>
      </c>
      <c r="Q5" s="5">
        <f>Q4*Q2</f>
        <v>73482.5</v>
      </c>
      <c r="T5" s="133">
        <v>42256</v>
      </c>
      <c r="U5" t="s">
        <v>208</v>
      </c>
    </row>
    <row r="6" spans="1:21" x14ac:dyDescent="0.25">
      <c r="B6" s="1">
        <v>42198</v>
      </c>
      <c r="C6">
        <v>100</v>
      </c>
      <c r="D6" s="2">
        <v>24.77</v>
      </c>
      <c r="F6" s="2">
        <f t="shared" si="0"/>
        <v>2477</v>
      </c>
      <c r="O6" s="20" t="s">
        <v>64</v>
      </c>
      <c r="Q6" s="2">
        <f>Q3*Q2</f>
        <v>105443.44</v>
      </c>
      <c r="U6" t="s">
        <v>212</v>
      </c>
    </row>
    <row r="7" spans="1:21" x14ac:dyDescent="0.25">
      <c r="B7" s="1">
        <v>42205</v>
      </c>
      <c r="C7" s="10">
        <v>50</v>
      </c>
      <c r="D7" s="25">
        <v>24.35</v>
      </c>
      <c r="E7" s="25"/>
      <c r="F7" s="2">
        <f t="shared" si="0"/>
        <v>1217.5</v>
      </c>
      <c r="O7" s="20" t="s">
        <v>65</v>
      </c>
      <c r="Q7" s="2">
        <f>Q5-Q6+M29</f>
        <v>-31960.940000000002</v>
      </c>
      <c r="T7" s="72">
        <v>42311</v>
      </c>
      <c r="U7" t="s">
        <v>221</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17.29</v>
      </c>
      <c r="P18">
        <v>1.1000000000000001</v>
      </c>
      <c r="Q18" s="2">
        <f>P18*O18</f>
        <v>19.019000000000002</v>
      </c>
    </row>
    <row r="19" spans="1:17" x14ac:dyDescent="0.25">
      <c r="B19" s="1">
        <v>42227</v>
      </c>
      <c r="C19" s="11">
        <v>200</v>
      </c>
      <c r="D19" s="80">
        <v>19.55</v>
      </c>
      <c r="E19" s="80"/>
      <c r="F19" s="2">
        <f t="shared" si="0"/>
        <v>3910</v>
      </c>
      <c r="O19" s="2">
        <f t="shared" si="1"/>
        <v>17.29</v>
      </c>
      <c r="P19">
        <v>1.05</v>
      </c>
      <c r="Q19" s="2">
        <f t="shared" ref="Q19:Q30" si="2">P19*O19</f>
        <v>18.154499999999999</v>
      </c>
    </row>
    <row r="20" spans="1:17" x14ac:dyDescent="0.25">
      <c r="B20" s="1">
        <v>42234</v>
      </c>
      <c r="C20">
        <v>40</v>
      </c>
      <c r="D20" s="2">
        <v>18.149999999999999</v>
      </c>
      <c r="F20" s="2">
        <f t="shared" si="0"/>
        <v>726</v>
      </c>
      <c r="O20" s="2">
        <f t="shared" si="1"/>
        <v>17.29</v>
      </c>
      <c r="P20">
        <v>1.04</v>
      </c>
      <c r="Q20" s="2">
        <f t="shared" si="2"/>
        <v>17.9816</v>
      </c>
    </row>
    <row r="21" spans="1:17" x14ac:dyDescent="0.25">
      <c r="B21" s="1">
        <v>42234</v>
      </c>
      <c r="C21">
        <v>100</v>
      </c>
      <c r="D21" s="2">
        <v>18</v>
      </c>
      <c r="F21" s="2">
        <f t="shared" si="0"/>
        <v>1800</v>
      </c>
      <c r="O21" s="2">
        <f t="shared" si="1"/>
        <v>17.29</v>
      </c>
      <c r="P21" s="2">
        <v>1.03</v>
      </c>
      <c r="Q21" s="2">
        <f t="shared" si="2"/>
        <v>17.808699999999998</v>
      </c>
    </row>
    <row r="22" spans="1:17" x14ac:dyDescent="0.25">
      <c r="B22" s="1">
        <v>42235</v>
      </c>
      <c r="C22">
        <v>100</v>
      </c>
      <c r="D22" s="2">
        <v>17.78</v>
      </c>
      <c r="F22" s="2">
        <f t="shared" si="0"/>
        <v>1778</v>
      </c>
      <c r="O22" s="2">
        <f t="shared" si="1"/>
        <v>17.29</v>
      </c>
      <c r="P22" s="2">
        <v>1.02</v>
      </c>
      <c r="Q22" s="2">
        <f t="shared" si="2"/>
        <v>17.6358</v>
      </c>
    </row>
    <row r="23" spans="1:17" x14ac:dyDescent="0.25">
      <c r="B23" s="1">
        <v>42235</v>
      </c>
      <c r="C23">
        <v>100</v>
      </c>
      <c r="D23" s="2">
        <v>17.68</v>
      </c>
      <c r="F23" s="2">
        <f t="shared" si="0"/>
        <v>1768</v>
      </c>
      <c r="O23" s="2">
        <f t="shared" si="1"/>
        <v>17.29</v>
      </c>
      <c r="P23" s="2">
        <v>1.01</v>
      </c>
      <c r="Q23" s="2">
        <f t="shared" si="2"/>
        <v>17.462899999999998</v>
      </c>
    </row>
    <row r="24" spans="1:17" x14ac:dyDescent="0.25">
      <c r="B24" s="1">
        <v>42240</v>
      </c>
      <c r="C24">
        <v>100</v>
      </c>
      <c r="D24" s="2">
        <v>16.649999999999999</v>
      </c>
      <c r="F24" s="2">
        <f t="shared" si="0"/>
        <v>1664.9999999999998</v>
      </c>
      <c r="O24" s="2">
        <f t="shared" si="1"/>
        <v>17.29</v>
      </c>
      <c r="P24" s="2">
        <v>1</v>
      </c>
      <c r="Q24" s="2">
        <f t="shared" si="2"/>
        <v>17.29</v>
      </c>
    </row>
    <row r="25" spans="1:17" x14ac:dyDescent="0.25">
      <c r="B25" s="1">
        <v>42240</v>
      </c>
      <c r="C25">
        <v>100</v>
      </c>
      <c r="D25" s="2">
        <v>16.100000000000001</v>
      </c>
      <c r="F25" s="2">
        <f t="shared" si="0"/>
        <v>1610.0000000000002</v>
      </c>
      <c r="O25" s="2">
        <f t="shared" si="1"/>
        <v>17.29</v>
      </c>
      <c r="P25" s="2">
        <v>0.99</v>
      </c>
      <c r="Q25" s="2">
        <f t="shared" si="2"/>
        <v>17.117100000000001</v>
      </c>
    </row>
    <row r="26" spans="1:17" x14ac:dyDescent="0.25">
      <c r="O26" s="2">
        <f t="shared" si="1"/>
        <v>17.29</v>
      </c>
      <c r="P26" s="2">
        <v>0.98</v>
      </c>
      <c r="Q26" s="2">
        <f t="shared" si="2"/>
        <v>16.944199999999999</v>
      </c>
    </row>
    <row r="27" spans="1:17" x14ac:dyDescent="0.25">
      <c r="O27" s="2">
        <f t="shared" si="1"/>
        <v>17.29</v>
      </c>
      <c r="P27" s="2">
        <v>0.97</v>
      </c>
      <c r="Q27" s="2">
        <f t="shared" si="2"/>
        <v>16.7713</v>
      </c>
    </row>
    <row r="28" spans="1:17" x14ac:dyDescent="0.25">
      <c r="O28" s="2">
        <f t="shared" si="1"/>
        <v>17.29</v>
      </c>
      <c r="P28" s="2">
        <v>0.96</v>
      </c>
      <c r="Q28" s="2">
        <f t="shared" si="2"/>
        <v>16.598399999999998</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17.29</v>
      </c>
      <c r="P29" s="2">
        <v>0.95</v>
      </c>
      <c r="Q29" s="2">
        <f t="shared" si="2"/>
        <v>16.4255</v>
      </c>
    </row>
    <row r="30" spans="1:17" x14ac:dyDescent="0.25">
      <c r="O30" s="2">
        <f t="shared" si="1"/>
        <v>17.29</v>
      </c>
      <c r="P30" s="2">
        <v>0.9</v>
      </c>
      <c r="Q30" s="2">
        <f t="shared" si="2"/>
        <v>15.561</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167</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15.94</v>
      </c>
      <c r="U4" s="1">
        <v>42263</v>
      </c>
      <c r="V4" t="s">
        <v>222</v>
      </c>
    </row>
    <row r="5" spans="1:23" x14ac:dyDescent="0.25">
      <c r="B5" s="1">
        <v>42166</v>
      </c>
      <c r="C5">
        <v>39</v>
      </c>
      <c r="D5" s="2">
        <v>19.25</v>
      </c>
      <c r="F5" s="2">
        <f t="shared" si="0"/>
        <v>750.75</v>
      </c>
      <c r="O5" s="20" t="s">
        <v>67</v>
      </c>
      <c r="Q5" s="2">
        <f>F26-K26</f>
        <v>75798.350000000006</v>
      </c>
      <c r="U5" s="1">
        <v>42313</v>
      </c>
      <c r="V5" t="s">
        <v>223</v>
      </c>
    </row>
    <row r="6" spans="1:23" x14ac:dyDescent="0.25">
      <c r="B6" s="1">
        <v>42174</v>
      </c>
      <c r="C6">
        <v>20</v>
      </c>
      <c r="D6" s="2">
        <v>19.059999999999999</v>
      </c>
      <c r="F6" s="2">
        <f t="shared" si="0"/>
        <v>381.2</v>
      </c>
      <c r="O6" s="20" t="s">
        <v>64</v>
      </c>
      <c r="Q6" s="2">
        <f>Q4*Q2</f>
        <v>66948</v>
      </c>
    </row>
    <row r="7" spans="1:23" x14ac:dyDescent="0.25">
      <c r="B7" s="1">
        <v>42177</v>
      </c>
      <c r="C7">
        <v>20</v>
      </c>
      <c r="D7" s="2">
        <v>18.899999999999999</v>
      </c>
      <c r="F7" s="2">
        <f t="shared" si="0"/>
        <v>378</v>
      </c>
      <c r="O7" s="20" t="s">
        <v>65</v>
      </c>
      <c r="Q7" s="82">
        <f>Q6-Q5</f>
        <v>-8850.3500000000058</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15.94</v>
      </c>
      <c r="P18">
        <v>1.1000000000000001</v>
      </c>
      <c r="Q18" s="2">
        <f t="shared" ref="Q18:Q30" si="1">P18*O18</f>
        <v>17.534000000000002</v>
      </c>
      <c r="W18" s="2"/>
    </row>
    <row r="19" spans="1:23" x14ac:dyDescent="0.25">
      <c r="B19" s="1">
        <v>42223</v>
      </c>
      <c r="C19" s="10">
        <v>200</v>
      </c>
      <c r="D19" s="25">
        <v>17.170000000000002</v>
      </c>
      <c r="E19" s="25"/>
      <c r="F19" s="25">
        <f t="shared" si="0"/>
        <v>3434.0000000000005</v>
      </c>
      <c r="O19" s="2">
        <f>$Q$4</f>
        <v>15.94</v>
      </c>
      <c r="P19">
        <v>1.05</v>
      </c>
      <c r="Q19" s="2">
        <f t="shared" si="1"/>
        <v>16.737000000000002</v>
      </c>
    </row>
    <row r="20" spans="1:23" x14ac:dyDescent="0.25">
      <c r="B20" s="1">
        <v>42223</v>
      </c>
      <c r="C20" s="10">
        <v>100</v>
      </c>
      <c r="D20" s="25">
        <v>17.37</v>
      </c>
      <c r="E20" s="25"/>
      <c r="F20" s="25">
        <f t="shared" si="0"/>
        <v>1737</v>
      </c>
      <c r="O20" s="2">
        <f t="shared" ref="O20:O30" si="2">$Q$4</f>
        <v>15.94</v>
      </c>
      <c r="P20">
        <v>1.04</v>
      </c>
      <c r="Q20" s="2">
        <f t="shared" si="1"/>
        <v>16.5776</v>
      </c>
    </row>
    <row r="21" spans="1:23" x14ac:dyDescent="0.25">
      <c r="B21" s="1">
        <v>42227</v>
      </c>
      <c r="C21" s="10">
        <v>100</v>
      </c>
      <c r="D21" s="25">
        <v>17.100000000000001</v>
      </c>
      <c r="E21" s="25"/>
      <c r="F21" s="25">
        <f t="shared" si="0"/>
        <v>1710.0000000000002</v>
      </c>
      <c r="O21" s="2">
        <f t="shared" si="2"/>
        <v>15.94</v>
      </c>
      <c r="P21" s="2">
        <v>1.03</v>
      </c>
      <c r="Q21" s="2">
        <f t="shared" si="1"/>
        <v>16.418199999999999</v>
      </c>
    </row>
    <row r="22" spans="1:23" x14ac:dyDescent="0.25">
      <c r="B22" s="1">
        <v>42229</v>
      </c>
      <c r="C22" s="10">
        <v>100</v>
      </c>
      <c r="D22" s="25">
        <v>16.89</v>
      </c>
      <c r="E22" s="25"/>
      <c r="F22" s="25">
        <f t="shared" si="0"/>
        <v>1689</v>
      </c>
      <c r="O22" s="2">
        <f t="shared" si="2"/>
        <v>15.94</v>
      </c>
      <c r="P22" s="2">
        <v>1.02</v>
      </c>
      <c r="Q22" s="2">
        <f t="shared" si="1"/>
        <v>16.258800000000001</v>
      </c>
    </row>
    <row r="23" spans="1:23" x14ac:dyDescent="0.25">
      <c r="B23" s="1">
        <v>42233</v>
      </c>
      <c r="C23" s="6">
        <v>100</v>
      </c>
      <c r="D23" s="5">
        <v>16.5</v>
      </c>
      <c r="E23" s="5"/>
      <c r="F23" s="5">
        <f t="shared" si="0"/>
        <v>1650</v>
      </c>
      <c r="O23" s="2">
        <f t="shared" si="2"/>
        <v>15.94</v>
      </c>
      <c r="P23" s="2">
        <v>1.01</v>
      </c>
      <c r="Q23" s="2">
        <f t="shared" si="1"/>
        <v>16.099399999999999</v>
      </c>
    </row>
    <row r="24" spans="1:23" x14ac:dyDescent="0.25">
      <c r="B24" s="1">
        <v>42234</v>
      </c>
      <c r="C24" s="6">
        <v>100</v>
      </c>
      <c r="D24" s="5">
        <v>16.600000000000001</v>
      </c>
      <c r="E24" s="5"/>
      <c r="F24" s="5">
        <f t="shared" si="0"/>
        <v>1660.0000000000002</v>
      </c>
      <c r="O24" s="2">
        <f t="shared" si="2"/>
        <v>15.94</v>
      </c>
      <c r="P24" s="2">
        <v>1</v>
      </c>
      <c r="Q24" s="2">
        <f t="shared" si="1"/>
        <v>15.94</v>
      </c>
    </row>
    <row r="25" spans="1:23" x14ac:dyDescent="0.25">
      <c r="B25" s="1">
        <v>42244</v>
      </c>
      <c r="C25" s="6">
        <v>200</v>
      </c>
      <c r="D25" s="5">
        <v>15.4</v>
      </c>
      <c r="E25" s="5"/>
      <c r="F25" s="5">
        <f t="shared" ref="F25" si="3">C25*D25</f>
        <v>3080</v>
      </c>
      <c r="O25" s="2">
        <f t="shared" si="2"/>
        <v>15.94</v>
      </c>
      <c r="P25" s="2">
        <v>0.99</v>
      </c>
      <c r="Q25" s="2">
        <f t="shared" si="1"/>
        <v>15.7806</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15.94</v>
      </c>
      <c r="P26" s="2">
        <v>0.98</v>
      </c>
      <c r="Q26" s="2">
        <f t="shared" si="1"/>
        <v>15.6212</v>
      </c>
    </row>
    <row r="27" spans="1:23" x14ac:dyDescent="0.25">
      <c r="O27" s="2">
        <f t="shared" si="2"/>
        <v>15.94</v>
      </c>
      <c r="P27" s="2">
        <v>0.97</v>
      </c>
      <c r="Q27" s="2">
        <f t="shared" si="1"/>
        <v>15.461799999999998</v>
      </c>
    </row>
    <row r="28" spans="1:23" x14ac:dyDescent="0.25">
      <c r="O28" s="2">
        <f t="shared" si="2"/>
        <v>15.94</v>
      </c>
      <c r="P28" s="2">
        <v>0.96</v>
      </c>
      <c r="Q28" s="2">
        <f t="shared" si="1"/>
        <v>15.302399999999999</v>
      </c>
    </row>
    <row r="29" spans="1:23" x14ac:dyDescent="0.25">
      <c r="O29" s="2">
        <f t="shared" si="2"/>
        <v>15.94</v>
      </c>
      <c r="P29" s="2">
        <v>0.95</v>
      </c>
      <c r="Q29" s="2">
        <f t="shared" si="1"/>
        <v>15.142999999999999</v>
      </c>
    </row>
    <row r="30" spans="1:23" x14ac:dyDescent="0.25">
      <c r="O30" s="2">
        <f t="shared" si="2"/>
        <v>15.94</v>
      </c>
      <c r="P30" s="2">
        <v>0.9</v>
      </c>
      <c r="Q30" s="2">
        <f t="shared" si="1"/>
        <v>14.346</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16.41</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63506.7</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-6495.2000000000116</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219</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220</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16.41</v>
      </c>
      <c r="P16" s="2">
        <v>1.1000000000000001</v>
      </c>
      <c r="Q16" s="2">
        <f t="shared" ref="Q16:Q28" si="2">P16*O16</f>
        <v>18.051000000000002</v>
      </c>
    </row>
    <row r="17" spans="2:21" x14ac:dyDescent="0.25">
      <c r="B17" s="1">
        <v>42223</v>
      </c>
      <c r="C17">
        <v>50</v>
      </c>
      <c r="D17" s="2">
        <v>18.75</v>
      </c>
      <c r="E17" s="2"/>
      <c r="F17" s="2">
        <f t="shared" si="0"/>
        <v>937.5</v>
      </c>
      <c r="O17" s="2">
        <f>$Q$4</f>
        <v>16.41</v>
      </c>
      <c r="P17" s="2">
        <v>1.05</v>
      </c>
      <c r="Q17" s="2">
        <f t="shared" si="2"/>
        <v>17.230499999999999</v>
      </c>
    </row>
    <row r="18" spans="2:21" x14ac:dyDescent="0.25">
      <c r="B18" s="1">
        <v>42227</v>
      </c>
      <c r="C18">
        <v>50</v>
      </c>
      <c r="D18" s="2">
        <v>18.45</v>
      </c>
      <c r="E18" s="2"/>
      <c r="F18" s="2">
        <f t="shared" si="0"/>
        <v>922.5</v>
      </c>
      <c r="O18" s="2">
        <f t="shared" ref="O18:O28" si="3">$Q$4</f>
        <v>16.41</v>
      </c>
      <c r="P18" s="2">
        <v>1.04</v>
      </c>
      <c r="Q18" s="2">
        <f t="shared" si="2"/>
        <v>17.066400000000002</v>
      </c>
    </row>
    <row r="19" spans="2:21" x14ac:dyDescent="0.25">
      <c r="B19" s="1">
        <v>42228</v>
      </c>
      <c r="C19" s="13">
        <v>100</v>
      </c>
      <c r="D19" s="26">
        <v>18.45</v>
      </c>
      <c r="E19" s="26"/>
      <c r="F19" s="26">
        <f t="shared" si="0"/>
        <v>1845</v>
      </c>
      <c r="O19" s="2">
        <f t="shared" si="3"/>
        <v>16.41</v>
      </c>
      <c r="P19" s="2">
        <v>1.03</v>
      </c>
      <c r="Q19" s="2">
        <f t="shared" si="2"/>
        <v>16.9023</v>
      </c>
      <c r="T19" s="136">
        <v>42272</v>
      </c>
      <c r="U19" t="s">
        <v>209</v>
      </c>
    </row>
    <row r="20" spans="2:21" x14ac:dyDescent="0.25">
      <c r="B20" s="1">
        <v>42228</v>
      </c>
      <c r="C20">
        <v>200</v>
      </c>
      <c r="D20" s="2">
        <v>18.190000000000001</v>
      </c>
      <c r="E20" s="2"/>
      <c r="F20" s="2">
        <f t="shared" si="0"/>
        <v>3638.0000000000005</v>
      </c>
      <c r="O20" s="2">
        <f t="shared" si="3"/>
        <v>16.41</v>
      </c>
      <c r="P20" s="2">
        <v>1.02</v>
      </c>
      <c r="Q20" s="2">
        <f t="shared" si="2"/>
        <v>16.738199999999999</v>
      </c>
      <c r="T20" t="s">
        <v>157</v>
      </c>
    </row>
    <row r="21" spans="2:21" x14ac:dyDescent="0.25">
      <c r="B21" s="1">
        <v>42228</v>
      </c>
      <c r="C21">
        <v>200</v>
      </c>
      <c r="D21" s="2">
        <v>18.100000000000001</v>
      </c>
      <c r="E21" s="2"/>
      <c r="F21" s="2">
        <f t="shared" si="0"/>
        <v>3620.0000000000005</v>
      </c>
      <c r="O21" s="2">
        <f t="shared" si="3"/>
        <v>16.41</v>
      </c>
      <c r="P21" s="2">
        <v>1.01</v>
      </c>
      <c r="Q21" s="2">
        <f t="shared" si="2"/>
        <v>16.574100000000001</v>
      </c>
      <c r="T21" t="s">
        <v>158</v>
      </c>
    </row>
    <row r="22" spans="2:21" x14ac:dyDescent="0.25">
      <c r="B22" s="1">
        <v>42229</v>
      </c>
      <c r="C22">
        <v>100</v>
      </c>
      <c r="D22" s="2">
        <v>18.329999999999998</v>
      </c>
      <c r="E22" s="2"/>
      <c r="F22" s="2">
        <f t="shared" si="0"/>
        <v>1832.9999999999998</v>
      </c>
      <c r="O22" s="2">
        <f t="shared" si="3"/>
        <v>16.41</v>
      </c>
      <c r="P22" s="2">
        <v>1</v>
      </c>
      <c r="Q22" s="2">
        <f t="shared" si="2"/>
        <v>16.41</v>
      </c>
      <c r="T22" t="s">
        <v>159</v>
      </c>
    </row>
    <row r="23" spans="2:21" x14ac:dyDescent="0.25">
      <c r="B23" s="1">
        <v>42230</v>
      </c>
      <c r="C23">
        <v>100</v>
      </c>
      <c r="D23" s="2">
        <v>18</v>
      </c>
      <c r="E23" s="2"/>
      <c r="F23" s="2">
        <f>C23*D23</f>
        <v>1800</v>
      </c>
      <c r="O23" s="2">
        <f t="shared" si="3"/>
        <v>16.41</v>
      </c>
      <c r="P23" s="2">
        <v>0.99</v>
      </c>
      <c r="Q23" s="2">
        <f t="shared" si="2"/>
        <v>16.245899999999999</v>
      </c>
      <c r="T23" t="s">
        <v>160</v>
      </c>
    </row>
    <row r="24" spans="2:21" x14ac:dyDescent="0.25">
      <c r="B24" s="1">
        <v>42230</v>
      </c>
      <c r="C24">
        <v>200</v>
      </c>
      <c r="D24" s="2">
        <v>17.78</v>
      </c>
      <c r="E24" s="2"/>
      <c r="F24" s="2">
        <f t="shared" si="0"/>
        <v>3556</v>
      </c>
      <c r="O24" s="2">
        <f t="shared" si="3"/>
        <v>16.41</v>
      </c>
      <c r="P24" s="2">
        <v>0.98</v>
      </c>
      <c r="Q24" s="2">
        <f t="shared" si="2"/>
        <v>16.081800000000001</v>
      </c>
      <c r="T24" t="s">
        <v>161</v>
      </c>
    </row>
    <row r="25" spans="2:21" x14ac:dyDescent="0.25">
      <c r="B25" s="1">
        <v>42234</v>
      </c>
      <c r="C25" s="6">
        <v>100</v>
      </c>
      <c r="D25" s="5">
        <v>17.75</v>
      </c>
      <c r="E25" s="5"/>
      <c r="F25" s="5">
        <f t="shared" ref="F25:F30" si="4">C25*D25</f>
        <v>1775</v>
      </c>
      <c r="O25" s="2">
        <f t="shared" si="3"/>
        <v>16.41</v>
      </c>
      <c r="P25" s="2">
        <v>0.97</v>
      </c>
      <c r="Q25" s="2">
        <f t="shared" si="2"/>
        <v>15.9177</v>
      </c>
    </row>
    <row r="26" spans="2:21" x14ac:dyDescent="0.25">
      <c r="B26" s="1">
        <v>42235</v>
      </c>
      <c r="C26" s="6">
        <v>100</v>
      </c>
      <c r="D26" s="5">
        <v>17.350000000000001</v>
      </c>
      <c r="E26" s="5"/>
      <c r="F26" s="5">
        <f t="shared" si="4"/>
        <v>1735.0000000000002</v>
      </c>
      <c r="O26" s="2">
        <f t="shared" si="3"/>
        <v>16.41</v>
      </c>
      <c r="P26" s="2">
        <v>0.96</v>
      </c>
      <c r="Q26" s="2">
        <f t="shared" si="2"/>
        <v>15.753599999999999</v>
      </c>
    </row>
    <row r="27" spans="2:21" x14ac:dyDescent="0.25">
      <c r="B27" s="1">
        <v>42235</v>
      </c>
      <c r="C27" s="9">
        <v>100</v>
      </c>
      <c r="D27" s="79">
        <v>17.55</v>
      </c>
      <c r="E27" s="79"/>
      <c r="F27" s="79">
        <f t="shared" si="4"/>
        <v>1755</v>
      </c>
      <c r="O27" s="2">
        <f t="shared" si="3"/>
        <v>16.41</v>
      </c>
      <c r="P27" s="2">
        <v>0.95</v>
      </c>
      <c r="Q27" s="2">
        <f t="shared" si="2"/>
        <v>15.589499999999999</v>
      </c>
    </row>
    <row r="28" spans="2:21" x14ac:dyDescent="0.25">
      <c r="B28" s="1">
        <v>42235</v>
      </c>
      <c r="C28" s="9">
        <v>100</v>
      </c>
      <c r="D28" s="79">
        <v>17.170000000000002</v>
      </c>
      <c r="E28" s="79"/>
      <c r="F28" s="79">
        <f t="shared" si="4"/>
        <v>1717.0000000000002</v>
      </c>
      <c r="O28" s="2">
        <f t="shared" si="3"/>
        <v>16.41</v>
      </c>
      <c r="P28" s="2">
        <v>0.9</v>
      </c>
      <c r="Q28" s="2">
        <f t="shared" si="2"/>
        <v>14.769</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155</v>
      </c>
      <c r="F1" s="20" t="s">
        <v>60</v>
      </c>
      <c r="G1" s="20" t="s">
        <v>3</v>
      </c>
      <c r="H1" s="20" t="s">
        <v>6</v>
      </c>
      <c r="I1" s="20" t="s">
        <v>7</v>
      </c>
      <c r="J1" s="20" t="s">
        <v>154</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L2" t="s">
        <v>225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28.54</v>
      </c>
    </row>
    <row r="5" spans="1:24" x14ac:dyDescent="0.25">
      <c r="B5" s="1">
        <v>42186</v>
      </c>
      <c r="C5">
        <v>200</v>
      </c>
      <c r="D5" s="2">
        <v>30.9</v>
      </c>
      <c r="E5" s="2"/>
      <c r="F5" s="2">
        <f t="shared" si="0"/>
        <v>6180</v>
      </c>
      <c r="O5" s="20" t="s">
        <v>67</v>
      </c>
      <c r="Q5" s="5">
        <f>Q4*Q2</f>
        <v>25686</v>
      </c>
      <c r="S5" s="1">
        <v>42242</v>
      </c>
      <c r="U5" t="s">
        <v>207</v>
      </c>
    </row>
    <row r="6" spans="1:24" x14ac:dyDescent="0.25">
      <c r="B6" s="1">
        <v>42194</v>
      </c>
      <c r="C6">
        <v>100</v>
      </c>
      <c r="D6" s="2">
        <v>29.8</v>
      </c>
      <c r="E6" s="2"/>
      <c r="F6" s="2">
        <f t="shared" si="0"/>
        <v>2980</v>
      </c>
      <c r="O6" s="20" t="s">
        <v>64</v>
      </c>
      <c r="Q6" s="2">
        <f>Q3*Q2</f>
        <v>26649.5</v>
      </c>
      <c r="S6" s="1">
        <v>42255</v>
      </c>
      <c r="T6" t="s">
        <v>228</v>
      </c>
    </row>
    <row r="7" spans="1:24" x14ac:dyDescent="0.25">
      <c r="B7" s="1">
        <v>42207</v>
      </c>
      <c r="C7">
        <v>50</v>
      </c>
      <c r="D7" s="2">
        <v>29.32</v>
      </c>
      <c r="E7" s="2"/>
      <c r="F7" s="2">
        <f t="shared" si="0"/>
        <v>1466</v>
      </c>
      <c r="O7" s="20" t="s">
        <v>65</v>
      </c>
      <c r="Q7" s="2">
        <f>Q5-Q6</f>
        <v>-963.5</v>
      </c>
    </row>
    <row r="8" spans="1:24" x14ac:dyDescent="0.25">
      <c r="B8" s="1">
        <v>42209</v>
      </c>
      <c r="C8">
        <v>50</v>
      </c>
      <c r="D8" s="2">
        <v>28.6</v>
      </c>
      <c r="E8" s="2"/>
      <c r="F8" s="2">
        <f t="shared" si="0"/>
        <v>1430</v>
      </c>
      <c r="S8" s="135" t="s">
        <v>227</v>
      </c>
      <c r="T8" t="s">
        <v>226</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28.54</v>
      </c>
      <c r="P22">
        <v>1.1000000000000001</v>
      </c>
      <c r="Q22" s="2">
        <f t="shared" ref="Q22:Q34" si="2">P22*O22</f>
        <v>31.394000000000002</v>
      </c>
    </row>
    <row r="23" spans="15:17" x14ac:dyDescent="0.25">
      <c r="O23" s="2">
        <f>$Q$4</f>
        <v>28.54</v>
      </c>
      <c r="P23">
        <v>1.05</v>
      </c>
      <c r="Q23" s="2">
        <f t="shared" si="2"/>
        <v>29.966999999999999</v>
      </c>
    </row>
    <row r="24" spans="15:17" x14ac:dyDescent="0.25">
      <c r="O24" s="2">
        <f t="shared" ref="O24:O34" si="3">$Q$4</f>
        <v>28.54</v>
      </c>
      <c r="P24">
        <v>1.04</v>
      </c>
      <c r="Q24" s="2">
        <f t="shared" si="2"/>
        <v>29.6816</v>
      </c>
    </row>
    <row r="25" spans="15:17" x14ac:dyDescent="0.25">
      <c r="O25" s="2">
        <f t="shared" si="3"/>
        <v>28.54</v>
      </c>
      <c r="P25" s="2">
        <v>1.03</v>
      </c>
      <c r="Q25" s="2">
        <f t="shared" si="2"/>
        <v>29.3962</v>
      </c>
    </row>
    <row r="26" spans="15:17" x14ac:dyDescent="0.25">
      <c r="O26" s="2">
        <f t="shared" si="3"/>
        <v>28.54</v>
      </c>
      <c r="P26" s="2">
        <v>1.02</v>
      </c>
      <c r="Q26" s="2">
        <f t="shared" si="2"/>
        <v>29.110800000000001</v>
      </c>
    </row>
    <row r="27" spans="15:17" x14ac:dyDescent="0.25">
      <c r="O27" s="2">
        <f t="shared" si="3"/>
        <v>28.54</v>
      </c>
      <c r="P27" s="2">
        <v>1.01</v>
      </c>
      <c r="Q27" s="2">
        <f t="shared" si="2"/>
        <v>28.825399999999998</v>
      </c>
    </row>
    <row r="28" spans="15:17" x14ac:dyDescent="0.25">
      <c r="O28" s="2">
        <f t="shared" si="3"/>
        <v>28.54</v>
      </c>
      <c r="P28" s="2">
        <v>1</v>
      </c>
      <c r="Q28" s="2">
        <f t="shared" si="2"/>
        <v>28.54</v>
      </c>
    </row>
    <row r="29" spans="15:17" x14ac:dyDescent="0.25">
      <c r="O29" s="2">
        <f t="shared" si="3"/>
        <v>28.54</v>
      </c>
      <c r="P29" s="2">
        <v>0.99</v>
      </c>
      <c r="Q29" s="2">
        <f t="shared" si="2"/>
        <v>28.2546</v>
      </c>
    </row>
    <row r="30" spans="15:17" x14ac:dyDescent="0.25">
      <c r="O30" s="2">
        <f t="shared" si="3"/>
        <v>28.54</v>
      </c>
      <c r="P30" s="2">
        <v>0.98</v>
      </c>
      <c r="Q30" s="2">
        <f t="shared" si="2"/>
        <v>27.969199999999997</v>
      </c>
    </row>
    <row r="31" spans="15:17" x14ac:dyDescent="0.25">
      <c r="O31" s="2">
        <f t="shared" si="3"/>
        <v>28.54</v>
      </c>
      <c r="P31" s="2">
        <v>0.97</v>
      </c>
      <c r="Q31" s="2">
        <f t="shared" si="2"/>
        <v>27.683799999999998</v>
      </c>
    </row>
    <row r="32" spans="15:17" x14ac:dyDescent="0.25">
      <c r="O32" s="2">
        <f t="shared" si="3"/>
        <v>28.54</v>
      </c>
      <c r="P32" s="2">
        <v>0.96</v>
      </c>
      <c r="Q32" s="2">
        <f t="shared" si="2"/>
        <v>27.398399999999999</v>
      </c>
    </row>
    <row r="33" spans="15:17" x14ac:dyDescent="0.25">
      <c r="O33" s="2">
        <f t="shared" si="3"/>
        <v>28.54</v>
      </c>
      <c r="P33" s="2">
        <v>0.95</v>
      </c>
      <c r="Q33" s="2">
        <f t="shared" si="2"/>
        <v>27.113</v>
      </c>
    </row>
    <row r="34" spans="15:17" x14ac:dyDescent="0.25">
      <c r="O34" s="2">
        <f t="shared" si="3"/>
        <v>28.54</v>
      </c>
      <c r="P34" s="2">
        <v>0.9</v>
      </c>
      <c r="Q34" s="2">
        <f t="shared" si="2"/>
        <v>25.686</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9"/>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155</v>
      </c>
      <c r="F1" s="97" t="s">
        <v>60</v>
      </c>
      <c r="G1" s="96" t="s">
        <v>3</v>
      </c>
      <c r="H1" s="137" t="s">
        <v>6</v>
      </c>
      <c r="I1" s="97" t="s">
        <v>7</v>
      </c>
      <c r="J1" s="97" t="s">
        <v>154</v>
      </c>
      <c r="K1" s="97" t="s">
        <v>61</v>
      </c>
      <c r="L1" s="96" t="s">
        <v>43</v>
      </c>
      <c r="M1" s="96" t="s">
        <v>38</v>
      </c>
      <c r="T1" s="96" t="s">
        <v>74</v>
      </c>
    </row>
    <row r="2" spans="1:24" x14ac:dyDescent="0.25">
      <c r="A2" s="8" t="s">
        <v>22</v>
      </c>
      <c r="B2" s="123">
        <v>42153</v>
      </c>
      <c r="C2" s="10">
        <v>20</v>
      </c>
      <c r="D2" s="25">
        <v>67.3</v>
      </c>
      <c r="E2" s="25">
        <v>0</v>
      </c>
      <c r="F2" s="25">
        <f t="shared" ref="F2:F15" si="0">D2*C2+E2</f>
        <v>1346</v>
      </c>
      <c r="G2" s="141">
        <v>42219</v>
      </c>
      <c r="H2" s="138">
        <v>25</v>
      </c>
      <c r="I2" s="84">
        <v>60.05</v>
      </c>
      <c r="J2" s="84">
        <v>0.03</v>
      </c>
      <c r="K2" s="84">
        <f>H2*I2-J2</f>
        <v>1501.22</v>
      </c>
      <c r="L2" s="1">
        <v>42185</v>
      </c>
      <c r="M2" s="2">
        <v>5</v>
      </c>
      <c r="O2" s="20" t="s">
        <v>57</v>
      </c>
      <c r="Q2">
        <f>C16-H16</f>
        <v>80</v>
      </c>
      <c r="T2" t="s">
        <v>116</v>
      </c>
    </row>
    <row r="3" spans="1:24" x14ac:dyDescent="0.25">
      <c r="A3" s="36" t="s">
        <v>81</v>
      </c>
      <c r="B3" s="1">
        <v>42205</v>
      </c>
      <c r="C3">
        <v>20</v>
      </c>
      <c r="D3" s="2">
        <v>63.4</v>
      </c>
      <c r="E3" s="2">
        <v>0</v>
      </c>
      <c r="F3" s="2">
        <f t="shared" si="0"/>
        <v>1268</v>
      </c>
      <c r="G3" s="141">
        <v>42219</v>
      </c>
      <c r="H3" s="138">
        <v>55</v>
      </c>
      <c r="I3" s="84">
        <v>59.75</v>
      </c>
      <c r="J3" s="84">
        <v>0.06</v>
      </c>
      <c r="K3" s="84">
        <f>H3*I3-J3</f>
        <v>3286.19</v>
      </c>
      <c r="L3" t="s">
        <v>120</v>
      </c>
      <c r="M3" s="2"/>
      <c r="O3" s="20" t="s">
        <v>58</v>
      </c>
      <c r="Q3" s="2">
        <f>(F16-K16)/Q2</f>
        <v>60.66750000000004</v>
      </c>
      <c r="T3" t="s">
        <v>117</v>
      </c>
      <c r="U3" t="s">
        <v>71</v>
      </c>
      <c r="V3" t="s">
        <v>72</v>
      </c>
      <c r="W3" t="s">
        <v>119</v>
      </c>
      <c r="X3" t="s">
        <v>118</v>
      </c>
    </row>
    <row r="4" spans="1:24" x14ac:dyDescent="0.25">
      <c r="B4" s="1">
        <v>42205</v>
      </c>
      <c r="C4">
        <v>20</v>
      </c>
      <c r="D4" s="2">
        <v>63.15</v>
      </c>
      <c r="E4" s="2">
        <v>0</v>
      </c>
      <c r="F4" s="2">
        <f t="shared" si="0"/>
        <v>1263</v>
      </c>
      <c r="G4" s="123">
        <v>42250</v>
      </c>
      <c r="H4" s="142">
        <v>100</v>
      </c>
      <c r="I4" s="25">
        <v>59.4</v>
      </c>
      <c r="J4" s="25">
        <v>0.06</v>
      </c>
      <c r="K4" s="121">
        <f>H4*I4-J4</f>
        <v>5939.94</v>
      </c>
      <c r="M4" s="2"/>
      <c r="O4" s="20" t="s">
        <v>66</v>
      </c>
      <c r="Q4" s="106">
        <v>59.45</v>
      </c>
      <c r="T4" s="55">
        <v>42249</v>
      </c>
      <c r="U4" s="55">
        <v>42264</v>
      </c>
      <c r="V4" s="61">
        <v>42276</v>
      </c>
      <c r="W4">
        <v>0.25</v>
      </c>
    </row>
    <row r="5" spans="1:24" x14ac:dyDescent="0.25">
      <c r="B5" s="143">
        <v>42207</v>
      </c>
      <c r="C5" s="6">
        <v>10</v>
      </c>
      <c r="D5" s="5">
        <v>62</v>
      </c>
      <c r="E5" s="5">
        <v>0</v>
      </c>
      <c r="F5" s="5">
        <f t="shared" si="0"/>
        <v>620</v>
      </c>
      <c r="M5" s="2"/>
      <c r="O5" s="20" t="s">
        <v>67</v>
      </c>
      <c r="Q5" s="5">
        <f>Q4*Q2</f>
        <v>4756</v>
      </c>
      <c r="T5" t="s">
        <v>121</v>
      </c>
    </row>
    <row r="6" spans="1:24" x14ac:dyDescent="0.25">
      <c r="B6" s="143">
        <v>42207</v>
      </c>
      <c r="C6" s="6">
        <v>5</v>
      </c>
      <c r="D6" s="5">
        <v>61.6</v>
      </c>
      <c r="E6" s="5">
        <v>0</v>
      </c>
      <c r="F6" s="5">
        <f t="shared" si="0"/>
        <v>308</v>
      </c>
      <c r="M6" s="2"/>
      <c r="O6" s="20" t="s">
        <v>64</v>
      </c>
      <c r="Q6" s="2">
        <f>Q3*Q2</f>
        <v>4853.4000000000033</v>
      </c>
    </row>
    <row r="7" spans="1:24" x14ac:dyDescent="0.25">
      <c r="B7" s="143">
        <v>42207</v>
      </c>
      <c r="C7" s="6">
        <v>20</v>
      </c>
      <c r="D7" s="5">
        <v>59.85</v>
      </c>
      <c r="E7" s="5">
        <v>0</v>
      </c>
      <c r="F7" s="5">
        <f t="shared" si="0"/>
        <v>1197</v>
      </c>
      <c r="M7" s="2"/>
      <c r="O7" s="20" t="s">
        <v>65</v>
      </c>
      <c r="Q7" s="2">
        <f>Q5-Q6+M16</f>
        <v>-92.400000000003274</v>
      </c>
    </row>
    <row r="8" spans="1:24" x14ac:dyDescent="0.25">
      <c r="B8" s="141">
        <v>42208</v>
      </c>
      <c r="C8" s="9">
        <v>5</v>
      </c>
      <c r="D8" s="79">
        <v>61.3</v>
      </c>
      <c r="E8" s="79">
        <v>0</v>
      </c>
      <c r="F8" s="79">
        <f t="shared" si="0"/>
        <v>306.5</v>
      </c>
      <c r="M8" s="2"/>
    </row>
    <row r="9" spans="1:24" x14ac:dyDescent="0.25">
      <c r="B9" s="141">
        <v>42219</v>
      </c>
      <c r="C9" s="12">
        <v>25</v>
      </c>
      <c r="D9" s="79">
        <v>59.4</v>
      </c>
      <c r="E9" s="79">
        <v>0</v>
      </c>
      <c r="F9" s="79">
        <f t="shared" si="0"/>
        <v>1485</v>
      </c>
      <c r="M9" s="2"/>
    </row>
    <row r="10" spans="1:24" x14ac:dyDescent="0.25">
      <c r="B10" s="141">
        <v>42219</v>
      </c>
      <c r="C10" s="12">
        <v>50</v>
      </c>
      <c r="D10" s="79">
        <v>59.2</v>
      </c>
      <c r="E10" s="79">
        <v>0</v>
      </c>
      <c r="F10" s="79">
        <f t="shared" si="0"/>
        <v>2960</v>
      </c>
      <c r="M10" s="2"/>
    </row>
    <row r="11" spans="1:24" x14ac:dyDescent="0.25">
      <c r="B11" s="141">
        <v>42226</v>
      </c>
      <c r="C11" s="12">
        <v>5</v>
      </c>
      <c r="D11" s="79">
        <v>56.2</v>
      </c>
      <c r="E11" s="79">
        <v>0</v>
      </c>
      <c r="F11" s="79">
        <f t="shared" si="0"/>
        <v>281</v>
      </c>
      <c r="M11" s="2"/>
    </row>
    <row r="12" spans="1:24" x14ac:dyDescent="0.25">
      <c r="B12" s="123">
        <v>42226</v>
      </c>
      <c r="C12" s="10">
        <v>15</v>
      </c>
      <c r="D12" s="25">
        <v>56.5</v>
      </c>
      <c r="E12" s="25">
        <v>0</v>
      </c>
      <c r="F12" s="25">
        <f t="shared" si="0"/>
        <v>847.5</v>
      </c>
      <c r="M12" s="2"/>
    </row>
    <row r="13" spans="1:24" x14ac:dyDescent="0.25">
      <c r="B13" s="123">
        <v>42240</v>
      </c>
      <c r="C13" s="122">
        <v>15</v>
      </c>
      <c r="D13" s="25">
        <v>57.19</v>
      </c>
      <c r="E13" s="25">
        <v>0</v>
      </c>
      <c r="F13" s="25">
        <f t="shared" si="0"/>
        <v>857.84999999999991</v>
      </c>
      <c r="M13" s="2"/>
    </row>
    <row r="14" spans="1:24" x14ac:dyDescent="0.25">
      <c r="B14" s="123">
        <v>42240</v>
      </c>
      <c r="C14" s="10">
        <v>20</v>
      </c>
      <c r="D14" s="25">
        <v>56.6</v>
      </c>
      <c r="E14" s="25">
        <v>6.95</v>
      </c>
      <c r="F14" s="25">
        <f t="shared" si="0"/>
        <v>1138.95</v>
      </c>
      <c r="M14" s="2"/>
    </row>
    <row r="15" spans="1:24" x14ac:dyDescent="0.25">
      <c r="B15" s="123">
        <v>42240</v>
      </c>
      <c r="C15" s="10">
        <v>30</v>
      </c>
      <c r="D15" s="25">
        <v>56.5</v>
      </c>
      <c r="E15" s="25">
        <v>6.95</v>
      </c>
      <c r="F15" s="25">
        <f t="shared" si="0"/>
        <v>1701.95</v>
      </c>
      <c r="M15" s="2"/>
    </row>
    <row r="16" spans="1:24" x14ac:dyDescent="0.25">
      <c r="A16" s="57" t="s">
        <v>114</v>
      </c>
      <c r="B16" s="24"/>
      <c r="C16" s="24">
        <f>SUM(C2:C15)</f>
        <v>260</v>
      </c>
      <c r="D16" s="31"/>
      <c r="E16" s="31"/>
      <c r="F16" s="31">
        <f>SUM(F2:F15)</f>
        <v>15580.750000000002</v>
      </c>
      <c r="G16" s="24"/>
      <c r="H16" s="140">
        <f>SUM(H2:H10)</f>
        <v>180</v>
      </c>
      <c r="I16" s="31"/>
      <c r="J16" s="31"/>
      <c r="K16" s="31">
        <f>SUM(K2:K10)</f>
        <v>10727.349999999999</v>
      </c>
      <c r="L16" s="24"/>
      <c r="M16" s="31">
        <f t="shared" ref="M16" si="1">SUM(M2:M10)</f>
        <v>5</v>
      </c>
    </row>
    <row r="20" spans="7:21" x14ac:dyDescent="0.25">
      <c r="G20" s="2"/>
    </row>
    <row r="21" spans="7:21" x14ac:dyDescent="0.25">
      <c r="U21" s="2"/>
    </row>
    <row r="22" spans="7:21" x14ac:dyDescent="0.25">
      <c r="G22" s="2"/>
      <c r="P22" t="s">
        <v>89</v>
      </c>
      <c r="R22" s="59"/>
    </row>
    <row r="23" spans="7:21" x14ac:dyDescent="0.25">
      <c r="O23" s="2">
        <f>$Q$4</f>
        <v>59.45</v>
      </c>
      <c r="P23">
        <v>1.1000000000000001</v>
      </c>
      <c r="Q23" s="2">
        <f t="shared" ref="Q23:Q35" si="2">P23*O23</f>
        <v>65.39500000000001</v>
      </c>
      <c r="R23" s="59"/>
    </row>
    <row r="24" spans="7:21" x14ac:dyDescent="0.25">
      <c r="O24" s="2">
        <f>$Q$4</f>
        <v>59.45</v>
      </c>
      <c r="P24">
        <v>1.05</v>
      </c>
      <c r="Q24" s="2">
        <f t="shared" si="2"/>
        <v>62.422500000000007</v>
      </c>
      <c r="R24" s="59"/>
    </row>
    <row r="25" spans="7:21" x14ac:dyDescent="0.25">
      <c r="O25" s="2">
        <f t="shared" ref="O25:O35" si="3">$Q$4</f>
        <v>59.45</v>
      </c>
      <c r="P25">
        <v>1.04</v>
      </c>
      <c r="Q25" s="2">
        <f t="shared" si="2"/>
        <v>61.828000000000003</v>
      </c>
      <c r="R25" s="59"/>
    </row>
    <row r="26" spans="7:21" x14ac:dyDescent="0.25">
      <c r="O26" s="2">
        <f t="shared" si="3"/>
        <v>59.45</v>
      </c>
      <c r="P26" s="2">
        <v>1.03</v>
      </c>
      <c r="Q26" s="2">
        <f t="shared" si="2"/>
        <v>61.233500000000006</v>
      </c>
      <c r="R26" s="59"/>
    </row>
    <row r="27" spans="7:21" x14ac:dyDescent="0.25">
      <c r="O27" s="2">
        <f t="shared" si="3"/>
        <v>59.45</v>
      </c>
      <c r="P27" s="2">
        <v>1.02</v>
      </c>
      <c r="Q27" s="2">
        <f t="shared" si="2"/>
        <v>60.639000000000003</v>
      </c>
      <c r="R27" s="59"/>
    </row>
    <row r="28" spans="7:21" x14ac:dyDescent="0.25">
      <c r="O28" s="2">
        <f t="shared" si="3"/>
        <v>59.45</v>
      </c>
      <c r="P28" s="2">
        <v>1.01</v>
      </c>
      <c r="Q28" s="2">
        <f t="shared" si="2"/>
        <v>60.044500000000006</v>
      </c>
      <c r="R28" s="59"/>
    </row>
    <row r="29" spans="7:21" x14ac:dyDescent="0.25">
      <c r="O29" s="2">
        <f t="shared" si="3"/>
        <v>59.45</v>
      </c>
      <c r="P29" s="2">
        <v>1</v>
      </c>
      <c r="Q29" s="2">
        <f t="shared" si="2"/>
        <v>59.45</v>
      </c>
      <c r="R29" s="59"/>
    </row>
    <row r="30" spans="7:21" x14ac:dyDescent="0.25">
      <c r="O30" s="2">
        <f t="shared" si="3"/>
        <v>59.45</v>
      </c>
      <c r="P30" s="2">
        <v>0.99</v>
      </c>
      <c r="Q30" s="2">
        <f t="shared" si="2"/>
        <v>58.855499999999999</v>
      </c>
      <c r="R30" s="59"/>
    </row>
    <row r="31" spans="7:21" x14ac:dyDescent="0.25">
      <c r="O31" s="2">
        <f t="shared" si="3"/>
        <v>59.45</v>
      </c>
      <c r="P31" s="2">
        <v>0.98</v>
      </c>
      <c r="Q31" s="2">
        <f t="shared" si="2"/>
        <v>58.261000000000003</v>
      </c>
      <c r="R31" s="59"/>
    </row>
    <row r="32" spans="7:21" x14ac:dyDescent="0.25">
      <c r="O32" s="2">
        <f t="shared" si="3"/>
        <v>59.45</v>
      </c>
      <c r="P32" s="2">
        <v>0.97</v>
      </c>
      <c r="Q32" s="2">
        <f t="shared" si="2"/>
        <v>57.666499999999999</v>
      </c>
      <c r="R32" s="59"/>
    </row>
    <row r="33" spans="15:18" x14ac:dyDescent="0.25">
      <c r="O33" s="2">
        <f t="shared" si="3"/>
        <v>59.45</v>
      </c>
      <c r="P33" s="2">
        <v>0.96</v>
      </c>
      <c r="Q33" s="2">
        <f t="shared" si="2"/>
        <v>57.072000000000003</v>
      </c>
      <c r="R33" s="59"/>
    </row>
    <row r="34" spans="15:18" x14ac:dyDescent="0.25">
      <c r="O34" s="2">
        <f t="shared" si="3"/>
        <v>59.45</v>
      </c>
      <c r="P34" s="2">
        <v>0.95</v>
      </c>
      <c r="Q34" s="2">
        <f t="shared" si="2"/>
        <v>56.477499999999999</v>
      </c>
      <c r="R34" s="59"/>
    </row>
    <row r="35" spans="15:18" x14ac:dyDescent="0.25">
      <c r="O35" s="2">
        <f t="shared" si="3"/>
        <v>59.45</v>
      </c>
      <c r="P35" s="2">
        <v>0.9</v>
      </c>
      <c r="Q35" s="2">
        <f t="shared" si="2"/>
        <v>53.505000000000003</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85.74</v>
      </c>
    </row>
    <row r="5" spans="1:23" x14ac:dyDescent="0.25">
      <c r="B5" s="1">
        <v>42184</v>
      </c>
      <c r="C5" s="10">
        <v>20</v>
      </c>
      <c r="D5" s="25">
        <v>98.1</v>
      </c>
      <c r="E5" s="25"/>
      <c r="F5" s="25">
        <f t="shared" si="0"/>
        <v>1962</v>
      </c>
      <c r="O5" s="20" t="s">
        <v>67</v>
      </c>
      <c r="Q5" s="5">
        <f>Q4*Q2</f>
        <v>5144.3999999999996</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-658.25</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85.74</v>
      </c>
      <c r="P17">
        <v>1.1000000000000001</v>
      </c>
      <c r="Q17" s="2">
        <f t="shared" ref="Q17:Q29" si="1">P17*O17</f>
        <v>94.314000000000007</v>
      </c>
    </row>
    <row r="18" spans="15:23" x14ac:dyDescent="0.25">
      <c r="O18" s="2">
        <f>$Q$4</f>
        <v>85.74</v>
      </c>
      <c r="P18">
        <v>1.05</v>
      </c>
      <c r="Q18" s="2">
        <f t="shared" si="1"/>
        <v>90.027000000000001</v>
      </c>
    </row>
    <row r="19" spans="15:23" x14ac:dyDescent="0.25">
      <c r="O19" s="2">
        <f t="shared" ref="O19:O29" si="2">$Q$4</f>
        <v>85.74</v>
      </c>
      <c r="P19">
        <v>1.04</v>
      </c>
      <c r="Q19" s="2">
        <f t="shared" si="1"/>
        <v>89.169600000000003</v>
      </c>
    </row>
    <row r="20" spans="15:23" x14ac:dyDescent="0.25">
      <c r="O20" s="2">
        <f t="shared" si="2"/>
        <v>85.74</v>
      </c>
      <c r="P20" s="2">
        <v>1.03</v>
      </c>
      <c r="Q20" s="2">
        <f t="shared" si="1"/>
        <v>88.31219999999999</v>
      </c>
    </row>
    <row r="21" spans="15:23" x14ac:dyDescent="0.25">
      <c r="O21" s="2">
        <f t="shared" si="2"/>
        <v>85.74</v>
      </c>
      <c r="P21" s="2">
        <v>1.02</v>
      </c>
      <c r="Q21" s="2">
        <f t="shared" si="1"/>
        <v>87.454799999999992</v>
      </c>
      <c r="W21" s="2"/>
    </row>
    <row r="22" spans="15:23" x14ac:dyDescent="0.25">
      <c r="O22" s="2">
        <f t="shared" si="2"/>
        <v>85.74</v>
      </c>
      <c r="P22" s="2">
        <v>1.01</v>
      </c>
      <c r="Q22" s="2">
        <f t="shared" si="1"/>
        <v>86.597399999999993</v>
      </c>
    </row>
    <row r="23" spans="15:23" x14ac:dyDescent="0.25">
      <c r="O23" s="2">
        <f t="shared" si="2"/>
        <v>85.74</v>
      </c>
      <c r="P23" s="2">
        <v>1</v>
      </c>
      <c r="Q23" s="2">
        <f t="shared" si="1"/>
        <v>85.74</v>
      </c>
    </row>
    <row r="24" spans="15:23" x14ac:dyDescent="0.25">
      <c r="O24" s="2">
        <f t="shared" si="2"/>
        <v>85.74</v>
      </c>
      <c r="P24" s="2">
        <v>0.99</v>
      </c>
      <c r="Q24" s="2">
        <f t="shared" si="1"/>
        <v>84.882599999999996</v>
      </c>
    </row>
    <row r="25" spans="15:23" x14ac:dyDescent="0.25">
      <c r="O25" s="2">
        <f t="shared" si="2"/>
        <v>85.74</v>
      </c>
      <c r="P25" s="2">
        <v>0.98</v>
      </c>
      <c r="Q25" s="2">
        <f t="shared" si="1"/>
        <v>84.025199999999998</v>
      </c>
    </row>
    <row r="26" spans="15:23" x14ac:dyDescent="0.25">
      <c r="O26" s="2">
        <f t="shared" si="2"/>
        <v>85.74</v>
      </c>
      <c r="P26" s="2">
        <v>0.97</v>
      </c>
      <c r="Q26" s="2">
        <f t="shared" si="1"/>
        <v>83.1678</v>
      </c>
    </row>
    <row r="27" spans="15:23" x14ac:dyDescent="0.25">
      <c r="O27" s="2">
        <f t="shared" si="2"/>
        <v>85.74</v>
      </c>
      <c r="P27" s="2">
        <v>0.96</v>
      </c>
      <c r="Q27" s="2">
        <f t="shared" si="1"/>
        <v>82.310399999999987</v>
      </c>
    </row>
    <row r="28" spans="15:23" x14ac:dyDescent="0.25">
      <c r="O28" s="2">
        <f t="shared" si="2"/>
        <v>85.74</v>
      </c>
      <c r="P28" s="2">
        <v>0.95</v>
      </c>
      <c r="Q28" s="2">
        <f t="shared" si="1"/>
        <v>81.452999999999989</v>
      </c>
    </row>
    <row r="29" spans="15:23" x14ac:dyDescent="0.25">
      <c r="O29" s="2">
        <f t="shared" si="2"/>
        <v>85.74</v>
      </c>
      <c r="P29" s="2">
        <v>0.9</v>
      </c>
      <c r="Q29" s="2">
        <f t="shared" si="1"/>
        <v>77.165999999999997</v>
      </c>
    </row>
    <row r="38" spans="2:4" x14ac:dyDescent="0.25">
      <c r="B38" t="s">
        <v>210</v>
      </c>
      <c r="D38" s="134" t="s">
        <v>211</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35.65</v>
      </c>
    </row>
    <row r="5" spans="1:26" x14ac:dyDescent="0.25">
      <c r="B5" s="1">
        <v>42209</v>
      </c>
      <c r="C5">
        <v>20</v>
      </c>
      <c r="D5" s="2">
        <v>35.03</v>
      </c>
      <c r="F5" s="2">
        <f>C5*D5</f>
        <v>700.6</v>
      </c>
      <c r="O5" t="s">
        <v>67</v>
      </c>
      <c r="Q5" s="5">
        <f>Q4*Q2</f>
        <v>1426</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70.799999999999272</v>
      </c>
    </row>
    <row r="18" spans="15:17" x14ac:dyDescent="0.25">
      <c r="P18" t="s">
        <v>89</v>
      </c>
    </row>
    <row r="19" spans="15:17" x14ac:dyDescent="0.25">
      <c r="O19" s="2">
        <f>$Q$4</f>
        <v>35.65</v>
      </c>
      <c r="P19">
        <v>1.1000000000000001</v>
      </c>
      <c r="Q19" s="2">
        <f t="shared" ref="Q19:Q31" si="0">P19*O19</f>
        <v>39.215000000000003</v>
      </c>
    </row>
    <row r="20" spans="15:17" x14ac:dyDescent="0.25">
      <c r="O20" s="2">
        <f>$Q$4</f>
        <v>35.65</v>
      </c>
      <c r="P20">
        <v>1.05</v>
      </c>
      <c r="Q20" s="2">
        <f t="shared" si="0"/>
        <v>37.432499999999997</v>
      </c>
    </row>
    <row r="21" spans="15:17" x14ac:dyDescent="0.25">
      <c r="O21" s="2">
        <f t="shared" ref="O21:O31" si="1">$Q$4</f>
        <v>35.65</v>
      </c>
      <c r="P21">
        <v>1.04</v>
      </c>
      <c r="Q21" s="2">
        <f t="shared" si="0"/>
        <v>37.076000000000001</v>
      </c>
    </row>
    <row r="22" spans="15:17" x14ac:dyDescent="0.25">
      <c r="O22" s="2">
        <f t="shared" si="1"/>
        <v>35.65</v>
      </c>
      <c r="P22" s="2">
        <v>1.03</v>
      </c>
      <c r="Q22" s="2">
        <f t="shared" si="0"/>
        <v>36.719499999999996</v>
      </c>
    </row>
    <row r="23" spans="15:17" x14ac:dyDescent="0.25">
      <c r="O23" s="2">
        <f t="shared" si="1"/>
        <v>35.65</v>
      </c>
      <c r="P23" s="2">
        <v>1.02</v>
      </c>
      <c r="Q23" s="2">
        <f t="shared" si="0"/>
        <v>36.363</v>
      </c>
    </row>
    <row r="24" spans="15:17" x14ac:dyDescent="0.25">
      <c r="O24" s="2">
        <f t="shared" si="1"/>
        <v>35.65</v>
      </c>
      <c r="P24" s="2">
        <v>1.01</v>
      </c>
      <c r="Q24" s="2">
        <f t="shared" si="0"/>
        <v>36.006499999999996</v>
      </c>
    </row>
    <row r="25" spans="15:17" x14ac:dyDescent="0.25">
      <c r="O25" s="2">
        <f t="shared" si="1"/>
        <v>35.65</v>
      </c>
      <c r="P25" s="2">
        <v>1</v>
      </c>
      <c r="Q25" s="2">
        <f t="shared" si="0"/>
        <v>35.65</v>
      </c>
    </row>
    <row r="26" spans="15:17" x14ac:dyDescent="0.25">
      <c r="O26" s="2">
        <f t="shared" si="1"/>
        <v>35.65</v>
      </c>
      <c r="P26" s="2">
        <v>0.99</v>
      </c>
      <c r="Q26" s="2">
        <f t="shared" si="0"/>
        <v>35.293500000000002</v>
      </c>
    </row>
    <row r="27" spans="15:17" x14ac:dyDescent="0.25">
      <c r="O27" s="2">
        <f t="shared" si="1"/>
        <v>35.65</v>
      </c>
      <c r="P27" s="2">
        <v>0.98</v>
      </c>
      <c r="Q27" s="2">
        <f t="shared" si="0"/>
        <v>34.936999999999998</v>
      </c>
    </row>
    <row r="28" spans="15:17" x14ac:dyDescent="0.25">
      <c r="O28" s="2">
        <f t="shared" si="1"/>
        <v>35.65</v>
      </c>
      <c r="P28" s="2">
        <v>0.97</v>
      </c>
      <c r="Q28" s="2">
        <f t="shared" si="0"/>
        <v>34.580500000000001</v>
      </c>
    </row>
    <row r="29" spans="15:17" x14ac:dyDescent="0.25">
      <c r="O29" s="2">
        <f t="shared" si="1"/>
        <v>35.65</v>
      </c>
      <c r="P29" s="2">
        <v>0.96</v>
      </c>
      <c r="Q29" s="2">
        <f t="shared" si="0"/>
        <v>34.223999999999997</v>
      </c>
    </row>
    <row r="30" spans="15:17" x14ac:dyDescent="0.25">
      <c r="O30" s="2">
        <f t="shared" si="1"/>
        <v>35.65</v>
      </c>
      <c r="P30" s="2">
        <v>0.95</v>
      </c>
      <c r="Q30" s="2">
        <f t="shared" si="0"/>
        <v>33.8675</v>
      </c>
    </row>
    <row r="31" spans="15:17" x14ac:dyDescent="0.25">
      <c r="O31" s="2">
        <f t="shared" si="1"/>
        <v>35.65</v>
      </c>
      <c r="P31" s="2">
        <v>0.9</v>
      </c>
      <c r="Q31" s="2">
        <f t="shared" si="0"/>
        <v>32.085000000000001</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c r="P1"/>
      <c r="Q1"/>
      <c r="T1" s="20" t="s">
        <v>167</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224</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9.4499999999999993</v>
      </c>
    </row>
    <row r="5" spans="1:21" x14ac:dyDescent="0.25">
      <c r="B5" s="1">
        <v>42166</v>
      </c>
      <c r="C5">
        <v>48</v>
      </c>
      <c r="D5" s="2">
        <v>12.3</v>
      </c>
      <c r="E5" s="2">
        <v>0</v>
      </c>
      <c r="F5" s="2">
        <f t="shared" si="0"/>
        <v>590.40000000000009</v>
      </c>
      <c r="O5" s="20" t="s">
        <v>67</v>
      </c>
      <c r="Q5" s="5">
        <f>Q4*Q2</f>
        <v>6614.9999999999991</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-1132.720000000003</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9.4499999999999993</v>
      </c>
      <c r="P21">
        <v>1.1000000000000001</v>
      </c>
      <c r="Q21" s="2">
        <f t="shared" ref="Q21:Q33" si="2">P21*O21</f>
        <v>10.395</v>
      </c>
      <c r="R21" s="59"/>
    </row>
    <row r="22" spans="15:18" x14ac:dyDescent="0.25">
      <c r="O22" s="2">
        <f>$Q$4</f>
        <v>9.4499999999999993</v>
      </c>
      <c r="P22">
        <v>1.05</v>
      </c>
      <c r="Q22" s="2">
        <f t="shared" si="2"/>
        <v>9.9224999999999994</v>
      </c>
      <c r="R22" s="59"/>
    </row>
    <row r="23" spans="15:18" x14ac:dyDescent="0.25">
      <c r="O23" s="2">
        <f t="shared" ref="O23:O33" si="3">$Q$4</f>
        <v>9.4499999999999993</v>
      </c>
      <c r="P23">
        <v>1.04</v>
      </c>
      <c r="Q23" s="2">
        <f t="shared" si="2"/>
        <v>9.8279999999999994</v>
      </c>
      <c r="R23" s="59"/>
    </row>
    <row r="24" spans="15:18" x14ac:dyDescent="0.25">
      <c r="O24" s="2">
        <f t="shared" si="3"/>
        <v>9.4499999999999993</v>
      </c>
      <c r="P24" s="2">
        <v>1.03</v>
      </c>
      <c r="Q24" s="2">
        <f t="shared" si="2"/>
        <v>9.7334999999999994</v>
      </c>
      <c r="R24" s="59"/>
    </row>
    <row r="25" spans="15:18" x14ac:dyDescent="0.25">
      <c r="O25" s="2">
        <f t="shared" si="3"/>
        <v>9.4499999999999993</v>
      </c>
      <c r="P25" s="2">
        <v>1.02</v>
      </c>
      <c r="Q25" s="2">
        <f t="shared" si="2"/>
        <v>9.6389999999999993</v>
      </c>
      <c r="R25" s="59"/>
    </row>
    <row r="26" spans="15:18" x14ac:dyDescent="0.25">
      <c r="O26" s="2">
        <f t="shared" si="3"/>
        <v>9.4499999999999993</v>
      </c>
      <c r="P26" s="2">
        <v>1.01</v>
      </c>
      <c r="Q26" s="2">
        <f t="shared" si="2"/>
        <v>9.5444999999999993</v>
      </c>
      <c r="R26" s="59"/>
    </row>
    <row r="27" spans="15:18" x14ac:dyDescent="0.25">
      <c r="O27" s="2">
        <f t="shared" si="3"/>
        <v>9.4499999999999993</v>
      </c>
      <c r="P27" s="2">
        <v>1</v>
      </c>
      <c r="Q27" s="2">
        <f t="shared" si="2"/>
        <v>9.4499999999999993</v>
      </c>
      <c r="R27" s="59"/>
    </row>
    <row r="28" spans="15:18" x14ac:dyDescent="0.25">
      <c r="O28" s="2">
        <f t="shared" si="3"/>
        <v>9.4499999999999993</v>
      </c>
      <c r="P28" s="2">
        <v>0.99</v>
      </c>
      <c r="Q28" s="2">
        <f t="shared" si="2"/>
        <v>9.3554999999999993</v>
      </c>
      <c r="R28" s="59"/>
    </row>
    <row r="29" spans="15:18" x14ac:dyDescent="0.25">
      <c r="O29" s="2">
        <f t="shared" si="3"/>
        <v>9.4499999999999993</v>
      </c>
      <c r="P29" s="2">
        <v>0.98</v>
      </c>
      <c r="Q29" s="2">
        <f t="shared" si="2"/>
        <v>9.2609999999999992</v>
      </c>
      <c r="R29" s="59"/>
    </row>
    <row r="30" spans="15:18" x14ac:dyDescent="0.25">
      <c r="O30" s="2">
        <f t="shared" si="3"/>
        <v>9.4499999999999993</v>
      </c>
      <c r="P30" s="2">
        <v>0.97</v>
      </c>
      <c r="Q30" s="2">
        <f t="shared" si="2"/>
        <v>9.1664999999999992</v>
      </c>
      <c r="R30" s="59"/>
    </row>
    <row r="31" spans="15:18" x14ac:dyDescent="0.25">
      <c r="O31" s="2">
        <f t="shared" si="3"/>
        <v>9.4499999999999993</v>
      </c>
      <c r="P31" s="2">
        <v>0.96</v>
      </c>
      <c r="Q31" s="2">
        <f t="shared" si="2"/>
        <v>9.0719999999999992</v>
      </c>
      <c r="R31" s="59"/>
    </row>
    <row r="32" spans="15:18" x14ac:dyDescent="0.25">
      <c r="O32" s="2">
        <f t="shared" si="3"/>
        <v>9.4499999999999993</v>
      </c>
      <c r="P32" s="2">
        <v>0.95</v>
      </c>
      <c r="Q32" s="2">
        <f t="shared" si="2"/>
        <v>8.9774999999999991</v>
      </c>
      <c r="R32" s="59"/>
    </row>
    <row r="33" spans="15:18" x14ac:dyDescent="0.25">
      <c r="O33" s="2">
        <f t="shared" si="3"/>
        <v>9.4499999999999993</v>
      </c>
      <c r="P33" s="2">
        <v>0.9</v>
      </c>
      <c r="Q33" s="2">
        <f t="shared" si="2"/>
        <v>8.504999999999999</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125</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18.96</v>
      </c>
    </row>
    <row r="5" spans="1:22" x14ac:dyDescent="0.25">
      <c r="B5" s="1">
        <v>42185</v>
      </c>
      <c r="C5">
        <v>5</v>
      </c>
      <c r="D5" s="2">
        <v>23.82</v>
      </c>
      <c r="F5" s="2">
        <f t="shared" si="0"/>
        <v>119.1</v>
      </c>
      <c r="O5" s="20" t="s">
        <v>67</v>
      </c>
      <c r="Q5" s="5">
        <f>Q4*Q2</f>
        <v>2275.2000000000003</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-287.25999999999931</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18.96</v>
      </c>
      <c r="P20">
        <v>1.1000000000000001</v>
      </c>
      <c r="Q20" s="2">
        <f t="shared" ref="Q20:Q32" si="1">P20*O20</f>
        <v>20.856000000000002</v>
      </c>
    </row>
    <row r="21" spans="15:17" x14ac:dyDescent="0.25">
      <c r="O21" s="2">
        <f>$Q$4</f>
        <v>18.96</v>
      </c>
      <c r="P21">
        <v>1.05</v>
      </c>
      <c r="Q21" s="2">
        <f t="shared" si="1"/>
        <v>19.908000000000001</v>
      </c>
    </row>
    <row r="22" spans="15:17" x14ac:dyDescent="0.25">
      <c r="O22" s="2">
        <f t="shared" ref="O22:O32" si="2">$Q$4</f>
        <v>18.96</v>
      </c>
      <c r="P22">
        <v>1.04</v>
      </c>
      <c r="Q22" s="2">
        <f t="shared" si="1"/>
        <v>19.718400000000003</v>
      </c>
    </row>
    <row r="23" spans="15:17" x14ac:dyDescent="0.25">
      <c r="O23" s="2">
        <f t="shared" si="2"/>
        <v>18.96</v>
      </c>
      <c r="P23" s="2">
        <v>1.03</v>
      </c>
      <c r="Q23" s="2">
        <f t="shared" si="1"/>
        <v>19.5288</v>
      </c>
    </row>
    <row r="24" spans="15:17" x14ac:dyDescent="0.25">
      <c r="O24" s="2">
        <f t="shared" si="2"/>
        <v>18.96</v>
      </c>
      <c r="P24" s="2">
        <v>1.02</v>
      </c>
      <c r="Q24" s="2">
        <f t="shared" si="1"/>
        <v>19.339200000000002</v>
      </c>
    </row>
    <row r="25" spans="15:17" x14ac:dyDescent="0.25">
      <c r="O25" s="2">
        <f t="shared" si="2"/>
        <v>18.96</v>
      </c>
      <c r="P25" s="2">
        <v>1.01</v>
      </c>
      <c r="Q25" s="2">
        <f t="shared" si="1"/>
        <v>19.1496</v>
      </c>
    </row>
    <row r="26" spans="15:17" x14ac:dyDescent="0.25">
      <c r="O26" s="2">
        <f t="shared" si="2"/>
        <v>18.96</v>
      </c>
      <c r="P26" s="2">
        <v>1</v>
      </c>
      <c r="Q26" s="2">
        <f t="shared" si="1"/>
        <v>18.96</v>
      </c>
    </row>
    <row r="27" spans="15:17" x14ac:dyDescent="0.25">
      <c r="O27" s="2">
        <f t="shared" si="2"/>
        <v>18.96</v>
      </c>
      <c r="P27" s="2">
        <v>0.99</v>
      </c>
      <c r="Q27" s="2">
        <f t="shared" si="1"/>
        <v>18.770400000000002</v>
      </c>
    </row>
    <row r="28" spans="15:17" x14ac:dyDescent="0.25">
      <c r="O28" s="2">
        <f t="shared" si="2"/>
        <v>18.96</v>
      </c>
      <c r="P28" s="2">
        <v>0.98</v>
      </c>
      <c r="Q28" s="2">
        <f t="shared" si="1"/>
        <v>18.5808</v>
      </c>
    </row>
    <row r="29" spans="15:17" x14ac:dyDescent="0.25">
      <c r="O29" s="2">
        <f t="shared" si="2"/>
        <v>18.96</v>
      </c>
      <c r="P29" s="2">
        <v>0.97</v>
      </c>
      <c r="Q29" s="2">
        <f t="shared" si="1"/>
        <v>18.391200000000001</v>
      </c>
    </row>
    <row r="30" spans="15:17" x14ac:dyDescent="0.25">
      <c r="O30" s="2">
        <f t="shared" si="2"/>
        <v>18.96</v>
      </c>
      <c r="P30" s="2">
        <v>0.96</v>
      </c>
      <c r="Q30" s="2">
        <f t="shared" si="1"/>
        <v>18.201599999999999</v>
      </c>
    </row>
    <row r="31" spans="15:17" x14ac:dyDescent="0.25">
      <c r="O31" s="2">
        <f t="shared" si="2"/>
        <v>18.96</v>
      </c>
      <c r="P31" s="2">
        <v>0.95</v>
      </c>
      <c r="Q31" s="2">
        <f t="shared" si="1"/>
        <v>18.012</v>
      </c>
    </row>
    <row r="32" spans="15:17" x14ac:dyDescent="0.25">
      <c r="O32" s="2">
        <f t="shared" si="2"/>
        <v>18.96</v>
      </c>
      <c r="P32" s="2">
        <v>0.9</v>
      </c>
      <c r="Q32" s="2">
        <f t="shared" si="1"/>
        <v>17.064</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43.46</v>
      </c>
    </row>
    <row r="5" spans="1:21" x14ac:dyDescent="0.25">
      <c r="B5" s="1">
        <v>42156</v>
      </c>
      <c r="C5">
        <v>50</v>
      </c>
      <c r="D5" s="2">
        <v>45.95</v>
      </c>
      <c r="F5" s="2">
        <f t="shared" si="0"/>
        <v>2297.5</v>
      </c>
      <c r="O5" t="s">
        <v>67</v>
      </c>
      <c r="Q5" s="5">
        <f>Q4*Q2</f>
        <v>1738.4</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-208.99999999999955</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43.46</v>
      </c>
      <c r="P22">
        <v>1.1000000000000001</v>
      </c>
      <c r="Q22" s="2">
        <f t="shared" ref="Q22:Q34" si="1">P22*O22</f>
        <v>47.806000000000004</v>
      </c>
      <c r="R22" s="59"/>
    </row>
    <row r="23" spans="15:18" x14ac:dyDescent="0.25">
      <c r="O23" s="2">
        <f>$Q$4</f>
        <v>43.46</v>
      </c>
      <c r="P23">
        <v>1.05</v>
      </c>
      <c r="Q23" s="2">
        <f t="shared" si="1"/>
        <v>45.633000000000003</v>
      </c>
      <c r="R23" s="59"/>
    </row>
    <row r="24" spans="15:18" x14ac:dyDescent="0.25">
      <c r="O24" s="2">
        <f t="shared" ref="O24:O34" si="2">$Q$4</f>
        <v>43.46</v>
      </c>
      <c r="P24">
        <v>1.04</v>
      </c>
      <c r="Q24" s="2">
        <f t="shared" si="1"/>
        <v>45.198399999999999</v>
      </c>
      <c r="R24" s="59"/>
    </row>
    <row r="25" spans="15:18" x14ac:dyDescent="0.25">
      <c r="O25" s="2">
        <f t="shared" si="2"/>
        <v>43.46</v>
      </c>
      <c r="P25" s="2">
        <v>1.03</v>
      </c>
      <c r="Q25" s="2">
        <f t="shared" si="1"/>
        <v>44.763800000000003</v>
      </c>
      <c r="R25" s="59"/>
    </row>
    <row r="26" spans="15:18" x14ac:dyDescent="0.25">
      <c r="O26" s="2">
        <f t="shared" si="2"/>
        <v>43.46</v>
      </c>
      <c r="P26" s="2">
        <v>1.02</v>
      </c>
      <c r="Q26" s="2">
        <f t="shared" si="1"/>
        <v>44.3292</v>
      </c>
      <c r="R26" s="59"/>
    </row>
    <row r="27" spans="15:18" x14ac:dyDescent="0.25">
      <c r="O27" s="2">
        <f t="shared" si="2"/>
        <v>43.46</v>
      </c>
      <c r="P27" s="2">
        <v>1.01</v>
      </c>
      <c r="Q27" s="2">
        <f t="shared" si="1"/>
        <v>43.894600000000004</v>
      </c>
      <c r="R27" s="59"/>
    </row>
    <row r="28" spans="15:18" x14ac:dyDescent="0.25">
      <c r="O28" s="2">
        <f t="shared" si="2"/>
        <v>43.46</v>
      </c>
      <c r="P28" s="2">
        <v>1</v>
      </c>
      <c r="Q28" s="2">
        <f t="shared" si="1"/>
        <v>43.46</v>
      </c>
      <c r="R28" s="59"/>
    </row>
    <row r="29" spans="15:18" x14ac:dyDescent="0.25">
      <c r="O29" s="2">
        <f t="shared" si="2"/>
        <v>43.46</v>
      </c>
      <c r="P29" s="2">
        <v>0.99</v>
      </c>
      <c r="Q29" s="2">
        <f t="shared" si="1"/>
        <v>43.025399999999998</v>
      </c>
      <c r="R29" s="59"/>
    </row>
    <row r="30" spans="15:18" x14ac:dyDescent="0.25">
      <c r="O30" s="2">
        <f t="shared" si="2"/>
        <v>43.46</v>
      </c>
      <c r="P30" s="2">
        <v>0.98</v>
      </c>
      <c r="Q30" s="2">
        <f t="shared" si="1"/>
        <v>42.590800000000002</v>
      </c>
      <c r="R30" s="59"/>
    </row>
    <row r="31" spans="15:18" x14ac:dyDescent="0.25">
      <c r="O31" s="2">
        <f t="shared" si="2"/>
        <v>43.46</v>
      </c>
      <c r="P31" s="2">
        <v>0.97</v>
      </c>
      <c r="Q31" s="2">
        <f t="shared" si="1"/>
        <v>42.156199999999998</v>
      </c>
      <c r="R31" s="59" t="s">
        <v>122</v>
      </c>
    </row>
    <row r="32" spans="15:18" x14ac:dyDescent="0.25">
      <c r="O32" s="2">
        <f t="shared" si="2"/>
        <v>43.46</v>
      </c>
      <c r="P32" s="2">
        <v>0.96</v>
      </c>
      <c r="Q32" s="2">
        <f t="shared" si="1"/>
        <v>41.721600000000002</v>
      </c>
      <c r="R32" s="59"/>
    </row>
    <row r="33" spans="15:18" x14ac:dyDescent="0.25">
      <c r="O33" s="2">
        <f t="shared" si="2"/>
        <v>43.46</v>
      </c>
      <c r="P33" s="2">
        <v>0.95</v>
      </c>
      <c r="Q33" s="2">
        <f t="shared" si="1"/>
        <v>41.286999999999999</v>
      </c>
      <c r="R33" s="59"/>
    </row>
    <row r="34" spans="15:18" x14ac:dyDescent="0.25">
      <c r="O34" s="2">
        <f t="shared" si="2"/>
        <v>43.46</v>
      </c>
      <c r="P34" s="2">
        <v>0.9</v>
      </c>
      <c r="Q34" s="2">
        <f t="shared" si="1"/>
        <v>39.114000000000004</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215</v>
      </c>
      <c r="F1" s="34" t="s">
        <v>60</v>
      </c>
      <c r="G1" s="20" t="s">
        <v>3</v>
      </c>
      <c r="H1" s="20" t="s">
        <v>6</v>
      </c>
      <c r="I1" s="34" t="s">
        <v>7</v>
      </c>
      <c r="J1" s="34" t="s">
        <v>216</v>
      </c>
      <c r="K1" s="34" t="s">
        <v>61</v>
      </c>
      <c r="L1" s="20" t="s">
        <v>88</v>
      </c>
      <c r="M1" s="34" t="s">
        <v>38</v>
      </c>
      <c r="T1" s="20" t="s">
        <v>74</v>
      </c>
    </row>
    <row r="2" spans="1:21" x14ac:dyDescent="0.25">
      <c r="A2" s="8" t="s">
        <v>45</v>
      </c>
      <c r="B2" s="1">
        <v>42185</v>
      </c>
      <c r="C2">
        <v>10</v>
      </c>
      <c r="D2" s="2">
        <v>65.45</v>
      </c>
      <c r="E2" s="2">
        <v>0</v>
      </c>
      <c r="F2" s="2">
        <f t="shared" ref="F2:F7" si="0">C2*D2</f>
        <v>654.5</v>
      </c>
      <c r="G2" s="1">
        <v>42226</v>
      </c>
      <c r="H2" s="10">
        <v>30</v>
      </c>
      <c r="I2" s="25">
        <v>62.9</v>
      </c>
      <c r="J2" s="25">
        <v>0</v>
      </c>
      <c r="K2" s="25">
        <f>H2*I2</f>
        <v>1887</v>
      </c>
      <c r="L2" t="s">
        <v>213</v>
      </c>
      <c r="O2" s="20" t="s">
        <v>57</v>
      </c>
      <c r="Q2">
        <f>C8-H8</f>
        <v>100</v>
      </c>
      <c r="T2" s="1">
        <v>42243</v>
      </c>
      <c r="U2" t="s">
        <v>218</v>
      </c>
    </row>
    <row r="3" spans="1:21" x14ac:dyDescent="0.25">
      <c r="A3" s="36" t="s">
        <v>81</v>
      </c>
      <c r="B3" s="1">
        <v>42223</v>
      </c>
      <c r="C3">
        <v>20</v>
      </c>
      <c r="D3" s="2">
        <v>63.52</v>
      </c>
      <c r="E3" s="2">
        <v>0</v>
      </c>
      <c r="F3" s="2">
        <f t="shared" si="0"/>
        <v>1270.4000000000001</v>
      </c>
      <c r="G3" s="1">
        <v>42235</v>
      </c>
      <c r="H3" s="17">
        <v>30</v>
      </c>
      <c r="I3" s="78">
        <v>63.59</v>
      </c>
      <c r="J3" s="78">
        <v>0</v>
      </c>
      <c r="K3" s="78">
        <f>H3*I3</f>
        <v>1907.7</v>
      </c>
      <c r="O3" s="20" t="s">
        <v>58</v>
      </c>
      <c r="Q3" s="2">
        <f>(F8-K8)/Q2</f>
        <v>62.165999999999997</v>
      </c>
      <c r="T3" s="1"/>
    </row>
    <row r="4" spans="1:21" x14ac:dyDescent="0.25">
      <c r="B4" s="1">
        <v>42223</v>
      </c>
      <c r="C4" s="6">
        <v>40</v>
      </c>
      <c r="D4" s="5">
        <v>62.45</v>
      </c>
      <c r="E4" s="5">
        <v>0</v>
      </c>
      <c r="F4" s="5">
        <f t="shared" si="0"/>
        <v>2498</v>
      </c>
      <c r="O4" s="20" t="s">
        <v>66</v>
      </c>
      <c r="Q4" s="106">
        <v>58.28</v>
      </c>
    </row>
    <row r="5" spans="1:21" x14ac:dyDescent="0.25">
      <c r="B5" s="1">
        <v>42223</v>
      </c>
      <c r="C5" s="10">
        <v>30</v>
      </c>
      <c r="D5" s="25">
        <v>62</v>
      </c>
      <c r="E5" s="25">
        <v>0</v>
      </c>
      <c r="F5" s="25">
        <f t="shared" si="0"/>
        <v>1860</v>
      </c>
      <c r="O5" s="20" t="s">
        <v>67</v>
      </c>
      <c r="Q5" s="5">
        <f>Q4*Q2</f>
        <v>5828</v>
      </c>
      <c r="T5" s="1"/>
      <c r="U5" s="135"/>
    </row>
    <row r="6" spans="1:21" x14ac:dyDescent="0.25">
      <c r="B6" s="1">
        <v>42223</v>
      </c>
      <c r="C6" s="17">
        <v>30</v>
      </c>
      <c r="D6" s="78">
        <v>62.98</v>
      </c>
      <c r="E6" s="78">
        <v>0</v>
      </c>
      <c r="F6" s="78">
        <f t="shared" si="0"/>
        <v>1889.3999999999999</v>
      </c>
      <c r="O6" s="20" t="s">
        <v>64</v>
      </c>
      <c r="Q6" s="2">
        <f>Q3*Q2</f>
        <v>6216.5999999999995</v>
      </c>
    </row>
    <row r="7" spans="1:21" x14ac:dyDescent="0.25">
      <c r="B7" s="1">
        <v>42223</v>
      </c>
      <c r="C7">
        <v>30</v>
      </c>
      <c r="D7" s="2">
        <v>61.3</v>
      </c>
      <c r="E7" s="2">
        <v>0</v>
      </c>
      <c r="F7" s="2">
        <f t="shared" si="0"/>
        <v>1839</v>
      </c>
      <c r="O7" s="20" t="s">
        <v>65</v>
      </c>
      <c r="Q7" s="2">
        <f>Q5-Q6+M8</f>
        <v>-388.59999999999945</v>
      </c>
      <c r="T7" s="1">
        <v>42264</v>
      </c>
      <c r="U7" t="s">
        <v>217</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214</v>
      </c>
    </row>
    <row r="10" spans="1:21" x14ac:dyDescent="0.25">
      <c r="T10" s="1">
        <v>42306</v>
      </c>
      <c r="U10" s="135" t="s">
        <v>125</v>
      </c>
    </row>
    <row r="16" spans="1:21" x14ac:dyDescent="0.25">
      <c r="A16" s="56"/>
      <c r="P16" t="s">
        <v>89</v>
      </c>
      <c r="U16" s="2"/>
    </row>
    <row r="17" spans="1:17" x14ac:dyDescent="0.25">
      <c r="A17" s="56"/>
      <c r="O17" s="2">
        <f>$Q$4</f>
        <v>58.28</v>
      </c>
      <c r="P17">
        <v>1.1000000000000001</v>
      </c>
      <c r="Q17" s="2">
        <f t="shared" ref="Q17:Q29" si="1">P17*O17</f>
        <v>64.108000000000004</v>
      </c>
    </row>
    <row r="18" spans="1:17" x14ac:dyDescent="0.25">
      <c r="A18" s="56"/>
      <c r="O18" s="2">
        <f>$Q$4</f>
        <v>58.28</v>
      </c>
      <c r="P18">
        <v>1.05</v>
      </c>
      <c r="Q18" s="2">
        <f t="shared" si="1"/>
        <v>61.194000000000003</v>
      </c>
    </row>
    <row r="19" spans="1:17" x14ac:dyDescent="0.25">
      <c r="O19" s="2">
        <f t="shared" ref="O19:O29" si="2">$Q$4</f>
        <v>58.28</v>
      </c>
      <c r="P19">
        <v>1.04</v>
      </c>
      <c r="Q19" s="2">
        <f t="shared" si="1"/>
        <v>60.611200000000004</v>
      </c>
    </row>
    <row r="20" spans="1:17" x14ac:dyDescent="0.25">
      <c r="O20" s="2">
        <f t="shared" si="2"/>
        <v>58.28</v>
      </c>
      <c r="P20" s="2">
        <v>1.03</v>
      </c>
      <c r="Q20" s="2">
        <f t="shared" si="1"/>
        <v>60.028400000000005</v>
      </c>
    </row>
    <row r="21" spans="1:17" x14ac:dyDescent="0.25">
      <c r="O21" s="2">
        <f t="shared" si="2"/>
        <v>58.28</v>
      </c>
      <c r="P21" s="2">
        <v>1.02</v>
      </c>
      <c r="Q21" s="2">
        <f t="shared" si="1"/>
        <v>59.445599999999999</v>
      </c>
    </row>
    <row r="22" spans="1:17" x14ac:dyDescent="0.25">
      <c r="O22" s="2">
        <f t="shared" si="2"/>
        <v>58.28</v>
      </c>
      <c r="P22" s="2">
        <v>1.01</v>
      </c>
      <c r="Q22" s="2">
        <f t="shared" si="1"/>
        <v>58.8628</v>
      </c>
    </row>
    <row r="23" spans="1:17" x14ac:dyDescent="0.25">
      <c r="O23" s="2">
        <f t="shared" si="2"/>
        <v>58.28</v>
      </c>
      <c r="P23" s="2">
        <v>1</v>
      </c>
      <c r="Q23" s="2">
        <f t="shared" si="1"/>
        <v>58.28</v>
      </c>
    </row>
    <row r="24" spans="1:17" x14ac:dyDescent="0.25">
      <c r="O24" s="2">
        <f t="shared" si="2"/>
        <v>58.28</v>
      </c>
      <c r="P24" s="2">
        <v>0.99</v>
      </c>
      <c r="Q24" s="2">
        <f t="shared" si="1"/>
        <v>57.697200000000002</v>
      </c>
    </row>
    <row r="25" spans="1:17" x14ac:dyDescent="0.25">
      <c r="O25" s="2">
        <f t="shared" si="2"/>
        <v>58.28</v>
      </c>
      <c r="P25" s="2">
        <v>0.98</v>
      </c>
      <c r="Q25" s="2">
        <f t="shared" si="1"/>
        <v>57.114400000000003</v>
      </c>
    </row>
    <row r="26" spans="1:17" x14ac:dyDescent="0.25">
      <c r="O26" s="2">
        <f t="shared" si="2"/>
        <v>58.28</v>
      </c>
      <c r="P26" s="2">
        <v>0.97</v>
      </c>
      <c r="Q26" s="2">
        <f t="shared" si="1"/>
        <v>56.531599999999997</v>
      </c>
    </row>
    <row r="27" spans="1:17" x14ac:dyDescent="0.25">
      <c r="O27" s="2">
        <f t="shared" si="2"/>
        <v>58.28</v>
      </c>
      <c r="P27" s="2">
        <v>0.96</v>
      </c>
      <c r="Q27" s="2">
        <f t="shared" si="1"/>
        <v>55.948799999999999</v>
      </c>
    </row>
    <row r="28" spans="1:17" x14ac:dyDescent="0.25">
      <c r="O28" s="2">
        <f t="shared" si="2"/>
        <v>58.28</v>
      </c>
      <c r="P28" s="2">
        <v>0.95</v>
      </c>
      <c r="Q28" s="2">
        <f t="shared" si="1"/>
        <v>55.366</v>
      </c>
    </row>
    <row r="29" spans="1:17" x14ac:dyDescent="0.25">
      <c r="O29" s="2">
        <f t="shared" si="2"/>
        <v>58.28</v>
      </c>
      <c r="P29" s="2">
        <v>0.9</v>
      </c>
      <c r="Q29" s="2">
        <f t="shared" si="1"/>
        <v>52.452000000000005</v>
      </c>
    </row>
    <row r="36" spans="3:5" x14ac:dyDescent="0.25">
      <c r="C36" t="s">
        <v>198</v>
      </c>
      <c r="E36" s="2" t="s">
        <v>199</v>
      </c>
    </row>
    <row r="37" spans="3:5" ht="15" customHeight="1" x14ac:dyDescent="0.25">
      <c r="C37" t="s">
        <v>200</v>
      </c>
      <c r="E37" s="2" t="s">
        <v>201</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155</v>
      </c>
      <c r="F1" s="34" t="s">
        <v>60</v>
      </c>
      <c r="G1" s="20" t="s">
        <v>3</v>
      </c>
      <c r="H1" s="20" t="s">
        <v>6</v>
      </c>
      <c r="I1" s="20" t="s">
        <v>7</v>
      </c>
      <c r="J1" s="20" t="s">
        <v>154</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5.38</v>
      </c>
    </row>
    <row r="5" spans="1:21" x14ac:dyDescent="0.25">
      <c r="B5" s="1">
        <v>42194</v>
      </c>
      <c r="C5">
        <v>150</v>
      </c>
      <c r="D5" s="2">
        <v>6.1</v>
      </c>
      <c r="E5" s="2">
        <v>0</v>
      </c>
      <c r="F5" s="2">
        <f t="shared" si="0"/>
        <v>915</v>
      </c>
      <c r="O5" s="20" t="s">
        <v>67</v>
      </c>
      <c r="Q5" s="5">
        <f>Q4*Q2</f>
        <v>2421</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-232.51999999999998</v>
      </c>
    </row>
    <row r="22" spans="15:17" x14ac:dyDescent="0.25">
      <c r="P22" t="s">
        <v>89</v>
      </c>
    </row>
    <row r="23" spans="15:17" x14ac:dyDescent="0.25">
      <c r="O23" s="2">
        <f>$Q$4</f>
        <v>5.38</v>
      </c>
      <c r="P23">
        <v>1.1000000000000001</v>
      </c>
      <c r="Q23" s="2">
        <f t="shared" ref="Q23:Q35" si="1">P23*O23</f>
        <v>5.9180000000000001</v>
      </c>
    </row>
    <row r="24" spans="15:17" x14ac:dyDescent="0.25">
      <c r="O24" s="2">
        <f>$Q$4</f>
        <v>5.38</v>
      </c>
      <c r="P24">
        <v>1.05</v>
      </c>
      <c r="Q24" s="2">
        <f t="shared" si="1"/>
        <v>5.649</v>
      </c>
    </row>
    <row r="25" spans="15:17" x14ac:dyDescent="0.25">
      <c r="O25" s="2">
        <f t="shared" ref="O25:O35" si="2">$Q$4</f>
        <v>5.38</v>
      </c>
      <c r="P25">
        <v>1.04</v>
      </c>
      <c r="Q25" s="2">
        <f t="shared" si="1"/>
        <v>5.5952000000000002</v>
      </c>
    </row>
    <row r="26" spans="15:17" x14ac:dyDescent="0.25">
      <c r="O26" s="2">
        <f t="shared" si="2"/>
        <v>5.38</v>
      </c>
      <c r="P26" s="2">
        <v>1.03</v>
      </c>
      <c r="Q26" s="2">
        <f t="shared" si="1"/>
        <v>5.5414000000000003</v>
      </c>
    </row>
    <row r="27" spans="15:17" x14ac:dyDescent="0.25">
      <c r="O27" s="2">
        <f t="shared" si="2"/>
        <v>5.38</v>
      </c>
      <c r="P27" s="2">
        <v>1.02</v>
      </c>
      <c r="Q27" s="2">
        <f t="shared" si="1"/>
        <v>5.4875999999999996</v>
      </c>
    </row>
    <row r="28" spans="15:17" x14ac:dyDescent="0.25">
      <c r="O28" s="2">
        <f t="shared" si="2"/>
        <v>5.38</v>
      </c>
      <c r="P28" s="2">
        <v>1.01</v>
      </c>
      <c r="Q28" s="2">
        <f t="shared" si="1"/>
        <v>5.4337999999999997</v>
      </c>
    </row>
    <row r="29" spans="15:17" x14ac:dyDescent="0.25">
      <c r="O29" s="2">
        <f t="shared" si="2"/>
        <v>5.38</v>
      </c>
      <c r="P29" s="2">
        <v>1</v>
      </c>
      <c r="Q29" s="2">
        <f t="shared" si="1"/>
        <v>5.38</v>
      </c>
    </row>
    <row r="30" spans="15:17" x14ac:dyDescent="0.25">
      <c r="O30" s="2">
        <f t="shared" si="2"/>
        <v>5.38</v>
      </c>
      <c r="P30" s="2">
        <v>0.99</v>
      </c>
      <c r="Q30" s="2">
        <f t="shared" si="1"/>
        <v>5.3262</v>
      </c>
    </row>
    <row r="31" spans="15:17" x14ac:dyDescent="0.25">
      <c r="O31" s="2">
        <f t="shared" si="2"/>
        <v>5.38</v>
      </c>
      <c r="P31" s="2">
        <v>0.98</v>
      </c>
      <c r="Q31" s="2">
        <f t="shared" si="1"/>
        <v>5.2724000000000002</v>
      </c>
    </row>
    <row r="32" spans="15:17" x14ac:dyDescent="0.25">
      <c r="O32" s="2">
        <f t="shared" si="2"/>
        <v>5.38</v>
      </c>
      <c r="P32" s="2">
        <v>0.97</v>
      </c>
      <c r="Q32" s="2">
        <f t="shared" si="1"/>
        <v>5.2185999999999995</v>
      </c>
    </row>
    <row r="33" spans="15:17" x14ac:dyDescent="0.25">
      <c r="O33" s="2">
        <f t="shared" si="2"/>
        <v>5.38</v>
      </c>
      <c r="P33" s="2">
        <v>0.96</v>
      </c>
      <c r="Q33" s="2">
        <f t="shared" si="1"/>
        <v>5.1647999999999996</v>
      </c>
    </row>
    <row r="34" spans="15:17" x14ac:dyDescent="0.25">
      <c r="O34" s="2">
        <f t="shared" si="2"/>
        <v>5.38</v>
      </c>
      <c r="P34" s="2">
        <v>0.95</v>
      </c>
      <c r="Q34" s="2">
        <f t="shared" si="1"/>
        <v>5.1109999999999998</v>
      </c>
    </row>
    <row r="35" spans="15:17" x14ac:dyDescent="0.25">
      <c r="O35" s="2">
        <f t="shared" si="2"/>
        <v>5.38</v>
      </c>
      <c r="P35" s="2">
        <v>0.9</v>
      </c>
      <c r="Q35" s="2">
        <f t="shared" si="1"/>
        <v>4.8419999999999996</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77.91</v>
      </c>
    </row>
    <row r="5" spans="1:21" x14ac:dyDescent="0.25">
      <c r="B5" s="1">
        <v>42222</v>
      </c>
      <c r="C5">
        <v>10</v>
      </c>
      <c r="D5" s="2">
        <v>83.08</v>
      </c>
      <c r="F5" s="2">
        <f t="shared" si="0"/>
        <v>830.8</v>
      </c>
      <c r="O5" s="20" t="s">
        <v>67</v>
      </c>
      <c r="Q5" s="5">
        <f>Q4*Q2</f>
        <v>4674.5999999999995</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-412.70000000000073</v>
      </c>
    </row>
    <row r="17" spans="15:18" x14ac:dyDescent="0.25">
      <c r="P17" t="s">
        <v>89</v>
      </c>
      <c r="R17" s="59"/>
    </row>
    <row r="18" spans="15:18" x14ac:dyDescent="0.25">
      <c r="O18" s="2">
        <f>$Q$4</f>
        <v>77.91</v>
      </c>
      <c r="P18">
        <v>1.1000000000000001</v>
      </c>
      <c r="Q18" s="2">
        <f t="shared" ref="Q18:Q30" si="1">P18*O18</f>
        <v>85.701000000000008</v>
      </c>
      <c r="R18" s="59"/>
    </row>
    <row r="19" spans="15:18" x14ac:dyDescent="0.25">
      <c r="O19" s="2">
        <f>$Q$4</f>
        <v>77.91</v>
      </c>
      <c r="P19">
        <v>1.05</v>
      </c>
      <c r="Q19" s="2">
        <f t="shared" si="1"/>
        <v>81.805499999999995</v>
      </c>
      <c r="R19" s="59"/>
    </row>
    <row r="20" spans="15:18" x14ac:dyDescent="0.25">
      <c r="O20" s="2">
        <f t="shared" ref="O20:O30" si="2">$Q$4</f>
        <v>77.91</v>
      </c>
      <c r="P20">
        <v>1.04</v>
      </c>
      <c r="Q20" s="2">
        <f t="shared" si="1"/>
        <v>81.026399999999995</v>
      </c>
      <c r="R20" s="59"/>
    </row>
    <row r="21" spans="15:18" x14ac:dyDescent="0.25">
      <c r="O21" s="2">
        <f t="shared" si="2"/>
        <v>77.91</v>
      </c>
      <c r="P21" s="2">
        <v>1.03</v>
      </c>
      <c r="Q21" s="2">
        <f t="shared" si="1"/>
        <v>80.247299999999996</v>
      </c>
      <c r="R21" s="59" t="s">
        <v>115</v>
      </c>
    </row>
    <row r="22" spans="15:18" x14ac:dyDescent="0.25">
      <c r="O22" s="2">
        <f t="shared" si="2"/>
        <v>77.91</v>
      </c>
      <c r="P22" s="2">
        <v>1.02</v>
      </c>
      <c r="Q22" s="2">
        <f t="shared" si="1"/>
        <v>79.468199999999996</v>
      </c>
      <c r="R22" s="59"/>
    </row>
    <row r="23" spans="15:18" x14ac:dyDescent="0.25">
      <c r="O23" s="2">
        <f t="shared" si="2"/>
        <v>77.91</v>
      </c>
      <c r="P23" s="2">
        <v>1.01</v>
      </c>
      <c r="Q23" s="2">
        <f t="shared" si="1"/>
        <v>78.689099999999996</v>
      </c>
      <c r="R23" s="59"/>
    </row>
    <row r="24" spans="15:18" x14ac:dyDescent="0.25">
      <c r="O24" s="2">
        <f t="shared" si="2"/>
        <v>77.91</v>
      </c>
      <c r="P24" s="2">
        <v>1</v>
      </c>
      <c r="Q24" s="2">
        <f t="shared" si="1"/>
        <v>77.91</v>
      </c>
      <c r="R24" s="59"/>
    </row>
    <row r="25" spans="15:18" x14ac:dyDescent="0.25">
      <c r="O25" s="2">
        <f t="shared" si="2"/>
        <v>77.91</v>
      </c>
      <c r="P25" s="2">
        <v>0.99</v>
      </c>
      <c r="Q25" s="2">
        <f t="shared" si="1"/>
        <v>77.130899999999997</v>
      </c>
      <c r="R25" s="59"/>
    </row>
    <row r="26" spans="15:18" x14ac:dyDescent="0.25">
      <c r="O26" s="2">
        <f t="shared" si="2"/>
        <v>77.91</v>
      </c>
      <c r="P26" s="2">
        <v>0.98</v>
      </c>
      <c r="Q26" s="2">
        <f t="shared" si="1"/>
        <v>76.351799999999997</v>
      </c>
      <c r="R26" s="59" t="s">
        <v>129</v>
      </c>
    </row>
    <row r="27" spans="15:18" x14ac:dyDescent="0.25">
      <c r="O27" s="2">
        <f t="shared" si="2"/>
        <v>77.91</v>
      </c>
      <c r="P27" s="2">
        <v>0.97</v>
      </c>
      <c r="Q27" s="2">
        <f t="shared" si="1"/>
        <v>75.572699999999998</v>
      </c>
      <c r="R27" s="59"/>
    </row>
    <row r="28" spans="15:18" x14ac:dyDescent="0.25">
      <c r="O28" s="2">
        <f t="shared" si="2"/>
        <v>77.91</v>
      </c>
      <c r="P28" s="2">
        <v>0.96</v>
      </c>
      <c r="Q28" s="2">
        <f t="shared" si="1"/>
        <v>74.793599999999998</v>
      </c>
      <c r="R28" s="59"/>
    </row>
    <row r="29" spans="15:18" x14ac:dyDescent="0.25">
      <c r="O29" s="2">
        <f t="shared" si="2"/>
        <v>77.91</v>
      </c>
      <c r="P29" s="2">
        <v>0.95</v>
      </c>
      <c r="Q29" s="2">
        <f t="shared" si="1"/>
        <v>74.014499999999998</v>
      </c>
      <c r="R29" s="59"/>
    </row>
    <row r="30" spans="15:18" x14ac:dyDescent="0.25">
      <c r="O30" s="2">
        <f t="shared" si="2"/>
        <v>77.91</v>
      </c>
      <c r="P30" s="2">
        <v>0.9</v>
      </c>
      <c r="Q30" s="2">
        <f t="shared" si="1"/>
        <v>70.119</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167</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204</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82.27</v>
      </c>
    </row>
    <row r="5" spans="1:23" x14ac:dyDescent="0.25">
      <c r="B5" s="1">
        <v>42215</v>
      </c>
      <c r="C5" s="10">
        <v>5</v>
      </c>
      <c r="D5" s="25">
        <v>82.25</v>
      </c>
      <c r="E5" s="25"/>
      <c r="F5" s="25">
        <f t="shared" si="0"/>
        <v>411.25</v>
      </c>
      <c r="O5" s="20" t="s">
        <v>67</v>
      </c>
      <c r="Q5" s="5">
        <f>Q4*Q2</f>
        <v>3290.7999999999997</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-1.8000000000001819</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82.27</v>
      </c>
      <c r="P20">
        <v>1.1000000000000001</v>
      </c>
      <c r="Q20" s="2">
        <f t="shared" ref="Q20:Q32" si="1">P20*O20</f>
        <v>90.497</v>
      </c>
    </row>
    <row r="21" spans="15:23" x14ac:dyDescent="0.25">
      <c r="O21" s="2">
        <f>$Q$4</f>
        <v>82.27</v>
      </c>
      <c r="P21">
        <v>1.05</v>
      </c>
      <c r="Q21" s="2">
        <f t="shared" si="1"/>
        <v>86.383499999999998</v>
      </c>
    </row>
    <row r="22" spans="15:23" x14ac:dyDescent="0.25">
      <c r="O22" s="2">
        <f t="shared" ref="O22:O32" si="2">$Q$4</f>
        <v>82.27</v>
      </c>
      <c r="P22">
        <v>1.04</v>
      </c>
      <c r="Q22" s="2">
        <f t="shared" si="1"/>
        <v>85.5608</v>
      </c>
    </row>
    <row r="23" spans="15:23" x14ac:dyDescent="0.25">
      <c r="O23" s="2">
        <f t="shared" si="2"/>
        <v>82.27</v>
      </c>
      <c r="P23" s="2">
        <v>1.03</v>
      </c>
      <c r="Q23" s="2">
        <f t="shared" si="1"/>
        <v>84.738100000000003</v>
      </c>
    </row>
    <row r="24" spans="15:23" x14ac:dyDescent="0.25">
      <c r="O24" s="2">
        <f t="shared" si="2"/>
        <v>82.27</v>
      </c>
      <c r="P24" s="2">
        <v>1.02</v>
      </c>
      <c r="Q24" s="2">
        <f t="shared" si="1"/>
        <v>83.915399999999991</v>
      </c>
    </row>
    <row r="25" spans="15:23" x14ac:dyDescent="0.25">
      <c r="O25" s="2">
        <f t="shared" si="2"/>
        <v>82.27</v>
      </c>
      <c r="P25" s="2">
        <v>1.01</v>
      </c>
      <c r="Q25" s="2">
        <f t="shared" si="1"/>
        <v>83.092699999999994</v>
      </c>
    </row>
    <row r="26" spans="15:23" x14ac:dyDescent="0.25">
      <c r="O26" s="2">
        <f t="shared" si="2"/>
        <v>82.27</v>
      </c>
      <c r="P26" s="2">
        <v>1</v>
      </c>
      <c r="Q26" s="2">
        <f t="shared" si="1"/>
        <v>82.27</v>
      </c>
    </row>
    <row r="27" spans="15:23" x14ac:dyDescent="0.25">
      <c r="O27" s="2">
        <f t="shared" si="2"/>
        <v>82.27</v>
      </c>
      <c r="P27" s="2">
        <v>0.99</v>
      </c>
      <c r="Q27" s="2">
        <f t="shared" si="1"/>
        <v>81.447299999999998</v>
      </c>
    </row>
    <row r="28" spans="15:23" x14ac:dyDescent="0.25">
      <c r="O28" s="2">
        <f t="shared" si="2"/>
        <v>82.27</v>
      </c>
      <c r="P28" s="2">
        <v>0.98</v>
      </c>
      <c r="Q28" s="2">
        <f t="shared" si="1"/>
        <v>80.624600000000001</v>
      </c>
    </row>
    <row r="29" spans="15:23" x14ac:dyDescent="0.25">
      <c r="O29" s="2">
        <f t="shared" si="2"/>
        <v>82.27</v>
      </c>
      <c r="P29" s="2">
        <v>0.97</v>
      </c>
      <c r="Q29" s="2">
        <f t="shared" si="1"/>
        <v>79.801899999999989</v>
      </c>
    </row>
    <row r="30" spans="15:23" x14ac:dyDescent="0.25">
      <c r="O30" s="2">
        <f t="shared" si="2"/>
        <v>82.27</v>
      </c>
      <c r="P30" s="2">
        <v>0.96</v>
      </c>
      <c r="Q30" s="2">
        <f t="shared" si="1"/>
        <v>78.979199999999992</v>
      </c>
    </row>
    <row r="31" spans="15:23" x14ac:dyDescent="0.25">
      <c r="O31" s="2">
        <f t="shared" si="2"/>
        <v>82.27</v>
      </c>
      <c r="P31" s="2">
        <v>0.95</v>
      </c>
      <c r="Q31" s="2">
        <f t="shared" si="1"/>
        <v>78.156499999999994</v>
      </c>
    </row>
    <row r="32" spans="15:23" x14ac:dyDescent="0.25">
      <c r="O32" s="2">
        <f t="shared" si="2"/>
        <v>82.27</v>
      </c>
      <c r="P32" s="2">
        <v>0.9</v>
      </c>
      <c r="Q32" s="2">
        <f t="shared" si="1"/>
        <v>74.042999999999992</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48.28</v>
      </c>
    </row>
    <row r="5" spans="1:21" x14ac:dyDescent="0.25">
      <c r="B5" s="1">
        <v>42233</v>
      </c>
      <c r="C5" s="19">
        <v>15</v>
      </c>
      <c r="D5" s="65">
        <v>46.8</v>
      </c>
      <c r="E5" s="65"/>
      <c r="F5" s="65">
        <f>C5*D5</f>
        <v>702</v>
      </c>
      <c r="O5" s="20" t="s">
        <v>67</v>
      </c>
      <c r="Q5" s="5">
        <f>Q4*Q2</f>
        <v>1689.8</v>
      </c>
    </row>
    <row r="6" spans="1:21" x14ac:dyDescent="0.25">
      <c r="B6" s="1">
        <v>42233</v>
      </c>
      <c r="C6">
        <v>20</v>
      </c>
      <c r="D6" s="2">
        <v>47.45</v>
      </c>
      <c r="F6" s="2">
        <f>C6*D6</f>
        <v>949</v>
      </c>
      <c r="O6" s="20" t="s">
        <v>64</v>
      </c>
      <c r="Q6" s="2">
        <f>Q3*Q2</f>
        <v>1665.5</v>
      </c>
    </row>
    <row r="7" spans="1:21" x14ac:dyDescent="0.25">
      <c r="B7" s="1"/>
      <c r="O7" s="20" t="s">
        <v>65</v>
      </c>
      <c r="Q7" s="2">
        <f>Q5-Q6</f>
        <v>24.299999999999955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48.28</v>
      </c>
      <c r="P19">
        <v>1.1000000000000001</v>
      </c>
      <c r="Q19" s="2">
        <f t="shared" ref="Q19:Q31" si="1">P19*O19</f>
        <v>53.108000000000004</v>
      </c>
    </row>
    <row r="20" spans="15:17" x14ac:dyDescent="0.25">
      <c r="O20" s="2">
        <f>$Q$4</f>
        <v>48.28</v>
      </c>
      <c r="P20">
        <v>1.05</v>
      </c>
      <c r="Q20" s="2">
        <f t="shared" si="1"/>
        <v>50.694000000000003</v>
      </c>
    </row>
    <row r="21" spans="15:17" x14ac:dyDescent="0.25">
      <c r="O21" s="2">
        <f t="shared" ref="O21:O31" si="2">$Q$4</f>
        <v>48.28</v>
      </c>
      <c r="P21">
        <v>1.04</v>
      </c>
      <c r="Q21" s="2">
        <f t="shared" si="1"/>
        <v>50.211200000000005</v>
      </c>
    </row>
    <row r="22" spans="15:17" x14ac:dyDescent="0.25">
      <c r="O22" s="2">
        <f t="shared" si="2"/>
        <v>48.28</v>
      </c>
      <c r="P22" s="2">
        <v>1.03</v>
      </c>
      <c r="Q22" s="2">
        <f t="shared" si="1"/>
        <v>49.728400000000001</v>
      </c>
    </row>
    <row r="23" spans="15:17" x14ac:dyDescent="0.25">
      <c r="O23" s="2">
        <f t="shared" si="2"/>
        <v>48.28</v>
      </c>
      <c r="P23" s="2">
        <v>1.02</v>
      </c>
      <c r="Q23" s="2">
        <f t="shared" si="1"/>
        <v>49.245600000000003</v>
      </c>
    </row>
    <row r="24" spans="15:17" x14ac:dyDescent="0.25">
      <c r="O24" s="2">
        <f t="shared" si="2"/>
        <v>48.28</v>
      </c>
      <c r="P24" s="2">
        <v>1.01</v>
      </c>
      <c r="Q24" s="2">
        <f t="shared" si="1"/>
        <v>48.762799999999999</v>
      </c>
    </row>
    <row r="25" spans="15:17" x14ac:dyDescent="0.25">
      <c r="O25" s="2">
        <f t="shared" si="2"/>
        <v>48.28</v>
      </c>
      <c r="P25" s="2">
        <v>1</v>
      </c>
      <c r="Q25" s="2">
        <f t="shared" si="1"/>
        <v>48.28</v>
      </c>
    </row>
    <row r="26" spans="15:17" x14ac:dyDescent="0.25">
      <c r="O26" s="2">
        <f t="shared" si="2"/>
        <v>48.28</v>
      </c>
      <c r="P26" s="2">
        <v>0.99</v>
      </c>
      <c r="Q26" s="2">
        <f t="shared" si="1"/>
        <v>47.797200000000004</v>
      </c>
    </row>
    <row r="27" spans="15:17" x14ac:dyDescent="0.25">
      <c r="O27" s="2">
        <f t="shared" si="2"/>
        <v>48.28</v>
      </c>
      <c r="P27" s="2">
        <v>0.98</v>
      </c>
      <c r="Q27" s="2">
        <f t="shared" si="1"/>
        <v>47.314399999999999</v>
      </c>
    </row>
    <row r="28" spans="15:17" x14ac:dyDescent="0.25">
      <c r="O28" s="2">
        <f t="shared" si="2"/>
        <v>48.28</v>
      </c>
      <c r="P28" s="2">
        <v>0.97</v>
      </c>
      <c r="Q28" s="2">
        <f t="shared" si="1"/>
        <v>46.831600000000002</v>
      </c>
    </row>
    <row r="29" spans="15:17" x14ac:dyDescent="0.25">
      <c r="O29" s="2">
        <f t="shared" si="2"/>
        <v>48.28</v>
      </c>
      <c r="P29" s="2">
        <v>0.96</v>
      </c>
      <c r="Q29" s="2">
        <f t="shared" si="1"/>
        <v>46.348799999999997</v>
      </c>
    </row>
    <row r="30" spans="15:17" x14ac:dyDescent="0.25">
      <c r="O30" s="2">
        <f t="shared" si="2"/>
        <v>48.28</v>
      </c>
      <c r="P30" s="2">
        <v>0.95</v>
      </c>
      <c r="Q30" s="2">
        <f t="shared" si="1"/>
        <v>45.866</v>
      </c>
    </row>
    <row r="31" spans="15:17" x14ac:dyDescent="0.25">
      <c r="O31" s="2">
        <f t="shared" si="2"/>
        <v>48.28</v>
      </c>
      <c r="P31" s="2">
        <v>0.9</v>
      </c>
      <c r="Q31" s="2">
        <f t="shared" si="1"/>
        <v>43.452000000000005</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8.2200000000000006</v>
      </c>
    </row>
    <row r="5" spans="1:21" x14ac:dyDescent="0.25">
      <c r="B5" s="1">
        <v>42198</v>
      </c>
      <c r="C5">
        <v>40</v>
      </c>
      <c r="D5">
        <v>9.94</v>
      </c>
      <c r="F5">
        <f>C5*D5</f>
        <v>397.59999999999997</v>
      </c>
      <c r="O5" s="20" t="s">
        <v>67</v>
      </c>
      <c r="Q5" s="5">
        <f>Q4*Q2</f>
        <v>986.40000000000009</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-223.5</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165</v>
      </c>
    </row>
    <row r="14" spans="1:21" x14ac:dyDescent="0.25">
      <c r="P14" t="s">
        <v>89</v>
      </c>
      <c r="R14" s="59"/>
    </row>
    <row r="15" spans="1:21" x14ac:dyDescent="0.25">
      <c r="O15" s="2">
        <f>$Q$4</f>
        <v>8.2200000000000006</v>
      </c>
      <c r="P15">
        <v>1.1000000000000001</v>
      </c>
      <c r="Q15" s="2">
        <f t="shared" ref="Q15:Q27" si="0">P15*O15</f>
        <v>9.0420000000000016</v>
      </c>
      <c r="R15" s="59"/>
    </row>
    <row r="16" spans="1:21" x14ac:dyDescent="0.25">
      <c r="O16" s="2">
        <f>$Q$4</f>
        <v>8.2200000000000006</v>
      </c>
      <c r="P16">
        <v>1.05</v>
      </c>
      <c r="Q16" s="2">
        <f t="shared" si="0"/>
        <v>8.6310000000000002</v>
      </c>
      <c r="R16" s="59"/>
    </row>
    <row r="17" spans="15:18" x14ac:dyDescent="0.25">
      <c r="O17" s="2">
        <f t="shared" ref="O17:O27" si="1">$Q$4</f>
        <v>8.2200000000000006</v>
      </c>
      <c r="P17">
        <v>1.04</v>
      </c>
      <c r="Q17" s="2">
        <f t="shared" si="0"/>
        <v>8.5488000000000017</v>
      </c>
      <c r="R17" s="59"/>
    </row>
    <row r="18" spans="15:18" x14ac:dyDescent="0.25">
      <c r="O18" s="2">
        <f t="shared" si="1"/>
        <v>8.2200000000000006</v>
      </c>
      <c r="P18" s="2">
        <v>1.03</v>
      </c>
      <c r="Q18" s="2">
        <f t="shared" si="0"/>
        <v>8.4666000000000015</v>
      </c>
      <c r="R18" s="59"/>
    </row>
    <row r="19" spans="15:18" x14ac:dyDescent="0.25">
      <c r="O19" s="2">
        <f t="shared" si="1"/>
        <v>8.2200000000000006</v>
      </c>
      <c r="P19" s="2">
        <v>1.02</v>
      </c>
      <c r="Q19" s="2">
        <f t="shared" si="0"/>
        <v>8.3844000000000012</v>
      </c>
      <c r="R19" s="59"/>
    </row>
    <row r="20" spans="15:18" x14ac:dyDescent="0.25">
      <c r="O20" s="2">
        <f t="shared" si="1"/>
        <v>8.2200000000000006</v>
      </c>
      <c r="P20" s="2">
        <v>1.01</v>
      </c>
      <c r="Q20" s="2">
        <f t="shared" si="0"/>
        <v>8.3022000000000009</v>
      </c>
      <c r="R20" s="59"/>
    </row>
    <row r="21" spans="15:18" x14ac:dyDescent="0.25">
      <c r="O21" s="2">
        <f t="shared" si="1"/>
        <v>8.2200000000000006</v>
      </c>
      <c r="P21" s="2">
        <v>1</v>
      </c>
      <c r="Q21" s="2">
        <f t="shared" si="0"/>
        <v>8.2200000000000006</v>
      </c>
      <c r="R21" s="59"/>
    </row>
    <row r="22" spans="15:18" x14ac:dyDescent="0.25">
      <c r="O22" s="2">
        <f t="shared" si="1"/>
        <v>8.2200000000000006</v>
      </c>
      <c r="P22" s="2">
        <v>0.99</v>
      </c>
      <c r="Q22" s="2">
        <f t="shared" si="0"/>
        <v>8.1378000000000004</v>
      </c>
      <c r="R22" s="59"/>
    </row>
    <row r="23" spans="15:18" x14ac:dyDescent="0.25">
      <c r="O23" s="2">
        <f t="shared" si="1"/>
        <v>8.2200000000000006</v>
      </c>
      <c r="P23" s="2">
        <v>0.98</v>
      </c>
      <c r="Q23" s="2">
        <f t="shared" si="0"/>
        <v>8.0556000000000001</v>
      </c>
      <c r="R23" s="59"/>
    </row>
    <row r="24" spans="15:18" x14ac:dyDescent="0.25">
      <c r="O24" s="2">
        <f t="shared" si="1"/>
        <v>8.2200000000000006</v>
      </c>
      <c r="P24" s="2">
        <v>0.97</v>
      </c>
      <c r="Q24" s="2">
        <f t="shared" si="0"/>
        <v>7.9734000000000007</v>
      </c>
      <c r="R24" s="59"/>
    </row>
    <row r="25" spans="15:18" x14ac:dyDescent="0.25">
      <c r="O25" s="2">
        <f t="shared" si="1"/>
        <v>8.2200000000000006</v>
      </c>
      <c r="P25" s="2">
        <v>0.96</v>
      </c>
      <c r="Q25" s="2">
        <f t="shared" si="0"/>
        <v>7.8912000000000004</v>
      </c>
      <c r="R25" s="59"/>
    </row>
    <row r="26" spans="15:18" x14ac:dyDescent="0.25">
      <c r="O26" s="2">
        <f t="shared" si="1"/>
        <v>8.2200000000000006</v>
      </c>
      <c r="P26" s="2">
        <v>0.95</v>
      </c>
      <c r="Q26" s="2">
        <f t="shared" si="0"/>
        <v>7.8090000000000002</v>
      </c>
      <c r="R26" s="59"/>
    </row>
    <row r="27" spans="15:18" x14ac:dyDescent="0.25">
      <c r="O27" s="2">
        <f t="shared" si="1"/>
        <v>8.2200000000000006</v>
      </c>
      <c r="P27" s="2">
        <v>0.9</v>
      </c>
      <c r="Q27" s="2">
        <f t="shared" si="0"/>
        <v>7.3980000000000006</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205</v>
      </c>
    </row>
    <row r="3" spans="1:21" x14ac:dyDescent="0.25">
      <c r="A3" s="36" t="s">
        <v>81</v>
      </c>
      <c r="B3" s="32">
        <v>42153</v>
      </c>
      <c r="C3" s="15">
        <v>25</v>
      </c>
      <c r="D3" s="77">
        <v>34.4</v>
      </c>
      <c r="E3" s="77"/>
      <c r="F3" s="77">
        <f>C3*D3</f>
        <v>860</v>
      </c>
      <c r="L3" t="s">
        <v>163</v>
      </c>
      <c r="O3" s="20" t="s">
        <v>58</v>
      </c>
      <c r="Q3" s="2">
        <f>(F7-K7)/Q2</f>
        <v>32.507843137254902</v>
      </c>
      <c r="T3" s="1">
        <v>42244</v>
      </c>
      <c r="U3" t="s">
        <v>162</v>
      </c>
    </row>
    <row r="4" spans="1:21" x14ac:dyDescent="0.25">
      <c r="B4" s="148">
        <v>42173</v>
      </c>
      <c r="C4" s="15">
        <v>9</v>
      </c>
      <c r="D4" s="77">
        <v>34.1</v>
      </c>
      <c r="E4" s="77"/>
      <c r="F4" s="77">
        <f>C4*D4</f>
        <v>306.90000000000003</v>
      </c>
      <c r="O4" s="20" t="s">
        <v>66</v>
      </c>
      <c r="Q4" s="106">
        <v>34.75</v>
      </c>
    </row>
    <row r="5" spans="1:21" x14ac:dyDescent="0.25">
      <c r="B5" s="148"/>
      <c r="C5">
        <v>1</v>
      </c>
      <c r="D5" s="2">
        <v>34.1</v>
      </c>
      <c r="F5" s="2">
        <f>C5*D5</f>
        <v>34.1</v>
      </c>
      <c r="O5" s="20" t="s">
        <v>67</v>
      </c>
      <c r="Q5" s="5">
        <f>Q4*Q2</f>
        <v>1772.25</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122.07999999999991</v>
      </c>
    </row>
    <row r="16" spans="1:21" x14ac:dyDescent="0.25">
      <c r="P16" t="s">
        <v>89</v>
      </c>
    </row>
    <row r="17" spans="15:17" x14ac:dyDescent="0.25">
      <c r="O17" s="2">
        <f>$Q$4</f>
        <v>34.75</v>
      </c>
      <c r="P17">
        <v>1.1000000000000001</v>
      </c>
      <c r="Q17" s="2">
        <f t="shared" ref="Q17:Q29" si="1">P17*O17</f>
        <v>38.225000000000001</v>
      </c>
    </row>
    <row r="18" spans="15:17" x14ac:dyDescent="0.25">
      <c r="O18" s="2">
        <f>$Q$4</f>
        <v>34.75</v>
      </c>
      <c r="P18">
        <v>1.05</v>
      </c>
      <c r="Q18" s="2">
        <f t="shared" si="1"/>
        <v>36.487500000000004</v>
      </c>
    </row>
    <row r="19" spans="15:17" x14ac:dyDescent="0.25">
      <c r="O19" s="2">
        <f t="shared" ref="O19:O29" si="2">$Q$4</f>
        <v>34.75</v>
      </c>
      <c r="P19">
        <v>1.04</v>
      </c>
      <c r="Q19" s="2">
        <f t="shared" si="1"/>
        <v>36.14</v>
      </c>
    </row>
    <row r="20" spans="15:17" x14ac:dyDescent="0.25">
      <c r="O20" s="2">
        <f t="shared" si="2"/>
        <v>34.75</v>
      </c>
      <c r="P20" s="2">
        <v>1.03</v>
      </c>
      <c r="Q20" s="2">
        <f t="shared" si="1"/>
        <v>35.792500000000004</v>
      </c>
    </row>
    <row r="21" spans="15:17" x14ac:dyDescent="0.25">
      <c r="O21" s="2">
        <f t="shared" si="2"/>
        <v>34.75</v>
      </c>
      <c r="P21" s="2">
        <v>1.02</v>
      </c>
      <c r="Q21" s="2">
        <f t="shared" si="1"/>
        <v>35.445</v>
      </c>
    </row>
    <row r="22" spans="15:17" x14ac:dyDescent="0.25">
      <c r="O22" s="2">
        <f t="shared" si="2"/>
        <v>34.75</v>
      </c>
      <c r="P22" s="2">
        <v>1.01</v>
      </c>
      <c r="Q22" s="2">
        <f t="shared" si="1"/>
        <v>35.097500000000004</v>
      </c>
    </row>
    <row r="23" spans="15:17" x14ac:dyDescent="0.25">
      <c r="O23" s="2">
        <f t="shared" si="2"/>
        <v>34.75</v>
      </c>
      <c r="P23" s="2">
        <v>1</v>
      </c>
      <c r="Q23" s="2">
        <f t="shared" si="1"/>
        <v>34.75</v>
      </c>
    </row>
    <row r="24" spans="15:17" x14ac:dyDescent="0.25">
      <c r="O24" s="2">
        <f t="shared" si="2"/>
        <v>34.75</v>
      </c>
      <c r="P24" s="2">
        <v>0.99</v>
      </c>
      <c r="Q24" s="2">
        <f t="shared" si="1"/>
        <v>34.402499999999996</v>
      </c>
    </row>
    <row r="25" spans="15:17" x14ac:dyDescent="0.25">
      <c r="O25" s="2">
        <f t="shared" si="2"/>
        <v>34.75</v>
      </c>
      <c r="P25" s="2">
        <v>0.98</v>
      </c>
      <c r="Q25" s="2">
        <f t="shared" si="1"/>
        <v>34.055</v>
      </c>
    </row>
    <row r="26" spans="15:17" x14ac:dyDescent="0.25">
      <c r="O26" s="2">
        <f t="shared" si="2"/>
        <v>34.75</v>
      </c>
      <c r="P26" s="2">
        <v>0.97</v>
      </c>
      <c r="Q26" s="2">
        <f t="shared" si="1"/>
        <v>33.707499999999996</v>
      </c>
    </row>
    <row r="27" spans="15:17" x14ac:dyDescent="0.25">
      <c r="O27" s="2">
        <f t="shared" si="2"/>
        <v>34.75</v>
      </c>
      <c r="P27" s="2">
        <v>0.96</v>
      </c>
      <c r="Q27" s="2">
        <f t="shared" si="1"/>
        <v>33.36</v>
      </c>
    </row>
    <row r="28" spans="15:17" x14ac:dyDescent="0.25">
      <c r="O28" s="2">
        <f t="shared" si="2"/>
        <v>34.75</v>
      </c>
      <c r="P28" s="2">
        <v>0.95</v>
      </c>
      <c r="Q28" s="2">
        <f t="shared" si="1"/>
        <v>33.012499999999996</v>
      </c>
    </row>
    <row r="29" spans="15:17" x14ac:dyDescent="0.25">
      <c r="O29" s="2">
        <f t="shared" si="2"/>
        <v>34.75</v>
      </c>
      <c r="P29" s="2">
        <v>0.9</v>
      </c>
      <c r="Q29" s="2">
        <f t="shared" si="1"/>
        <v>31.275000000000002</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167</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48">
        <v>42212</v>
      </c>
      <c r="C3">
        <v>10</v>
      </c>
      <c r="D3" s="2">
        <v>124.25</v>
      </c>
      <c r="F3" s="2">
        <f t="shared" ref="F3:F7" si="0">D3*C3</f>
        <v>1242.5</v>
      </c>
      <c r="G3" s="1"/>
      <c r="L3" s="1"/>
      <c r="M3" s="2"/>
      <c r="O3" s="20" t="s">
        <v>58</v>
      </c>
      <c r="Q3" s="2">
        <f>(F8-K8)/Q2</f>
        <v>124.15200000000002</v>
      </c>
      <c r="T3" s="125">
        <v>42242</v>
      </c>
      <c r="U3" t="s">
        <v>174</v>
      </c>
    </row>
    <row r="4" spans="1:21" x14ac:dyDescent="0.25">
      <c r="B4" s="148"/>
      <c r="C4" s="10">
        <v>10</v>
      </c>
      <c r="D4" s="25">
        <v>124.25</v>
      </c>
      <c r="E4" s="25"/>
      <c r="F4" s="25">
        <f t="shared" si="0"/>
        <v>1242.5</v>
      </c>
      <c r="M4" s="2"/>
      <c r="O4" s="20" t="s">
        <v>66</v>
      </c>
      <c r="Q4" s="106">
        <v>125.97</v>
      </c>
      <c r="T4" s="125">
        <v>42246</v>
      </c>
      <c r="U4" t="s">
        <v>166</v>
      </c>
    </row>
    <row r="5" spans="1:21" x14ac:dyDescent="0.25">
      <c r="B5" s="1">
        <v>42220</v>
      </c>
      <c r="C5">
        <v>5</v>
      </c>
      <c r="D5" s="2">
        <v>123.2</v>
      </c>
      <c r="F5" s="2">
        <f t="shared" si="0"/>
        <v>616</v>
      </c>
      <c r="M5" s="2"/>
      <c r="O5" s="20" t="s">
        <v>67</v>
      </c>
      <c r="Q5" s="5">
        <f>Q4*Q2</f>
        <v>7558.2</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113.07999999999902</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168</v>
      </c>
      <c r="O18" s="2">
        <f>$Q$4</f>
        <v>125.97</v>
      </c>
      <c r="P18">
        <v>1.1000000000000001</v>
      </c>
      <c r="Q18" s="2">
        <f t="shared" ref="Q18:Q30" si="2">P18*O18</f>
        <v>138.56700000000001</v>
      </c>
    </row>
    <row r="19" spans="1:18" x14ac:dyDescent="0.25">
      <c r="A19" s="124">
        <v>42242</v>
      </c>
      <c r="O19" s="2">
        <f>$Q$4</f>
        <v>125.97</v>
      </c>
      <c r="P19">
        <v>1.05</v>
      </c>
      <c r="Q19" s="2">
        <f t="shared" si="2"/>
        <v>132.26850000000002</v>
      </c>
    </row>
    <row r="20" spans="1:18" x14ac:dyDescent="0.25">
      <c r="B20" s="28" t="s">
        <v>175</v>
      </c>
      <c r="C20" s="7"/>
      <c r="D20" s="93"/>
      <c r="E20" s="2" t="s">
        <v>173</v>
      </c>
      <c r="F20"/>
      <c r="G20" s="34" t="s">
        <v>178</v>
      </c>
      <c r="H20" s="2"/>
      <c r="K20" s="20" t="s">
        <v>180</v>
      </c>
      <c r="O20" s="2">
        <f t="shared" ref="O20:O30" si="3">$Q$4</f>
        <v>125.97</v>
      </c>
      <c r="P20">
        <v>1.04</v>
      </c>
      <c r="Q20" s="2">
        <f t="shared" si="2"/>
        <v>131.00880000000001</v>
      </c>
    </row>
    <row r="21" spans="1:18" x14ac:dyDescent="0.25">
      <c r="A21" s="7"/>
      <c r="B21" s="126" t="s">
        <v>171</v>
      </c>
      <c r="C21" s="126"/>
      <c r="D21" s="126"/>
      <c r="E21" s="127">
        <v>616</v>
      </c>
      <c r="F21" s="128">
        <f>E21/SUM($E$21:$E$24)</f>
        <v>0.35504322766570606</v>
      </c>
      <c r="G21" s="127" t="s">
        <v>179</v>
      </c>
      <c r="H21" s="127"/>
      <c r="I21" s="127"/>
      <c r="J21" s="127"/>
      <c r="K21" s="129" t="s">
        <v>181</v>
      </c>
      <c r="L21" s="129"/>
      <c r="M21" s="129"/>
      <c r="N21" s="129"/>
      <c r="O21" s="2">
        <f t="shared" si="3"/>
        <v>125.97</v>
      </c>
      <c r="P21" s="2">
        <v>1.03</v>
      </c>
      <c r="Q21" s="2">
        <f t="shared" si="2"/>
        <v>129.7491</v>
      </c>
      <c r="R21" t="s">
        <v>115</v>
      </c>
    </row>
    <row r="22" spans="1:18" x14ac:dyDescent="0.25">
      <c r="A22" s="7"/>
      <c r="B22" s="126" t="s">
        <v>172</v>
      </c>
      <c r="C22" s="126"/>
      <c r="D22" s="126"/>
      <c r="E22" s="127">
        <v>588</v>
      </c>
      <c r="F22" s="128">
        <f>E22/SUM($E$21:$E$24)</f>
        <v>0.33890489913544669</v>
      </c>
      <c r="G22" s="129" t="s">
        <v>182</v>
      </c>
      <c r="H22" s="127"/>
      <c r="I22" s="127"/>
      <c r="J22" s="127"/>
      <c r="K22" s="129" t="s">
        <v>183</v>
      </c>
      <c r="L22" s="129"/>
      <c r="M22" s="129"/>
      <c r="N22" s="129"/>
      <c r="O22" s="2">
        <f t="shared" si="3"/>
        <v>125.97</v>
      </c>
      <c r="P22" s="2">
        <v>1.02</v>
      </c>
      <c r="Q22" s="2">
        <f t="shared" si="2"/>
        <v>128.48939999999999</v>
      </c>
      <c r="R22" t="s">
        <v>131</v>
      </c>
    </row>
    <row r="23" spans="1:18" x14ac:dyDescent="0.25">
      <c r="A23" s="7"/>
      <c r="B23" s="126" t="s">
        <v>170</v>
      </c>
      <c r="C23" s="126"/>
      <c r="D23" s="126"/>
      <c r="E23" s="127">
        <v>372</v>
      </c>
      <c r="F23" s="128">
        <f>E23/SUM($E$21:$E$24)</f>
        <v>0.21440922190201728</v>
      </c>
      <c r="G23" s="129" t="s">
        <v>186</v>
      </c>
      <c r="H23" s="129"/>
      <c r="I23" s="127"/>
      <c r="J23" s="127"/>
      <c r="K23" s="127" t="s">
        <v>187</v>
      </c>
      <c r="L23" s="129"/>
      <c r="M23" s="129"/>
      <c r="N23" s="129"/>
      <c r="O23" s="2">
        <f t="shared" si="3"/>
        <v>125.97</v>
      </c>
      <c r="P23" s="2">
        <v>1.01</v>
      </c>
      <c r="Q23" s="2">
        <f t="shared" si="2"/>
        <v>127.22969999999999</v>
      </c>
    </row>
    <row r="24" spans="1:18" x14ac:dyDescent="0.25">
      <c r="B24" s="126" t="s">
        <v>169</v>
      </c>
      <c r="C24" s="126"/>
      <c r="D24" s="126"/>
      <c r="E24" s="127">
        <v>159</v>
      </c>
      <c r="F24" s="128">
        <f>E24/SUM($E$21:$E$24)</f>
        <v>9.1642651296829969E-2</v>
      </c>
      <c r="G24" s="129" t="s">
        <v>185</v>
      </c>
      <c r="H24" s="129"/>
      <c r="I24" s="127"/>
      <c r="J24" s="127"/>
      <c r="K24" s="127" t="s">
        <v>184</v>
      </c>
      <c r="L24" s="129"/>
      <c r="M24" s="129"/>
      <c r="N24" s="129"/>
      <c r="O24" s="2">
        <f t="shared" si="3"/>
        <v>125.97</v>
      </c>
      <c r="P24" s="2">
        <v>1</v>
      </c>
      <c r="Q24" s="2">
        <f t="shared" si="2"/>
        <v>125.97</v>
      </c>
    </row>
    <row r="25" spans="1:18" x14ac:dyDescent="0.25">
      <c r="B25" s="34" t="s">
        <v>177</v>
      </c>
      <c r="E25" s="2">
        <f>SUM(E21:E24)</f>
        <v>1735</v>
      </c>
      <c r="F25"/>
      <c r="O25" s="2">
        <f t="shared" si="3"/>
        <v>125.97</v>
      </c>
      <c r="P25" s="2">
        <v>0.99</v>
      </c>
      <c r="Q25" s="2">
        <f t="shared" si="2"/>
        <v>124.7103</v>
      </c>
      <c r="R25" t="s">
        <v>126</v>
      </c>
    </row>
    <row r="26" spans="1:18" x14ac:dyDescent="0.25">
      <c r="O26" s="2">
        <f t="shared" si="3"/>
        <v>125.97</v>
      </c>
      <c r="P26" s="2">
        <v>0.98</v>
      </c>
      <c r="Q26" s="2">
        <f t="shared" si="2"/>
        <v>123.45059999999999</v>
      </c>
    </row>
    <row r="27" spans="1:18" x14ac:dyDescent="0.25">
      <c r="B27" s="2" t="s">
        <v>176</v>
      </c>
      <c r="O27" s="2">
        <f t="shared" si="3"/>
        <v>125.97</v>
      </c>
      <c r="P27" s="2">
        <v>0.97</v>
      </c>
      <c r="Q27" s="2">
        <f t="shared" si="2"/>
        <v>122.1909</v>
      </c>
    </row>
    <row r="28" spans="1:18" x14ac:dyDescent="0.25">
      <c r="O28" s="2">
        <f t="shared" si="3"/>
        <v>125.97</v>
      </c>
      <c r="P28" s="2">
        <v>0.96</v>
      </c>
      <c r="Q28" s="2">
        <f t="shared" si="2"/>
        <v>120.93119999999999</v>
      </c>
    </row>
    <row r="29" spans="1:18" x14ac:dyDescent="0.25">
      <c r="O29" s="2">
        <f t="shared" si="3"/>
        <v>125.97</v>
      </c>
      <c r="P29" s="2">
        <v>0.95</v>
      </c>
      <c r="Q29" s="2">
        <f t="shared" si="2"/>
        <v>119.67149999999999</v>
      </c>
    </row>
    <row r="30" spans="1:18" x14ac:dyDescent="0.25">
      <c r="O30" s="2">
        <f t="shared" si="3"/>
        <v>125.97</v>
      </c>
      <c r="P30" s="2">
        <v>0.9</v>
      </c>
      <c r="Q30" s="2">
        <f t="shared" si="2"/>
        <v>113.373</v>
      </c>
    </row>
    <row r="35" spans="2:9" x14ac:dyDescent="0.25">
      <c r="B35" t="s">
        <v>188</v>
      </c>
      <c r="D35" t="s">
        <v>189</v>
      </c>
      <c r="G35" s="2"/>
      <c r="I35"/>
    </row>
    <row r="36" spans="2:9" x14ac:dyDescent="0.25">
      <c r="B36" t="s">
        <v>196</v>
      </c>
      <c r="D36" s="2" t="s">
        <v>197</v>
      </c>
    </row>
    <row r="37" spans="2:9" x14ac:dyDescent="0.25">
      <c r="B37" t="s">
        <v>190</v>
      </c>
      <c r="D37" t="s">
        <v>191</v>
      </c>
      <c r="G37" s="2"/>
      <c r="I37"/>
    </row>
    <row r="38" spans="2:9" x14ac:dyDescent="0.25">
      <c r="B38" t="s">
        <v>194</v>
      </c>
      <c r="D38" t="s">
        <v>195</v>
      </c>
      <c r="G38" s="2"/>
      <c r="I38"/>
    </row>
    <row r="39" spans="2:9" x14ac:dyDescent="0.25">
      <c r="B39" t="s">
        <v>192</v>
      </c>
      <c r="D39" t="s">
        <v>193</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101.88</v>
      </c>
      <c r="T4" s="1">
        <v>42314</v>
      </c>
      <c r="U4" t="s">
        <v>125</v>
      </c>
    </row>
    <row r="5" spans="1:21" x14ac:dyDescent="0.25">
      <c r="B5" s="1">
        <v>42227</v>
      </c>
      <c r="C5">
        <v>10</v>
      </c>
      <c r="D5" s="2">
        <v>105</v>
      </c>
      <c r="F5" s="2">
        <f>C5*D5</f>
        <v>1050</v>
      </c>
      <c r="O5" s="20" t="s">
        <v>67</v>
      </c>
      <c r="Q5" s="5">
        <f>Q4*Q2</f>
        <v>3056.3999999999996</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-246.45000000000073</v>
      </c>
    </row>
    <row r="17" spans="15:17" x14ac:dyDescent="0.25">
      <c r="P17" t="s">
        <v>89</v>
      </c>
    </row>
    <row r="18" spans="15:17" x14ac:dyDescent="0.25">
      <c r="O18" s="2">
        <f>$Q$4</f>
        <v>101.88</v>
      </c>
      <c r="P18">
        <v>1.1000000000000001</v>
      </c>
      <c r="Q18" s="2">
        <f t="shared" ref="Q18:Q30" si="1">P18*O18</f>
        <v>112.068</v>
      </c>
    </row>
    <row r="19" spans="15:17" x14ac:dyDescent="0.25">
      <c r="O19" s="2">
        <f>$Q$4</f>
        <v>101.88</v>
      </c>
      <c r="P19">
        <v>1.05</v>
      </c>
      <c r="Q19" s="2">
        <f t="shared" si="1"/>
        <v>106.974</v>
      </c>
    </row>
    <row r="20" spans="15:17" x14ac:dyDescent="0.25">
      <c r="O20" s="2">
        <f t="shared" ref="O20:O30" si="2">$Q$4</f>
        <v>101.88</v>
      </c>
      <c r="P20">
        <v>1.04</v>
      </c>
      <c r="Q20" s="2">
        <f t="shared" si="1"/>
        <v>105.9552</v>
      </c>
    </row>
    <row r="21" spans="15:17" x14ac:dyDescent="0.25">
      <c r="O21" s="2">
        <f t="shared" si="2"/>
        <v>101.88</v>
      </c>
      <c r="P21" s="2">
        <v>1.03</v>
      </c>
      <c r="Q21" s="2">
        <f t="shared" si="1"/>
        <v>104.93639999999999</v>
      </c>
    </row>
    <row r="22" spans="15:17" x14ac:dyDescent="0.25">
      <c r="O22" s="2">
        <f t="shared" si="2"/>
        <v>101.88</v>
      </c>
      <c r="P22" s="2">
        <v>1.02</v>
      </c>
      <c r="Q22" s="2">
        <f t="shared" si="1"/>
        <v>103.91759999999999</v>
      </c>
    </row>
    <row r="23" spans="15:17" x14ac:dyDescent="0.25">
      <c r="O23" s="2">
        <f t="shared" si="2"/>
        <v>101.88</v>
      </c>
      <c r="P23" s="2">
        <v>1.01</v>
      </c>
      <c r="Q23" s="2">
        <f t="shared" si="1"/>
        <v>102.89879999999999</v>
      </c>
    </row>
    <row r="24" spans="15:17" x14ac:dyDescent="0.25">
      <c r="O24" s="2">
        <f t="shared" si="2"/>
        <v>101.88</v>
      </c>
      <c r="P24" s="2">
        <v>1</v>
      </c>
      <c r="Q24" s="2">
        <f t="shared" si="1"/>
        <v>101.88</v>
      </c>
    </row>
    <row r="25" spans="15:17" x14ac:dyDescent="0.25">
      <c r="O25" s="2">
        <f t="shared" si="2"/>
        <v>101.88</v>
      </c>
      <c r="P25" s="2">
        <v>0.99</v>
      </c>
      <c r="Q25" s="2">
        <f t="shared" si="1"/>
        <v>100.8612</v>
      </c>
    </row>
    <row r="26" spans="15:17" x14ac:dyDescent="0.25">
      <c r="O26" s="2">
        <f t="shared" si="2"/>
        <v>101.88</v>
      </c>
      <c r="P26" s="2">
        <v>0.98</v>
      </c>
      <c r="Q26" s="2">
        <f t="shared" si="1"/>
        <v>99.842399999999998</v>
      </c>
    </row>
    <row r="27" spans="15:17" x14ac:dyDescent="0.25">
      <c r="O27" s="2">
        <f t="shared" si="2"/>
        <v>101.88</v>
      </c>
      <c r="P27" s="2">
        <v>0.97</v>
      </c>
      <c r="Q27" s="2">
        <f t="shared" si="1"/>
        <v>98.823599999999999</v>
      </c>
    </row>
    <row r="28" spans="15:17" x14ac:dyDescent="0.25">
      <c r="O28" s="2">
        <f t="shared" si="2"/>
        <v>101.88</v>
      </c>
      <c r="P28" s="2">
        <v>0.96</v>
      </c>
      <c r="Q28" s="2">
        <f t="shared" si="1"/>
        <v>97.804799999999986</v>
      </c>
    </row>
    <row r="29" spans="15:17" x14ac:dyDescent="0.25">
      <c r="O29" s="2">
        <f t="shared" si="2"/>
        <v>101.88</v>
      </c>
      <c r="P29" s="2">
        <v>0.95</v>
      </c>
      <c r="Q29" s="2">
        <f t="shared" si="1"/>
        <v>96.785999999999987</v>
      </c>
    </row>
    <row r="30" spans="15:17" x14ac:dyDescent="0.25">
      <c r="O30" s="2">
        <f t="shared" si="2"/>
        <v>101.88</v>
      </c>
      <c r="P30" s="2">
        <v>0.9</v>
      </c>
      <c r="Q30" s="2">
        <f t="shared" si="1"/>
        <v>91.691999999999993</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U1" s="20" t="s">
        <v>74</v>
      </c>
    </row>
    <row r="2" spans="1:22" x14ac:dyDescent="0.25">
      <c r="A2" s="8" t="s">
        <v>55</v>
      </c>
      <c r="B2" s="1">
        <v>42214</v>
      </c>
      <c r="C2">
        <v>10</v>
      </c>
      <c r="D2" s="2">
        <v>113.01</v>
      </c>
      <c r="E2" s="2">
        <v>0</v>
      </c>
      <c r="F2" s="2">
        <f>C2*D2 + E2</f>
        <v>1130.1000000000001</v>
      </c>
      <c r="L2" t="s">
        <v>120</v>
      </c>
      <c r="O2" s="20" t="s">
        <v>57</v>
      </c>
      <c r="Q2">
        <f>C10-H10</f>
        <v>25</v>
      </c>
      <c r="U2" s="1">
        <v>42242</v>
      </c>
      <c r="V2" t="s">
        <v>206</v>
      </c>
    </row>
    <row r="3" spans="1:22" x14ac:dyDescent="0.25">
      <c r="A3" s="36" t="s">
        <v>81</v>
      </c>
      <c r="B3" s="1">
        <v>42247</v>
      </c>
      <c r="C3">
        <v>15</v>
      </c>
      <c r="D3" s="2">
        <v>105.85</v>
      </c>
      <c r="E3" s="2">
        <v>0</v>
      </c>
      <c r="F3" s="2">
        <f>C3*D3 + E3</f>
        <v>1587.75</v>
      </c>
      <c r="O3" s="20" t="s">
        <v>58</v>
      </c>
      <c r="Q3" s="2">
        <f>(F10-K10)/Q2</f>
        <v>108.71400000000001</v>
      </c>
      <c r="U3" s="1">
        <v>42305</v>
      </c>
      <c r="V3" t="s">
        <v>125</v>
      </c>
    </row>
    <row r="4" spans="1:22" x14ac:dyDescent="0.25">
      <c r="O4" s="20" t="s">
        <v>66</v>
      </c>
      <c r="Q4" s="106">
        <v>105.07</v>
      </c>
    </row>
    <row r="5" spans="1:22" x14ac:dyDescent="0.25">
      <c r="O5" s="20" t="s">
        <v>67</v>
      </c>
      <c r="Q5" s="5">
        <f>Q4*Q2</f>
        <v>2626.75</v>
      </c>
    </row>
    <row r="6" spans="1:22" x14ac:dyDescent="0.25">
      <c r="O6" s="20" t="s">
        <v>64</v>
      </c>
      <c r="Q6" s="2">
        <f>Q3*Q2</f>
        <v>2717.8500000000004</v>
      </c>
    </row>
    <row r="7" spans="1:22" x14ac:dyDescent="0.25">
      <c r="O7" s="20" t="s">
        <v>65</v>
      </c>
      <c r="Q7" s="34">
        <f>Q5-Q6</f>
        <v>-91.100000000000364</v>
      </c>
    </row>
    <row r="10" spans="1:22" x14ac:dyDescent="0.25">
      <c r="A10" s="35" t="s">
        <v>114</v>
      </c>
      <c r="B10" s="21"/>
      <c r="C10" s="21">
        <f>SUM(C2:C9)</f>
        <v>25</v>
      </c>
      <c r="D10" s="22"/>
      <c r="E10" s="22"/>
      <c r="F10" s="22">
        <f>SUM(F2:F9)</f>
        <v>2717.8500000000004</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105.07</v>
      </c>
      <c r="P17">
        <v>1.1000000000000001</v>
      </c>
      <c r="Q17" s="2">
        <f t="shared" ref="Q17:Q29" si="0">P17*O17</f>
        <v>115.577</v>
      </c>
    </row>
    <row r="18" spans="15:17" x14ac:dyDescent="0.25">
      <c r="O18" s="2">
        <f>$Q$4</f>
        <v>105.07</v>
      </c>
      <c r="P18">
        <v>1.05</v>
      </c>
      <c r="Q18" s="2">
        <f t="shared" si="0"/>
        <v>110.3235</v>
      </c>
    </row>
    <row r="19" spans="15:17" x14ac:dyDescent="0.25">
      <c r="O19" s="2">
        <f t="shared" ref="O19:O29" si="1">$Q$4</f>
        <v>105.07</v>
      </c>
      <c r="P19">
        <v>1.04</v>
      </c>
      <c r="Q19" s="2">
        <f t="shared" si="0"/>
        <v>109.2728</v>
      </c>
    </row>
    <row r="20" spans="15:17" x14ac:dyDescent="0.25">
      <c r="O20" s="2">
        <f t="shared" si="1"/>
        <v>105.07</v>
      </c>
      <c r="P20" s="2">
        <v>1.03</v>
      </c>
      <c r="Q20" s="2">
        <f t="shared" si="0"/>
        <v>108.2221</v>
      </c>
    </row>
    <row r="21" spans="15:17" x14ac:dyDescent="0.25">
      <c r="O21" s="2">
        <f t="shared" si="1"/>
        <v>105.07</v>
      </c>
      <c r="P21" s="2">
        <v>1.02</v>
      </c>
      <c r="Q21" s="2">
        <f t="shared" si="0"/>
        <v>107.17139999999999</v>
      </c>
    </row>
    <row r="22" spans="15:17" x14ac:dyDescent="0.25">
      <c r="O22" s="2">
        <f t="shared" si="1"/>
        <v>105.07</v>
      </c>
      <c r="P22" s="2">
        <v>1.01</v>
      </c>
      <c r="Q22" s="2">
        <f t="shared" si="0"/>
        <v>106.1207</v>
      </c>
    </row>
    <row r="23" spans="15:17" x14ac:dyDescent="0.25">
      <c r="O23" s="2">
        <f t="shared" si="1"/>
        <v>105.07</v>
      </c>
      <c r="P23" s="2">
        <v>1</v>
      </c>
      <c r="Q23" s="2">
        <f t="shared" si="0"/>
        <v>105.07</v>
      </c>
    </row>
    <row r="24" spans="15:17" x14ac:dyDescent="0.25">
      <c r="O24" s="2">
        <f t="shared" si="1"/>
        <v>105.07</v>
      </c>
      <c r="P24" s="2">
        <v>0.99</v>
      </c>
      <c r="Q24" s="2">
        <f t="shared" si="0"/>
        <v>104.01929999999999</v>
      </c>
    </row>
    <row r="25" spans="15:17" x14ac:dyDescent="0.25">
      <c r="O25" s="2">
        <f t="shared" si="1"/>
        <v>105.07</v>
      </c>
      <c r="P25" s="2">
        <v>0.98</v>
      </c>
      <c r="Q25" s="2">
        <f t="shared" si="0"/>
        <v>102.9686</v>
      </c>
    </row>
    <row r="26" spans="15:17" x14ac:dyDescent="0.25">
      <c r="O26" s="2">
        <f t="shared" si="1"/>
        <v>105.07</v>
      </c>
      <c r="P26" s="2">
        <v>0.97</v>
      </c>
      <c r="Q26" s="2">
        <f t="shared" si="0"/>
        <v>101.91789999999999</v>
      </c>
    </row>
    <row r="27" spans="15:17" x14ac:dyDescent="0.25">
      <c r="O27" s="2">
        <f t="shared" si="1"/>
        <v>105.07</v>
      </c>
      <c r="P27" s="2">
        <v>0.96</v>
      </c>
      <c r="Q27" s="2">
        <f t="shared" si="0"/>
        <v>100.86719999999998</v>
      </c>
    </row>
    <row r="28" spans="15:17" x14ac:dyDescent="0.25">
      <c r="O28" s="2">
        <f t="shared" si="1"/>
        <v>105.07</v>
      </c>
      <c r="P28" s="2">
        <v>0.95</v>
      </c>
      <c r="Q28" s="2">
        <f t="shared" si="0"/>
        <v>99.816499999999991</v>
      </c>
    </row>
    <row r="29" spans="15:17" x14ac:dyDescent="0.25">
      <c r="O29" s="2">
        <f t="shared" si="1"/>
        <v>105.07</v>
      </c>
      <c r="P29" s="2">
        <v>0.9</v>
      </c>
      <c r="Q29" s="2">
        <f t="shared" si="0"/>
        <v>94.563000000000002</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125</v>
      </c>
    </row>
    <row r="3" spans="1:22" x14ac:dyDescent="0.25">
      <c r="A3" s="36" t="s">
        <v>81</v>
      </c>
      <c r="B3" s="1">
        <v>42233</v>
      </c>
      <c r="C3">
        <v>20</v>
      </c>
      <c r="D3" s="2">
        <v>47.5</v>
      </c>
      <c r="F3" s="2">
        <f>C3*D3</f>
        <v>950</v>
      </c>
      <c r="O3" s="20" t="s">
        <v>58</v>
      </c>
      <c r="Q3" s="2">
        <f>(F5-K5)/Q2</f>
        <v>47.628571428571426</v>
      </c>
    </row>
    <row r="4" spans="1:22" x14ac:dyDescent="0.25">
      <c r="O4" s="20" t="s">
        <v>66</v>
      </c>
      <c r="Q4" s="106">
        <v>45.6</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1596</v>
      </c>
    </row>
    <row r="6" spans="1:22" x14ac:dyDescent="0.25">
      <c r="O6" s="20" t="s">
        <v>64</v>
      </c>
      <c r="Q6" s="2">
        <f>Q3*Q2</f>
        <v>1667</v>
      </c>
    </row>
    <row r="7" spans="1:22" x14ac:dyDescent="0.25">
      <c r="O7" s="20" t="s">
        <v>65</v>
      </c>
      <c r="Q7" s="2">
        <f>Q5-Q6</f>
        <v>-71</v>
      </c>
    </row>
    <row r="17" spans="15:17" x14ac:dyDescent="0.25">
      <c r="P17" t="s">
        <v>89</v>
      </c>
    </row>
    <row r="18" spans="15:17" x14ac:dyDescent="0.25">
      <c r="O18" s="2">
        <f>$Q$4</f>
        <v>45.6</v>
      </c>
      <c r="P18">
        <v>1.1000000000000001</v>
      </c>
      <c r="Q18" s="2">
        <f t="shared" ref="Q18:Q30" si="0">P18*O18</f>
        <v>50.160000000000004</v>
      </c>
    </row>
    <row r="19" spans="15:17" x14ac:dyDescent="0.25">
      <c r="O19" s="2">
        <f>$Q$4</f>
        <v>45.6</v>
      </c>
      <c r="P19">
        <v>1.05</v>
      </c>
      <c r="Q19" s="2">
        <f t="shared" si="0"/>
        <v>47.88</v>
      </c>
    </row>
    <row r="20" spans="15:17" x14ac:dyDescent="0.25">
      <c r="O20" s="2">
        <f t="shared" ref="O20:O30" si="1">$Q$4</f>
        <v>45.6</v>
      </c>
      <c r="P20">
        <v>1.04</v>
      </c>
      <c r="Q20" s="2">
        <f t="shared" si="0"/>
        <v>47.424000000000007</v>
      </c>
    </row>
    <row r="21" spans="15:17" x14ac:dyDescent="0.25">
      <c r="O21" s="2">
        <f t="shared" si="1"/>
        <v>45.6</v>
      </c>
      <c r="P21" s="2">
        <v>1.03</v>
      </c>
      <c r="Q21" s="2">
        <f t="shared" si="0"/>
        <v>46.968000000000004</v>
      </c>
    </row>
    <row r="22" spans="15:17" x14ac:dyDescent="0.25">
      <c r="O22" s="2">
        <f t="shared" si="1"/>
        <v>45.6</v>
      </c>
      <c r="P22" s="2">
        <v>1.02</v>
      </c>
      <c r="Q22" s="2">
        <f t="shared" si="0"/>
        <v>46.512</v>
      </c>
    </row>
    <row r="23" spans="15:17" x14ac:dyDescent="0.25">
      <c r="O23" s="2">
        <f t="shared" si="1"/>
        <v>45.6</v>
      </c>
      <c r="P23" s="2">
        <v>1.01</v>
      </c>
      <c r="Q23" s="2">
        <f t="shared" si="0"/>
        <v>46.056000000000004</v>
      </c>
    </row>
    <row r="24" spans="15:17" x14ac:dyDescent="0.25">
      <c r="O24" s="2">
        <f t="shared" si="1"/>
        <v>45.6</v>
      </c>
      <c r="P24" s="2">
        <v>1</v>
      </c>
      <c r="Q24" s="2">
        <f t="shared" si="0"/>
        <v>45.6</v>
      </c>
    </row>
    <row r="25" spans="15:17" x14ac:dyDescent="0.25">
      <c r="O25" s="2">
        <f t="shared" si="1"/>
        <v>45.6</v>
      </c>
      <c r="P25" s="2">
        <v>0.99</v>
      </c>
      <c r="Q25" s="2">
        <f t="shared" si="0"/>
        <v>45.143999999999998</v>
      </c>
    </row>
    <row r="26" spans="15:17" x14ac:dyDescent="0.25">
      <c r="O26" s="2">
        <f t="shared" si="1"/>
        <v>45.6</v>
      </c>
      <c r="P26" s="2">
        <v>0.98</v>
      </c>
      <c r="Q26" s="2">
        <f t="shared" si="0"/>
        <v>44.688000000000002</v>
      </c>
    </row>
    <row r="27" spans="15:17" x14ac:dyDescent="0.25">
      <c r="O27" s="2">
        <f t="shared" si="1"/>
        <v>45.6</v>
      </c>
      <c r="P27" s="2">
        <v>0.97</v>
      </c>
      <c r="Q27" s="2">
        <f t="shared" si="0"/>
        <v>44.231999999999999</v>
      </c>
    </row>
    <row r="28" spans="15:17" x14ac:dyDescent="0.25">
      <c r="O28" s="2">
        <f t="shared" si="1"/>
        <v>45.6</v>
      </c>
      <c r="P28" s="2">
        <v>0.96</v>
      </c>
      <c r="Q28" s="2">
        <f t="shared" si="0"/>
        <v>43.775999999999996</v>
      </c>
    </row>
    <row r="29" spans="15:17" x14ac:dyDescent="0.25">
      <c r="O29" s="2">
        <f t="shared" si="1"/>
        <v>45.6</v>
      </c>
      <c r="P29" s="2">
        <v>0.95</v>
      </c>
      <c r="Q29" s="2">
        <f t="shared" si="0"/>
        <v>43.32</v>
      </c>
    </row>
    <row r="30" spans="15:17" x14ac:dyDescent="0.25">
      <c r="O30" s="2">
        <f t="shared" si="1"/>
        <v>45.6</v>
      </c>
      <c r="P30" s="2">
        <v>0.9</v>
      </c>
      <c r="Q30" s="2">
        <f t="shared" si="0"/>
        <v>41.04</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8">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48"/>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29.44</v>
      </c>
    </row>
    <row r="5" spans="1:21" x14ac:dyDescent="0.25">
      <c r="B5" s="1">
        <v>42233</v>
      </c>
      <c r="C5" s="10">
        <v>30</v>
      </c>
      <c r="D5" s="25">
        <v>29.9</v>
      </c>
      <c r="E5" s="25"/>
      <c r="F5" s="25">
        <f t="shared" si="0"/>
        <v>897</v>
      </c>
      <c r="O5" s="20" t="s">
        <v>67</v>
      </c>
      <c r="Q5" s="5">
        <f>Q4*Q2</f>
        <v>1177.6000000000001</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-61.899999999999864</v>
      </c>
    </row>
    <row r="21" spans="15:17" x14ac:dyDescent="0.25">
      <c r="P21" t="s">
        <v>89</v>
      </c>
    </row>
    <row r="22" spans="15:17" x14ac:dyDescent="0.25">
      <c r="O22" s="2">
        <f>$Q$4</f>
        <v>29.44</v>
      </c>
      <c r="P22">
        <v>1.1000000000000001</v>
      </c>
      <c r="Q22" s="2">
        <f t="shared" ref="Q22:Q34" si="1">P22*O22</f>
        <v>32.384000000000007</v>
      </c>
    </row>
    <row r="23" spans="15:17" x14ac:dyDescent="0.25">
      <c r="O23" s="2">
        <f>$Q$4</f>
        <v>29.44</v>
      </c>
      <c r="P23">
        <v>1.05</v>
      </c>
      <c r="Q23" s="2">
        <f t="shared" si="1"/>
        <v>30.912000000000003</v>
      </c>
    </row>
    <row r="24" spans="15:17" x14ac:dyDescent="0.25">
      <c r="O24" s="2">
        <f t="shared" ref="O24:O34" si="2">$Q$4</f>
        <v>29.44</v>
      </c>
      <c r="P24">
        <v>1.04</v>
      </c>
      <c r="Q24" s="2">
        <f t="shared" si="1"/>
        <v>30.617600000000003</v>
      </c>
    </row>
    <row r="25" spans="15:17" x14ac:dyDescent="0.25">
      <c r="O25" s="2">
        <f t="shared" si="2"/>
        <v>29.44</v>
      </c>
      <c r="P25" s="2">
        <v>1.03</v>
      </c>
      <c r="Q25" s="2">
        <f t="shared" si="1"/>
        <v>30.323200000000003</v>
      </c>
    </row>
    <row r="26" spans="15:17" x14ac:dyDescent="0.25">
      <c r="O26" s="2">
        <f t="shared" si="2"/>
        <v>29.44</v>
      </c>
      <c r="P26" s="2">
        <v>1.02</v>
      </c>
      <c r="Q26" s="2">
        <f t="shared" si="1"/>
        <v>30.0288</v>
      </c>
    </row>
    <row r="27" spans="15:17" x14ac:dyDescent="0.25">
      <c r="O27" s="2">
        <f t="shared" si="2"/>
        <v>29.44</v>
      </c>
      <c r="P27" s="2">
        <v>1.01</v>
      </c>
      <c r="Q27" s="2">
        <f t="shared" si="1"/>
        <v>29.734400000000001</v>
      </c>
    </row>
    <row r="28" spans="15:17" x14ac:dyDescent="0.25">
      <c r="O28" s="2">
        <f t="shared" si="2"/>
        <v>29.44</v>
      </c>
      <c r="P28" s="2">
        <v>1</v>
      </c>
      <c r="Q28" s="2">
        <f t="shared" si="1"/>
        <v>29.44</v>
      </c>
    </row>
    <row r="29" spans="15:17" x14ac:dyDescent="0.25">
      <c r="O29" s="2">
        <f t="shared" si="2"/>
        <v>29.44</v>
      </c>
      <c r="P29" s="2">
        <v>0.99</v>
      </c>
      <c r="Q29" s="2">
        <f t="shared" si="1"/>
        <v>29.145600000000002</v>
      </c>
    </row>
    <row r="30" spans="15:17" x14ac:dyDescent="0.25">
      <c r="O30" s="2">
        <f t="shared" si="2"/>
        <v>29.44</v>
      </c>
      <c r="P30" s="2">
        <v>0.98</v>
      </c>
      <c r="Q30" s="2">
        <f t="shared" si="1"/>
        <v>28.851200000000002</v>
      </c>
    </row>
    <row r="31" spans="15:17" x14ac:dyDescent="0.25">
      <c r="O31" s="2">
        <f t="shared" si="2"/>
        <v>29.44</v>
      </c>
      <c r="P31" s="2">
        <v>0.97</v>
      </c>
      <c r="Q31" s="2">
        <f t="shared" si="1"/>
        <v>28.556799999999999</v>
      </c>
    </row>
    <row r="32" spans="15:17" x14ac:dyDescent="0.25">
      <c r="O32" s="2">
        <f t="shared" si="2"/>
        <v>29.44</v>
      </c>
      <c r="P32" s="2">
        <v>0.96</v>
      </c>
      <c r="Q32" s="2">
        <f t="shared" si="1"/>
        <v>28.2624</v>
      </c>
    </row>
    <row r="33" spans="4:17" x14ac:dyDescent="0.25">
      <c r="O33" s="2">
        <f t="shared" si="2"/>
        <v>29.44</v>
      </c>
      <c r="P33" s="2">
        <v>0.95</v>
      </c>
      <c r="Q33" s="2">
        <f t="shared" si="1"/>
        <v>27.968</v>
      </c>
    </row>
    <row r="34" spans="4:17" x14ac:dyDescent="0.25">
      <c r="O34" s="2">
        <f t="shared" si="2"/>
        <v>29.44</v>
      </c>
      <c r="P34" s="2">
        <v>0.9</v>
      </c>
      <c r="Q34" s="2">
        <f t="shared" si="1"/>
        <v>26.496000000000002</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68.989999999999995</v>
      </c>
    </row>
    <row r="5" spans="1:22" x14ac:dyDescent="0.25">
      <c r="O5" s="20" t="s">
        <v>67</v>
      </c>
      <c r="Q5" s="5">
        <f>Q4*Q2</f>
        <v>344.95</v>
      </c>
    </row>
    <row r="6" spans="1:22" x14ac:dyDescent="0.25">
      <c r="O6" s="20" t="s">
        <v>64</v>
      </c>
      <c r="Q6" s="2">
        <f>Q3*Q2</f>
        <v>310.25</v>
      </c>
    </row>
    <row r="7" spans="1:22" x14ac:dyDescent="0.25">
      <c r="O7" s="20" t="s">
        <v>65</v>
      </c>
      <c r="Q7" s="2">
        <f>Q5-Q6</f>
        <v>34.699999999999989</v>
      </c>
    </row>
    <row r="16" spans="1:22" x14ac:dyDescent="0.25">
      <c r="P16" t="s">
        <v>89</v>
      </c>
    </row>
    <row r="17" spans="15:17" x14ac:dyDescent="0.25">
      <c r="O17" s="2">
        <f>$Q$4</f>
        <v>68.989999999999995</v>
      </c>
      <c r="P17">
        <v>1.1000000000000001</v>
      </c>
      <c r="Q17" s="2">
        <f t="shared" ref="Q17:Q29" si="0">P17*O17</f>
        <v>75.888999999999996</v>
      </c>
    </row>
    <row r="18" spans="15:17" x14ac:dyDescent="0.25">
      <c r="O18" s="2">
        <f>$Q$4</f>
        <v>68.989999999999995</v>
      </c>
      <c r="P18">
        <v>1.05</v>
      </c>
      <c r="Q18" s="2">
        <f t="shared" si="0"/>
        <v>72.439499999999995</v>
      </c>
    </row>
    <row r="19" spans="15:17" x14ac:dyDescent="0.25">
      <c r="O19" s="2">
        <f t="shared" ref="O19:O29" si="1">$Q$4</f>
        <v>68.989999999999995</v>
      </c>
      <c r="P19">
        <v>1.04</v>
      </c>
      <c r="Q19" s="2">
        <f t="shared" si="0"/>
        <v>71.749600000000001</v>
      </c>
    </row>
    <row r="20" spans="15:17" x14ac:dyDescent="0.25">
      <c r="O20" s="2">
        <f t="shared" si="1"/>
        <v>68.989999999999995</v>
      </c>
      <c r="P20" s="2">
        <v>1.03</v>
      </c>
      <c r="Q20" s="2">
        <f t="shared" si="0"/>
        <v>71.059699999999992</v>
      </c>
    </row>
    <row r="21" spans="15:17" x14ac:dyDescent="0.25">
      <c r="O21" s="2">
        <f t="shared" si="1"/>
        <v>68.989999999999995</v>
      </c>
      <c r="P21" s="2">
        <v>1.02</v>
      </c>
      <c r="Q21" s="2">
        <f t="shared" si="0"/>
        <v>70.369799999999998</v>
      </c>
    </row>
    <row r="22" spans="15:17" x14ac:dyDescent="0.25">
      <c r="O22" s="2">
        <f t="shared" si="1"/>
        <v>68.989999999999995</v>
      </c>
      <c r="P22" s="2">
        <v>1.01</v>
      </c>
      <c r="Q22" s="2">
        <f t="shared" si="0"/>
        <v>69.679899999999989</v>
      </c>
    </row>
    <row r="23" spans="15:17" x14ac:dyDescent="0.25">
      <c r="O23" s="2">
        <f t="shared" si="1"/>
        <v>68.989999999999995</v>
      </c>
      <c r="P23" s="2">
        <v>1</v>
      </c>
      <c r="Q23" s="2">
        <f t="shared" si="0"/>
        <v>68.989999999999995</v>
      </c>
    </row>
    <row r="24" spans="15:17" x14ac:dyDescent="0.25">
      <c r="O24" s="2">
        <f t="shared" si="1"/>
        <v>68.989999999999995</v>
      </c>
      <c r="P24" s="2">
        <v>0.99</v>
      </c>
      <c r="Q24" s="2">
        <f t="shared" si="0"/>
        <v>68.3001</v>
      </c>
    </row>
    <row r="25" spans="15:17" x14ac:dyDescent="0.25">
      <c r="O25" s="2">
        <f t="shared" si="1"/>
        <v>68.989999999999995</v>
      </c>
      <c r="P25" s="2">
        <v>0.98</v>
      </c>
      <c r="Q25" s="2">
        <f t="shared" si="0"/>
        <v>67.610199999999992</v>
      </c>
    </row>
    <row r="26" spans="15:17" x14ac:dyDescent="0.25">
      <c r="O26" s="2">
        <f t="shared" si="1"/>
        <v>68.989999999999995</v>
      </c>
      <c r="P26" s="2">
        <v>0.97</v>
      </c>
      <c r="Q26" s="2">
        <f t="shared" si="0"/>
        <v>66.920299999999997</v>
      </c>
    </row>
    <row r="27" spans="15:17" x14ac:dyDescent="0.25">
      <c r="O27" s="2">
        <f t="shared" si="1"/>
        <v>68.989999999999995</v>
      </c>
      <c r="P27" s="2">
        <v>0.96</v>
      </c>
      <c r="Q27" s="2">
        <f t="shared" si="0"/>
        <v>66.230399999999989</v>
      </c>
    </row>
    <row r="28" spans="15:17" x14ac:dyDescent="0.25">
      <c r="O28" s="2">
        <f t="shared" si="1"/>
        <v>68.989999999999995</v>
      </c>
      <c r="P28" s="2">
        <v>0.95</v>
      </c>
      <c r="Q28" s="2">
        <f t="shared" si="0"/>
        <v>65.540499999999994</v>
      </c>
    </row>
    <row r="29" spans="15:17" x14ac:dyDescent="0.25">
      <c r="O29" s="2">
        <f t="shared" si="1"/>
        <v>68.989999999999995</v>
      </c>
      <c r="P29" s="2">
        <v>0.9</v>
      </c>
      <c r="Q29" s="2">
        <f t="shared" si="0"/>
        <v>62.090999999999994</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31.75</v>
      </c>
    </row>
    <row r="5" spans="1:22" x14ac:dyDescent="0.25">
      <c r="B5" s="1">
        <v>42240</v>
      </c>
      <c r="C5">
        <v>40</v>
      </c>
      <c r="D5">
        <v>32.4</v>
      </c>
      <c r="F5">
        <f t="shared" ref="F5:F7" si="0">C5*D5</f>
        <v>1296</v>
      </c>
      <c r="O5" s="20" t="s">
        <v>67</v>
      </c>
      <c r="Q5" s="5">
        <f>Q4*Q2</f>
        <v>2540</v>
      </c>
    </row>
    <row r="6" spans="1:22" x14ac:dyDescent="0.25">
      <c r="F6">
        <f t="shared" si="0"/>
        <v>0</v>
      </c>
      <c r="O6" s="20" t="s">
        <v>64</v>
      </c>
      <c r="Q6" s="2">
        <f>Q3*Q2</f>
        <v>2687</v>
      </c>
    </row>
    <row r="7" spans="1:22" x14ac:dyDescent="0.25">
      <c r="F7">
        <f t="shared" si="0"/>
        <v>0</v>
      </c>
      <c r="O7" s="20" t="s">
        <v>65</v>
      </c>
      <c r="Q7" s="2">
        <f>Q5-Q6+M8</f>
        <v>-147</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31.75</v>
      </c>
      <c r="P21">
        <v>1.1000000000000001</v>
      </c>
      <c r="Q21" s="2">
        <f t="shared" ref="Q21:Q33" si="1">P21*O21</f>
        <v>34.925000000000004</v>
      </c>
      <c r="R21" t="s">
        <v>136</v>
      </c>
    </row>
    <row r="22" spans="15:18" x14ac:dyDescent="0.25">
      <c r="O22" s="2">
        <f>$Q$4</f>
        <v>31.75</v>
      </c>
      <c r="P22">
        <v>1.05</v>
      </c>
      <c r="Q22" s="2">
        <f t="shared" si="1"/>
        <v>33.337499999999999</v>
      </c>
    </row>
    <row r="23" spans="15:18" x14ac:dyDescent="0.25">
      <c r="O23" s="2">
        <f t="shared" ref="O23:O33" si="2">$Q$4</f>
        <v>31.75</v>
      </c>
      <c r="P23">
        <v>1.04</v>
      </c>
      <c r="Q23" s="2">
        <f t="shared" si="1"/>
        <v>33.020000000000003</v>
      </c>
    </row>
    <row r="24" spans="15:18" x14ac:dyDescent="0.25">
      <c r="O24" s="2">
        <f t="shared" si="2"/>
        <v>31.75</v>
      </c>
      <c r="P24" s="2">
        <v>1.03</v>
      </c>
      <c r="Q24" s="2">
        <f t="shared" si="1"/>
        <v>32.702500000000001</v>
      </c>
    </row>
    <row r="25" spans="15:18" x14ac:dyDescent="0.25">
      <c r="O25" s="2">
        <f t="shared" si="2"/>
        <v>31.75</v>
      </c>
      <c r="P25" s="2">
        <v>1.02</v>
      </c>
      <c r="Q25" s="2">
        <f t="shared" si="1"/>
        <v>32.384999999999998</v>
      </c>
    </row>
    <row r="26" spans="15:18" x14ac:dyDescent="0.25">
      <c r="O26" s="2">
        <f t="shared" si="2"/>
        <v>31.75</v>
      </c>
      <c r="P26" s="2">
        <v>1.01</v>
      </c>
      <c r="Q26" s="2">
        <f t="shared" si="1"/>
        <v>32.067500000000003</v>
      </c>
    </row>
    <row r="27" spans="15:18" x14ac:dyDescent="0.25">
      <c r="O27" s="2">
        <f t="shared" si="2"/>
        <v>31.75</v>
      </c>
      <c r="P27" s="2">
        <v>1</v>
      </c>
      <c r="Q27" s="2">
        <f t="shared" si="1"/>
        <v>31.75</v>
      </c>
    </row>
    <row r="28" spans="15:18" x14ac:dyDescent="0.25">
      <c r="O28" s="2">
        <f t="shared" si="2"/>
        <v>31.75</v>
      </c>
      <c r="P28" s="2">
        <v>0.99</v>
      </c>
      <c r="Q28" s="2">
        <f t="shared" si="1"/>
        <v>31.432500000000001</v>
      </c>
    </row>
    <row r="29" spans="15:18" x14ac:dyDescent="0.25">
      <c r="O29" s="2">
        <f t="shared" si="2"/>
        <v>31.75</v>
      </c>
      <c r="P29" s="2">
        <v>0.98</v>
      </c>
      <c r="Q29" s="2">
        <f t="shared" si="1"/>
        <v>31.114999999999998</v>
      </c>
      <c r="R29" t="s">
        <v>122</v>
      </c>
    </row>
    <row r="30" spans="15:18" x14ac:dyDescent="0.25">
      <c r="O30" s="2">
        <f t="shared" si="2"/>
        <v>31.75</v>
      </c>
      <c r="P30" s="2">
        <v>0.97</v>
      </c>
      <c r="Q30" s="2">
        <f t="shared" si="1"/>
        <v>30.797499999999999</v>
      </c>
    </row>
    <row r="31" spans="15:18" x14ac:dyDescent="0.25">
      <c r="O31" s="2">
        <f t="shared" si="2"/>
        <v>31.75</v>
      </c>
      <c r="P31" s="2">
        <v>0.96</v>
      </c>
      <c r="Q31" s="2">
        <f t="shared" si="1"/>
        <v>30.48</v>
      </c>
    </row>
    <row r="32" spans="15:18" x14ac:dyDescent="0.25">
      <c r="O32" s="2">
        <f t="shared" si="2"/>
        <v>31.75</v>
      </c>
      <c r="P32" s="2">
        <v>0.95</v>
      </c>
      <c r="Q32" s="2">
        <f t="shared" si="1"/>
        <v>30.162499999999998</v>
      </c>
    </row>
    <row r="33" spans="15:17" x14ac:dyDescent="0.25">
      <c r="O33" s="2">
        <f t="shared" si="2"/>
        <v>31.75</v>
      </c>
      <c r="P33" s="2">
        <v>0.9</v>
      </c>
      <c r="Q33" s="2">
        <f t="shared" si="1"/>
        <v>28.574999999999999</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91.61</v>
      </c>
    </row>
    <row r="5" spans="1:21" x14ac:dyDescent="0.25">
      <c r="O5" s="20" t="s">
        <v>67</v>
      </c>
      <c r="Q5" s="5">
        <f>Q4*Q2</f>
        <v>458.05</v>
      </c>
    </row>
    <row r="6" spans="1:21" x14ac:dyDescent="0.25">
      <c r="O6" s="20" t="s">
        <v>64</v>
      </c>
      <c r="Q6" s="2">
        <f>Q3*Q2</f>
        <v>489.96999999999991</v>
      </c>
    </row>
    <row r="7" spans="1:21" x14ac:dyDescent="0.25">
      <c r="O7" s="20" t="s">
        <v>65</v>
      </c>
      <c r="Q7" s="2">
        <f>Q5-Q6+M8</f>
        <v>-31.919999999999902</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91.61</v>
      </c>
      <c r="P20">
        <v>1.1000000000000001</v>
      </c>
      <c r="Q20" s="2">
        <f t="shared" ref="Q20:Q32" si="0">P20*O20</f>
        <v>100.771</v>
      </c>
    </row>
    <row r="21" spans="15:17" x14ac:dyDescent="0.25">
      <c r="O21" s="2">
        <f>$Q$4</f>
        <v>91.61</v>
      </c>
      <c r="P21">
        <v>1.05</v>
      </c>
      <c r="Q21" s="2">
        <f t="shared" si="0"/>
        <v>96.1905</v>
      </c>
    </row>
    <row r="22" spans="15:17" x14ac:dyDescent="0.25">
      <c r="O22" s="2">
        <f t="shared" ref="O22:O32" si="1">$Q$4</f>
        <v>91.61</v>
      </c>
      <c r="P22">
        <v>1.04</v>
      </c>
      <c r="Q22" s="2">
        <f t="shared" si="0"/>
        <v>95.2744</v>
      </c>
    </row>
    <row r="23" spans="15:17" x14ac:dyDescent="0.25">
      <c r="O23" s="2">
        <f t="shared" si="1"/>
        <v>91.61</v>
      </c>
      <c r="P23" s="2">
        <v>1.03</v>
      </c>
      <c r="Q23" s="2">
        <f t="shared" si="0"/>
        <v>94.3583</v>
      </c>
    </row>
    <row r="24" spans="15:17" x14ac:dyDescent="0.25">
      <c r="O24" s="2">
        <f t="shared" si="1"/>
        <v>91.61</v>
      </c>
      <c r="P24" s="2">
        <v>1.02</v>
      </c>
      <c r="Q24" s="2">
        <f t="shared" si="0"/>
        <v>93.4422</v>
      </c>
    </row>
    <row r="25" spans="15:17" x14ac:dyDescent="0.25">
      <c r="O25" s="2">
        <f t="shared" si="1"/>
        <v>91.61</v>
      </c>
      <c r="P25" s="2">
        <v>1.01</v>
      </c>
      <c r="Q25" s="2">
        <f t="shared" si="0"/>
        <v>92.5261</v>
      </c>
    </row>
    <row r="26" spans="15:17" x14ac:dyDescent="0.25">
      <c r="O26" s="2">
        <f t="shared" si="1"/>
        <v>91.61</v>
      </c>
      <c r="P26" s="2">
        <v>1</v>
      </c>
      <c r="Q26" s="2">
        <f t="shared" si="0"/>
        <v>91.61</v>
      </c>
    </row>
    <row r="27" spans="15:17" x14ac:dyDescent="0.25">
      <c r="O27" s="2">
        <f t="shared" si="1"/>
        <v>91.61</v>
      </c>
      <c r="P27" s="2">
        <v>0.99</v>
      </c>
      <c r="Q27" s="2">
        <f t="shared" si="0"/>
        <v>90.693899999999999</v>
      </c>
    </row>
    <row r="28" spans="15:17" x14ac:dyDescent="0.25">
      <c r="O28" s="2">
        <f t="shared" si="1"/>
        <v>91.61</v>
      </c>
      <c r="P28" s="2">
        <v>0.98</v>
      </c>
      <c r="Q28" s="2">
        <f t="shared" si="0"/>
        <v>89.777799999999999</v>
      </c>
    </row>
    <row r="29" spans="15:17" x14ac:dyDescent="0.25">
      <c r="O29" s="2">
        <f t="shared" si="1"/>
        <v>91.61</v>
      </c>
      <c r="P29" s="2">
        <v>0.97</v>
      </c>
      <c r="Q29" s="2">
        <f t="shared" si="0"/>
        <v>88.861699999999999</v>
      </c>
    </row>
    <row r="30" spans="15:17" x14ac:dyDescent="0.25">
      <c r="O30" s="2">
        <f t="shared" si="1"/>
        <v>91.61</v>
      </c>
      <c r="P30" s="2">
        <v>0.96</v>
      </c>
      <c r="Q30" s="2">
        <f t="shared" si="0"/>
        <v>87.945599999999999</v>
      </c>
    </row>
    <row r="31" spans="15:17" x14ac:dyDescent="0.25">
      <c r="O31" s="2">
        <f t="shared" si="1"/>
        <v>91.61</v>
      </c>
      <c r="P31" s="2">
        <v>0.95</v>
      </c>
      <c r="Q31" s="2">
        <f t="shared" si="0"/>
        <v>87.029499999999999</v>
      </c>
    </row>
    <row r="32" spans="15:17" x14ac:dyDescent="0.25">
      <c r="O32" s="2">
        <f t="shared" si="1"/>
        <v>91.61</v>
      </c>
      <c r="P32" s="2">
        <v>0.9</v>
      </c>
      <c r="Q32" s="2">
        <f t="shared" si="0"/>
        <v>82.448999999999998</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115.7</v>
      </c>
      <c r="V4" t="str">
        <f>YahooFinance(A2, "latestprice")</f>
        <v xml:space="preserve">116.28
</v>
      </c>
    </row>
    <row r="5" spans="1:22" x14ac:dyDescent="0.25">
      <c r="O5" s="20" t="s">
        <v>67</v>
      </c>
      <c r="Q5" s="5">
        <f>Q4*Q2</f>
        <v>1735.5</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-57.400000000000091</v>
      </c>
    </row>
    <row r="19" spans="15:17" x14ac:dyDescent="0.25">
      <c r="P19" t="s">
        <v>89</v>
      </c>
    </row>
    <row r="20" spans="15:17" x14ac:dyDescent="0.25">
      <c r="O20" s="2">
        <f>$Q$4</f>
        <v>115.7</v>
      </c>
      <c r="P20">
        <v>1.1000000000000001</v>
      </c>
      <c r="Q20" s="2">
        <f t="shared" ref="Q20:Q32" si="1">P20*O20</f>
        <v>127.27000000000001</v>
      </c>
    </row>
    <row r="21" spans="15:17" x14ac:dyDescent="0.25">
      <c r="O21" s="2">
        <f>$Q$4</f>
        <v>115.7</v>
      </c>
      <c r="P21">
        <v>1.05</v>
      </c>
      <c r="Q21" s="2">
        <f t="shared" si="1"/>
        <v>121.48500000000001</v>
      </c>
    </row>
    <row r="22" spans="15:17" x14ac:dyDescent="0.25">
      <c r="O22" s="2">
        <f t="shared" ref="O22:O32" si="2">$Q$4</f>
        <v>115.7</v>
      </c>
      <c r="P22">
        <v>1.04</v>
      </c>
      <c r="Q22" s="2">
        <f t="shared" si="1"/>
        <v>120.328</v>
      </c>
    </row>
    <row r="23" spans="15:17" x14ac:dyDescent="0.25">
      <c r="O23" s="2">
        <f t="shared" si="2"/>
        <v>115.7</v>
      </c>
      <c r="P23" s="2">
        <v>1.03</v>
      </c>
      <c r="Q23" s="2">
        <f t="shared" si="1"/>
        <v>119.17100000000001</v>
      </c>
    </row>
    <row r="24" spans="15:17" x14ac:dyDescent="0.25">
      <c r="O24" s="2">
        <f t="shared" si="2"/>
        <v>115.7</v>
      </c>
      <c r="P24" s="2">
        <v>1.02</v>
      </c>
      <c r="Q24" s="2">
        <f t="shared" si="1"/>
        <v>118.01400000000001</v>
      </c>
    </row>
    <row r="25" spans="15:17" x14ac:dyDescent="0.25">
      <c r="O25" s="2">
        <f t="shared" si="2"/>
        <v>115.7</v>
      </c>
      <c r="P25" s="2">
        <v>1.01</v>
      </c>
      <c r="Q25" s="2">
        <f t="shared" si="1"/>
        <v>116.857</v>
      </c>
    </row>
    <row r="26" spans="15:17" x14ac:dyDescent="0.25">
      <c r="O26" s="2">
        <f t="shared" si="2"/>
        <v>115.7</v>
      </c>
      <c r="P26" s="2">
        <v>1</v>
      </c>
      <c r="Q26" s="2">
        <f t="shared" si="1"/>
        <v>115.7</v>
      </c>
    </row>
    <row r="27" spans="15:17" x14ac:dyDescent="0.25">
      <c r="O27" s="2">
        <f t="shared" si="2"/>
        <v>115.7</v>
      </c>
      <c r="P27" s="2">
        <v>0.99</v>
      </c>
      <c r="Q27" s="2">
        <f t="shared" si="1"/>
        <v>114.54300000000001</v>
      </c>
    </row>
    <row r="28" spans="15:17" x14ac:dyDescent="0.25">
      <c r="O28" s="2">
        <f t="shared" si="2"/>
        <v>115.7</v>
      </c>
      <c r="P28" s="2">
        <v>0.98</v>
      </c>
      <c r="Q28" s="2">
        <f t="shared" si="1"/>
        <v>113.386</v>
      </c>
    </row>
    <row r="29" spans="15:17" x14ac:dyDescent="0.25">
      <c r="O29" s="2">
        <f t="shared" si="2"/>
        <v>115.7</v>
      </c>
      <c r="P29" s="2">
        <v>0.97</v>
      </c>
      <c r="Q29" s="2">
        <f t="shared" si="1"/>
        <v>112.229</v>
      </c>
    </row>
    <row r="30" spans="15:17" x14ac:dyDescent="0.25">
      <c r="O30" s="2">
        <f t="shared" si="2"/>
        <v>115.7</v>
      </c>
      <c r="P30" s="2">
        <v>0.96</v>
      </c>
      <c r="Q30" s="2">
        <f t="shared" si="1"/>
        <v>111.072</v>
      </c>
    </row>
    <row r="31" spans="15:17" x14ac:dyDescent="0.25">
      <c r="O31" s="2">
        <f t="shared" si="2"/>
        <v>115.7</v>
      </c>
      <c r="P31" s="2">
        <v>0.95</v>
      </c>
      <c r="Q31" s="2">
        <f t="shared" si="1"/>
        <v>109.91499999999999</v>
      </c>
    </row>
    <row r="32" spans="15:17" x14ac:dyDescent="0.25">
      <c r="O32" s="2">
        <f t="shared" si="2"/>
        <v>115.7</v>
      </c>
      <c r="P32" s="2">
        <v>0.9</v>
      </c>
      <c r="Q32" s="2">
        <f t="shared" si="1"/>
        <v>104.13000000000001</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R1" s="58"/>
      <c r="T1" s="20" t="s">
        <v>74</v>
      </c>
    </row>
    <row r="2" spans="1:21" x14ac:dyDescent="0.25">
      <c r="A2" s="8" t="s">
        <v>62</v>
      </c>
      <c r="B2" s="1">
        <v>42222</v>
      </c>
      <c r="C2">
        <v>5</v>
      </c>
      <c r="D2" s="2">
        <v>320</v>
      </c>
      <c r="E2" s="2">
        <v>0</v>
      </c>
      <c r="F2" s="2">
        <f>C2*D2 + E2</f>
        <v>1600</v>
      </c>
      <c r="O2" s="20" t="s">
        <v>57</v>
      </c>
      <c r="Q2">
        <f>C5-H5</f>
        <v>10</v>
      </c>
      <c r="T2" s="1">
        <v>42299</v>
      </c>
      <c r="U2" t="s">
        <v>125</v>
      </c>
    </row>
    <row r="3" spans="1:21" x14ac:dyDescent="0.25">
      <c r="A3" s="36" t="s">
        <v>81</v>
      </c>
      <c r="B3" s="1">
        <v>42247</v>
      </c>
      <c r="C3">
        <v>5</v>
      </c>
      <c r="D3" s="2">
        <v>298.7</v>
      </c>
      <c r="E3" s="2">
        <v>0</v>
      </c>
      <c r="F3" s="2">
        <f>C3*D3 + E3</f>
        <v>1493.5</v>
      </c>
      <c r="O3" s="20" t="s">
        <v>58</v>
      </c>
      <c r="Q3" s="2">
        <f>F5/C5</f>
        <v>309.35000000000002</v>
      </c>
    </row>
    <row r="4" spans="1:21" x14ac:dyDescent="0.25">
      <c r="O4" s="20" t="s">
        <v>66</v>
      </c>
      <c r="Q4" s="106">
        <v>297.3</v>
      </c>
    </row>
    <row r="5" spans="1:21" x14ac:dyDescent="0.25">
      <c r="A5" s="57" t="s">
        <v>114</v>
      </c>
      <c r="B5" s="24"/>
      <c r="C5" s="24">
        <f>SUM(C2:C4)</f>
        <v>10</v>
      </c>
      <c r="D5" s="31"/>
      <c r="E5" s="31"/>
      <c r="F5" s="31">
        <f t="shared" ref="F5" si="0">SUM(F2:F4)</f>
        <v>3093.5</v>
      </c>
      <c r="G5" s="24"/>
      <c r="H5" s="24"/>
      <c r="I5" s="24"/>
      <c r="J5" s="24"/>
      <c r="K5" s="24"/>
      <c r="L5" s="24"/>
      <c r="M5" s="24"/>
      <c r="O5" s="20" t="s">
        <v>67</v>
      </c>
      <c r="Q5" s="5">
        <f>Q4*Q2</f>
        <v>2973</v>
      </c>
    </row>
    <row r="6" spans="1:21" x14ac:dyDescent="0.25">
      <c r="O6" s="20" t="s">
        <v>64</v>
      </c>
      <c r="Q6" s="2">
        <f>Q3*Q2</f>
        <v>3093.5</v>
      </c>
    </row>
    <row r="7" spans="1:21" x14ac:dyDescent="0.25">
      <c r="O7" s="20" t="s">
        <v>65</v>
      </c>
      <c r="Q7" s="2">
        <f>Q5-Q6</f>
        <v>-120.5</v>
      </c>
    </row>
    <row r="12" spans="1:21" x14ac:dyDescent="0.25">
      <c r="F12" s="5"/>
    </row>
    <row r="13" spans="1:21" x14ac:dyDescent="0.25">
      <c r="F13" s="5"/>
    </row>
    <row r="19" spans="2:18" x14ac:dyDescent="0.25">
      <c r="P19" t="s">
        <v>89</v>
      </c>
    </row>
    <row r="20" spans="2:18" x14ac:dyDescent="0.25">
      <c r="O20" s="2">
        <f>$Q$4</f>
        <v>297.3</v>
      </c>
      <c r="P20">
        <v>1.1000000000000001</v>
      </c>
      <c r="Q20" s="2">
        <f t="shared" ref="Q20:Q32" si="1">P20*O20</f>
        <v>327.03000000000003</v>
      </c>
    </row>
    <row r="21" spans="2:18" x14ac:dyDescent="0.25">
      <c r="O21" s="2">
        <f>$Q$4</f>
        <v>297.3</v>
      </c>
      <c r="P21">
        <v>1.05</v>
      </c>
      <c r="Q21" s="2">
        <f t="shared" si="1"/>
        <v>312.16500000000002</v>
      </c>
    </row>
    <row r="22" spans="2:18" x14ac:dyDescent="0.25">
      <c r="B22" t="s">
        <v>202</v>
      </c>
      <c r="C22" s="2"/>
      <c r="E22" s="2" t="s">
        <v>203</v>
      </c>
      <c r="F22"/>
      <c r="O22" s="2">
        <f t="shared" ref="O22:O32" si="2">$Q$4</f>
        <v>297.3</v>
      </c>
      <c r="P22">
        <v>1.04</v>
      </c>
      <c r="Q22" s="2">
        <f t="shared" si="1"/>
        <v>309.19200000000001</v>
      </c>
    </row>
    <row r="23" spans="2:18" x14ac:dyDescent="0.25">
      <c r="O23" s="2">
        <f t="shared" si="2"/>
        <v>297.3</v>
      </c>
      <c r="P23" s="2">
        <v>1.03</v>
      </c>
      <c r="Q23" s="2">
        <f t="shared" si="1"/>
        <v>306.21899999999999</v>
      </c>
    </row>
    <row r="24" spans="2:18" x14ac:dyDescent="0.25">
      <c r="O24" s="2">
        <f t="shared" si="2"/>
        <v>297.3</v>
      </c>
      <c r="P24" s="2">
        <v>1.02</v>
      </c>
      <c r="Q24" s="2">
        <f t="shared" si="1"/>
        <v>303.24600000000004</v>
      </c>
    </row>
    <row r="25" spans="2:18" x14ac:dyDescent="0.25">
      <c r="O25" s="2">
        <f t="shared" si="2"/>
        <v>297.3</v>
      </c>
      <c r="P25" s="2">
        <v>1.01</v>
      </c>
      <c r="Q25" s="2">
        <f t="shared" si="1"/>
        <v>300.27300000000002</v>
      </c>
    </row>
    <row r="26" spans="2:18" x14ac:dyDescent="0.25">
      <c r="O26" s="2">
        <f t="shared" si="2"/>
        <v>297.3</v>
      </c>
      <c r="P26" s="2">
        <v>1</v>
      </c>
      <c r="Q26" s="2">
        <f t="shared" si="1"/>
        <v>297.3</v>
      </c>
    </row>
    <row r="27" spans="2:18" x14ac:dyDescent="0.25">
      <c r="O27" s="2">
        <f t="shared" si="2"/>
        <v>297.3</v>
      </c>
      <c r="P27" s="2">
        <v>0.99</v>
      </c>
      <c r="Q27" s="2">
        <f t="shared" si="1"/>
        <v>294.327</v>
      </c>
    </row>
    <row r="28" spans="2:18" x14ac:dyDescent="0.25">
      <c r="O28" s="2">
        <f t="shared" si="2"/>
        <v>297.3</v>
      </c>
      <c r="P28" s="2">
        <v>0.98</v>
      </c>
      <c r="Q28" s="2">
        <f t="shared" si="1"/>
        <v>291.35399999999998</v>
      </c>
      <c r="R28" s="59" t="s">
        <v>137</v>
      </c>
    </row>
    <row r="29" spans="2:18" x14ac:dyDescent="0.25">
      <c r="O29" s="2">
        <f t="shared" si="2"/>
        <v>297.3</v>
      </c>
      <c r="P29" s="2">
        <v>0.97</v>
      </c>
      <c r="Q29" s="2">
        <f t="shared" si="1"/>
        <v>288.38100000000003</v>
      </c>
    </row>
    <row r="30" spans="2:18" x14ac:dyDescent="0.25">
      <c r="O30" s="2">
        <f t="shared" si="2"/>
        <v>297.3</v>
      </c>
      <c r="P30" s="2">
        <v>0.96</v>
      </c>
      <c r="Q30" s="2">
        <f t="shared" si="1"/>
        <v>285.40800000000002</v>
      </c>
    </row>
    <row r="31" spans="2:18" x14ac:dyDescent="0.25">
      <c r="O31" s="2">
        <f t="shared" si="2"/>
        <v>297.3</v>
      </c>
      <c r="P31" s="2">
        <v>0.95</v>
      </c>
      <c r="Q31" s="2">
        <f t="shared" si="1"/>
        <v>282.435</v>
      </c>
    </row>
    <row r="32" spans="2:18" x14ac:dyDescent="0.25">
      <c r="O32" s="2">
        <f t="shared" si="2"/>
        <v>297.3</v>
      </c>
      <c r="P32" s="2">
        <v>0.9</v>
      </c>
      <c r="Q32" s="2">
        <f t="shared" si="1"/>
        <v>267.57</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10.46</v>
      </c>
    </row>
    <row r="5" spans="1:17" x14ac:dyDescent="0.25">
      <c r="B5" s="1">
        <v>42234</v>
      </c>
      <c r="C5">
        <v>15</v>
      </c>
      <c r="D5" s="2">
        <v>13.9</v>
      </c>
      <c r="E5" s="2">
        <v>0</v>
      </c>
      <c r="F5" s="2">
        <f>C5*D5</f>
        <v>208.5</v>
      </c>
      <c r="O5" s="20" t="s">
        <v>67</v>
      </c>
      <c r="Q5" s="5">
        <f>Q4*Q2</f>
        <v>836.80000000000007</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-1534.4499999999998</v>
      </c>
    </row>
    <row r="15" spans="1:17" x14ac:dyDescent="0.25">
      <c r="P15" t="s">
        <v>89</v>
      </c>
    </row>
    <row r="16" spans="1:17" x14ac:dyDescent="0.25">
      <c r="O16" s="2">
        <f>$Q$4</f>
        <v>10.46</v>
      </c>
      <c r="P16">
        <v>1.1000000000000001</v>
      </c>
      <c r="Q16" s="2">
        <f t="shared" ref="Q16:Q28" si="0">P16*O16</f>
        <v>11.506000000000002</v>
      </c>
    </row>
    <row r="17" spans="15:17" x14ac:dyDescent="0.25">
      <c r="O17" s="2">
        <f>$Q$4</f>
        <v>10.46</v>
      </c>
      <c r="P17">
        <v>1.05</v>
      </c>
      <c r="Q17" s="2">
        <f t="shared" si="0"/>
        <v>10.983000000000001</v>
      </c>
    </row>
    <row r="18" spans="15:17" x14ac:dyDescent="0.25">
      <c r="O18" s="2">
        <f t="shared" ref="O18:O28" si="1">$Q$4</f>
        <v>10.46</v>
      </c>
      <c r="P18">
        <v>1.04</v>
      </c>
      <c r="Q18" s="2">
        <f t="shared" si="0"/>
        <v>10.878400000000001</v>
      </c>
    </row>
    <row r="19" spans="15:17" x14ac:dyDescent="0.25">
      <c r="O19" s="2">
        <f t="shared" si="1"/>
        <v>10.46</v>
      </c>
      <c r="P19" s="2">
        <v>1.03</v>
      </c>
      <c r="Q19" s="2">
        <f t="shared" si="0"/>
        <v>10.773800000000001</v>
      </c>
    </row>
    <row r="20" spans="15:17" x14ac:dyDescent="0.25">
      <c r="O20" s="2">
        <f t="shared" si="1"/>
        <v>10.46</v>
      </c>
      <c r="P20" s="2">
        <v>1.02</v>
      </c>
      <c r="Q20" s="2">
        <f t="shared" si="0"/>
        <v>10.669200000000002</v>
      </c>
    </row>
    <row r="21" spans="15:17" x14ac:dyDescent="0.25">
      <c r="O21" s="2">
        <f t="shared" si="1"/>
        <v>10.46</v>
      </c>
      <c r="P21" s="2">
        <v>1.01</v>
      </c>
      <c r="Q21" s="2">
        <f t="shared" si="0"/>
        <v>10.5646</v>
      </c>
    </row>
    <row r="22" spans="15:17" x14ac:dyDescent="0.25">
      <c r="O22" s="2">
        <f t="shared" si="1"/>
        <v>10.46</v>
      </c>
      <c r="P22" s="2">
        <v>1</v>
      </c>
      <c r="Q22" s="2">
        <f t="shared" si="0"/>
        <v>10.46</v>
      </c>
    </row>
    <row r="23" spans="15:17" x14ac:dyDescent="0.25">
      <c r="O23" s="2">
        <f t="shared" si="1"/>
        <v>10.46</v>
      </c>
      <c r="P23" s="2">
        <v>0.99</v>
      </c>
      <c r="Q23" s="2">
        <f t="shared" si="0"/>
        <v>10.355400000000001</v>
      </c>
    </row>
    <row r="24" spans="15:17" x14ac:dyDescent="0.25">
      <c r="O24" s="2">
        <f t="shared" si="1"/>
        <v>10.46</v>
      </c>
      <c r="P24" s="2">
        <v>0.98</v>
      </c>
      <c r="Q24" s="2">
        <f t="shared" si="0"/>
        <v>10.2508</v>
      </c>
    </row>
    <row r="25" spans="15:17" x14ac:dyDescent="0.25">
      <c r="O25" s="2">
        <f t="shared" si="1"/>
        <v>10.46</v>
      </c>
      <c r="P25" s="2">
        <v>0.97</v>
      </c>
      <c r="Q25" s="2">
        <f t="shared" si="0"/>
        <v>10.1462</v>
      </c>
    </row>
    <row r="26" spans="15:17" x14ac:dyDescent="0.25">
      <c r="O26" s="2">
        <f t="shared" si="1"/>
        <v>10.46</v>
      </c>
      <c r="P26" s="2">
        <v>0.96</v>
      </c>
      <c r="Q26" s="2">
        <f t="shared" si="0"/>
        <v>10.041600000000001</v>
      </c>
    </row>
    <row r="27" spans="15:17" x14ac:dyDescent="0.25">
      <c r="O27" s="2">
        <f t="shared" si="1"/>
        <v>10.46</v>
      </c>
      <c r="P27" s="2">
        <v>0.95</v>
      </c>
      <c r="Q27" s="2">
        <f t="shared" si="0"/>
        <v>9.9370000000000012</v>
      </c>
    </row>
    <row r="28" spans="15:17" x14ac:dyDescent="0.25">
      <c r="O28" s="2">
        <f t="shared" si="1"/>
        <v>10.46</v>
      </c>
      <c r="P28" s="2">
        <v>0.9</v>
      </c>
      <c r="Q28" s="2">
        <f t="shared" si="0"/>
        <v>9.4140000000000015</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133.07</v>
      </c>
    </row>
    <row r="5" spans="1:18" x14ac:dyDescent="0.25">
      <c r="B5" s="1">
        <v>42150</v>
      </c>
      <c r="C5">
        <v>10</v>
      </c>
      <c r="D5" s="2">
        <v>164.85</v>
      </c>
      <c r="F5" s="2">
        <f t="shared" si="0"/>
        <v>1648.5</v>
      </c>
      <c r="G5" s="1">
        <v>42236</v>
      </c>
      <c r="H5" s="11">
        <v>10</v>
      </c>
      <c r="I5" s="80">
        <f t="shared" si="1"/>
        <v>133.19800000000001</v>
      </c>
      <c r="J5" s="80"/>
      <c r="K5" s="80">
        <v>1331.98</v>
      </c>
      <c r="O5" s="20" t="s">
        <v>67</v>
      </c>
      <c r="Q5" s="5">
        <f>Q4*Q2</f>
        <v>6653.5</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-880.07000000000062</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133.07</v>
      </c>
      <c r="P18">
        <v>1.1000000000000001</v>
      </c>
      <c r="Q18" s="2">
        <f t="shared" ref="Q18:Q30" si="2">P18*O18</f>
        <v>146.37700000000001</v>
      </c>
    </row>
    <row r="19" spans="15:17" x14ac:dyDescent="0.25">
      <c r="O19" s="2">
        <f>$Q$4</f>
        <v>133.07</v>
      </c>
      <c r="P19">
        <v>1.05</v>
      </c>
      <c r="Q19" s="2">
        <f t="shared" si="2"/>
        <v>139.7235</v>
      </c>
    </row>
    <row r="20" spans="15:17" x14ac:dyDescent="0.25">
      <c r="O20" s="2">
        <f t="shared" ref="O20:O30" si="3">$Q$4</f>
        <v>133.07</v>
      </c>
      <c r="P20">
        <v>1.04</v>
      </c>
      <c r="Q20" s="2">
        <f t="shared" si="2"/>
        <v>138.39279999999999</v>
      </c>
    </row>
    <row r="21" spans="15:17" x14ac:dyDescent="0.25">
      <c r="O21" s="2">
        <f t="shared" si="3"/>
        <v>133.07</v>
      </c>
      <c r="P21" s="2">
        <v>1.03</v>
      </c>
      <c r="Q21" s="2">
        <f t="shared" si="2"/>
        <v>137.06209999999999</v>
      </c>
    </row>
    <row r="22" spans="15:17" x14ac:dyDescent="0.25">
      <c r="O22" s="2">
        <f t="shared" si="3"/>
        <v>133.07</v>
      </c>
      <c r="P22" s="2">
        <v>1.02</v>
      </c>
      <c r="Q22" s="2">
        <f t="shared" si="2"/>
        <v>135.73140000000001</v>
      </c>
    </row>
    <row r="23" spans="15:17" x14ac:dyDescent="0.25">
      <c r="O23" s="2">
        <f t="shared" si="3"/>
        <v>133.07</v>
      </c>
      <c r="P23" s="2">
        <v>1.01</v>
      </c>
      <c r="Q23" s="2">
        <f t="shared" si="2"/>
        <v>134.4007</v>
      </c>
    </row>
    <row r="24" spans="15:17" x14ac:dyDescent="0.25">
      <c r="O24" s="2">
        <f t="shared" si="3"/>
        <v>133.07</v>
      </c>
      <c r="P24" s="2">
        <v>1</v>
      </c>
      <c r="Q24" s="2">
        <f t="shared" si="2"/>
        <v>133.07</v>
      </c>
    </row>
    <row r="25" spans="15:17" x14ac:dyDescent="0.25">
      <c r="O25" s="2">
        <f t="shared" si="3"/>
        <v>133.07</v>
      </c>
      <c r="P25" s="2">
        <v>0.99</v>
      </c>
      <c r="Q25" s="2">
        <f t="shared" si="2"/>
        <v>131.73929999999999</v>
      </c>
    </row>
    <row r="26" spans="15:17" x14ac:dyDescent="0.25">
      <c r="O26" s="2">
        <f t="shared" si="3"/>
        <v>133.07</v>
      </c>
      <c r="P26" s="2">
        <v>0.98</v>
      </c>
      <c r="Q26" s="2">
        <f t="shared" si="2"/>
        <v>130.40859999999998</v>
      </c>
    </row>
    <row r="27" spans="15:17" x14ac:dyDescent="0.25">
      <c r="O27" s="2">
        <f t="shared" si="3"/>
        <v>133.07</v>
      </c>
      <c r="P27" s="2">
        <v>0.97</v>
      </c>
      <c r="Q27" s="2">
        <f t="shared" si="2"/>
        <v>129.0779</v>
      </c>
    </row>
    <row r="28" spans="15:17" x14ac:dyDescent="0.25">
      <c r="O28" s="2">
        <f t="shared" si="3"/>
        <v>133.07</v>
      </c>
      <c r="P28" s="2">
        <v>0.96</v>
      </c>
      <c r="Q28" s="2">
        <f t="shared" si="2"/>
        <v>127.74719999999999</v>
      </c>
    </row>
    <row r="29" spans="15:17" x14ac:dyDescent="0.25">
      <c r="O29" s="2">
        <f t="shared" si="3"/>
        <v>133.07</v>
      </c>
      <c r="P29" s="2">
        <v>0.95</v>
      </c>
      <c r="Q29" s="2">
        <f t="shared" si="2"/>
        <v>126.41649999999998</v>
      </c>
    </row>
    <row r="30" spans="15:17" x14ac:dyDescent="0.25">
      <c r="O30" s="2">
        <f t="shared" si="3"/>
        <v>133.07</v>
      </c>
      <c r="P30" s="2">
        <v>0.9</v>
      </c>
      <c r="Q30" s="2">
        <f t="shared" si="2"/>
        <v>119.76299999999999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2015-09-01T02:41:32Z</dcterms:modified>
</cp:coreProperties>
</file>